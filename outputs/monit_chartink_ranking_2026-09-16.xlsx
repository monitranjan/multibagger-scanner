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Formula Map" sheetId="9" state="visible" r:id="rId9"/>
  </sheets>
  <definedNames>
    <definedName name="_xlnm._FilterDatabase" localSheetId="2" hidden="1">'Chartink Universe'!$A$1:$J$196</definedName>
    <definedName name="_xlnm._FilterDatabase" localSheetId="3" hidden="1">'Confluence Overlap'!$A$1:$K$23</definedName>
    <definedName name="_xlnm._FilterDatabase" localSheetId="4" hidden="1">'Monit Non Financial'!$A$1:$CE$184</definedName>
    <definedName name="_xlnm._FilterDatabase" localSheetId="5" hidden="1">'Monit Banks NBFC'!$A$1:$CA$13</definedName>
    <definedName name="_xlnm._FilterDatabase" localSheetId="6" hidden="1">'Scanner Non Financial'!$A$1:$CJ$22</definedName>
    <definedName name="_xlnm._FilterDatabase" localSheetId="7" hidden="1">'Scanner Banks NBFC'!$A$1:$CF$2</definedName>
    <definedName name="_xlnm._FilterDatabase" localSheetId="8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FFFFFF"/>
      <sz val="16"/>
    </font>
    <font>
      <name val="Calibri"/>
      <b val="1"/>
      <color rgb="001F4E78"/>
      <sz val="12"/>
    </font>
    <font>
      <name val="Calibri"/>
      <b val="1"/>
      <color rgb="00FFFFFF"/>
      <sz val="11"/>
    </font>
    <font>
      <b val="1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name val="Calibri"/>
      <b val="1"/>
      <color rgb="00C00000"/>
      <sz val="12"/>
    </font>
    <font>
      <color rgb="00375623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2" fillId="4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5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6" fillId="6" borderId="6" applyAlignment="1" pivotButton="0" quotePrefix="0" xfId="0">
      <alignment horizontal="center"/>
    </xf>
    <xf numFmtId="0" fontId="17" fillId="7" borderId="6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14" fillId="8" borderId="6" applyAlignment="1" pivotButton="0" quotePrefix="0" xfId="0">
      <alignment horizontal="center" vertical="center" wrapText="1"/>
    </xf>
    <xf numFmtId="0" fontId="20" fillId="0" borderId="0" pivotButton="0" quotePrefix="0" xfId="0"/>
    <xf numFmtId="0" fontId="14" fillId="9" borderId="6" applyAlignment="1" pivotButton="0" quotePrefix="0" xfId="0">
      <alignment horizontal="center" vertical="center" wrapText="1"/>
    </xf>
    <xf numFmtId="0" fontId="16" fillId="10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1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Wednesday, 16 September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40" customWidth="1" min="2" max="2"/>
    <col width="25" customWidth="1" min="3" max="3"/>
    <col width="47" customWidth="1" min="4" max="4"/>
    <col width="22" customWidth="1" min="5" max="5"/>
    <col width="40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426</v>
      </c>
      <c r="C6" s="17" t="inlineStr">
        <is>
          <t>CYIENTDLM</t>
        </is>
      </c>
      <c r="D6" s="18" t="inlineStr">
        <is>
          <t>Cyient DLM Ltd</t>
        </is>
      </c>
      <c r="E6" s="18" t="inlineStr">
        <is>
          <t>aerospace &amp; defence</t>
        </is>
      </c>
      <c r="F6" s="16" t="n">
        <v>56</v>
      </c>
      <c r="G6" s="19" t="n">
        <v>7007.17</v>
      </c>
      <c r="H6" s="18" t="inlineStr">
        <is>
          <t>Potential Leader</t>
        </is>
      </c>
      <c r="J6" s="18" t="inlineStr">
        <is>
          <t>telecom-service</t>
        </is>
      </c>
      <c r="K6" s="16" t="n">
        <v>9</v>
      </c>
      <c r="L6" s="16" t="n">
        <v>7</v>
      </c>
      <c r="M6" s="20" t="inlineStr">
        <is>
          <t>28.6%</t>
        </is>
      </c>
    </row>
    <row r="7">
      <c r="A7" s="16" t="n">
        <v>2</v>
      </c>
      <c r="B7" s="17" t="n">
        <v>420</v>
      </c>
      <c r="C7" s="17" t="inlineStr">
        <is>
          <t>SETL</t>
        </is>
      </c>
      <c r="D7" s="18" t="inlineStr">
        <is>
          <t>Standard Enginnering Technology Ltd</t>
        </is>
      </c>
      <c r="E7" s="18" t="inlineStr">
        <is>
          <t>industrials</t>
        </is>
      </c>
      <c r="F7" s="16" t="n">
        <v>55</v>
      </c>
      <c r="G7" s="19" t="n">
        <v>8872.389999999999</v>
      </c>
      <c r="H7" s="18" t="inlineStr">
        <is>
          <t>Potential Leader</t>
        </is>
      </c>
      <c r="J7" s="18" t="inlineStr">
        <is>
          <t>services</t>
        </is>
      </c>
      <c r="K7" s="16" t="n">
        <v>40</v>
      </c>
      <c r="L7" s="16" t="n">
        <v>40</v>
      </c>
      <c r="M7" s="20" t="inlineStr">
        <is>
          <t>0.0%</t>
        </is>
      </c>
    </row>
    <row r="8">
      <c r="A8" s="16" t="n">
        <v>3</v>
      </c>
      <c r="B8" s="17" t="n">
        <v>378</v>
      </c>
      <c r="C8" s="17" t="inlineStr">
        <is>
          <t>SUNDRMFAST</t>
        </is>
      </c>
      <c r="D8" s="18" t="inlineStr">
        <is>
          <t>Sundram Fasteners Limited</t>
        </is>
      </c>
      <c r="E8" s="18" t="inlineStr">
        <is>
          <t>auto</t>
        </is>
      </c>
      <c r="F8" s="16" t="n">
        <v>48</v>
      </c>
      <c r="G8" s="19" t="n">
        <v>25999.18</v>
      </c>
      <c r="H8" s="18" t="inlineStr">
        <is>
          <t>Potential Leader</t>
        </is>
      </c>
      <c r="J8" s="18" t="inlineStr">
        <is>
          <t>power &amp; utilities</t>
        </is>
      </c>
      <c r="K8" s="16" t="n">
        <v>9</v>
      </c>
      <c r="L8" s="16" t="n">
        <v>10</v>
      </c>
      <c r="M8" s="21" t="inlineStr">
        <is>
          <t>-10.0%</t>
        </is>
      </c>
    </row>
    <row r="9">
      <c r="A9" s="16" t="n">
        <v>4</v>
      </c>
      <c r="B9" s="17" t="n">
        <v>354</v>
      </c>
      <c r="C9" s="17" t="inlineStr">
        <is>
          <t>KABRAEXTRU</t>
        </is>
      </c>
      <c r="D9" s="18" t="inlineStr">
        <is>
          <t>Kabra Extrusion Technik Limited</t>
        </is>
      </c>
      <c r="E9" s="18" t="inlineStr">
        <is>
          <t>industrials</t>
        </is>
      </c>
      <c r="F9" s="16" t="n">
        <v>44</v>
      </c>
      <c r="G9" s="19" t="n">
        <v>2276.21</v>
      </c>
      <c r="H9" s="18" t="inlineStr">
        <is>
          <t>Potential Leader</t>
        </is>
      </c>
      <c r="J9" s="18" t="inlineStr">
        <is>
          <t>aerospace &amp; defence</t>
        </is>
      </c>
      <c r="K9" s="16" t="n">
        <v>54</v>
      </c>
      <c r="L9" s="16" t="n">
        <v>66</v>
      </c>
      <c r="M9" s="21" t="inlineStr">
        <is>
          <t>-18.2%</t>
        </is>
      </c>
    </row>
    <row r="10">
      <c r="A10" s="16" t="n">
        <v>5</v>
      </c>
      <c r="B10" s="17" t="n">
        <v>342</v>
      </c>
      <c r="C10" s="17" t="inlineStr">
        <is>
          <t>DIVISLAB</t>
        </is>
      </c>
      <c r="D10" s="18" t="inlineStr">
        <is>
          <t>Divi's Laboratories Limited</t>
        </is>
      </c>
      <c r="E10" s="18" t="inlineStr">
        <is>
          <t>healthcare</t>
        </is>
      </c>
      <c r="F10" s="16" t="n">
        <v>42</v>
      </c>
      <c r="G10" s="19" t="n">
        <v>244178</v>
      </c>
      <c r="H10" s="18" t="inlineStr">
        <is>
          <t>Potential Leader</t>
        </is>
      </c>
      <c r="J10" s="18" t="inlineStr">
        <is>
          <t>healthcare</t>
        </is>
      </c>
      <c r="K10" s="16" t="n">
        <v>211</v>
      </c>
      <c r="L10" s="16" t="n">
        <v>269</v>
      </c>
      <c r="M10" s="21" t="inlineStr">
        <is>
          <t>-21.6%</t>
        </is>
      </c>
    </row>
    <row r="11">
      <c r="A11" s="16" t="n">
        <v>6</v>
      </c>
      <c r="B11" s="17" t="n">
        <v>342</v>
      </c>
      <c r="C11" s="17" t="inlineStr">
        <is>
          <t>MENONBE</t>
        </is>
      </c>
      <c r="D11" s="18" t="inlineStr">
        <is>
          <t>Menon Bearings Limited</t>
        </is>
      </c>
      <c r="E11" s="18" t="inlineStr">
        <is>
          <t>auto</t>
        </is>
      </c>
      <c r="F11" s="16" t="n">
        <v>42</v>
      </c>
      <c r="G11" s="19" t="n">
        <v>1705.58</v>
      </c>
      <c r="H11" s="18" t="inlineStr">
        <is>
          <t>Potential Leader</t>
        </is>
      </c>
      <c r="J11" s="18" t="inlineStr">
        <is>
          <t>realty</t>
        </is>
      </c>
      <c r="K11" s="16" t="n">
        <v>77</v>
      </c>
      <c r="L11" s="16" t="n">
        <v>100</v>
      </c>
      <c r="M11" s="21" t="inlineStr">
        <is>
          <t>-23.0%</t>
        </is>
      </c>
    </row>
    <row r="12">
      <c r="A12" s="16" t="n">
        <v>7</v>
      </c>
      <c r="B12" s="17" t="n">
        <v>342</v>
      </c>
      <c r="C12" s="17" t="inlineStr">
        <is>
          <t>TFCILTD</t>
        </is>
      </c>
      <c r="D12" s="18" t="inlineStr">
        <is>
          <t>Tourism Finance Corporation Of India Limited</t>
        </is>
      </c>
      <c r="E12" s="18" t="inlineStr">
        <is>
          <t>financials</t>
        </is>
      </c>
      <c r="F12" s="16" t="n">
        <v>42</v>
      </c>
      <c r="G12" s="19" t="n">
        <v>6397.42</v>
      </c>
      <c r="H12" s="18" t="inlineStr">
        <is>
          <t>Potential Leader</t>
        </is>
      </c>
      <c r="J12" s="18" t="inlineStr">
        <is>
          <t>auto</t>
        </is>
      </c>
      <c r="K12" s="16" t="n">
        <v>78</v>
      </c>
      <c r="L12" s="16" t="n">
        <v>102</v>
      </c>
      <c r="M12" s="21" t="inlineStr">
        <is>
          <t>-23.5%</t>
        </is>
      </c>
    </row>
    <row r="13">
      <c r="A13" s="16" t="n">
        <v>8</v>
      </c>
      <c r="B13" s="17" t="n">
        <v>342</v>
      </c>
      <c r="C13" s="17" t="inlineStr">
        <is>
          <t>VSSL</t>
        </is>
      </c>
      <c r="D13" s="18" t="inlineStr">
        <is>
          <t>Vardhman Special Steels Limited</t>
        </is>
      </c>
      <c r="E13" s="18" t="inlineStr">
        <is>
          <t>metals &amp; mining</t>
        </is>
      </c>
      <c r="F13" s="16" t="n">
        <v>42</v>
      </c>
      <c r="G13" s="19" t="n">
        <v>3762.04</v>
      </c>
      <c r="H13" s="18" t="inlineStr">
        <is>
          <t>Potential Leader</t>
        </is>
      </c>
      <c r="J13" s="18" t="inlineStr">
        <is>
          <t>co-working</t>
        </is>
      </c>
      <c r="K13" s="16" t="n">
        <v>6</v>
      </c>
      <c r="L13" s="16" t="n">
        <v>8</v>
      </c>
      <c r="M13" s="21" t="inlineStr">
        <is>
          <t>-25.0%</t>
        </is>
      </c>
    </row>
    <row r="14">
      <c r="A14" s="16" t="n">
        <v>9</v>
      </c>
      <c r="B14" s="17" t="n">
        <v>330</v>
      </c>
      <c r="C14" s="17" t="inlineStr">
        <is>
          <t>WSTCSTPAPR</t>
        </is>
      </c>
      <c r="D14" s="18" t="inlineStr">
        <is>
          <t>West Coast Paper Mills Limited</t>
        </is>
      </c>
      <c r="E14" s="18" t="inlineStr">
        <is>
          <t>building materials</t>
        </is>
      </c>
      <c r="F14" s="16" t="n">
        <v>40</v>
      </c>
      <c r="G14" s="19" t="n">
        <v>4711.27</v>
      </c>
      <c r="H14" s="18" t="inlineStr">
        <is>
          <t>Potential Leader</t>
        </is>
      </c>
      <c r="J14" s="18" t="inlineStr">
        <is>
          <t>transportation</t>
        </is>
      </c>
      <c r="K14" s="16" t="n">
        <v>34</v>
      </c>
      <c r="L14" s="16" t="n">
        <v>46</v>
      </c>
      <c r="M14" s="21" t="inlineStr">
        <is>
          <t>-26.1%</t>
        </is>
      </c>
    </row>
    <row r="15">
      <c r="A15" s="16" t="n">
        <v>10</v>
      </c>
      <c r="B15" s="17" t="n">
        <v>318</v>
      </c>
      <c r="C15" s="17" t="inlineStr">
        <is>
          <t>PAYTM</t>
        </is>
      </c>
      <c r="D15" s="18" t="inlineStr">
        <is>
          <t>One 97 Communications Ltd</t>
        </is>
      </c>
      <c r="E15" s="18" t="inlineStr">
        <is>
          <t>i.t</t>
        </is>
      </c>
      <c r="F15" s="16" t="n">
        <v>38</v>
      </c>
      <c r="G15" s="19" t="n">
        <v>110778.3</v>
      </c>
      <c r="H15" s="18" t="inlineStr">
        <is>
          <t>Potential Leader</t>
        </is>
      </c>
      <c r="J15" s="18" t="inlineStr">
        <is>
          <t>energy</t>
        </is>
      </c>
      <c r="K15" s="16" t="n">
        <v>56</v>
      </c>
      <c r="L15" s="16" t="n">
        <v>76</v>
      </c>
      <c r="M15" s="21" t="inlineStr">
        <is>
          <t>-26.3%</t>
        </is>
      </c>
    </row>
    <row r="16">
      <c r="A16" s="16" t="n">
        <v>11</v>
      </c>
      <c r="B16" s="17" t="n">
        <v>312</v>
      </c>
      <c r="C16" s="17" t="inlineStr">
        <is>
          <t>DEEPINDS</t>
        </is>
      </c>
      <c r="D16" s="18" t="inlineStr">
        <is>
          <t>Deep Industries Ltd</t>
        </is>
      </c>
      <c r="E16" s="18" t="inlineStr">
        <is>
          <t>energy</t>
        </is>
      </c>
      <c r="F16" s="16" t="n">
        <v>37</v>
      </c>
      <c r="G16" s="19" t="n">
        <v>4674.56</v>
      </c>
      <c r="H16" s="18" t="inlineStr">
        <is>
          <t>Potential Leader</t>
        </is>
      </c>
      <c r="J16" s="18" t="inlineStr">
        <is>
          <t>industrials</t>
        </is>
      </c>
      <c r="K16" s="16" t="n">
        <v>193</v>
      </c>
      <c r="L16" s="16" t="n">
        <v>269</v>
      </c>
      <c r="M16" s="21" t="inlineStr">
        <is>
          <t>-28.3%</t>
        </is>
      </c>
    </row>
    <row r="17">
      <c r="A17" s="16" t="n">
        <v>12</v>
      </c>
      <c r="B17" s="17" t="n">
        <v>312</v>
      </c>
      <c r="C17" s="17" t="inlineStr">
        <is>
          <t>REDINGTON</t>
        </is>
      </c>
      <c r="D17" s="18" t="inlineStr">
        <is>
          <t>Redington (india) Limited</t>
        </is>
      </c>
      <c r="E17" s="18" t="inlineStr">
        <is>
          <t>services</t>
        </is>
      </c>
      <c r="F17" s="16" t="n">
        <v>37</v>
      </c>
      <c r="G17" s="19" t="n">
        <v>29625.34</v>
      </c>
      <c r="H17" s="18" t="inlineStr">
        <is>
          <t>Potential Leader</t>
        </is>
      </c>
      <c r="J17" s="18" t="inlineStr">
        <is>
          <t>miscellaneous</t>
        </is>
      </c>
      <c r="K17" s="16" t="n">
        <v>31</v>
      </c>
      <c r="L17" s="16" t="n">
        <v>46</v>
      </c>
      <c r="M17" s="21" t="inlineStr">
        <is>
          <t>-32.6%</t>
        </is>
      </c>
    </row>
    <row r="18">
      <c r="A18" s="16" t="n">
        <v>13</v>
      </c>
      <c r="B18" s="17" t="n">
        <v>300</v>
      </c>
      <c r="C18" s="17" t="inlineStr">
        <is>
          <t>COMSYN</t>
        </is>
      </c>
      <c r="D18" s="18" t="inlineStr">
        <is>
          <t>Commercial Syn Bags Ltd</t>
        </is>
      </c>
      <c r="E18" s="18" t="inlineStr">
        <is>
          <t>industrials</t>
        </is>
      </c>
      <c r="F18" s="16" t="n">
        <v>35</v>
      </c>
      <c r="G18" s="19" t="n">
        <v>1169.03</v>
      </c>
      <c r="H18" s="18" t="inlineStr">
        <is>
          <t>Potential Leader</t>
        </is>
      </c>
      <c r="J18" s="18" t="inlineStr">
        <is>
          <t>financials</t>
        </is>
      </c>
      <c r="K18" s="16" t="n">
        <v>90</v>
      </c>
      <c r="L18" s="16" t="n">
        <v>135</v>
      </c>
      <c r="M18" s="21" t="inlineStr">
        <is>
          <t>-33.3%</t>
        </is>
      </c>
    </row>
    <row r="19">
      <c r="A19" s="16" t="n">
        <v>14</v>
      </c>
      <c r="B19" s="17" t="n">
        <v>300</v>
      </c>
      <c r="C19" s="17" t="inlineStr">
        <is>
          <t>MAHASTEEL</t>
        </is>
      </c>
      <c r="D19" s="18" t="inlineStr">
        <is>
          <t>Mahamaya Steel Industries Limited</t>
        </is>
      </c>
      <c r="E19" s="18" t="inlineStr">
        <is>
          <t>metals &amp; mining</t>
        </is>
      </c>
      <c r="F19" s="16" t="n">
        <v>35</v>
      </c>
      <c r="G19" s="19" t="n">
        <v>2127.43</v>
      </c>
      <c r="H19" s="18" t="inlineStr">
        <is>
          <t>Potential Leader</t>
        </is>
      </c>
      <c r="J19" s="18" t="inlineStr">
        <is>
          <t>building materials</t>
        </is>
      </c>
      <c r="K19" s="16" t="n">
        <v>49</v>
      </c>
      <c r="L19" s="16" t="n">
        <v>74</v>
      </c>
      <c r="M19" s="21" t="inlineStr">
        <is>
          <t>-33.8%</t>
        </is>
      </c>
    </row>
    <row r="20">
      <c r="A20" s="16" t="n">
        <v>15</v>
      </c>
      <c r="B20" s="17" t="n">
        <v>294</v>
      </c>
      <c r="C20" s="17" t="inlineStr">
        <is>
          <t>BIRLACABLE</t>
        </is>
      </c>
      <c r="D20" s="18" t="inlineStr">
        <is>
          <t>Birla Cable Limited</t>
        </is>
      </c>
      <c r="E20" s="18" t="inlineStr">
        <is>
          <t>industrials</t>
        </is>
      </c>
      <c r="F20" s="16" t="n">
        <v>34</v>
      </c>
      <c r="G20" s="19" t="n">
        <v>1133.85</v>
      </c>
      <c r="H20" s="18" t="inlineStr">
        <is>
          <t>Potential Leader</t>
        </is>
      </c>
      <c r="J20" s="18" t="inlineStr">
        <is>
          <t>metals &amp; mining</t>
        </is>
      </c>
      <c r="K20" s="16" t="n">
        <v>94</v>
      </c>
      <c r="L20" s="16" t="n">
        <v>142</v>
      </c>
      <c r="M20" s="21" t="inlineStr">
        <is>
          <t>-33.8%</t>
        </is>
      </c>
    </row>
    <row r="21">
      <c r="A21" s="16" t="n">
        <v>16</v>
      </c>
      <c r="B21" s="17" t="n">
        <v>294</v>
      </c>
      <c r="C21" s="17" t="inlineStr">
        <is>
          <t>MMP</t>
        </is>
      </c>
      <c r="D21" s="18" t="inlineStr">
        <is>
          <t>MMP Industries Ltd</t>
        </is>
      </c>
      <c r="E21" s="18" t="inlineStr">
        <is>
          <t>metals &amp; mining</t>
        </is>
      </c>
      <c r="F21" s="16" t="n">
        <v>34</v>
      </c>
      <c r="G21" s="19" t="n">
        <v>866</v>
      </c>
      <c r="H21" s="18" t="inlineStr">
        <is>
          <t>Potential Leader</t>
        </is>
      </c>
    </row>
    <row r="22">
      <c r="A22" s="16" t="n">
        <v>17</v>
      </c>
      <c r="B22" s="17" t="n">
        <v>288</v>
      </c>
      <c r="C22" s="17" t="inlineStr">
        <is>
          <t>DOLPHIN</t>
        </is>
      </c>
      <c r="D22" s="18" t="inlineStr">
        <is>
          <t>Dolphin Offshore Enterprises (India) Ltd</t>
        </is>
      </c>
      <c r="E22" s="18" t="inlineStr">
        <is>
          <t>energy</t>
        </is>
      </c>
      <c r="F22" s="16" t="n">
        <v>33</v>
      </c>
      <c r="G22" s="19" t="n">
        <v>2604.5</v>
      </c>
      <c r="H22" s="18" t="inlineStr">
        <is>
          <t>Potential Leader</t>
        </is>
      </c>
    </row>
    <row r="23">
      <c r="A23" s="16" t="n">
        <v>18</v>
      </c>
      <c r="B23" s="17" t="n">
        <v>288</v>
      </c>
      <c r="C23" s="17" t="inlineStr">
        <is>
          <t>PTCIL</t>
        </is>
      </c>
      <c r="D23" s="18" t="inlineStr">
        <is>
          <t>PTC Industries Ltd</t>
        </is>
      </c>
      <c r="E23" s="18" t="inlineStr">
        <is>
          <t>industrials</t>
        </is>
      </c>
      <c r="F23" s="16" t="n">
        <v>33</v>
      </c>
      <c r="G23" s="19" t="n">
        <v>33823.19</v>
      </c>
      <c r="H23" s="18" t="inlineStr">
        <is>
          <t>Potential Leader</t>
        </is>
      </c>
    </row>
    <row r="24">
      <c r="A24" s="16" t="n">
        <v>19</v>
      </c>
      <c r="B24" s="17" t="n">
        <v>288</v>
      </c>
      <c r="C24" s="17" t="inlineStr">
        <is>
          <t>RATNAVEER</t>
        </is>
      </c>
      <c r="D24" s="18" t="inlineStr">
        <is>
          <t>Ratnaveer Precision Engineering Ltd</t>
        </is>
      </c>
      <c r="E24" s="18" t="inlineStr">
        <is>
          <t>metals &amp; mining</t>
        </is>
      </c>
      <c r="F24" s="16" t="n">
        <v>33</v>
      </c>
      <c r="G24" s="19" t="n">
        <v>2068.52</v>
      </c>
      <c r="H24" s="18" t="inlineStr">
        <is>
          <t>Potential Leader</t>
        </is>
      </c>
    </row>
    <row r="25">
      <c r="A25" s="16" t="n">
        <v>20</v>
      </c>
      <c r="B25" s="17" t="n">
        <v>288</v>
      </c>
      <c r="C25" s="17" t="inlineStr">
        <is>
          <t>SHILPAMED</t>
        </is>
      </c>
      <c r="D25" s="18" t="inlineStr">
        <is>
          <t>Shilpa Medicare Limited</t>
        </is>
      </c>
      <c r="E25" s="18" t="inlineStr">
        <is>
          <t>healthcare</t>
        </is>
      </c>
      <c r="F25" s="16" t="n">
        <v>33</v>
      </c>
      <c r="G25" s="19" t="n">
        <v>17835.11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GMMPFAUDLR</t>
        </is>
      </c>
      <c r="B30" s="18" t="inlineStr">
        <is>
          <t>GMM Pfaudler Ltd</t>
        </is>
      </c>
      <c r="C30" s="18" t="inlineStr">
        <is>
          <t>industrials</t>
        </is>
      </c>
      <c r="D30" s="16" t="n">
        <v>10</v>
      </c>
      <c r="E30" s="16" t="n">
        <v>2</v>
      </c>
      <c r="F30" s="19" t="n">
        <v>6060.23</v>
      </c>
      <c r="J30" s="17" t="inlineStr">
        <is>
          <t>WELINV</t>
        </is>
      </c>
      <c r="K30" s="18" t="inlineStr">
        <is>
          <t>financials</t>
        </is>
      </c>
      <c r="L30" s="19" t="n">
        <v>295</v>
      </c>
      <c r="M30" s="19" t="n">
        <v>831.76</v>
      </c>
      <c r="N30" s="16" t="n">
        <v>21</v>
      </c>
    </row>
    <row r="31">
      <c r="A31" s="17" t="inlineStr">
        <is>
          <t>PRABHA</t>
        </is>
      </c>
      <c r="B31" s="18" t="inlineStr">
        <is>
          <t>Prabha Energy Ltd</t>
        </is>
      </c>
      <c r="C31" s="18" t="inlineStr">
        <is>
          <t>energy</t>
        </is>
      </c>
      <c r="D31" s="16" t="n">
        <v>10</v>
      </c>
      <c r="E31" s="16" t="n">
        <v>2</v>
      </c>
      <c r="F31" s="19" t="n">
        <v>3509.25</v>
      </c>
      <c r="J31" s="17" t="inlineStr">
        <is>
          <t>VISHNU</t>
        </is>
      </c>
      <c r="K31" s="18" t="inlineStr">
        <is>
          <t>chemicals</t>
        </is>
      </c>
      <c r="L31" s="19" t="n">
        <v>288</v>
      </c>
      <c r="M31" s="19" t="n">
        <v>4596.29</v>
      </c>
      <c r="N31" s="16" t="n">
        <v>23</v>
      </c>
    </row>
    <row r="32">
      <c r="A32" s="17" t="inlineStr">
        <is>
          <t>SHREEJISPG</t>
        </is>
      </c>
      <c r="B32" s="18" t="inlineStr">
        <is>
          <t>Shreeji Shipping Global Ltd</t>
        </is>
      </c>
      <c r="C32" s="18" t="inlineStr">
        <is>
          <t>transportation</t>
        </is>
      </c>
      <c r="D32" s="16" t="n">
        <v>10</v>
      </c>
      <c r="E32" s="16" t="n">
        <v>0</v>
      </c>
      <c r="F32" s="19" t="n">
        <v>11143.61</v>
      </c>
      <c r="J32" s="17" t="inlineStr">
        <is>
          <t>UNIVPHOTO</t>
        </is>
      </c>
      <c r="K32" s="18" t="inlineStr">
        <is>
          <t>consumer discretionary</t>
        </is>
      </c>
      <c r="L32" s="19" t="n">
        <v>288</v>
      </c>
      <c r="M32" s="19" t="n">
        <v>620.4</v>
      </c>
      <c r="N32" s="16" t="n">
        <v>14</v>
      </c>
    </row>
    <row r="33">
      <c r="A33" s="17" t="inlineStr">
        <is>
          <t>MVGJL</t>
        </is>
      </c>
      <c r="B33" s="18" t="inlineStr">
        <is>
          <t>Manoj Vaibhav Gems N Jewellers Ltd</t>
        </is>
      </c>
      <c r="C33" s="18" t="inlineStr">
        <is>
          <t>consumer discretionary</t>
        </is>
      </c>
      <c r="D33" s="16" t="n">
        <v>10</v>
      </c>
      <c r="E33" s="16" t="n">
        <v>0</v>
      </c>
      <c r="F33" s="19" t="n">
        <v>957.65</v>
      </c>
      <c r="J33" s="17" t="inlineStr">
        <is>
          <t>DCBBANK</t>
        </is>
      </c>
      <c r="K33" s="18" t="inlineStr">
        <is>
          <t>bank</t>
        </is>
      </c>
      <c r="L33" s="19" t="n">
        <v>285</v>
      </c>
      <c r="M33" s="19" t="n">
        <v>7146.58</v>
      </c>
      <c r="N33" s="16" t="n">
        <v>20</v>
      </c>
    </row>
    <row r="34">
      <c r="A34" s="17" t="inlineStr">
        <is>
          <t>UNITEDPOLY</t>
        </is>
      </c>
      <c r="B34" s="18" t="inlineStr">
        <is>
          <t>United Polyfab Gujarat Ltd</t>
        </is>
      </c>
      <c r="C34" s="18" t="inlineStr">
        <is>
          <t>textiles</t>
        </is>
      </c>
      <c r="D34" s="16" t="n">
        <v>9</v>
      </c>
      <c r="E34" s="16" t="n">
        <v>0</v>
      </c>
      <c r="F34" s="19" t="n">
        <v>981.1799999999999</v>
      </c>
      <c r="J34" s="17" t="inlineStr">
        <is>
          <t>WELSPUNLIV</t>
        </is>
      </c>
      <c r="K34" s="18" t="inlineStr">
        <is>
          <t>textiles</t>
        </is>
      </c>
      <c r="L34" s="19" t="n">
        <v>283</v>
      </c>
      <c r="M34" s="19" t="n">
        <v>19049.04</v>
      </c>
      <c r="N34" s="16" t="n">
        <v>24</v>
      </c>
    </row>
    <row r="35">
      <c r="A35" s="17" t="inlineStr">
        <is>
          <t>IONEXCHANG</t>
        </is>
      </c>
      <c r="B35" s="18" t="inlineStr">
        <is>
          <t>Ion Exchange (India) Ltd</t>
        </is>
      </c>
      <c r="C35" s="18" t="inlineStr">
        <is>
          <t>realty</t>
        </is>
      </c>
      <c r="D35" s="16" t="n">
        <v>9</v>
      </c>
      <c r="E35" s="16" t="n">
        <v>1</v>
      </c>
      <c r="F35" s="19" t="n">
        <v>6336</v>
      </c>
      <c r="J35" s="17" t="inlineStr">
        <is>
          <t>TBZ</t>
        </is>
      </c>
      <c r="K35" s="18" t="inlineStr">
        <is>
          <t>consumer discretionary</t>
        </is>
      </c>
      <c r="L35" s="19" t="n">
        <v>283</v>
      </c>
      <c r="M35" s="19" t="n">
        <v>3499.69</v>
      </c>
      <c r="N35" s="16" t="n">
        <v>23</v>
      </c>
    </row>
    <row r="36">
      <c r="A36" s="17" t="inlineStr">
        <is>
          <t>BLUESTONE</t>
        </is>
      </c>
      <c r="B36" s="18" t="inlineStr">
        <is>
          <t>Bluestone Jewellery and Lifestyle Ltd</t>
        </is>
      </c>
      <c r="C36" s="18" t="inlineStr">
        <is>
          <t>consumer discretionary</t>
        </is>
      </c>
      <c r="D36" s="16" t="n">
        <v>8</v>
      </c>
      <c r="E36" s="16" t="n">
        <v>1</v>
      </c>
      <c r="F36" s="19" t="n">
        <v>12627.25</v>
      </c>
      <c r="J36" s="17" t="inlineStr">
        <is>
          <t>PASUPTAC</t>
        </is>
      </c>
      <c r="K36" s="18" t="inlineStr">
        <is>
          <t>textiles</t>
        </is>
      </c>
      <c r="L36" s="19" t="n">
        <v>283</v>
      </c>
      <c r="M36" s="19" t="n">
        <v>628.21</v>
      </c>
      <c r="N36" s="16" t="n">
        <v>13</v>
      </c>
    </row>
    <row r="37">
      <c r="A37" s="17" t="inlineStr">
        <is>
          <t>SMSPHARMA</t>
        </is>
      </c>
      <c r="B37" s="18" t="inlineStr">
        <is>
          <t>SMS Pharmaceuticals Limited</t>
        </is>
      </c>
      <c r="C37" s="18" t="inlineStr">
        <is>
          <t>Healthcare</t>
        </is>
      </c>
      <c r="D37" s="16" t="n">
        <v>8</v>
      </c>
      <c r="E37" s="16" t="n">
        <v>2</v>
      </c>
      <c r="F37" s="19" t="n">
        <v>3773.71</v>
      </c>
      <c r="J37" s="17" t="inlineStr">
        <is>
          <t>TFCILTD</t>
        </is>
      </c>
      <c r="K37" s="18" t="inlineStr">
        <is>
          <t>financials</t>
        </is>
      </c>
      <c r="L37" s="19" t="n">
        <v>280</v>
      </c>
      <c r="M37" s="19" t="n">
        <v>6397.42</v>
      </c>
      <c r="N37" s="16" t="n">
        <v>30</v>
      </c>
    </row>
    <row r="38">
      <c r="A38" s="17" t="inlineStr">
        <is>
          <t>PCJEWELLER</t>
        </is>
      </c>
      <c r="B38" s="18" t="inlineStr">
        <is>
          <t>Pc Jeweller Limited</t>
        </is>
      </c>
      <c r="C38" s="18" t="inlineStr">
        <is>
          <t>consumer discretionary</t>
        </is>
      </c>
      <c r="D38" s="16" t="n">
        <v>8</v>
      </c>
      <c r="E38" s="16" t="n">
        <v>0</v>
      </c>
      <c r="F38" s="19" t="n">
        <v>12516.88</v>
      </c>
      <c r="J38" s="17" t="inlineStr">
        <is>
          <t>INNOVACAP</t>
        </is>
      </c>
      <c r="K38" s="18" t="inlineStr">
        <is>
          <t>healthcare</t>
        </is>
      </c>
      <c r="L38" s="19" t="n">
        <v>280</v>
      </c>
      <c r="M38" s="19" t="n">
        <v>6524.21</v>
      </c>
      <c r="N38" s="16" t="n">
        <v>25</v>
      </c>
    </row>
    <row r="39">
      <c r="A39" s="17" t="inlineStr">
        <is>
          <t>INDIQUBE</t>
        </is>
      </c>
      <c r="B39" s="18" t="inlineStr">
        <is>
          <t>Indiqube Spaces Ltd</t>
        </is>
      </c>
      <c r="C39" s="18" t="inlineStr">
        <is>
          <t>co-working</t>
        </is>
      </c>
      <c r="D39" s="16" t="n">
        <v>8</v>
      </c>
      <c r="E39" s="16" t="n">
        <v>0</v>
      </c>
      <c r="F39" s="19" t="n">
        <v>4227.87</v>
      </c>
      <c r="J39" s="17" t="inlineStr">
        <is>
          <t>PAISALO</t>
        </is>
      </c>
      <c r="K39" s="18" t="inlineStr">
        <is>
          <t>financials</t>
        </is>
      </c>
      <c r="L39" s="19" t="n">
        <v>280</v>
      </c>
      <c r="M39" s="19" t="n">
        <v>7682.73</v>
      </c>
      <c r="N39" s="16" t="n">
        <v>10</v>
      </c>
    </row>
    <row r="40">
      <c r="A40" s="17" t="inlineStr">
        <is>
          <t>WENDT</t>
        </is>
      </c>
      <c r="B40" s="18" t="inlineStr">
        <is>
          <t>Wendt (india) Limited</t>
        </is>
      </c>
      <c r="C40" s="18" t="inlineStr">
        <is>
          <t>industrials</t>
        </is>
      </c>
      <c r="D40" s="16" t="n">
        <v>8</v>
      </c>
      <c r="E40" s="16" t="n">
        <v>0</v>
      </c>
      <c r="F40" s="19" t="n">
        <v>1716</v>
      </c>
      <c r="J40" s="17" t="inlineStr">
        <is>
          <t>SHAREINDIA</t>
        </is>
      </c>
      <c r="K40" s="18" t="inlineStr">
        <is>
          <t>financials</t>
        </is>
      </c>
      <c r="L40" s="19" t="n">
        <v>280</v>
      </c>
      <c r="M40" s="19" t="n">
        <v>4315.24</v>
      </c>
      <c r="N40" s="16" t="n">
        <v>7</v>
      </c>
    </row>
    <row r="41">
      <c r="A41" s="17" t="inlineStr">
        <is>
          <t>SPLPETRO</t>
        </is>
      </c>
      <c r="B41" s="18" t="inlineStr">
        <is>
          <t>Supreme Petrochem Ltd</t>
        </is>
      </c>
      <c r="C41" s="18" t="inlineStr">
        <is>
          <t>energy</t>
        </is>
      </c>
      <c r="D41" s="16" t="n">
        <v>8</v>
      </c>
      <c r="E41" s="16" t="n">
        <v>0</v>
      </c>
      <c r="F41" s="19" t="n">
        <v>14843.04</v>
      </c>
      <c r="J41" s="17" t="inlineStr">
        <is>
          <t>ARIES</t>
        </is>
      </c>
      <c r="K41" s="18" t="inlineStr">
        <is>
          <t>chemicals</t>
        </is>
      </c>
      <c r="L41" s="19" t="n">
        <v>278</v>
      </c>
      <c r="M41" s="19" t="n">
        <v>615.5</v>
      </c>
      <c r="N41" s="16" t="n">
        <v>24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79.17</v>
      </c>
      <c r="D47" s="28" t="n">
        <v>283</v>
      </c>
      <c r="E47" s="17" t="inlineStr">
        <is>
          <t>TBZ</t>
        </is>
      </c>
      <c r="F47" s="18" t="inlineStr">
        <is>
          <t>Tribhovandas Bhimji Zaveri Limited</t>
        </is>
      </c>
      <c r="G47" s="18" t="inlineStr">
        <is>
          <t>consumer discretionary</t>
        </is>
      </c>
      <c r="H47" s="19" t="n">
        <v>3499.69</v>
      </c>
    </row>
    <row r="48">
      <c r="A48" s="16" t="n">
        <v>2</v>
      </c>
      <c r="B48" s="27" t="n">
        <v>98</v>
      </c>
      <c r="C48" s="28" t="n">
        <v>65.19</v>
      </c>
      <c r="D48" s="28" t="n">
        <v>258</v>
      </c>
      <c r="E48" s="17" t="inlineStr">
        <is>
          <t>SIGMAADV</t>
        </is>
      </c>
      <c r="F48" s="18" t="inlineStr">
        <is>
          <t>Sigma Advanced System Ltd</t>
        </is>
      </c>
      <c r="G48" s="18" t="inlineStr">
        <is>
          <t>aerospace &amp; defence</t>
        </is>
      </c>
      <c r="H48" s="19" t="n">
        <v>15058.31</v>
      </c>
    </row>
    <row r="49">
      <c r="A49" s="16" t="n">
        <v>3</v>
      </c>
      <c r="B49" s="27" t="n">
        <v>98</v>
      </c>
      <c r="C49" s="28" t="n">
        <v>63.73</v>
      </c>
      <c r="D49" s="28" t="n">
        <v>268</v>
      </c>
      <c r="E49" s="17" t="inlineStr">
        <is>
          <t>KABRAEXTRU</t>
        </is>
      </c>
      <c r="F49" s="18" t="inlineStr">
        <is>
          <t>Kabra Extrusion Technik Limited</t>
        </is>
      </c>
      <c r="G49" s="18" t="inlineStr">
        <is>
          <t>industrials</t>
        </is>
      </c>
      <c r="H49" s="19" t="n">
        <v>2276.21</v>
      </c>
    </row>
    <row r="50">
      <c r="A50" s="16" t="n">
        <v>4</v>
      </c>
      <c r="B50" s="27" t="n">
        <v>97</v>
      </c>
      <c r="C50" s="28" t="n">
        <v>60.71</v>
      </c>
      <c r="D50" s="28" t="n">
        <v>273</v>
      </c>
      <c r="E50" s="17" t="inlineStr">
        <is>
          <t>BODALCHEM</t>
        </is>
      </c>
      <c r="F50" s="18" t="inlineStr">
        <is>
          <t>Bodal Chemicals Limited</t>
        </is>
      </c>
      <c r="G50" s="18" t="inlineStr">
        <is>
          <t>chemicals</t>
        </is>
      </c>
      <c r="H50" s="19" t="n">
        <v>2224.93</v>
      </c>
    </row>
    <row r="51">
      <c r="A51" s="16" t="n">
        <v>5</v>
      </c>
      <c r="B51" s="27" t="n">
        <v>96</v>
      </c>
      <c r="C51" s="28" t="n">
        <v>53.71</v>
      </c>
      <c r="D51" s="28" t="n">
        <v>258</v>
      </c>
      <c r="E51" s="17" t="inlineStr">
        <is>
          <t>SETL</t>
        </is>
      </c>
      <c r="F51" s="18" t="inlineStr">
        <is>
          <t>Standard Enginnering Technology Ltd</t>
        </is>
      </c>
      <c r="G51" s="18" t="inlineStr">
        <is>
          <t>industrials</t>
        </is>
      </c>
      <c r="H51" s="19" t="n">
        <v>8872.389999999999</v>
      </c>
    </row>
    <row r="52">
      <c r="A52" s="16" t="n">
        <v>6</v>
      </c>
      <c r="B52" s="27" t="n">
        <v>95</v>
      </c>
      <c r="C52" s="28" t="n">
        <v>52.68</v>
      </c>
      <c r="D52" s="28" t="n">
        <v>275</v>
      </c>
      <c r="E52" s="17" t="inlineStr">
        <is>
          <t>MOREPENLAB</t>
        </is>
      </c>
      <c r="F52" s="18" t="inlineStr">
        <is>
          <t>Morepen Laboratories Limited</t>
        </is>
      </c>
      <c r="G52" s="18" t="inlineStr">
        <is>
          <t>healthcare</t>
        </is>
      </c>
      <c r="H52" s="19" t="n">
        <v>5820.36</v>
      </c>
    </row>
    <row r="53">
      <c r="A53" s="16" t="n">
        <v>7</v>
      </c>
      <c r="B53" s="27" t="n">
        <v>95</v>
      </c>
      <c r="C53" s="28" t="n">
        <v>52.41</v>
      </c>
      <c r="D53" s="28" t="n">
        <v>260</v>
      </c>
      <c r="E53" s="17" t="inlineStr">
        <is>
          <t>INDSWFTLAB</t>
        </is>
      </c>
      <c r="F53" s="18" t="inlineStr">
        <is>
          <t>Ind-swift Laboratories Limited</t>
        </is>
      </c>
      <c r="G53" s="18" t="inlineStr">
        <is>
          <t>healthcare</t>
        </is>
      </c>
      <c r="H53" s="19" t="n">
        <v>3293.67</v>
      </c>
    </row>
    <row r="54">
      <c r="A54" s="16" t="n">
        <v>8</v>
      </c>
      <c r="B54" s="29" t="n">
        <v>94</v>
      </c>
      <c r="C54" s="28" t="n">
        <v>51.23</v>
      </c>
      <c r="D54" s="28" t="n">
        <v>278</v>
      </c>
      <c r="E54" s="17" t="inlineStr">
        <is>
          <t>SWANDEF</t>
        </is>
      </c>
      <c r="F54" s="18" t="inlineStr">
        <is>
          <t>Swan Defence and Heavy Industries Ltd</t>
        </is>
      </c>
      <c r="G54" s="18" t="inlineStr">
        <is>
          <t>transportation</t>
        </is>
      </c>
      <c r="H54" s="19" t="n">
        <v>13963.4</v>
      </c>
    </row>
    <row r="55">
      <c r="A55" s="16" t="n">
        <v>9</v>
      </c>
      <c r="B55" s="29" t="n">
        <v>93</v>
      </c>
      <c r="C55" s="28" t="n">
        <v>49.69</v>
      </c>
      <c r="D55" s="28" t="n">
        <v>250</v>
      </c>
      <c r="E55" s="17" t="inlineStr">
        <is>
          <t>BLISSGVS</t>
        </is>
      </c>
      <c r="F55" s="18" t="inlineStr">
        <is>
          <t>Bliss Gvs Pharma Limited</t>
        </is>
      </c>
      <c r="G55" s="18" t="inlineStr">
        <is>
          <t>healthcare</t>
        </is>
      </c>
      <c r="H55" s="19" t="n">
        <v>7264.32</v>
      </c>
    </row>
    <row r="56">
      <c r="A56" s="16" t="n">
        <v>10</v>
      </c>
      <c r="B56" s="29" t="n">
        <v>92</v>
      </c>
      <c r="C56" s="28" t="n">
        <v>47.7</v>
      </c>
      <c r="D56" s="28" t="n">
        <v>278</v>
      </c>
      <c r="E56" s="17" t="inlineStr">
        <is>
          <t>BHAGYANGR</t>
        </is>
      </c>
      <c r="F56" s="18" t="inlineStr">
        <is>
          <t>Bhagyanagar India</t>
        </is>
      </c>
      <c r="G56" s="18" t="inlineStr">
        <is>
          <t>power &amp; utilities</t>
        </is>
      </c>
      <c r="H56" s="19" t="n">
        <v>1356.61</v>
      </c>
    </row>
    <row r="57">
      <c r="A57" s="16" t="n">
        <v>11</v>
      </c>
      <c r="B57" s="29" t="n">
        <v>92</v>
      </c>
      <c r="C57" s="28" t="n">
        <v>43.92</v>
      </c>
      <c r="D57" s="28" t="n">
        <v>268</v>
      </c>
      <c r="E57" s="17" t="inlineStr">
        <is>
          <t>MODISONLTD</t>
        </is>
      </c>
      <c r="F57" s="18" t="inlineStr">
        <is>
          <t>Modison Ltd</t>
        </is>
      </c>
      <c r="G57" s="18" t="inlineStr">
        <is>
          <t>industrials</t>
        </is>
      </c>
      <c r="H57" s="19" t="n">
        <v>1551.6</v>
      </c>
    </row>
    <row r="58">
      <c r="A58" s="16" t="n">
        <v>12</v>
      </c>
      <c r="B58" s="29" t="n">
        <v>91</v>
      </c>
      <c r="C58" s="28" t="n">
        <v>41.09</v>
      </c>
      <c r="D58" s="28" t="n">
        <v>270</v>
      </c>
      <c r="E58" s="17" t="inlineStr">
        <is>
          <t>BAFNAPH</t>
        </is>
      </c>
      <c r="F58" s="18" t="inlineStr">
        <is>
          <t>Bafna Pharmaceuticals Ltd</t>
        </is>
      </c>
      <c r="G58" s="18" t="inlineStr">
        <is>
          <t>healthcare</t>
        </is>
      </c>
      <c r="H58" s="19" t="n">
        <v>726.96</v>
      </c>
    </row>
    <row r="59">
      <c r="A59" s="16" t="n">
        <v>13</v>
      </c>
      <c r="B59" s="29" t="n">
        <v>90</v>
      </c>
      <c r="C59" s="28" t="n">
        <v>40.72</v>
      </c>
      <c r="D59" s="28" t="n">
        <v>288</v>
      </c>
      <c r="E59" s="17" t="inlineStr">
        <is>
          <t>UNIVPHOTO</t>
        </is>
      </c>
      <c r="F59" s="18" t="inlineStr">
        <is>
          <t>Universus Photo Imagings Ltd</t>
        </is>
      </c>
      <c r="G59" s="18" t="inlineStr">
        <is>
          <t>consumer discretionary</t>
        </is>
      </c>
      <c r="H59" s="19" t="n">
        <v>620.4</v>
      </c>
    </row>
    <row r="60">
      <c r="A60" s="16" t="n">
        <v>14</v>
      </c>
      <c r="B60" s="29" t="n">
        <v>90</v>
      </c>
      <c r="C60" s="28" t="n">
        <v>37.14</v>
      </c>
      <c r="D60" s="28" t="n">
        <v>270</v>
      </c>
      <c r="E60" s="17" t="inlineStr">
        <is>
          <t>SHILPAMED</t>
        </is>
      </c>
      <c r="F60" s="18" t="inlineStr">
        <is>
          <t>Shilpa Medicare Limited</t>
        </is>
      </c>
      <c r="G60" s="18" t="inlineStr">
        <is>
          <t>healthcare</t>
        </is>
      </c>
      <c r="H60" s="19" t="n">
        <v>17835.11</v>
      </c>
    </row>
    <row r="61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NPST</t>
        </is>
      </c>
      <c r="B2" s="31" t="inlineStr">
        <is>
          <t>Network People Services Technologies Ltd</t>
        </is>
      </c>
      <c r="C2" s="31" t="inlineStr">
        <is>
          <t>i.t</t>
        </is>
      </c>
      <c r="D2" s="31" t="inlineStr">
        <is>
          <t>computers - software - medium / small</t>
        </is>
      </c>
      <c r="E2" s="31" t="inlineStr">
        <is>
          <t>smallcap</t>
        </is>
      </c>
      <c r="F2" s="31" t="n">
        <v>3420.57</v>
      </c>
      <c r="G2" s="31" t="n">
        <v>1834.6</v>
      </c>
      <c r="H2" s="31" t="n">
        <v>11.9</v>
      </c>
      <c r="I2" s="31" t="n">
        <v>3028115</v>
      </c>
      <c r="J2" s="31" t="inlineStr">
        <is>
          <t>535391</t>
        </is>
      </c>
    </row>
    <row r="3">
      <c r="A3" s="31" t="inlineStr">
        <is>
          <t>ANTELOPUS</t>
        </is>
      </c>
      <c r="B3" s="31" t="inlineStr">
        <is>
          <t>Antelopus Selan Energy Ltd</t>
        </is>
      </c>
      <c r="C3" s="31" t="inlineStr">
        <is>
          <t>energy</t>
        </is>
      </c>
      <c r="D3" s="31" t="inlineStr">
        <is>
          <t>oil drilling / allied services</t>
        </is>
      </c>
      <c r="E3" s="31" t="inlineStr">
        <is>
          <t>smallcap</t>
        </is>
      </c>
      <c r="F3" s="31" t="n">
        <v>3719.47</v>
      </c>
      <c r="G3" s="31" t="n">
        <v>1170.95</v>
      </c>
      <c r="H3" s="31" t="n">
        <v>10.7</v>
      </c>
      <c r="I3" s="31" t="n">
        <v>4319113</v>
      </c>
      <c r="J3" s="31" t="inlineStr">
        <is>
          <t>530075</t>
        </is>
      </c>
    </row>
    <row r="4">
      <c r="A4" s="31" t="inlineStr">
        <is>
          <t>FOSECOIND</t>
        </is>
      </c>
      <c r="B4" s="31" t="inlineStr">
        <is>
          <t>Foseco India Limited</t>
        </is>
      </c>
      <c r="C4" s="31" t="inlineStr">
        <is>
          <t>chemicals</t>
        </is>
      </c>
      <c r="D4" s="31" t="inlineStr">
        <is>
          <t>chemicals</t>
        </is>
      </c>
      <c r="E4" s="31" t="inlineStr">
        <is>
          <t>smallcap</t>
        </is>
      </c>
      <c r="F4" s="31" t="n">
        <v>4690.81</v>
      </c>
      <c r="G4" s="31" t="n">
        <v>6846.5</v>
      </c>
      <c r="H4" s="31" t="n">
        <v>10.01</v>
      </c>
      <c r="I4" s="31" t="n">
        <v>178685</v>
      </c>
      <c r="J4" s="31" t="inlineStr">
        <is>
          <t>500150</t>
        </is>
      </c>
    </row>
    <row r="5">
      <c r="A5" s="31" t="inlineStr">
        <is>
          <t>IOLCP</t>
        </is>
      </c>
      <c r="B5" s="31" t="inlineStr">
        <is>
          <t>Iol Chemicals And Pharmaceuticals Limited</t>
        </is>
      </c>
      <c r="C5" s="31" t="inlineStr">
        <is>
          <t>healthcare</t>
        </is>
      </c>
      <c r="D5" s="31" t="inlineStr">
        <is>
          <t>pharmaceuticals - indian - bulk drugs &amp; formln</t>
        </is>
      </c>
      <c r="E5" s="31" t="inlineStr">
        <is>
          <t>midcap</t>
        </is>
      </c>
      <c r="F5" s="31" t="n">
        <v>5269.41</v>
      </c>
      <c r="G5" s="31" t="n">
        <v>194.57</v>
      </c>
      <c r="H5" s="31" t="n">
        <v>8.380000000000001</v>
      </c>
      <c r="I5" s="31" t="n">
        <v>8624277</v>
      </c>
      <c r="J5" s="31" t="inlineStr">
        <is>
          <t>524164</t>
        </is>
      </c>
    </row>
    <row r="6">
      <c r="A6" s="31" t="inlineStr">
        <is>
          <t>EMUDHRA</t>
        </is>
      </c>
      <c r="B6" s="31" t="inlineStr">
        <is>
          <t>eMudhra Ltd</t>
        </is>
      </c>
      <c r="C6" s="31" t="inlineStr">
        <is>
          <t>i.t</t>
        </is>
      </c>
      <c r="D6" s="31" t="inlineStr">
        <is>
          <t>computers - software - medium / small</t>
        </is>
      </c>
      <c r="E6" s="31" t="inlineStr">
        <is>
          <t>smallcap</t>
        </is>
      </c>
      <c r="F6" s="31" t="n">
        <v>4909.49</v>
      </c>
      <c r="G6" s="31" t="n">
        <v>642.3</v>
      </c>
      <c r="H6" s="31" t="n">
        <v>8.34</v>
      </c>
      <c r="I6" s="31" t="n">
        <v>30254888</v>
      </c>
      <c r="J6" s="31" t="inlineStr">
        <is>
          <t>543533</t>
        </is>
      </c>
    </row>
    <row r="7">
      <c r="A7" s="31" t="inlineStr">
        <is>
          <t>ARROWGREEN</t>
        </is>
      </c>
      <c r="B7" s="31" t="inlineStr">
        <is>
          <t>Arrow Greentech Limited</t>
        </is>
      </c>
      <c r="C7" s="31" t="inlineStr">
        <is>
          <t>plastic products</t>
        </is>
      </c>
      <c r="D7" s="31" t="inlineStr">
        <is>
          <t>plastics products</t>
        </is>
      </c>
      <c r="E7" s="31" t="inlineStr">
        <is>
          <t>smallcap</t>
        </is>
      </c>
      <c r="F7" s="31" t="n">
        <v>1265.2</v>
      </c>
      <c r="G7" s="31" t="n">
        <v>907.45</v>
      </c>
      <c r="H7" s="31" t="n">
        <v>8.220000000000001</v>
      </c>
      <c r="I7" s="31" t="n">
        <v>311513</v>
      </c>
      <c r="J7" s="31" t="inlineStr">
        <is>
          <t>516064</t>
        </is>
      </c>
    </row>
    <row r="8">
      <c r="A8" s="31" t="inlineStr">
        <is>
          <t>KANPRPLA</t>
        </is>
      </c>
      <c r="B8" s="31" t="inlineStr">
        <is>
          <t>Kanpur Plastipack Ltd</t>
        </is>
      </c>
      <c r="C8" s="31" t="inlineStr">
        <is>
          <t>industrials</t>
        </is>
      </c>
      <c r="D8" s="31" t="inlineStr">
        <is>
          <t>packaging</t>
        </is>
      </c>
      <c r="E8" s="31" t="inlineStr">
        <is>
          <t>smallcap</t>
        </is>
      </c>
      <c r="F8" s="31" t="n">
        <v>602.1799999999999</v>
      </c>
      <c r="G8" s="31" t="n">
        <v>265.85</v>
      </c>
      <c r="H8" s="31" t="n">
        <v>8.07</v>
      </c>
      <c r="I8" s="31" t="n">
        <v>27577</v>
      </c>
      <c r="J8" s="31" t="inlineStr">
        <is>
          <t>507779</t>
        </is>
      </c>
    </row>
    <row r="9">
      <c r="A9" s="31" t="inlineStr">
        <is>
          <t>MOREPENLAB</t>
        </is>
      </c>
      <c r="B9" s="31" t="inlineStr">
        <is>
          <t>Morepen Laboratories Limited</t>
        </is>
      </c>
      <c r="C9" s="31" t="inlineStr">
        <is>
          <t>healthcare</t>
        </is>
      </c>
      <c r="D9" s="31" t="inlineStr">
        <is>
          <t>pharmaceuticals - indian - bulk drugs &amp; formln</t>
        </is>
      </c>
      <c r="E9" s="31" t="inlineStr">
        <is>
          <t>midcap</t>
        </is>
      </c>
      <c r="F9" s="31" t="n">
        <v>5820.36</v>
      </c>
      <c r="G9" s="31" t="n">
        <v>114.73</v>
      </c>
      <c r="H9" s="31" t="n">
        <v>8.01</v>
      </c>
      <c r="I9" s="31" t="n">
        <v>39424210</v>
      </c>
      <c r="J9" s="31" t="inlineStr">
        <is>
          <t>500288</t>
        </is>
      </c>
    </row>
    <row r="10">
      <c r="A10" s="31" t="inlineStr">
        <is>
          <t>KRYSTAL</t>
        </is>
      </c>
      <c r="B10" s="31" t="inlineStr">
        <is>
          <t>Krystal Integrated Services Ltd</t>
        </is>
      </c>
      <c r="C10" s="31" t="inlineStr">
        <is>
          <t>miscellaneous</t>
        </is>
      </c>
      <c r="D10" s="31" t="inlineStr">
        <is>
          <t>miscellaneous</t>
        </is>
      </c>
      <c r="E10" s="31" t="inlineStr">
        <is>
          <t>smallcap</t>
        </is>
      </c>
      <c r="F10" s="31" t="n">
        <v>849.22</v>
      </c>
      <c r="G10" s="31" t="n">
        <v>655.6</v>
      </c>
      <c r="H10" s="31" t="n">
        <v>7.86</v>
      </c>
      <c r="I10" s="31" t="n">
        <v>174712</v>
      </c>
      <c r="J10" s="31" t="inlineStr">
        <is>
          <t>544149</t>
        </is>
      </c>
    </row>
    <row r="11">
      <c r="A11" s="31" t="inlineStr">
        <is>
          <t>MOTISONS</t>
        </is>
      </c>
      <c r="B11" s="31" t="inlineStr">
        <is>
          <t>Motisons Jewellers Ltd</t>
        </is>
      </c>
      <c r="C11" s="31" t="inlineStr">
        <is>
          <t>consumer discretionary</t>
        </is>
      </c>
      <c r="D11" s="31" t="inlineStr">
        <is>
          <t>diamond cutting / jewellery</t>
        </is>
      </c>
      <c r="E11" s="31" t="inlineStr">
        <is>
          <t>smallcap</t>
        </is>
      </c>
      <c r="F11" s="31" t="n">
        <v>1759.72</v>
      </c>
      <c r="G11" s="31" t="n">
        <v>16.62</v>
      </c>
      <c r="H11" s="31" t="n">
        <v>7.43</v>
      </c>
      <c r="I11" s="31" t="n">
        <v>93614476</v>
      </c>
      <c r="J11" s="31" t="inlineStr">
        <is>
          <t>544053</t>
        </is>
      </c>
    </row>
    <row r="12">
      <c r="A12" s="31" t="inlineStr">
        <is>
          <t>MATRIMONY</t>
        </is>
      </c>
      <c r="B12" s="31" t="inlineStr">
        <is>
          <t>Matrimony.com Ltd</t>
        </is>
      </c>
      <c r="C12" s="31" t="inlineStr">
        <is>
          <t>miscellaneous</t>
        </is>
      </c>
      <c r="D12" s="31" t="inlineStr">
        <is>
          <t>miscellaneous</t>
        </is>
      </c>
      <c r="E12" s="31" t="inlineStr">
        <is>
          <t>smallcap</t>
        </is>
      </c>
      <c r="F12" s="31" t="n">
        <v>1029.12</v>
      </c>
      <c r="G12" s="31" t="n">
        <v>533.4</v>
      </c>
      <c r="H12" s="31" t="n">
        <v>7.15</v>
      </c>
      <c r="I12" s="31" t="n">
        <v>40915</v>
      </c>
      <c r="J12" s="31" t="inlineStr">
        <is>
          <t>540704</t>
        </is>
      </c>
    </row>
    <row r="13">
      <c r="A13" s="31" t="inlineStr">
        <is>
          <t>RUBYMILLS</t>
        </is>
      </c>
      <c r="B13" s="31" t="inlineStr">
        <is>
          <t>The Ruby Mills Limited</t>
        </is>
      </c>
      <c r="C13" s="31" t="inlineStr">
        <is>
          <t>textiles</t>
        </is>
      </c>
      <c r="D13" s="31" t="inlineStr">
        <is>
          <t>textiles - composite</t>
        </is>
      </c>
      <c r="E13" s="31" t="inlineStr">
        <is>
          <t>smallcap</t>
        </is>
      </c>
      <c r="F13" s="31" t="n">
        <v>1445.95</v>
      </c>
      <c r="G13" s="31" t="n">
        <v>462.1</v>
      </c>
      <c r="H13" s="31" t="n">
        <v>6.87</v>
      </c>
      <c r="I13" s="31" t="n">
        <v>90742</v>
      </c>
      <c r="J13" s="31" t="inlineStr">
        <is>
          <t>503169</t>
        </is>
      </c>
    </row>
    <row r="14">
      <c r="A14" s="31" t="inlineStr">
        <is>
          <t>ROSSTECH</t>
        </is>
      </c>
      <c r="B14" s="31" t="inlineStr">
        <is>
          <t>Rossell Techsys Ltd</t>
        </is>
      </c>
      <c r="C14" s="31" t="inlineStr">
        <is>
          <t>aerospace &amp; defence</t>
        </is>
      </c>
      <c r="D14" s="31" t="inlineStr">
        <is>
          <t>engineering</t>
        </is>
      </c>
      <c r="E14" s="31" t="inlineStr">
        <is>
          <t>smallcap</t>
        </is>
      </c>
      <c r="F14" s="31" t="n">
        <v>4770.11</v>
      </c>
      <c r="G14" s="31" t="n">
        <v>1349.9</v>
      </c>
      <c r="H14" s="31" t="n">
        <v>6.68</v>
      </c>
      <c r="I14" s="31" t="n">
        <v>3386100</v>
      </c>
      <c r="J14" s="31" t="inlineStr">
        <is>
          <t>544294</t>
        </is>
      </c>
    </row>
    <row r="15">
      <c r="A15" s="31" t="inlineStr">
        <is>
          <t>CENTUM</t>
        </is>
      </c>
      <c r="B15" s="31" t="inlineStr">
        <is>
          <t>Centum Electronics Limited</t>
        </is>
      </c>
      <c r="C15" s="31" t="inlineStr">
        <is>
          <t>aerospace &amp; defence</t>
        </is>
      </c>
      <c r="D15" s="31" t="inlineStr">
        <is>
          <t>electronics - components</t>
        </is>
      </c>
      <c r="E15" s="31" t="inlineStr">
        <is>
          <t>midcap</t>
        </is>
      </c>
      <c r="F15" s="31" t="n">
        <v>5919.25</v>
      </c>
      <c r="G15" s="31" t="n">
        <v>4276.1</v>
      </c>
      <c r="H15" s="31" t="n">
        <v>6.62</v>
      </c>
      <c r="I15" s="31" t="n">
        <v>90062</v>
      </c>
      <c r="J15" s="31" t="inlineStr">
        <is>
          <t>517544</t>
        </is>
      </c>
    </row>
    <row r="16">
      <c r="A16" s="31" t="inlineStr">
        <is>
          <t>FILATEX</t>
        </is>
      </c>
      <c r="B16" s="31" t="inlineStr">
        <is>
          <t>Filatex India Limited</t>
        </is>
      </c>
      <c r="C16" s="31" t="inlineStr">
        <is>
          <t>textiles</t>
        </is>
      </c>
      <c r="D16" s="31" t="inlineStr">
        <is>
          <t>textiles - manmade</t>
        </is>
      </c>
      <c r="E16" s="31" t="inlineStr">
        <is>
          <t>smallcap</t>
        </is>
      </c>
      <c r="F16" s="31" t="n">
        <v>3659.49</v>
      </c>
      <c r="G16" s="31" t="n">
        <v>87.22</v>
      </c>
      <c r="H16" s="31" t="n">
        <v>5.84</v>
      </c>
      <c r="I16" s="31" t="n">
        <v>4978051</v>
      </c>
      <c r="J16" s="31" t="inlineStr">
        <is>
          <t>526227</t>
        </is>
      </c>
    </row>
    <row r="17">
      <c r="A17" s="31" t="inlineStr">
        <is>
          <t>MVGJL</t>
        </is>
      </c>
      <c r="B17" s="31" t="inlineStr">
        <is>
          <t>Manoj Vaibhav Gems N Jewellers Ltd</t>
        </is>
      </c>
      <c r="C17" s="31" t="inlineStr">
        <is>
          <t>consumer discretionary</t>
        </is>
      </c>
      <c r="D17" s="31" t="inlineStr">
        <is>
          <t>diamond cutting / jewellery</t>
        </is>
      </c>
      <c r="E17" s="31" t="inlineStr">
        <is>
          <t>smallcap</t>
        </is>
      </c>
      <c r="F17" s="31" t="n">
        <v>957.65</v>
      </c>
      <c r="G17" s="31" t="n">
        <v>207.16</v>
      </c>
      <c r="H17" s="31" t="n">
        <v>5.67</v>
      </c>
      <c r="I17" s="31" t="n">
        <v>672307</v>
      </c>
      <c r="J17" s="31" t="inlineStr">
        <is>
          <t>543995</t>
        </is>
      </c>
    </row>
    <row r="18">
      <c r="A18" s="31" t="inlineStr">
        <is>
          <t>RACLGEAR</t>
        </is>
      </c>
      <c r="B18" s="31" t="inlineStr">
        <is>
          <t>RACL Geartech Ltd</t>
        </is>
      </c>
      <c r="C18" s="31" t="inlineStr">
        <is>
          <t>auto</t>
        </is>
      </c>
      <c r="D18" s="31" t="inlineStr">
        <is>
          <t>auto ancillaries</t>
        </is>
      </c>
      <c r="E18" s="31" t="inlineStr">
        <is>
          <t>smallcap</t>
        </is>
      </c>
      <c r="F18" s="31" t="n">
        <v>2069.04</v>
      </c>
      <c r="G18" s="31" t="n">
        <v>1852.4</v>
      </c>
      <c r="H18" s="31" t="n">
        <v>5.54</v>
      </c>
      <c r="I18" s="31" t="n">
        <v>258873</v>
      </c>
      <c r="J18" s="31" t="inlineStr">
        <is>
          <t>520073</t>
        </is>
      </c>
    </row>
    <row r="19">
      <c r="A19" s="31" t="inlineStr">
        <is>
          <t>YUKEN</t>
        </is>
      </c>
      <c r="B19" s="31" t="inlineStr">
        <is>
          <t>Yuken India Ltd</t>
        </is>
      </c>
      <c r="C19" s="31" t="inlineStr">
        <is>
          <t>industrials</t>
        </is>
      </c>
      <c r="D19" s="31" t="inlineStr">
        <is>
          <t>engineering</t>
        </is>
      </c>
      <c r="E19" s="31" t="inlineStr">
        <is>
          <t>smallcap</t>
        </is>
      </c>
      <c r="F19" s="31" t="n">
        <v>1463.81</v>
      </c>
      <c r="G19" s="31" t="n">
        <v>1134.95</v>
      </c>
      <c r="H19" s="31" t="n">
        <v>5.32</v>
      </c>
      <c r="I19" s="31" t="n">
        <v>66940</v>
      </c>
      <c r="J19" s="31" t="inlineStr">
        <is>
          <t>522108</t>
        </is>
      </c>
    </row>
    <row r="20">
      <c r="A20" s="31" t="inlineStr">
        <is>
          <t>POLICYBZR</t>
        </is>
      </c>
      <c r="B20" s="31" t="inlineStr">
        <is>
          <t>PB Fintech Ltd</t>
        </is>
      </c>
      <c r="C20" s="31" t="inlineStr">
        <is>
          <t>i.t</t>
        </is>
      </c>
      <c r="D20" s="31" t="inlineStr">
        <is>
          <t>miscellaneous</t>
        </is>
      </c>
      <c r="E20" s="31" t="inlineStr">
        <is>
          <t>largecap</t>
        </is>
      </c>
      <c r="F20" s="31" t="n">
        <v>80323.83</v>
      </c>
      <c r="G20" s="31" t="n">
        <v>1827.1</v>
      </c>
      <c r="H20" s="31" t="n">
        <v>5.25</v>
      </c>
      <c r="I20" s="31" t="n">
        <v>2054206</v>
      </c>
      <c r="J20" s="31" t="inlineStr">
        <is>
          <t>543390</t>
        </is>
      </c>
    </row>
    <row r="21">
      <c r="A21" s="31" t="inlineStr">
        <is>
          <t>MBECL</t>
        </is>
      </c>
      <c r="B21" s="31" t="inlineStr">
        <is>
          <t>Mcnally Bharat Engineering Company Limited</t>
        </is>
      </c>
      <c r="C21" s="31" t="inlineStr">
        <is>
          <t>realty</t>
        </is>
      </c>
      <c r="D21" s="31" t="inlineStr">
        <is>
          <t>engineering - turnkey services</t>
        </is>
      </c>
      <c r="E21" s="31" t="inlineStr">
        <is>
          <t>smallcap</t>
        </is>
      </c>
      <c r="F21" s="31" t="n">
        <v>1156.4</v>
      </c>
      <c r="G21" s="31" t="n">
        <v>364.26</v>
      </c>
      <c r="H21" s="31" t="n">
        <v>5</v>
      </c>
      <c r="I21" s="31" t="n">
        <v>28195</v>
      </c>
      <c r="J21" s="31" t="inlineStr">
        <is>
          <t>532629</t>
        </is>
      </c>
    </row>
    <row r="22">
      <c r="A22" s="31" t="inlineStr">
        <is>
          <t>BHAGYANGR</t>
        </is>
      </c>
      <c r="B22" s="31" t="inlineStr">
        <is>
          <t>Bhagyanagar India</t>
        </is>
      </c>
      <c r="C22" s="31" t="inlineStr">
        <is>
          <t>power &amp; utilities</t>
        </is>
      </c>
      <c r="D22" s="31" t="inlineStr">
        <is>
          <t>power generation and supply</t>
        </is>
      </c>
      <c r="E22" s="31" t="inlineStr">
        <is>
          <t>smallcap</t>
        </is>
      </c>
      <c r="F22" s="31" t="n">
        <v>1356.61</v>
      </c>
      <c r="G22" s="31" t="n">
        <v>425.25</v>
      </c>
      <c r="H22" s="31" t="n">
        <v>5</v>
      </c>
      <c r="I22" s="31" t="n">
        <v>328669</v>
      </c>
      <c r="J22" s="31" t="inlineStr">
        <is>
          <t>512296</t>
        </is>
      </c>
    </row>
    <row r="23">
      <c r="A23" s="31" t="inlineStr">
        <is>
          <t>QPOWER</t>
        </is>
      </c>
      <c r="B23" s="31" t="inlineStr">
        <is>
          <t>Quality Power Electrical Equipments Ltd</t>
        </is>
      </c>
      <c r="C23" s="31" t="inlineStr">
        <is>
          <t>industrials</t>
        </is>
      </c>
      <c r="D23" s="31" t="inlineStr">
        <is>
          <t>electric equipment</t>
        </is>
      </c>
      <c r="E23" s="31" t="inlineStr">
        <is>
          <t>midcap</t>
        </is>
      </c>
      <c r="F23" s="31" t="n">
        <v>10495.22</v>
      </c>
      <c r="G23" s="31" t="n">
        <v>1422.9</v>
      </c>
      <c r="H23" s="31" t="n">
        <v>5</v>
      </c>
      <c r="I23" s="31" t="n">
        <v>493456</v>
      </c>
      <c r="J23" s="31" t="inlineStr">
        <is>
          <t>544367</t>
        </is>
      </c>
    </row>
    <row r="24">
      <c r="A24" s="31" t="inlineStr">
        <is>
          <t>UNIVPHOTO</t>
        </is>
      </c>
      <c r="B24" s="31" t="inlineStr">
        <is>
          <t>Universus Photo Imagings Ltd</t>
        </is>
      </c>
      <c r="C24" s="31" t="inlineStr">
        <is>
          <t>consumer discretionary</t>
        </is>
      </c>
      <c r="D24" s="31" t="inlineStr">
        <is>
          <t>photographic and allied products</t>
        </is>
      </c>
      <c r="E24" s="31" t="inlineStr">
        <is>
          <t>smallcap</t>
        </is>
      </c>
      <c r="F24" s="31" t="n">
        <v>620.4</v>
      </c>
      <c r="G24" s="31" t="n">
        <v>595.05</v>
      </c>
      <c r="H24" s="31" t="n">
        <v>4.99</v>
      </c>
      <c r="I24" s="31" t="n">
        <v>19469</v>
      </c>
      <c r="J24" s="31" t="inlineStr">
        <is>
          <t>542933</t>
        </is>
      </c>
    </row>
    <row r="25">
      <c r="A25" s="31" t="inlineStr">
        <is>
          <t>KANORICHEM</t>
        </is>
      </c>
      <c r="B25" s="31" t="inlineStr">
        <is>
          <t>Kanoria Chemicals &amp; Industries Limited</t>
        </is>
      </c>
      <c r="C25" s="31" t="inlineStr">
        <is>
          <t>chemicals</t>
        </is>
      </c>
      <c r="D25" s="31" t="inlineStr">
        <is>
          <t>chemicals</t>
        </is>
      </c>
      <c r="E25" s="31" t="inlineStr">
        <is>
          <t>smallcap</t>
        </is>
      </c>
      <c r="F25" s="31" t="n">
        <v>778.27</v>
      </c>
      <c r="G25" s="31" t="n">
        <v>186.97</v>
      </c>
      <c r="H25" s="31" t="n">
        <v>4.97</v>
      </c>
      <c r="I25" s="31" t="n">
        <v>214032</v>
      </c>
      <c r="J25" s="31" t="inlineStr">
        <is>
          <t>506525</t>
        </is>
      </c>
    </row>
    <row r="26">
      <c r="A26" s="31" t="inlineStr">
        <is>
          <t>IBULLSLTD</t>
        </is>
      </c>
      <c r="B26" s="31" t="inlineStr">
        <is>
          <t>Indiabulls Limited</t>
        </is>
      </c>
      <c r="C26" s="31" t="inlineStr">
        <is>
          <t>miscellaneous</t>
        </is>
      </c>
      <c r="D26" s="31" t="inlineStr">
        <is>
          <t>diversified - medium / small</t>
        </is>
      </c>
      <c r="E26" s="31" t="inlineStr">
        <is>
          <t>midcap</t>
        </is>
      </c>
      <c r="F26" s="31" t="n">
        <v>6392.27</v>
      </c>
      <c r="G26" s="31" t="n">
        <v>28.79</v>
      </c>
      <c r="H26" s="31" t="n">
        <v>4.92</v>
      </c>
      <c r="I26" s="31" t="n">
        <v>62047779</v>
      </c>
      <c r="J26" s="31" t="inlineStr">
        <is>
          <t>533520</t>
        </is>
      </c>
    </row>
    <row r="27">
      <c r="A27" s="31" t="inlineStr">
        <is>
          <t>STLNETWORK</t>
        </is>
      </c>
      <c r="B27" s="31" t="inlineStr">
        <is>
          <t>STL Networks Ltd</t>
        </is>
      </c>
      <c r="C27" s="31" t="inlineStr">
        <is>
          <t>telecom-service</t>
        </is>
      </c>
      <c r="D27" s="31" t="inlineStr">
        <is>
          <t>telecommunications - service provider</t>
        </is>
      </c>
      <c r="E27" s="31" t="inlineStr">
        <is>
          <t>smallcap</t>
        </is>
      </c>
      <c r="F27" s="31" t="n">
        <v>1815.64</v>
      </c>
      <c r="G27" s="31" t="n">
        <v>38.97</v>
      </c>
      <c r="H27" s="31" t="n">
        <v>4.76</v>
      </c>
      <c r="I27" s="31" t="n">
        <v>15347153</v>
      </c>
      <c r="J27" s="31" t="inlineStr">
        <is>
          <t>544395</t>
        </is>
      </c>
    </row>
    <row r="28">
      <c r="A28" s="31" t="inlineStr">
        <is>
          <t>TBZ</t>
        </is>
      </c>
      <c r="B28" s="31" t="inlineStr">
        <is>
          <t>Tribhovandas Bhimji Zaveri Limited</t>
        </is>
      </c>
      <c r="C28" s="31" t="inlineStr">
        <is>
          <t>consumer discretionary</t>
        </is>
      </c>
      <c r="D28" s="31" t="inlineStr">
        <is>
          <t>diamond cutting / jewellery</t>
        </is>
      </c>
      <c r="E28" s="31" t="inlineStr">
        <is>
          <t>smallcap</t>
        </is>
      </c>
      <c r="F28" s="31" t="n">
        <v>3499.69</v>
      </c>
      <c r="G28" s="31" t="n">
        <v>547.5</v>
      </c>
      <c r="H28" s="31" t="n">
        <v>4.4</v>
      </c>
      <c r="I28" s="31" t="n">
        <v>1564537</v>
      </c>
      <c r="J28" s="31" t="inlineStr">
        <is>
          <t>534369</t>
        </is>
      </c>
    </row>
    <row r="29">
      <c r="A29" s="31" t="inlineStr">
        <is>
          <t>KOPRAN</t>
        </is>
      </c>
      <c r="B29" s="31" t="inlineStr">
        <is>
          <t>Kopran Limited</t>
        </is>
      </c>
      <c r="C29" s="31" t="inlineStr">
        <is>
          <t>healthcare</t>
        </is>
      </c>
      <c r="D29" s="31" t="inlineStr">
        <is>
          <t>pharmaceuticals - indian - bulk drugs &amp; formln</t>
        </is>
      </c>
      <c r="E29" s="31" t="inlineStr">
        <is>
          <t>smallcap</t>
        </is>
      </c>
      <c r="F29" s="31" t="n">
        <v>1206.66</v>
      </c>
      <c r="G29" s="31" t="n">
        <v>260.86</v>
      </c>
      <c r="H29" s="31" t="n">
        <v>4.39</v>
      </c>
      <c r="I29" s="31" t="n">
        <v>14226630</v>
      </c>
      <c r="J29" s="31" t="inlineStr">
        <is>
          <t>524280</t>
        </is>
      </c>
    </row>
    <row r="30">
      <c r="A30" s="31" t="inlineStr">
        <is>
          <t>AEGISLOG</t>
        </is>
      </c>
      <c r="B30" s="31" t="inlineStr">
        <is>
          <t>Aegis Logistics Ltd</t>
        </is>
      </c>
      <c r="C30" s="31" t="inlineStr">
        <is>
          <t>services</t>
        </is>
      </c>
      <c r="D30" s="31" t="inlineStr">
        <is>
          <t>trading</t>
        </is>
      </c>
      <c r="E30" s="31" t="inlineStr">
        <is>
          <t>largecap</t>
        </is>
      </c>
      <c r="F30" s="31" t="n">
        <v>46454.85</v>
      </c>
      <c r="G30" s="31" t="n">
        <v>1381.2</v>
      </c>
      <c r="H30" s="31" t="n">
        <v>4.36</v>
      </c>
      <c r="I30" s="31" t="n">
        <v>1953104</v>
      </c>
      <c r="J30" s="31" t="inlineStr">
        <is>
          <t>500003</t>
        </is>
      </c>
    </row>
    <row r="31">
      <c r="A31" s="31" t="inlineStr">
        <is>
          <t>VSSL</t>
        </is>
      </c>
      <c r="B31" s="31" t="inlineStr">
        <is>
          <t>Vardhman Special Steels Limited</t>
        </is>
      </c>
      <c r="C31" s="31" t="inlineStr">
        <is>
          <t>metals &amp; mining</t>
        </is>
      </c>
      <c r="D31" s="31" t="inlineStr">
        <is>
          <t>steel - medium / small</t>
        </is>
      </c>
      <c r="E31" s="31" t="inlineStr">
        <is>
          <t>smallcap</t>
        </is>
      </c>
      <c r="F31" s="31" t="n">
        <v>3762.04</v>
      </c>
      <c r="G31" s="31" t="n">
        <v>405.85</v>
      </c>
      <c r="H31" s="31" t="n">
        <v>4.3</v>
      </c>
      <c r="I31" s="31" t="n">
        <v>383814</v>
      </c>
      <c r="J31" s="31" t="inlineStr">
        <is>
          <t>534392</t>
        </is>
      </c>
    </row>
    <row r="32">
      <c r="A32" s="31" t="inlineStr">
        <is>
          <t>WELENT</t>
        </is>
      </c>
      <c r="B32" s="31" t="inlineStr">
        <is>
          <t>Welspun Enterprises Limited</t>
        </is>
      </c>
      <c r="C32" s="31" t="inlineStr">
        <is>
          <t>realty</t>
        </is>
      </c>
      <c r="D32" s="31" t="inlineStr">
        <is>
          <t>construction</t>
        </is>
      </c>
      <c r="E32" s="31" t="inlineStr">
        <is>
          <t>midcap</t>
        </is>
      </c>
      <c r="F32" s="31" t="n">
        <v>10209.4</v>
      </c>
      <c r="G32" s="31" t="n">
        <v>768</v>
      </c>
      <c r="H32" s="31" t="n">
        <v>4.12</v>
      </c>
      <c r="I32" s="31" t="n">
        <v>590693</v>
      </c>
      <c r="J32" s="31" t="inlineStr">
        <is>
          <t>532553</t>
        </is>
      </c>
    </row>
    <row r="33">
      <c r="A33" s="31" t="inlineStr">
        <is>
          <t>JKPAPER</t>
        </is>
      </c>
      <c r="B33" s="31" t="inlineStr">
        <is>
          <t>Jk Paper Limited</t>
        </is>
      </c>
      <c r="C33" s="31" t="inlineStr">
        <is>
          <t>building materials</t>
        </is>
      </c>
      <c r="D33" s="31" t="inlineStr">
        <is>
          <t>paper</t>
        </is>
      </c>
      <c r="E33" s="31" t="inlineStr">
        <is>
          <t>midcap</t>
        </is>
      </c>
      <c r="F33" s="31" t="n">
        <v>7290.83</v>
      </c>
      <c r="G33" s="31" t="n">
        <v>417.35</v>
      </c>
      <c r="H33" s="31" t="n">
        <v>3.79</v>
      </c>
      <c r="I33" s="31" t="n">
        <v>708260</v>
      </c>
      <c r="J33" s="31" t="inlineStr">
        <is>
          <t>532162</t>
        </is>
      </c>
    </row>
    <row r="34">
      <c r="A34" s="31" t="inlineStr">
        <is>
          <t>PAYTM</t>
        </is>
      </c>
      <c r="B34" s="31" t="inlineStr">
        <is>
          <t>One 97 Communications Ltd</t>
        </is>
      </c>
      <c r="C34" s="31" t="inlineStr">
        <is>
          <t>i.t</t>
        </is>
      </c>
      <c r="D34" s="31" t="inlineStr">
        <is>
          <t>miscellaneous</t>
        </is>
      </c>
      <c r="E34" s="31" t="inlineStr">
        <is>
          <t>largecap</t>
        </is>
      </c>
      <c r="F34" s="31" t="n">
        <v>110778.3</v>
      </c>
      <c r="G34" s="31" t="n">
        <v>1790</v>
      </c>
      <c r="H34" s="31" t="n">
        <v>3.47</v>
      </c>
      <c r="I34" s="31" t="n">
        <v>15413025</v>
      </c>
      <c r="J34" s="31" t="inlineStr">
        <is>
          <t>543396</t>
        </is>
      </c>
    </row>
    <row r="35">
      <c r="A35" s="31" t="inlineStr">
        <is>
          <t>INDORAMA</t>
        </is>
      </c>
      <c r="B35" s="31" t="inlineStr">
        <is>
          <t>Indo Rama Synthetics (india) Limited</t>
        </is>
      </c>
      <c r="C35" s="31" t="inlineStr">
        <is>
          <t>textiles</t>
        </is>
      </c>
      <c r="D35" s="31" t="inlineStr">
        <is>
          <t>textiles - manmade</t>
        </is>
      </c>
      <c r="E35" s="31" t="inlineStr">
        <is>
          <t>smallcap</t>
        </is>
      </c>
      <c r="F35" s="31" t="n">
        <v>2162.28</v>
      </c>
      <c r="G35" s="31" t="n">
        <v>85.59999999999999</v>
      </c>
      <c r="H35" s="31" t="n">
        <v>3.37</v>
      </c>
      <c r="I35" s="31" t="n">
        <v>3645127</v>
      </c>
      <c r="J35" s="31" t="inlineStr">
        <is>
          <t>500207</t>
        </is>
      </c>
    </row>
    <row r="36">
      <c r="A36" s="31" t="inlineStr">
        <is>
          <t>BLUESTONE</t>
        </is>
      </c>
      <c r="B36" s="31" t="inlineStr">
        <is>
          <t>Bluestone Jewellery and Lifestyle Ltd</t>
        </is>
      </c>
      <c r="C36" s="31" t="inlineStr">
        <is>
          <t>consumer discretionary</t>
        </is>
      </c>
      <c r="D36" s="31" t="inlineStr">
        <is>
          <t>diamond cutting / jewellery</t>
        </is>
      </c>
      <c r="E36" s="31" t="inlineStr">
        <is>
          <t>midcap</t>
        </is>
      </c>
      <c r="F36" s="31" t="n">
        <v>12627.25</v>
      </c>
      <c r="G36" s="31" t="n">
        <v>856</v>
      </c>
      <c r="H36" s="31" t="n">
        <v>3.31</v>
      </c>
      <c r="I36" s="31" t="n">
        <v>806703</v>
      </c>
      <c r="J36" s="31" t="n"/>
    </row>
    <row r="37">
      <c r="A37" s="31" t="inlineStr">
        <is>
          <t>SSWL</t>
        </is>
      </c>
      <c r="B37" s="31" t="inlineStr">
        <is>
          <t>Steel Strips Wheels Limited</t>
        </is>
      </c>
      <c r="C37" s="31" t="inlineStr">
        <is>
          <t>auto</t>
        </is>
      </c>
      <c r="D37" s="31" t="inlineStr">
        <is>
          <t>auto ancillaries</t>
        </is>
      </c>
      <c r="E37" s="31" t="inlineStr">
        <is>
          <t>midcap</t>
        </is>
      </c>
      <c r="F37" s="31" t="n">
        <v>5328.42</v>
      </c>
      <c r="G37" s="31" t="n">
        <v>350.05</v>
      </c>
      <c r="H37" s="31" t="n">
        <v>3.26</v>
      </c>
      <c r="I37" s="31" t="n">
        <v>1772756</v>
      </c>
      <c r="J37" s="31" t="inlineStr">
        <is>
          <t>513262</t>
        </is>
      </c>
    </row>
    <row r="38">
      <c r="A38" s="31" t="inlineStr">
        <is>
          <t>GRAPHITE</t>
        </is>
      </c>
      <c r="B38" s="31" t="inlineStr">
        <is>
          <t>Graphite India Limited</t>
        </is>
      </c>
      <c r="C38" s="31" t="inlineStr">
        <is>
          <t>industrials</t>
        </is>
      </c>
      <c r="D38" s="31" t="inlineStr">
        <is>
          <t>electrodes - graphites</t>
        </is>
      </c>
      <c r="E38" s="31" t="inlineStr">
        <is>
          <t>midcap</t>
        </is>
      </c>
      <c r="F38" s="31" t="n">
        <v>15268.6</v>
      </c>
      <c r="G38" s="31" t="n">
        <v>805.05</v>
      </c>
      <c r="H38" s="31" t="n">
        <v>3.01</v>
      </c>
      <c r="I38" s="31" t="n">
        <v>3021853</v>
      </c>
      <c r="J38" s="31" t="inlineStr">
        <is>
          <t>509488</t>
        </is>
      </c>
    </row>
    <row r="39">
      <c r="A39" s="31" t="inlineStr">
        <is>
          <t>TATACOMM</t>
        </is>
      </c>
      <c r="B39" s="31" t="inlineStr">
        <is>
          <t>Tata Communications Limited</t>
        </is>
      </c>
      <c r="C39" s="31" t="inlineStr">
        <is>
          <t>telecom-service</t>
        </is>
      </c>
      <c r="D39" s="31" t="inlineStr">
        <is>
          <t>telecommunications - service provider</t>
        </is>
      </c>
      <c r="E39" s="31" t="inlineStr">
        <is>
          <t>largecap</t>
        </is>
      </c>
      <c r="F39" s="31" t="n">
        <v>49826.63</v>
      </c>
      <c r="G39" s="31" t="n">
        <v>1799.3</v>
      </c>
      <c r="H39" s="31" t="n">
        <v>2.92</v>
      </c>
      <c r="I39" s="31" t="n">
        <v>317034</v>
      </c>
      <c r="J39" s="31" t="inlineStr">
        <is>
          <t>500483</t>
        </is>
      </c>
    </row>
    <row r="40">
      <c r="A40" s="31" t="inlineStr">
        <is>
          <t>DICIND</t>
        </is>
      </c>
      <c r="B40" s="31" t="inlineStr">
        <is>
          <t>Dic India Limited</t>
        </is>
      </c>
      <c r="C40" s="31" t="inlineStr">
        <is>
          <t>chemicals</t>
        </is>
      </c>
      <c r="D40" s="31" t="inlineStr">
        <is>
          <t>chemicals</t>
        </is>
      </c>
      <c r="E40" s="31" t="inlineStr">
        <is>
          <t>smallcap</t>
        </is>
      </c>
      <c r="F40" s="31" t="n">
        <v>544.45</v>
      </c>
      <c r="G40" s="31" t="n">
        <v>610.3</v>
      </c>
      <c r="H40" s="31" t="n">
        <v>2.89</v>
      </c>
      <c r="I40" s="31" t="n">
        <v>3625</v>
      </c>
      <c r="J40" s="31" t="inlineStr">
        <is>
          <t>500089</t>
        </is>
      </c>
    </row>
    <row r="41">
      <c r="A41" s="31" t="inlineStr">
        <is>
          <t>STAR</t>
        </is>
      </c>
      <c r="B41" s="31" t="inlineStr">
        <is>
          <t>Strides Shasun Limited</t>
        </is>
      </c>
      <c r="C41" s="31" t="inlineStr">
        <is>
          <t>healthcare</t>
        </is>
      </c>
      <c r="D41" s="31" t="inlineStr">
        <is>
          <t>pharmaceuticals - indian - bulk drugs &amp; formln</t>
        </is>
      </c>
      <c r="E41" s="31" t="inlineStr">
        <is>
          <t>midcap</t>
        </is>
      </c>
      <c r="F41" s="31" t="n">
        <v>10605.39</v>
      </c>
      <c r="G41" s="31" t="n">
        <v>1183.9</v>
      </c>
      <c r="H41" s="31" t="n">
        <v>2.89</v>
      </c>
      <c r="I41" s="31" t="n">
        <v>398309</v>
      </c>
      <c r="J41" s="31" t="inlineStr">
        <is>
          <t>532531</t>
        </is>
      </c>
    </row>
    <row r="42">
      <c r="A42" s="31" t="inlineStr">
        <is>
          <t>SIGMAADV</t>
        </is>
      </c>
      <c r="B42" s="31" t="inlineStr">
        <is>
          <t>Sigma Advanced System Ltd</t>
        </is>
      </c>
      <c r="C42" s="31" t="inlineStr">
        <is>
          <t>aerospace &amp; defence</t>
        </is>
      </c>
      <c r="D42" s="31" t="inlineStr">
        <is>
          <t>electronics - components</t>
        </is>
      </c>
      <c r="E42" s="31" t="inlineStr">
        <is>
          <t>midcap</t>
        </is>
      </c>
      <c r="F42" s="31" t="n">
        <v>15058.31</v>
      </c>
      <c r="G42" s="31" t="n">
        <v>817.05</v>
      </c>
      <c r="H42" s="31" t="n">
        <v>2.82</v>
      </c>
      <c r="I42" s="31" t="n">
        <v>250590</v>
      </c>
      <c r="J42" s="31" t="inlineStr">
        <is>
          <t>532408</t>
        </is>
      </c>
    </row>
    <row r="43">
      <c r="A43" s="31" t="inlineStr">
        <is>
          <t>PVRINOX</t>
        </is>
      </c>
      <c r="B43" s="31" t="inlineStr">
        <is>
          <t>PVR Inox Ltd</t>
        </is>
      </c>
      <c r="C43" s="31" t="inlineStr">
        <is>
          <t>media</t>
        </is>
      </c>
      <c r="D43" s="31" t="inlineStr">
        <is>
          <t>entertainment / electronic media software</t>
        </is>
      </c>
      <c r="E43" s="31" t="inlineStr">
        <is>
          <t>midcap</t>
        </is>
      </c>
      <c r="F43" s="31" t="n">
        <v>11990.22</v>
      </c>
      <c r="G43" s="31" t="n">
        <v>1254.6</v>
      </c>
      <c r="H43" s="31" t="n">
        <v>2.75</v>
      </c>
      <c r="I43" s="31" t="n">
        <v>456245</v>
      </c>
      <c r="J43" s="31" t="inlineStr">
        <is>
          <t>532689</t>
        </is>
      </c>
    </row>
    <row r="44">
      <c r="A44" s="31" t="inlineStr">
        <is>
          <t>TEGA</t>
        </is>
      </c>
      <c r="B44" s="31" t="inlineStr">
        <is>
          <t>Tega Industries Ltd</t>
        </is>
      </c>
      <c r="C44" s="31" t="inlineStr">
        <is>
          <t>industrials</t>
        </is>
      </c>
      <c r="D44" s="31" t="inlineStr">
        <is>
          <t>engineering</t>
        </is>
      </c>
      <c r="E44" s="31" t="inlineStr">
        <is>
          <t>midcap</t>
        </is>
      </c>
      <c r="F44" s="31" t="n">
        <v>12554.59</v>
      </c>
      <c r="G44" s="31" t="n">
        <v>1717.1</v>
      </c>
      <c r="H44" s="31" t="n">
        <v>2.75</v>
      </c>
      <c r="I44" s="31" t="n">
        <v>225032</v>
      </c>
      <c r="J44" s="31" t="inlineStr">
        <is>
          <t>543413</t>
        </is>
      </c>
    </row>
    <row r="45">
      <c r="A45" s="31" t="inlineStr">
        <is>
          <t>MANALIPETC</t>
        </is>
      </c>
      <c r="B45" s="31" t="inlineStr">
        <is>
          <t>Manali Petrochemicals Limited</t>
        </is>
      </c>
      <c r="C45" s="31" t="inlineStr">
        <is>
          <t>energy</t>
        </is>
      </c>
      <c r="D45" s="31" t="inlineStr">
        <is>
          <t>petrochemicals</t>
        </is>
      </c>
      <c r="E45" s="31" t="inlineStr">
        <is>
          <t>smallcap</t>
        </is>
      </c>
      <c r="F45" s="31" t="n">
        <v>1379.26</v>
      </c>
      <c r="G45" s="31" t="n">
        <v>82.37</v>
      </c>
      <c r="H45" s="31" t="n">
        <v>2.72</v>
      </c>
      <c r="I45" s="31" t="n">
        <v>2637453</v>
      </c>
      <c r="J45" s="31" t="inlineStr">
        <is>
          <t>500268</t>
        </is>
      </c>
    </row>
    <row r="46">
      <c r="A46" s="31" t="inlineStr">
        <is>
          <t>HINDOILEXP</t>
        </is>
      </c>
      <c r="B46" s="31" t="inlineStr">
        <is>
          <t>Hindustan Oil Exploration Company Limited</t>
        </is>
      </c>
      <c r="C46" s="31" t="inlineStr">
        <is>
          <t>energy</t>
        </is>
      </c>
      <c r="D46" s="31" t="inlineStr">
        <is>
          <t>oil drilling / allied services</t>
        </is>
      </c>
      <c r="E46" s="31" t="inlineStr">
        <is>
          <t>smallcap</t>
        </is>
      </c>
      <c r="F46" s="31" t="n">
        <v>2323.78</v>
      </c>
      <c r="G46" s="31" t="n">
        <v>180.44</v>
      </c>
      <c r="H46" s="31" t="n">
        <v>2.69</v>
      </c>
      <c r="I46" s="31" t="n">
        <v>971364</v>
      </c>
      <c r="J46" s="31" t="inlineStr">
        <is>
          <t>500186</t>
        </is>
      </c>
    </row>
    <row r="47">
      <c r="A47" s="31" t="inlineStr">
        <is>
          <t>SANSERA</t>
        </is>
      </c>
      <c r="B47" s="31" t="inlineStr">
        <is>
          <t>Sansera Engineering Ltd</t>
        </is>
      </c>
      <c r="C47" s="31" t="inlineStr">
        <is>
          <t>auto</t>
        </is>
      </c>
      <c r="D47" s="31" t="inlineStr">
        <is>
          <t>auto ancillaries</t>
        </is>
      </c>
      <c r="E47" s="31" t="inlineStr">
        <is>
          <t>largecap</t>
        </is>
      </c>
      <c r="F47" s="31" t="n">
        <v>24160.79</v>
      </c>
      <c r="G47" s="31" t="n">
        <v>3971.2</v>
      </c>
      <c r="H47" s="31" t="n">
        <v>2.57</v>
      </c>
      <c r="I47" s="31" t="n">
        <v>229404</v>
      </c>
      <c r="J47" s="31" t="inlineStr">
        <is>
          <t>543358</t>
        </is>
      </c>
    </row>
    <row r="48">
      <c r="A48" s="31" t="inlineStr">
        <is>
          <t>ABDL</t>
        </is>
      </c>
      <c r="B48" s="31" t="inlineStr">
        <is>
          <t>Allied Blenders &amp; Distillers Ltd</t>
        </is>
      </c>
      <c r="C48" s="31" t="inlineStr">
        <is>
          <t>fmcg</t>
        </is>
      </c>
      <c r="D48" s="31" t="inlineStr">
        <is>
          <t>breweries &amp; distilleries</t>
        </is>
      </c>
      <c r="E48" s="31" t="inlineStr">
        <is>
          <t>midcap</t>
        </is>
      </c>
      <c r="F48" s="31" t="n">
        <v>17666.49</v>
      </c>
      <c r="G48" s="31" t="n">
        <v>647.55</v>
      </c>
      <c r="H48" s="31" t="n">
        <v>2.53</v>
      </c>
      <c r="I48" s="31" t="n">
        <v>1453879</v>
      </c>
      <c r="J48" s="31" t="inlineStr">
        <is>
          <t>544203</t>
        </is>
      </c>
    </row>
    <row r="49">
      <c r="A49" s="31" t="inlineStr">
        <is>
          <t>REDINGTON</t>
        </is>
      </c>
      <c r="B49" s="31" t="inlineStr">
        <is>
          <t>Redington (india) Limited</t>
        </is>
      </c>
      <c r="C49" s="31" t="inlineStr">
        <is>
          <t>services</t>
        </is>
      </c>
      <c r="D49" s="31" t="inlineStr">
        <is>
          <t>trading</t>
        </is>
      </c>
      <c r="E49" s="31" t="inlineStr">
        <is>
          <t>largecap</t>
        </is>
      </c>
      <c r="F49" s="31" t="n">
        <v>29625.34</v>
      </c>
      <c r="G49" s="31" t="n">
        <v>388.15</v>
      </c>
      <c r="H49" s="31" t="n">
        <v>2.43</v>
      </c>
      <c r="I49" s="31" t="n">
        <v>5640367</v>
      </c>
      <c r="J49" s="31" t="inlineStr">
        <is>
          <t>532805</t>
        </is>
      </c>
    </row>
    <row r="50">
      <c r="A50" s="31" t="inlineStr">
        <is>
          <t>KAPSTON</t>
        </is>
      </c>
      <c r="B50" s="31" t="inlineStr">
        <is>
          <t>Kapston Services Ltd</t>
        </is>
      </c>
      <c r="C50" s="31" t="inlineStr">
        <is>
          <t>miscellaneous</t>
        </is>
      </c>
      <c r="D50" s="31" t="inlineStr">
        <is>
          <t>miscellaneous</t>
        </is>
      </c>
      <c r="E50" s="31" t="inlineStr">
        <is>
          <t>smallcap</t>
        </is>
      </c>
      <c r="F50" s="31" t="n">
        <v>1714.7</v>
      </c>
      <c r="G50" s="31" t="n">
        <v>577.15</v>
      </c>
      <c r="H50" s="31" t="n">
        <v>2.43</v>
      </c>
      <c r="I50" s="31" t="n">
        <v>43954</v>
      </c>
      <c r="J50" s="31" t="inlineStr">
        <is>
          <t>535064</t>
        </is>
      </c>
    </row>
    <row r="51">
      <c r="A51" s="31" t="inlineStr">
        <is>
          <t>GPTHEALTH</t>
        </is>
      </c>
      <c r="B51" s="31" t="inlineStr">
        <is>
          <t>GPT Healthcare Ltd</t>
        </is>
      </c>
      <c r="C51" s="31" t="inlineStr">
        <is>
          <t>healthcare</t>
        </is>
      </c>
      <c r="D51" s="31" t="inlineStr">
        <is>
          <t>healthcare</t>
        </is>
      </c>
      <c r="E51" s="31" t="inlineStr">
        <is>
          <t>smallcap</t>
        </is>
      </c>
      <c r="F51" s="31" t="n">
        <v>1308.36</v>
      </c>
      <c r="G51" s="31" t="n">
        <v>163.3</v>
      </c>
      <c r="H51" s="31" t="n">
        <v>2.41</v>
      </c>
      <c r="I51" s="31" t="n">
        <v>135814</v>
      </c>
      <c r="J51" s="31" t="inlineStr">
        <is>
          <t>544131</t>
        </is>
      </c>
    </row>
    <row r="52">
      <c r="A52" s="31" t="inlineStr">
        <is>
          <t>ZIMLAB</t>
        </is>
      </c>
      <c r="B52" s="31" t="inlineStr">
        <is>
          <t>Zim Laboratories Ltd</t>
        </is>
      </c>
      <c r="C52" s="31" t="inlineStr">
        <is>
          <t>healthcare</t>
        </is>
      </c>
      <c r="D52" s="31" t="inlineStr">
        <is>
          <t>pharmaceuticals - indian - bulk drugs &amp; formln</t>
        </is>
      </c>
      <c r="E52" s="31" t="inlineStr">
        <is>
          <t>smallcap</t>
        </is>
      </c>
      <c r="F52" s="31" t="n">
        <v>715.47</v>
      </c>
      <c r="G52" s="31" t="n">
        <v>136.78</v>
      </c>
      <c r="H52" s="31" t="n">
        <v>2.37</v>
      </c>
      <c r="I52" s="31" t="n">
        <v>104649</v>
      </c>
      <c r="J52" s="31" t="inlineStr">
        <is>
          <t>541400</t>
        </is>
      </c>
    </row>
    <row r="53">
      <c r="A53" s="31" t="inlineStr">
        <is>
          <t>ANDHRAPAP</t>
        </is>
      </c>
      <c r="B53" s="31" t="inlineStr">
        <is>
          <t>Andhra Paper Ltd</t>
        </is>
      </c>
      <c r="C53" s="31" t="inlineStr">
        <is>
          <t>building materials</t>
        </is>
      </c>
      <c r="D53" s="31" t="inlineStr">
        <is>
          <t>paper</t>
        </is>
      </c>
      <c r="E53" s="31" t="inlineStr">
        <is>
          <t>smallcap</t>
        </is>
      </c>
      <c r="F53" s="31" t="n">
        <v>1424.56</v>
      </c>
      <c r="G53" s="31" t="n">
        <v>73.31999999999999</v>
      </c>
      <c r="H53" s="31" t="n">
        <v>2.35</v>
      </c>
      <c r="I53" s="31" t="n">
        <v>769224</v>
      </c>
      <c r="J53" s="31" t="inlineStr">
        <is>
          <t>502330</t>
        </is>
      </c>
    </row>
    <row r="54">
      <c r="A54" s="31" t="inlineStr">
        <is>
          <t>KSL</t>
        </is>
      </c>
      <c r="B54" s="31" t="inlineStr">
        <is>
          <t>Kalyani Steels Limited</t>
        </is>
      </c>
      <c r="C54" s="31" t="inlineStr">
        <is>
          <t>metals &amp; mining</t>
        </is>
      </c>
      <c r="D54" s="31" t="inlineStr">
        <is>
          <t>steel - medium / small</t>
        </is>
      </c>
      <c r="E54" s="31" t="inlineStr">
        <is>
          <t>smallcap</t>
        </is>
      </c>
      <c r="F54" s="31" t="n">
        <v>4061.7</v>
      </c>
      <c r="G54" s="31" t="n">
        <v>952</v>
      </c>
      <c r="H54" s="31" t="n">
        <v>2.32</v>
      </c>
      <c r="I54" s="31" t="n">
        <v>108914</v>
      </c>
      <c r="J54" s="31" t="inlineStr">
        <is>
          <t>500235</t>
        </is>
      </c>
    </row>
    <row r="55">
      <c r="A55" s="31" t="inlineStr">
        <is>
          <t>LIKHITHA</t>
        </is>
      </c>
      <c r="B55" s="31" t="inlineStr">
        <is>
          <t>Likhitha Infrastructure Ltd</t>
        </is>
      </c>
      <c r="C55" s="31" t="inlineStr">
        <is>
          <t>realty</t>
        </is>
      </c>
      <c r="D55" s="31" t="inlineStr">
        <is>
          <t>construction</t>
        </is>
      </c>
      <c r="E55" s="31" t="inlineStr">
        <is>
          <t>smallcap</t>
        </is>
      </c>
      <c r="F55" s="31" t="n">
        <v>876.66</v>
      </c>
      <c r="G55" s="31" t="n">
        <v>227.33</v>
      </c>
      <c r="H55" s="31" t="n">
        <v>2.3</v>
      </c>
      <c r="I55" s="31" t="n">
        <v>378760</v>
      </c>
      <c r="J55" s="31" t="inlineStr">
        <is>
          <t>543240</t>
        </is>
      </c>
    </row>
    <row r="56">
      <c r="A56" s="31" t="inlineStr">
        <is>
          <t>CHEMBONDCH</t>
        </is>
      </c>
      <c r="B56" s="31" t="inlineStr">
        <is>
          <t>Chembond Chemicals Ltd</t>
        </is>
      </c>
      <c r="C56" s="31" t="inlineStr">
        <is>
          <t>chemicals</t>
        </is>
      </c>
      <c r="D56" s="31" t="inlineStr">
        <is>
          <t>chemicals</t>
        </is>
      </c>
      <c r="E56" s="31" t="inlineStr">
        <is>
          <t>smallcap</t>
        </is>
      </c>
      <c r="F56" s="31" t="n">
        <v>712.09</v>
      </c>
      <c r="G56" s="31" t="n">
        <v>270.75</v>
      </c>
      <c r="H56" s="31" t="n">
        <v>2.27</v>
      </c>
      <c r="I56" s="31" t="n">
        <v>6762</v>
      </c>
      <c r="J56" s="31" t="inlineStr">
        <is>
          <t>544450</t>
        </is>
      </c>
    </row>
    <row r="57">
      <c r="A57" s="31" t="inlineStr">
        <is>
          <t>GLOBAL</t>
        </is>
      </c>
      <c r="B57" s="31" t="inlineStr">
        <is>
          <t>Global Education Ltd</t>
        </is>
      </c>
      <c r="C57" s="31" t="inlineStr">
        <is>
          <t>services</t>
        </is>
      </c>
      <c r="D57" s="31" t="inlineStr">
        <is>
          <t>miscellaneous</t>
        </is>
      </c>
      <c r="E57" s="31" t="inlineStr">
        <is>
          <t>smallcap</t>
        </is>
      </c>
      <c r="F57" s="31" t="n">
        <v>642.53</v>
      </c>
      <c r="G57" s="31" t="n">
        <v>128.89</v>
      </c>
      <c r="H57" s="31" t="n">
        <v>2.11</v>
      </c>
      <c r="I57" s="31" t="n">
        <v>214392</v>
      </c>
      <c r="J57" s="31" t="inlineStr">
        <is>
          <t>538406</t>
        </is>
      </c>
    </row>
    <row r="58">
      <c r="A58" s="31" t="inlineStr">
        <is>
          <t>IL&amp;FSENGG</t>
        </is>
      </c>
      <c r="B58" s="31" t="inlineStr">
        <is>
          <t>Il&amp;fs Engineering And Construction Company Limited</t>
        </is>
      </c>
      <c r="C58" s="31" t="inlineStr">
        <is>
          <t>realty</t>
        </is>
      </c>
      <c r="D58" s="31" t="inlineStr">
        <is>
          <t>construction</t>
        </is>
      </c>
      <c r="E58" s="31" t="inlineStr">
        <is>
          <t>smallcap</t>
        </is>
      </c>
      <c r="F58" s="31" t="n">
        <v>513.6</v>
      </c>
      <c r="G58" s="31" t="n">
        <v>39.93</v>
      </c>
      <c r="H58" s="31" t="n">
        <v>1.94</v>
      </c>
      <c r="I58" s="31" t="n">
        <v>36753</v>
      </c>
      <c r="J58" s="31" t="inlineStr">
        <is>
          <t>532907</t>
        </is>
      </c>
    </row>
    <row r="59">
      <c r="A59" s="31" t="inlineStr">
        <is>
          <t>TEXINFRA</t>
        </is>
      </c>
      <c r="B59" s="31" t="inlineStr">
        <is>
          <t>Texmaco Infrastructure &amp; Holdings Limited</t>
        </is>
      </c>
      <c r="C59" s="31" t="inlineStr">
        <is>
          <t>realty</t>
        </is>
      </c>
      <c r="D59" s="31" t="inlineStr">
        <is>
          <t>construction</t>
        </is>
      </c>
      <c r="E59" s="31" t="inlineStr">
        <is>
          <t>smallcap</t>
        </is>
      </c>
      <c r="F59" s="31" t="n">
        <v>1453.56</v>
      </c>
      <c r="G59" s="31" t="n">
        <v>116.25</v>
      </c>
      <c r="H59" s="31" t="n">
        <v>1.91</v>
      </c>
      <c r="I59" s="31" t="n">
        <v>173127</v>
      </c>
      <c r="J59" s="31" t="inlineStr">
        <is>
          <t>505400</t>
        </is>
      </c>
    </row>
    <row r="60">
      <c r="A60" s="31" t="inlineStr">
        <is>
          <t>DIACABS</t>
        </is>
      </c>
      <c r="B60" s="31" t="inlineStr">
        <is>
          <t>Diamond Power Infrastructure Ltd</t>
        </is>
      </c>
      <c r="C60" s="31" t="inlineStr">
        <is>
          <t>industrials</t>
        </is>
      </c>
      <c r="D60" s="31" t="inlineStr">
        <is>
          <t>cables - power</t>
        </is>
      </c>
      <c r="E60" s="31" t="inlineStr">
        <is>
          <t>largecap</t>
        </is>
      </c>
      <c r="F60" s="31" t="n">
        <v>23175.25</v>
      </c>
      <c r="G60" s="31" t="n">
        <v>394.75</v>
      </c>
      <c r="H60" s="31" t="n">
        <v>1.87</v>
      </c>
      <c r="I60" s="31" t="n">
        <v>1589608</v>
      </c>
      <c r="J60" s="31" t="inlineStr">
        <is>
          <t>522163</t>
        </is>
      </c>
    </row>
    <row r="61">
      <c r="A61" s="31" t="inlineStr">
        <is>
          <t>SANSTAR</t>
        </is>
      </c>
      <c r="B61" s="31" t="inlineStr">
        <is>
          <t>Sanstar Ltd</t>
        </is>
      </c>
      <c r="C61" s="31" t="inlineStr">
        <is>
          <t>fmcg</t>
        </is>
      </c>
      <c r="D61" s="31" t="inlineStr">
        <is>
          <t>miscellaneous</t>
        </is>
      </c>
      <c r="E61" s="31" t="inlineStr">
        <is>
          <t>smallcap</t>
        </is>
      </c>
      <c r="F61" s="31" t="n">
        <v>2218.17</v>
      </c>
      <c r="G61" s="31" t="n">
        <v>112.81</v>
      </c>
      <c r="H61" s="31" t="n">
        <v>1.85</v>
      </c>
      <c r="I61" s="31" t="n">
        <v>194156</v>
      </c>
      <c r="J61" s="31" t="inlineStr">
        <is>
          <t>544217</t>
        </is>
      </c>
    </row>
    <row r="62">
      <c r="A62" s="31" t="inlineStr">
        <is>
          <t>PNB</t>
        </is>
      </c>
      <c r="B62" s="31" t="inlineStr">
        <is>
          <t>Punjab National Bank Ltd</t>
        </is>
      </c>
      <c r="C62" s="31" t="inlineStr">
        <is>
          <t>bank</t>
        </is>
      </c>
      <c r="D62" s="31" t="inlineStr">
        <is>
          <t>banks - public sector</t>
        </is>
      </c>
      <c r="E62" s="31" t="inlineStr">
        <is>
          <t>largecap</t>
        </is>
      </c>
      <c r="F62" s="31" t="n">
        <v>131824.06</v>
      </c>
      <c r="G62" s="31" t="n">
        <v>116.8</v>
      </c>
      <c r="H62" s="31" t="n">
        <v>1.83</v>
      </c>
      <c r="I62" s="31" t="n">
        <v>18494065</v>
      </c>
      <c r="J62" s="31" t="inlineStr">
        <is>
          <t>532461</t>
        </is>
      </c>
    </row>
    <row r="63">
      <c r="A63" s="31" t="inlineStr">
        <is>
          <t>SHANTIGEAR</t>
        </is>
      </c>
      <c r="B63" s="31" t="inlineStr">
        <is>
          <t>Shanthi Gears Limited</t>
        </is>
      </c>
      <c r="C63" s="31" t="inlineStr">
        <is>
          <t>industrials</t>
        </is>
      </c>
      <c r="D63" s="31" t="inlineStr">
        <is>
          <t>engineering</t>
        </is>
      </c>
      <c r="E63" s="31" t="inlineStr">
        <is>
          <t>midcap</t>
        </is>
      </c>
      <c r="F63" s="31" t="n">
        <v>5210.92</v>
      </c>
      <c r="G63" s="31" t="n">
        <v>691.6</v>
      </c>
      <c r="H63" s="31" t="n">
        <v>1.82</v>
      </c>
      <c r="I63" s="31" t="n">
        <v>212317</v>
      </c>
      <c r="J63" s="31" t="inlineStr">
        <is>
          <t>522034</t>
        </is>
      </c>
    </row>
    <row r="64">
      <c r="A64" s="31" t="inlineStr">
        <is>
          <t>VARROC</t>
        </is>
      </c>
      <c r="B64" s="31" t="inlineStr">
        <is>
          <t>Varroc Engineering Ltd</t>
        </is>
      </c>
      <c r="C64" s="31" t="inlineStr">
        <is>
          <t>auto</t>
        </is>
      </c>
      <c r="D64" s="31" t="inlineStr">
        <is>
          <t>auto ancillaries</t>
        </is>
      </c>
      <c r="E64" s="31" t="inlineStr">
        <is>
          <t>midcap</t>
        </is>
      </c>
      <c r="F64" s="31" t="n">
        <v>12772.94</v>
      </c>
      <c r="G64" s="31" t="n">
        <v>851.15</v>
      </c>
      <c r="H64" s="31" t="n">
        <v>1.81</v>
      </c>
      <c r="I64" s="31" t="n">
        <v>438002</v>
      </c>
      <c r="J64" s="31" t="inlineStr">
        <is>
          <t>541578</t>
        </is>
      </c>
    </row>
    <row r="65">
      <c r="A65" s="31" t="inlineStr">
        <is>
          <t>SHILPAMED</t>
        </is>
      </c>
      <c r="B65" s="31" t="inlineStr">
        <is>
          <t>Shilpa Medicare Limited</t>
        </is>
      </c>
      <c r="C65" s="31" t="inlineStr">
        <is>
          <t>healthcare</t>
        </is>
      </c>
      <c r="D65" s="31" t="inlineStr">
        <is>
          <t>pharmaceuticals - indian - formulations</t>
        </is>
      </c>
      <c r="E65" s="31" t="inlineStr">
        <is>
          <t>midcap</t>
        </is>
      </c>
      <c r="F65" s="31" t="n">
        <v>17835.11</v>
      </c>
      <c r="G65" s="31" t="n">
        <v>928.05</v>
      </c>
      <c r="H65" s="31" t="n">
        <v>1.77</v>
      </c>
      <c r="I65" s="31" t="n">
        <v>1187365</v>
      </c>
      <c r="J65" s="31" t="inlineStr">
        <is>
          <t>530549</t>
        </is>
      </c>
    </row>
    <row r="66">
      <c r="A66" s="31" t="inlineStr">
        <is>
          <t>SVLL</t>
        </is>
      </c>
      <c r="B66" s="31" t="inlineStr">
        <is>
          <t>Shree Vasu Logistics Ltd</t>
        </is>
      </c>
      <c r="C66" s="31" t="inlineStr">
        <is>
          <t>transportation</t>
        </is>
      </c>
      <c r="D66" s="31" t="inlineStr">
        <is>
          <t>miscellaneous</t>
        </is>
      </c>
      <c r="E66" s="31" t="inlineStr">
        <is>
          <t>smallcap</t>
        </is>
      </c>
      <c r="F66" s="31" t="n">
        <v>908.46</v>
      </c>
      <c r="G66" s="31" t="n">
        <v>804.2</v>
      </c>
      <c r="H66" s="31" t="n">
        <v>1.75</v>
      </c>
      <c r="I66" s="31" t="n">
        <v>1647</v>
      </c>
      <c r="J66" s="31" t="inlineStr">
        <is>
          <t>535084</t>
        </is>
      </c>
    </row>
    <row r="67">
      <c r="A67" s="31" t="inlineStr">
        <is>
          <t>COMSYN</t>
        </is>
      </c>
      <c r="B67" s="31" t="inlineStr">
        <is>
          <t>Commercial Syn Bags Ltd</t>
        </is>
      </c>
      <c r="C67" s="31" t="inlineStr">
        <is>
          <t>industrials</t>
        </is>
      </c>
      <c r="D67" s="31" t="inlineStr">
        <is>
          <t>packaging</t>
        </is>
      </c>
      <c r="E67" s="31" t="inlineStr">
        <is>
          <t>smallcap</t>
        </is>
      </c>
      <c r="F67" s="31" t="n">
        <v>1169.03</v>
      </c>
      <c r="G67" s="31" t="n">
        <v>294.75</v>
      </c>
      <c r="H67" s="31" t="n">
        <v>1.71</v>
      </c>
      <c r="I67" s="31" t="n">
        <v>839631</v>
      </c>
      <c r="J67" s="31" t="inlineStr">
        <is>
          <t>539986</t>
        </is>
      </c>
    </row>
    <row r="68">
      <c r="A68" s="31" t="inlineStr">
        <is>
          <t>FINCABLES</t>
        </is>
      </c>
      <c r="B68" s="31" t="inlineStr">
        <is>
          <t>Finolex Cables Limited</t>
        </is>
      </c>
      <c r="C68" s="31" t="inlineStr">
        <is>
          <t>industrials</t>
        </is>
      </c>
      <c r="D68" s="31" t="inlineStr">
        <is>
          <t>cables - power</t>
        </is>
      </c>
      <c r="E68" s="31" t="inlineStr">
        <is>
          <t>largecap</t>
        </is>
      </c>
      <c r="F68" s="31" t="n">
        <v>20492.34</v>
      </c>
      <c r="G68" s="31" t="n">
        <v>1362.6</v>
      </c>
      <c r="H68" s="31" t="n">
        <v>1.69</v>
      </c>
      <c r="I68" s="31" t="n">
        <v>1264308</v>
      </c>
      <c r="J68" s="31" t="inlineStr">
        <is>
          <t>500144</t>
        </is>
      </c>
    </row>
    <row r="69">
      <c r="A69" s="31" t="inlineStr">
        <is>
          <t>VISHNU</t>
        </is>
      </c>
      <c r="B69" s="31" t="inlineStr">
        <is>
          <t>Vishnu Chemicals Limited</t>
        </is>
      </c>
      <c r="C69" s="31" t="inlineStr">
        <is>
          <t>chemicals</t>
        </is>
      </c>
      <c r="D69" s="31" t="inlineStr">
        <is>
          <t>chemicals</t>
        </is>
      </c>
      <c r="E69" s="31" t="inlineStr">
        <is>
          <t>smallcap</t>
        </is>
      </c>
      <c r="F69" s="31" t="n">
        <v>4596.29</v>
      </c>
      <c r="G69" s="31" t="n">
        <v>693.9</v>
      </c>
      <c r="H69" s="31" t="n">
        <v>1.63</v>
      </c>
      <c r="I69" s="31" t="n">
        <v>112259</v>
      </c>
      <c r="J69" s="31" t="inlineStr">
        <is>
          <t>516072</t>
        </is>
      </c>
    </row>
    <row r="70">
      <c r="A70" s="31" t="inlineStr">
        <is>
          <t>SESHAPAPER</t>
        </is>
      </c>
      <c r="B70" s="31" t="inlineStr">
        <is>
          <t>Seshasayee Paper And Boards Limited</t>
        </is>
      </c>
      <c r="C70" s="31" t="inlineStr">
        <is>
          <t>building materials</t>
        </is>
      </c>
      <c r="D70" s="31" t="inlineStr">
        <is>
          <t>paper</t>
        </is>
      </c>
      <c r="E70" s="31" t="inlineStr">
        <is>
          <t>smallcap</t>
        </is>
      </c>
      <c r="F70" s="31" t="n">
        <v>1531.29</v>
      </c>
      <c r="G70" s="31" t="n">
        <v>246.72</v>
      </c>
      <c r="H70" s="31" t="n">
        <v>1.61</v>
      </c>
      <c r="I70" s="31" t="n">
        <v>35200</v>
      </c>
      <c r="J70" s="31" t="inlineStr">
        <is>
          <t>502450</t>
        </is>
      </c>
    </row>
    <row r="71">
      <c r="A71" s="31" t="inlineStr">
        <is>
          <t>TNPETRO</t>
        </is>
      </c>
      <c r="B71" s="31" t="inlineStr">
        <is>
          <t>Tamilnadu Petroproducts Limited</t>
        </is>
      </c>
      <c r="C71" s="31" t="inlineStr">
        <is>
          <t>energy</t>
        </is>
      </c>
      <c r="D71" s="31" t="inlineStr">
        <is>
          <t>petrochemicals</t>
        </is>
      </c>
      <c r="E71" s="31" t="inlineStr">
        <is>
          <t>smallcap</t>
        </is>
      </c>
      <c r="F71" s="31" t="n">
        <v>1131.03</v>
      </c>
      <c r="G71" s="31" t="n">
        <v>127.72</v>
      </c>
      <c r="H71" s="31" t="n">
        <v>1.6</v>
      </c>
      <c r="I71" s="31" t="n">
        <v>947867</v>
      </c>
      <c r="J71" s="31" t="inlineStr">
        <is>
          <t>500777</t>
        </is>
      </c>
    </row>
    <row r="72">
      <c r="A72" s="31" t="inlineStr">
        <is>
          <t>EIMCOELECO</t>
        </is>
      </c>
      <c r="B72" s="31" t="inlineStr">
        <is>
          <t>Eimco Elecon (india) Limited</t>
        </is>
      </c>
      <c r="C72" s="31" t="inlineStr">
        <is>
          <t>industrials</t>
        </is>
      </c>
      <c r="D72" s="31" t="inlineStr">
        <is>
          <t>engineering</t>
        </is>
      </c>
      <c r="E72" s="31" t="inlineStr">
        <is>
          <t>smallcap</t>
        </is>
      </c>
      <c r="F72" s="31" t="n">
        <v>1293.39</v>
      </c>
      <c r="G72" s="31" t="n">
        <v>2277.1</v>
      </c>
      <c r="H72" s="31" t="n">
        <v>1.56</v>
      </c>
      <c r="I72" s="31" t="n">
        <v>58309</v>
      </c>
      <c r="J72" s="31" t="inlineStr">
        <is>
          <t>523708</t>
        </is>
      </c>
    </row>
    <row r="73">
      <c r="A73" s="31" t="inlineStr">
        <is>
          <t>ARIES</t>
        </is>
      </c>
      <c r="B73" s="31" t="inlineStr">
        <is>
          <t>Aries Agro Limited</t>
        </is>
      </c>
      <c r="C73" s="31" t="inlineStr">
        <is>
          <t>chemicals</t>
        </is>
      </c>
      <c r="D73" s="31" t="inlineStr">
        <is>
          <t>fertilizers</t>
        </is>
      </c>
      <c r="E73" s="31" t="inlineStr">
        <is>
          <t>smallcap</t>
        </is>
      </c>
      <c r="F73" s="31" t="n">
        <v>615.5</v>
      </c>
      <c r="G73" s="31" t="n">
        <v>480.7</v>
      </c>
      <c r="H73" s="31" t="n">
        <v>1.56</v>
      </c>
      <c r="I73" s="31" t="n">
        <v>14050</v>
      </c>
      <c r="J73" s="31" t="inlineStr">
        <is>
          <t>532935</t>
        </is>
      </c>
    </row>
    <row r="74">
      <c r="A74" s="31" t="inlineStr">
        <is>
          <t>ACE</t>
        </is>
      </c>
      <c r="B74" s="31" t="inlineStr">
        <is>
          <t>Action Construction Equipment Limited</t>
        </is>
      </c>
      <c r="C74" s="31" t="inlineStr">
        <is>
          <t>industrials</t>
        </is>
      </c>
      <c r="D74" s="31" t="inlineStr">
        <is>
          <t>engineering</t>
        </is>
      </c>
      <c r="E74" s="31" t="inlineStr">
        <is>
          <t>midcap</t>
        </is>
      </c>
      <c r="F74" s="31" t="n">
        <v>13481.41</v>
      </c>
      <c r="G74" s="31" t="n">
        <v>1149.7</v>
      </c>
      <c r="H74" s="31" t="n">
        <v>1.55</v>
      </c>
      <c r="I74" s="31" t="n">
        <v>425403</v>
      </c>
      <c r="J74" s="31" t="inlineStr">
        <is>
          <t>532762</t>
        </is>
      </c>
    </row>
    <row r="75">
      <c r="A75" s="31" t="inlineStr">
        <is>
          <t>AVL</t>
        </is>
      </c>
      <c r="B75" s="31" t="inlineStr">
        <is>
          <t>Aditya Vision Ltd</t>
        </is>
      </c>
      <c r="C75" s="31" t="inlineStr">
        <is>
          <t>consumer discretionary</t>
        </is>
      </c>
      <c r="D75" s="31" t="inlineStr">
        <is>
          <t>trading</t>
        </is>
      </c>
      <c r="E75" s="31" t="inlineStr">
        <is>
          <t>midcap</t>
        </is>
      </c>
      <c r="F75" s="31" t="n">
        <v>7892.92</v>
      </c>
      <c r="G75" s="31" t="n">
        <v>620.6</v>
      </c>
      <c r="H75" s="31" t="n">
        <v>1.54</v>
      </c>
      <c r="I75" s="31" t="n">
        <v>133409</v>
      </c>
      <c r="J75" s="31" t="inlineStr">
        <is>
          <t>540205</t>
        </is>
      </c>
    </row>
    <row r="76">
      <c r="A76" s="31" t="inlineStr">
        <is>
          <t>QUADFUTURE</t>
        </is>
      </c>
      <c r="B76" s="31" t="inlineStr">
        <is>
          <t>Quadrant Future Tek Ltd</t>
        </is>
      </c>
      <c r="C76" s="31" t="inlineStr">
        <is>
          <t>industrials</t>
        </is>
      </c>
      <c r="D76" s="31" t="inlineStr">
        <is>
          <t>cables - power</t>
        </is>
      </c>
      <c r="E76" s="31" t="inlineStr">
        <is>
          <t>smallcap</t>
        </is>
      </c>
      <c r="F76" s="31" t="n">
        <v>1938.4</v>
      </c>
      <c r="G76" s="31" t="n">
        <v>491.95</v>
      </c>
      <c r="H76" s="31" t="n">
        <v>1.52</v>
      </c>
      <c r="I76" s="31" t="n">
        <v>1127715</v>
      </c>
      <c r="J76" s="31" t="inlineStr">
        <is>
          <t>544336</t>
        </is>
      </c>
    </row>
    <row r="77">
      <c r="A77" s="31" t="inlineStr">
        <is>
          <t>UFLEX</t>
        </is>
      </c>
      <c r="B77" s="31" t="inlineStr">
        <is>
          <t>Uflex Limited</t>
        </is>
      </c>
      <c r="C77" s="31" t="inlineStr">
        <is>
          <t>industrials</t>
        </is>
      </c>
      <c r="D77" s="31" t="inlineStr">
        <is>
          <t>packaging</t>
        </is>
      </c>
      <c r="E77" s="31" t="inlineStr">
        <is>
          <t>smallcap</t>
        </is>
      </c>
      <c r="F77" s="31" t="n">
        <v>4593.37</v>
      </c>
      <c r="G77" s="31" t="n">
        <v>645.45</v>
      </c>
      <c r="H77" s="31" t="n">
        <v>1.47</v>
      </c>
      <c r="I77" s="31" t="n">
        <v>235420</v>
      </c>
      <c r="J77" s="31" t="inlineStr">
        <is>
          <t>500148</t>
        </is>
      </c>
    </row>
    <row r="78">
      <c r="A78" s="31" t="inlineStr">
        <is>
          <t>YESBANK</t>
        </is>
      </c>
      <c r="B78" s="31" t="inlineStr">
        <is>
          <t>Yes Bank Limited</t>
        </is>
      </c>
      <c r="C78" s="31" t="inlineStr">
        <is>
          <t>bank</t>
        </is>
      </c>
      <c r="D78" s="31" t="inlineStr">
        <is>
          <t>banks - private sector</t>
        </is>
      </c>
      <c r="E78" s="31" t="inlineStr">
        <is>
          <t>largecap</t>
        </is>
      </c>
      <c r="F78" s="31" t="n">
        <v>72409.25999999999</v>
      </c>
      <c r="G78" s="31" t="n">
        <v>23.4</v>
      </c>
      <c r="H78" s="31" t="n">
        <v>1.43</v>
      </c>
      <c r="I78" s="31" t="n">
        <v>205410106</v>
      </c>
      <c r="J78" s="31" t="inlineStr">
        <is>
          <t>532648</t>
        </is>
      </c>
    </row>
    <row r="79">
      <c r="A79" s="31" t="inlineStr">
        <is>
          <t>SWANDEF</t>
        </is>
      </c>
      <c r="B79" s="31" t="inlineStr">
        <is>
          <t>Swan Defence and Heavy Industries Ltd</t>
        </is>
      </c>
      <c r="C79" s="31" t="inlineStr">
        <is>
          <t>transportation</t>
        </is>
      </c>
      <c r="D79" s="31" t="inlineStr">
        <is>
          <t>miscellaneous</t>
        </is>
      </c>
      <c r="E79" s="31" t="inlineStr">
        <is>
          <t>midcap</t>
        </is>
      </c>
      <c r="F79" s="31" t="n">
        <v>13963.4</v>
      </c>
      <c r="G79" s="31" t="n">
        <v>2687.2</v>
      </c>
      <c r="H79" s="31" t="n">
        <v>1.38</v>
      </c>
      <c r="I79" s="31" t="n">
        <v>17649</v>
      </c>
      <c r="J79" s="31" t="inlineStr">
        <is>
          <t>533107</t>
        </is>
      </c>
    </row>
    <row r="80">
      <c r="A80" s="31" t="inlineStr">
        <is>
          <t>FIVESTAR</t>
        </is>
      </c>
      <c r="B80" s="31" t="inlineStr">
        <is>
          <t>Five-Star Business Finance Ltd</t>
        </is>
      </c>
      <c r="C80" s="31" t="inlineStr">
        <is>
          <t>financials</t>
        </is>
      </c>
      <c r="D80" s="31" t="inlineStr">
        <is>
          <t>finance &amp; investments</t>
        </is>
      </c>
      <c r="E80" s="31" t="inlineStr">
        <is>
          <t>midcap</t>
        </is>
      </c>
      <c r="F80" s="31" t="n">
        <v>15997.27</v>
      </c>
      <c r="G80" s="31" t="n">
        <v>549.4</v>
      </c>
      <c r="H80" s="31" t="n">
        <v>1.37</v>
      </c>
      <c r="I80" s="31" t="n">
        <v>549733</v>
      </c>
      <c r="J80" s="31" t="n"/>
    </row>
    <row r="81">
      <c r="A81" s="31" t="inlineStr">
        <is>
          <t>LOTUSDEV</t>
        </is>
      </c>
      <c r="B81" s="31" t="inlineStr">
        <is>
          <t>Sri Lotus Developers &amp; Realty Ltd</t>
        </is>
      </c>
      <c r="C81" s="31" t="inlineStr">
        <is>
          <t>realty</t>
        </is>
      </c>
      <c r="D81" s="31" t="inlineStr">
        <is>
          <t>construction</t>
        </is>
      </c>
      <c r="E81" s="31" t="inlineStr">
        <is>
          <t>midcap</t>
        </is>
      </c>
      <c r="F81" s="31" t="n">
        <v>10436.21</v>
      </c>
      <c r="G81" s="31" t="n">
        <v>216.4</v>
      </c>
      <c r="H81" s="31" t="n">
        <v>1.34</v>
      </c>
      <c r="I81" s="31" t="n">
        <v>1914804</v>
      </c>
      <c r="J81" s="31" t="inlineStr">
        <is>
          <t>544469</t>
        </is>
      </c>
    </row>
    <row r="82">
      <c r="A82" s="31" t="inlineStr">
        <is>
          <t>KIRLFER</t>
        </is>
      </c>
      <c r="B82" s="31" t="inlineStr">
        <is>
          <t>Kirloskar Ferrous Industries Ltd</t>
        </is>
      </c>
      <c r="C82" s="31" t="inlineStr">
        <is>
          <t>metals &amp; mining</t>
        </is>
      </c>
      <c r="D82" s="31" t="inlineStr">
        <is>
          <t>steel - large</t>
        </is>
      </c>
      <c r="E82" s="31" t="inlineStr">
        <is>
          <t>midcap</t>
        </is>
      </c>
      <c r="F82" s="31" t="n">
        <v>7669.67</v>
      </c>
      <c r="G82" s="31" t="n">
        <v>470.9</v>
      </c>
      <c r="H82" s="31" t="n">
        <v>1.3</v>
      </c>
      <c r="I82" s="31" t="n">
        <v>140176</v>
      </c>
      <c r="J82" s="31" t="inlineStr">
        <is>
          <t>500245</t>
        </is>
      </c>
    </row>
    <row r="83">
      <c r="A83" s="31" t="inlineStr">
        <is>
          <t>BIRLACABLE</t>
        </is>
      </c>
      <c r="B83" s="31" t="inlineStr">
        <is>
          <t>Birla Cable Limited</t>
        </is>
      </c>
      <c r="C83" s="31" t="inlineStr">
        <is>
          <t>industrials</t>
        </is>
      </c>
      <c r="D83" s="31" t="inlineStr">
        <is>
          <t>cables - telephone</t>
        </is>
      </c>
      <c r="E83" s="31" t="inlineStr">
        <is>
          <t>smallcap</t>
        </is>
      </c>
      <c r="F83" s="31" t="n">
        <v>1133.85</v>
      </c>
      <c r="G83" s="31" t="n">
        <v>382.55</v>
      </c>
      <c r="H83" s="31" t="n">
        <v>1.22</v>
      </c>
      <c r="I83" s="31" t="n">
        <v>734776</v>
      </c>
      <c r="J83" s="31" t="inlineStr">
        <is>
          <t>500060</t>
        </is>
      </c>
    </row>
    <row r="84">
      <c r="A84" s="31" t="inlineStr">
        <is>
          <t>CEIGALL</t>
        </is>
      </c>
      <c r="B84" s="31" t="inlineStr">
        <is>
          <t>Ceigall India Ltd</t>
        </is>
      </c>
      <c r="C84" s="31" t="inlineStr">
        <is>
          <t>realty</t>
        </is>
      </c>
      <c r="D84" s="31" t="inlineStr">
        <is>
          <t>construction</t>
        </is>
      </c>
      <c r="E84" s="31" t="inlineStr">
        <is>
          <t>midcap</t>
        </is>
      </c>
      <c r="F84" s="31" t="n">
        <v>6658.98</v>
      </c>
      <c r="G84" s="31" t="n">
        <v>386.8</v>
      </c>
      <c r="H84" s="31" t="n">
        <v>1.19</v>
      </c>
      <c r="I84" s="31" t="n">
        <v>393782</v>
      </c>
      <c r="J84" s="31" t="inlineStr">
        <is>
          <t>544223</t>
        </is>
      </c>
    </row>
    <row r="85">
      <c r="A85" s="31" t="inlineStr">
        <is>
          <t>BLACKBUCK</t>
        </is>
      </c>
      <c r="B85" s="31" t="inlineStr">
        <is>
          <t>BlackBuck Ltd</t>
        </is>
      </c>
      <c r="C85" s="31" t="inlineStr">
        <is>
          <t>transportation</t>
        </is>
      </c>
      <c r="D85" s="31" t="inlineStr">
        <is>
          <t>miscellaneous</t>
        </is>
      </c>
      <c r="E85" s="31" t="inlineStr">
        <is>
          <t>midcap</t>
        </is>
      </c>
      <c r="F85" s="31" t="n">
        <v>11145.06</v>
      </c>
      <c r="G85" s="31" t="n">
        <v>619.05</v>
      </c>
      <c r="H85" s="31" t="n">
        <v>1.17</v>
      </c>
      <c r="I85" s="31" t="n">
        <v>892263</v>
      </c>
      <c r="J85" s="31" t="inlineStr">
        <is>
          <t>544288</t>
        </is>
      </c>
    </row>
    <row r="86">
      <c r="A86" s="31" t="inlineStr">
        <is>
          <t>SURAKSHA</t>
        </is>
      </c>
      <c r="B86" s="31" t="inlineStr">
        <is>
          <t>Suraksha Diagnostic Ltd</t>
        </is>
      </c>
      <c r="C86" s="31" t="inlineStr">
        <is>
          <t>healthcare</t>
        </is>
      </c>
      <c r="D86" s="31" t="inlineStr">
        <is>
          <t>healthcare</t>
        </is>
      </c>
      <c r="E86" s="31" t="inlineStr">
        <is>
          <t>smallcap</t>
        </is>
      </c>
      <c r="F86" s="31" t="n">
        <v>1682.47</v>
      </c>
      <c r="G86" s="31" t="n">
        <v>326.8</v>
      </c>
      <c r="H86" s="31" t="n">
        <v>1.16</v>
      </c>
      <c r="I86" s="31" t="n">
        <v>98905</v>
      </c>
      <c r="J86" s="31" t="inlineStr">
        <is>
          <t>544293</t>
        </is>
      </c>
    </row>
    <row r="87">
      <c r="A87" s="31" t="inlineStr">
        <is>
          <t>SHREEPUSHK</t>
        </is>
      </c>
      <c r="B87" s="31" t="inlineStr">
        <is>
          <t>Shree Pushkar Chemicals &amp; Fertilisers Limited</t>
        </is>
      </c>
      <c r="C87" s="31" t="inlineStr">
        <is>
          <t>chemicals</t>
        </is>
      </c>
      <c r="D87" s="31" t="inlineStr">
        <is>
          <t>dyes and pigments</t>
        </is>
      </c>
      <c r="E87" s="31" t="inlineStr">
        <is>
          <t>smallcap</t>
        </is>
      </c>
      <c r="F87" s="31" t="n">
        <v>1621.57</v>
      </c>
      <c r="G87" s="31" t="n">
        <v>506.95</v>
      </c>
      <c r="H87" s="31" t="n">
        <v>1.1</v>
      </c>
      <c r="I87" s="31" t="n">
        <v>123748</v>
      </c>
      <c r="J87" s="31" t="inlineStr">
        <is>
          <t>539334</t>
        </is>
      </c>
    </row>
    <row r="88">
      <c r="A88" s="31" t="inlineStr">
        <is>
          <t>UNITEDPOLY</t>
        </is>
      </c>
      <c r="B88" s="31" t="inlineStr">
        <is>
          <t>United Polyfab Gujarat Ltd</t>
        </is>
      </c>
      <c r="C88" s="31" t="inlineStr">
        <is>
          <t>textiles</t>
        </is>
      </c>
      <c r="D88" s="31" t="inlineStr">
        <is>
          <t>textiles - products</t>
        </is>
      </c>
      <c r="E88" s="31" t="inlineStr">
        <is>
          <t>smallcap</t>
        </is>
      </c>
      <c r="F88" s="31" t="n">
        <v>981.1799999999999</v>
      </c>
      <c r="G88" s="31" t="n">
        <v>43.19</v>
      </c>
      <c r="H88" s="31" t="n">
        <v>1.03</v>
      </c>
      <c r="I88" s="31" t="n">
        <v>143829</v>
      </c>
      <c r="J88" s="31" t="inlineStr">
        <is>
          <t>533024</t>
        </is>
      </c>
    </row>
    <row r="89">
      <c r="A89" s="31" t="inlineStr">
        <is>
          <t>ANANDRATHI</t>
        </is>
      </c>
      <c r="B89" s="31" t="inlineStr">
        <is>
          <t>Anand Rathi Wealth Ltd</t>
        </is>
      </c>
      <c r="C89" s="31" t="inlineStr">
        <is>
          <t>financials</t>
        </is>
      </c>
      <c r="D89" s="31" t="inlineStr">
        <is>
          <t>finance &amp; investments</t>
        </is>
      </c>
      <c r="E89" s="31" t="inlineStr">
        <is>
          <t>largecap</t>
        </is>
      </c>
      <c r="F89" s="31" t="n">
        <v>36261.75</v>
      </c>
      <c r="G89" s="31" t="n">
        <v>2206.2</v>
      </c>
      <c r="H89" s="31" t="n">
        <v>1.02</v>
      </c>
      <c r="I89" s="31" t="n">
        <v>279080</v>
      </c>
      <c r="J89" s="31" t="inlineStr">
        <is>
          <t>543415</t>
        </is>
      </c>
    </row>
    <row r="90">
      <c r="A90" s="31" t="inlineStr">
        <is>
          <t>WENDT</t>
        </is>
      </c>
      <c r="B90" s="31" t="inlineStr">
        <is>
          <t>Wendt (india) Limited</t>
        </is>
      </c>
      <c r="C90" s="31" t="inlineStr">
        <is>
          <t>industrials</t>
        </is>
      </c>
      <c r="D90" s="31" t="inlineStr">
        <is>
          <t>abrasives and grinding wheels</t>
        </is>
      </c>
      <c r="E90" s="31" t="inlineStr">
        <is>
          <t>smallcap</t>
        </is>
      </c>
      <c r="F90" s="31" t="n">
        <v>1716</v>
      </c>
      <c r="G90" s="31" t="n">
        <v>8663.5</v>
      </c>
      <c r="H90" s="31" t="n">
        <v>0.97</v>
      </c>
      <c r="I90" s="31" t="n">
        <v>16389</v>
      </c>
      <c r="J90" s="31" t="inlineStr">
        <is>
          <t>505412</t>
        </is>
      </c>
    </row>
    <row r="91">
      <c r="A91" s="31" t="inlineStr">
        <is>
          <t>IPCALAB</t>
        </is>
      </c>
      <c r="B91" s="31" t="inlineStr">
        <is>
          <t>Ipca Laboratories Limited</t>
        </is>
      </c>
      <c r="C91" s="31" t="inlineStr">
        <is>
          <t>healthcare</t>
        </is>
      </c>
      <c r="D91" s="31" t="inlineStr">
        <is>
          <t>pharmaceuticals - indian - bulk drugs &amp; formln</t>
        </is>
      </c>
      <c r="E91" s="31" t="inlineStr">
        <is>
          <t>largecap</t>
        </is>
      </c>
      <c r="F91" s="31" t="n">
        <v>49025.8</v>
      </c>
      <c r="G91" s="31" t="n">
        <v>1950.7</v>
      </c>
      <c r="H91" s="31" t="n">
        <v>0.95</v>
      </c>
      <c r="I91" s="31" t="n">
        <v>337123</v>
      </c>
      <c r="J91" s="31" t="inlineStr">
        <is>
          <t>524494</t>
        </is>
      </c>
    </row>
    <row r="92">
      <c r="A92" s="31" t="inlineStr">
        <is>
          <t>SHREEJISPG</t>
        </is>
      </c>
      <c r="B92" s="31" t="inlineStr">
        <is>
          <t>Shreeji Shipping Global Ltd</t>
        </is>
      </c>
      <c r="C92" s="31" t="inlineStr">
        <is>
          <t>transportation</t>
        </is>
      </c>
      <c r="D92" s="31" t="inlineStr">
        <is>
          <t>shipping</t>
        </is>
      </c>
      <c r="E92" s="31" t="inlineStr">
        <is>
          <t>midcap</t>
        </is>
      </c>
      <c r="F92" s="31" t="n">
        <v>11143.61</v>
      </c>
      <c r="G92" s="31" t="n">
        <v>690.2</v>
      </c>
      <c r="H92" s="31" t="n">
        <v>0.91</v>
      </c>
      <c r="I92" s="31" t="n">
        <v>809303</v>
      </c>
      <c r="J92" s="31" t="inlineStr">
        <is>
          <t>544490</t>
        </is>
      </c>
    </row>
    <row r="93">
      <c r="A93" s="31" t="inlineStr">
        <is>
          <t>BIL</t>
        </is>
      </c>
      <c r="B93" s="31" t="inlineStr">
        <is>
          <t>Bhartiya International Limited</t>
        </is>
      </c>
      <c r="C93" s="31" t="inlineStr">
        <is>
          <t>consumer discretionary</t>
        </is>
      </c>
      <c r="D93" s="31" t="inlineStr">
        <is>
          <t>leather / leather products</t>
        </is>
      </c>
      <c r="E93" s="31" t="inlineStr">
        <is>
          <t>smallcap</t>
        </is>
      </c>
      <c r="F93" s="31" t="n">
        <v>1377.99</v>
      </c>
      <c r="G93" s="31" t="n">
        <v>1036.25</v>
      </c>
      <c r="H93" s="31" t="n">
        <v>0.85</v>
      </c>
      <c r="I93" s="31" t="n">
        <v>12435</v>
      </c>
      <c r="J93" s="31" t="inlineStr">
        <is>
          <t>526666</t>
        </is>
      </c>
    </row>
    <row r="94">
      <c r="A94" s="31" t="inlineStr">
        <is>
          <t>AKUMS</t>
        </is>
      </c>
      <c r="B94" s="31" t="inlineStr">
        <is>
          <t>Akums Drugs &amp; Pharmaceuticals Ltd</t>
        </is>
      </c>
      <c r="C94" s="31" t="inlineStr">
        <is>
          <t>healthcare</t>
        </is>
      </c>
      <c r="D94" s="31" t="inlineStr">
        <is>
          <t>pharmaceuticals - indian - bulk drugs &amp; formln</t>
        </is>
      </c>
      <c r="E94" s="31" t="inlineStr">
        <is>
          <t>midcap</t>
        </is>
      </c>
      <c r="F94" s="31" t="n">
        <v>12050.87</v>
      </c>
      <c r="G94" s="31" t="n">
        <v>772</v>
      </c>
      <c r="H94" s="31" t="n">
        <v>0.83</v>
      </c>
      <c r="I94" s="31" t="n">
        <v>235680</v>
      </c>
      <c r="J94" s="31" t="inlineStr">
        <is>
          <t>544222</t>
        </is>
      </c>
    </row>
    <row r="95">
      <c r="A95" s="31" t="inlineStr">
        <is>
          <t>ASIANHOTNR</t>
        </is>
      </c>
      <c r="B95" s="31" t="inlineStr">
        <is>
          <t>Asian Hotels (north) Limited</t>
        </is>
      </c>
      <c r="C95" s="31" t="inlineStr">
        <is>
          <t>services</t>
        </is>
      </c>
      <c r="D95" s="31" t="inlineStr">
        <is>
          <t>hotels</t>
        </is>
      </c>
      <c r="E95" s="31" t="inlineStr">
        <is>
          <t>smallcap</t>
        </is>
      </c>
      <c r="F95" s="31" t="n">
        <v>1643.3</v>
      </c>
      <c r="G95" s="31" t="n">
        <v>388.55</v>
      </c>
      <c r="H95" s="31" t="n">
        <v>0.8</v>
      </c>
      <c r="I95" s="31" t="n">
        <v>33702</v>
      </c>
      <c r="J95" s="31" t="inlineStr">
        <is>
          <t>500023</t>
        </is>
      </c>
    </row>
    <row r="96">
      <c r="A96" s="31" t="inlineStr">
        <is>
          <t>SOMANYCERA</t>
        </is>
      </c>
      <c r="B96" s="31" t="inlineStr">
        <is>
          <t>Somany Ceramics Limited</t>
        </is>
      </c>
      <c r="C96" s="31" t="inlineStr">
        <is>
          <t>building materials</t>
        </is>
      </c>
      <c r="D96" s="31" t="inlineStr">
        <is>
          <t>ceramics - tiles / sanitaryware</t>
        </is>
      </c>
      <c r="E96" s="31" t="inlineStr">
        <is>
          <t>smallcap</t>
        </is>
      </c>
      <c r="F96" s="31" t="n">
        <v>2258.99</v>
      </c>
      <c r="G96" s="31" t="n">
        <v>555.15</v>
      </c>
      <c r="H96" s="31" t="n">
        <v>0.79</v>
      </c>
      <c r="I96" s="31" t="n">
        <v>103578</v>
      </c>
      <c r="J96" s="31" t="inlineStr">
        <is>
          <t>531548</t>
        </is>
      </c>
    </row>
    <row r="97">
      <c r="A97" s="31" t="inlineStr">
        <is>
          <t>DEEPINDS</t>
        </is>
      </c>
      <c r="B97" s="31" t="inlineStr">
        <is>
          <t>Deep Industries Ltd</t>
        </is>
      </c>
      <c r="C97" s="31" t="inlineStr">
        <is>
          <t>energy</t>
        </is>
      </c>
      <c r="D97" s="31" t="inlineStr">
        <is>
          <t>oil drilling / allied services</t>
        </is>
      </c>
      <c r="E97" s="31" t="inlineStr">
        <is>
          <t>smallcap</t>
        </is>
      </c>
      <c r="F97" s="31" t="n">
        <v>4674.56</v>
      </c>
      <c r="G97" s="31" t="n">
        <v>735.15</v>
      </c>
      <c r="H97" s="31" t="n">
        <v>0.65</v>
      </c>
      <c r="I97" s="31" t="n">
        <v>707797</v>
      </c>
      <c r="J97" s="31" t="inlineStr">
        <is>
          <t>543288</t>
        </is>
      </c>
    </row>
    <row r="98">
      <c r="A98" s="31" t="inlineStr">
        <is>
          <t>WELSPUNLIV</t>
        </is>
      </c>
      <c r="B98" s="31" t="inlineStr">
        <is>
          <t>Welspun Living Ltd</t>
        </is>
      </c>
      <c r="C98" s="31" t="inlineStr">
        <is>
          <t>textiles</t>
        </is>
      </c>
      <c r="D98" s="31" t="inlineStr">
        <is>
          <t>textiles - products</t>
        </is>
      </c>
      <c r="E98" s="31" t="inlineStr">
        <is>
          <t>midcap</t>
        </is>
      </c>
      <c r="F98" s="31" t="n">
        <v>19049.04</v>
      </c>
      <c r="G98" s="31" t="n">
        <v>202.82</v>
      </c>
      <c r="H98" s="31" t="n">
        <v>0.59</v>
      </c>
      <c r="I98" s="31" t="n">
        <v>3113066</v>
      </c>
      <c r="J98" s="31" t="inlineStr">
        <is>
          <t>514162</t>
        </is>
      </c>
    </row>
    <row r="99">
      <c r="A99" s="31" t="inlineStr">
        <is>
          <t>CONFIPET</t>
        </is>
      </c>
      <c r="B99" s="31" t="inlineStr">
        <is>
          <t>Confidence Petroleum India Ltd</t>
        </is>
      </c>
      <c r="C99" s="31" t="inlineStr">
        <is>
          <t>miscellaneous</t>
        </is>
      </c>
      <c r="D99" s="31" t="inlineStr">
        <is>
          <t>miscellaneous</t>
        </is>
      </c>
      <c r="E99" s="31" t="inlineStr">
        <is>
          <t>smallcap</t>
        </is>
      </c>
      <c r="F99" s="31" t="n">
        <v>2860.6</v>
      </c>
      <c r="G99" s="31" t="n">
        <v>86.58</v>
      </c>
      <c r="H99" s="31" t="n">
        <v>0.5600000000000001</v>
      </c>
      <c r="I99" s="31" t="n">
        <v>2646137</v>
      </c>
      <c r="J99" s="31" t="inlineStr">
        <is>
          <t>526829</t>
        </is>
      </c>
    </row>
    <row r="100">
      <c r="A100" s="31" t="inlineStr">
        <is>
          <t>MAXESTATES</t>
        </is>
      </c>
      <c r="B100" s="31" t="inlineStr">
        <is>
          <t>Max Estates Ltd</t>
        </is>
      </c>
      <c r="C100" s="31" t="inlineStr">
        <is>
          <t>realty</t>
        </is>
      </c>
      <c r="D100" s="31" t="inlineStr">
        <is>
          <t>construction</t>
        </is>
      </c>
      <c r="E100" s="31" t="inlineStr">
        <is>
          <t>midcap</t>
        </is>
      </c>
      <c r="F100" s="31" t="n">
        <v>9301.360000000001</v>
      </c>
      <c r="G100" s="31" t="n">
        <v>572.1</v>
      </c>
      <c r="H100" s="31" t="n">
        <v>0.5600000000000001</v>
      </c>
      <c r="I100" s="31" t="n">
        <v>132037</v>
      </c>
      <c r="J100" s="31" t="inlineStr">
        <is>
          <t>544008</t>
        </is>
      </c>
    </row>
    <row r="101">
      <c r="A101" s="31" t="inlineStr">
        <is>
          <t>BAFNAPH</t>
        </is>
      </c>
      <c r="B101" s="31" t="inlineStr">
        <is>
          <t>Bafna Pharmaceuticals Ltd</t>
        </is>
      </c>
      <c r="C101" s="31" t="inlineStr">
        <is>
          <t>healthcare</t>
        </is>
      </c>
      <c r="D101" s="31" t="inlineStr">
        <is>
          <t>pharmaceuticals - indian - formulations</t>
        </is>
      </c>
      <c r="E101" s="31" t="inlineStr">
        <is>
          <t>smallcap</t>
        </is>
      </c>
      <c r="F101" s="31" t="n">
        <v>726.96</v>
      </c>
      <c r="G101" s="31" t="n">
        <v>309</v>
      </c>
      <c r="H101" s="31" t="n">
        <v>0.55</v>
      </c>
      <c r="I101" s="31" t="n">
        <v>6535</v>
      </c>
      <c r="J101" s="31" t="inlineStr">
        <is>
          <t>532989</t>
        </is>
      </c>
    </row>
    <row r="102">
      <c r="A102" s="31" t="inlineStr">
        <is>
          <t>CASTROLIND</t>
        </is>
      </c>
      <c r="B102" s="31" t="inlineStr">
        <is>
          <t>Castrol India Limited</t>
        </is>
      </c>
      <c r="C102" s="31" t="inlineStr">
        <is>
          <t>chemicals</t>
        </is>
      </c>
      <c r="D102" s="31" t="inlineStr">
        <is>
          <t>chemicals</t>
        </is>
      </c>
      <c r="E102" s="31" t="inlineStr">
        <is>
          <t>midcap</t>
        </is>
      </c>
      <c r="F102" s="31" t="n">
        <v>18577.7</v>
      </c>
      <c r="G102" s="31" t="n">
        <v>188.84</v>
      </c>
      <c r="H102" s="31" t="n">
        <v>0.54</v>
      </c>
      <c r="I102" s="31" t="n">
        <v>1359799</v>
      </c>
      <c r="J102" s="31" t="inlineStr">
        <is>
          <t>500870</t>
        </is>
      </c>
    </row>
    <row r="103">
      <c r="A103" s="31" t="inlineStr">
        <is>
          <t>WELCORP</t>
        </is>
      </c>
      <c r="B103" s="31" t="inlineStr">
        <is>
          <t>Welspun Corp Limited</t>
        </is>
      </c>
      <c r="C103" s="31" t="inlineStr">
        <is>
          <t>industrials</t>
        </is>
      </c>
      <c r="D103" s="31" t="inlineStr">
        <is>
          <t>steel - large</t>
        </is>
      </c>
      <c r="E103" s="31" t="inlineStr">
        <is>
          <t>largecap</t>
        </is>
      </c>
      <c r="F103" s="31" t="n">
        <v>63660.6</v>
      </c>
      <c r="G103" s="31" t="n">
        <v>2424.5</v>
      </c>
      <c r="H103" s="31" t="n">
        <v>0.46</v>
      </c>
      <c r="I103" s="31" t="n">
        <v>2931474</v>
      </c>
      <c r="J103" s="31" t="inlineStr">
        <is>
          <t>532144</t>
        </is>
      </c>
    </row>
    <row r="104">
      <c r="A104" s="31" t="inlineStr">
        <is>
          <t>TFCILTD</t>
        </is>
      </c>
      <c r="B104" s="31" t="inlineStr">
        <is>
          <t>Tourism Finance Corporation Of India Limited</t>
        </is>
      </c>
      <c r="C104" s="31" t="inlineStr">
        <is>
          <t>financials</t>
        </is>
      </c>
      <c r="D104" s="31" t="inlineStr">
        <is>
          <t>finance - term-lending institutions</t>
        </is>
      </c>
      <c r="E104" s="31" t="inlineStr">
        <is>
          <t>midcap</t>
        </is>
      </c>
      <c r="F104" s="31" t="n">
        <v>6397.42</v>
      </c>
      <c r="G104" s="31" t="n">
        <v>138.81</v>
      </c>
      <c r="H104" s="31" t="n">
        <v>0.46</v>
      </c>
      <c r="I104" s="31" t="n">
        <v>11711599</v>
      </c>
      <c r="J104" s="31" t="inlineStr">
        <is>
          <t>526650</t>
        </is>
      </c>
    </row>
    <row r="105">
      <c r="A105" s="31" t="inlineStr">
        <is>
          <t>PFOCUS</t>
        </is>
      </c>
      <c r="B105" s="31" t="inlineStr">
        <is>
          <t>Prime Focus Limited</t>
        </is>
      </c>
      <c r="C105" s="31" t="inlineStr">
        <is>
          <t>realty</t>
        </is>
      </c>
      <c r="D105" s="31" t="inlineStr">
        <is>
          <t>miscellaneous</t>
        </is>
      </c>
      <c r="E105" s="31" t="inlineStr">
        <is>
          <t>largecap</t>
        </is>
      </c>
      <c r="F105" s="31" t="n">
        <v>24770.05</v>
      </c>
      <c r="G105" s="31" t="n">
        <v>320.45</v>
      </c>
      <c r="H105" s="31" t="n">
        <v>0.45</v>
      </c>
      <c r="I105" s="31" t="n">
        <v>2349306</v>
      </c>
      <c r="J105" s="31" t="inlineStr">
        <is>
          <t>532748</t>
        </is>
      </c>
    </row>
    <row r="106">
      <c r="A106" s="31" t="inlineStr">
        <is>
          <t>MGEL</t>
        </is>
      </c>
      <c r="B106" s="31" t="inlineStr">
        <is>
          <t>Mangalam Global Enterprise Ltd</t>
        </is>
      </c>
      <c r="C106" s="31" t="inlineStr">
        <is>
          <t>services</t>
        </is>
      </c>
      <c r="D106" s="31" t="inlineStr">
        <is>
          <t>trading</t>
        </is>
      </c>
      <c r="E106" s="31" t="inlineStr">
        <is>
          <t>smallcap</t>
        </is>
      </c>
      <c r="F106" s="31" t="n">
        <v>511.8</v>
      </c>
      <c r="G106" s="31" t="n">
        <v>15.6</v>
      </c>
      <c r="H106" s="31" t="n">
        <v>0.45</v>
      </c>
      <c r="I106" s="31" t="n">
        <v>226843</v>
      </c>
      <c r="J106" s="31" t="inlineStr">
        <is>
          <t>535349</t>
        </is>
      </c>
    </row>
    <row r="107">
      <c r="A107" s="31" t="inlineStr">
        <is>
          <t>KAMDHENU</t>
        </is>
      </c>
      <c r="B107" s="31" t="inlineStr">
        <is>
          <t>Kamdhenu Limited</t>
        </is>
      </c>
      <c r="C107" s="31" t="inlineStr">
        <is>
          <t>metals &amp; mining</t>
        </is>
      </c>
      <c r="D107" s="31" t="inlineStr">
        <is>
          <t>steel - medium / small</t>
        </is>
      </c>
      <c r="E107" s="31" t="inlineStr">
        <is>
          <t>smallcap</t>
        </is>
      </c>
      <c r="F107" s="31" t="n">
        <v>1089.76</v>
      </c>
      <c r="G107" s="31" t="n">
        <v>38.83</v>
      </c>
      <c r="H107" s="31" t="n">
        <v>0.44</v>
      </c>
      <c r="I107" s="31" t="n">
        <v>1085219</v>
      </c>
      <c r="J107" s="31" t="inlineStr">
        <is>
          <t>532741</t>
        </is>
      </c>
    </row>
    <row r="108">
      <c r="A108" s="31" t="inlineStr">
        <is>
          <t>SPLPETRO</t>
        </is>
      </c>
      <c r="B108" s="31" t="inlineStr">
        <is>
          <t>Supreme Petrochem Ltd</t>
        </is>
      </c>
      <c r="C108" s="31" t="inlineStr">
        <is>
          <t>energy</t>
        </is>
      </c>
      <c r="D108" s="31" t="inlineStr">
        <is>
          <t>petrochemicals</t>
        </is>
      </c>
      <c r="E108" s="31" t="inlineStr">
        <is>
          <t>midcap</t>
        </is>
      </c>
      <c r="F108" s="31" t="n">
        <v>14843.04</v>
      </c>
      <c r="G108" s="31" t="n">
        <v>792.7</v>
      </c>
      <c r="H108" s="31" t="n">
        <v>0.42</v>
      </c>
      <c r="I108" s="31" t="n">
        <v>175117</v>
      </c>
      <c r="J108" s="31" t="inlineStr">
        <is>
          <t>500405</t>
        </is>
      </c>
    </row>
    <row r="109">
      <c r="A109" s="31" t="inlineStr">
        <is>
          <t>OIL</t>
        </is>
      </c>
      <c r="B109" s="31" t="inlineStr">
        <is>
          <t>Oil India Limited</t>
        </is>
      </c>
      <c r="C109" s="31" t="inlineStr">
        <is>
          <t>energy</t>
        </is>
      </c>
      <c r="D109" s="31" t="inlineStr">
        <is>
          <t>oil drilling / allied services</t>
        </is>
      </c>
      <c r="E109" s="31" t="inlineStr">
        <is>
          <t>largecap</t>
        </is>
      </c>
      <c r="F109" s="31" t="n">
        <v>78988.07000000001</v>
      </c>
      <c r="G109" s="31" t="n">
        <v>487.6</v>
      </c>
      <c r="H109" s="31" t="n">
        <v>0.41</v>
      </c>
      <c r="I109" s="31" t="n">
        <v>1295800</v>
      </c>
      <c r="J109" s="31" t="inlineStr">
        <is>
          <t>533106</t>
        </is>
      </c>
    </row>
    <row r="110">
      <c r="A110" s="31" t="inlineStr">
        <is>
          <t>SOFTTECH</t>
        </is>
      </c>
      <c r="B110" s="31" t="inlineStr">
        <is>
          <t>Softtech Engineers Ltd</t>
        </is>
      </c>
      <c r="C110" s="31" t="inlineStr">
        <is>
          <t>i.t</t>
        </is>
      </c>
      <c r="D110" s="31" t="inlineStr">
        <is>
          <t>computers - software - medium / small</t>
        </is>
      </c>
      <c r="E110" s="31" t="inlineStr">
        <is>
          <t>smallcap</t>
        </is>
      </c>
      <c r="F110" s="31" t="n">
        <v>657.4299999999999</v>
      </c>
      <c r="G110" s="31" t="n">
        <v>476.9</v>
      </c>
      <c r="H110" s="31" t="n">
        <v>0.41</v>
      </c>
      <c r="I110" s="31" t="n">
        <v>9640</v>
      </c>
      <c r="J110" s="31" t="inlineStr">
        <is>
          <t>535078</t>
        </is>
      </c>
    </row>
    <row r="111">
      <c r="A111" s="31" t="inlineStr">
        <is>
          <t>MACPOWER</t>
        </is>
      </c>
      <c r="B111" s="31" t="inlineStr">
        <is>
          <t>Macpower CNC Machines Ltd</t>
        </is>
      </c>
      <c r="C111" s="31" t="inlineStr">
        <is>
          <t>industrials</t>
        </is>
      </c>
      <c r="D111" s="31" t="inlineStr">
        <is>
          <t>engineering</t>
        </is>
      </c>
      <c r="E111" s="31" t="inlineStr">
        <is>
          <t>smallcap</t>
        </is>
      </c>
      <c r="F111" s="31" t="n">
        <v>1883.08</v>
      </c>
      <c r="G111" s="31" t="n">
        <v>1889.6</v>
      </c>
      <c r="H111" s="31" t="n">
        <v>0.39</v>
      </c>
      <c r="I111" s="31" t="n">
        <v>53070</v>
      </c>
      <c r="J111" s="31" t="inlineStr">
        <is>
          <t>535057</t>
        </is>
      </c>
    </row>
    <row r="112">
      <c r="A112" s="31" t="inlineStr">
        <is>
          <t>CONSOFINVT</t>
        </is>
      </c>
      <c r="B112" s="31" t="inlineStr">
        <is>
          <t>Consolidated Finvest &amp; Holdings Limited</t>
        </is>
      </c>
      <c r="C112" s="31" t="inlineStr">
        <is>
          <t>financials</t>
        </is>
      </c>
      <c r="D112" s="31" t="inlineStr">
        <is>
          <t>finance &amp; investments</t>
        </is>
      </c>
      <c r="E112" s="31" t="inlineStr">
        <is>
          <t>smallcap</t>
        </is>
      </c>
      <c r="F112" s="31" t="n">
        <v>976.26</v>
      </c>
      <c r="G112" s="31" t="n">
        <v>303.15</v>
      </c>
      <c r="H112" s="31" t="n">
        <v>0.38</v>
      </c>
      <c r="I112" s="31" t="n">
        <v>1942</v>
      </c>
      <c r="J112" s="31" t="inlineStr">
        <is>
          <t>500226</t>
        </is>
      </c>
    </row>
    <row r="113">
      <c r="A113" s="31" t="inlineStr">
        <is>
          <t>INDIQUBE</t>
        </is>
      </c>
      <c r="B113" s="31" t="inlineStr">
        <is>
          <t>Indiqube Spaces Ltd</t>
        </is>
      </c>
      <c r="C113" s="31" t="inlineStr">
        <is>
          <t>co-working</t>
        </is>
      </c>
      <c r="D113" s="31" t="inlineStr">
        <is>
          <t>miscellaneous</t>
        </is>
      </c>
      <c r="E113" s="31" t="inlineStr">
        <is>
          <t>smallcap</t>
        </is>
      </c>
      <c r="F113" s="31" t="n">
        <v>4227.87</v>
      </c>
      <c r="G113" s="31" t="n">
        <v>200.15</v>
      </c>
      <c r="H113" s="31" t="n">
        <v>0.36</v>
      </c>
      <c r="I113" s="31" t="n">
        <v>59017</v>
      </c>
      <c r="J113" s="31" t="inlineStr">
        <is>
          <t>544454</t>
        </is>
      </c>
    </row>
    <row r="114">
      <c r="A114" s="31" t="inlineStr">
        <is>
          <t>ZYDUSWELL</t>
        </is>
      </c>
      <c r="B114" s="31" t="inlineStr">
        <is>
          <t>Zydus Wellness Limited</t>
        </is>
      </c>
      <c r="C114" s="31" t="inlineStr">
        <is>
          <t>fmcg</t>
        </is>
      </c>
      <c r="D114" s="31" t="inlineStr">
        <is>
          <t>food - processing - indian</t>
        </is>
      </c>
      <c r="E114" s="31" t="inlineStr">
        <is>
          <t>midcap</t>
        </is>
      </c>
      <c r="F114" s="31" t="n">
        <v>17497.25</v>
      </c>
      <c r="G114" s="31" t="n">
        <v>551.8</v>
      </c>
      <c r="H114" s="31" t="n">
        <v>0.34</v>
      </c>
      <c r="I114" s="31" t="n">
        <v>164461</v>
      </c>
      <c r="J114" s="31" t="inlineStr">
        <is>
          <t>531335</t>
        </is>
      </c>
    </row>
    <row r="115">
      <c r="A115" s="31" t="inlineStr">
        <is>
          <t>SUPRIYA</t>
        </is>
      </c>
      <c r="B115" s="31" t="inlineStr">
        <is>
          <t>Supriya Lifescience Ltd</t>
        </is>
      </c>
      <c r="C115" s="31" t="inlineStr">
        <is>
          <t>healthcare</t>
        </is>
      </c>
      <c r="D115" s="31" t="inlineStr">
        <is>
          <t>pharmaceuticals - indian - bulk drugs &amp; formln</t>
        </is>
      </c>
      <c r="E115" s="31" t="inlineStr">
        <is>
          <t>midcap</t>
        </is>
      </c>
      <c r="F115" s="31" t="n">
        <v>7041.84</v>
      </c>
      <c r="G115" s="31" t="n">
        <v>877.85</v>
      </c>
      <c r="H115" s="31" t="n">
        <v>0.33</v>
      </c>
      <c r="I115" s="31" t="n">
        <v>191677</v>
      </c>
      <c r="J115" s="31" t="inlineStr">
        <is>
          <t>543434</t>
        </is>
      </c>
    </row>
    <row r="116">
      <c r="A116" s="31" t="inlineStr">
        <is>
          <t>GODREJAGRO</t>
        </is>
      </c>
      <c r="B116" s="31" t="inlineStr">
        <is>
          <t>Godrej Agrovet Ltd</t>
        </is>
      </c>
      <c r="C116" s="31" t="inlineStr">
        <is>
          <t>fmcg</t>
        </is>
      </c>
      <c r="D116" s="31" t="inlineStr">
        <is>
          <t>food - processing - indian</t>
        </is>
      </c>
      <c r="E116" s="31" t="inlineStr">
        <is>
          <t>midcap</t>
        </is>
      </c>
      <c r="F116" s="31" t="n">
        <v>12412.99</v>
      </c>
      <c r="G116" s="31" t="n">
        <v>647.35</v>
      </c>
      <c r="H116" s="31" t="n">
        <v>0.32</v>
      </c>
      <c r="I116" s="31" t="n">
        <v>125139</v>
      </c>
      <c r="J116" s="31" t="inlineStr">
        <is>
          <t>540743</t>
        </is>
      </c>
    </row>
    <row r="117">
      <c r="A117" s="31" t="inlineStr">
        <is>
          <t>LGBBROSLTD</t>
        </is>
      </c>
      <c r="B117" s="31" t="inlineStr">
        <is>
          <t>Lg Balakrishnan &amp; Bros Limited</t>
        </is>
      </c>
      <c r="C117" s="31" t="inlineStr">
        <is>
          <t>auto</t>
        </is>
      </c>
      <c r="D117" s="31" t="inlineStr">
        <is>
          <t>bearings</t>
        </is>
      </c>
      <c r="E117" s="31" t="inlineStr">
        <is>
          <t>midcap</t>
        </is>
      </c>
      <c r="F117" s="31" t="n">
        <v>5431.92</v>
      </c>
      <c r="G117" s="31" t="n">
        <v>1706.7</v>
      </c>
      <c r="H117" s="31" t="n">
        <v>0.21</v>
      </c>
      <c r="I117" s="31" t="n">
        <v>38929</v>
      </c>
      <c r="J117" s="31" t="inlineStr">
        <is>
          <t>500250</t>
        </is>
      </c>
    </row>
    <row r="118">
      <c r="A118" s="31" t="inlineStr">
        <is>
          <t>VALIANTORG</t>
        </is>
      </c>
      <c r="B118" s="31" t="inlineStr">
        <is>
          <t>Valiant Organics Ltd</t>
        </is>
      </c>
      <c r="C118" s="31" t="inlineStr">
        <is>
          <t>chemicals</t>
        </is>
      </c>
      <c r="D118" s="31" t="inlineStr">
        <is>
          <t>chemicals</t>
        </is>
      </c>
      <c r="E118" s="31" t="inlineStr">
        <is>
          <t>smallcap</t>
        </is>
      </c>
      <c r="F118" s="31" t="n">
        <v>1088.72</v>
      </c>
      <c r="G118" s="31" t="n">
        <v>389</v>
      </c>
      <c r="H118" s="31" t="n">
        <v>0.17</v>
      </c>
      <c r="I118" s="31" t="n">
        <v>58340</v>
      </c>
      <c r="J118" s="31" t="inlineStr">
        <is>
          <t>540145</t>
        </is>
      </c>
    </row>
    <row r="119">
      <c r="A119" s="31" t="inlineStr">
        <is>
          <t>PAISALO</t>
        </is>
      </c>
      <c r="B119" s="31" t="inlineStr">
        <is>
          <t>Paisalo Digital Ltd</t>
        </is>
      </c>
      <c r="C119" s="31" t="inlineStr">
        <is>
          <t>financials</t>
        </is>
      </c>
      <c r="D119" s="31" t="inlineStr">
        <is>
          <t>finance &amp; investments</t>
        </is>
      </c>
      <c r="E119" s="31" t="inlineStr">
        <is>
          <t>midcap</t>
        </is>
      </c>
      <c r="F119" s="31" t="n">
        <v>7682.73</v>
      </c>
      <c r="G119" s="31" t="n">
        <v>84.59</v>
      </c>
      <c r="H119" s="31" t="n">
        <v>0.14</v>
      </c>
      <c r="I119" s="31" t="n">
        <v>20996365</v>
      </c>
      <c r="J119" s="31" t="inlineStr">
        <is>
          <t>532900</t>
        </is>
      </c>
    </row>
    <row r="120">
      <c r="A120" s="31" t="inlineStr">
        <is>
          <t>RATNAMANI</t>
        </is>
      </c>
      <c r="B120" s="31" t="inlineStr">
        <is>
          <t>Ratnamani Metals &amp; Tubes Limited</t>
        </is>
      </c>
      <c r="C120" s="31" t="inlineStr">
        <is>
          <t>industrials</t>
        </is>
      </c>
      <c r="D120" s="31" t="inlineStr">
        <is>
          <t>steel - medium / small</t>
        </is>
      </c>
      <c r="E120" s="31" t="inlineStr">
        <is>
          <t>midcap</t>
        </is>
      </c>
      <c r="F120" s="31" t="n">
        <v>18864.56</v>
      </c>
      <c r="G120" s="31" t="n">
        <v>2695</v>
      </c>
      <c r="H120" s="31" t="n">
        <v>0.13</v>
      </c>
      <c r="I120" s="31" t="n">
        <v>33844</v>
      </c>
      <c r="J120" s="31" t="inlineStr">
        <is>
          <t>520111</t>
        </is>
      </c>
    </row>
    <row r="121">
      <c r="A121" s="31" t="inlineStr">
        <is>
          <t>RBLBANK</t>
        </is>
      </c>
      <c r="B121" s="31" t="inlineStr">
        <is>
          <t>Rbl Bank Limited</t>
        </is>
      </c>
      <c r="C121" s="31" t="inlineStr">
        <is>
          <t>bank</t>
        </is>
      </c>
      <c r="D121" s="31" t="inlineStr">
        <is>
          <t>banks - private sector</t>
        </is>
      </c>
      <c r="E121" s="31" t="inlineStr">
        <is>
          <t>largecap</t>
        </is>
      </c>
      <c r="F121" s="31" t="n">
        <v>62499.8</v>
      </c>
      <c r="G121" s="31" t="n">
        <v>404</v>
      </c>
      <c r="H121" s="31" t="n">
        <v>0.1</v>
      </c>
      <c r="I121" s="31" t="n">
        <v>2607366</v>
      </c>
      <c r="J121" s="31" t="inlineStr">
        <is>
          <t>540065</t>
        </is>
      </c>
    </row>
    <row r="122">
      <c r="A122" s="31" t="inlineStr">
        <is>
          <t>YATHARTH</t>
        </is>
      </c>
      <c r="B122" s="31" t="inlineStr">
        <is>
          <t>Yatharth Hospital &amp; Trauma Care Services Ltd</t>
        </is>
      </c>
      <c r="C122" s="31" t="inlineStr">
        <is>
          <t>healthcare</t>
        </is>
      </c>
      <c r="D122" s="31" t="inlineStr">
        <is>
          <t>healthcare</t>
        </is>
      </c>
      <c r="E122" s="31" t="inlineStr">
        <is>
          <t>midcap</t>
        </is>
      </c>
      <c r="F122" s="31" t="n">
        <v>9460.07</v>
      </c>
      <c r="G122" s="31" t="n">
        <v>982.3</v>
      </c>
      <c r="H122" s="31" t="n">
        <v>0.05</v>
      </c>
      <c r="I122" s="31" t="n">
        <v>259279</v>
      </c>
      <c r="J122" s="31" t="inlineStr">
        <is>
          <t>543950</t>
        </is>
      </c>
    </row>
    <row r="123">
      <c r="A123" s="31" t="inlineStr">
        <is>
          <t>DYNAMATECH</t>
        </is>
      </c>
      <c r="B123" s="31" t="inlineStr">
        <is>
          <t>Dynamatic Technologies Limited</t>
        </is>
      </c>
      <c r="C123" s="31" t="inlineStr">
        <is>
          <t>aerospace &amp; defence</t>
        </is>
      </c>
      <c r="D123" s="31" t="inlineStr">
        <is>
          <t>engineering</t>
        </is>
      </c>
      <c r="E123" s="31" t="inlineStr">
        <is>
          <t>midcap</t>
        </is>
      </c>
      <c r="F123" s="31" t="n">
        <v>8197.950000000001</v>
      </c>
      <c r="G123" s="31" t="n">
        <v>12077</v>
      </c>
      <c r="H123" s="31" t="n">
        <v>0.05</v>
      </c>
      <c r="I123" s="31" t="n">
        <v>28785</v>
      </c>
      <c r="J123" s="31" t="inlineStr">
        <is>
          <t>505242</t>
        </is>
      </c>
    </row>
    <row r="124">
      <c r="A124" s="31" t="inlineStr">
        <is>
          <t>VENUSPIPES</t>
        </is>
      </c>
      <c r="B124" s="31" t="inlineStr">
        <is>
          <t>Venus Pipes &amp; Tubes Ltd</t>
        </is>
      </c>
      <c r="C124" s="31" t="inlineStr">
        <is>
          <t>metals &amp; mining</t>
        </is>
      </c>
      <c r="D124" s="31" t="inlineStr">
        <is>
          <t>steel - medium / small</t>
        </is>
      </c>
      <c r="E124" s="31" t="inlineStr">
        <is>
          <t>smallcap</t>
        </is>
      </c>
      <c r="F124" s="31" t="n">
        <v>4022.24</v>
      </c>
      <c r="G124" s="31" t="n">
        <v>1938.1</v>
      </c>
      <c r="H124" s="31" t="n">
        <v>-0.18</v>
      </c>
      <c r="I124" s="31" t="n">
        <v>218549</v>
      </c>
      <c r="J124" s="31" t="inlineStr">
        <is>
          <t>543528</t>
        </is>
      </c>
    </row>
    <row r="125">
      <c r="A125" s="31" t="inlineStr">
        <is>
          <t>SBC</t>
        </is>
      </c>
      <c r="B125" s="31" t="inlineStr">
        <is>
          <t>SBC Exports Ltd</t>
        </is>
      </c>
      <c r="C125" s="31" t="inlineStr">
        <is>
          <t>textiles</t>
        </is>
      </c>
      <c r="D125" s="31" t="inlineStr">
        <is>
          <t>textiles - products</t>
        </is>
      </c>
      <c r="E125" s="31" t="inlineStr">
        <is>
          <t>smallcap</t>
        </is>
      </c>
      <c r="F125" s="31" t="n">
        <v>2272.85</v>
      </c>
      <c r="G125" s="31" t="n">
        <v>47.63</v>
      </c>
      <c r="H125" s="31" t="n">
        <v>-0.21</v>
      </c>
      <c r="I125" s="31" t="n">
        <v>9128975</v>
      </c>
      <c r="J125" s="31" t="inlineStr">
        <is>
          <t>542725</t>
        </is>
      </c>
    </row>
    <row r="126">
      <c r="A126" s="31" t="inlineStr">
        <is>
          <t>RAYMOND</t>
        </is>
      </c>
      <c r="B126" s="31" t="inlineStr">
        <is>
          <t>Raymond Limited</t>
        </is>
      </c>
      <c r="C126" s="31" t="inlineStr">
        <is>
          <t>transportation</t>
        </is>
      </c>
      <c r="D126" s="31" t="inlineStr">
        <is>
          <t>transport - airlines</t>
        </is>
      </c>
      <c r="E126" s="31" t="inlineStr">
        <is>
          <t>midcap</t>
        </is>
      </c>
      <c r="F126" s="31" t="n">
        <v>6630.41</v>
      </c>
      <c r="G126" s="31" t="n">
        <v>993.9</v>
      </c>
      <c r="H126" s="31" t="n">
        <v>-0.21</v>
      </c>
      <c r="I126" s="31" t="n">
        <v>12662239</v>
      </c>
      <c r="J126" s="31" t="inlineStr">
        <is>
          <t>500330</t>
        </is>
      </c>
    </row>
    <row r="127">
      <c r="A127" s="31" t="inlineStr">
        <is>
          <t>PTCIL</t>
        </is>
      </c>
      <c r="B127" s="31" t="inlineStr">
        <is>
          <t>PTC Industries Ltd</t>
        </is>
      </c>
      <c r="C127" s="31" t="inlineStr">
        <is>
          <t>industrials</t>
        </is>
      </c>
      <c r="D127" s="31" t="inlineStr">
        <is>
          <t>castings &amp; forgings</t>
        </is>
      </c>
      <c r="E127" s="31" t="inlineStr">
        <is>
          <t>largecap</t>
        </is>
      </c>
      <c r="F127" s="31" t="n">
        <v>33823.19</v>
      </c>
      <c r="G127" s="31" t="n">
        <v>22500</v>
      </c>
      <c r="H127" s="31" t="n">
        <v>-0.27</v>
      </c>
      <c r="I127" s="31" t="n">
        <v>25652</v>
      </c>
      <c r="J127" s="31" t="inlineStr">
        <is>
          <t>539006</t>
        </is>
      </c>
    </row>
    <row r="128">
      <c r="A128" s="31" t="inlineStr">
        <is>
          <t>MMP</t>
        </is>
      </c>
      <c r="B128" s="31" t="inlineStr">
        <is>
          <t>MMP Industries Ltd</t>
        </is>
      </c>
      <c r="C128" s="31" t="inlineStr">
        <is>
          <t>metals &amp; mining</t>
        </is>
      </c>
      <c r="D128" s="31" t="inlineStr">
        <is>
          <t>aluminium and aluminium products</t>
        </is>
      </c>
      <c r="E128" s="31" t="inlineStr">
        <is>
          <t>smallcap</t>
        </is>
      </c>
      <c r="F128" s="31" t="n">
        <v>866</v>
      </c>
      <c r="G128" s="31" t="n">
        <v>456.35</v>
      </c>
      <c r="H128" s="31" t="n">
        <v>-0.3</v>
      </c>
      <c r="I128" s="31" t="n">
        <v>64179</v>
      </c>
      <c r="J128" s="31" t="inlineStr">
        <is>
          <t>535071</t>
        </is>
      </c>
    </row>
    <row r="129">
      <c r="A129" s="31" t="inlineStr">
        <is>
          <t>WSTCSTPAPR</t>
        </is>
      </c>
      <c r="B129" s="31" t="inlineStr">
        <is>
          <t>West Coast Paper Mills Limited</t>
        </is>
      </c>
      <c r="C129" s="31" t="inlineStr">
        <is>
          <t>building materials</t>
        </is>
      </c>
      <c r="D129" s="31" t="inlineStr">
        <is>
          <t>paper</t>
        </is>
      </c>
      <c r="E129" s="31" t="inlineStr">
        <is>
          <t>smallcap</t>
        </is>
      </c>
      <c r="F129" s="31" t="n">
        <v>4711.27</v>
      </c>
      <c r="G129" s="31" t="n">
        <v>711</v>
      </c>
      <c r="H129" s="31" t="n">
        <v>-0.32</v>
      </c>
      <c r="I129" s="31" t="n">
        <v>293983</v>
      </c>
      <c r="J129" s="31" t="inlineStr">
        <is>
          <t>500444</t>
        </is>
      </c>
    </row>
    <row r="130">
      <c r="A130" s="31" t="inlineStr">
        <is>
          <t>NEOGEN</t>
        </is>
      </c>
      <c r="B130" s="31" t="inlineStr">
        <is>
          <t>Neogen Chemicals Ltd</t>
        </is>
      </c>
      <c r="C130" s="31" t="inlineStr">
        <is>
          <t>chemicals</t>
        </is>
      </c>
      <c r="D130" s="31" t="inlineStr">
        <is>
          <t>chemicals</t>
        </is>
      </c>
      <c r="E130" s="31" t="inlineStr">
        <is>
          <t>midcap</t>
        </is>
      </c>
      <c r="F130" s="31" t="n">
        <v>6325.99</v>
      </c>
      <c r="G130" s="31" t="n">
        <v>2302.4</v>
      </c>
      <c r="H130" s="31" t="n">
        <v>-0.34</v>
      </c>
      <c r="I130" s="31" t="n">
        <v>239255</v>
      </c>
      <c r="J130" s="31" t="inlineStr">
        <is>
          <t>542665</t>
        </is>
      </c>
    </row>
    <row r="131">
      <c r="A131" s="31" t="inlineStr">
        <is>
          <t>OAL</t>
        </is>
      </c>
      <c r="B131" s="31" t="inlineStr">
        <is>
          <t>Oriental Aromatics Ltd</t>
        </is>
      </c>
      <c r="C131" s="31" t="inlineStr">
        <is>
          <t>chemicals</t>
        </is>
      </c>
      <c r="D131" s="31" t="inlineStr">
        <is>
          <t>chemicals</t>
        </is>
      </c>
      <c r="E131" s="31" t="inlineStr">
        <is>
          <t>smallcap</t>
        </is>
      </c>
      <c r="F131" s="31" t="n">
        <v>1719.53</v>
      </c>
      <c r="G131" s="31" t="n">
        <v>508.85</v>
      </c>
      <c r="H131" s="31" t="n">
        <v>-0.41</v>
      </c>
      <c r="I131" s="31" t="n">
        <v>28836</v>
      </c>
      <c r="J131" s="31" t="inlineStr">
        <is>
          <t>500078</t>
        </is>
      </c>
    </row>
    <row r="132">
      <c r="A132" s="31" t="inlineStr">
        <is>
          <t>DIVISLAB</t>
        </is>
      </c>
      <c r="B132" s="31" t="inlineStr">
        <is>
          <t>Divi's Laboratories Limited</t>
        </is>
      </c>
      <c r="C132" s="31" t="inlineStr">
        <is>
          <t>healthcare</t>
        </is>
      </c>
      <c r="D132" s="31" t="inlineStr">
        <is>
          <t>pharmaceuticals - indian - bulk drugs</t>
        </is>
      </c>
      <c r="E132" s="31" t="inlineStr">
        <is>
          <t>largecap</t>
        </is>
      </c>
      <c r="F132" s="31" t="n">
        <v>244178</v>
      </c>
      <c r="G132" s="31" t="n">
        <v>9158</v>
      </c>
      <c r="H132" s="31" t="n">
        <v>-0.43</v>
      </c>
      <c r="I132" s="31" t="n">
        <v>878300</v>
      </c>
      <c r="J132" s="31" t="inlineStr">
        <is>
          <t>532488</t>
        </is>
      </c>
    </row>
    <row r="133">
      <c r="A133" s="31" t="inlineStr">
        <is>
          <t>ACMESOLAR</t>
        </is>
      </c>
      <c r="B133" s="31" t="inlineStr">
        <is>
          <t>ACME Solar Holdings Ltd</t>
        </is>
      </c>
      <c r="C133" s="31" t="inlineStr">
        <is>
          <t>realty</t>
        </is>
      </c>
      <c r="D133" s="31" t="inlineStr">
        <is>
          <t>engineering - turnkey services</t>
        </is>
      </c>
      <c r="E133" s="31" t="inlineStr">
        <is>
          <t>largecap</t>
        </is>
      </c>
      <c r="F133" s="31" t="n">
        <v>29717</v>
      </c>
      <c r="G133" s="31" t="n">
        <v>418</v>
      </c>
      <c r="H133" s="31" t="n">
        <v>-0.57</v>
      </c>
      <c r="I133" s="31" t="n">
        <v>1349732</v>
      </c>
      <c r="J133" s="31" t="inlineStr">
        <is>
          <t>544283</t>
        </is>
      </c>
    </row>
    <row r="134">
      <c r="A134" s="31" t="inlineStr">
        <is>
          <t>SHAREINDIA</t>
        </is>
      </c>
      <c r="B134" s="31" t="inlineStr">
        <is>
          <t>Share India Securities Ltd</t>
        </is>
      </c>
      <c r="C134" s="31" t="inlineStr">
        <is>
          <t>financials</t>
        </is>
      </c>
      <c r="D134" s="31" t="inlineStr">
        <is>
          <t>finance &amp; investments</t>
        </is>
      </c>
      <c r="E134" s="31" t="inlineStr">
        <is>
          <t>smallcap</t>
        </is>
      </c>
      <c r="F134" s="31" t="n">
        <v>4315.24</v>
      </c>
      <c r="G134" s="31" t="n">
        <v>196.05</v>
      </c>
      <c r="H134" s="31" t="n">
        <v>-0.58</v>
      </c>
      <c r="I134" s="31" t="n">
        <v>1855814</v>
      </c>
      <c r="J134" s="31" t="inlineStr">
        <is>
          <t>540725</t>
        </is>
      </c>
    </row>
    <row r="135">
      <c r="A135" s="31" t="inlineStr">
        <is>
          <t>INNOVACAP</t>
        </is>
      </c>
      <c r="B135" s="31" t="inlineStr">
        <is>
          <t>Innova Captab Ltd</t>
        </is>
      </c>
      <c r="C135" s="31" t="inlineStr">
        <is>
          <t>healthcare</t>
        </is>
      </c>
      <c r="D135" s="31" t="inlineStr">
        <is>
          <t>pharmaceuticals - indian - bulk drugs &amp; formln</t>
        </is>
      </c>
      <c r="E135" s="31" t="inlineStr">
        <is>
          <t>midcap</t>
        </is>
      </c>
      <c r="F135" s="31" t="n">
        <v>6524.21</v>
      </c>
      <c r="G135" s="31" t="n">
        <v>1133.4</v>
      </c>
      <c r="H135" s="31" t="n">
        <v>-0.59</v>
      </c>
      <c r="I135" s="31" t="n">
        <v>119085</v>
      </c>
      <c r="J135" s="31" t="inlineStr">
        <is>
          <t>544067</t>
        </is>
      </c>
    </row>
    <row r="136">
      <c r="A136" s="31" t="inlineStr">
        <is>
          <t>SOLARA</t>
        </is>
      </c>
      <c r="B136" s="31" t="inlineStr">
        <is>
          <t>Solara Active Pharma Sciences Ltd</t>
        </is>
      </c>
      <c r="C136" s="31" t="inlineStr">
        <is>
          <t>healthcare</t>
        </is>
      </c>
      <c r="D136" s="31" t="inlineStr">
        <is>
          <t>pharmaceuticals - indian - bulk drugs &amp; formln</t>
        </is>
      </c>
      <c r="E136" s="31" t="inlineStr">
        <is>
          <t>smallcap</t>
        </is>
      </c>
      <c r="F136" s="31" t="n">
        <v>3453.45</v>
      </c>
      <c r="G136" s="31" t="n">
        <v>711.5</v>
      </c>
      <c r="H136" s="31" t="n">
        <v>-0.6</v>
      </c>
      <c r="I136" s="31" t="n">
        <v>730185</v>
      </c>
      <c r="J136" s="31" t="inlineStr">
        <is>
          <t>541540</t>
        </is>
      </c>
    </row>
    <row r="137">
      <c r="A137" s="31" t="inlineStr">
        <is>
          <t>BLISSGVS</t>
        </is>
      </c>
      <c r="B137" s="31" t="inlineStr">
        <is>
          <t>Bliss Gvs Pharma Limited</t>
        </is>
      </c>
      <c r="C137" s="31" t="inlineStr">
        <is>
          <t>healthcare</t>
        </is>
      </c>
      <c r="D137" s="31" t="inlineStr">
        <is>
          <t>pharmaceuticals - indian - formulations</t>
        </is>
      </c>
      <c r="E137" s="31" t="inlineStr">
        <is>
          <t>midcap</t>
        </is>
      </c>
      <c r="F137" s="31" t="n">
        <v>7264.32</v>
      </c>
      <c r="G137" s="31" t="n">
        <v>680.5</v>
      </c>
      <c r="H137" s="31" t="n">
        <v>-0.65</v>
      </c>
      <c r="I137" s="31" t="n">
        <v>412619</v>
      </c>
      <c r="J137" s="31" t="inlineStr">
        <is>
          <t>506197</t>
        </is>
      </c>
    </row>
    <row r="138">
      <c r="A138" s="31" t="inlineStr">
        <is>
          <t>AHCL</t>
        </is>
      </c>
      <c r="B138" s="31" t="inlineStr">
        <is>
          <t>Anlon Healthcare Ltd</t>
        </is>
      </c>
      <c r="C138" s="31" t="inlineStr">
        <is>
          <t>healthcare</t>
        </is>
      </c>
      <c r="D138" s="31" t="inlineStr">
        <is>
          <t>pharmaceuticals - indian - bulk drugs &amp; formln</t>
        </is>
      </c>
      <c r="E138" s="31" t="inlineStr">
        <is>
          <t>smallcap</t>
        </is>
      </c>
      <c r="F138" s="31" t="n">
        <v>1072.6</v>
      </c>
      <c r="G138" s="31" t="n">
        <v>20.04</v>
      </c>
      <c r="H138" s="31" t="n">
        <v>-0.6899999999999999</v>
      </c>
      <c r="I138" s="31" t="n">
        <v>46066495</v>
      </c>
      <c r="J138" s="31" t="inlineStr">
        <is>
          <t>544497</t>
        </is>
      </c>
    </row>
    <row r="139">
      <c r="A139" s="31" t="inlineStr">
        <is>
          <t>KILITCH</t>
        </is>
      </c>
      <c r="B139" s="31" t="inlineStr">
        <is>
          <t>Kilitch Drugs (india) Limited</t>
        </is>
      </c>
      <c r="C139" s="31" t="inlineStr">
        <is>
          <t>healthcare</t>
        </is>
      </c>
      <c r="D139" s="31" t="inlineStr">
        <is>
          <t>pharmaceuticals - indian - formulations</t>
        </is>
      </c>
      <c r="E139" s="31" t="inlineStr">
        <is>
          <t>smallcap</t>
        </is>
      </c>
      <c r="F139" s="31" t="n">
        <v>664.97</v>
      </c>
      <c r="G139" s="31" t="n">
        <v>188.82</v>
      </c>
      <c r="H139" s="31" t="n">
        <v>-0.73</v>
      </c>
      <c r="I139" s="31" t="n">
        <v>9185</v>
      </c>
      <c r="J139" s="31" t="inlineStr">
        <is>
          <t>524500</t>
        </is>
      </c>
    </row>
    <row r="140">
      <c r="A140" s="31" t="inlineStr">
        <is>
          <t>THEJO</t>
        </is>
      </c>
      <c r="B140" s="31" t="inlineStr">
        <is>
          <t>Thejo Engineering Ltd</t>
        </is>
      </c>
      <c r="C140" s="31" t="inlineStr">
        <is>
          <t>industrials</t>
        </is>
      </c>
      <c r="D140" s="31" t="inlineStr">
        <is>
          <t>engineering</t>
        </is>
      </c>
      <c r="E140" s="31" t="inlineStr">
        <is>
          <t>smallcap</t>
        </is>
      </c>
      <c r="F140" s="31" t="n">
        <v>2359.54</v>
      </c>
      <c r="G140" s="31" t="n">
        <v>2156.8</v>
      </c>
      <c r="H140" s="31" t="n">
        <v>-0.85</v>
      </c>
      <c r="I140" s="31" t="n">
        <v>4749</v>
      </c>
      <c r="J140" s="31" t="inlineStr">
        <is>
          <t>500492</t>
        </is>
      </c>
    </row>
    <row r="141">
      <c r="A141" s="31" t="inlineStr">
        <is>
          <t>WHEELS</t>
        </is>
      </c>
      <c r="B141" s="31" t="inlineStr">
        <is>
          <t>Wheels India Limited</t>
        </is>
      </c>
      <c r="C141" s="31" t="inlineStr">
        <is>
          <t>auto</t>
        </is>
      </c>
      <c r="D141" s="31" t="inlineStr">
        <is>
          <t>auto ancillaries</t>
        </is>
      </c>
      <c r="E141" s="31" t="inlineStr">
        <is>
          <t>midcap</t>
        </is>
      </c>
      <c r="F141" s="31" t="n">
        <v>5202.03</v>
      </c>
      <c r="G141" s="31" t="n">
        <v>2110.5</v>
      </c>
      <c r="H141" s="31" t="n">
        <v>-0.87</v>
      </c>
      <c r="I141" s="31" t="n">
        <v>240307</v>
      </c>
      <c r="J141" s="31" t="inlineStr">
        <is>
          <t>590073</t>
        </is>
      </c>
    </row>
    <row r="142">
      <c r="A142" s="31" t="inlineStr">
        <is>
          <t>DCBBANK</t>
        </is>
      </c>
      <c r="B142" s="31" t="inlineStr">
        <is>
          <t>Dcb Bank Limited</t>
        </is>
      </c>
      <c r="C142" s="31" t="inlineStr">
        <is>
          <t>bank</t>
        </is>
      </c>
      <c r="D142" s="31" t="inlineStr">
        <is>
          <t>banks - private sector</t>
        </is>
      </c>
      <c r="E142" s="31" t="inlineStr">
        <is>
          <t>midcap</t>
        </is>
      </c>
      <c r="F142" s="31" t="n">
        <v>7146.58</v>
      </c>
      <c r="G142" s="31" t="n">
        <v>219.94</v>
      </c>
      <c r="H142" s="31" t="n">
        <v>-0.88</v>
      </c>
      <c r="I142" s="31" t="n">
        <v>912819</v>
      </c>
      <c r="J142" s="31" t="inlineStr">
        <is>
          <t>532772</t>
        </is>
      </c>
    </row>
    <row r="143">
      <c r="A143" s="31" t="inlineStr">
        <is>
          <t>NOCIL</t>
        </is>
      </c>
      <c r="B143" s="31" t="inlineStr">
        <is>
          <t>Nocil Limited</t>
        </is>
      </c>
      <c r="C143" s="31" t="inlineStr">
        <is>
          <t>chemicals</t>
        </is>
      </c>
      <c r="D143" s="31" t="inlineStr">
        <is>
          <t>chemicals</t>
        </is>
      </c>
      <c r="E143" s="31" t="inlineStr">
        <is>
          <t>smallcap</t>
        </is>
      </c>
      <c r="F143" s="31" t="n">
        <v>3066.58</v>
      </c>
      <c r="G143" s="31" t="n">
        <v>181.95</v>
      </c>
      <c r="H143" s="31" t="n">
        <v>-0.9</v>
      </c>
      <c r="I143" s="31" t="n">
        <v>1428895</v>
      </c>
      <c r="J143" s="31" t="inlineStr">
        <is>
          <t>500730</t>
        </is>
      </c>
    </row>
    <row r="144">
      <c r="A144" s="31" t="inlineStr">
        <is>
          <t>BHAGERIA</t>
        </is>
      </c>
      <c r="B144" s="31" t="inlineStr">
        <is>
          <t>Bhageria Industries Limited</t>
        </is>
      </c>
      <c r="C144" s="31" t="inlineStr">
        <is>
          <t>chemicals</t>
        </is>
      </c>
      <c r="D144" s="31" t="inlineStr">
        <is>
          <t>dyes and pigments</t>
        </is>
      </c>
      <c r="E144" s="31" t="inlineStr">
        <is>
          <t>smallcap</t>
        </is>
      </c>
      <c r="F144" s="31" t="n">
        <v>1337.69</v>
      </c>
      <c r="G144" s="31" t="n">
        <v>303.7</v>
      </c>
      <c r="H144" s="31" t="n">
        <v>-0.91</v>
      </c>
      <c r="I144" s="31" t="n">
        <v>86277</v>
      </c>
      <c r="J144" s="31" t="inlineStr">
        <is>
          <t>530803</t>
        </is>
      </c>
    </row>
    <row r="145">
      <c r="A145" s="31" t="inlineStr">
        <is>
          <t>JUBLPHARMA</t>
        </is>
      </c>
      <c r="B145" s="31" t="inlineStr">
        <is>
          <t>Jubilant Pharmova Ltd</t>
        </is>
      </c>
      <c r="C145" s="31" t="inlineStr">
        <is>
          <t>healthcare</t>
        </is>
      </c>
      <c r="D145" s="31" t="inlineStr">
        <is>
          <t>pharmaceuticals - indian - bulk drugs</t>
        </is>
      </c>
      <c r="E145" s="31" t="inlineStr">
        <is>
          <t>midcap</t>
        </is>
      </c>
      <c r="F145" s="31" t="n">
        <v>16118.45</v>
      </c>
      <c r="G145" s="31" t="n">
        <v>1002.5</v>
      </c>
      <c r="H145" s="31" t="n">
        <v>-0.93</v>
      </c>
      <c r="I145" s="31" t="n">
        <v>154099</v>
      </c>
      <c r="J145" s="31" t="inlineStr">
        <is>
          <t>530019</t>
        </is>
      </c>
    </row>
    <row r="146">
      <c r="A146" s="31" t="inlineStr">
        <is>
          <t>GMMPFAUDLR</t>
        </is>
      </c>
      <c r="B146" s="31" t="inlineStr">
        <is>
          <t>GMM Pfaudler Ltd</t>
        </is>
      </c>
      <c r="C146" s="31" t="inlineStr">
        <is>
          <t>industrials</t>
        </is>
      </c>
      <c r="D146" s="31" t="inlineStr">
        <is>
          <t>engineering</t>
        </is>
      </c>
      <c r="E146" s="31" t="inlineStr">
        <is>
          <t>midcap</t>
        </is>
      </c>
      <c r="F146" s="31" t="n">
        <v>6060.23</v>
      </c>
      <c r="G146" s="31" t="n">
        <v>1335</v>
      </c>
      <c r="H146" s="31" t="n">
        <v>-0.96</v>
      </c>
      <c r="I146" s="31" t="n">
        <v>586784</v>
      </c>
      <c r="J146" s="31" t="inlineStr">
        <is>
          <t>505255</t>
        </is>
      </c>
    </row>
    <row r="147">
      <c r="A147" s="31" t="inlineStr">
        <is>
          <t>RATNAVEER</t>
        </is>
      </c>
      <c r="B147" s="31" t="inlineStr">
        <is>
          <t>Ratnaveer Precision Engineering Ltd</t>
        </is>
      </c>
      <c r="C147" s="31" t="inlineStr">
        <is>
          <t>metals &amp; mining</t>
        </is>
      </c>
      <c r="D147" s="31" t="inlineStr">
        <is>
          <t>steel - medium / small</t>
        </is>
      </c>
      <c r="E147" s="31" t="inlineStr">
        <is>
          <t>smallcap</t>
        </is>
      </c>
      <c r="F147" s="31" t="n">
        <v>2068.52</v>
      </c>
      <c r="G147" s="31" t="n">
        <v>286.75</v>
      </c>
      <c r="H147" s="31" t="n">
        <v>-0.98</v>
      </c>
      <c r="I147" s="31" t="n">
        <v>11887521</v>
      </c>
      <c r="J147" s="31" t="inlineStr">
        <is>
          <t>543978</t>
        </is>
      </c>
    </row>
    <row r="148">
      <c r="A148" s="31" t="inlineStr">
        <is>
          <t>NRL</t>
        </is>
      </c>
      <c r="B148" s="31" t="inlineStr">
        <is>
          <t>Nupur Recyclers Ltd</t>
        </is>
      </c>
      <c r="C148" s="31" t="inlineStr">
        <is>
          <t>services</t>
        </is>
      </c>
      <c r="D148" s="31" t="inlineStr">
        <is>
          <t>trading</t>
        </is>
      </c>
      <c r="E148" s="31" t="inlineStr">
        <is>
          <t>smallcap</t>
        </is>
      </c>
      <c r="F148" s="31" t="n">
        <v>934.85</v>
      </c>
      <c r="G148" s="31" t="n">
        <v>133.98</v>
      </c>
      <c r="H148" s="31" t="n">
        <v>-1.01</v>
      </c>
      <c r="I148" s="31" t="n">
        <v>80531</v>
      </c>
      <c r="J148" s="31" t="inlineStr">
        <is>
          <t>535413</t>
        </is>
      </c>
    </row>
    <row r="149">
      <c r="A149" s="31" t="inlineStr">
        <is>
          <t>LAURUSLABS</t>
        </is>
      </c>
      <c r="B149" s="31" t="inlineStr">
        <is>
          <t>Laurus Labs Limited</t>
        </is>
      </c>
      <c r="C149" s="31" t="inlineStr">
        <is>
          <t>healthcare</t>
        </is>
      </c>
      <c r="D149" s="31" t="inlineStr">
        <is>
          <t>pharmaceuticals - indian - bulk drugs &amp; formln</t>
        </is>
      </c>
      <c r="E149" s="31" t="inlineStr">
        <is>
          <t>largecap</t>
        </is>
      </c>
      <c r="F149" s="31" t="n">
        <v>104100.69</v>
      </c>
      <c r="G149" s="31" t="n">
        <v>1905.5</v>
      </c>
      <c r="H149" s="31" t="n">
        <v>-1.11</v>
      </c>
      <c r="I149" s="31" t="n">
        <v>2871410</v>
      </c>
      <c r="J149" s="31" t="inlineStr">
        <is>
          <t>540222</t>
        </is>
      </c>
    </row>
    <row r="150">
      <c r="A150" s="31" t="inlineStr">
        <is>
          <t>GCSL</t>
        </is>
      </c>
      <c r="B150" s="31" t="inlineStr">
        <is>
          <t>Gretex Corporate Services Ltd</t>
        </is>
      </c>
      <c r="C150" s="31" t="inlineStr">
        <is>
          <t>financials</t>
        </is>
      </c>
      <c r="D150" s="31" t="inlineStr">
        <is>
          <t>finance &amp; investments</t>
        </is>
      </c>
      <c r="E150" s="31" t="inlineStr">
        <is>
          <t>smallcap</t>
        </is>
      </c>
      <c r="F150" s="31" t="n">
        <v>1453.31</v>
      </c>
      <c r="G150" s="31" t="n">
        <v>594.75</v>
      </c>
      <c r="H150" s="31" t="n">
        <v>-1.13</v>
      </c>
      <c r="I150" s="31" t="n">
        <v>1045600</v>
      </c>
      <c r="J150" s="31" t="inlineStr">
        <is>
          <t>543324</t>
        </is>
      </c>
    </row>
    <row r="151">
      <c r="A151" s="31" t="inlineStr">
        <is>
          <t>MAHSEAMLES</t>
        </is>
      </c>
      <c r="B151" s="31" t="inlineStr">
        <is>
          <t>Maharashtra Seamless Limited</t>
        </is>
      </c>
      <c r="C151" s="31" t="inlineStr">
        <is>
          <t>metals &amp; mining</t>
        </is>
      </c>
      <c r="D151" s="31" t="inlineStr">
        <is>
          <t>steel - medium / small</t>
        </is>
      </c>
      <c r="E151" s="31" t="inlineStr">
        <is>
          <t>midcap</t>
        </is>
      </c>
      <c r="F151" s="31" t="n">
        <v>9394.690000000001</v>
      </c>
      <c r="G151" s="31" t="n">
        <v>692.95</v>
      </c>
      <c r="H151" s="31" t="n">
        <v>-1.16</v>
      </c>
      <c r="I151" s="31" t="n">
        <v>217121</v>
      </c>
      <c r="J151" s="31" t="inlineStr">
        <is>
          <t>500265</t>
        </is>
      </c>
    </row>
    <row r="152">
      <c r="A152" s="31" t="inlineStr">
        <is>
          <t>ANUHPHR</t>
        </is>
      </c>
      <c r="B152" s="31" t="inlineStr">
        <is>
          <t>Anuh Pharma Ltd</t>
        </is>
      </c>
      <c r="C152" s="31" t="inlineStr">
        <is>
          <t>healthcare</t>
        </is>
      </c>
      <c r="D152" s="31" t="inlineStr">
        <is>
          <t>pharmaceuticals - indian - bulk drugs</t>
        </is>
      </c>
      <c r="E152" s="31" t="inlineStr">
        <is>
          <t>smallcap</t>
        </is>
      </c>
      <c r="F152" s="31" t="n">
        <v>905.3200000000001</v>
      </c>
      <c r="G152" s="31" t="n">
        <v>89.22</v>
      </c>
      <c r="H152" s="31" t="n">
        <v>-1.23</v>
      </c>
      <c r="I152" s="31" t="n">
        <v>141288</v>
      </c>
      <c r="J152" s="31" t="inlineStr">
        <is>
          <t>506260</t>
        </is>
      </c>
    </row>
    <row r="153">
      <c r="A153" s="31" t="inlineStr">
        <is>
          <t>KROSS</t>
        </is>
      </c>
      <c r="B153" s="31" t="inlineStr">
        <is>
          <t>Kross Ltd</t>
        </is>
      </c>
      <c r="C153" s="31" t="inlineStr">
        <is>
          <t>auto</t>
        </is>
      </c>
      <c r="D153" s="31" t="inlineStr">
        <is>
          <t>auto ancillaries</t>
        </is>
      </c>
      <c r="E153" s="31" t="inlineStr">
        <is>
          <t>smallcap</t>
        </is>
      </c>
      <c r="F153" s="31" t="n">
        <v>1476.43</v>
      </c>
      <c r="G153" s="31" t="n">
        <v>225.86</v>
      </c>
      <c r="H153" s="31" t="n">
        <v>-1.32</v>
      </c>
      <c r="I153" s="31" t="n">
        <v>554517</v>
      </c>
      <c r="J153" s="31" t="inlineStr">
        <is>
          <t>544253</t>
        </is>
      </c>
    </row>
    <row r="154">
      <c r="A154" s="31" t="inlineStr">
        <is>
          <t>IONEXCHANG</t>
        </is>
      </c>
      <c r="B154" s="31" t="inlineStr">
        <is>
          <t>Ion Exchange (India) Ltd</t>
        </is>
      </c>
      <c r="C154" s="31" t="inlineStr">
        <is>
          <t>realty</t>
        </is>
      </c>
      <c r="D154" s="31" t="inlineStr">
        <is>
          <t>engineering - turnkey services</t>
        </is>
      </c>
      <c r="E154" s="31" t="inlineStr">
        <is>
          <t>midcap</t>
        </is>
      </c>
      <c r="F154" s="31" t="n">
        <v>6336</v>
      </c>
      <c r="G154" s="31" t="n">
        <v>426.25</v>
      </c>
      <c r="H154" s="31" t="n">
        <v>-1.33</v>
      </c>
      <c r="I154" s="31" t="n">
        <v>344615</v>
      </c>
      <c r="J154" s="31" t="inlineStr">
        <is>
          <t>500214</t>
        </is>
      </c>
    </row>
    <row r="155">
      <c r="A155" s="31" t="inlineStr">
        <is>
          <t>SUNDRMFAST</t>
        </is>
      </c>
      <c r="B155" s="31" t="inlineStr">
        <is>
          <t>Sundram Fasteners Limited</t>
        </is>
      </c>
      <c r="C155" s="31" t="inlineStr">
        <is>
          <t>auto</t>
        </is>
      </c>
      <c r="D155" s="31" t="inlineStr">
        <is>
          <t>auto ancillaries</t>
        </is>
      </c>
      <c r="E155" s="31" t="inlineStr">
        <is>
          <t>largecap</t>
        </is>
      </c>
      <c r="F155" s="31" t="n">
        <v>25999.18</v>
      </c>
      <c r="G155" s="31" t="n">
        <v>1219.9</v>
      </c>
      <c r="H155" s="31" t="n">
        <v>-1.41</v>
      </c>
      <c r="I155" s="31" t="n">
        <v>533381</v>
      </c>
      <c r="J155" s="31" t="inlineStr">
        <is>
          <t>500403</t>
        </is>
      </c>
    </row>
    <row r="156">
      <c r="A156" s="31" t="inlineStr">
        <is>
          <t>RGL</t>
        </is>
      </c>
      <c r="B156" s="31" t="inlineStr">
        <is>
          <t>Renaissance Global Ltd</t>
        </is>
      </c>
      <c r="C156" s="31" t="inlineStr">
        <is>
          <t>consumer discretionary</t>
        </is>
      </c>
      <c r="D156" s="31" t="inlineStr">
        <is>
          <t>diamond cutting / jewellery</t>
        </is>
      </c>
      <c r="E156" s="31" t="inlineStr">
        <is>
          <t>smallcap</t>
        </is>
      </c>
      <c r="F156" s="31" t="n">
        <v>1629.53</v>
      </c>
      <c r="G156" s="31" t="n">
        <v>149.5</v>
      </c>
      <c r="H156" s="31" t="n">
        <v>-1.5</v>
      </c>
      <c r="I156" s="31" t="n">
        <v>585544</v>
      </c>
      <c r="J156" s="31" t="inlineStr">
        <is>
          <t>532923</t>
        </is>
      </c>
    </row>
    <row r="157">
      <c r="A157" s="31" t="inlineStr">
        <is>
          <t>FCL</t>
        </is>
      </c>
      <c r="B157" s="31" t="inlineStr">
        <is>
          <t>Fineotex Chemical Limited</t>
        </is>
      </c>
      <c r="C157" s="31" t="inlineStr">
        <is>
          <t>chemicals</t>
        </is>
      </c>
      <c r="D157" s="31" t="inlineStr">
        <is>
          <t>chemicals</t>
        </is>
      </c>
      <c r="E157" s="31" t="inlineStr">
        <is>
          <t>midcap</t>
        </is>
      </c>
      <c r="F157" s="31" t="n">
        <v>6274.33</v>
      </c>
      <c r="G157" s="31" t="n">
        <v>53.07</v>
      </c>
      <c r="H157" s="31" t="n">
        <v>-1.5</v>
      </c>
      <c r="I157" s="31" t="n">
        <v>29438708</v>
      </c>
      <c r="J157" s="31" t="inlineStr">
        <is>
          <t>533333</t>
        </is>
      </c>
    </row>
    <row r="158">
      <c r="A158" s="31" t="inlineStr">
        <is>
          <t>CUPID</t>
        </is>
      </c>
      <c r="B158" s="31" t="inlineStr">
        <is>
          <t>Cupid Limited</t>
        </is>
      </c>
      <c r="C158" s="31" t="inlineStr">
        <is>
          <t>fmcg</t>
        </is>
      </c>
      <c r="D158" s="31" t="inlineStr">
        <is>
          <t>personal care - indian</t>
        </is>
      </c>
      <c r="E158" s="31" t="inlineStr">
        <is>
          <t>largecap</t>
        </is>
      </c>
      <c r="F158" s="31" t="n">
        <v>38242.15</v>
      </c>
      <c r="G158" s="31" t="n">
        <v>280</v>
      </c>
      <c r="H158" s="31" t="n">
        <v>-1.55</v>
      </c>
      <c r="I158" s="31" t="n">
        <v>8678314</v>
      </c>
      <c r="J158" s="31" t="inlineStr">
        <is>
          <t>530843</t>
        </is>
      </c>
    </row>
    <row r="159">
      <c r="A159" s="31" t="inlineStr">
        <is>
          <t>GOCLCORP</t>
        </is>
      </c>
      <c r="B159" s="31" t="inlineStr">
        <is>
          <t>Gocl Corporation Limited</t>
        </is>
      </c>
      <c r="C159" s="31" t="inlineStr">
        <is>
          <t>miscellaneous</t>
        </is>
      </c>
      <c r="D159" s="31" t="inlineStr">
        <is>
          <t>diversified - medium / small</t>
        </is>
      </c>
      <c r="E159" s="31" t="inlineStr">
        <is>
          <t>smallcap</t>
        </is>
      </c>
      <c r="F159" s="31" t="n">
        <v>2159.63</v>
      </c>
      <c r="G159" s="31" t="n">
        <v>428.4</v>
      </c>
      <c r="H159" s="31" t="n">
        <v>-1.66</v>
      </c>
      <c r="I159" s="31" t="n">
        <v>199597</v>
      </c>
      <c r="J159" s="31" t="inlineStr">
        <is>
          <t>506480</t>
        </is>
      </c>
    </row>
    <row r="160">
      <c r="A160" s="31" t="inlineStr">
        <is>
          <t>AEGISVOPAK</t>
        </is>
      </c>
      <c r="B160" s="31" t="inlineStr">
        <is>
          <t>Aegis Vopak Terminals Ltd</t>
        </is>
      </c>
      <c r="C160" s="31" t="inlineStr">
        <is>
          <t>transportation</t>
        </is>
      </c>
      <c r="D160" s="31" t="inlineStr">
        <is>
          <t>miscellaneous</t>
        </is>
      </c>
      <c r="E160" s="31" t="inlineStr">
        <is>
          <t>largecap</t>
        </is>
      </c>
      <c r="F160" s="31" t="n">
        <v>33461.34</v>
      </c>
      <c r="G160" s="31" t="n">
        <v>296.95</v>
      </c>
      <c r="H160" s="31" t="n">
        <v>-1.67</v>
      </c>
      <c r="I160" s="31" t="n">
        <v>1920715</v>
      </c>
      <c r="J160" s="31" t="inlineStr">
        <is>
          <t>544407</t>
        </is>
      </c>
    </row>
    <row r="161">
      <c r="A161" s="31" t="inlineStr">
        <is>
          <t>GOODLUCK</t>
        </is>
      </c>
      <c r="B161" s="31" t="inlineStr">
        <is>
          <t>Goodluck India Limited</t>
        </is>
      </c>
      <c r="C161" s="31" t="inlineStr">
        <is>
          <t>metals &amp; mining</t>
        </is>
      </c>
      <c r="D161" s="31" t="inlineStr">
        <is>
          <t>steel - medium / small</t>
        </is>
      </c>
      <c r="E161" s="31" t="inlineStr">
        <is>
          <t>midcap</t>
        </is>
      </c>
      <c r="F161" s="31" t="n">
        <v>5176.73</v>
      </c>
      <c r="G161" s="31" t="n">
        <v>510.3</v>
      </c>
      <c r="H161" s="31" t="n">
        <v>-1.7</v>
      </c>
      <c r="I161" s="31" t="n">
        <v>533794</v>
      </c>
      <c r="J161" s="31" t="inlineStr">
        <is>
          <t>530655</t>
        </is>
      </c>
    </row>
    <row r="162">
      <c r="A162" s="31" t="inlineStr">
        <is>
          <t>CYIENTDLM</t>
        </is>
      </c>
      <c r="B162" s="31" t="inlineStr">
        <is>
          <t>Cyient DLM Ltd</t>
        </is>
      </c>
      <c r="C162" s="31" t="inlineStr">
        <is>
          <t>aerospace &amp; defence</t>
        </is>
      </c>
      <c r="D162" s="31" t="inlineStr">
        <is>
          <t>electronics - components</t>
        </is>
      </c>
      <c r="E162" s="31" t="inlineStr">
        <is>
          <t>midcap</t>
        </is>
      </c>
      <c r="F162" s="31" t="n">
        <v>7007.17</v>
      </c>
      <c r="G162" s="31" t="n">
        <v>867.4</v>
      </c>
      <c r="H162" s="31" t="n">
        <v>-1.73</v>
      </c>
      <c r="I162" s="31" t="n">
        <v>855768</v>
      </c>
      <c r="J162" s="31" t="inlineStr">
        <is>
          <t>543933</t>
        </is>
      </c>
    </row>
    <row r="163">
      <c r="A163" s="31" t="inlineStr">
        <is>
          <t>BODALCHEM</t>
        </is>
      </c>
      <c r="B163" s="31" t="inlineStr">
        <is>
          <t>Bodal Chemicals Limited</t>
        </is>
      </c>
      <c r="C163" s="31" t="inlineStr">
        <is>
          <t>chemicals</t>
        </is>
      </c>
      <c r="D163" s="31" t="inlineStr">
        <is>
          <t>dyes and pigments</t>
        </is>
      </c>
      <c r="E163" s="31" t="inlineStr">
        <is>
          <t>smallcap</t>
        </is>
      </c>
      <c r="F163" s="31" t="n">
        <v>2224.93</v>
      </c>
      <c r="G163" s="31" t="n">
        <v>173.46</v>
      </c>
      <c r="H163" s="31" t="n">
        <v>-1.81</v>
      </c>
      <c r="I163" s="31" t="n">
        <v>1821210</v>
      </c>
      <c r="J163" s="31" t="inlineStr">
        <is>
          <t>524370</t>
        </is>
      </c>
    </row>
    <row r="164">
      <c r="A164" s="31" t="inlineStr">
        <is>
          <t>PCJEWELLER</t>
        </is>
      </c>
      <c r="B164" s="31" t="inlineStr">
        <is>
          <t>Pc Jeweller Limited</t>
        </is>
      </c>
      <c r="C164" s="31" t="inlineStr">
        <is>
          <t>consumer discretionary</t>
        </is>
      </c>
      <c r="D164" s="31" t="inlineStr">
        <is>
          <t>diamond cutting / jewellery</t>
        </is>
      </c>
      <c r="E164" s="31" t="inlineStr">
        <is>
          <t>midcap</t>
        </is>
      </c>
      <c r="F164" s="31" t="n">
        <v>12516.88</v>
      </c>
      <c r="G164" s="31" t="n">
        <v>12.64</v>
      </c>
      <c r="H164" s="31" t="n">
        <v>-1.94</v>
      </c>
      <c r="I164" s="31" t="n">
        <v>526445213</v>
      </c>
      <c r="J164" s="31" t="inlineStr">
        <is>
          <t>534809</t>
        </is>
      </c>
    </row>
    <row r="165">
      <c r="A165" s="31" t="inlineStr">
        <is>
          <t>OPTIEMUS</t>
        </is>
      </c>
      <c r="B165" s="31" t="inlineStr">
        <is>
          <t>Optiemus Infracom Ltd</t>
        </is>
      </c>
      <c r="C165" s="31" t="inlineStr">
        <is>
          <t>telecom</t>
        </is>
      </c>
      <c r="D165" s="31" t="inlineStr">
        <is>
          <t>trading</t>
        </is>
      </c>
      <c r="E165" s="31" t="inlineStr">
        <is>
          <t>midcap</t>
        </is>
      </c>
      <c r="F165" s="31" t="n">
        <v>5454.62</v>
      </c>
      <c r="G165" s="31" t="n">
        <v>592.85</v>
      </c>
      <c r="H165" s="31" t="n">
        <v>-2</v>
      </c>
      <c r="I165" s="31" t="n">
        <v>419440</v>
      </c>
      <c r="J165" s="31" t="inlineStr">
        <is>
          <t>530135</t>
        </is>
      </c>
    </row>
    <row r="166">
      <c r="A166" s="31" t="inlineStr">
        <is>
          <t>WELINV</t>
        </is>
      </c>
      <c r="B166" s="31" t="inlineStr">
        <is>
          <t>Welspun Investments And Commercials Limited</t>
        </is>
      </c>
      <c r="C166" s="31" t="inlineStr">
        <is>
          <t>financials</t>
        </is>
      </c>
      <c r="D166" s="31" t="inlineStr">
        <is>
          <t>finance &amp; investments</t>
        </is>
      </c>
      <c r="E166" s="31" t="inlineStr">
        <is>
          <t>smallcap</t>
        </is>
      </c>
      <c r="F166" s="31" t="n">
        <v>831.76</v>
      </c>
      <c r="G166" s="31" t="n">
        <v>2230.5</v>
      </c>
      <c r="H166" s="31" t="n">
        <v>-2</v>
      </c>
      <c r="I166" s="31" t="n">
        <v>76</v>
      </c>
      <c r="J166" s="31" t="inlineStr">
        <is>
          <t>533252</t>
        </is>
      </c>
    </row>
    <row r="167">
      <c r="A167" s="31" t="inlineStr">
        <is>
          <t>WINDLAS</t>
        </is>
      </c>
      <c r="B167" s="31" t="inlineStr">
        <is>
          <t>Windlas Biotech Ltd</t>
        </is>
      </c>
      <c r="C167" s="31" t="inlineStr">
        <is>
          <t>healthcare</t>
        </is>
      </c>
      <c r="D167" s="31" t="inlineStr">
        <is>
          <t>pharmaceuticals - indian - formulations</t>
        </is>
      </c>
      <c r="E167" s="31" t="inlineStr">
        <is>
          <t>smallcap</t>
        </is>
      </c>
      <c r="F167" s="31" t="n">
        <v>2266.17</v>
      </c>
      <c r="G167" s="31" t="n">
        <v>1075.05</v>
      </c>
      <c r="H167" s="31" t="n">
        <v>-2.1</v>
      </c>
      <c r="I167" s="31" t="n">
        <v>113547</v>
      </c>
      <c r="J167" s="31" t="inlineStr">
        <is>
          <t>543329</t>
        </is>
      </c>
    </row>
    <row r="168">
      <c r="A168" s="31" t="inlineStr">
        <is>
          <t>MANINDS</t>
        </is>
      </c>
      <c r="B168" s="31" t="inlineStr">
        <is>
          <t>Man Industries (india) Limited</t>
        </is>
      </c>
      <c r="C168" s="31" t="inlineStr">
        <is>
          <t>metals &amp; mining</t>
        </is>
      </c>
      <c r="D168" s="31" t="inlineStr">
        <is>
          <t>steel - medium / small</t>
        </is>
      </c>
      <c r="E168" s="31" t="inlineStr">
        <is>
          <t>midcap</t>
        </is>
      </c>
      <c r="F168" s="31" t="n">
        <v>6062.27</v>
      </c>
      <c r="G168" s="31" t="n">
        <v>790.3</v>
      </c>
      <c r="H168" s="31" t="n">
        <v>-2.21</v>
      </c>
      <c r="I168" s="31" t="n">
        <v>2075576</v>
      </c>
      <c r="J168" s="31" t="inlineStr">
        <is>
          <t>513269</t>
        </is>
      </c>
    </row>
    <row r="169">
      <c r="A169" s="31" t="inlineStr">
        <is>
          <t>CYIENT</t>
        </is>
      </c>
      <c r="B169" s="31" t="inlineStr">
        <is>
          <t>Cyient Limited</t>
        </is>
      </c>
      <c r="C169" s="31" t="inlineStr">
        <is>
          <t>i.t</t>
        </is>
      </c>
      <c r="D169" s="31" t="inlineStr">
        <is>
          <t>computers - software - medium / small</t>
        </is>
      </c>
      <c r="E169" s="31" t="inlineStr">
        <is>
          <t>midcap</t>
        </is>
      </c>
      <c r="F169" s="31" t="n">
        <v>11300.59</v>
      </c>
      <c r="G169" s="31" t="n">
        <v>1054.5</v>
      </c>
      <c r="H169" s="31" t="n">
        <v>-2.26</v>
      </c>
      <c r="I169" s="31" t="n">
        <v>488288</v>
      </c>
      <c r="J169" s="31" t="inlineStr">
        <is>
          <t>532175</t>
        </is>
      </c>
    </row>
    <row r="170">
      <c r="A170" s="31" t="inlineStr">
        <is>
          <t>MAHASTEEL</t>
        </is>
      </c>
      <c r="B170" s="31" t="inlineStr">
        <is>
          <t>Mahamaya Steel Industries Limited</t>
        </is>
      </c>
      <c r="C170" s="31" t="inlineStr">
        <is>
          <t>metals &amp; mining</t>
        </is>
      </c>
      <c r="D170" s="31" t="inlineStr">
        <is>
          <t>steel - medium / small</t>
        </is>
      </c>
      <c r="E170" s="31" t="inlineStr">
        <is>
          <t>smallcap</t>
        </is>
      </c>
      <c r="F170" s="31" t="n">
        <v>2127.43</v>
      </c>
      <c r="G170" s="31" t="n">
        <v>1265.1</v>
      </c>
      <c r="H170" s="31" t="n">
        <v>-2.27</v>
      </c>
      <c r="I170" s="31" t="n">
        <v>7469</v>
      </c>
      <c r="J170" s="31" t="inlineStr">
        <is>
          <t>513554</t>
        </is>
      </c>
    </row>
    <row r="171">
      <c r="A171" s="31" t="inlineStr">
        <is>
          <t>NITINSPIN</t>
        </is>
      </c>
      <c r="B171" s="31" t="inlineStr">
        <is>
          <t>Nitin Spinners Limited</t>
        </is>
      </c>
      <c r="C171" s="31" t="inlineStr">
        <is>
          <t>textiles</t>
        </is>
      </c>
      <c r="D171" s="31" t="inlineStr">
        <is>
          <t>textiles - cotton/blended</t>
        </is>
      </c>
      <c r="E171" s="31" t="inlineStr">
        <is>
          <t>smallcap</t>
        </is>
      </c>
      <c r="F171" s="31" t="n">
        <v>3615.79</v>
      </c>
      <c r="G171" s="31" t="n">
        <v>628</v>
      </c>
      <c r="H171" s="31" t="n">
        <v>-2.36</v>
      </c>
      <c r="I171" s="31" t="n">
        <v>122404</v>
      </c>
      <c r="J171" s="31" t="inlineStr">
        <is>
          <t>532698</t>
        </is>
      </c>
    </row>
    <row r="172">
      <c r="A172" s="31" t="inlineStr">
        <is>
          <t>MENONBE</t>
        </is>
      </c>
      <c r="B172" s="31" t="inlineStr">
        <is>
          <t>Menon Bearings Limited</t>
        </is>
      </c>
      <c r="C172" s="31" t="inlineStr">
        <is>
          <t>auto</t>
        </is>
      </c>
      <c r="D172" s="31" t="inlineStr">
        <is>
          <t>auto ancillaries</t>
        </is>
      </c>
      <c r="E172" s="31" t="inlineStr">
        <is>
          <t>smallcap</t>
        </is>
      </c>
      <c r="F172" s="31" t="n">
        <v>1705.58</v>
      </c>
      <c r="G172" s="31" t="n">
        <v>297.15</v>
      </c>
      <c r="H172" s="31" t="n">
        <v>-2.37</v>
      </c>
      <c r="I172" s="31" t="n">
        <v>53188</v>
      </c>
      <c r="J172" s="31" t="inlineStr">
        <is>
          <t>523828</t>
        </is>
      </c>
    </row>
    <row r="173">
      <c r="A173" s="31" t="inlineStr">
        <is>
          <t>DOLPHIN</t>
        </is>
      </c>
      <c r="B173" s="31" t="inlineStr">
        <is>
          <t>Dolphin Offshore Enterprises (India) Ltd</t>
        </is>
      </c>
      <c r="C173" s="31" t="inlineStr">
        <is>
          <t>energy</t>
        </is>
      </c>
      <c r="D173" s="31" t="inlineStr">
        <is>
          <t>oil drilling / allied services</t>
        </is>
      </c>
      <c r="E173" s="31" t="inlineStr">
        <is>
          <t>smallcap</t>
        </is>
      </c>
      <c r="F173" s="31" t="n">
        <v>2604.5</v>
      </c>
      <c r="G173" s="31" t="n">
        <v>635.1</v>
      </c>
      <c r="H173" s="31" t="n">
        <v>-2.45</v>
      </c>
      <c r="I173" s="31" t="n">
        <v>35409</v>
      </c>
      <c r="J173" s="31" t="inlineStr">
        <is>
          <t>522261</t>
        </is>
      </c>
    </row>
    <row r="174">
      <c r="A174" s="31" t="inlineStr">
        <is>
          <t>RISHABH</t>
        </is>
      </c>
      <c r="B174" s="31" t="inlineStr">
        <is>
          <t>Rishabh Instruments Ltd</t>
        </is>
      </c>
      <c r="C174" s="31" t="inlineStr">
        <is>
          <t>industrials</t>
        </is>
      </c>
      <c r="D174" s="31" t="inlineStr">
        <is>
          <t>electric equipment</t>
        </is>
      </c>
      <c r="E174" s="31" t="inlineStr">
        <is>
          <t>smallcap</t>
        </is>
      </c>
      <c r="F174" s="31" t="n">
        <v>3004.66</v>
      </c>
      <c r="G174" s="31" t="n">
        <v>758.55</v>
      </c>
      <c r="H174" s="31" t="n">
        <v>-2.69</v>
      </c>
      <c r="I174" s="31" t="n">
        <v>371434</v>
      </c>
      <c r="J174" s="31" t="inlineStr">
        <is>
          <t>543977</t>
        </is>
      </c>
    </row>
    <row r="175">
      <c r="A175" s="31" t="inlineStr">
        <is>
          <t>NRAIL</t>
        </is>
      </c>
      <c r="B175" s="31" t="inlineStr">
        <is>
          <t>N R Agarwal Industries Ltd</t>
        </is>
      </c>
      <c r="C175" s="31" t="inlineStr">
        <is>
          <t>building materials</t>
        </is>
      </c>
      <c r="D175" s="31" t="inlineStr">
        <is>
          <t>paper</t>
        </is>
      </c>
      <c r="E175" s="31" t="inlineStr">
        <is>
          <t>smallcap</t>
        </is>
      </c>
      <c r="F175" s="31" t="n">
        <v>1087.27</v>
      </c>
      <c r="G175" s="31" t="n">
        <v>621.4</v>
      </c>
      <c r="H175" s="31" t="n">
        <v>-2.73</v>
      </c>
      <c r="I175" s="31" t="n">
        <v>31432</v>
      </c>
      <c r="J175" s="31" t="inlineStr">
        <is>
          <t>516082</t>
        </is>
      </c>
    </row>
    <row r="176">
      <c r="A176" s="31" t="inlineStr">
        <is>
          <t>SAKAR</t>
        </is>
      </c>
      <c r="B176" s="31" t="inlineStr">
        <is>
          <t>Sakar Healthcare Ltd</t>
        </is>
      </c>
      <c r="C176" s="31" t="inlineStr">
        <is>
          <t>healthcare</t>
        </is>
      </c>
      <c r="D176" s="31" t="inlineStr">
        <is>
          <t>pharmaceuticals - indian - bulk drugs &amp; formln</t>
        </is>
      </c>
      <c r="E176" s="31" t="inlineStr">
        <is>
          <t>smallcap</t>
        </is>
      </c>
      <c r="F176" s="31" t="n">
        <v>2531.04</v>
      </c>
      <c r="G176" s="31" t="n">
        <v>1105.4</v>
      </c>
      <c r="H176" s="31" t="n">
        <v>-2.83</v>
      </c>
      <c r="I176" s="31" t="n">
        <v>164430</v>
      </c>
      <c r="J176" s="31" t="inlineStr">
        <is>
          <t>538377</t>
        </is>
      </c>
    </row>
    <row r="177">
      <c r="A177" s="31" t="inlineStr">
        <is>
          <t>SPECTRUM</t>
        </is>
      </c>
      <c r="B177" s="31" t="inlineStr">
        <is>
          <t>Spectrum Electrical Industries Ltd</t>
        </is>
      </c>
      <c r="C177" s="31" t="inlineStr">
        <is>
          <t>industrials</t>
        </is>
      </c>
      <c r="D177" s="31" t="inlineStr">
        <is>
          <t>electric equipment</t>
        </is>
      </c>
      <c r="E177" s="31" t="inlineStr">
        <is>
          <t>smallcap</t>
        </is>
      </c>
      <c r="F177" s="31" t="n">
        <v>4986.94</v>
      </c>
      <c r="G177" s="31" t="n">
        <v>3083.7</v>
      </c>
      <c r="H177" s="31" t="n">
        <v>-2.83</v>
      </c>
      <c r="I177" s="31" t="n">
        <v>19711</v>
      </c>
      <c r="J177" s="31" t="inlineStr">
        <is>
          <t>535112</t>
        </is>
      </c>
    </row>
    <row r="178">
      <c r="A178" s="31" t="inlineStr">
        <is>
          <t>RML</t>
        </is>
      </c>
      <c r="B178" s="31" t="inlineStr">
        <is>
          <t>Rane (madras) Limited</t>
        </is>
      </c>
      <c r="C178" s="31" t="inlineStr">
        <is>
          <t>auto</t>
        </is>
      </c>
      <c r="D178" s="31" t="inlineStr">
        <is>
          <t>auto ancillaries</t>
        </is>
      </c>
      <c r="E178" s="31" t="inlineStr">
        <is>
          <t>smallcap</t>
        </is>
      </c>
      <c r="F178" s="31" t="n">
        <v>3610.79</v>
      </c>
      <c r="G178" s="31" t="n">
        <v>1268.1</v>
      </c>
      <c r="H178" s="31" t="n">
        <v>-2.94</v>
      </c>
      <c r="I178" s="31" t="n">
        <v>72986</v>
      </c>
      <c r="J178" s="31" t="inlineStr">
        <is>
          <t>532661</t>
        </is>
      </c>
    </row>
    <row r="179">
      <c r="A179" s="31" t="inlineStr">
        <is>
          <t>PASUPTAC</t>
        </is>
      </c>
      <c r="B179" s="31" t="inlineStr">
        <is>
          <t>Pasupati Acrylon Ltd</t>
        </is>
      </c>
      <c r="C179" s="31" t="inlineStr">
        <is>
          <t>textiles</t>
        </is>
      </c>
      <c r="D179" s="31" t="inlineStr">
        <is>
          <t>textiles - manmade</t>
        </is>
      </c>
      <c r="E179" s="31" t="inlineStr">
        <is>
          <t>smallcap</t>
        </is>
      </c>
      <c r="F179" s="31" t="n">
        <v>628.21</v>
      </c>
      <c r="G179" s="31" t="n">
        <v>68.06999999999999</v>
      </c>
      <c r="H179" s="31" t="n">
        <v>-3.42</v>
      </c>
      <c r="I179" s="31" t="n">
        <v>159716</v>
      </c>
      <c r="J179" s="31" t="inlineStr">
        <is>
          <t>500456</t>
        </is>
      </c>
    </row>
    <row r="180">
      <c r="A180" s="31" t="inlineStr">
        <is>
          <t>KABRAEXTRU</t>
        </is>
      </c>
      <c r="B180" s="31" t="inlineStr">
        <is>
          <t>Kabra Extrusion Technik Limited</t>
        </is>
      </c>
      <c r="C180" s="31" t="inlineStr">
        <is>
          <t>industrials</t>
        </is>
      </c>
      <c r="D180" s="31" t="inlineStr">
        <is>
          <t>engineering</t>
        </is>
      </c>
      <c r="E180" s="31" t="inlineStr">
        <is>
          <t>smallcap</t>
        </is>
      </c>
      <c r="F180" s="31" t="n">
        <v>2276.21</v>
      </c>
      <c r="G180" s="31" t="n">
        <v>628.1</v>
      </c>
      <c r="H180" s="31" t="n">
        <v>-3.5</v>
      </c>
      <c r="I180" s="31" t="n">
        <v>651043</v>
      </c>
      <c r="J180" s="31" t="inlineStr">
        <is>
          <t>524109</t>
        </is>
      </c>
    </row>
    <row r="181">
      <c r="A181" s="31" t="inlineStr">
        <is>
          <t>EBGNG</t>
        </is>
      </c>
      <c r="B181" s="31" t="inlineStr">
        <is>
          <t>GNG Electronics Ltd</t>
        </is>
      </c>
      <c r="C181" s="31" t="inlineStr">
        <is>
          <t>services</t>
        </is>
      </c>
      <c r="D181" s="31" t="inlineStr">
        <is>
          <t>trading</t>
        </is>
      </c>
      <c r="E181" s="31" t="inlineStr">
        <is>
          <t>midcap</t>
        </is>
      </c>
      <c r="F181" s="31" t="n">
        <v>7655.3</v>
      </c>
      <c r="G181" s="31" t="n">
        <v>645.55</v>
      </c>
      <c r="H181" s="31" t="n">
        <v>-3.86</v>
      </c>
      <c r="I181" s="31" t="n">
        <v>1024574</v>
      </c>
      <c r="J181" s="31" t="inlineStr">
        <is>
          <t>544455</t>
        </is>
      </c>
    </row>
    <row r="182">
      <c r="A182" s="31" t="inlineStr">
        <is>
          <t>ENTERO</t>
        </is>
      </c>
      <c r="B182" s="31" t="inlineStr">
        <is>
          <t>Entero Healthcare Solutions Ltd</t>
        </is>
      </c>
      <c r="C182" s="31" t="inlineStr">
        <is>
          <t>healthcare</t>
        </is>
      </c>
      <c r="D182" s="31" t="inlineStr">
        <is>
          <t>trading</t>
        </is>
      </c>
      <c r="E182" s="31" t="inlineStr">
        <is>
          <t>midcap</t>
        </is>
      </c>
      <c r="F182" s="31" t="n">
        <v>7843.29</v>
      </c>
      <c r="G182" s="31" t="n">
        <v>1731.8</v>
      </c>
      <c r="H182" s="31" t="n">
        <v>-3.9</v>
      </c>
      <c r="I182" s="31" t="n">
        <v>236406</v>
      </c>
      <c r="J182" s="31" t="inlineStr">
        <is>
          <t>544122</t>
        </is>
      </c>
    </row>
    <row r="183">
      <c r="A183" s="31" t="inlineStr">
        <is>
          <t>INDSWFTLAB</t>
        </is>
      </c>
      <c r="B183" s="31" t="inlineStr">
        <is>
          <t>Ind-swift Laboratories Limited</t>
        </is>
      </c>
      <c r="C183" s="31" t="inlineStr">
        <is>
          <t>healthcare</t>
        </is>
      </c>
      <c r="D183" s="31" t="inlineStr">
        <is>
          <t>pharmaceuticals - indian - bulk drugs &amp; formln</t>
        </is>
      </c>
      <c r="E183" s="31" t="inlineStr">
        <is>
          <t>smallcap</t>
        </is>
      </c>
      <c r="F183" s="31" t="n">
        <v>3293.67</v>
      </c>
      <c r="G183" s="31" t="n">
        <v>363.9</v>
      </c>
      <c r="H183" s="31" t="n">
        <v>-3.92</v>
      </c>
      <c r="I183" s="31" t="n">
        <v>1637019</v>
      </c>
      <c r="J183" s="31" t="inlineStr">
        <is>
          <t>532305</t>
        </is>
      </c>
    </row>
    <row r="184">
      <c r="A184" s="31" t="inlineStr">
        <is>
          <t>STLTECH</t>
        </is>
      </c>
      <c r="B184" s="31" t="inlineStr">
        <is>
          <t>Sterlite Technologies Limited</t>
        </is>
      </c>
      <c r="C184" s="31" t="inlineStr">
        <is>
          <t>industrials</t>
        </is>
      </c>
      <c r="D184" s="31" t="inlineStr">
        <is>
          <t>cables - telephone</t>
        </is>
      </c>
      <c r="E184" s="31" t="inlineStr">
        <is>
          <t>largecap</t>
        </is>
      </c>
      <c r="F184" s="31" t="n">
        <v>43812.22</v>
      </c>
      <c r="G184" s="31" t="n">
        <v>818.05</v>
      </c>
      <c r="H184" s="31" t="n">
        <v>-4.05</v>
      </c>
      <c r="I184" s="31" t="n">
        <v>2551038</v>
      </c>
      <c r="J184" s="31" t="inlineStr">
        <is>
          <t>532374</t>
        </is>
      </c>
    </row>
    <row r="185">
      <c r="A185" s="31" t="inlineStr">
        <is>
          <t>SUBEXLTD</t>
        </is>
      </c>
      <c r="B185" s="31" t="inlineStr">
        <is>
          <t>Subex Ltd</t>
        </is>
      </c>
      <c r="C185" s="31" t="inlineStr">
        <is>
          <t>i.t</t>
        </is>
      </c>
      <c r="D185" s="31" t="inlineStr">
        <is>
          <t>computers - software - medium / small</t>
        </is>
      </c>
      <c r="E185" s="31" t="inlineStr">
        <is>
          <t>smallcap</t>
        </is>
      </c>
      <c r="F185" s="31" t="n">
        <v>1148.73</v>
      </c>
      <c r="G185" s="31" t="n">
        <v>19.59</v>
      </c>
      <c r="H185" s="31" t="n">
        <v>-4.16</v>
      </c>
      <c r="I185" s="31" t="n">
        <v>15276187</v>
      </c>
      <c r="J185" s="31" t="inlineStr">
        <is>
          <t>532348</t>
        </is>
      </c>
    </row>
    <row r="186">
      <c r="A186" s="31" t="inlineStr">
        <is>
          <t>SMLMAH</t>
        </is>
      </c>
      <c r="B186" s="31" t="inlineStr">
        <is>
          <t>SML Mahindra Ltd</t>
        </is>
      </c>
      <c r="C186" s="31" t="inlineStr">
        <is>
          <t>auto</t>
        </is>
      </c>
      <c r="D186" s="31" t="inlineStr">
        <is>
          <t>automobiles - lcvs / hcvs</t>
        </is>
      </c>
      <c r="E186" s="31" t="inlineStr">
        <is>
          <t>midcap</t>
        </is>
      </c>
      <c r="F186" s="31" t="n">
        <v>9050.57</v>
      </c>
      <c r="G186" s="31" t="n">
        <v>5971.5</v>
      </c>
      <c r="H186" s="31" t="n">
        <v>-4.52</v>
      </c>
      <c r="I186" s="31" t="n">
        <v>83297</v>
      </c>
      <c r="J186" s="31" t="inlineStr">
        <is>
          <t>505192</t>
        </is>
      </c>
    </row>
    <row r="187">
      <c r="A187" s="31" t="inlineStr">
        <is>
          <t>VALIANTLAB</t>
        </is>
      </c>
      <c r="B187" s="31" t="inlineStr">
        <is>
          <t>Valiant Laboratories Ltd</t>
        </is>
      </c>
      <c r="C187" s="31" t="inlineStr">
        <is>
          <t>healthcare</t>
        </is>
      </c>
      <c r="D187" s="31" t="inlineStr">
        <is>
          <t>pharmaceuticals - indian - bulk drugs &amp; formln</t>
        </is>
      </c>
      <c r="E187" s="31" t="inlineStr">
        <is>
          <t>smallcap</t>
        </is>
      </c>
      <c r="F187" s="31" t="n">
        <v>666.03</v>
      </c>
      <c r="G187" s="31" t="n">
        <v>116.91</v>
      </c>
      <c r="H187" s="31" t="n">
        <v>-4.66</v>
      </c>
      <c r="I187" s="31" t="n">
        <v>111457</v>
      </c>
      <c r="J187" s="31" t="n"/>
    </row>
    <row r="188">
      <c r="A188" s="31" t="inlineStr">
        <is>
          <t>HATSUN</t>
        </is>
      </c>
      <c r="B188" s="31" t="inlineStr">
        <is>
          <t>Hatsun Agro Product Limited</t>
        </is>
      </c>
      <c r="C188" s="31" t="inlineStr">
        <is>
          <t>fmcg</t>
        </is>
      </c>
      <c r="D188" s="31" t="inlineStr">
        <is>
          <t>food - processing - indian</t>
        </is>
      </c>
      <c r="E188" s="31" t="inlineStr">
        <is>
          <t>largecap</t>
        </is>
      </c>
      <c r="F188" s="31" t="n">
        <v>28400.4</v>
      </c>
      <c r="G188" s="31" t="n">
        <v>1214</v>
      </c>
      <c r="H188" s="31" t="n">
        <v>-4.78</v>
      </c>
      <c r="I188" s="31" t="n">
        <v>88440</v>
      </c>
      <c r="J188" s="31" t="inlineStr">
        <is>
          <t>531531</t>
        </is>
      </c>
    </row>
    <row r="189">
      <c r="A189" s="31" t="inlineStr">
        <is>
          <t>MODISONLTD</t>
        </is>
      </c>
      <c r="B189" s="31" t="inlineStr">
        <is>
          <t>Modison Ltd</t>
        </is>
      </c>
      <c r="C189" s="31" t="inlineStr">
        <is>
          <t>industrials</t>
        </is>
      </c>
      <c r="D189" s="31" t="inlineStr">
        <is>
          <t>electric equipment</t>
        </is>
      </c>
      <c r="E189" s="31" t="inlineStr">
        <is>
          <t>smallcap</t>
        </is>
      </c>
      <c r="F189" s="31" t="n">
        <v>1551.6</v>
      </c>
      <c r="G189" s="31" t="n">
        <v>455.05</v>
      </c>
      <c r="H189" s="31" t="n">
        <v>-4.83</v>
      </c>
      <c r="I189" s="31" t="n">
        <v>80064</v>
      </c>
      <c r="J189" s="31" t="inlineStr">
        <is>
          <t>506261</t>
        </is>
      </c>
    </row>
    <row r="190">
      <c r="A190" s="31" t="inlineStr">
        <is>
          <t>GAYAPROJ</t>
        </is>
      </c>
      <c r="B190" s="31" t="inlineStr">
        <is>
          <t>Gayatri Projects Limited</t>
        </is>
      </c>
      <c r="C190" s="31" t="inlineStr">
        <is>
          <t>realty</t>
        </is>
      </c>
      <c r="D190" s="31" t="inlineStr">
        <is>
          <t>construction</t>
        </is>
      </c>
      <c r="E190" s="31" t="inlineStr">
        <is>
          <t>smallcap</t>
        </is>
      </c>
      <c r="F190" s="31" t="n">
        <v>1214.14</v>
      </c>
      <c r="G190" s="31" t="n">
        <v>24.85</v>
      </c>
      <c r="H190" s="31" t="n">
        <v>-4.97</v>
      </c>
      <c r="I190" s="31" t="n">
        <v>1543449</v>
      </c>
      <c r="J190" s="31" t="inlineStr">
        <is>
          <t>532767</t>
        </is>
      </c>
    </row>
    <row r="191">
      <c r="A191" s="31" t="inlineStr">
        <is>
          <t>SETL</t>
        </is>
      </c>
      <c r="B191" s="31" t="inlineStr">
        <is>
          <t>Standard Enginnering Technology Ltd</t>
        </is>
      </c>
      <c r="C191" s="31" t="inlineStr">
        <is>
          <t>industrials</t>
        </is>
      </c>
      <c r="D191" s="31" t="inlineStr">
        <is>
          <t>engineering</t>
        </is>
      </c>
      <c r="E191" s="31" t="inlineStr">
        <is>
          <t>midcap</t>
        </is>
      </c>
      <c r="F191" s="31" t="n">
        <v>8872.389999999999</v>
      </c>
      <c r="G191" s="31" t="n">
        <v>422.55</v>
      </c>
      <c r="H191" s="31" t="n">
        <v>-4.99</v>
      </c>
      <c r="I191" s="31" t="n">
        <v>64549</v>
      </c>
      <c r="J191" s="31" t="inlineStr">
        <is>
          <t>544333</t>
        </is>
      </c>
    </row>
    <row r="192">
      <c r="A192" s="31" t="inlineStr">
        <is>
          <t>PVP</t>
        </is>
      </c>
      <c r="B192" s="31" t="inlineStr">
        <is>
          <t>Pvp Ventures Limited</t>
        </is>
      </c>
      <c r="C192" s="31" t="inlineStr">
        <is>
          <t>realty</t>
        </is>
      </c>
      <c r="D192" s="31" t="inlineStr">
        <is>
          <t>construction</t>
        </is>
      </c>
      <c r="E192" s="31" t="inlineStr">
        <is>
          <t>smallcap</t>
        </is>
      </c>
      <c r="F192" s="31" t="n">
        <v>1603.57</v>
      </c>
      <c r="G192" s="31" t="n">
        <v>58.51</v>
      </c>
      <c r="H192" s="31" t="n">
        <v>-4.99</v>
      </c>
      <c r="I192" s="31" t="n">
        <v>342199</v>
      </c>
      <c r="J192" s="31" t="inlineStr">
        <is>
          <t>517556</t>
        </is>
      </c>
    </row>
    <row r="193">
      <c r="A193" s="31" t="inlineStr">
        <is>
          <t>MANAKSTEEL</t>
        </is>
      </c>
      <c r="B193" s="31" t="inlineStr">
        <is>
          <t>Manaksia Steels Limited</t>
        </is>
      </c>
      <c r="C193" s="31" t="inlineStr">
        <is>
          <t>metals &amp; mining</t>
        </is>
      </c>
      <c r="D193" s="31" t="inlineStr">
        <is>
          <t>steel - medium / small</t>
        </is>
      </c>
      <c r="E193" s="31" t="inlineStr">
        <is>
          <t>smallcap</t>
        </is>
      </c>
      <c r="F193" s="31" t="n">
        <v>734.11</v>
      </c>
      <c r="G193" s="31" t="n">
        <v>106.42</v>
      </c>
      <c r="H193" s="31" t="n">
        <v>-5</v>
      </c>
      <c r="I193" s="31" t="n">
        <v>75116</v>
      </c>
      <c r="J193" s="31" t="inlineStr">
        <is>
          <t>539044</t>
        </is>
      </c>
    </row>
    <row r="194">
      <c r="A194" s="31" t="inlineStr">
        <is>
          <t>INDIAGLYCO</t>
        </is>
      </c>
      <c r="B194" s="31" t="inlineStr">
        <is>
          <t>India Glycols Limited</t>
        </is>
      </c>
      <c r="C194" s="31" t="inlineStr">
        <is>
          <t>fmcg</t>
        </is>
      </c>
      <c r="D194" s="31" t="inlineStr">
        <is>
          <t>breweries &amp; distilleries</t>
        </is>
      </c>
      <c r="E194" s="31" t="inlineStr">
        <is>
          <t>smallcap</t>
        </is>
      </c>
      <c r="F194" s="31" t="n">
        <v>1878.09</v>
      </c>
      <c r="G194" s="31" t="n">
        <v>266.2</v>
      </c>
      <c r="H194" s="31" t="n">
        <v>-5</v>
      </c>
      <c r="I194" s="31" t="n">
        <v>39549</v>
      </c>
      <c r="J194" s="31" t="inlineStr">
        <is>
          <t>500201</t>
        </is>
      </c>
    </row>
    <row r="195">
      <c r="A195" s="31" t="inlineStr">
        <is>
          <t>PRABHA</t>
        </is>
      </c>
      <c r="B195" s="31" t="inlineStr">
        <is>
          <t>Prabha Energy Ltd</t>
        </is>
      </c>
      <c r="C195" s="31" t="inlineStr">
        <is>
          <t>energy</t>
        </is>
      </c>
      <c r="D195" s="31" t="inlineStr">
        <is>
          <t>oil drilling / allied services</t>
        </is>
      </c>
      <c r="E195" s="31" t="inlineStr">
        <is>
          <t>smallcap</t>
        </is>
      </c>
      <c r="F195" s="31" t="n">
        <v>3509.25</v>
      </c>
      <c r="G195" s="31" t="n">
        <v>226.58</v>
      </c>
      <c r="H195" s="31" t="n">
        <v>-5.36</v>
      </c>
      <c r="I195" s="31" t="n">
        <v>175244</v>
      </c>
      <c r="J195" s="31" t="inlineStr">
        <is>
          <t>544379</t>
        </is>
      </c>
    </row>
    <row r="196">
      <c r="A196" s="31" t="inlineStr">
        <is>
          <t>MUKKA</t>
        </is>
      </c>
      <c r="B196" s="31" t="inlineStr">
        <is>
          <t>Mukka Proteins Ltd</t>
        </is>
      </c>
      <c r="C196" s="31" t="inlineStr">
        <is>
          <t>fmcg</t>
        </is>
      </c>
      <c r="D196" s="31" t="inlineStr">
        <is>
          <t>food - processing - indian</t>
        </is>
      </c>
      <c r="E196" s="31" t="inlineStr">
        <is>
          <t>smallcap</t>
        </is>
      </c>
      <c r="F196" s="31" t="n">
        <v>941.7</v>
      </c>
      <c r="G196" s="31" t="n">
        <v>29.53</v>
      </c>
      <c r="H196" s="31" t="n">
        <v>-5.93</v>
      </c>
      <c r="I196" s="31" t="n">
        <v>1355601</v>
      </c>
      <c r="J196" s="31" t="inlineStr">
        <is>
          <t>544135</t>
        </is>
      </c>
    </row>
  </sheetData>
  <autoFilter ref="A1:J19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REDINGTON</t>
        </is>
      </c>
      <c r="E2" s="31" t="inlineStr">
        <is>
          <t>Redington (india) Limited</t>
        </is>
      </c>
      <c r="F2" s="31" t="inlineStr">
        <is>
          <t>unknown</t>
        </is>
      </c>
      <c r="G2" s="31" t="n">
        <v>2</v>
      </c>
      <c r="H2" s="31" t="inlineStr">
        <is>
          <t>ATH Momentum</t>
        </is>
      </c>
      <c r="I2" s="31" t="inlineStr">
        <is>
          <t>Yes</t>
        </is>
      </c>
      <c r="J2" s="31" t="n">
        <v>0</v>
      </c>
      <c r="K2" s="31" t="n">
        <v>30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TBZ</t>
        </is>
      </c>
      <c r="E3" s="31" t="inlineStr">
        <is>
          <t>Tribhovandas Bhimji Zaveri Limited</t>
        </is>
      </c>
      <c r="F3" s="31" t="inlineStr">
        <is>
          <t>unknown</t>
        </is>
      </c>
      <c r="G3" s="31" t="n">
        <v>2</v>
      </c>
      <c r="H3" s="31" t="inlineStr">
        <is>
          <t>ATH Momentum</t>
        </is>
      </c>
      <c r="I3" s="31" t="inlineStr">
        <is>
          <t>Yes</t>
        </is>
      </c>
      <c r="J3" s="31" t="n">
        <v>0</v>
      </c>
      <c r="K3" s="31" t="n">
        <v>23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PAISALO</t>
        </is>
      </c>
      <c r="E4" s="31" t="inlineStr">
        <is>
          <t>Paisalo Digital Ltd</t>
        </is>
      </c>
      <c r="F4" s="31" t="inlineStr">
        <is>
          <t>unknown</t>
        </is>
      </c>
      <c r="G4" s="31" t="n">
        <v>2</v>
      </c>
      <c r="H4" s="31" t="inlineStr">
        <is>
          <t>52W Breakout</t>
        </is>
      </c>
      <c r="I4" s="31" t="inlineStr">
        <is>
          <t>Yes</t>
        </is>
      </c>
      <c r="J4" s="31" t="n">
        <v>0</v>
      </c>
      <c r="K4" s="31" t="n">
        <v>10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NRL</t>
        </is>
      </c>
      <c r="E5" s="31" t="inlineStr">
        <is>
          <t>Nupur Recyclers Ltd</t>
        </is>
      </c>
      <c r="F5" s="31" t="inlineStr">
        <is>
          <t>unknown</t>
        </is>
      </c>
      <c r="G5" s="31" t="n">
        <v>2</v>
      </c>
      <c r="H5" s="31" t="inlineStr">
        <is>
          <t>ATH Momentum</t>
        </is>
      </c>
      <c r="I5" s="31" t="inlineStr">
        <is>
          <t>Yes</t>
        </is>
      </c>
      <c r="J5" s="31" t="n">
        <v>0</v>
      </c>
      <c r="K5" s="31" t="n">
        <v>23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SWANDEF</t>
        </is>
      </c>
      <c r="E6" s="31" t="inlineStr">
        <is>
          <t>Swan Defence and Heavy Industries Ltd</t>
        </is>
      </c>
      <c r="F6" s="31" t="inlineStr">
        <is>
          <t>unknown</t>
        </is>
      </c>
      <c r="G6" s="31" t="n">
        <v>2</v>
      </c>
      <c r="H6" s="31" t="inlineStr">
        <is>
          <t>ATH Momentum</t>
        </is>
      </c>
      <c r="I6" s="31" t="inlineStr">
        <is>
          <t>Yes</t>
        </is>
      </c>
      <c r="J6" s="31" t="n">
        <v>0</v>
      </c>
      <c r="K6" s="31" t="n">
        <v>15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BHAGYANGR</t>
        </is>
      </c>
      <c r="E7" s="31" t="inlineStr">
        <is>
          <t>Bhagyanagar India</t>
        </is>
      </c>
      <c r="F7" s="31" t="inlineStr">
        <is>
          <t>unknown</t>
        </is>
      </c>
      <c r="G7" s="31" t="n">
        <v>2</v>
      </c>
      <c r="H7" s="31" t="inlineStr">
        <is>
          <t>ATH Momentum</t>
        </is>
      </c>
      <c r="I7" s="31" t="inlineStr">
        <is>
          <t>Yes</t>
        </is>
      </c>
      <c r="J7" s="31" t="n">
        <v>0</v>
      </c>
      <c r="K7" s="31" t="n">
        <v>7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BIRLACABLE</t>
        </is>
      </c>
      <c r="E8" s="31" t="inlineStr">
        <is>
          <t>Birla Cable Limited</t>
        </is>
      </c>
      <c r="F8" s="31" t="inlineStr">
        <is>
          <t>unknown</t>
        </is>
      </c>
      <c r="G8" s="31" t="n">
        <v>2</v>
      </c>
      <c r="H8" s="31" t="inlineStr">
        <is>
          <t>ATH Momentum</t>
        </is>
      </c>
      <c r="I8" s="31" t="inlineStr">
        <is>
          <t>Yes</t>
        </is>
      </c>
      <c r="J8" s="31" t="n">
        <v>0</v>
      </c>
      <c r="K8" s="31" t="n">
        <v>30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FILATEX</t>
        </is>
      </c>
      <c r="E9" s="31" t="inlineStr">
        <is>
          <t>Filatex India Limited</t>
        </is>
      </c>
      <c r="F9" s="31" t="inlineStr">
        <is>
          <t>unknown</t>
        </is>
      </c>
      <c r="G9" s="31" t="n">
        <v>2</v>
      </c>
      <c r="H9" s="31" t="inlineStr">
        <is>
          <t>52W Breakout</t>
        </is>
      </c>
      <c r="I9" s="31" t="inlineStr">
        <is>
          <t>Yes</t>
        </is>
      </c>
      <c r="J9" s="31" t="n">
        <v>0</v>
      </c>
      <c r="K9" s="31" t="n">
        <v>18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KANORICHEM</t>
        </is>
      </c>
      <c r="E10" s="31" t="inlineStr">
        <is>
          <t>Kanoria Chemicals &amp; Industries Limited</t>
        </is>
      </c>
      <c r="F10" s="31" t="inlineStr">
        <is>
          <t>unknown</t>
        </is>
      </c>
      <c r="G10" s="31" t="n">
        <v>2</v>
      </c>
      <c r="H10" s="31" t="inlineStr">
        <is>
          <t>52W Breakout</t>
        </is>
      </c>
      <c r="I10" s="31" t="inlineStr">
        <is>
          <t>Yes</t>
        </is>
      </c>
      <c r="J10" s="31" t="n">
        <v>0</v>
      </c>
      <c r="K10" s="31" t="n">
        <v>28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LOTUSDEV</t>
        </is>
      </c>
      <c r="E11" s="31" t="inlineStr">
        <is>
          <t>Sri Lotus Developers &amp; Realty Ltd</t>
        </is>
      </c>
      <c r="F11" s="31" t="inlineStr">
        <is>
          <t>unknown</t>
        </is>
      </c>
      <c r="G11" s="31" t="n">
        <v>2</v>
      </c>
      <c r="H11" s="31" t="inlineStr">
        <is>
          <t>52W Breakout</t>
        </is>
      </c>
      <c r="I11" s="31" t="inlineStr">
        <is>
          <t>Yes</t>
        </is>
      </c>
      <c r="J11" s="31" t="n">
        <v>0</v>
      </c>
      <c r="K11" s="31" t="n">
        <v>15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ZIMLAB</t>
        </is>
      </c>
      <c r="E12" s="31" t="inlineStr">
        <is>
          <t>Zim Laboratories Ltd</t>
        </is>
      </c>
      <c r="F12" s="31" t="inlineStr">
        <is>
          <t>unknown</t>
        </is>
      </c>
      <c r="G12" s="31" t="n">
        <v>2</v>
      </c>
      <c r="H12" s="31" t="inlineStr">
        <is>
          <t>ATH Momentum</t>
        </is>
      </c>
      <c r="I12" s="31" t="inlineStr">
        <is>
          <t>Yes</t>
        </is>
      </c>
      <c r="J12" s="31" t="n">
        <v>0</v>
      </c>
      <c r="K12" s="31" t="n">
        <v>20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SHREEPUSHK</t>
        </is>
      </c>
      <c r="E13" s="31" t="inlineStr">
        <is>
          <t>Shree Pushkar Chemicals &amp; Fertilisers Limited</t>
        </is>
      </c>
      <c r="F13" s="31" t="inlineStr">
        <is>
          <t>unknown</t>
        </is>
      </c>
      <c r="G13" s="31" t="n">
        <v>2</v>
      </c>
      <c r="H13" s="31" t="inlineStr">
        <is>
          <t>ATH Momentum</t>
        </is>
      </c>
      <c r="I13" s="31" t="inlineStr">
        <is>
          <t>Yes</t>
        </is>
      </c>
      <c r="J13" s="31" t="n">
        <v>0</v>
      </c>
      <c r="K13" s="31" t="n">
        <v>19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RACLGEAR</t>
        </is>
      </c>
      <c r="E14" s="31" t="inlineStr">
        <is>
          <t>RACL Geartech Ltd</t>
        </is>
      </c>
      <c r="F14" s="31" t="inlineStr">
        <is>
          <t>unknown</t>
        </is>
      </c>
      <c r="G14" s="31" t="n">
        <v>2</v>
      </c>
      <c r="H14" s="31" t="inlineStr">
        <is>
          <t>52W Breakout</t>
        </is>
      </c>
      <c r="I14" s="31" t="inlineStr">
        <is>
          <t>Yes</t>
        </is>
      </c>
      <c r="J14" s="31" t="n">
        <v>0</v>
      </c>
      <c r="K14" s="31" t="n">
        <v>25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ACMESOLAR</t>
        </is>
      </c>
      <c r="E15" s="31" t="inlineStr">
        <is>
          <t>ACME Solar Holdings Ltd</t>
        </is>
      </c>
      <c r="F15" s="31" t="inlineStr">
        <is>
          <t>unknown</t>
        </is>
      </c>
      <c r="G15" s="31" t="n">
        <v>2</v>
      </c>
      <c r="H15" s="31" t="inlineStr">
        <is>
          <t>ATH Momentum</t>
        </is>
      </c>
      <c r="I15" s="31" t="inlineStr">
        <is>
          <t>Yes</t>
        </is>
      </c>
      <c r="J15" s="31" t="n">
        <v>0</v>
      </c>
      <c r="K15" s="31" t="n">
        <v>19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DIACABS</t>
        </is>
      </c>
      <c r="E16" s="31" t="inlineStr">
        <is>
          <t>Diamond Power Infrastructure Ltd</t>
        </is>
      </c>
      <c r="F16" s="31" t="inlineStr">
        <is>
          <t>unknown</t>
        </is>
      </c>
      <c r="G16" s="31" t="n">
        <v>2</v>
      </c>
      <c r="H16" s="31" t="inlineStr">
        <is>
          <t>52W Breakout</t>
        </is>
      </c>
      <c r="I16" s="31" t="inlineStr">
        <is>
          <t>Yes</t>
        </is>
      </c>
      <c r="J16" s="31" t="n">
        <v>0</v>
      </c>
      <c r="K16" s="31" t="n">
        <v>23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STLNETWORK</t>
        </is>
      </c>
      <c r="E17" s="31" t="inlineStr">
        <is>
          <t>STL Networks Ltd</t>
        </is>
      </c>
      <c r="F17" s="31" t="inlineStr">
        <is>
          <t>unknown</t>
        </is>
      </c>
      <c r="G17" s="31" t="n">
        <v>2</v>
      </c>
      <c r="H17" s="31" t="inlineStr">
        <is>
          <t>52W Breakout</t>
        </is>
      </c>
      <c r="I17" s="31" t="inlineStr">
        <is>
          <t>Yes</t>
        </is>
      </c>
      <c r="J17" s="31" t="n">
        <v>0</v>
      </c>
      <c r="K17" s="31" t="n">
        <v>6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DYNAMATECH</t>
        </is>
      </c>
      <c r="E18" s="31" t="inlineStr">
        <is>
          <t>Dynamatic Technologies Limited</t>
        </is>
      </c>
      <c r="F18" s="31" t="inlineStr">
        <is>
          <t>unknown</t>
        </is>
      </c>
      <c r="G18" s="31" t="n">
        <v>2</v>
      </c>
      <c r="H18" s="31" t="inlineStr">
        <is>
          <t>ATH Momentum</t>
        </is>
      </c>
      <c r="I18" s="31" t="inlineStr">
        <is>
          <t>Yes</t>
        </is>
      </c>
      <c r="J18" s="31" t="n">
        <v>0</v>
      </c>
      <c r="K18" s="31" t="n">
        <v>25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SPECTRUM</t>
        </is>
      </c>
      <c r="E19" s="31" t="inlineStr">
        <is>
          <t>Spectrum Electrical Industries Ltd</t>
        </is>
      </c>
      <c r="F19" s="31" t="inlineStr">
        <is>
          <t>unknown</t>
        </is>
      </c>
      <c r="G19" s="31" t="n">
        <v>2</v>
      </c>
      <c r="H19" s="31" t="inlineStr">
        <is>
          <t>ATH Momentum</t>
        </is>
      </c>
      <c r="I19" s="31" t="inlineStr">
        <is>
          <t>Yes</t>
        </is>
      </c>
      <c r="J19" s="31" t="n">
        <v>0</v>
      </c>
      <c r="K19" s="31" t="n">
        <v>14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GLOBAL</t>
        </is>
      </c>
      <c r="E20" s="31" t="inlineStr">
        <is>
          <t>Global Education Ltd</t>
        </is>
      </c>
      <c r="F20" s="31" t="inlineStr">
        <is>
          <t>unknown</t>
        </is>
      </c>
      <c r="G20" s="31" t="n">
        <v>2</v>
      </c>
      <c r="H20" s="31" t="inlineStr">
        <is>
          <t>52W Breakout</t>
        </is>
      </c>
      <c r="I20" s="31" t="inlineStr">
        <is>
          <t>Yes</t>
        </is>
      </c>
      <c r="J20" s="31" t="n">
        <v>0</v>
      </c>
      <c r="K20" s="31" t="n">
        <v>22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KOPRAN</t>
        </is>
      </c>
      <c r="E21" s="31" t="inlineStr">
        <is>
          <t>Kopran Limited</t>
        </is>
      </c>
      <c r="F21" s="31" t="inlineStr">
        <is>
          <t>unknown</t>
        </is>
      </c>
      <c r="G21" s="31" t="n">
        <v>2</v>
      </c>
      <c r="H21" s="31" t="inlineStr">
        <is>
          <t>52W Breakout</t>
        </is>
      </c>
      <c r="I21" s="31" t="inlineStr">
        <is>
          <t>Yes</t>
        </is>
      </c>
      <c r="J21" s="31" t="n">
        <v>0</v>
      </c>
      <c r="K21" s="31" t="n">
        <v>18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ANTELOPUS</t>
        </is>
      </c>
      <c r="E22" s="31" t="inlineStr">
        <is>
          <t>Antelopus Selan Energy Ltd</t>
        </is>
      </c>
      <c r="F22" s="31" t="inlineStr">
        <is>
          <t>unknown</t>
        </is>
      </c>
      <c r="G22" s="31" t="n">
        <v>2</v>
      </c>
      <c r="H22" s="31" t="inlineStr">
        <is>
          <t>52W Breakout</t>
        </is>
      </c>
      <c r="I22" s="31" t="inlineStr">
        <is>
          <t>Yes</t>
        </is>
      </c>
      <c r="J22" s="31" t="n">
        <v>0</v>
      </c>
      <c r="K22" s="31" t="n">
        <v>13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ROSSTECH</t>
        </is>
      </c>
      <c r="E23" s="31" t="inlineStr">
        <is>
          <t>Rossell Techsys Ltd</t>
        </is>
      </c>
      <c r="F23" s="31" t="inlineStr">
        <is>
          <t>unknown</t>
        </is>
      </c>
      <c r="G23" s="31" t="n">
        <v>2</v>
      </c>
      <c r="H23" s="31" t="inlineStr">
        <is>
          <t>52W Breakout</t>
        </is>
      </c>
      <c r="I23" s="31" t="inlineStr">
        <is>
          <t>Yes</t>
        </is>
      </c>
      <c r="J23" s="31" t="n">
        <v>0</v>
      </c>
      <c r="K23" s="31" t="n">
        <v>28</v>
      </c>
    </row>
  </sheetData>
  <autoFilter ref="A1:K23"/>
  <conditionalFormatting sqref="G2:G2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23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18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IF(B2=0,"",RANK(B2,$B$2:$B$184,0))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UNIVPHOTO</t>
        </is>
      </c>
      <c r="D2" s="31" t="inlineStr">
        <is>
          <t>Universus Photo Imagings Ltd</t>
        </is>
      </c>
      <c r="E2" s="31" t="inlineStr">
        <is>
          <t>consumer discretionary</t>
        </is>
      </c>
      <c r="F2" s="31" t="inlineStr">
        <is>
          <t>photographic and allied products</t>
        </is>
      </c>
      <c r="G2" s="31" t="inlineStr">
        <is>
          <t>smallcap</t>
        </is>
      </c>
      <c r="H2" s="32" t="n">
        <v>620.4</v>
      </c>
      <c r="I2" s="32" t="n">
        <v>595.05</v>
      </c>
      <c r="J2" s="32" t="n">
        <v>4.99</v>
      </c>
      <c r="K2" s="32" t="n">
        <v>19469</v>
      </c>
      <c r="L2" s="31" t="n">
        <v>90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73.34</v>
      </c>
      <c r="P2" s="32" t="n">
        <v>21.63</v>
      </c>
      <c r="Q2" s="32" t="n">
        <v>445.68</v>
      </c>
      <c r="R2" s="31" t="inlineStr">
        <is>
          <t>Volume Spike &amp; Near 52W High Breakout</t>
        </is>
      </c>
      <c r="S2" s="31" t="inlineStr">
        <is>
          <t>Nifty 50</t>
        </is>
      </c>
      <c r="T2" s="32" t="n">
        <v>-8.33</v>
      </c>
      <c r="U2" s="32" t="n">
        <v>130.06</v>
      </c>
      <c r="V2" s="32" t="n">
        <v>150.96</v>
      </c>
      <c r="W2" s="32" t="n">
        <v>40.72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No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One Time, Lower Annuity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20 to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No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IF(B3=0,"",RANK(B3,$B$2:$B$184,0))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REDINGTON</t>
        </is>
      </c>
      <c r="D3" s="31" t="inlineStr">
        <is>
          <t>Redington (india) Limited</t>
        </is>
      </c>
      <c r="E3" s="31" t="inlineStr">
        <is>
          <t>services</t>
        </is>
      </c>
      <c r="F3" s="31" t="inlineStr">
        <is>
          <t>trading</t>
        </is>
      </c>
      <c r="G3" s="31" t="inlineStr">
        <is>
          <t>largecap</t>
        </is>
      </c>
      <c r="H3" s="32" t="n">
        <v>29625.34</v>
      </c>
      <c r="I3" s="32" t="n">
        <v>388.15</v>
      </c>
      <c r="J3" s="32" t="n">
        <v>2.43</v>
      </c>
      <c r="K3" s="32" t="n">
        <v>5640367</v>
      </c>
      <c r="L3" s="31" t="n">
        <v>55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72.37</v>
      </c>
      <c r="P3" s="32" t="n">
        <v>47.51</v>
      </c>
      <c r="Q3" s="32" t="n">
        <v>307.49</v>
      </c>
      <c r="R3" s="31" t="inlineStr">
        <is>
          <t>Near 52W High Breakout</t>
        </is>
      </c>
      <c r="S3" s="31" t="inlineStr">
        <is>
          <t>Nifty 50</t>
        </is>
      </c>
      <c r="T3" s="32" t="n">
        <v>-8.33</v>
      </c>
      <c r="U3" s="32" t="n">
        <v>32.34</v>
      </c>
      <c r="V3" s="32" t="n">
        <v>44.37</v>
      </c>
      <c r="W3" s="32" t="n">
        <v>16.48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Between 50 to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IF(B4=0,"",RANK(B4,$B$2:$B$184,0))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VISHNU</t>
        </is>
      </c>
      <c r="D4" s="31" t="inlineStr">
        <is>
          <t>Vishnu Chemicals Limited</t>
        </is>
      </c>
      <c r="E4" s="31" t="inlineStr">
        <is>
          <t>chemicals</t>
        </is>
      </c>
      <c r="F4" s="31" t="inlineStr">
        <is>
          <t>chemicals</t>
        </is>
      </c>
      <c r="G4" s="31" t="inlineStr">
        <is>
          <t>smallcap</t>
        </is>
      </c>
      <c r="H4" s="32" t="n">
        <v>4596.29</v>
      </c>
      <c r="I4" s="32" t="n">
        <v>693.9</v>
      </c>
      <c r="J4" s="32" t="n">
        <v>1.63</v>
      </c>
      <c r="K4" s="32" t="n">
        <v>112259</v>
      </c>
      <c r="L4" s="31" t="n">
        <v>35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66.28</v>
      </c>
      <c r="P4" s="32" t="n">
        <v>44.89</v>
      </c>
      <c r="Q4" s="32" t="n">
        <v>576.22</v>
      </c>
      <c r="R4" s="31" t="inlineStr">
        <is>
          <t>Near 52W High Breakout</t>
        </is>
      </c>
      <c r="S4" s="31" t="inlineStr">
        <is>
          <t>Nifty 50</t>
        </is>
      </c>
      <c r="T4" s="32" t="n">
        <v>-8.33</v>
      </c>
      <c r="U4" s="32" t="n">
        <v>39.47</v>
      </c>
      <c r="V4" s="32" t="n">
        <v>52.15</v>
      </c>
      <c r="W4" s="32" t="n">
        <v>10.26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B2B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IF(B5=0,"",RANK(B5,$B$2:$B$184,0))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IPCALAB</t>
        </is>
      </c>
      <c r="D5" s="31" t="inlineStr">
        <is>
          <t>Ipca Laboratories Limited</t>
        </is>
      </c>
      <c r="E5" s="31" t="inlineStr">
        <is>
          <t>healthcare</t>
        </is>
      </c>
      <c r="F5" s="31" t="inlineStr">
        <is>
          <t>pharmaceuticals - indian - bulk drugs &amp; formln</t>
        </is>
      </c>
      <c r="G5" s="31" t="inlineStr">
        <is>
          <t>largecap</t>
        </is>
      </c>
      <c r="H5" s="32" t="n">
        <v>49025.8</v>
      </c>
      <c r="I5" s="32" t="n">
        <v>1950.7</v>
      </c>
      <c r="J5" s="32" t="n">
        <v>0.95</v>
      </c>
      <c r="K5" s="32" t="n">
        <v>337123</v>
      </c>
      <c r="L5" s="31" t="n">
        <v>40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67.70999999999999</v>
      </c>
      <c r="P5" s="32" t="n">
        <v>44.28</v>
      </c>
      <c r="Q5" s="32" t="n">
        <v>1614.76</v>
      </c>
      <c r="R5" s="31" t="inlineStr">
        <is>
          <t>Near 52W High Breakout</t>
        </is>
      </c>
      <c r="S5" s="31" t="inlineStr">
        <is>
          <t>Nifty Pharma</t>
        </is>
      </c>
      <c r="T5" s="32" t="n">
        <v>15.25</v>
      </c>
      <c r="U5" s="32" t="n">
        <v>35.84</v>
      </c>
      <c r="V5" s="32" t="n">
        <v>17.87</v>
      </c>
      <c r="W5" s="32" t="n">
        <v>11.37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IF(B6=0,"",RANK(B6,$B$2:$B$184,0))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TBZ</t>
        </is>
      </c>
      <c r="D6" s="31" t="inlineStr">
        <is>
          <t>Tribhovandas Bhimji Zaveri Limited</t>
        </is>
      </c>
      <c r="E6" s="31" t="inlineStr">
        <is>
          <t>consumer discretionary</t>
        </is>
      </c>
      <c r="F6" s="31" t="inlineStr">
        <is>
          <t>diamond cutting / jewellery</t>
        </is>
      </c>
      <c r="G6" s="31" t="inlineStr">
        <is>
          <t>smallcap</t>
        </is>
      </c>
      <c r="H6" s="32" t="n">
        <v>3499.69</v>
      </c>
      <c r="I6" s="32" t="n">
        <v>547.5</v>
      </c>
      <c r="J6" s="32" t="n">
        <v>4.4</v>
      </c>
      <c r="K6" s="32" t="n">
        <v>1564537</v>
      </c>
      <c r="L6" s="31" t="n">
        <v>99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90.48999999999999</v>
      </c>
      <c r="P6" s="32" t="n">
        <v>56.37</v>
      </c>
      <c r="Q6" s="32" t="n">
        <v>412.89</v>
      </c>
      <c r="R6" s="31" t="inlineStr">
        <is>
          <t>Near 52W High Breakout</t>
        </is>
      </c>
      <c r="S6" s="31" t="inlineStr">
        <is>
          <t>Nifty 50</t>
        </is>
      </c>
      <c r="T6" s="32" t="n">
        <v>-8.33</v>
      </c>
      <c r="U6" s="32" t="n">
        <v>193.21</v>
      </c>
      <c r="V6" s="32" t="n">
        <v>219.85</v>
      </c>
      <c r="W6" s="32" t="n">
        <v>79.17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Between 0.7 to 1.2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IF(B7=0,"",RANK(B7,$B$2:$B$184,0))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WELSPUNLIV</t>
        </is>
      </c>
      <c r="D7" s="31" t="inlineStr">
        <is>
          <t>Welspun Living Ltd</t>
        </is>
      </c>
      <c r="E7" s="31" t="inlineStr">
        <is>
          <t>textiles</t>
        </is>
      </c>
      <c r="F7" s="31" t="inlineStr">
        <is>
          <t>textiles - products</t>
        </is>
      </c>
      <c r="G7" s="31" t="inlineStr">
        <is>
          <t>midcap</t>
        </is>
      </c>
      <c r="H7" s="32" t="n">
        <v>19049.04</v>
      </c>
      <c r="I7" s="32" t="n">
        <v>202.82</v>
      </c>
      <c r="J7" s="32" t="n">
        <v>0.59</v>
      </c>
      <c r="K7" s="32" t="n">
        <v>3113066</v>
      </c>
      <c r="L7" s="31" t="n">
        <v>56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73.81999999999999</v>
      </c>
      <c r="P7" s="32" t="n">
        <v>42.65</v>
      </c>
      <c r="Q7" s="32" t="n">
        <v>166.86</v>
      </c>
      <c r="R7" s="31" t="inlineStr">
        <is>
          <t>Near 52W High Breakout</t>
        </is>
      </c>
      <c r="S7" s="31" t="inlineStr">
        <is>
          <t>Nifty 50</t>
        </is>
      </c>
      <c r="T7" s="32" t="n">
        <v>-8.33</v>
      </c>
      <c r="U7" s="32" t="n">
        <v>63.12</v>
      </c>
      <c r="V7" s="32" t="n">
        <v>77.94</v>
      </c>
      <c r="W7" s="32" t="n">
        <v>17.06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Yes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IF(B8=0,"",RANK(B8,$B$2:$B$184,0))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PASUPTAC</t>
        </is>
      </c>
      <c r="D8" s="31" t="inlineStr">
        <is>
          <t>Pasupati Acrylon Ltd</t>
        </is>
      </c>
      <c r="E8" s="31" t="inlineStr">
        <is>
          <t>textiles</t>
        </is>
      </c>
      <c r="F8" s="31" t="inlineStr">
        <is>
          <t>textiles - manmade</t>
        </is>
      </c>
      <c r="G8" s="31" t="inlineStr">
        <is>
          <t>smallcap</t>
        </is>
      </c>
      <c r="H8" s="32" t="n">
        <v>628.21</v>
      </c>
      <c r="I8" s="32" t="n">
        <v>68.06999999999999</v>
      </c>
      <c r="J8" s="32" t="n">
        <v>-3.42</v>
      </c>
      <c r="K8" s="32" t="n">
        <v>159716</v>
      </c>
      <c r="L8" s="31" t="n">
        <v>33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62.2</v>
      </c>
      <c r="P8" s="32" t="n">
        <v>46.9</v>
      </c>
      <c r="Q8" s="32" t="n">
        <v>49.52</v>
      </c>
      <c r="R8" s="31" t="inlineStr">
        <is>
          <t>Volume Spike / Accumulation</t>
        </is>
      </c>
      <c r="S8" s="31" t="inlineStr">
        <is>
          <t>Nifty 50</t>
        </is>
      </c>
      <c r="T8" s="32" t="n">
        <v>-8.33</v>
      </c>
      <c r="U8" s="32" t="n">
        <v>46.07</v>
      </c>
      <c r="V8" s="32" t="n">
        <v>59.34</v>
      </c>
      <c r="W8" s="32" t="n">
        <v>10.15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Close to 52 week high or retracement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IF(B9=0,"",RANK(B9,$B$2:$B$184,0))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INNOVACAP</t>
        </is>
      </c>
      <c r="D9" s="31" t="inlineStr">
        <is>
          <t>Innova Captab Ltd</t>
        </is>
      </c>
      <c r="E9" s="31" t="inlineStr">
        <is>
          <t>healthcare</t>
        </is>
      </c>
      <c r="F9" s="31" t="inlineStr">
        <is>
          <t>pharmaceuticals - indian - bulk drugs &amp; formln</t>
        </is>
      </c>
      <c r="G9" s="31" t="inlineStr">
        <is>
          <t>midcap</t>
        </is>
      </c>
      <c r="H9" s="32" t="n">
        <v>6524.21</v>
      </c>
      <c r="I9" s="32" t="n">
        <v>1133.4</v>
      </c>
      <c r="J9" s="32" t="n">
        <v>-0.59</v>
      </c>
      <c r="K9" s="32" t="n">
        <v>119085</v>
      </c>
      <c r="L9" s="31" t="n">
        <v>40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69.76000000000001</v>
      </c>
      <c r="P9" s="32" t="n">
        <v>62.71</v>
      </c>
      <c r="Q9" s="32" t="n">
        <v>912.13</v>
      </c>
      <c r="R9" s="31" t="inlineStr">
        <is>
          <t>Near 52W High Breakout</t>
        </is>
      </c>
      <c r="S9" s="31" t="inlineStr">
        <is>
          <t>Nifty Pharma</t>
        </is>
      </c>
      <c r="T9" s="32" t="n">
        <v>15.25</v>
      </c>
      <c r="U9" s="32" t="n">
        <v>32.01</v>
      </c>
      <c r="V9" s="32" t="n">
        <v>14.54</v>
      </c>
      <c r="W9" s="32" t="n">
        <v>11.48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Yes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Above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IF(B10=0,"",RANK(B10,$B$2:$B$184,0))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MBECL</t>
        </is>
      </c>
      <c r="D10" s="31" t="inlineStr">
        <is>
          <t>Mcnally Bharat Engineering Company Limited</t>
        </is>
      </c>
      <c r="E10" s="31" t="inlineStr">
        <is>
          <t>realty</t>
        </is>
      </c>
      <c r="F10" s="31" t="inlineStr">
        <is>
          <t>engineering - turnkey services</t>
        </is>
      </c>
      <c r="G10" s="31" t="inlineStr">
        <is>
          <t>smallcap</t>
        </is>
      </c>
      <c r="H10" s="32" t="n">
        <v>1156.4</v>
      </c>
      <c r="I10" s="32" t="n">
        <v>364.26</v>
      </c>
      <c r="J10" s="32" t="n">
        <v>5</v>
      </c>
      <c r="K10" s="32" t="n">
        <v>28195</v>
      </c>
      <c r="L10" s="31" t="inlineStr"/>
      <c r="M10" s="31" t="inlineStr"/>
      <c r="N10" s="32">
        <f>IF(M10="Underperforming",-5,IF(L10&gt;=95,15,IF(L10&gt;=90,10,IF(L10&gt;=80,5,0))))</f>
        <v/>
      </c>
      <c r="O10" s="32" t="n">
        <v>99.97</v>
      </c>
      <c r="P10" s="32" t="n">
        <v>61.59</v>
      </c>
      <c r="Q10" s="32" t="n">
        <v>306.78</v>
      </c>
      <c r="R10" s="31" t="inlineStr">
        <is>
          <t>Volume Spike &amp; Near 52W High Breakout</t>
        </is>
      </c>
      <c r="S10" s="31" t="inlineStr">
        <is>
          <t>Nifty Realty</t>
        </is>
      </c>
      <c r="T10" s="32" t="inlineStr"/>
      <c r="U10" s="32" t="inlineStr"/>
      <c r="V10" s="32" t="inlineStr"/>
      <c r="W10" s="32" t="inlineStr"/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B2B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One Time, Lower Annuity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No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IF(B11=0,"",RANK(B11,$B$2:$B$184,0))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BHAGYANGR</t>
        </is>
      </c>
      <c r="D11" s="31" t="inlineStr">
        <is>
          <t>Bhagyanagar India</t>
        </is>
      </c>
      <c r="E11" s="31" t="inlineStr">
        <is>
          <t>power &amp; utilities</t>
        </is>
      </c>
      <c r="F11" s="31" t="inlineStr">
        <is>
          <t>power generation and supply</t>
        </is>
      </c>
      <c r="G11" s="31" t="inlineStr">
        <is>
          <t>smallcap</t>
        </is>
      </c>
      <c r="H11" s="32" t="n">
        <v>1356.61</v>
      </c>
      <c r="I11" s="32" t="n">
        <v>425.25</v>
      </c>
      <c r="J11" s="32" t="n">
        <v>5</v>
      </c>
      <c r="K11" s="32" t="n">
        <v>328669</v>
      </c>
      <c r="L11" s="31" t="n">
        <v>92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68.69</v>
      </c>
      <c r="P11" s="32" t="n">
        <v>66.26000000000001</v>
      </c>
      <c r="Q11" s="32" t="n">
        <v>301.28</v>
      </c>
      <c r="R11" s="31" t="inlineStr">
        <is>
          <t>Near 52W High Breakout</t>
        </is>
      </c>
      <c r="S11" s="31" t="inlineStr">
        <is>
          <t>Nifty IT</t>
        </is>
      </c>
      <c r="T11" s="32" t="n">
        <v>-20.48</v>
      </c>
      <c r="U11" s="32" t="n">
        <v>358.19</v>
      </c>
      <c r="V11" s="32" t="n">
        <v>476.19</v>
      </c>
      <c r="W11" s="32" t="n">
        <v>47.7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Above 2</t>
        </is>
      </c>
      <c r="BU11" s="31">
        <f>IF(BT11="Above 2",0,IF(BT11="Between 1.5 to 2",5,IF(BT11="Less than 1.5",10,0)))</f>
        <v/>
      </c>
      <c r="BV11" s="31" t="inlineStr">
        <is>
          <t>Above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Between 0.7 to 1.2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IF(B12=0,"",RANK(B12,$B$2:$B$184,0))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SANSERA</t>
        </is>
      </c>
      <c r="D12" s="31" t="inlineStr">
        <is>
          <t>Sansera Engineering Ltd</t>
        </is>
      </c>
      <c r="E12" s="31" t="inlineStr">
        <is>
          <t>auto</t>
        </is>
      </c>
      <c r="F12" s="31" t="inlineStr">
        <is>
          <t>auto ancillaries</t>
        </is>
      </c>
      <c r="G12" s="31" t="inlineStr">
        <is>
          <t>largecap</t>
        </is>
      </c>
      <c r="H12" s="32" t="n">
        <v>24160.79</v>
      </c>
      <c r="I12" s="32" t="n">
        <v>3971.2</v>
      </c>
      <c r="J12" s="32" t="n">
        <v>2.57</v>
      </c>
      <c r="K12" s="32" t="n">
        <v>229404</v>
      </c>
      <c r="L12" s="31" t="inlineStr"/>
      <c r="M12" s="31" t="inlineStr"/>
      <c r="N12" s="32">
        <f>IF(M12="Underperforming",-5,IF(L12&gt;=95,15,IF(L12&gt;=90,10,IF(L12&gt;=80,5,0))))</f>
        <v/>
      </c>
      <c r="O12" s="32" t="n">
        <v>73.75</v>
      </c>
      <c r="P12" s="32" t="n">
        <v>63.77</v>
      </c>
      <c r="Q12" s="32" t="n">
        <v>3300.72</v>
      </c>
      <c r="R12" s="31" t="inlineStr">
        <is>
          <t>Near 52W High Breakout</t>
        </is>
      </c>
      <c r="S12" s="31" t="inlineStr">
        <is>
          <t>Nifty Auto</t>
        </is>
      </c>
      <c r="T12" s="32" t="inlineStr"/>
      <c r="U12" s="32" t="inlineStr"/>
      <c r="V12" s="32" t="inlineStr"/>
      <c r="W12" s="32" t="inlineStr"/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Yes</t>
        </is>
      </c>
      <c r="BS12" s="31">
        <f>IF(BR12="NO",5,0)</f>
        <v/>
      </c>
      <c r="BT12" s="31" t="inlineStr">
        <is>
          <t>Between 1.5 to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IF(B13=0,"",RANK(B13,$B$2:$B$184,0))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IL&amp;FSENGG</t>
        </is>
      </c>
      <c r="D13" s="31" t="inlineStr">
        <is>
          <t>Il&amp;fs Engineering And Construction Company Limited</t>
        </is>
      </c>
      <c r="E13" s="31" t="inlineStr">
        <is>
          <t>realty</t>
        </is>
      </c>
      <c r="F13" s="31" t="inlineStr">
        <is>
          <t>construction</t>
        </is>
      </c>
      <c r="G13" s="31" t="inlineStr">
        <is>
          <t>smallcap</t>
        </is>
      </c>
      <c r="H13" s="32" t="n">
        <v>513.6</v>
      </c>
      <c r="I13" s="32" t="n">
        <v>39.93</v>
      </c>
      <c r="J13" s="32" t="n">
        <v>1.94</v>
      </c>
      <c r="K13" s="32" t="n">
        <v>36753</v>
      </c>
      <c r="L13" s="31" t="inlineStr"/>
      <c r="M13" s="31" t="inlineStr"/>
      <c r="N13" s="32">
        <f>IF(M13="Underperforming",-5,IF(L13&gt;=95,15,IF(L13&gt;=90,10,IF(L13&gt;=80,5,0))))</f>
        <v/>
      </c>
      <c r="O13" s="32" t="n">
        <v>68.55</v>
      </c>
      <c r="P13" s="32" t="n">
        <v>40.42</v>
      </c>
      <c r="Q13" s="32" t="n">
        <v>29.12</v>
      </c>
      <c r="R13" s="31" t="inlineStr">
        <is>
          <t>Near 52W High Breakout</t>
        </is>
      </c>
      <c r="S13" s="31" t="inlineStr">
        <is>
          <t>Nifty Realty</t>
        </is>
      </c>
      <c r="T13" s="32" t="inlineStr"/>
      <c r="U13" s="32" t="inlineStr"/>
      <c r="V13" s="32" t="inlineStr"/>
      <c r="W13" s="32" t="inlineStr"/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IF(B14=0,"",RANK(B14,$B$2:$B$184,0))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ARIES</t>
        </is>
      </c>
      <c r="D14" s="31" t="inlineStr">
        <is>
          <t>Aries Agro Limited</t>
        </is>
      </c>
      <c r="E14" s="31" t="inlineStr">
        <is>
          <t>chemicals</t>
        </is>
      </c>
      <c r="F14" s="31" t="inlineStr">
        <is>
          <t>fertilizers</t>
        </is>
      </c>
      <c r="G14" s="31" t="inlineStr">
        <is>
          <t>smallcap</t>
        </is>
      </c>
      <c r="H14" s="32" t="n">
        <v>615.5</v>
      </c>
      <c r="I14" s="32" t="n">
        <v>480.7</v>
      </c>
      <c r="J14" s="32" t="n">
        <v>1.56</v>
      </c>
      <c r="K14" s="32" t="n">
        <v>14050</v>
      </c>
      <c r="L14" s="31" t="n">
        <v>50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72.19</v>
      </c>
      <c r="P14" s="32" t="n">
        <v>29.37</v>
      </c>
      <c r="Q14" s="32" t="n">
        <v>387.57</v>
      </c>
      <c r="R14" s="31" t="inlineStr">
        <is>
          <t>Near 52W High Breakout</t>
        </is>
      </c>
      <c r="S14" s="31" t="inlineStr">
        <is>
          <t>Nifty 50</t>
        </is>
      </c>
      <c r="T14" s="32" t="n">
        <v>-8.33</v>
      </c>
      <c r="U14" s="32" t="n">
        <v>17.02</v>
      </c>
      <c r="V14" s="32" t="n">
        <v>27.65</v>
      </c>
      <c r="W14" s="32" t="n">
        <v>14.78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20 to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Above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IF(B15=0,"",RANK(B15,$B$2:$B$184,0))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SWANDEF</t>
        </is>
      </c>
      <c r="D15" s="31" t="inlineStr">
        <is>
          <t>Swan Defence and Heavy Industries Ltd</t>
        </is>
      </c>
      <c r="E15" s="31" t="inlineStr">
        <is>
          <t>transportation</t>
        </is>
      </c>
      <c r="F15" s="31" t="inlineStr">
        <is>
          <t>miscellaneous</t>
        </is>
      </c>
      <c r="G15" s="31" t="inlineStr">
        <is>
          <t>midcap</t>
        </is>
      </c>
      <c r="H15" s="32" t="n">
        <v>13963.4</v>
      </c>
      <c r="I15" s="32" t="n">
        <v>2687.2</v>
      </c>
      <c r="J15" s="32" t="n">
        <v>1.38</v>
      </c>
      <c r="K15" s="32" t="n">
        <v>17649</v>
      </c>
      <c r="L15" s="31" t="n">
        <v>94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66.7</v>
      </c>
      <c r="P15" s="32" t="n">
        <v>56.21</v>
      </c>
      <c r="Q15" s="32" t="n">
        <v>2071.83</v>
      </c>
      <c r="R15" s="31" t="inlineStr">
        <is>
          <t>Near 52W High Breakout</t>
        </is>
      </c>
      <c r="S15" s="31" t="inlineStr">
        <is>
          <t>Nifty 50</t>
        </is>
      </c>
      <c r="T15" s="32" t="n">
        <v>-8.33</v>
      </c>
      <c r="U15" s="32" t="n">
        <v>388.89</v>
      </c>
      <c r="V15" s="32" t="n">
        <v>433.31</v>
      </c>
      <c r="W15" s="32" t="n">
        <v>51.23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One Time, Lower Annuity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No</t>
        </is>
      </c>
      <c r="BS15" s="31">
        <f>IF(BR15="NO",5,0)</f>
        <v/>
      </c>
      <c r="BT15" s="31" t="inlineStr">
        <is>
          <t>Less than 1.5</t>
        </is>
      </c>
      <c r="BU15" s="31">
        <f>IF(BT15="Above 2",0,IF(BT15="Between 1.5 to 2",5,IF(BT15="Less than 1.5",10,0)))</f>
        <v/>
      </c>
      <c r="BV15" s="31" t="inlineStr">
        <is>
          <t>Above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More than 1.2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IF(B16=0,"",RANK(B16,$B$2:$B$184,0))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CEIGALL</t>
        </is>
      </c>
      <c r="D16" s="31" t="inlineStr">
        <is>
          <t>Ceigall India Ltd</t>
        </is>
      </c>
      <c r="E16" s="31" t="inlineStr">
        <is>
          <t>realty</t>
        </is>
      </c>
      <c r="F16" s="31" t="inlineStr">
        <is>
          <t>construction</t>
        </is>
      </c>
      <c r="G16" s="31" t="inlineStr">
        <is>
          <t>midcap</t>
        </is>
      </c>
      <c r="H16" s="32" t="n">
        <v>6658.98</v>
      </c>
      <c r="I16" s="32" t="n">
        <v>386.8</v>
      </c>
      <c r="J16" s="32" t="n">
        <v>1.19</v>
      </c>
      <c r="K16" s="32" t="n">
        <v>393782</v>
      </c>
      <c r="L16" s="31" t="inlineStr"/>
      <c r="M16" s="31" t="inlineStr"/>
      <c r="N16" s="32">
        <f>IF(M16="Underperforming",-5,IF(L16&gt;=95,15,IF(L16&gt;=90,10,IF(L16&gt;=80,5,0))))</f>
        <v/>
      </c>
      <c r="O16" s="32" t="n">
        <v>65.77</v>
      </c>
      <c r="P16" s="32" t="n">
        <v>29.74</v>
      </c>
      <c r="Q16" s="32" t="n">
        <v>305.66</v>
      </c>
      <c r="R16" s="31" t="inlineStr">
        <is>
          <t>Near 52W High Breakout</t>
        </is>
      </c>
      <c r="S16" s="31" t="inlineStr">
        <is>
          <t>Nifty Realty</t>
        </is>
      </c>
      <c r="T16" s="32" t="inlineStr"/>
      <c r="U16" s="32" t="inlineStr"/>
      <c r="V16" s="32" t="inlineStr"/>
      <c r="W16" s="32" t="inlineStr"/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One Time, Lower Annuity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20 to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Less than 1.5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IF(B17=0,"",RANK(B17,$B$2:$B$184,0))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ASIANHOTNR</t>
        </is>
      </c>
      <c r="D17" s="31" t="inlineStr">
        <is>
          <t>Asian Hotels (north) Limited</t>
        </is>
      </c>
      <c r="E17" s="31" t="inlineStr">
        <is>
          <t>services</t>
        </is>
      </c>
      <c r="F17" s="31" t="inlineStr">
        <is>
          <t>hotels</t>
        </is>
      </c>
      <c r="G17" s="31" t="inlineStr">
        <is>
          <t>smallcap</t>
        </is>
      </c>
      <c r="H17" s="32" t="n">
        <v>1643.3</v>
      </c>
      <c r="I17" s="32" t="n">
        <v>388.55</v>
      </c>
      <c r="J17" s="32" t="n">
        <v>0.8</v>
      </c>
      <c r="K17" s="32" t="n">
        <v>33702</v>
      </c>
      <c r="L17" s="31" t="n">
        <v>38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69.76000000000001</v>
      </c>
      <c r="P17" s="32" t="n">
        <v>38.62</v>
      </c>
      <c r="Q17" s="32" t="n">
        <v>276.77</v>
      </c>
      <c r="R17" s="31" t="inlineStr">
        <is>
          <t>Near 52W High Breakout</t>
        </is>
      </c>
      <c r="S17" s="31" t="inlineStr">
        <is>
          <t>Nifty 50</t>
        </is>
      </c>
      <c r="T17" s="32" t="n">
        <v>-8.33</v>
      </c>
      <c r="U17" s="32" t="n">
        <v>19.57</v>
      </c>
      <c r="V17" s="32" t="n">
        <v>30.44</v>
      </c>
      <c r="W17" s="32" t="n">
        <v>10.51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One Time, Lower Annuity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20 to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IF(B18=0,"",RANK(B18,$B$2:$B$184,0))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NRL</t>
        </is>
      </c>
      <c r="D18" s="31" t="inlineStr">
        <is>
          <t>Nupur Recyclers Ltd</t>
        </is>
      </c>
      <c r="E18" s="31" t="inlineStr">
        <is>
          <t>services</t>
        </is>
      </c>
      <c r="F18" s="31" t="inlineStr">
        <is>
          <t>trading</t>
        </is>
      </c>
      <c r="G18" s="31" t="inlineStr">
        <is>
          <t>smallcap</t>
        </is>
      </c>
      <c r="H18" s="32" t="n">
        <v>934.85</v>
      </c>
      <c r="I18" s="32" t="n">
        <v>133.98</v>
      </c>
      <c r="J18" s="32" t="n">
        <v>-1.01</v>
      </c>
      <c r="K18" s="32" t="n">
        <v>80531</v>
      </c>
      <c r="L18" s="31" t="n">
        <v>82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89.02</v>
      </c>
      <c r="P18" s="32" t="n">
        <v>71.15000000000001</v>
      </c>
      <c r="Q18" s="32" t="n">
        <v>110.48</v>
      </c>
      <c r="R18" s="31" t="inlineStr">
        <is>
          <t>Near 52W High Breakout</t>
        </is>
      </c>
      <c r="S18" s="31" t="inlineStr">
        <is>
          <t>Nifty 50</t>
        </is>
      </c>
      <c r="T18" s="32" t="n">
        <v>-8.33</v>
      </c>
      <c r="U18" s="32" t="n">
        <v>72.54000000000001</v>
      </c>
      <c r="V18" s="32" t="n">
        <v>88.22</v>
      </c>
      <c r="W18" s="32" t="n">
        <v>31.27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No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One Time, Lower Annuity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Yes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IF(B19=0,"",RANK(B19,$B$2:$B$184,0))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NITINSPIN</t>
        </is>
      </c>
      <c r="D19" s="31" t="inlineStr">
        <is>
          <t>Nitin Spinners Limited</t>
        </is>
      </c>
      <c r="E19" s="31" t="inlineStr">
        <is>
          <t>textiles</t>
        </is>
      </c>
      <c r="F19" s="31" t="inlineStr">
        <is>
          <t>textiles - cotton/blended</t>
        </is>
      </c>
      <c r="G19" s="31" t="inlineStr">
        <is>
          <t>smallcap</t>
        </is>
      </c>
      <c r="H19" s="32" t="n">
        <v>3615.79</v>
      </c>
      <c r="I19" s="32" t="n">
        <v>628</v>
      </c>
      <c r="J19" s="32" t="n">
        <v>-2.36</v>
      </c>
      <c r="K19" s="32" t="n">
        <v>122404</v>
      </c>
      <c r="L19" s="31" t="n">
        <v>54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69.95999999999999</v>
      </c>
      <c r="P19" s="32" t="n">
        <v>63.17</v>
      </c>
      <c r="Q19" s="32" t="n">
        <v>514.76</v>
      </c>
      <c r="R19" s="31" t="inlineStr">
        <is>
          <t>Near 52W High Breakout</t>
        </is>
      </c>
      <c r="S19" s="31" t="inlineStr">
        <is>
          <t>Nifty 50</t>
        </is>
      </c>
      <c r="T19" s="32" t="n">
        <v>-8.33</v>
      </c>
      <c r="U19" s="32" t="n">
        <v>79.16</v>
      </c>
      <c r="V19" s="32" t="n">
        <v>95.44</v>
      </c>
      <c r="W19" s="32" t="n">
        <v>16.42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No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One Time, Lower Annuity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Between 0.7 to 1.2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IF(B20=0,"",RANK(B20,$B$2:$B$184,0))</f>
        <v/>
      </c>
      <c r="B20" s="32">
        <f>SUM(N20,Y20,AA20,AC20,AE20,AG20,AI20,AK20,AM20,AO20,AQ20,AS20,AU20,AW20,AY20,BA20,BC20,BE20,BG20,BI20,BK20,BM20,BO20,BQ20,BS20,BU20,BW20,BY20,CA20,CC20,CE20)</f>
        <v/>
      </c>
      <c r="C20" s="31" t="inlineStr">
        <is>
          <t>GAYAPROJ</t>
        </is>
      </c>
      <c r="D20" s="31" t="inlineStr">
        <is>
          <t>Gayatri Projects Limited</t>
        </is>
      </c>
      <c r="E20" s="31" t="inlineStr">
        <is>
          <t>realty</t>
        </is>
      </c>
      <c r="F20" s="31" t="inlineStr">
        <is>
          <t>construction</t>
        </is>
      </c>
      <c r="G20" s="31" t="inlineStr">
        <is>
          <t>smallcap</t>
        </is>
      </c>
      <c r="H20" s="32" t="n">
        <v>1214.14</v>
      </c>
      <c r="I20" s="32" t="n">
        <v>24.85</v>
      </c>
      <c r="J20" s="32" t="n">
        <v>-4.97</v>
      </c>
      <c r="K20" s="32" t="n">
        <v>1543449</v>
      </c>
      <c r="L20" s="31" t="inlineStr"/>
      <c r="M20" s="31" t="inlineStr"/>
      <c r="N20" s="32">
        <f>IF(M20="Underperforming",-5,IF(L20&gt;=95,15,IF(L20&gt;=90,10,IF(L20&gt;=80,5,0))))</f>
        <v/>
      </c>
      <c r="O20" s="32" t="n">
        <v>67.38</v>
      </c>
      <c r="P20" s="32" t="n">
        <v>29.31</v>
      </c>
      <c r="Q20" s="32" t="n">
        <v>19.39</v>
      </c>
      <c r="R20" s="31" t="inlineStr">
        <is>
          <t>Volume Spike &amp; Near 52W High Breakout</t>
        </is>
      </c>
      <c r="S20" s="31" t="inlineStr">
        <is>
          <t>Nifty Realty</t>
        </is>
      </c>
      <c r="T20" s="32" t="inlineStr"/>
      <c r="U20" s="32" t="inlineStr"/>
      <c r="V20" s="32" t="inlineStr"/>
      <c r="W20" s="32" t="inlineStr"/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20 to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IF(B21=0,"",RANK(B21,$B$2:$B$184,0))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IOLCP</t>
        </is>
      </c>
      <c r="D21" s="31" t="inlineStr">
        <is>
          <t>Iol Chemicals And Pharmaceuticals Limited</t>
        </is>
      </c>
      <c r="E21" s="31" t="inlineStr">
        <is>
          <t>healthcare</t>
        </is>
      </c>
      <c r="F21" s="31" t="inlineStr">
        <is>
          <t>pharmaceuticals - indian - bulk drugs &amp; formln</t>
        </is>
      </c>
      <c r="G21" s="31" t="inlineStr">
        <is>
          <t>midcap</t>
        </is>
      </c>
      <c r="H21" s="32" t="n">
        <v>5269.41</v>
      </c>
      <c r="I21" s="32" t="n">
        <v>194.57</v>
      </c>
      <c r="J21" s="32" t="n">
        <v>8.380000000000001</v>
      </c>
      <c r="K21" s="32" t="n">
        <v>8624277</v>
      </c>
      <c r="L21" s="31" t="n">
        <v>77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75.38</v>
      </c>
      <c r="P21" s="32" t="n">
        <v>80.98</v>
      </c>
      <c r="Q21" s="32" t="n">
        <v>144.38</v>
      </c>
      <c r="R21" s="31" t="inlineStr">
        <is>
          <t>Near 52W High Breakout</t>
        </is>
      </c>
      <c r="S21" s="31" t="inlineStr">
        <is>
          <t>Nifty Pharma</t>
        </is>
      </c>
      <c r="T21" s="32" t="n">
        <v>15.25</v>
      </c>
      <c r="U21" s="32" t="n">
        <v>64.44</v>
      </c>
      <c r="V21" s="32" t="n">
        <v>42.68</v>
      </c>
      <c r="W21" s="32" t="n">
        <v>26.83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B2B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Above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IF(B22=0,"",RANK(B22,$B$2:$B$184,0))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MOREPENLAB</t>
        </is>
      </c>
      <c r="D22" s="31" t="inlineStr">
        <is>
          <t>Morepen Laboratories Limited</t>
        </is>
      </c>
      <c r="E22" s="31" t="inlineStr">
        <is>
          <t>healthcare</t>
        </is>
      </c>
      <c r="F22" s="31" t="inlineStr">
        <is>
          <t>pharmaceuticals - indian - bulk drugs &amp; formln</t>
        </is>
      </c>
      <c r="G22" s="31" t="inlineStr">
        <is>
          <t>midcap</t>
        </is>
      </c>
      <c r="H22" s="32" t="n">
        <v>5820.36</v>
      </c>
      <c r="I22" s="32" t="n">
        <v>114.73</v>
      </c>
      <c r="J22" s="32" t="n">
        <v>8.01</v>
      </c>
      <c r="K22" s="32" t="n">
        <v>39424210</v>
      </c>
      <c r="L22" s="31" t="n">
        <v>95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86.3</v>
      </c>
      <c r="P22" s="32" t="n">
        <v>54.03</v>
      </c>
      <c r="Q22" s="32" t="n">
        <v>85.97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15.25</v>
      </c>
      <c r="U22" s="32" t="n">
        <v>111.91</v>
      </c>
      <c r="V22" s="32" t="n">
        <v>83.87</v>
      </c>
      <c r="W22" s="32" t="n">
        <v>52.68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IF(B23=0,"",RANK(B23,$B$2:$B$184,0))</f>
        <v/>
      </c>
      <c r="B23" s="32">
        <f>SUM(N23,Y23,AA23,AC23,AE23,AG23,AI23,AK23,AM23,AO23,AQ23,AS23,AU23,AW23,AY23,BA23,BC23,BE23,BG23,BI23,BK23,BM23,BO23,BQ23,BS23,BU23,BW23,BY23,CA23,CC23,CE23)</f>
        <v/>
      </c>
      <c r="C23" s="33" t="inlineStr">
        <is>
          <t>GPTHEALTH</t>
        </is>
      </c>
      <c r="D23" s="33" t="inlineStr">
        <is>
          <t>GPT Healthcare Ltd</t>
        </is>
      </c>
      <c r="E23" s="31" t="inlineStr">
        <is>
          <t>healthcare</t>
        </is>
      </c>
      <c r="F23" s="31" t="inlineStr">
        <is>
          <t>healthcare</t>
        </is>
      </c>
      <c r="G23" s="31" t="inlineStr">
        <is>
          <t>smallcap</t>
        </is>
      </c>
      <c r="H23" s="32" t="n">
        <v>1308.36</v>
      </c>
      <c r="I23" s="32" t="n">
        <v>163.3</v>
      </c>
      <c r="J23" s="32" t="n">
        <v>2.41</v>
      </c>
      <c r="K23" s="32" t="n">
        <v>135814</v>
      </c>
      <c r="L23" s="31" t="n">
        <v>20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61.67</v>
      </c>
      <c r="P23" s="32" t="n">
        <v>49.79</v>
      </c>
      <c r="Q23" s="32" t="n">
        <v>140.4</v>
      </c>
      <c r="R23" s="31" t="inlineStr">
        <is>
          <t>Near 52W High Breakout</t>
        </is>
      </c>
      <c r="S23" s="31" t="inlineStr">
        <is>
          <t>Nifty Pharma</t>
        </is>
      </c>
      <c r="T23" s="32" t="n">
        <v>15.25</v>
      </c>
      <c r="U23" s="32" t="n">
        <v>10.69</v>
      </c>
      <c r="V23" s="32" t="n">
        <v>-3.96</v>
      </c>
      <c r="W23" s="32" t="n">
        <v>5.11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Close to 52 week high or retracement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Above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IF(B24=0,"",RANK(B24,$B$2:$B$184,0))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AKUMS</t>
        </is>
      </c>
      <c r="D24" s="31" t="inlineStr">
        <is>
          <t>Akums Drugs &amp; Pharmaceuticals Ltd</t>
        </is>
      </c>
      <c r="E24" s="31" t="inlineStr">
        <is>
          <t>healthcare</t>
        </is>
      </c>
      <c r="F24" s="31" t="inlineStr">
        <is>
          <t>pharmaceuticals - indian - bulk drugs &amp; formln</t>
        </is>
      </c>
      <c r="G24" s="31" t="inlineStr">
        <is>
          <t>midcap</t>
        </is>
      </c>
      <c r="H24" s="32" t="n">
        <v>12050.87</v>
      </c>
      <c r="I24" s="32" t="n">
        <v>772</v>
      </c>
      <c r="J24" s="32" t="n">
        <v>0.83</v>
      </c>
      <c r="K24" s="32" t="n">
        <v>235680</v>
      </c>
      <c r="L24" s="31" t="n">
        <v>56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72.94</v>
      </c>
      <c r="P24" s="32" t="n">
        <v>62.91</v>
      </c>
      <c r="Q24" s="32" t="n">
        <v>629.87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15.25</v>
      </c>
      <c r="U24" s="32" t="n">
        <v>62.78</v>
      </c>
      <c r="V24" s="32" t="n">
        <v>41.24</v>
      </c>
      <c r="W24" s="32" t="n">
        <v>16.89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Between 50 to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Close to 52 week high or retracement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Above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IF(B25=0,"",RANK(B25,$B$2:$B$184,0))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AHCL</t>
        </is>
      </c>
      <c r="D25" s="31" t="inlineStr">
        <is>
          <t>Anlon Healthcare Ltd</t>
        </is>
      </c>
      <c r="E25" s="31" t="inlineStr">
        <is>
          <t>healthcare</t>
        </is>
      </c>
      <c r="F25" s="31" t="inlineStr">
        <is>
          <t>pharmaceuticals - indian - bulk drugs &amp; formln</t>
        </is>
      </c>
      <c r="G25" s="31" t="inlineStr">
        <is>
          <t>smallcap</t>
        </is>
      </c>
      <c r="H25" s="32" t="n">
        <v>1072.6</v>
      </c>
      <c r="I25" s="32" t="n">
        <v>20.04</v>
      </c>
      <c r="J25" s="32" t="n">
        <v>-0.6899999999999999</v>
      </c>
      <c r="K25" s="32" t="n">
        <v>46066495</v>
      </c>
      <c r="L25" s="31" t="n">
        <v>48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74.40000000000001</v>
      </c>
      <c r="P25" s="32" t="n">
        <v>42.02</v>
      </c>
      <c r="Q25" s="32" t="n">
        <v>14.71</v>
      </c>
      <c r="R25" s="31" t="inlineStr">
        <is>
          <t>Volume Spike &amp; Near 52W High Breakout</t>
        </is>
      </c>
      <c r="S25" s="31" t="inlineStr">
        <is>
          <t>Nifty Pharma</t>
        </is>
      </c>
      <c r="T25" s="32" t="n">
        <v>15.25</v>
      </c>
      <c r="U25" s="32" t="n">
        <v>48.99</v>
      </c>
      <c r="V25" s="32" t="n">
        <v>29.27</v>
      </c>
      <c r="W25" s="32" t="n">
        <v>14.16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Annuity, Lower One Time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Between 50 to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Above 2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IF(B26=0,"",RANK(B26,$B$2:$B$184,0))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SAKAR</t>
        </is>
      </c>
      <c r="D26" s="31" t="inlineStr">
        <is>
          <t>Sakar Healthcare Ltd</t>
        </is>
      </c>
      <c r="E26" s="31" t="inlineStr">
        <is>
          <t>healthcare</t>
        </is>
      </c>
      <c r="F26" s="31" t="inlineStr">
        <is>
          <t>pharmaceuticals - indian - bulk drugs &amp; formln</t>
        </is>
      </c>
      <c r="G26" s="31" t="inlineStr">
        <is>
          <t>smallcap</t>
        </is>
      </c>
      <c r="H26" s="32" t="n">
        <v>2531.04</v>
      </c>
      <c r="I26" s="32" t="n">
        <v>1105.4</v>
      </c>
      <c r="J26" s="32" t="n">
        <v>-2.83</v>
      </c>
      <c r="K26" s="32" t="n">
        <v>164430</v>
      </c>
      <c r="L26" s="31" t="n">
        <v>87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71.08</v>
      </c>
      <c r="P26" s="32" t="n">
        <v>52.36</v>
      </c>
      <c r="Q26" s="32" t="n">
        <v>845.4400000000001</v>
      </c>
      <c r="R26" s="31" t="inlineStr">
        <is>
          <t>Near 52W High Breakout</t>
        </is>
      </c>
      <c r="S26" s="31" t="inlineStr">
        <is>
          <t>Nifty Pharma</t>
        </is>
      </c>
      <c r="T26" s="32" t="n">
        <v>15.25</v>
      </c>
      <c r="U26" s="32" t="n">
        <v>221.62</v>
      </c>
      <c r="V26" s="32" t="n">
        <v>179.06</v>
      </c>
      <c r="W26" s="32" t="n">
        <v>35.01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Annuity, Lower One Time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IF(B27=0,"",RANK(B27,$B$2:$B$184,0))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ARROWGREEN</t>
        </is>
      </c>
      <c r="D27" s="31" t="inlineStr">
        <is>
          <t>Arrow Greentech Limited</t>
        </is>
      </c>
      <c r="E27" s="31" t="inlineStr">
        <is>
          <t>plastic products</t>
        </is>
      </c>
      <c r="F27" s="31" t="inlineStr">
        <is>
          <t>plastics products</t>
        </is>
      </c>
      <c r="G27" s="31" t="inlineStr">
        <is>
          <t>smallcap</t>
        </is>
      </c>
      <c r="H27" s="32" t="n">
        <v>1265.2</v>
      </c>
      <c r="I27" s="32" t="n">
        <v>907.45</v>
      </c>
      <c r="J27" s="32" t="n">
        <v>8.220000000000001</v>
      </c>
      <c r="K27" s="32" t="n">
        <v>311513</v>
      </c>
      <c r="L27" s="31" t="n">
        <v>76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71.90000000000001</v>
      </c>
      <c r="P27" s="32" t="n">
        <v>45.61</v>
      </c>
      <c r="Q27" s="32" t="n">
        <v>675.36</v>
      </c>
      <c r="R27" s="31" t="inlineStr">
        <is>
          <t>Volume Spike &amp; Near 52W High Breakout</t>
        </is>
      </c>
      <c r="S27" s="31" t="inlineStr">
        <is>
          <t>Nifty 50</t>
        </is>
      </c>
      <c r="T27" s="32" t="n">
        <v>-8.33</v>
      </c>
      <c r="U27" s="32" t="n">
        <v>60.29</v>
      </c>
      <c r="V27" s="32" t="n">
        <v>74.84999999999999</v>
      </c>
      <c r="W27" s="32" t="n">
        <v>25.6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Between 50 to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Close to 52 week high or retracement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Above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IF(B28=0,"",RANK(B28,$B$2:$B$184,0))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CENTUM</t>
        </is>
      </c>
      <c r="D28" s="31" t="inlineStr">
        <is>
          <t>Centum Electronics Limited</t>
        </is>
      </c>
      <c r="E28" s="31" t="inlineStr">
        <is>
          <t>aerospace &amp; defence</t>
        </is>
      </c>
      <c r="F28" s="31" t="inlineStr">
        <is>
          <t>electronics - components</t>
        </is>
      </c>
      <c r="G28" s="31" t="inlineStr">
        <is>
          <t>midcap</t>
        </is>
      </c>
      <c r="H28" s="32" t="n">
        <v>5919.25</v>
      </c>
      <c r="I28" s="32" t="n">
        <v>4276.1</v>
      </c>
      <c r="J28" s="32" t="n">
        <v>6.62</v>
      </c>
      <c r="K28" s="32" t="n">
        <v>90062</v>
      </c>
      <c r="L28" s="31" t="n">
        <v>51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70.97</v>
      </c>
      <c r="P28" s="32" t="n">
        <v>51.81</v>
      </c>
      <c r="Q28" s="32" t="n">
        <v>3234.22</v>
      </c>
      <c r="R28" s="31" t="inlineStr">
        <is>
          <t>Near 52W High Breakout</t>
        </is>
      </c>
      <c r="S28" s="31" t="inlineStr">
        <is>
          <t>Nifty 50</t>
        </is>
      </c>
      <c r="T28" s="32" t="n">
        <v>-8.33</v>
      </c>
      <c r="U28" s="32" t="n">
        <v>51.21</v>
      </c>
      <c r="V28" s="32" t="n">
        <v>64.95</v>
      </c>
      <c r="W28" s="32" t="n">
        <v>14.91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Yes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IF(B29=0,"",RANK(B29,$B$2:$B$184,0))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FILATEX</t>
        </is>
      </c>
      <c r="D29" s="31" t="inlineStr">
        <is>
          <t>Filatex India Limited</t>
        </is>
      </c>
      <c r="E29" s="31" t="inlineStr">
        <is>
          <t>textiles</t>
        </is>
      </c>
      <c r="F29" s="31" t="inlineStr">
        <is>
          <t>textiles - manmade</t>
        </is>
      </c>
      <c r="G29" s="31" t="inlineStr">
        <is>
          <t>smallcap</t>
        </is>
      </c>
      <c r="H29" s="32" t="n">
        <v>3659.49</v>
      </c>
      <c r="I29" s="32" t="n">
        <v>87.22</v>
      </c>
      <c r="J29" s="32" t="n">
        <v>5.84</v>
      </c>
      <c r="K29" s="32" t="n">
        <v>4978051</v>
      </c>
      <c r="L29" s="31" t="n">
        <v>73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75.47</v>
      </c>
      <c r="P29" s="32" t="n">
        <v>44.63</v>
      </c>
      <c r="Q29" s="32" t="n">
        <v>63.29</v>
      </c>
      <c r="R29" s="31" t="inlineStr">
        <is>
          <t>Near 52W High Breakout</t>
        </is>
      </c>
      <c r="S29" s="31" t="inlineStr">
        <is>
          <t>Nifty 50</t>
        </is>
      </c>
      <c r="T29" s="32" t="n">
        <v>-8.33</v>
      </c>
      <c r="U29" s="32" t="n">
        <v>53.71</v>
      </c>
      <c r="V29" s="32" t="n">
        <v>67.67</v>
      </c>
      <c r="W29" s="32" t="n">
        <v>24.65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Between 12 to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IF(B30=0,"",RANK(B30,$B$2:$B$184,0))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KANORICHEM</t>
        </is>
      </c>
      <c r="D30" s="31" t="inlineStr">
        <is>
          <t>Kanoria Chemicals &amp; Industries Limited</t>
        </is>
      </c>
      <c r="E30" s="31" t="inlineStr">
        <is>
          <t>chemicals</t>
        </is>
      </c>
      <c r="F30" s="31" t="inlineStr">
        <is>
          <t>chemicals</t>
        </is>
      </c>
      <c r="G30" s="31" t="inlineStr">
        <is>
          <t>smallcap</t>
        </is>
      </c>
      <c r="H30" s="32" t="n">
        <v>778.27</v>
      </c>
      <c r="I30" s="32" t="n">
        <v>186.97</v>
      </c>
      <c r="J30" s="32" t="n">
        <v>4.97</v>
      </c>
      <c r="K30" s="32" t="n">
        <v>214032</v>
      </c>
      <c r="L30" s="31" t="n">
        <v>87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78.3</v>
      </c>
      <c r="P30" s="32" t="n">
        <v>69.12</v>
      </c>
      <c r="Q30" s="32" t="n">
        <v>141.6</v>
      </c>
      <c r="R30" s="31" t="inlineStr">
        <is>
          <t>Near 52W High Breakout</t>
        </is>
      </c>
      <c r="S30" s="31" t="inlineStr">
        <is>
          <t>Nifty 50</t>
        </is>
      </c>
      <c r="T30" s="32" t="n">
        <v>-8.33</v>
      </c>
      <c r="U30" s="32" t="n">
        <v>125.54</v>
      </c>
      <c r="V30" s="32" t="n">
        <v>146.03</v>
      </c>
      <c r="W30" s="32" t="n">
        <v>35.26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Above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No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IF(B31=0,"",RANK(B31,$B$2:$B$184,0))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IBULLSLTD</t>
        </is>
      </c>
      <c r="D31" s="31" t="inlineStr">
        <is>
          <t>Indiabulls Limited</t>
        </is>
      </c>
      <c r="E31" s="31" t="inlineStr">
        <is>
          <t>miscellaneous</t>
        </is>
      </c>
      <c r="F31" s="31" t="inlineStr">
        <is>
          <t>diversified - medium / small</t>
        </is>
      </c>
      <c r="G31" s="31" t="inlineStr">
        <is>
          <t>midcap</t>
        </is>
      </c>
      <c r="H31" s="32" t="n">
        <v>6392.27</v>
      </c>
      <c r="I31" s="32" t="n">
        <v>28.79</v>
      </c>
      <c r="J31" s="32" t="n">
        <v>4.92</v>
      </c>
      <c r="K31" s="32" t="n">
        <v>62047779</v>
      </c>
      <c r="L31" s="31" t="n">
        <v>79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63.48</v>
      </c>
      <c r="P31" s="32" t="n">
        <v>40.9</v>
      </c>
      <c r="Q31" s="32" t="n">
        <v>21.44</v>
      </c>
      <c r="R31" s="31" t="inlineStr">
        <is>
          <t>Earnings / Momentum Support</t>
        </is>
      </c>
      <c r="S31" s="31" t="inlineStr">
        <is>
          <t>Nifty 50</t>
        </is>
      </c>
      <c r="T31" s="32" t="n">
        <v>-8.33</v>
      </c>
      <c r="U31" s="32" t="n">
        <v>61.2</v>
      </c>
      <c r="V31" s="32" t="n">
        <v>75.84</v>
      </c>
      <c r="W31" s="32" t="n">
        <v>27.5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No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IF(B32=0,"",RANK(B32,$B$2:$B$184,0))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JKPAPER</t>
        </is>
      </c>
      <c r="D32" s="31" t="inlineStr">
        <is>
          <t>Jk Paper Limited</t>
        </is>
      </c>
      <c r="E32" s="31" t="inlineStr">
        <is>
          <t>building materials</t>
        </is>
      </c>
      <c r="F32" s="31" t="inlineStr">
        <is>
          <t>paper</t>
        </is>
      </c>
      <c r="G32" s="31" t="inlineStr">
        <is>
          <t>midcap</t>
        </is>
      </c>
      <c r="H32" s="32" t="n">
        <v>7290.83</v>
      </c>
      <c r="I32" s="32" t="n">
        <v>417.35</v>
      </c>
      <c r="J32" s="32" t="n">
        <v>3.79</v>
      </c>
      <c r="K32" s="32" t="n">
        <v>708260</v>
      </c>
      <c r="L32" s="31" t="inlineStr"/>
      <c r="M32" s="31" t="inlineStr"/>
      <c r="N32" s="32">
        <f>IF(M32="Underperforming",-5,IF(L32&gt;=95,15,IF(L32&gt;=90,10,IF(L32&gt;=80,5,0))))</f>
        <v/>
      </c>
      <c r="O32" s="32" t="n">
        <v>66.90000000000001</v>
      </c>
      <c r="P32" s="32" t="n">
        <v>34.99</v>
      </c>
      <c r="Q32" s="32" t="n">
        <v>340.4</v>
      </c>
      <c r="R32" s="31" t="inlineStr">
        <is>
          <t>Near 52W High Breakout</t>
        </is>
      </c>
      <c r="S32" s="31" t="inlineStr">
        <is>
          <t>Nifty Infra</t>
        </is>
      </c>
      <c r="T32" s="32" t="inlineStr"/>
      <c r="U32" s="32" t="inlineStr"/>
      <c r="V32" s="32" t="inlineStr"/>
      <c r="W32" s="32" t="inlineStr"/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No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One Time, Lower Annuity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IF(B33=0,"",RANK(B33,$B$2:$B$184,0))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SSWL</t>
        </is>
      </c>
      <c r="D33" s="31" t="inlineStr">
        <is>
          <t>Steel Strips Wheels Limited</t>
        </is>
      </c>
      <c r="E33" s="31" t="inlineStr">
        <is>
          <t>auto</t>
        </is>
      </c>
      <c r="F33" s="31" t="inlineStr">
        <is>
          <t>auto ancillaries</t>
        </is>
      </c>
      <c r="G33" s="31" t="inlineStr">
        <is>
          <t>midcap</t>
        </is>
      </c>
      <c r="H33" s="32" t="n">
        <v>5328.42</v>
      </c>
      <c r="I33" s="32" t="n">
        <v>350.05</v>
      </c>
      <c r="J33" s="32" t="n">
        <v>3.26</v>
      </c>
      <c r="K33" s="32" t="n">
        <v>1772756</v>
      </c>
      <c r="L33" s="31" t="inlineStr"/>
      <c r="M33" s="31" t="inlineStr"/>
      <c r="N33" s="32">
        <f>IF(M33="Underperforming",-5,IF(L33&gt;=95,15,IF(L33&gt;=90,10,IF(L33&gt;=80,5,0))))</f>
        <v/>
      </c>
      <c r="O33" s="32" t="n">
        <v>71.12</v>
      </c>
      <c r="P33" s="32" t="n">
        <v>43.9</v>
      </c>
      <c r="Q33" s="32" t="n">
        <v>291.51</v>
      </c>
      <c r="R33" s="31" t="inlineStr">
        <is>
          <t>Earnings / Momentum Support</t>
        </is>
      </c>
      <c r="S33" s="31" t="inlineStr">
        <is>
          <t>Nifty Auto</t>
        </is>
      </c>
      <c r="T33" s="32" t="inlineStr"/>
      <c r="U33" s="32" t="inlineStr"/>
      <c r="V33" s="32" t="inlineStr"/>
      <c r="W33" s="32" t="inlineStr"/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One Time, Lower Annuity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IF(B34=0,"",RANK(B34,$B$2:$B$184,0))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FINCABLES</t>
        </is>
      </c>
      <c r="D34" s="31" t="inlineStr">
        <is>
          <t>Finolex Cables Limited</t>
        </is>
      </c>
      <c r="E34" s="31" t="inlineStr">
        <is>
          <t>industrials</t>
        </is>
      </c>
      <c r="F34" s="31" t="inlineStr">
        <is>
          <t>cables - power</t>
        </is>
      </c>
      <c r="G34" s="31" t="inlineStr">
        <is>
          <t>largecap</t>
        </is>
      </c>
      <c r="H34" s="32" t="n">
        <v>20492.34</v>
      </c>
      <c r="I34" s="32" t="n">
        <v>1362.6</v>
      </c>
      <c r="J34" s="32" t="n">
        <v>1.69</v>
      </c>
      <c r="K34" s="32" t="n">
        <v>1264308</v>
      </c>
      <c r="L34" s="31" t="inlineStr"/>
      <c r="M34" s="31" t="inlineStr"/>
      <c r="N34" s="32">
        <f>IF(M34="Underperforming",-5,IF(L34&gt;=95,15,IF(L34&gt;=90,10,IF(L34&gt;=80,5,0))))</f>
        <v/>
      </c>
      <c r="O34" s="32" t="n">
        <v>65.8</v>
      </c>
      <c r="P34" s="32" t="n">
        <v>37.6</v>
      </c>
      <c r="Q34" s="32" t="n">
        <v>1070.66</v>
      </c>
      <c r="R34" s="31" t="inlineStr">
        <is>
          <t>Near 52W High Breakout</t>
        </is>
      </c>
      <c r="S34" s="31" t="inlineStr">
        <is>
          <t>Nifty Energy</t>
        </is>
      </c>
      <c r="T34" s="32" t="inlineStr"/>
      <c r="U34" s="32" t="inlineStr"/>
      <c r="V34" s="32" t="inlineStr"/>
      <c r="W34" s="32" t="inlineStr"/>
      <c r="X34" s="31" t="inlineStr">
        <is>
          <t>Cyclical in an Upturn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Above 70%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IF(B35=0,"",RANK(B35,$B$2:$B$184,0))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LOTUSDEV</t>
        </is>
      </c>
      <c r="D35" s="31" t="inlineStr">
        <is>
          <t>Sri Lotus Developers &amp; Realty Ltd</t>
        </is>
      </c>
      <c r="E35" s="31" t="inlineStr">
        <is>
          <t>realty</t>
        </is>
      </c>
      <c r="F35" s="31" t="inlineStr">
        <is>
          <t>construction</t>
        </is>
      </c>
      <c r="G35" s="31" t="inlineStr">
        <is>
          <t>midcap</t>
        </is>
      </c>
      <c r="H35" s="32" t="n">
        <v>10436.21</v>
      </c>
      <c r="I35" s="32" t="n">
        <v>216.4</v>
      </c>
      <c r="J35" s="32" t="n">
        <v>1.34</v>
      </c>
      <c r="K35" s="32" t="n">
        <v>1914804</v>
      </c>
      <c r="L35" s="31" t="inlineStr"/>
      <c r="M35" s="31" t="inlineStr"/>
      <c r="N35" s="32">
        <f>IF(M35="Underperforming",-5,IF(L35&gt;=95,15,IF(L35&gt;=90,10,IF(L35&gt;=80,5,0))))</f>
        <v/>
      </c>
      <c r="O35" s="32" t="n">
        <v>67.17</v>
      </c>
      <c r="P35" s="32" t="n">
        <v>23.68</v>
      </c>
      <c r="Q35" s="32" t="n">
        <v>164.04</v>
      </c>
      <c r="R35" s="31" t="inlineStr">
        <is>
          <t>Near 52W High Breakout</t>
        </is>
      </c>
      <c r="S35" s="31" t="inlineStr">
        <is>
          <t>Nifty Realty</t>
        </is>
      </c>
      <c r="T35" s="32" t="inlineStr"/>
      <c r="U35" s="32" t="inlineStr"/>
      <c r="V35" s="32" t="inlineStr"/>
      <c r="W35" s="32" t="inlineStr"/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Yes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IF(B36=0,"",RANK(B36,$B$2:$B$184,0))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BIRLACABLE</t>
        </is>
      </c>
      <c r="D36" s="31" t="inlineStr">
        <is>
          <t>Birla Cable Limited</t>
        </is>
      </c>
      <c r="E36" s="31" t="inlineStr">
        <is>
          <t>industrials</t>
        </is>
      </c>
      <c r="F36" s="31" t="inlineStr">
        <is>
          <t>cables - telephone</t>
        </is>
      </c>
      <c r="G36" s="31" t="inlineStr">
        <is>
          <t>smallcap</t>
        </is>
      </c>
      <c r="H36" s="32" t="n">
        <v>1133.85</v>
      </c>
      <c r="I36" s="32" t="n">
        <v>382.55</v>
      </c>
      <c r="J36" s="32" t="n">
        <v>1.22</v>
      </c>
      <c r="K36" s="32" t="n">
        <v>734776</v>
      </c>
      <c r="L36" s="31" t="inlineStr"/>
      <c r="M36" s="31" t="inlineStr"/>
      <c r="N36" s="32">
        <f>IF(M36="Underperforming",-5,IF(L36&gt;=95,15,IF(L36&gt;=90,10,IF(L36&gt;=80,5,0))))</f>
        <v/>
      </c>
      <c r="O36" s="32" t="n">
        <v>77.84999999999999</v>
      </c>
      <c r="P36" s="32" t="n">
        <v>52.8</v>
      </c>
      <c r="Q36" s="32" t="n">
        <v>285.73</v>
      </c>
      <c r="R36" s="31" t="inlineStr">
        <is>
          <t>Volume Spike &amp; Near 52W High Breakout</t>
        </is>
      </c>
      <c r="S36" s="31" t="inlineStr">
        <is>
          <t>Nifty Infra</t>
        </is>
      </c>
      <c r="T36" s="32" t="inlineStr"/>
      <c r="U36" s="32" t="inlineStr"/>
      <c r="V36" s="32" t="inlineStr"/>
      <c r="W36" s="32" t="inlineStr"/>
      <c r="X36" s="31" t="inlineStr">
        <is>
          <t>Cyclical in an Upturn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Above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IF(B37=0,"",RANK(B37,$B$2:$B$184,0))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CONFIPET</t>
        </is>
      </c>
      <c r="D37" s="31" t="inlineStr">
        <is>
          <t>Confidence Petroleum India Ltd</t>
        </is>
      </c>
      <c r="E37" s="31" t="inlineStr">
        <is>
          <t>miscellaneous</t>
        </is>
      </c>
      <c r="F37" s="31" t="inlineStr">
        <is>
          <t>miscellaneous</t>
        </is>
      </c>
      <c r="G37" s="31" t="inlineStr">
        <is>
          <t>smallcap</t>
        </is>
      </c>
      <c r="H37" s="32" t="n">
        <v>2860.6</v>
      </c>
      <c r="I37" s="32" t="n">
        <v>86.58</v>
      </c>
      <c r="J37" s="32" t="n">
        <v>0.5600000000000001</v>
      </c>
      <c r="K37" s="32" t="n">
        <v>2646137</v>
      </c>
      <c r="L37" s="31" t="n">
        <v>71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67.73999999999999</v>
      </c>
      <c r="P37" s="32" t="n">
        <v>59.56</v>
      </c>
      <c r="Q37" s="32" t="n">
        <v>62.7</v>
      </c>
      <c r="R37" s="31" t="inlineStr">
        <is>
          <t>Near 52W High Breakout</t>
        </is>
      </c>
      <c r="S37" s="31" t="inlineStr">
        <is>
          <t>Nifty 50</t>
        </is>
      </c>
      <c r="T37" s="32" t="n">
        <v>-8.33</v>
      </c>
      <c r="U37" s="32" t="n">
        <v>82.09</v>
      </c>
      <c r="V37" s="32" t="n">
        <v>98.63</v>
      </c>
      <c r="W37" s="32" t="n">
        <v>23.56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IF(B38=0,"",RANK(B38,$B$2:$B$184,0))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BODALCHEM</t>
        </is>
      </c>
      <c r="D38" s="31" t="inlineStr">
        <is>
          <t>Bodal Chemicals Limited</t>
        </is>
      </c>
      <c r="E38" s="31" t="inlineStr">
        <is>
          <t>chemicals</t>
        </is>
      </c>
      <c r="F38" s="31" t="inlineStr">
        <is>
          <t>dyes and pigments</t>
        </is>
      </c>
      <c r="G38" s="31" t="inlineStr">
        <is>
          <t>smallcap</t>
        </is>
      </c>
      <c r="H38" s="32" t="n">
        <v>2224.93</v>
      </c>
      <c r="I38" s="32" t="n">
        <v>173.46</v>
      </c>
      <c r="J38" s="32" t="n">
        <v>-1.81</v>
      </c>
      <c r="K38" s="32" t="n">
        <v>1821210</v>
      </c>
      <c r="L38" s="31" t="n">
        <v>97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88.94</v>
      </c>
      <c r="P38" s="32" t="n">
        <v>40.82</v>
      </c>
      <c r="Q38" s="32" t="n">
        <v>133.89</v>
      </c>
      <c r="R38" s="31" t="inlineStr">
        <is>
          <t>Near 52W High Breakout</t>
        </is>
      </c>
      <c r="S38" s="31" t="inlineStr">
        <is>
          <t>Nifty 50</t>
        </is>
      </c>
      <c r="T38" s="32" t="n">
        <v>-8.33</v>
      </c>
      <c r="U38" s="32" t="n">
        <v>162.14</v>
      </c>
      <c r="V38" s="32" t="n">
        <v>185.96</v>
      </c>
      <c r="W38" s="32" t="n">
        <v>60.71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IF(B39=0,"",RANK(B39,$B$2:$B$184,0))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ZIMLAB</t>
        </is>
      </c>
      <c r="D39" s="31" t="inlineStr">
        <is>
          <t>Zim Laboratories Ltd</t>
        </is>
      </c>
      <c r="E39" s="31" t="inlineStr">
        <is>
          <t>healthcare</t>
        </is>
      </c>
      <c r="F39" s="31" t="inlineStr">
        <is>
          <t>pharmaceuticals - indian - bulk drugs &amp; formln</t>
        </is>
      </c>
      <c r="G39" s="31" t="inlineStr">
        <is>
          <t>smallcap</t>
        </is>
      </c>
      <c r="H39" s="32" t="n">
        <v>715.47</v>
      </c>
      <c r="I39" s="32" t="n">
        <v>136.78</v>
      </c>
      <c r="J39" s="32" t="n">
        <v>2.37</v>
      </c>
      <c r="K39" s="32" t="n">
        <v>104649</v>
      </c>
      <c r="L39" s="31" t="n">
        <v>63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70.31</v>
      </c>
      <c r="P39" s="32" t="n">
        <v>60.01</v>
      </c>
      <c r="Q39" s="32" t="n">
        <v>101.75</v>
      </c>
      <c r="R39" s="31" t="inlineStr">
        <is>
          <t>Near 52W High Breakout</t>
        </is>
      </c>
      <c r="S39" s="31" t="inlineStr">
        <is>
          <t>Nifty Pharma</t>
        </is>
      </c>
      <c r="T39" s="32" t="n">
        <v>15.25</v>
      </c>
      <c r="U39" s="32" t="n">
        <v>81.84</v>
      </c>
      <c r="V39" s="32" t="n">
        <v>57.78</v>
      </c>
      <c r="W39" s="32" t="n">
        <v>19.05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Annuity, Lower One Time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Above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Above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IF(B40=0,"",RANK(B40,$B$2:$B$184,0))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SHILPAMED</t>
        </is>
      </c>
      <c r="D40" s="31" t="inlineStr">
        <is>
          <t>Shilpa Medicare Limited</t>
        </is>
      </c>
      <c r="E40" s="31" t="inlineStr">
        <is>
          <t>healthcare</t>
        </is>
      </c>
      <c r="F40" s="31" t="inlineStr">
        <is>
          <t>pharmaceuticals - indian - formulations</t>
        </is>
      </c>
      <c r="G40" s="31" t="inlineStr">
        <is>
          <t>midcap</t>
        </is>
      </c>
      <c r="H40" s="32" t="n">
        <v>17835.11</v>
      </c>
      <c r="I40" s="32" t="n">
        <v>928.05</v>
      </c>
      <c r="J40" s="32" t="n">
        <v>1.77</v>
      </c>
      <c r="K40" s="32" t="n">
        <v>1187365</v>
      </c>
      <c r="L40" s="31" t="n">
        <v>90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83.98</v>
      </c>
      <c r="P40" s="32" t="n">
        <v>79.16</v>
      </c>
      <c r="Q40" s="32" t="n">
        <v>778.02</v>
      </c>
      <c r="R40" s="31" t="inlineStr">
        <is>
          <t>Near 52W High Breakout</t>
        </is>
      </c>
      <c r="S40" s="31" t="inlineStr">
        <is>
          <t>Nifty Pharma</t>
        </is>
      </c>
      <c r="T40" s="32" t="n">
        <v>15.25</v>
      </c>
      <c r="U40" s="32" t="n">
        <v>125.12</v>
      </c>
      <c r="V40" s="32" t="n">
        <v>95.34</v>
      </c>
      <c r="W40" s="32" t="n">
        <v>37.14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Annuity, Lower One Time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Above 40</t>
        </is>
      </c>
      <c r="AY40" s="31">
        <f>IF(AX40="Above 40",20,IF(AX40="20 to 40",10,IF(AX40="0 to 20",-5,0)))</f>
        <v/>
      </c>
      <c r="AZ40" s="31" t="inlineStr">
        <is>
          <t>Above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Yes</t>
        </is>
      </c>
      <c r="BS40" s="31">
        <f>IF(BR40="NO",5,0)</f>
        <v/>
      </c>
      <c r="BT40" s="31" t="inlineStr">
        <is>
          <t>Above 2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IF(B41=0,"",RANK(B41,$B$2:$B$184,0))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BAFNAPH</t>
        </is>
      </c>
      <c r="D41" s="31" t="inlineStr">
        <is>
          <t>Bafna Pharmaceuticals Ltd</t>
        </is>
      </c>
      <c r="E41" s="31" t="inlineStr">
        <is>
          <t>healthcare</t>
        </is>
      </c>
      <c r="F41" s="31" t="inlineStr">
        <is>
          <t>pharmaceuticals - indian - formulations</t>
        </is>
      </c>
      <c r="G41" s="31" t="inlineStr">
        <is>
          <t>smallcap</t>
        </is>
      </c>
      <c r="H41" s="32" t="n">
        <v>726.96</v>
      </c>
      <c r="I41" s="32" t="n">
        <v>309</v>
      </c>
      <c r="J41" s="32" t="n">
        <v>0.55</v>
      </c>
      <c r="K41" s="32" t="n">
        <v>6535</v>
      </c>
      <c r="L41" s="31" t="n">
        <v>91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73.29000000000001</v>
      </c>
      <c r="P41" s="32" t="n">
        <v>59.28</v>
      </c>
      <c r="Q41" s="32" t="n">
        <v>240</v>
      </c>
      <c r="R41" s="31" t="inlineStr">
        <is>
          <t>Near 52W High Breakout</t>
        </is>
      </c>
      <c r="S41" s="31" t="inlineStr">
        <is>
          <t>Nifty Pharma</t>
        </is>
      </c>
      <c r="T41" s="32" t="n">
        <v>15.25</v>
      </c>
      <c r="U41" s="32" t="n">
        <v>123.61</v>
      </c>
      <c r="V41" s="32" t="n">
        <v>94.02</v>
      </c>
      <c r="W41" s="32" t="n">
        <v>41.09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Annuity, Lower One Time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Less than 12%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Above 70%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IF(B42=0,"",RANK(B42,$B$2:$B$184,0))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DIVISLAB</t>
        </is>
      </c>
      <c r="D42" s="31" t="inlineStr">
        <is>
          <t>Divi's Laboratories Limited</t>
        </is>
      </c>
      <c r="E42" s="31" t="inlineStr">
        <is>
          <t>healthcare</t>
        </is>
      </c>
      <c r="F42" s="31" t="inlineStr">
        <is>
          <t>pharmaceuticals - indian - bulk drugs</t>
        </is>
      </c>
      <c r="G42" s="31" t="inlineStr">
        <is>
          <t>largecap</t>
        </is>
      </c>
      <c r="H42" s="32" t="n">
        <v>244178</v>
      </c>
      <c r="I42" s="32" t="n">
        <v>9158</v>
      </c>
      <c r="J42" s="32" t="n">
        <v>-0.43</v>
      </c>
      <c r="K42" s="32" t="n">
        <v>878300</v>
      </c>
      <c r="L42" s="31" t="n">
        <v>53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79.91</v>
      </c>
      <c r="P42" s="32" t="n">
        <v>48.65</v>
      </c>
      <c r="Q42" s="32" t="n">
        <v>8112</v>
      </c>
      <c r="R42" s="31" t="inlineStr">
        <is>
          <t>Near 52W High Breakout</t>
        </is>
      </c>
      <c r="S42" s="31" t="inlineStr">
        <is>
          <t>Nifty Pharma</t>
        </is>
      </c>
      <c r="T42" s="32" t="n">
        <v>15.25</v>
      </c>
      <c r="U42" s="32" t="n">
        <v>48.32</v>
      </c>
      <c r="V42" s="32" t="n">
        <v>28.69</v>
      </c>
      <c r="W42" s="32" t="n">
        <v>16.39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Annuity, Lower One Time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Less than 1.5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IF(B43=0,"",RANK(B43,$B$2:$B$184,0))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LAURUSLABS</t>
        </is>
      </c>
      <c r="D43" s="31" t="inlineStr">
        <is>
          <t>Laurus Labs Limited</t>
        </is>
      </c>
      <c r="E43" s="31" t="inlineStr">
        <is>
          <t>healthcare</t>
        </is>
      </c>
      <c r="F43" s="31" t="inlineStr">
        <is>
          <t>pharmaceuticals - indian - bulk drugs &amp; formln</t>
        </is>
      </c>
      <c r="G43" s="31" t="inlineStr">
        <is>
          <t>largecap</t>
        </is>
      </c>
      <c r="H43" s="32" t="n">
        <v>104100.69</v>
      </c>
      <c r="I43" s="32" t="n">
        <v>1905.5</v>
      </c>
      <c r="J43" s="32" t="n">
        <v>-1.11</v>
      </c>
      <c r="K43" s="32" t="n">
        <v>2871410</v>
      </c>
      <c r="L43" s="31" t="n">
        <v>72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71.91</v>
      </c>
      <c r="P43" s="32" t="n">
        <v>72.52</v>
      </c>
      <c r="Q43" s="32" t="n">
        <v>1672.12</v>
      </c>
      <c r="R43" s="31" t="inlineStr">
        <is>
          <t>Near 52W High Breakout</t>
        </is>
      </c>
      <c r="S43" s="31" t="inlineStr">
        <is>
          <t>Nifty Pharma</t>
        </is>
      </c>
      <c r="T43" s="32" t="n">
        <v>15.25</v>
      </c>
      <c r="U43" s="32" t="n">
        <v>104.8</v>
      </c>
      <c r="V43" s="32" t="n">
        <v>77.7</v>
      </c>
      <c r="W43" s="32" t="n">
        <v>23.93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Annuity, Lower One Time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Yes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IF(B44=0,"",RANK(B44,$B$2:$B$184,0))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FOSECOIND</t>
        </is>
      </c>
      <c r="D44" s="31" t="inlineStr">
        <is>
          <t>Foseco India Limited</t>
        </is>
      </c>
      <c r="E44" s="31" t="inlineStr">
        <is>
          <t>chemicals</t>
        </is>
      </c>
      <c r="F44" s="31" t="inlineStr">
        <is>
          <t>chemicals</t>
        </is>
      </c>
      <c r="G44" s="31" t="inlineStr">
        <is>
          <t>smallcap</t>
        </is>
      </c>
      <c r="H44" s="32" t="n">
        <v>4690.81</v>
      </c>
      <c r="I44" s="32" t="n">
        <v>6846.5</v>
      </c>
      <c r="J44" s="32" t="n">
        <v>10.01</v>
      </c>
      <c r="K44" s="32" t="n">
        <v>178685</v>
      </c>
      <c r="L44" s="31" t="n">
        <v>32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73</v>
      </c>
      <c r="P44" s="32" t="n">
        <v>30.43</v>
      </c>
      <c r="Q44" s="32" t="n">
        <v>5381.17</v>
      </c>
      <c r="R44" s="31" t="inlineStr">
        <is>
          <t>Volume Spike &amp; Near 52W High Breakout</t>
        </is>
      </c>
      <c r="S44" s="31" t="inlineStr">
        <is>
          <t>Nifty 50</t>
        </is>
      </c>
      <c r="T44" s="32" t="n">
        <v>-8.33</v>
      </c>
      <c r="U44" s="32" t="n">
        <v>14.02</v>
      </c>
      <c r="V44" s="32" t="n">
        <v>24.38</v>
      </c>
      <c r="W44" s="32" t="n">
        <v>9.789999999999999</v>
      </c>
      <c r="X44" s="31" t="inlineStr">
        <is>
          <t>Growing Industry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Between 1.5 to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IF(B45=0,"",RANK(B45,$B$2:$B$184,0))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RUBYMILLS</t>
        </is>
      </c>
      <c r="D45" s="31" t="inlineStr">
        <is>
          <t>The Ruby Mills Limited</t>
        </is>
      </c>
      <c r="E45" s="31" t="inlineStr">
        <is>
          <t>textiles</t>
        </is>
      </c>
      <c r="F45" s="31" t="inlineStr">
        <is>
          <t>textiles - composite</t>
        </is>
      </c>
      <c r="G45" s="31" t="inlineStr">
        <is>
          <t>smallcap</t>
        </is>
      </c>
      <c r="H45" s="32" t="n">
        <v>1445.95</v>
      </c>
      <c r="I45" s="32" t="n">
        <v>462.1</v>
      </c>
      <c r="J45" s="32" t="n">
        <v>6.87</v>
      </c>
      <c r="K45" s="32" t="n">
        <v>90742</v>
      </c>
      <c r="L45" s="31" t="n">
        <v>75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74.89</v>
      </c>
      <c r="P45" s="32" t="n">
        <v>53.06</v>
      </c>
      <c r="Q45" s="32" t="n">
        <v>331.82</v>
      </c>
      <c r="R45" s="31" t="inlineStr">
        <is>
          <t>Near 52W High Breakout</t>
        </is>
      </c>
      <c r="S45" s="31" t="inlineStr">
        <is>
          <t>Nifty 50</t>
        </is>
      </c>
      <c r="T45" s="32" t="n">
        <v>-8.33</v>
      </c>
      <c r="U45" s="32" t="n">
        <v>96.27</v>
      </c>
      <c r="V45" s="32" t="n">
        <v>114.1</v>
      </c>
      <c r="W45" s="32" t="n">
        <v>25.16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Less than 12%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IF(B46=0,"",RANK(B46,$B$2:$B$184,0))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KAPSTON</t>
        </is>
      </c>
      <c r="D46" s="31" t="inlineStr">
        <is>
          <t>Kapston Services Ltd</t>
        </is>
      </c>
      <c r="E46" s="31" t="inlineStr">
        <is>
          <t>miscellaneous</t>
        </is>
      </c>
      <c r="F46" s="31" t="inlineStr">
        <is>
          <t>miscellaneous</t>
        </is>
      </c>
      <c r="G46" s="31" t="inlineStr">
        <is>
          <t>smallcap</t>
        </is>
      </c>
      <c r="H46" s="32" t="n">
        <v>1714.7</v>
      </c>
      <c r="I46" s="32" t="n">
        <v>577.15</v>
      </c>
      <c r="J46" s="32" t="n">
        <v>2.43</v>
      </c>
      <c r="K46" s="32" t="n">
        <v>43954</v>
      </c>
      <c r="L46" s="31" t="n">
        <v>85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72.20999999999999</v>
      </c>
      <c r="P46" s="32" t="n">
        <v>41.01</v>
      </c>
      <c r="Q46" s="32" t="n">
        <v>450.03</v>
      </c>
      <c r="R46" s="31" t="inlineStr">
        <is>
          <t>Near 52W High Breakout</t>
        </is>
      </c>
      <c r="S46" s="31" t="inlineStr">
        <is>
          <t>Nifty 50</t>
        </is>
      </c>
      <c r="T46" s="32" t="n">
        <v>-8.33</v>
      </c>
      <c r="U46" s="32" t="n">
        <v>134.6</v>
      </c>
      <c r="V46" s="32" t="n">
        <v>155.92</v>
      </c>
      <c r="W46" s="32" t="n">
        <v>34.31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Above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More than 1.2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IF(B47=0,"",RANK(B47,$B$2:$B$184,0))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QUADFUTURE</t>
        </is>
      </c>
      <c r="D47" s="31" t="inlineStr">
        <is>
          <t>Quadrant Future Tek Ltd</t>
        </is>
      </c>
      <c r="E47" s="31" t="inlineStr">
        <is>
          <t>industrials</t>
        </is>
      </c>
      <c r="F47" s="31" t="inlineStr">
        <is>
          <t>cables - power</t>
        </is>
      </c>
      <c r="G47" s="31" t="inlineStr">
        <is>
          <t>smallcap</t>
        </is>
      </c>
      <c r="H47" s="32" t="n">
        <v>1938.4</v>
      </c>
      <c r="I47" s="32" t="n">
        <v>491.95</v>
      </c>
      <c r="J47" s="32" t="n">
        <v>1.52</v>
      </c>
      <c r="K47" s="32" t="n">
        <v>1127715</v>
      </c>
      <c r="L47" s="31" t="inlineStr"/>
      <c r="M47" s="31" t="inlineStr"/>
      <c r="N47" s="32">
        <f>IF(M47="Underperforming",-5,IF(L47&gt;=95,15,IF(L47&gt;=90,10,IF(L47&gt;=80,5,0))))</f>
        <v/>
      </c>
      <c r="O47" s="32" t="n">
        <v>67.23</v>
      </c>
      <c r="P47" s="32" t="n">
        <v>39.49</v>
      </c>
      <c r="Q47" s="32" t="n">
        <v>340.51</v>
      </c>
      <c r="R47" s="31" t="inlineStr">
        <is>
          <t>Near 52W High Breakout</t>
        </is>
      </c>
      <c r="S47" s="31" t="inlineStr">
        <is>
          <t>Nifty Energy</t>
        </is>
      </c>
      <c r="T47" s="32" t="inlineStr"/>
      <c r="U47" s="32" t="inlineStr"/>
      <c r="V47" s="32" t="inlineStr"/>
      <c r="W47" s="32" t="inlineStr"/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20 to 40</t>
        </is>
      </c>
      <c r="AY47" s="31">
        <f>IF(AX47="Above 40",20,IF(AX47="20 to 40",10,IF(AX47="0 to 20",-5,0)))</f>
        <v/>
      </c>
      <c r="AZ47" s="31" t="inlineStr">
        <is>
          <t>Between 50 to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Less than 1.5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IF(B48=0,"",RANK(B48,$B$2:$B$184,0))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SHREEPUSHK</t>
        </is>
      </c>
      <c r="D48" s="31" t="inlineStr">
        <is>
          <t>Shree Pushkar Chemicals &amp; Fertilisers Limited</t>
        </is>
      </c>
      <c r="E48" s="31" t="inlineStr">
        <is>
          <t>chemicals</t>
        </is>
      </c>
      <c r="F48" s="31" t="inlineStr">
        <is>
          <t>dyes and pigments</t>
        </is>
      </c>
      <c r="G48" s="31" t="inlineStr">
        <is>
          <t>smallcap</t>
        </is>
      </c>
      <c r="H48" s="32" t="n">
        <v>1621.57</v>
      </c>
      <c r="I48" s="32" t="n">
        <v>506.95</v>
      </c>
      <c r="J48" s="32" t="n">
        <v>1.1</v>
      </c>
      <c r="K48" s="32" t="n">
        <v>123748</v>
      </c>
      <c r="L48" s="31" t="n">
        <v>44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70.7</v>
      </c>
      <c r="P48" s="32" t="n">
        <v>41.42</v>
      </c>
      <c r="Q48" s="32" t="n">
        <v>372.99</v>
      </c>
      <c r="R48" s="31" t="inlineStr">
        <is>
          <t>Near 52W High Breakout</t>
        </is>
      </c>
      <c r="S48" s="31" t="inlineStr">
        <is>
          <t>Nifty 50</t>
        </is>
      </c>
      <c r="T48" s="32" t="n">
        <v>-8.33</v>
      </c>
      <c r="U48" s="32" t="n">
        <v>31.95</v>
      </c>
      <c r="V48" s="32" t="n">
        <v>43.94</v>
      </c>
      <c r="W48" s="32" t="n">
        <v>13.21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Above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Less than 12%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IF(B49=0,"",RANK(B49,$B$2:$B$184,0))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CASTROLIND</t>
        </is>
      </c>
      <c r="D49" s="31" t="inlineStr">
        <is>
          <t>Castrol India Limited</t>
        </is>
      </c>
      <c r="E49" s="31" t="inlineStr">
        <is>
          <t>chemicals</t>
        </is>
      </c>
      <c r="F49" s="31" t="inlineStr">
        <is>
          <t>chemicals</t>
        </is>
      </c>
      <c r="G49" s="31" t="inlineStr">
        <is>
          <t>midcap</t>
        </is>
      </c>
      <c r="H49" s="32" t="n">
        <v>18577.7</v>
      </c>
      <c r="I49" s="32" t="n">
        <v>188.84</v>
      </c>
      <c r="J49" s="32" t="n">
        <v>0.54</v>
      </c>
      <c r="K49" s="32" t="n">
        <v>1359799</v>
      </c>
      <c r="L49" s="31" t="n">
        <v>6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63.57</v>
      </c>
      <c r="P49" s="32" t="n">
        <v>34.38</v>
      </c>
      <c r="Q49" s="32" t="n">
        <v>175.79</v>
      </c>
      <c r="R49" s="31" t="inlineStr">
        <is>
          <t>Near 52W High Breakout</t>
        </is>
      </c>
      <c r="S49" s="31" t="inlineStr">
        <is>
          <t>Nifty 50</t>
        </is>
      </c>
      <c r="T49" s="32" t="n">
        <v>-8.33</v>
      </c>
      <c r="U49" s="32" t="n">
        <v>-0.91</v>
      </c>
      <c r="V49" s="32" t="n">
        <v>8.1</v>
      </c>
      <c r="W49" s="32" t="n">
        <v>0.96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20 to 40</t>
        </is>
      </c>
      <c r="AY49" s="31">
        <f>IF(AX49="Above 40",20,IF(AX49="20 to 40",10,IF(AX49="0 to 20",-5,0)))</f>
        <v/>
      </c>
      <c r="AZ49" s="31" t="inlineStr">
        <is>
          <t>Between 50 to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No</t>
        </is>
      </c>
      <c r="BS49" s="31">
        <f>IF(BR49="NO",5,0)</f>
        <v/>
      </c>
      <c r="BT49" s="31" t="inlineStr">
        <is>
          <t>Less than 1.5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IF(B50=0,"",RANK(B50,$B$2:$B$184,0))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WSTCSTPAPR</t>
        </is>
      </c>
      <c r="D50" s="31" t="inlineStr">
        <is>
          <t>West Coast Paper Mills Limited</t>
        </is>
      </c>
      <c r="E50" s="31" t="inlineStr">
        <is>
          <t>building materials</t>
        </is>
      </c>
      <c r="F50" s="31" t="inlineStr">
        <is>
          <t>paper</t>
        </is>
      </c>
      <c r="G50" s="31" t="inlineStr">
        <is>
          <t>smallcap</t>
        </is>
      </c>
      <c r="H50" s="32" t="n">
        <v>4711.27</v>
      </c>
      <c r="I50" s="32" t="n">
        <v>711</v>
      </c>
      <c r="J50" s="32" t="n">
        <v>-0.32</v>
      </c>
      <c r="K50" s="32" t="n">
        <v>293983</v>
      </c>
      <c r="L50" s="31" t="inlineStr"/>
      <c r="M50" s="31" t="inlineStr"/>
      <c r="N50" s="32">
        <f>IF(M50="Underperforming",-5,IF(L50&gt;=95,15,IF(L50&gt;=90,10,IF(L50&gt;=80,5,0))))</f>
        <v/>
      </c>
      <c r="O50" s="32" t="n">
        <v>75.45999999999999</v>
      </c>
      <c r="P50" s="32" t="n">
        <v>54.89</v>
      </c>
      <c r="Q50" s="32" t="n">
        <v>569.51</v>
      </c>
      <c r="R50" s="31" t="inlineStr">
        <is>
          <t>Near 52W High Breakout</t>
        </is>
      </c>
      <c r="S50" s="31" t="inlineStr">
        <is>
          <t>Nifty Infra</t>
        </is>
      </c>
      <c r="T50" s="32" t="inlineStr"/>
      <c r="U50" s="32" t="inlineStr"/>
      <c r="V50" s="32" t="inlineStr"/>
      <c r="W50" s="32" t="inlineStr"/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IF(B51=0,"",RANK(B51,$B$2:$B$184,0))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NOCIL</t>
        </is>
      </c>
      <c r="D51" s="31" t="inlineStr">
        <is>
          <t>Nocil Limited</t>
        </is>
      </c>
      <c r="E51" s="31" t="inlineStr">
        <is>
          <t>chemicals</t>
        </is>
      </c>
      <c r="F51" s="31" t="inlineStr">
        <is>
          <t>chemicals</t>
        </is>
      </c>
      <c r="G51" s="31" t="inlineStr">
        <is>
          <t>smallcap</t>
        </is>
      </c>
      <c r="H51" s="32" t="n">
        <v>3066.58</v>
      </c>
      <c r="I51" s="32" t="n">
        <v>181.95</v>
      </c>
      <c r="J51" s="32" t="n">
        <v>-0.9</v>
      </c>
      <c r="K51" s="32" t="n">
        <v>1428895</v>
      </c>
      <c r="L51" s="31" t="n">
        <v>16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57.63</v>
      </c>
      <c r="P51" s="32" t="n">
        <v>24.41</v>
      </c>
      <c r="Q51" s="32" t="n">
        <v>146.22</v>
      </c>
      <c r="R51" s="31" t="inlineStr">
        <is>
          <t>Near 52W High Breakout</t>
        </is>
      </c>
      <c r="S51" s="31" t="inlineStr">
        <is>
          <t>Nifty 50</t>
        </is>
      </c>
      <c r="T51" s="32" t="n">
        <v>-8.33</v>
      </c>
      <c r="U51" s="32" t="n">
        <v>1.35</v>
      </c>
      <c r="V51" s="32" t="n">
        <v>10.56</v>
      </c>
      <c r="W51" s="32" t="n">
        <v>3.97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Close to 52 week high or retracement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IF(B52=0,"",RANK(B52,$B$2:$B$184,0))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BHAGERIA</t>
        </is>
      </c>
      <c r="D52" s="31" t="inlineStr">
        <is>
          <t>Bhageria Industries Limited</t>
        </is>
      </c>
      <c r="E52" s="31" t="inlineStr">
        <is>
          <t>chemicals</t>
        </is>
      </c>
      <c r="F52" s="31" t="inlineStr">
        <is>
          <t>dyes and pigments</t>
        </is>
      </c>
      <c r="G52" s="31" t="inlineStr">
        <is>
          <t>smallcap</t>
        </is>
      </c>
      <c r="H52" s="32" t="n">
        <v>1337.69</v>
      </c>
      <c r="I52" s="32" t="n">
        <v>303.7</v>
      </c>
      <c r="J52" s="32" t="n">
        <v>-0.91</v>
      </c>
      <c r="K52" s="32" t="n">
        <v>86277</v>
      </c>
      <c r="L52" s="31" t="n">
        <v>68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71.79000000000001</v>
      </c>
      <c r="P52" s="32" t="n">
        <v>38.83</v>
      </c>
      <c r="Q52" s="32" t="n">
        <v>235.52</v>
      </c>
      <c r="R52" s="31" t="inlineStr">
        <is>
          <t>Near 52W High Breakout</t>
        </is>
      </c>
      <c r="S52" s="31" t="inlineStr">
        <is>
          <t>Nifty 50</t>
        </is>
      </c>
      <c r="T52" s="32" t="n">
        <v>-8.33</v>
      </c>
      <c r="U52" s="32" t="n">
        <v>68.47</v>
      </c>
      <c r="V52" s="32" t="n">
        <v>83.77</v>
      </c>
      <c r="W52" s="32" t="n">
        <v>21.96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Above 70%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IF(B53=0,"",RANK(B53,$B$2:$B$184,0))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GOCLCORP</t>
        </is>
      </c>
      <c r="D53" s="31" t="inlineStr">
        <is>
          <t>Gocl Corporation Limited</t>
        </is>
      </c>
      <c r="E53" s="31" t="inlineStr">
        <is>
          <t>miscellaneous</t>
        </is>
      </c>
      <c r="F53" s="31" t="inlineStr">
        <is>
          <t>diversified - medium / small</t>
        </is>
      </c>
      <c r="G53" s="31" t="inlineStr">
        <is>
          <t>smallcap</t>
        </is>
      </c>
      <c r="H53" s="32" t="n">
        <v>2159.63</v>
      </c>
      <c r="I53" s="32" t="n">
        <v>428.4</v>
      </c>
      <c r="J53" s="32" t="n">
        <v>-1.66</v>
      </c>
      <c r="K53" s="32" t="n">
        <v>199597</v>
      </c>
      <c r="L53" s="31" t="n">
        <v>27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60.6</v>
      </c>
      <c r="P53" s="32" t="n">
        <v>47.01</v>
      </c>
      <c r="Q53" s="32" t="n">
        <v>337.43</v>
      </c>
      <c r="R53" s="31" t="inlineStr">
        <is>
          <t>Near 52W High Breakout</t>
        </is>
      </c>
      <c r="S53" s="31" t="inlineStr">
        <is>
          <t>Nifty 50</t>
        </is>
      </c>
      <c r="T53" s="32" t="n">
        <v>-8.33</v>
      </c>
      <c r="U53" s="32" t="n">
        <v>17.27</v>
      </c>
      <c r="V53" s="32" t="n">
        <v>27.93</v>
      </c>
      <c r="W53" s="32" t="n">
        <v>8.369999999999999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Less than 12%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Above 70%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IF(B54=0,"",RANK(B54,$B$2:$B$184,0))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CYIENTDLM</t>
        </is>
      </c>
      <c r="D54" s="31" t="inlineStr">
        <is>
          <t>Cyient DLM Ltd</t>
        </is>
      </c>
      <c r="E54" s="31" t="inlineStr">
        <is>
          <t>aerospace &amp; defence</t>
        </is>
      </c>
      <c r="F54" s="31" t="inlineStr">
        <is>
          <t>electronics - components</t>
        </is>
      </c>
      <c r="G54" s="31" t="inlineStr">
        <is>
          <t>midcap</t>
        </is>
      </c>
      <c r="H54" s="32" t="n">
        <v>7007.17</v>
      </c>
      <c r="I54" s="32" t="n">
        <v>867.4</v>
      </c>
      <c r="J54" s="32" t="n">
        <v>-1.73</v>
      </c>
      <c r="K54" s="32" t="n">
        <v>855768</v>
      </c>
      <c r="L54" s="31" t="n">
        <v>89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83.34</v>
      </c>
      <c r="P54" s="32" t="n">
        <v>75.36</v>
      </c>
      <c r="Q54" s="32" t="n">
        <v>689.6799999999999</v>
      </c>
      <c r="R54" s="31" t="inlineStr">
        <is>
          <t>Near 52W High Breakout</t>
        </is>
      </c>
      <c r="S54" s="31" t="inlineStr">
        <is>
          <t>Nifty 50</t>
        </is>
      </c>
      <c r="T54" s="32" t="n">
        <v>-8.33</v>
      </c>
      <c r="U54" s="32" t="n">
        <v>81.09</v>
      </c>
      <c r="V54" s="32" t="n">
        <v>97.54000000000001</v>
      </c>
      <c r="W54" s="32" t="n">
        <v>36.45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Above 70%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IF(B55=0,"",RANK(B55,$B$2:$B$184,0))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KABRAEXTRU</t>
        </is>
      </c>
      <c r="D55" s="31" t="inlineStr">
        <is>
          <t>Kabra Extrusion Technik Limited</t>
        </is>
      </c>
      <c r="E55" s="31" t="inlineStr">
        <is>
          <t>industrials</t>
        </is>
      </c>
      <c r="F55" s="31" t="inlineStr">
        <is>
          <t>engineering</t>
        </is>
      </c>
      <c r="G55" s="31" t="inlineStr">
        <is>
          <t>smallcap</t>
        </is>
      </c>
      <c r="H55" s="32" t="n">
        <v>2276.21</v>
      </c>
      <c r="I55" s="32" t="n">
        <v>628.1</v>
      </c>
      <c r="J55" s="32" t="n">
        <v>-3.5</v>
      </c>
      <c r="K55" s="32" t="n">
        <v>651043</v>
      </c>
      <c r="L55" s="31" t="n">
        <v>98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72.97</v>
      </c>
      <c r="P55" s="32" t="n">
        <v>61.02</v>
      </c>
      <c r="Q55" s="32" t="n">
        <v>541.85</v>
      </c>
      <c r="R55" s="31" t="inlineStr">
        <is>
          <t>Earnings / Momentum Support</t>
        </is>
      </c>
      <c r="S55" s="31" t="inlineStr">
        <is>
          <t>Nifty 50</t>
        </is>
      </c>
      <c r="T55" s="32" t="n">
        <v>-8.33</v>
      </c>
      <c r="U55" s="32" t="n">
        <v>132.72</v>
      </c>
      <c r="V55" s="32" t="n">
        <v>153.86</v>
      </c>
      <c r="W55" s="32" t="n">
        <v>63.73</v>
      </c>
      <c r="X55" s="31" t="inlineStr">
        <is>
          <t>Cyclical in an Upturn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IF(B56=0,"",RANK(B56,$B$2:$B$184,0))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MODISONLTD</t>
        </is>
      </c>
      <c r="D56" s="31" t="inlineStr">
        <is>
          <t>Modison Ltd</t>
        </is>
      </c>
      <c r="E56" s="31" t="inlineStr">
        <is>
          <t>industrials</t>
        </is>
      </c>
      <c r="F56" s="31" t="inlineStr">
        <is>
          <t>electric equipment</t>
        </is>
      </c>
      <c r="G56" s="31" t="inlineStr">
        <is>
          <t>smallcap</t>
        </is>
      </c>
      <c r="H56" s="32" t="n">
        <v>1551.6</v>
      </c>
      <c r="I56" s="32" t="n">
        <v>455.05</v>
      </c>
      <c r="J56" s="32" t="n">
        <v>-4.83</v>
      </c>
      <c r="K56" s="32" t="n">
        <v>80064</v>
      </c>
      <c r="L56" s="31" t="n">
        <v>92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71.86</v>
      </c>
      <c r="P56" s="32" t="n">
        <v>58.6</v>
      </c>
      <c r="Q56" s="32" t="n">
        <v>365.23</v>
      </c>
      <c r="R56" s="31" t="inlineStr">
        <is>
          <t>Earnings / Momentum Support</t>
        </is>
      </c>
      <c r="S56" s="31" t="inlineStr">
        <is>
          <t>Nifty 50</t>
        </is>
      </c>
      <c r="T56" s="32" t="n">
        <v>-8.33</v>
      </c>
      <c r="U56" s="32" t="n">
        <v>190.04</v>
      </c>
      <c r="V56" s="32" t="n">
        <v>216.39</v>
      </c>
      <c r="W56" s="32" t="n">
        <v>43.92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No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Above 40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Above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IF(B57=0,"",RANK(B57,$B$2:$B$184,0))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NPST</t>
        </is>
      </c>
      <c r="D57" s="31" t="inlineStr">
        <is>
          <t>Network People Services Technologies Ltd</t>
        </is>
      </c>
      <c r="E57" s="31" t="inlineStr">
        <is>
          <t>i.t</t>
        </is>
      </c>
      <c r="F57" s="31" t="inlineStr">
        <is>
          <t>computers - software - medium / small</t>
        </is>
      </c>
      <c r="G57" s="31" t="inlineStr">
        <is>
          <t>smallcap</t>
        </is>
      </c>
      <c r="H57" s="32" t="n">
        <v>3420.57</v>
      </c>
      <c r="I57" s="32" t="n">
        <v>1834.6</v>
      </c>
      <c r="J57" s="32" t="n">
        <v>11.9</v>
      </c>
      <c r="K57" s="32" t="n">
        <v>3028115</v>
      </c>
      <c r="L57" s="31" t="n">
        <v>17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64.84</v>
      </c>
      <c r="P57" s="32" t="n">
        <v>32.64</v>
      </c>
      <c r="Q57" s="32" t="n">
        <v>1287.06</v>
      </c>
      <c r="R57" s="31" t="inlineStr">
        <is>
          <t>Volume Spike / Accumulation</t>
        </is>
      </c>
      <c r="S57" s="31" t="inlineStr">
        <is>
          <t>Nifty IT</t>
        </is>
      </c>
      <c r="T57" s="32" t="n">
        <v>-20.48</v>
      </c>
      <c r="U57" s="32" t="n">
        <v>-11.04</v>
      </c>
      <c r="V57" s="32" t="n">
        <v>11.87</v>
      </c>
      <c r="W57" s="32" t="n">
        <v>4.48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Annuity, Lower One Time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20 to 40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Yes</t>
        </is>
      </c>
      <c r="BS57" s="31">
        <f>IF(BR57="NO",5,0)</f>
        <v/>
      </c>
      <c r="BT57" s="31" t="inlineStr">
        <is>
          <t>Between 1.5 to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IF(B58=0,"",RANK(B58,$B$2:$B$184,0))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EMUDHRA</t>
        </is>
      </c>
      <c r="D58" s="31" t="inlineStr">
        <is>
          <t>eMudhra Ltd</t>
        </is>
      </c>
      <c r="E58" s="31" t="inlineStr">
        <is>
          <t>i.t</t>
        </is>
      </c>
      <c r="F58" s="31" t="inlineStr">
        <is>
          <t>computers - software - medium / small</t>
        </is>
      </c>
      <c r="G58" s="31" t="inlineStr">
        <is>
          <t>smallcap</t>
        </is>
      </c>
      <c r="H58" s="32" t="n">
        <v>4909.49</v>
      </c>
      <c r="I58" s="32" t="n">
        <v>642.3</v>
      </c>
      <c r="J58" s="32" t="n">
        <v>8.34</v>
      </c>
      <c r="K58" s="32" t="n">
        <v>30254888</v>
      </c>
      <c r="L58" s="31" t="n">
        <v>33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67.06</v>
      </c>
      <c r="P58" s="32" t="n">
        <v>22.71</v>
      </c>
      <c r="Q58" s="32" t="n">
        <v>489.97</v>
      </c>
      <c r="R58" s="31" t="inlineStr">
        <is>
          <t>Volume Spike &amp; Near 52W High Breakout</t>
        </is>
      </c>
      <c r="S58" s="31" t="inlineStr">
        <is>
          <t>Nifty IT</t>
        </is>
      </c>
      <c r="T58" s="32" t="n">
        <v>-20.48</v>
      </c>
      <c r="U58" s="32" t="n">
        <v>-5.89</v>
      </c>
      <c r="V58" s="32" t="n">
        <v>18.35</v>
      </c>
      <c r="W58" s="32" t="n">
        <v>9.859999999999999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Annuity, Lower One Time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20 to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Close to 52 week high or retracement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Between 1.5 to 2</t>
        </is>
      </c>
      <c r="BU58" s="31">
        <f>IF(BT58="Above 2",0,IF(BT58="Between 1.5 to 2",5,IF(BT58="Less than 1.5",10,0)))</f>
        <v/>
      </c>
      <c r="BV58" s="31" t="inlineStr">
        <is>
          <t>Above 70%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IF(B59=0,"",RANK(B59,$B$2:$B$184,0))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SANSTAR</t>
        </is>
      </c>
      <c r="D59" s="31" t="inlineStr">
        <is>
          <t>Sanstar Ltd</t>
        </is>
      </c>
      <c r="E59" s="31" t="inlineStr">
        <is>
          <t>fmcg</t>
        </is>
      </c>
      <c r="F59" s="31" t="inlineStr">
        <is>
          <t>miscellaneous</t>
        </is>
      </c>
      <c r="G59" s="31" t="inlineStr">
        <is>
          <t>smallcap</t>
        </is>
      </c>
      <c r="H59" s="32" t="n">
        <v>2218.17</v>
      </c>
      <c r="I59" s="32" t="n">
        <v>112.81</v>
      </c>
      <c r="J59" s="32" t="n">
        <v>1.85</v>
      </c>
      <c r="K59" s="32" t="n">
        <v>194156</v>
      </c>
      <c r="L59" s="31" t="inlineStr"/>
      <c r="M59" s="31" t="inlineStr"/>
      <c r="N59" s="32">
        <f>IF(M59="Underperforming",-5,IF(L59&gt;=95,15,IF(L59&gt;=90,10,IF(L59&gt;=80,5,0))))</f>
        <v/>
      </c>
      <c r="O59" s="32" t="n">
        <v>57.56</v>
      </c>
      <c r="P59" s="32" t="n">
        <v>43.18</v>
      </c>
      <c r="Q59" s="32" t="n">
        <v>98.23999999999999</v>
      </c>
      <c r="R59" s="31" t="inlineStr">
        <is>
          <t>Earnings / Momentum Support</t>
        </is>
      </c>
      <c r="S59" s="31" t="inlineStr">
        <is>
          <t>Nifty FMCG</t>
        </is>
      </c>
      <c r="T59" s="32" t="inlineStr"/>
      <c r="U59" s="32" t="inlineStr"/>
      <c r="V59" s="32" t="inlineStr"/>
      <c r="W59" s="32" t="inlineStr"/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B2C</t>
        </is>
      </c>
      <c r="AO59" s="31">
        <f>IF(AN59="B2C",10,IF(AN59="B2B",5,0))</f>
        <v/>
      </c>
      <c r="AP59" s="31" t="inlineStr">
        <is>
          <t>No</t>
        </is>
      </c>
      <c r="AQ59" s="31">
        <f>IF(AP59="Yes",10,0)</f>
        <v/>
      </c>
      <c r="AR59" s="31" t="inlineStr">
        <is>
          <t>Higher Annuity, Lower One Time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Above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Above 2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IF(B60=0,"",RANK(B60,$B$2:$B$184,0))</f>
        <v/>
      </c>
      <c r="B60" s="32">
        <f>SUM(N60,Y60,AA60,AC60,AE60,AG60,AI60,AK60,AM60,AO60,AQ60,AS60,AU60,AW60,AY60,BA60,BC60,BE60,BG60,BI60,BK60,BM60,BO60,BQ60,BS60,BU60,BW60,BY60,CA60,CC60,CE60)</f>
        <v/>
      </c>
      <c r="C60" s="31" t="inlineStr">
        <is>
          <t>KANPRPLA</t>
        </is>
      </c>
      <c r="D60" s="31" t="inlineStr">
        <is>
          <t>Kanpur Plastipack Ltd</t>
        </is>
      </c>
      <c r="E60" s="31" t="inlineStr">
        <is>
          <t>industrials</t>
        </is>
      </c>
      <c r="F60" s="31" t="inlineStr">
        <is>
          <t>packaging</t>
        </is>
      </c>
      <c r="G60" s="31" t="inlineStr">
        <is>
          <t>smallcap</t>
        </is>
      </c>
      <c r="H60" s="32" t="n">
        <v>602.1799999999999</v>
      </c>
      <c r="I60" s="32" t="n">
        <v>265.85</v>
      </c>
      <c r="J60" s="32" t="n">
        <v>8.07</v>
      </c>
      <c r="K60" s="32" t="n">
        <v>27577</v>
      </c>
      <c r="L60" s="31" t="n">
        <v>46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66.44</v>
      </c>
      <c r="P60" s="32" t="n">
        <v>29.43</v>
      </c>
      <c r="Q60" s="32" t="n">
        <v>189.41</v>
      </c>
      <c r="R60" s="31" t="inlineStr">
        <is>
          <t>Near 52W High Breakout</t>
        </is>
      </c>
      <c r="S60" s="31" t="inlineStr">
        <is>
          <t>Nifty 50</t>
        </is>
      </c>
      <c r="T60" s="32" t="n">
        <v>-8.33</v>
      </c>
      <c r="U60" s="32" t="n">
        <v>20.61</v>
      </c>
      <c r="V60" s="32" t="n">
        <v>31.57</v>
      </c>
      <c r="W60" s="32" t="n">
        <v>13.37</v>
      </c>
      <c r="X60" s="31" t="inlineStr">
        <is>
          <t>Cyclical in an Upturn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No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IF(B61=0,"",RANK(B61,$B$2:$B$184,0))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RACLGEAR</t>
        </is>
      </c>
      <c r="D61" s="31" t="inlineStr">
        <is>
          <t>RACL Geartech Ltd</t>
        </is>
      </c>
      <c r="E61" s="31" t="inlineStr">
        <is>
          <t>auto</t>
        </is>
      </c>
      <c r="F61" s="31" t="inlineStr">
        <is>
          <t>auto ancillaries</t>
        </is>
      </c>
      <c r="G61" s="31" t="inlineStr">
        <is>
          <t>smallcap</t>
        </is>
      </c>
      <c r="H61" s="32" t="n">
        <v>2069.04</v>
      </c>
      <c r="I61" s="32" t="n">
        <v>1852.4</v>
      </c>
      <c r="J61" s="32" t="n">
        <v>5.54</v>
      </c>
      <c r="K61" s="32" t="n">
        <v>258873</v>
      </c>
      <c r="L61" s="31" t="inlineStr"/>
      <c r="M61" s="31" t="inlineStr"/>
      <c r="N61" s="32">
        <f>IF(M61="Underperforming",-5,IF(L61&gt;=95,15,IF(L61&gt;=90,10,IF(L61&gt;=80,5,0))))</f>
        <v/>
      </c>
      <c r="O61" s="32" t="n">
        <v>71.05</v>
      </c>
      <c r="P61" s="32" t="n">
        <v>52.72</v>
      </c>
      <c r="Q61" s="32" t="n">
        <v>1343.69</v>
      </c>
      <c r="R61" s="31" t="inlineStr">
        <is>
          <t>Near 52W High Breakout</t>
        </is>
      </c>
      <c r="S61" s="31" t="inlineStr">
        <is>
          <t>Nifty Auto</t>
        </is>
      </c>
      <c r="T61" s="32" t="inlineStr"/>
      <c r="U61" s="32" t="inlineStr"/>
      <c r="V61" s="32" t="inlineStr"/>
      <c r="W61" s="32" t="inlineStr"/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Between 50 to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Less than 12%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IF(B62=0,"",RANK(B62,$B$2:$B$184,0))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INDORAMA</t>
        </is>
      </c>
      <c r="D62" s="31" t="inlineStr">
        <is>
          <t>Indo Rama Synthetics (india) Limited</t>
        </is>
      </c>
      <c r="E62" s="31" t="inlineStr">
        <is>
          <t>textiles</t>
        </is>
      </c>
      <c r="F62" s="31" t="inlineStr">
        <is>
          <t>textiles - manmade</t>
        </is>
      </c>
      <c r="G62" s="31" t="inlineStr">
        <is>
          <t>smallcap</t>
        </is>
      </c>
      <c r="H62" s="32" t="n">
        <v>2162.28</v>
      </c>
      <c r="I62" s="32" t="n">
        <v>85.59999999999999</v>
      </c>
      <c r="J62" s="32" t="n">
        <v>3.37</v>
      </c>
      <c r="K62" s="32" t="n">
        <v>3645127</v>
      </c>
      <c r="L62" s="31" t="n">
        <v>86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81.13</v>
      </c>
      <c r="P62" s="32" t="n">
        <v>56.45</v>
      </c>
      <c r="Q62" s="32" t="n">
        <v>62.33</v>
      </c>
      <c r="R62" s="31" t="inlineStr">
        <is>
          <t>Volume Spike &amp; Near 52W High Breakout</t>
        </is>
      </c>
      <c r="S62" s="31" t="inlineStr">
        <is>
          <t>Nifty 50</t>
        </is>
      </c>
      <c r="T62" s="32" t="n">
        <v>-8.33</v>
      </c>
      <c r="U62" s="32" t="n">
        <v>61.05</v>
      </c>
      <c r="V62" s="32" t="n">
        <v>75.69</v>
      </c>
      <c r="W62" s="32" t="n">
        <v>34.77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Above 40</t>
        </is>
      </c>
      <c r="AY62" s="31">
        <f>IF(AX62="Above 40",20,IF(AX62="20 to 40",10,IF(AX62="0 to 20",-5,0)))</f>
        <v/>
      </c>
      <c r="AZ62" s="31" t="inlineStr">
        <is>
          <t>Above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No</t>
        </is>
      </c>
      <c r="BS62" s="31">
        <f>IF(BR62="NO",5,0)</f>
        <v/>
      </c>
      <c r="BT62" s="31" t="inlineStr">
        <is>
          <t>Less than 1.5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More than 1.2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IF(B63=0,"",RANK(B63,$B$2:$B$184,0))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BLUESTONE</t>
        </is>
      </c>
      <c r="D63" s="31" t="inlineStr">
        <is>
          <t>Bluestone Jewellery and Lifestyle Ltd</t>
        </is>
      </c>
      <c r="E63" s="31" t="inlineStr">
        <is>
          <t>consumer discretionary</t>
        </is>
      </c>
      <c r="F63" s="31" t="inlineStr">
        <is>
          <t>diamond cutting / jewellery</t>
        </is>
      </c>
      <c r="G63" s="31" t="inlineStr">
        <is>
          <t>midcap</t>
        </is>
      </c>
      <c r="H63" s="32" t="n">
        <v>12627.25</v>
      </c>
      <c r="I63" s="32" t="n">
        <v>856</v>
      </c>
      <c r="J63" s="32" t="n">
        <v>3.31</v>
      </c>
      <c r="K63" s="32" t="n">
        <v>806703</v>
      </c>
      <c r="L63" s="31" t="n">
        <v>69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69.58</v>
      </c>
      <c r="P63" s="32" t="n">
        <v>50.77</v>
      </c>
      <c r="Q63" s="32" t="n">
        <v>660.13</v>
      </c>
      <c r="R63" s="31" t="inlineStr">
        <is>
          <t>Near 52W High Breakout</t>
        </is>
      </c>
      <c r="S63" s="31" t="inlineStr">
        <is>
          <t>Nifty 50</t>
        </is>
      </c>
      <c r="T63" s="32" t="n">
        <v>-8.33</v>
      </c>
      <c r="U63" s="32" t="n">
        <v>40.54</v>
      </c>
      <c r="V63" s="32" t="n">
        <v>53.3</v>
      </c>
      <c r="W63" s="32" t="n">
        <v>22.79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Above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Yes</t>
        </is>
      </c>
      <c r="BS63" s="31">
        <f>IF(BR63="NO",5,0)</f>
        <v/>
      </c>
      <c r="BT63" s="31" t="inlineStr">
        <is>
          <t>Above 2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IF(B64=0,"",RANK(B64,$B$2:$B$184,0))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VARROC</t>
        </is>
      </c>
      <c r="D64" s="31" t="inlineStr">
        <is>
          <t>Varroc Engineering Ltd</t>
        </is>
      </c>
      <c r="E64" s="31" t="inlineStr">
        <is>
          <t>auto</t>
        </is>
      </c>
      <c r="F64" s="31" t="inlineStr">
        <is>
          <t>auto ancillaries</t>
        </is>
      </c>
      <c r="G64" s="31" t="inlineStr">
        <is>
          <t>midcap</t>
        </is>
      </c>
      <c r="H64" s="32" t="n">
        <v>12772.94</v>
      </c>
      <c r="I64" s="32" t="n">
        <v>851.15</v>
      </c>
      <c r="J64" s="32" t="n">
        <v>1.81</v>
      </c>
      <c r="K64" s="32" t="n">
        <v>438002</v>
      </c>
      <c r="L64" s="31" t="inlineStr"/>
      <c r="M64" s="31" t="inlineStr"/>
      <c r="N64" s="32">
        <f>IF(M64="Underperforming",-5,IF(L64&gt;=95,15,IF(L64&gt;=90,10,IF(L64&gt;=80,5,0))))</f>
        <v/>
      </c>
      <c r="O64" s="32" t="n">
        <v>73.81</v>
      </c>
      <c r="P64" s="32" t="n">
        <v>56.28</v>
      </c>
      <c r="Q64" s="32" t="n">
        <v>697.51</v>
      </c>
      <c r="R64" s="31" t="inlineStr">
        <is>
          <t>Near 52W High Breakout</t>
        </is>
      </c>
      <c r="S64" s="31" t="inlineStr">
        <is>
          <t>Nifty Auto</t>
        </is>
      </c>
      <c r="T64" s="32" t="inlineStr"/>
      <c r="U64" s="32" t="inlineStr"/>
      <c r="V64" s="32" t="inlineStr"/>
      <c r="W64" s="32" t="inlineStr"/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Above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Blue sky scenario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Less than 12%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Above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IF(B65=0,"",RANK(B65,$B$2:$B$184,0))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COMSYN</t>
        </is>
      </c>
      <c r="D65" s="31" t="inlineStr">
        <is>
          <t>Commercial Syn Bags Ltd</t>
        </is>
      </c>
      <c r="E65" s="31" t="inlineStr">
        <is>
          <t>industrials</t>
        </is>
      </c>
      <c r="F65" s="31" t="inlineStr">
        <is>
          <t>packaging</t>
        </is>
      </c>
      <c r="G65" s="31" t="inlineStr">
        <is>
          <t>smallcap</t>
        </is>
      </c>
      <c r="H65" s="32" t="n">
        <v>1169.03</v>
      </c>
      <c r="I65" s="32" t="n">
        <v>294.75</v>
      </c>
      <c r="J65" s="32" t="n">
        <v>1.71</v>
      </c>
      <c r="K65" s="32" t="n">
        <v>839631</v>
      </c>
      <c r="L65" s="31" t="n">
        <v>84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77.64</v>
      </c>
      <c r="P65" s="32" t="n">
        <v>70.62</v>
      </c>
      <c r="Q65" s="32" t="n">
        <v>225.95</v>
      </c>
      <c r="R65" s="31" t="inlineStr">
        <is>
          <t>Near 52W High Breakout</t>
        </is>
      </c>
      <c r="S65" s="31" t="inlineStr">
        <is>
          <t>Nifty 50</t>
        </is>
      </c>
      <c r="T65" s="32" t="n">
        <v>-8.33</v>
      </c>
      <c r="U65" s="32" t="n">
        <v>90.23</v>
      </c>
      <c r="V65" s="32" t="n">
        <v>107.52</v>
      </c>
      <c r="W65" s="32" t="n">
        <v>33.34</v>
      </c>
      <c r="X65" s="31" t="inlineStr">
        <is>
          <t>Cyclical in an Upturn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One Time, Lower Annuity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Less than 1.5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Between 0.7 to 1.2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IF(B66=0,"",RANK(B66,$B$2:$B$184,0))</f>
        <v/>
      </c>
      <c r="B66" s="32">
        <f>SUM(N66,Y66,AA66,AC66,AE66,AG66,AI66,AK66,AM66,AO66,AQ66,AS66,AU66,AW66,AY66,BA66,BC66,BE66,BG66,BI66,BK66,BM66,BO66,BQ66,BS66,BU66,BW66,BY66,CA66,CC66,CE66)</f>
        <v/>
      </c>
      <c r="C66" s="33" t="inlineStr">
        <is>
          <t>WENDT</t>
        </is>
      </c>
      <c r="D66" s="33" t="inlineStr">
        <is>
          <t>Wendt (india) Limited</t>
        </is>
      </c>
      <c r="E66" s="31" t="inlineStr">
        <is>
          <t>industrials</t>
        </is>
      </c>
      <c r="F66" s="31" t="inlineStr">
        <is>
          <t>abrasives and grinding wheels</t>
        </is>
      </c>
      <c r="G66" s="31" t="inlineStr">
        <is>
          <t>smallcap</t>
        </is>
      </c>
      <c r="H66" s="32" t="n">
        <v>1716</v>
      </c>
      <c r="I66" s="32" t="n">
        <v>8663.5</v>
      </c>
      <c r="J66" s="32" t="n">
        <v>0.97</v>
      </c>
      <c r="K66" s="32" t="n">
        <v>16389</v>
      </c>
      <c r="L66" s="31" t="n">
        <v>4</v>
      </c>
      <c r="M66" s="31" t="inlineStr">
        <is>
          <t>Underperforming</t>
        </is>
      </c>
      <c r="N66" s="32">
        <f>IF(M66="Underperforming",-5,IF(L66&gt;=95,15,IF(L66&gt;=90,10,IF(L66&gt;=80,5,0))))</f>
        <v/>
      </c>
      <c r="O66" s="32" t="n">
        <v>61.39</v>
      </c>
      <c r="P66" s="32" t="n">
        <v>40.44</v>
      </c>
      <c r="Q66" s="32" t="n">
        <v>6999.14</v>
      </c>
      <c r="R66" s="31" t="inlineStr">
        <is>
          <t>Near 52W High Breakout</t>
        </is>
      </c>
      <c r="S66" s="31" t="inlineStr">
        <is>
          <t>Nifty 50</t>
        </is>
      </c>
      <c r="T66" s="32" t="n">
        <v>-8.33</v>
      </c>
      <c r="U66" s="32" t="n">
        <v>-9.460000000000001</v>
      </c>
      <c r="V66" s="32" t="n">
        <v>-1.24</v>
      </c>
      <c r="W66" s="32" t="n">
        <v>0.9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Above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Close to 52 week high or retracement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Between 1.5 to 2</t>
        </is>
      </c>
      <c r="BU66" s="31">
        <f>IF(BT66="Above 2",0,IF(BT66="Between 1.5 to 2",5,IF(BT66="Less than 1.5",10,0)))</f>
        <v/>
      </c>
      <c r="BV66" s="31" t="inlineStr">
        <is>
          <t>Above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IF(B67=0,"",RANK(B67,$B$2:$B$184,0))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SOMANYCERA</t>
        </is>
      </c>
      <c r="D67" s="31" t="inlineStr">
        <is>
          <t>Somany Ceramics Limited</t>
        </is>
      </c>
      <c r="E67" s="31" t="inlineStr">
        <is>
          <t>building materials</t>
        </is>
      </c>
      <c r="F67" s="31" t="inlineStr">
        <is>
          <t>ceramics - tiles / sanitaryware</t>
        </is>
      </c>
      <c r="G67" s="31" t="inlineStr">
        <is>
          <t>smallcap</t>
        </is>
      </c>
      <c r="H67" s="32" t="n">
        <v>2258.99</v>
      </c>
      <c r="I67" s="32" t="n">
        <v>555.15</v>
      </c>
      <c r="J67" s="32" t="n">
        <v>0.79</v>
      </c>
      <c r="K67" s="32" t="n">
        <v>103578</v>
      </c>
      <c r="L67" s="31" t="inlineStr"/>
      <c r="M67" s="31" t="inlineStr"/>
      <c r="N67" s="32">
        <f>IF(M67="Underperforming",-5,IF(L67&gt;=95,15,IF(L67&gt;=90,10,IF(L67&gt;=80,5,0))))</f>
        <v/>
      </c>
      <c r="O67" s="32" t="n">
        <v>62.9</v>
      </c>
      <c r="P67" s="32" t="n">
        <v>32.55</v>
      </c>
      <c r="Q67" s="32" t="n">
        <v>449.29</v>
      </c>
      <c r="R67" s="31" t="inlineStr">
        <is>
          <t>Near 52W High Breakout</t>
        </is>
      </c>
      <c r="S67" s="31" t="inlineStr">
        <is>
          <t>Nifty Infra</t>
        </is>
      </c>
      <c r="T67" s="32" t="inlineStr"/>
      <c r="U67" s="32" t="inlineStr"/>
      <c r="V67" s="32" t="inlineStr"/>
      <c r="W67" s="32" t="inlineStr"/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IF(B68=0,"",RANK(B68,$B$2:$B$184,0))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VALIANTORG</t>
        </is>
      </c>
      <c r="D68" s="31" t="inlineStr">
        <is>
          <t>Valiant Organics Ltd</t>
        </is>
      </c>
      <c r="E68" s="31" t="inlineStr">
        <is>
          <t>chemicals</t>
        </is>
      </c>
      <c r="F68" s="31" t="inlineStr">
        <is>
          <t>chemicals</t>
        </is>
      </c>
      <c r="G68" s="31" t="inlineStr">
        <is>
          <t>smallcap</t>
        </is>
      </c>
      <c r="H68" s="32" t="n">
        <v>1088.72</v>
      </c>
      <c r="I68" s="32" t="n">
        <v>389</v>
      </c>
      <c r="J68" s="32" t="n">
        <v>0.17</v>
      </c>
      <c r="K68" s="32" t="n">
        <v>58340</v>
      </c>
      <c r="L68" s="31" t="n">
        <v>31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68.13</v>
      </c>
      <c r="P68" s="32" t="n">
        <v>39.03</v>
      </c>
      <c r="Q68" s="32" t="n">
        <v>289.95</v>
      </c>
      <c r="R68" s="31" t="inlineStr">
        <is>
          <t>Near 52W High Breakout</t>
        </is>
      </c>
      <c r="S68" s="31" t="inlineStr">
        <is>
          <t>Nifty 50</t>
        </is>
      </c>
      <c r="T68" s="32" t="n">
        <v>-8.33</v>
      </c>
      <c r="U68" s="32" t="n">
        <v>4.96</v>
      </c>
      <c r="V68" s="32" t="n">
        <v>14.5</v>
      </c>
      <c r="W68" s="32" t="n">
        <v>9.75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20 to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Above 70%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IF(B69=0,"",RANK(B69,$B$2:$B$184,0))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ACMESOLAR</t>
        </is>
      </c>
      <c r="D69" s="31" t="inlineStr">
        <is>
          <t>ACME Solar Holdings Ltd</t>
        </is>
      </c>
      <c r="E69" s="31" t="inlineStr">
        <is>
          <t>realty</t>
        </is>
      </c>
      <c r="F69" s="31" t="inlineStr">
        <is>
          <t>engineering - turnkey services</t>
        </is>
      </c>
      <c r="G69" s="31" t="inlineStr">
        <is>
          <t>largecap</t>
        </is>
      </c>
      <c r="H69" s="32" t="n">
        <v>29717</v>
      </c>
      <c r="I69" s="32" t="n">
        <v>418</v>
      </c>
      <c r="J69" s="32" t="n">
        <v>-0.57</v>
      </c>
      <c r="K69" s="32" t="n">
        <v>1349732</v>
      </c>
      <c r="L69" s="31" t="inlineStr"/>
      <c r="M69" s="31" t="inlineStr"/>
      <c r="N69" s="32">
        <f>IF(M69="Underperforming",-5,IF(L69&gt;=95,15,IF(L69&gt;=90,10,IF(L69&gt;=80,5,0))))</f>
        <v/>
      </c>
      <c r="O69" s="32" t="n">
        <v>68.69</v>
      </c>
      <c r="P69" s="32" t="n">
        <v>49.44</v>
      </c>
      <c r="Q69" s="32" t="n">
        <v>325.61</v>
      </c>
      <c r="R69" s="31" t="inlineStr">
        <is>
          <t>Near 52W High Breakout</t>
        </is>
      </c>
      <c r="S69" s="31" t="inlineStr">
        <is>
          <t>Nifty Realty</t>
        </is>
      </c>
      <c r="T69" s="32" t="inlineStr"/>
      <c r="U69" s="32" t="inlineStr"/>
      <c r="V69" s="32" t="inlineStr"/>
      <c r="W69" s="32" t="inlineStr"/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One Time, Lower Annuity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Between 50 to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Above 70%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More than 1.2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IF(B70=0,"",RANK(B70,$B$2:$B$184,0))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THEJO</t>
        </is>
      </c>
      <c r="D70" s="31" t="inlineStr">
        <is>
          <t>Thejo Engineering Ltd</t>
        </is>
      </c>
      <c r="E70" s="31" t="inlineStr">
        <is>
          <t>industrials</t>
        </is>
      </c>
      <c r="F70" s="31" t="inlineStr">
        <is>
          <t>engineering</t>
        </is>
      </c>
      <c r="G70" s="31" t="inlineStr">
        <is>
          <t>smallcap</t>
        </is>
      </c>
      <c r="H70" s="32" t="n">
        <v>2359.54</v>
      </c>
      <c r="I70" s="32" t="n">
        <v>2156.8</v>
      </c>
      <c r="J70" s="32" t="n">
        <v>-0.85</v>
      </c>
      <c r="K70" s="32" t="n">
        <v>4749</v>
      </c>
      <c r="L70" s="31" t="n">
        <v>24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63.63</v>
      </c>
      <c r="P70" s="32" t="n">
        <v>39.2</v>
      </c>
      <c r="Q70" s="32" t="n">
        <v>1745.88</v>
      </c>
      <c r="R70" s="31" t="inlineStr">
        <is>
          <t>Near 52W High Breakout</t>
        </is>
      </c>
      <c r="S70" s="31" t="inlineStr">
        <is>
          <t>Nifty 50</t>
        </is>
      </c>
      <c r="T70" s="32" t="n">
        <v>-8.33</v>
      </c>
      <c r="U70" s="32" t="n">
        <v>14.24</v>
      </c>
      <c r="V70" s="32" t="n">
        <v>24.62</v>
      </c>
      <c r="W70" s="32" t="n">
        <v>7.29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IF(B71=0,"",RANK(B71,$B$2:$B$184,0))</f>
        <v/>
      </c>
      <c r="B71" s="32">
        <f>SUM(N71,Y71,AA71,AC71,AE71,AG71,AI71,AK71,AM71,AO71,AQ71,AS71,AU71,AW71,AY71,BA71,BC71,BE71,BG71,BI71,BK71,BM71,BO71,BQ71,BS71,BU71,BW71,BY71,CA71,CC71,CE71)</f>
        <v/>
      </c>
      <c r="C71" s="31" t="inlineStr">
        <is>
          <t>WHEELS</t>
        </is>
      </c>
      <c r="D71" s="31" t="inlineStr">
        <is>
          <t>Wheels India Limited</t>
        </is>
      </c>
      <c r="E71" s="31" t="inlineStr">
        <is>
          <t>auto</t>
        </is>
      </c>
      <c r="F71" s="31" t="inlineStr">
        <is>
          <t>auto ancillaries</t>
        </is>
      </c>
      <c r="G71" s="31" t="inlineStr">
        <is>
          <t>midcap</t>
        </is>
      </c>
      <c r="H71" s="32" t="n">
        <v>5202.03</v>
      </c>
      <c r="I71" s="32" t="n">
        <v>2110.5</v>
      </c>
      <c r="J71" s="32" t="n">
        <v>-0.87</v>
      </c>
      <c r="K71" s="32" t="n">
        <v>240307</v>
      </c>
      <c r="L71" s="31" t="inlineStr"/>
      <c r="M71" s="31" t="inlineStr"/>
      <c r="N71" s="32">
        <f>IF(M71="Underperforming",-5,IF(L71&gt;=95,15,IF(L71&gt;=90,10,IF(L71&gt;=80,5,0))))</f>
        <v/>
      </c>
      <c r="O71" s="32" t="n">
        <v>72.84999999999999</v>
      </c>
      <c r="P71" s="32" t="n">
        <v>57.13</v>
      </c>
      <c r="Q71" s="32" t="n">
        <v>1655.31</v>
      </c>
      <c r="R71" s="31" t="inlineStr">
        <is>
          <t>Earnings / Momentum Support</t>
        </is>
      </c>
      <c r="S71" s="31" t="inlineStr">
        <is>
          <t>Nifty Auto</t>
        </is>
      </c>
      <c r="T71" s="32" t="inlineStr"/>
      <c r="U71" s="32" t="inlineStr"/>
      <c r="V71" s="32" t="inlineStr"/>
      <c r="W71" s="32" t="inlineStr"/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No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Less than 1.5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Between 0.7 to 1.2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IF(B72=0,"",RANK(B72,$B$2:$B$184,0))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KROSS</t>
        </is>
      </c>
      <c r="D72" s="31" t="inlineStr">
        <is>
          <t>Kross Ltd</t>
        </is>
      </c>
      <c r="E72" s="31" t="inlineStr">
        <is>
          <t>auto</t>
        </is>
      </c>
      <c r="F72" s="31" t="inlineStr">
        <is>
          <t>auto ancillaries</t>
        </is>
      </c>
      <c r="G72" s="31" t="inlineStr">
        <is>
          <t>smallcap</t>
        </is>
      </c>
      <c r="H72" s="32" t="n">
        <v>1476.43</v>
      </c>
      <c r="I72" s="32" t="n">
        <v>225.86</v>
      </c>
      <c r="J72" s="32" t="n">
        <v>-1.32</v>
      </c>
      <c r="K72" s="32" t="n">
        <v>554517</v>
      </c>
      <c r="L72" s="31" t="inlineStr"/>
      <c r="M72" s="31" t="inlineStr"/>
      <c r="N72" s="32">
        <f>IF(M72="Underperforming",-5,IF(L72&gt;=95,15,IF(L72&gt;=90,10,IF(L72&gt;=80,5,0))))</f>
        <v/>
      </c>
      <c r="O72" s="32" t="n">
        <v>59.8</v>
      </c>
      <c r="P72" s="32" t="n">
        <v>29.91</v>
      </c>
      <c r="Q72" s="32" t="n">
        <v>181.65</v>
      </c>
      <c r="R72" s="31" t="inlineStr">
        <is>
          <t>Earnings / Momentum Support</t>
        </is>
      </c>
      <c r="S72" s="31" t="inlineStr">
        <is>
          <t>Nifty Auto</t>
        </is>
      </c>
      <c r="T72" s="32" t="inlineStr"/>
      <c r="U72" s="32" t="inlineStr"/>
      <c r="V72" s="32" t="inlineStr"/>
      <c r="W72" s="32" t="inlineStr"/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No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Between 50 to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Close to 52 week high or retracement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Less than 1.5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IF(B73=0,"",RANK(B73,$B$2:$B$184,0))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RGL</t>
        </is>
      </c>
      <c r="D73" s="31" t="inlineStr">
        <is>
          <t>Renaissance Global Ltd</t>
        </is>
      </c>
      <c r="E73" s="31" t="inlineStr">
        <is>
          <t>consumer discretionary</t>
        </is>
      </c>
      <c r="F73" s="31" t="inlineStr">
        <is>
          <t>diamond cutting / jewellery</t>
        </is>
      </c>
      <c r="G73" s="31" t="inlineStr">
        <is>
          <t>smallcap</t>
        </is>
      </c>
      <c r="H73" s="32" t="n">
        <v>1629.53</v>
      </c>
      <c r="I73" s="32" t="n">
        <v>149.5</v>
      </c>
      <c r="J73" s="32" t="n">
        <v>-1.5</v>
      </c>
      <c r="K73" s="32" t="n">
        <v>585544</v>
      </c>
      <c r="L73" s="31" t="n">
        <v>46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68.55</v>
      </c>
      <c r="P73" s="32" t="n">
        <v>28.29</v>
      </c>
      <c r="Q73" s="32" t="n">
        <v>115.3</v>
      </c>
      <c r="R73" s="31" t="inlineStr">
        <is>
          <t>Near 52W High Breakout</t>
        </is>
      </c>
      <c r="S73" s="31" t="inlineStr">
        <is>
          <t>Nifty 50</t>
        </is>
      </c>
      <c r="T73" s="32" t="n">
        <v>-8.33</v>
      </c>
      <c r="U73" s="32" t="n">
        <v>24.33</v>
      </c>
      <c r="V73" s="32" t="n">
        <v>35.63</v>
      </c>
      <c r="W73" s="32" t="n">
        <v>13.46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Above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IF(B74=0,"",RANK(B74,$B$2:$B$184,0))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AEGISVOPAK</t>
        </is>
      </c>
      <c r="D74" s="31" t="inlineStr">
        <is>
          <t>Aegis Vopak Terminals Ltd</t>
        </is>
      </c>
      <c r="E74" s="31" t="inlineStr">
        <is>
          <t>transportation</t>
        </is>
      </c>
      <c r="F74" s="31" t="inlineStr">
        <is>
          <t>miscellaneous</t>
        </is>
      </c>
      <c r="G74" s="31" t="inlineStr">
        <is>
          <t>largecap</t>
        </is>
      </c>
      <c r="H74" s="32" t="n">
        <v>33461.34</v>
      </c>
      <c r="I74" s="32" t="n">
        <v>296.95</v>
      </c>
      <c r="J74" s="32" t="n">
        <v>-1.67</v>
      </c>
      <c r="K74" s="32" t="n">
        <v>1920715</v>
      </c>
      <c r="L74" s="31" t="n">
        <v>41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63.26</v>
      </c>
      <c r="P74" s="32" t="n">
        <v>44.76</v>
      </c>
      <c r="Q74" s="32" t="n">
        <v>218.8</v>
      </c>
      <c r="R74" s="31" t="inlineStr">
        <is>
          <t>Near 52W High Breakout</t>
        </is>
      </c>
      <c r="S74" s="31" t="inlineStr">
        <is>
          <t>Nifty 50</t>
        </is>
      </c>
      <c r="T74" s="32" t="n">
        <v>-8.33</v>
      </c>
      <c r="U74" s="32" t="n">
        <v>22.56</v>
      </c>
      <c r="V74" s="32" t="n">
        <v>33.69</v>
      </c>
      <c r="W74" s="32" t="n">
        <v>11.78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Above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Between 0.7 to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IF(B75=0,"",RANK(B75,$B$2:$B$184,0))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MENONBE</t>
        </is>
      </c>
      <c r="D75" s="31" t="inlineStr">
        <is>
          <t>Menon Bearings Limited</t>
        </is>
      </c>
      <c r="E75" s="31" t="inlineStr">
        <is>
          <t>auto</t>
        </is>
      </c>
      <c r="F75" s="31" t="inlineStr">
        <is>
          <t>auto ancillaries</t>
        </is>
      </c>
      <c r="G75" s="31" t="inlineStr">
        <is>
          <t>smallcap</t>
        </is>
      </c>
      <c r="H75" s="32" t="n">
        <v>1705.58</v>
      </c>
      <c r="I75" s="32" t="n">
        <v>297.15</v>
      </c>
      <c r="J75" s="32" t="n">
        <v>-2.37</v>
      </c>
      <c r="K75" s="32" t="n">
        <v>53188</v>
      </c>
      <c r="L75" s="31" t="inlineStr"/>
      <c r="M75" s="31" t="inlineStr"/>
      <c r="N75" s="32">
        <f>IF(M75="Underperforming",-5,IF(L75&gt;=95,15,IF(L75&gt;=90,10,IF(L75&gt;=80,5,0))))</f>
        <v/>
      </c>
      <c r="O75" s="32" t="n">
        <v>75.88</v>
      </c>
      <c r="P75" s="32" t="n">
        <v>65.25</v>
      </c>
      <c r="Q75" s="32" t="n">
        <v>241.1</v>
      </c>
      <c r="R75" s="31" t="inlineStr">
        <is>
          <t>Earnings / Momentum Support</t>
        </is>
      </c>
      <c r="S75" s="31" t="inlineStr">
        <is>
          <t>Nifty Auto</t>
        </is>
      </c>
      <c r="T75" s="32" t="inlineStr"/>
      <c r="U75" s="32" t="inlineStr"/>
      <c r="V75" s="32" t="inlineStr"/>
      <c r="W75" s="32" t="inlineStr"/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Above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No</t>
        </is>
      </c>
      <c r="BS75" s="31">
        <f>IF(BR75="NO",5,0)</f>
        <v/>
      </c>
      <c r="BT75" s="31" t="inlineStr">
        <is>
          <t>Less than 1.5</t>
        </is>
      </c>
      <c r="BU75" s="31">
        <f>IF(BT75="Above 2",0,IF(BT75="Between 1.5 to 2",5,IF(BT75="Less than 1.5",10,0)))</f>
        <v/>
      </c>
      <c r="BV75" s="31" t="inlineStr">
        <is>
          <t>Above 70%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IF(B76=0,"",RANK(B76,$B$2:$B$184,0))</f>
        <v/>
      </c>
      <c r="B76" s="32">
        <f>SUM(N76,Y76,AA76,AC76,AE76,AG76,AI76,AK76,AM76,AO76,AQ76,AS76,AU76,AW76,AY76,BA76,BC76,BE76,BG76,BI76,BK76,BM76,BO76,BQ76,BS76,BU76,BW76,BY76,CA76,CC76,CE76)</f>
        <v/>
      </c>
      <c r="C76" s="31" t="inlineStr">
        <is>
          <t>RML</t>
        </is>
      </c>
      <c r="D76" s="31" t="inlineStr">
        <is>
          <t>Rane (madras) Limited</t>
        </is>
      </c>
      <c r="E76" s="31" t="inlineStr">
        <is>
          <t>auto</t>
        </is>
      </c>
      <c r="F76" s="31" t="inlineStr">
        <is>
          <t>auto ancillaries</t>
        </is>
      </c>
      <c r="G76" s="31" t="inlineStr">
        <is>
          <t>smallcap</t>
        </is>
      </c>
      <c r="H76" s="32" t="n">
        <v>3610.79</v>
      </c>
      <c r="I76" s="32" t="n">
        <v>1268.1</v>
      </c>
      <c r="J76" s="32" t="n">
        <v>-2.94</v>
      </c>
      <c r="K76" s="32" t="n">
        <v>72986</v>
      </c>
      <c r="L76" s="31" t="inlineStr"/>
      <c r="M76" s="31" t="inlineStr"/>
      <c r="N76" s="32">
        <f>IF(M76="Underperforming",-5,IF(L76&gt;=95,15,IF(L76&gt;=90,10,IF(L76&gt;=80,5,0))))</f>
        <v/>
      </c>
      <c r="O76" s="32" t="n">
        <v>62.52</v>
      </c>
      <c r="P76" s="32" t="n">
        <v>54.28</v>
      </c>
      <c r="Q76" s="32" t="n">
        <v>1015.49</v>
      </c>
      <c r="R76" s="31" t="inlineStr">
        <is>
          <t>Earnings / Momentum Support</t>
        </is>
      </c>
      <c r="S76" s="31" t="inlineStr">
        <is>
          <t>Nifty Auto</t>
        </is>
      </c>
      <c r="T76" s="32" t="inlineStr"/>
      <c r="U76" s="32" t="inlineStr"/>
      <c r="V76" s="32" t="inlineStr"/>
      <c r="W76" s="32" t="inlineStr"/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Between 0.7 to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IF(B77=0,"",RANK(B77,$B$2:$B$184,0))</f>
        <v/>
      </c>
      <c r="B77" s="32">
        <f>SUM(N77,Y77,AA77,AC77,AE77,AG77,AI77,AK77,AM77,AO77,AQ77,AS77,AU77,AW77,AY77,BA77,BC77,BE77,BG77,BI77,BK77,BM77,BO77,BQ77,BS77,BU77,BW77,BY77,CA77,CC77,CE77)</f>
        <v/>
      </c>
      <c r="C77" s="31" t="inlineStr">
        <is>
          <t>ABDL</t>
        </is>
      </c>
      <c r="D77" s="31" t="inlineStr">
        <is>
          <t>Allied Blenders &amp; Distillers Ltd</t>
        </is>
      </c>
      <c r="E77" s="31" t="inlineStr">
        <is>
          <t>fmcg</t>
        </is>
      </c>
      <c r="F77" s="31" t="inlineStr">
        <is>
          <t>breweries &amp; distilleries</t>
        </is>
      </c>
      <c r="G77" s="31" t="inlineStr">
        <is>
          <t>midcap</t>
        </is>
      </c>
      <c r="H77" s="32" t="n">
        <v>17666.49</v>
      </c>
      <c r="I77" s="32" t="n">
        <v>647.55</v>
      </c>
      <c r="J77" s="32" t="n">
        <v>2.53</v>
      </c>
      <c r="K77" s="32" t="n">
        <v>1453879</v>
      </c>
      <c r="L77" s="31" t="inlineStr"/>
      <c r="M77" s="31" t="inlineStr"/>
      <c r="N77" s="32">
        <f>IF(M77="Underperforming",-5,IF(L77&gt;=95,15,IF(L77&gt;=90,10,IF(L77&gt;=80,5,0))))</f>
        <v/>
      </c>
      <c r="O77" s="32" t="n">
        <v>61.95</v>
      </c>
      <c r="P77" s="32" t="n">
        <v>24.68</v>
      </c>
      <c r="Q77" s="32" t="n">
        <v>515.84</v>
      </c>
      <c r="R77" s="31" t="inlineStr">
        <is>
          <t>Near 52W High Breakout</t>
        </is>
      </c>
      <c r="S77" s="31" t="inlineStr">
        <is>
          <t>Nifty FMCG</t>
        </is>
      </c>
      <c r="T77" s="32" t="inlineStr"/>
      <c r="U77" s="32" t="inlineStr"/>
      <c r="V77" s="32" t="inlineStr"/>
      <c r="W77" s="32" t="inlineStr"/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B2C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Annuity, Lower One Time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IF(B78=0,"",RANK(B78,$B$2:$B$184,0))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YATHARTH</t>
        </is>
      </c>
      <c r="D78" s="31" t="inlineStr">
        <is>
          <t>Yatharth Hospital &amp; Trauma Care Services Ltd</t>
        </is>
      </c>
      <c r="E78" s="31" t="inlineStr">
        <is>
          <t>healthcare</t>
        </is>
      </c>
      <c r="F78" s="31" t="inlineStr">
        <is>
          <t>healthcare</t>
        </is>
      </c>
      <c r="G78" s="31" t="inlineStr">
        <is>
          <t>midcap</t>
        </is>
      </c>
      <c r="H78" s="32" t="n">
        <v>9460.07</v>
      </c>
      <c r="I78" s="32" t="n">
        <v>982.3</v>
      </c>
      <c r="J78" s="32" t="n">
        <v>0.05</v>
      </c>
      <c r="K78" s="32" t="n">
        <v>259279</v>
      </c>
      <c r="L78" s="31" t="n">
        <v>29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66.98999999999999</v>
      </c>
      <c r="P78" s="32" t="n">
        <v>42.17</v>
      </c>
      <c r="Q78" s="32" t="n">
        <v>793.16</v>
      </c>
      <c r="R78" s="31" t="inlineStr">
        <is>
          <t>Near 52W High Breakout</t>
        </is>
      </c>
      <c r="S78" s="31" t="inlineStr">
        <is>
          <t>Nifty Pharma</t>
        </is>
      </c>
      <c r="T78" s="32" t="n">
        <v>15.25</v>
      </c>
      <c r="U78" s="32" t="n">
        <v>26.59</v>
      </c>
      <c r="V78" s="32" t="n">
        <v>9.84</v>
      </c>
      <c r="W78" s="32" t="n">
        <v>9.41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Yes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Annuity, Lower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Above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Less than 12%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Above 2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IF(B79=0,"",RANK(B79,$B$2:$B$184,0))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ENTERO</t>
        </is>
      </c>
      <c r="D79" s="31" t="inlineStr">
        <is>
          <t>Entero Healthcare Solutions Ltd</t>
        </is>
      </c>
      <c r="E79" s="31" t="inlineStr">
        <is>
          <t>healthcare</t>
        </is>
      </c>
      <c r="F79" s="31" t="inlineStr">
        <is>
          <t>trading</t>
        </is>
      </c>
      <c r="G79" s="31" t="inlineStr">
        <is>
          <t>midcap</t>
        </is>
      </c>
      <c r="H79" s="32" t="n">
        <v>7843.29</v>
      </c>
      <c r="I79" s="32" t="n">
        <v>1731.8</v>
      </c>
      <c r="J79" s="32" t="n">
        <v>-3.9</v>
      </c>
      <c r="K79" s="32" t="n">
        <v>236406</v>
      </c>
      <c r="L79" s="31" t="n">
        <v>70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70.58</v>
      </c>
      <c r="P79" s="32" t="n">
        <v>40.74</v>
      </c>
      <c r="Q79" s="32" t="n">
        <v>1431.71</v>
      </c>
      <c r="R79" s="31" t="inlineStr">
        <is>
          <t>Earnings / Momentum Support</t>
        </is>
      </c>
      <c r="S79" s="31" t="inlineStr">
        <is>
          <t>Nifty Pharma</t>
        </is>
      </c>
      <c r="T79" s="32" t="n">
        <v>15.25</v>
      </c>
      <c r="U79" s="32" t="n">
        <v>53.3</v>
      </c>
      <c r="V79" s="32" t="n">
        <v>33.01</v>
      </c>
      <c r="W79" s="32" t="n">
        <v>23.34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Yes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No</t>
        </is>
      </c>
      <c r="AQ79" s="31">
        <f>IF(AP79="Yes",10,0)</f>
        <v/>
      </c>
      <c r="AR79" s="31" t="inlineStr">
        <is>
          <t>Higher Annuity, Lower One Time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Above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Between 1.5 to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IF(B80=0,"",RANK(B80,$B$2:$B$184,0))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INDSWFTLAB</t>
        </is>
      </c>
      <c r="D80" s="31" t="inlineStr">
        <is>
          <t>Ind-swift Laboratories Limited</t>
        </is>
      </c>
      <c r="E80" s="31" t="inlineStr">
        <is>
          <t>healthcare</t>
        </is>
      </c>
      <c r="F80" s="31" t="inlineStr">
        <is>
          <t>pharmaceuticals - indian - bulk drugs &amp; formln</t>
        </is>
      </c>
      <c r="G80" s="31" t="inlineStr">
        <is>
          <t>smallcap</t>
        </is>
      </c>
      <c r="H80" s="32" t="n">
        <v>3293.67</v>
      </c>
      <c r="I80" s="32" t="n">
        <v>363.9</v>
      </c>
      <c r="J80" s="32" t="n">
        <v>-3.92</v>
      </c>
      <c r="K80" s="32" t="n">
        <v>1637019</v>
      </c>
      <c r="L80" s="31" t="n">
        <v>95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79.81</v>
      </c>
      <c r="P80" s="32" t="n">
        <v>74.68000000000001</v>
      </c>
      <c r="Q80" s="32" t="n">
        <v>283.04</v>
      </c>
      <c r="R80" s="31" t="inlineStr">
        <is>
          <t>Earnings / Momentum Support</t>
        </is>
      </c>
      <c r="S80" s="31" t="inlineStr">
        <is>
          <t>Nifty Pharma</t>
        </is>
      </c>
      <c r="T80" s="32" t="n">
        <v>15.25</v>
      </c>
      <c r="U80" s="32" t="n">
        <v>249.57</v>
      </c>
      <c r="V80" s="32" t="n">
        <v>203.31</v>
      </c>
      <c r="W80" s="32" t="n">
        <v>52.41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No</t>
        </is>
      </c>
      <c r="AQ80" s="31">
        <f>IF(AP80="Yes",10,0)</f>
        <v/>
      </c>
      <c r="AR80" s="31" t="inlineStr">
        <is>
          <t>Higher Annuity, Lower One Time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Above 40</t>
        </is>
      </c>
      <c r="AY80" s="31">
        <f>IF(AX80="Above 40",20,IF(AX80="20 to 40",10,IF(AX80="0 to 20",-5,0)))</f>
        <v/>
      </c>
      <c r="AZ80" s="31" t="inlineStr">
        <is>
          <t>Above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IF(B81=0,"",RANK(B81,$B$2:$B$184,0))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SUBEXLTD</t>
        </is>
      </c>
      <c r="D81" s="31" t="inlineStr">
        <is>
          <t>Subex Ltd</t>
        </is>
      </c>
      <c r="E81" s="31" t="inlineStr">
        <is>
          <t>i.t</t>
        </is>
      </c>
      <c r="F81" s="31" t="inlineStr">
        <is>
          <t>computers - software - medium / small</t>
        </is>
      </c>
      <c r="G81" s="31" t="inlineStr">
        <is>
          <t>smallcap</t>
        </is>
      </c>
      <c r="H81" s="32" t="n">
        <v>1148.73</v>
      </c>
      <c r="I81" s="32" t="n">
        <v>19.59</v>
      </c>
      <c r="J81" s="32" t="n">
        <v>-4.16</v>
      </c>
      <c r="K81" s="32" t="n">
        <v>15276187</v>
      </c>
      <c r="L81" s="31" t="n">
        <v>79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70.20999999999999</v>
      </c>
      <c r="P81" s="32" t="n">
        <v>40.85</v>
      </c>
      <c r="Q81" s="32" t="n">
        <v>15.03</v>
      </c>
      <c r="R81" s="31" t="inlineStr">
        <is>
          <t>Earnings / Momentum Support</t>
        </is>
      </c>
      <c r="S81" s="31" t="inlineStr">
        <is>
          <t>Nifty IT</t>
        </is>
      </c>
      <c r="T81" s="32" t="n">
        <v>-20.48</v>
      </c>
      <c r="U81" s="32" t="n">
        <v>48.41</v>
      </c>
      <c r="V81" s="32" t="n">
        <v>86.63</v>
      </c>
      <c r="W81" s="32" t="n">
        <v>28.24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No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Above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Between 12 to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IF(B82=0,"",RANK(B82,$B$2:$B$184,0))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MVGJL</t>
        </is>
      </c>
      <c r="D82" s="31" t="inlineStr">
        <is>
          <t>Manoj Vaibhav Gems N Jewellers Ltd</t>
        </is>
      </c>
      <c r="E82" s="31" t="inlineStr">
        <is>
          <t>consumer discretionary</t>
        </is>
      </c>
      <c r="F82" s="31" t="inlineStr">
        <is>
          <t>diamond cutting / jewellery</t>
        </is>
      </c>
      <c r="G82" s="31" t="inlineStr">
        <is>
          <t>smallcap</t>
        </is>
      </c>
      <c r="H82" s="32" t="n">
        <v>957.65</v>
      </c>
      <c r="I82" s="32" t="n">
        <v>207.16</v>
      </c>
      <c r="J82" s="32" t="n">
        <v>5.67</v>
      </c>
      <c r="K82" s="32" t="n">
        <v>672307</v>
      </c>
      <c r="L82" s="31" t="n">
        <v>37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67.51000000000001</v>
      </c>
      <c r="P82" s="32" t="n">
        <v>16.94</v>
      </c>
      <c r="Q82" s="32" t="n">
        <v>148.2</v>
      </c>
      <c r="R82" s="31" t="inlineStr">
        <is>
          <t>Near 52W High Breakout</t>
        </is>
      </c>
      <c r="S82" s="31" t="inlineStr">
        <is>
          <t>Nifty 50</t>
        </is>
      </c>
      <c r="T82" s="32" t="n">
        <v>-8.33</v>
      </c>
      <c r="U82" s="32" t="n">
        <v>2.51</v>
      </c>
      <c r="V82" s="32" t="n">
        <v>11.82</v>
      </c>
      <c r="W82" s="32" t="n">
        <v>10.49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0 to 20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IF(B83=0,"",RANK(B83,$B$2:$B$184,0))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SIGMAADV</t>
        </is>
      </c>
      <c r="D83" s="31" t="inlineStr">
        <is>
          <t>Sigma Advanced System Ltd</t>
        </is>
      </c>
      <c r="E83" s="31" t="inlineStr">
        <is>
          <t>aerospace &amp; defence</t>
        </is>
      </c>
      <c r="F83" s="31" t="inlineStr">
        <is>
          <t>electronics - components</t>
        </is>
      </c>
      <c r="G83" s="31" t="inlineStr">
        <is>
          <t>midcap</t>
        </is>
      </c>
      <c r="H83" s="32" t="n">
        <v>15058.31</v>
      </c>
      <c r="I83" s="32" t="n">
        <v>817.05</v>
      </c>
      <c r="J83" s="32" t="n">
        <v>2.82</v>
      </c>
      <c r="K83" s="32" t="n">
        <v>250590</v>
      </c>
      <c r="L83" s="31" t="n">
        <v>98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76.56999999999999</v>
      </c>
      <c r="P83" s="32" t="n">
        <v>64.08</v>
      </c>
      <c r="Q83" s="32" t="n">
        <v>611.15</v>
      </c>
      <c r="R83" s="31" t="inlineStr">
        <is>
          <t>Near 52W High Breakout</t>
        </is>
      </c>
      <c r="S83" s="31" t="inlineStr">
        <is>
          <t>Nifty 50</t>
        </is>
      </c>
      <c r="T83" s="32" t="n">
        <v>-8.33</v>
      </c>
      <c r="U83" s="32" t="n">
        <v>421.94</v>
      </c>
      <c r="V83" s="32" t="n">
        <v>469.36</v>
      </c>
      <c r="W83" s="32" t="n">
        <v>65.19</v>
      </c>
      <c r="X83" s="31" t="inlineStr">
        <is>
          <t>Growing Industry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Less than 12%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Yes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Above 70%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Between 0.7 to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IF(B84=0,"",RANK(B84,$B$2:$B$184,0))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CHEMBONDCH</t>
        </is>
      </c>
      <c r="D84" s="31" t="inlineStr">
        <is>
          <t>Chembond Chemicals Ltd</t>
        </is>
      </c>
      <c r="E84" s="31" t="inlineStr">
        <is>
          <t>chemicals</t>
        </is>
      </c>
      <c r="F84" s="31" t="inlineStr">
        <is>
          <t>chemicals</t>
        </is>
      </c>
      <c r="G84" s="31" t="inlineStr">
        <is>
          <t>smallcap</t>
        </is>
      </c>
      <c r="H84" s="32" t="n">
        <v>712.09</v>
      </c>
      <c r="I84" s="32" t="n">
        <v>270.75</v>
      </c>
      <c r="J84" s="32" t="n">
        <v>2.27</v>
      </c>
      <c r="K84" s="32" t="n">
        <v>6762</v>
      </c>
      <c r="L84" s="31" t="n">
        <v>59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65.45</v>
      </c>
      <c r="P84" s="32" t="n">
        <v>48.13</v>
      </c>
      <c r="Q84" s="32" t="n">
        <v>202.76</v>
      </c>
      <c r="R84" s="31" t="inlineStr">
        <is>
          <t>Near 52W High Breakout</t>
        </is>
      </c>
      <c r="S84" s="31" t="inlineStr">
        <is>
          <t>Nifty 50</t>
        </is>
      </c>
      <c r="T84" s="32" t="n">
        <v>-8.33</v>
      </c>
      <c r="U84" s="32" t="n">
        <v>45.68</v>
      </c>
      <c r="V84" s="32" t="n">
        <v>58.92</v>
      </c>
      <c r="W84" s="32" t="n">
        <v>18.35</v>
      </c>
      <c r="X84" s="31" t="inlineStr">
        <is>
          <t>Growing Industry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Blue sky scenario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No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IF(B85=0,"",RANK(B85,$B$2:$B$184,0))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TEXINFRA</t>
        </is>
      </c>
      <c r="D85" s="31" t="inlineStr">
        <is>
          <t>Texmaco Infrastructure &amp; Holdings Limited</t>
        </is>
      </c>
      <c r="E85" s="31" t="inlineStr">
        <is>
          <t>realty</t>
        </is>
      </c>
      <c r="F85" s="31" t="inlineStr">
        <is>
          <t>construction</t>
        </is>
      </c>
      <c r="G85" s="31" t="inlineStr">
        <is>
          <t>smallcap</t>
        </is>
      </c>
      <c r="H85" s="32" t="n">
        <v>1453.56</v>
      </c>
      <c r="I85" s="32" t="n">
        <v>116.25</v>
      </c>
      <c r="J85" s="32" t="n">
        <v>1.91</v>
      </c>
      <c r="K85" s="32" t="n">
        <v>173127</v>
      </c>
      <c r="L85" s="31" t="inlineStr"/>
      <c r="M85" s="31" t="inlineStr"/>
      <c r="N85" s="32">
        <f>IF(M85="Underperforming",-5,IF(L85&gt;=95,15,IF(L85&gt;=90,10,IF(L85&gt;=80,5,0))))</f>
        <v/>
      </c>
      <c r="O85" s="32" t="n">
        <v>65.04000000000001</v>
      </c>
      <c r="P85" s="32" t="n">
        <v>40.34</v>
      </c>
      <c r="Q85" s="32" t="n">
        <v>95.68000000000001</v>
      </c>
      <c r="R85" s="31" t="inlineStr">
        <is>
          <t>Near 52W High Breakout</t>
        </is>
      </c>
      <c r="S85" s="31" t="inlineStr">
        <is>
          <t>Nifty Realty</t>
        </is>
      </c>
      <c r="T85" s="32" t="inlineStr"/>
      <c r="U85" s="32" t="inlineStr"/>
      <c r="V85" s="32" t="inlineStr"/>
      <c r="W85" s="32" t="inlineStr"/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Above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Less than 12%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Above 2</t>
        </is>
      </c>
      <c r="BU85" s="31">
        <f>IF(BT85="Above 2",0,IF(BT85="Between 1.5 to 2",5,IF(BT85="Less than 1.5",10,0)))</f>
        <v/>
      </c>
      <c r="BV85" s="31" t="inlineStr">
        <is>
          <t>Above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IF(B86=0,"",RANK(B86,$B$2:$B$184,0))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DIACABS</t>
        </is>
      </c>
      <c r="D86" s="31" t="inlineStr">
        <is>
          <t>Diamond Power Infrastructure Ltd</t>
        </is>
      </c>
      <c r="E86" s="31" t="inlineStr">
        <is>
          <t>industrials</t>
        </is>
      </c>
      <c r="F86" s="31" t="inlineStr">
        <is>
          <t>cables - power</t>
        </is>
      </c>
      <c r="G86" s="31" t="inlineStr">
        <is>
          <t>largecap</t>
        </is>
      </c>
      <c r="H86" s="32" t="n">
        <v>23175.25</v>
      </c>
      <c r="I86" s="32" t="n">
        <v>394.75</v>
      </c>
      <c r="J86" s="32" t="n">
        <v>1.87</v>
      </c>
      <c r="K86" s="32" t="n">
        <v>1589608</v>
      </c>
      <c r="L86" s="31" t="inlineStr"/>
      <c r="M86" s="31" t="inlineStr"/>
      <c r="N86" s="32">
        <f>IF(M86="Underperforming",-5,IF(L86&gt;=95,15,IF(L86&gt;=90,10,IF(L86&gt;=80,5,0))))</f>
        <v/>
      </c>
      <c r="O86" s="32" t="n">
        <v>80.43000000000001</v>
      </c>
      <c r="P86" s="32" t="n">
        <v>67</v>
      </c>
      <c r="Q86" s="32" t="n">
        <v>302.14</v>
      </c>
      <c r="R86" s="31" t="inlineStr">
        <is>
          <t>Near 52W High Breakout</t>
        </is>
      </c>
      <c r="S86" s="31" t="inlineStr">
        <is>
          <t>Nifty Energy</t>
        </is>
      </c>
      <c r="T86" s="32" t="inlineStr"/>
      <c r="U86" s="32" t="inlineStr"/>
      <c r="V86" s="32" t="inlineStr"/>
      <c r="W86" s="32" t="inlineStr"/>
      <c r="X86" s="31" t="inlineStr">
        <is>
          <t>Cyclical in an Upturn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Above 40</t>
        </is>
      </c>
      <c r="AY86" s="31">
        <f>IF(AX86="Above 40",20,IF(AX86="20 to 40",10,IF(AX86="0 to 20",-5,0)))</f>
        <v/>
      </c>
      <c r="AZ86" s="31" t="inlineStr">
        <is>
          <t>Above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Above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IF(B87=0,"",RANK(B87,$B$2:$B$184,0))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EIMCOELECO</t>
        </is>
      </c>
      <c r="D87" s="31" t="inlineStr">
        <is>
          <t>Eimco Elecon (india) Limited</t>
        </is>
      </c>
      <c r="E87" s="31" t="inlineStr">
        <is>
          <t>industrials</t>
        </is>
      </c>
      <c r="F87" s="31" t="inlineStr">
        <is>
          <t>engineering</t>
        </is>
      </c>
      <c r="G87" s="31" t="inlineStr">
        <is>
          <t>smallcap</t>
        </is>
      </c>
      <c r="H87" s="32" t="n">
        <v>1293.39</v>
      </c>
      <c r="I87" s="32" t="n">
        <v>2277.1</v>
      </c>
      <c r="J87" s="32" t="n">
        <v>1.56</v>
      </c>
      <c r="K87" s="32" t="n">
        <v>58309</v>
      </c>
      <c r="L87" s="31" t="n">
        <v>43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71.65000000000001</v>
      </c>
      <c r="P87" s="32" t="n">
        <v>52.41</v>
      </c>
      <c r="Q87" s="32" t="n">
        <v>1822.5</v>
      </c>
      <c r="R87" s="31" t="inlineStr">
        <is>
          <t>Near 52W High Breakout</t>
        </is>
      </c>
      <c r="S87" s="31" t="inlineStr">
        <is>
          <t>Nifty 50</t>
        </is>
      </c>
      <c r="T87" s="32" t="n">
        <v>-8.33</v>
      </c>
      <c r="U87" s="32" t="n">
        <v>11.32</v>
      </c>
      <c r="V87" s="32" t="n">
        <v>21.44</v>
      </c>
      <c r="W87" s="32" t="n">
        <v>12.77</v>
      </c>
      <c r="X87" s="31" t="inlineStr">
        <is>
          <t>Cyclical in an Upturn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Above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Less than 12%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IF(B88=0,"",RANK(B88,$B$2:$B$184,0))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AVL</t>
        </is>
      </c>
      <c r="D88" s="31" t="inlineStr">
        <is>
          <t>Aditya Vision Ltd</t>
        </is>
      </c>
      <c r="E88" s="31" t="inlineStr">
        <is>
          <t>consumer discretionary</t>
        </is>
      </c>
      <c r="F88" s="31" t="inlineStr">
        <is>
          <t>trading</t>
        </is>
      </c>
      <c r="G88" s="31" t="inlineStr">
        <is>
          <t>midcap</t>
        </is>
      </c>
      <c r="H88" s="32" t="n">
        <v>7892.92</v>
      </c>
      <c r="I88" s="32" t="n">
        <v>620.6</v>
      </c>
      <c r="J88" s="32" t="n">
        <v>1.54</v>
      </c>
      <c r="K88" s="32" t="n">
        <v>133409</v>
      </c>
      <c r="L88" s="31" t="n">
        <v>13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59.06</v>
      </c>
      <c r="P88" s="32" t="n">
        <v>47.66</v>
      </c>
      <c r="Q88" s="32" t="n">
        <v>535.11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-8.33</v>
      </c>
      <c r="U88" s="32" t="n">
        <v>8.48</v>
      </c>
      <c r="V88" s="32" t="n">
        <v>18.34</v>
      </c>
      <c r="W88" s="32" t="n">
        <v>2.81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Yes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Above 70%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Between 0.7 to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IF(B89=0,"",RANK(B89,$B$2:$B$184,0))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SHREEJISPG</t>
        </is>
      </c>
      <c r="D89" s="31" t="inlineStr">
        <is>
          <t>Shreeji Shipping Global Ltd</t>
        </is>
      </c>
      <c r="E89" s="31" t="inlineStr">
        <is>
          <t>transportation</t>
        </is>
      </c>
      <c r="F89" s="31" t="inlineStr">
        <is>
          <t>shipping</t>
        </is>
      </c>
      <c r="G89" s="31" t="inlineStr">
        <is>
          <t>midcap</t>
        </is>
      </c>
      <c r="H89" s="32" t="n">
        <v>11143.61</v>
      </c>
      <c r="I89" s="32" t="n">
        <v>690.2</v>
      </c>
      <c r="J89" s="32" t="n">
        <v>0.91</v>
      </c>
      <c r="K89" s="32" t="n">
        <v>809303</v>
      </c>
      <c r="L89" s="31" t="n">
        <v>82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77.70999999999999</v>
      </c>
      <c r="P89" s="32" t="n">
        <v>56.32</v>
      </c>
      <c r="Q89" s="32" t="n">
        <v>563.84</v>
      </c>
      <c r="R89" s="31" t="inlineStr">
        <is>
          <t>Near 52W High Breakout</t>
        </is>
      </c>
      <c r="S89" s="31" t="inlineStr">
        <is>
          <t>Nifty 50</t>
        </is>
      </c>
      <c r="T89" s="32" t="n">
        <v>-8.33</v>
      </c>
      <c r="U89" s="32" t="n">
        <v>171.03</v>
      </c>
      <c r="V89" s="32" t="n">
        <v>195.65</v>
      </c>
      <c r="W89" s="32" t="n">
        <v>30.72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Yes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Above 40</t>
        </is>
      </c>
      <c r="AY89" s="31">
        <f>IF(AX89="Above 40",20,IF(AX89="20 to 40",10,IF(AX89="0 to 20",-5,0)))</f>
        <v/>
      </c>
      <c r="AZ89" s="31" t="inlineStr">
        <is>
          <t>Above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Blue sky scenario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Less than 12%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Above 2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IF(B90=0,"",RANK(B90,$B$2:$B$184,0))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KAMDHENU</t>
        </is>
      </c>
      <c r="D90" s="31" t="inlineStr">
        <is>
          <t>Kamdhenu Limited</t>
        </is>
      </c>
      <c r="E90" s="31" t="inlineStr">
        <is>
          <t>metals &amp; mining</t>
        </is>
      </c>
      <c r="F90" s="31" t="inlineStr">
        <is>
          <t>steel - medium / small</t>
        </is>
      </c>
      <c r="G90" s="31" t="inlineStr">
        <is>
          <t>smallcap</t>
        </is>
      </c>
      <c r="H90" s="32" t="n">
        <v>1089.76</v>
      </c>
      <c r="I90" s="32" t="n">
        <v>38.83</v>
      </c>
      <c r="J90" s="32" t="n">
        <v>0.44</v>
      </c>
      <c r="K90" s="32" t="n">
        <v>1085219</v>
      </c>
      <c r="L90" s="31" t="inlineStr"/>
      <c r="M90" s="31" t="inlineStr"/>
      <c r="N90" s="32">
        <f>IF(M90="Underperforming",-5,IF(L90&gt;=95,15,IF(L90&gt;=90,10,IF(L90&gt;=80,5,0))))</f>
        <v/>
      </c>
      <c r="O90" s="32" t="n">
        <v>72.66</v>
      </c>
      <c r="P90" s="32" t="n">
        <v>52.01</v>
      </c>
      <c r="Q90" s="32" t="n">
        <v>29.38</v>
      </c>
      <c r="R90" s="31" t="inlineStr">
        <is>
          <t>Near 52W High Breakout</t>
        </is>
      </c>
      <c r="S90" s="31" t="inlineStr">
        <is>
          <t>Nifty Metal</t>
        </is>
      </c>
      <c r="T90" s="32" t="inlineStr"/>
      <c r="U90" s="32" t="inlineStr"/>
      <c r="V90" s="32" t="inlineStr"/>
      <c r="W90" s="32" t="inlineStr"/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Cyclical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Volatile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Between 50 to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Close to 52 week high or retracement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More than 20%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Less than 1.5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IF(B91=0,"",RANK(B91,$B$2:$B$184,0))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MACPOWER</t>
        </is>
      </c>
      <c r="D91" s="31" t="inlineStr">
        <is>
          <t>Macpower CNC Machines Ltd</t>
        </is>
      </c>
      <c r="E91" s="31" t="inlineStr">
        <is>
          <t>industrials</t>
        </is>
      </c>
      <c r="F91" s="31" t="inlineStr">
        <is>
          <t>engineering</t>
        </is>
      </c>
      <c r="G91" s="31" t="inlineStr">
        <is>
          <t>smallcap</t>
        </is>
      </c>
      <c r="H91" s="32" t="n">
        <v>1883.08</v>
      </c>
      <c r="I91" s="32" t="n">
        <v>1889.6</v>
      </c>
      <c r="J91" s="32" t="n">
        <v>0.39</v>
      </c>
      <c r="K91" s="32" t="n">
        <v>53070</v>
      </c>
      <c r="L91" s="31" t="n">
        <v>83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71.09</v>
      </c>
      <c r="P91" s="32" t="n">
        <v>47.56</v>
      </c>
      <c r="Q91" s="32" t="n">
        <v>1464.88</v>
      </c>
      <c r="R91" s="31" t="inlineStr">
        <is>
          <t>Earnings / Momentum Support</t>
        </is>
      </c>
      <c r="S91" s="31" t="inlineStr">
        <is>
          <t>Nifty 50</t>
        </is>
      </c>
      <c r="T91" s="32" t="n">
        <v>-8.33</v>
      </c>
      <c r="U91" s="32" t="n">
        <v>117.79</v>
      </c>
      <c r="V91" s="32" t="n">
        <v>137.58</v>
      </c>
      <c r="W91" s="32" t="n">
        <v>31.85</v>
      </c>
      <c r="X91" s="31" t="inlineStr">
        <is>
          <t>Cyclical in an Upturn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No</t>
        </is>
      </c>
      <c r="AQ91" s="31">
        <f>IF(AP91="Yes",10,0)</f>
        <v/>
      </c>
      <c r="AR91" s="31" t="inlineStr">
        <is>
          <t>Higher One Time, Lower Annuity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Above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Above 2</t>
        </is>
      </c>
      <c r="BU91" s="31">
        <f>IF(BT91="Above 2",0,IF(BT91="Between 1.5 to 2",5,IF(BT91="Less than 1.5",10,0)))</f>
        <v/>
      </c>
      <c r="BV91" s="31" t="inlineStr">
        <is>
          <t>Above 70%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IF(B92=0,"",RANK(B92,$B$2:$B$184,0))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OAL</t>
        </is>
      </c>
      <c r="D92" s="31" t="inlineStr">
        <is>
          <t>Oriental Aromatics Ltd</t>
        </is>
      </c>
      <c r="E92" s="31" t="inlineStr">
        <is>
          <t>chemicals</t>
        </is>
      </c>
      <c r="F92" s="31" t="inlineStr">
        <is>
          <t>chemicals</t>
        </is>
      </c>
      <c r="G92" s="31" t="inlineStr">
        <is>
          <t>smallcap</t>
        </is>
      </c>
      <c r="H92" s="32" t="n">
        <v>1719.53</v>
      </c>
      <c r="I92" s="32" t="n">
        <v>508.85</v>
      </c>
      <c r="J92" s="32" t="n">
        <v>-0.41</v>
      </c>
      <c r="K92" s="32" t="n">
        <v>28836</v>
      </c>
      <c r="L92" s="31" t="n">
        <v>65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71.87</v>
      </c>
      <c r="P92" s="32" t="n">
        <v>35.2</v>
      </c>
      <c r="Q92" s="32" t="n">
        <v>384.61</v>
      </c>
      <c r="R92" s="31" t="inlineStr">
        <is>
          <t>Near 52W High Breakout</t>
        </is>
      </c>
      <c r="S92" s="31" t="inlineStr">
        <is>
          <t>Nifty 50</t>
        </is>
      </c>
      <c r="T92" s="32" t="n">
        <v>-8.33</v>
      </c>
      <c r="U92" s="32" t="n">
        <v>45.29</v>
      </c>
      <c r="V92" s="32" t="n">
        <v>58.49</v>
      </c>
      <c r="W92" s="32" t="n">
        <v>20.49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No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One Time, Lower Annuity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Close to 52 week high or retracement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Above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IF(B93=0,"",RANK(B93,$B$2:$B$184,0))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FCL</t>
        </is>
      </c>
      <c r="D93" s="31" t="inlineStr">
        <is>
          <t>Fineotex Chemical Limited</t>
        </is>
      </c>
      <c r="E93" s="31" t="inlineStr">
        <is>
          <t>chemicals</t>
        </is>
      </c>
      <c r="F93" s="31" t="inlineStr">
        <is>
          <t>chemicals</t>
        </is>
      </c>
      <c r="G93" s="31" t="inlineStr">
        <is>
          <t>midcap</t>
        </is>
      </c>
      <c r="H93" s="32" t="n">
        <v>6274.33</v>
      </c>
      <c r="I93" s="32" t="n">
        <v>53.07</v>
      </c>
      <c r="J93" s="32" t="n">
        <v>-1.5</v>
      </c>
      <c r="K93" s="32" t="n">
        <v>29438708</v>
      </c>
      <c r="L93" s="31" t="n">
        <v>78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70.63</v>
      </c>
      <c r="P93" s="32" t="n">
        <v>48.86</v>
      </c>
      <c r="Q93" s="32" t="n">
        <v>42.45</v>
      </c>
      <c r="R93" s="31" t="inlineStr">
        <is>
          <t>Earnings / Momentum Support</t>
        </is>
      </c>
      <c r="S93" s="31" t="inlineStr">
        <is>
          <t>Nifty 50</t>
        </is>
      </c>
      <c r="T93" s="32" t="n">
        <v>-8.33</v>
      </c>
      <c r="U93" s="32" t="n">
        <v>126.15</v>
      </c>
      <c r="V93" s="32" t="n">
        <v>146.7</v>
      </c>
      <c r="W93" s="32" t="n">
        <v>27.39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B2B</t>
        </is>
      </c>
      <c r="AO93" s="31">
        <f>IF(AN93="B2C",10,IF(AN93="B2B",5,0))</f>
        <v/>
      </c>
      <c r="AP93" s="31" t="inlineStr">
        <is>
          <t>No</t>
        </is>
      </c>
      <c r="AQ93" s="31">
        <f>IF(AP93="Yes",10,0)</f>
        <v/>
      </c>
      <c r="AR93" s="31" t="inlineStr">
        <is>
          <t>Higher One Time, Lower Annuity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Above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Close to 52 week high or retracement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More than 20%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Yes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Above 70%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IF(B94=0,"",RANK(B94,$B$2:$B$184,0))</f>
        <v/>
      </c>
      <c r="B94" s="32">
        <f>SUM(N94,Y94,AA94,AC94,AE94,AG94,AI94,AK94,AM94,AO94,AQ94,AS94,AU94,AW94,AY94,BA94,BC94,BE94,BG94,BI94,BK94,BM94,BO94,BQ94,BS94,BU94,BW94,BY94,CA94,CC94,CE94)</f>
        <v/>
      </c>
      <c r="C94" s="33" t="inlineStr">
        <is>
          <t>PCJEWELLER</t>
        </is>
      </c>
      <c r="D94" s="33" t="inlineStr">
        <is>
          <t>Pc Jeweller Limited</t>
        </is>
      </c>
      <c r="E94" s="31" t="inlineStr">
        <is>
          <t>consumer discretionary</t>
        </is>
      </c>
      <c r="F94" s="31" t="inlineStr">
        <is>
          <t>diamond cutting / jewellery</t>
        </is>
      </c>
      <c r="G94" s="31" t="inlineStr">
        <is>
          <t>midcap</t>
        </is>
      </c>
      <c r="H94" s="32" t="n">
        <v>12516.88</v>
      </c>
      <c r="I94" s="32" t="n">
        <v>12.64</v>
      </c>
      <c r="J94" s="32" t="n">
        <v>-1.94</v>
      </c>
      <c r="K94" s="32" t="n">
        <v>526445213</v>
      </c>
      <c r="L94" s="31" t="n">
        <v>28</v>
      </c>
      <c r="M94" s="31" t="inlineStr">
        <is>
          <t>Underperforming</t>
        </is>
      </c>
      <c r="N94" s="32">
        <f>IF(M94="Underperforming",-5,IF(L94&gt;=95,15,IF(L94&gt;=90,10,IF(L94&gt;=80,5,0))))</f>
        <v/>
      </c>
      <c r="O94" s="32" t="n">
        <v>64.14</v>
      </c>
      <c r="P94" s="32" t="n">
        <v>26.32</v>
      </c>
      <c r="Q94" s="32" t="n">
        <v>9.82</v>
      </c>
      <c r="R94" s="31" t="inlineStr">
        <is>
          <t>Earnings / Momentum Support</t>
        </is>
      </c>
      <c r="S94" s="31" t="inlineStr">
        <is>
          <t>Nifty 50</t>
        </is>
      </c>
      <c r="T94" s="32" t="n">
        <v>-8.33</v>
      </c>
      <c r="U94" s="32" t="n">
        <v>-9.91</v>
      </c>
      <c r="V94" s="32" t="n">
        <v>-1.72</v>
      </c>
      <c r="W94" s="32" t="n">
        <v>9.08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No</t>
        </is>
      </c>
      <c r="AQ94" s="31">
        <f>IF(AP94="Yes",10,0)</f>
        <v/>
      </c>
      <c r="AR94" s="31" t="inlineStr">
        <is>
          <t>Higher One Time, Lower Annuity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No</t>
        </is>
      </c>
      <c r="BS94" s="31">
        <f>IF(BR94="NO",5,0)</f>
        <v/>
      </c>
      <c r="BT94" s="31" t="inlineStr">
        <is>
          <t>Less than 1.5</t>
        </is>
      </c>
      <c r="BU94" s="31">
        <f>IF(BT94="Above 2",0,IF(BT94="Between 1.5 to 2",5,IF(BT94="Less than 1.5",10,0)))</f>
        <v/>
      </c>
      <c r="BV94" s="31" t="inlineStr">
        <is>
          <t>Above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IF(B95=0,"",RANK(B95,$B$2:$B$184,0))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NRAIL</t>
        </is>
      </c>
      <c r="D95" s="31" t="inlineStr">
        <is>
          <t>N R Agarwal Industries Ltd</t>
        </is>
      </c>
      <c r="E95" s="31" t="inlineStr">
        <is>
          <t>building materials</t>
        </is>
      </c>
      <c r="F95" s="31" t="inlineStr">
        <is>
          <t>paper</t>
        </is>
      </c>
      <c r="G95" s="31" t="inlineStr">
        <is>
          <t>smallcap</t>
        </is>
      </c>
      <c r="H95" s="32" t="n">
        <v>1087.27</v>
      </c>
      <c r="I95" s="32" t="n">
        <v>621.4</v>
      </c>
      <c r="J95" s="32" t="n">
        <v>-2.73</v>
      </c>
      <c r="K95" s="32" t="n">
        <v>31432</v>
      </c>
      <c r="L95" s="31" t="inlineStr"/>
      <c r="M95" s="31" t="inlineStr"/>
      <c r="N95" s="32">
        <f>IF(M95="Underperforming",-5,IF(L95&gt;=95,15,IF(L95&gt;=90,10,IF(L95&gt;=80,5,0))))</f>
        <v/>
      </c>
      <c r="O95" s="32" t="n">
        <v>67.97</v>
      </c>
      <c r="P95" s="32" t="n">
        <v>35.87</v>
      </c>
      <c r="Q95" s="32" t="n">
        <v>454.32</v>
      </c>
      <c r="R95" s="31" t="inlineStr">
        <is>
          <t>Near 52W High Breakout</t>
        </is>
      </c>
      <c r="S95" s="31" t="inlineStr">
        <is>
          <t>Nifty Infra</t>
        </is>
      </c>
      <c r="T95" s="32" t="inlineStr"/>
      <c r="U95" s="32" t="inlineStr"/>
      <c r="V95" s="32" t="inlineStr"/>
      <c r="W95" s="32" t="inlineStr"/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B2B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One Time, Lower Annuity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More than 20%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No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Above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Between 0.7 to 1.2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IF(B96=0,"",RANK(B96,$B$2:$B$184,0))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SETL</t>
        </is>
      </c>
      <c r="D96" s="31" t="inlineStr">
        <is>
          <t>Standard Enginnering Technology Ltd</t>
        </is>
      </c>
      <c r="E96" s="31" t="inlineStr">
        <is>
          <t>industrials</t>
        </is>
      </c>
      <c r="F96" s="31" t="inlineStr">
        <is>
          <t>engineering</t>
        </is>
      </c>
      <c r="G96" s="31" t="inlineStr">
        <is>
          <t>midcap</t>
        </is>
      </c>
      <c r="H96" s="32" t="n">
        <v>8872.389999999999</v>
      </c>
      <c r="I96" s="32" t="n">
        <v>422.55</v>
      </c>
      <c r="J96" s="32" t="n">
        <v>-4.99</v>
      </c>
      <c r="K96" s="32" t="n">
        <v>64549</v>
      </c>
      <c r="L96" s="31" t="n">
        <v>96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78.03</v>
      </c>
      <c r="P96" s="32" t="n">
        <v>72.28</v>
      </c>
      <c r="Q96" s="32" t="n">
        <v>365.05</v>
      </c>
      <c r="R96" s="31" t="inlineStr">
        <is>
          <t>Earnings / Momentum Support</t>
        </is>
      </c>
      <c r="S96" s="31" t="inlineStr">
        <is>
          <t>Nifty 50</t>
        </is>
      </c>
      <c r="T96" s="32" t="n">
        <v>-8.33</v>
      </c>
      <c r="U96" s="32" t="n">
        <v>117.56</v>
      </c>
      <c r="V96" s="32" t="n">
        <v>137.33</v>
      </c>
      <c r="W96" s="32" t="n">
        <v>53.71</v>
      </c>
      <c r="X96" s="31" t="inlineStr">
        <is>
          <t>Cyclical in an Upturn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No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No</t>
        </is>
      </c>
      <c r="AQ96" s="31">
        <f>IF(AP96="Yes",10,0)</f>
        <v/>
      </c>
      <c r="AR96" s="31" t="inlineStr">
        <is>
          <t>Higher One Time, Lower Annuity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Above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Close to 52 week high or retracement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More than 20%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Above 70%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IF(B97=0,"",RANK(B97,$B$2:$B$184,0))</f>
        <v/>
      </c>
      <c r="B97" s="32">
        <f>SUM(N97,Y97,AA97,AC97,AE97,AG97,AI97,AK97,AM97,AO97,AQ97,AS97,AU97,AW97,AY97,BA97,BC97,BE97,BG97,BI97,BK97,BM97,BO97,BQ97,BS97,BU97,BW97,BY97,CA97,CC97,CE97)</f>
        <v/>
      </c>
      <c r="C97" s="31" t="inlineStr">
        <is>
          <t>STAR</t>
        </is>
      </c>
      <c r="D97" s="31" t="inlineStr">
        <is>
          <t>Strides Shasun Limited</t>
        </is>
      </c>
      <c r="E97" s="31" t="inlineStr">
        <is>
          <t>healthcare</t>
        </is>
      </c>
      <c r="F97" s="31" t="inlineStr">
        <is>
          <t>pharmaceuticals - indian - bulk drugs &amp; formln</t>
        </is>
      </c>
      <c r="G97" s="31" t="inlineStr">
        <is>
          <t>midcap</t>
        </is>
      </c>
      <c r="H97" s="32" t="n">
        <v>10605.39</v>
      </c>
      <c r="I97" s="32" t="n">
        <v>1183.9</v>
      </c>
      <c r="J97" s="32" t="n">
        <v>2.89</v>
      </c>
      <c r="K97" s="32" t="n">
        <v>398309</v>
      </c>
      <c r="L97" s="31" t="n">
        <v>25</v>
      </c>
      <c r="M97" s="31" t="inlineStr">
        <is>
          <t>Outperforming</t>
        </is>
      </c>
      <c r="N97" s="32">
        <f>IF(M97="Underperforming",-5,IF(L97&gt;=95,15,IF(L97&gt;=90,10,IF(L97&gt;=80,5,0))))</f>
        <v/>
      </c>
      <c r="O97" s="32" t="n">
        <v>65.38</v>
      </c>
      <c r="P97" s="32" t="n">
        <v>12.87</v>
      </c>
      <c r="Q97" s="32" t="n">
        <v>908.55</v>
      </c>
      <c r="R97" s="31" t="inlineStr">
        <is>
          <t>Near 52W High Breakout</t>
        </is>
      </c>
      <c r="S97" s="31" t="inlineStr">
        <is>
          <t>Nifty Pharma</t>
        </is>
      </c>
      <c r="T97" s="32" t="n">
        <v>15.25</v>
      </c>
      <c r="U97" s="32" t="n">
        <v>36.56</v>
      </c>
      <c r="V97" s="32" t="n">
        <v>18.49</v>
      </c>
      <c r="W97" s="32" t="n">
        <v>8.199999999999999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Yes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0 to 20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Less than 1.5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IF(B98=0,"",RANK(B98,$B$2:$B$184,0))</f>
        <v/>
      </c>
      <c r="B98" s="32">
        <f>SUM(N98,Y98,AA98,AC98,AE98,AG98,AI98,AK98,AM98,AO98,AQ98,AS98,AU98,AW98,AY98,BA98,BC98,BE98,BG98,BI98,BK98,BM98,BO98,BQ98,BS98,BU98,BW98,BY98,CA98,CC98,CE98)</f>
        <v/>
      </c>
      <c r="C98" s="31" t="inlineStr">
        <is>
          <t>ZYDUSWELL</t>
        </is>
      </c>
      <c r="D98" s="31" t="inlineStr">
        <is>
          <t>Zydus Wellness Limited</t>
        </is>
      </c>
      <c r="E98" s="31" t="inlineStr">
        <is>
          <t>fmcg</t>
        </is>
      </c>
      <c r="F98" s="31" t="inlineStr">
        <is>
          <t>food - processing - indian</t>
        </is>
      </c>
      <c r="G98" s="31" t="inlineStr">
        <is>
          <t>midcap</t>
        </is>
      </c>
      <c r="H98" s="32" t="n">
        <v>17497.25</v>
      </c>
      <c r="I98" s="32" t="n">
        <v>551.8</v>
      </c>
      <c r="J98" s="32" t="n">
        <v>0.34</v>
      </c>
      <c r="K98" s="32" t="n">
        <v>164461</v>
      </c>
      <c r="L98" s="31" t="inlineStr"/>
      <c r="M98" s="31" t="inlineStr"/>
      <c r="N98" s="32">
        <f>IF(M98="Underperforming",-5,IF(L98&gt;=95,15,IF(L98&gt;=90,10,IF(L98&gt;=80,5,0))))</f>
        <v/>
      </c>
      <c r="O98" s="32" t="n">
        <v>57.85</v>
      </c>
      <c r="P98" s="32" t="n">
        <v>40.36</v>
      </c>
      <c r="Q98" s="32" t="n">
        <v>474.64</v>
      </c>
      <c r="R98" s="31" t="inlineStr">
        <is>
          <t>Earnings / Momentum Support</t>
        </is>
      </c>
      <c r="S98" s="31" t="inlineStr">
        <is>
          <t>Nifty FMCG</t>
        </is>
      </c>
      <c r="T98" s="32" t="inlineStr"/>
      <c r="U98" s="32" t="inlineStr"/>
      <c r="V98" s="32" t="inlineStr"/>
      <c r="W98" s="32" t="inlineStr"/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B2C</t>
        </is>
      </c>
      <c r="AO98" s="31">
        <f>IF(AN98="B2C",10,IF(AN98="B2B",5,0))</f>
        <v/>
      </c>
      <c r="AP98" s="31" t="inlineStr">
        <is>
          <t>No</t>
        </is>
      </c>
      <c r="AQ98" s="31">
        <f>IF(AP98="Yes",10,0)</f>
        <v/>
      </c>
      <c r="AR98" s="31" t="inlineStr">
        <is>
          <t>Higher Annuity, Lower One Time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Above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Less than 12%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IF(B99=0,"",RANK(B99,$B$2:$B$184,0))</f>
        <v/>
      </c>
      <c r="B99" s="32">
        <f>SUM(N99,Y99,AA99,AC99,AE99,AG99,AI99,AK99,AM99,AO99,AQ99,AS99,AU99,AW99,AY99,BA99,BC99,BE99,BG99,BI99,BK99,BM99,BO99,BQ99,BS99,BU99,BW99,BY99,CA99,CC99,CE99)</f>
        <v/>
      </c>
      <c r="C99" s="33" t="inlineStr">
        <is>
          <t>SOLARA</t>
        </is>
      </c>
      <c r="D99" s="33" t="inlineStr">
        <is>
          <t>Solara Active Pharma Sciences Ltd</t>
        </is>
      </c>
      <c r="E99" s="31" t="inlineStr">
        <is>
          <t>healthcare</t>
        </is>
      </c>
      <c r="F99" s="31" t="inlineStr">
        <is>
          <t>pharmaceuticals - indian - bulk drugs &amp; formln</t>
        </is>
      </c>
      <c r="G99" s="31" t="inlineStr">
        <is>
          <t>smallcap</t>
        </is>
      </c>
      <c r="H99" s="32" t="n">
        <v>3453.45</v>
      </c>
      <c r="I99" s="32" t="n">
        <v>711.5</v>
      </c>
      <c r="J99" s="32" t="n">
        <v>-0.6</v>
      </c>
      <c r="K99" s="32" t="n">
        <v>730185</v>
      </c>
      <c r="L99" s="31" t="n">
        <v>25</v>
      </c>
      <c r="M99" s="31" t="inlineStr">
        <is>
          <t>Underperforming</t>
        </is>
      </c>
      <c r="N99" s="32">
        <f>IF(M99="Underperforming",-5,IF(L99&gt;=95,15,IF(L99&gt;=90,10,IF(L99&gt;=80,5,0))))</f>
        <v/>
      </c>
      <c r="O99" s="32" t="n">
        <v>66.09</v>
      </c>
      <c r="P99" s="32" t="n">
        <v>30</v>
      </c>
      <c r="Q99" s="32" t="n">
        <v>556.04</v>
      </c>
      <c r="R99" s="31" t="inlineStr">
        <is>
          <t>Earnings / Momentum Support</t>
        </is>
      </c>
      <c r="S99" s="31" t="inlineStr">
        <is>
          <t>Nifty Pharma</t>
        </is>
      </c>
      <c r="T99" s="32" t="n">
        <v>15.25</v>
      </c>
      <c r="U99" s="32" t="n">
        <v>5.38</v>
      </c>
      <c r="V99" s="32" t="n">
        <v>-8.56</v>
      </c>
      <c r="W99" s="32" t="n">
        <v>8.25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Yes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No</t>
        </is>
      </c>
      <c r="AQ99" s="31">
        <f>IF(AP99="Yes",10,0)</f>
        <v/>
      </c>
      <c r="AR99" s="31" t="inlineStr">
        <is>
          <t>Higher Annuity, Lower One Time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More than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No</t>
        </is>
      </c>
      <c r="BS99" s="31">
        <f>IF(BR99="NO",5,0)</f>
        <v/>
      </c>
      <c r="BT99" s="31" t="inlineStr">
        <is>
          <t>Less than 1.5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IF(B100=0,"",RANK(B100,$B$2:$B$184,0))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STLNETWORK</t>
        </is>
      </c>
      <c r="D100" s="31" t="inlineStr">
        <is>
          <t>STL Networks Ltd</t>
        </is>
      </c>
      <c r="E100" s="31" t="inlineStr">
        <is>
          <t>telecom-service</t>
        </is>
      </c>
      <c r="F100" s="31" t="inlineStr">
        <is>
          <t>telecommunications - service provider</t>
        </is>
      </c>
      <c r="G100" s="31" t="inlineStr">
        <is>
          <t>smallcap</t>
        </is>
      </c>
      <c r="H100" s="32" t="n">
        <v>1815.64</v>
      </c>
      <c r="I100" s="32" t="n">
        <v>38.97</v>
      </c>
      <c r="J100" s="32" t="n">
        <v>4.76</v>
      </c>
      <c r="K100" s="32" t="n">
        <v>15347153</v>
      </c>
      <c r="L100" s="31" t="n">
        <v>57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76.37</v>
      </c>
      <c r="P100" s="32" t="n">
        <v>28.66</v>
      </c>
      <c r="Q100" s="32" t="n">
        <v>30.05</v>
      </c>
      <c r="R100" s="31" t="inlineStr">
        <is>
          <t>Volume Spike &amp; Near 52W High Breakout</t>
        </is>
      </c>
      <c r="S100" s="31" t="inlineStr">
        <is>
          <t>Nifty 50</t>
        </is>
      </c>
      <c r="T100" s="32" t="n">
        <v>-8.33</v>
      </c>
      <c r="U100" s="32" t="n">
        <v>32.87</v>
      </c>
      <c r="V100" s="32" t="n">
        <v>44.94</v>
      </c>
      <c r="W100" s="32" t="n">
        <v>17.42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Oligopoly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Yes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Above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More than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No</t>
        </is>
      </c>
      <c r="BS100" s="31">
        <f>IF(BR100="NO",5,0)</f>
        <v/>
      </c>
      <c r="BT100" s="31" t="inlineStr">
        <is>
          <t>Less than 1.5</t>
        </is>
      </c>
      <c r="BU100" s="31">
        <f>IF(BT100="Above 2",0,IF(BT100="Between 1.5 to 2",5,IF(BT100="Less than 1.5",10,0)))</f>
        <v/>
      </c>
      <c r="BV100" s="31" t="inlineStr">
        <is>
          <t>Above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Between 0.7 to 1.2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IF(B101=0,"",RANK(B101,$B$2:$B$184,0))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VSSL</t>
        </is>
      </c>
      <c r="D101" s="31" t="inlineStr">
        <is>
          <t>Vardhman Special Steels Limited</t>
        </is>
      </c>
      <c r="E101" s="31" t="inlineStr">
        <is>
          <t>metals &amp; mining</t>
        </is>
      </c>
      <c r="F101" s="31" t="inlineStr">
        <is>
          <t>steel - medium / small</t>
        </is>
      </c>
      <c r="G101" s="31" t="inlineStr">
        <is>
          <t>smallcap</t>
        </is>
      </c>
      <c r="H101" s="32" t="n">
        <v>3762.04</v>
      </c>
      <c r="I101" s="32" t="n">
        <v>405.85</v>
      </c>
      <c r="J101" s="32" t="n">
        <v>4.3</v>
      </c>
      <c r="K101" s="32" t="n">
        <v>383814</v>
      </c>
      <c r="L101" s="31" t="inlineStr"/>
      <c r="M101" s="31" t="inlineStr"/>
      <c r="N101" s="32">
        <f>IF(M101="Underperforming",-5,IF(L101&gt;=95,15,IF(L101&gt;=90,10,IF(L101&gt;=80,5,0))))</f>
        <v/>
      </c>
      <c r="O101" s="32" t="n">
        <v>83.39</v>
      </c>
      <c r="P101" s="32" t="n">
        <v>42.87</v>
      </c>
      <c r="Q101" s="32" t="n">
        <v>321.24</v>
      </c>
      <c r="R101" s="31" t="inlineStr">
        <is>
          <t>Near 52W High Breakout</t>
        </is>
      </c>
      <c r="S101" s="31" t="inlineStr">
        <is>
          <t>Nifty Metal</t>
        </is>
      </c>
      <c r="T101" s="32" t="inlineStr"/>
      <c r="U101" s="32" t="inlineStr"/>
      <c r="V101" s="32" t="inlineStr"/>
      <c r="W101" s="32" t="inlineStr"/>
      <c r="X101" s="31" t="inlineStr">
        <is>
          <t>Cyclical in an Upturn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Cyclical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Volatile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Above 40</t>
        </is>
      </c>
      <c r="AY101" s="31">
        <f>IF(AX101="Above 40",20,IF(AX101="20 to 40",10,IF(AX101="0 to 20",-5,0)))</f>
        <v/>
      </c>
      <c r="AZ101" s="31" t="inlineStr">
        <is>
          <t>Above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Blue sky scenario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Above 70%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IF(B102=0,"",RANK(B102,$B$2:$B$184,0))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WELENT</t>
        </is>
      </c>
      <c r="D102" s="31" t="inlineStr">
        <is>
          <t>Welspun Enterprises Limited</t>
        </is>
      </c>
      <c r="E102" s="31" t="inlineStr">
        <is>
          <t>realty</t>
        </is>
      </c>
      <c r="F102" s="31" t="inlineStr">
        <is>
          <t>construction</t>
        </is>
      </c>
      <c r="G102" s="31" t="inlineStr">
        <is>
          <t>midcap</t>
        </is>
      </c>
      <c r="H102" s="32" t="n">
        <v>10209.4</v>
      </c>
      <c r="I102" s="32" t="n">
        <v>768</v>
      </c>
      <c r="J102" s="32" t="n">
        <v>4.12</v>
      </c>
      <c r="K102" s="32" t="n">
        <v>590693</v>
      </c>
      <c r="L102" s="31" t="inlineStr"/>
      <c r="M102" s="31" t="inlineStr"/>
      <c r="N102" s="32">
        <f>IF(M102="Underperforming",-5,IF(L102&gt;=95,15,IF(L102&gt;=90,10,IF(L102&gt;=80,5,0))))</f>
        <v/>
      </c>
      <c r="O102" s="32" t="n">
        <v>71.98999999999999</v>
      </c>
      <c r="P102" s="32" t="n">
        <v>33.08</v>
      </c>
      <c r="Q102" s="32" t="n">
        <v>648.66</v>
      </c>
      <c r="R102" s="31" t="inlineStr">
        <is>
          <t>Volume Spike / Accumulation</t>
        </is>
      </c>
      <c r="S102" s="31" t="inlineStr">
        <is>
          <t>Nifty Realty</t>
        </is>
      </c>
      <c r="T102" s="32" t="inlineStr"/>
      <c r="U102" s="32" t="inlineStr"/>
      <c r="V102" s="32" t="inlineStr"/>
      <c r="W102" s="32" t="inlineStr"/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Yes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Less than 12%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Above 2</t>
        </is>
      </c>
      <c r="BU102" s="31">
        <f>IF(BT102="Above 2",0,IF(BT102="Between 1.5 to 2",5,IF(BT102="Less than 1.5",10,0)))</f>
        <v/>
      </c>
      <c r="BV102" s="31" t="inlineStr">
        <is>
          <t>Above 70%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IF(B103=0,"",RANK(B103,$B$2:$B$184,0))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PAYTM</t>
        </is>
      </c>
      <c r="D103" s="31" t="inlineStr">
        <is>
          <t>One 97 Communications Ltd</t>
        </is>
      </c>
      <c r="E103" s="31" t="inlineStr">
        <is>
          <t>i.t</t>
        </is>
      </c>
      <c r="F103" s="31" t="inlineStr">
        <is>
          <t>miscellaneous</t>
        </is>
      </c>
      <c r="G103" s="31" t="inlineStr">
        <is>
          <t>largecap</t>
        </is>
      </c>
      <c r="H103" s="32" t="n">
        <v>110778.3</v>
      </c>
      <c r="I103" s="32" t="n">
        <v>1790</v>
      </c>
      <c r="J103" s="32" t="n">
        <v>3.47</v>
      </c>
      <c r="K103" s="32" t="n">
        <v>15413025</v>
      </c>
      <c r="L103" s="31" t="n">
        <v>74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77.95999999999999</v>
      </c>
      <c r="P103" s="32" t="n">
        <v>30.31</v>
      </c>
      <c r="Q103" s="32" t="n">
        <v>1456.55</v>
      </c>
      <c r="R103" s="31" t="inlineStr">
        <is>
          <t>Near 52W High Breakout</t>
        </is>
      </c>
      <c r="S103" s="31" t="inlineStr">
        <is>
          <t>Nifty IT</t>
        </is>
      </c>
      <c r="T103" s="32" t="n">
        <v>-20.48</v>
      </c>
      <c r="U103" s="32" t="n">
        <v>52.06</v>
      </c>
      <c r="V103" s="32" t="n">
        <v>91.20999999999999</v>
      </c>
      <c r="W103" s="32" t="n">
        <v>24.84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Above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More than 20%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IF(B104=0,"",RANK(B104,$B$2:$B$184,0))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BIL</t>
        </is>
      </c>
      <c r="D104" s="31" t="inlineStr">
        <is>
          <t>Bhartiya International Limited</t>
        </is>
      </c>
      <c r="E104" s="31" t="inlineStr">
        <is>
          <t>consumer discretionary</t>
        </is>
      </c>
      <c r="F104" s="31" t="inlineStr">
        <is>
          <t>leather / leather products</t>
        </is>
      </c>
      <c r="G104" s="31" t="inlineStr">
        <is>
          <t>smallcap</t>
        </is>
      </c>
      <c r="H104" s="32" t="n">
        <v>1377.99</v>
      </c>
      <c r="I104" s="32" t="n">
        <v>1036.25</v>
      </c>
      <c r="J104" s="32" t="n">
        <v>0.85</v>
      </c>
      <c r="K104" s="32" t="n">
        <v>12435</v>
      </c>
      <c r="L104" s="31" t="n">
        <v>49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70.3</v>
      </c>
      <c r="P104" s="32" t="n">
        <v>25.67</v>
      </c>
      <c r="Q104" s="32" t="n">
        <v>794.29</v>
      </c>
      <c r="R104" s="31" t="inlineStr">
        <is>
          <t>Near 52W High Breakout</t>
        </is>
      </c>
      <c r="S104" s="31" t="inlineStr">
        <is>
          <t>Nifty 50</t>
        </is>
      </c>
      <c r="T104" s="32" t="n">
        <v>-8.33</v>
      </c>
      <c r="U104" s="32" t="n">
        <v>18.67</v>
      </c>
      <c r="V104" s="32" t="n">
        <v>29.45</v>
      </c>
      <c r="W104" s="32" t="n">
        <v>14.19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20 to 40</t>
        </is>
      </c>
      <c r="AY104" s="31">
        <f>IF(AX104="Above 40",20,IF(AX104="20 to 40",10,IF(AX104="0 to 20",-5,0)))</f>
        <v/>
      </c>
      <c r="AZ104" s="31" t="inlineStr">
        <is>
          <t>Between 50 to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Positive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Yes</t>
        </is>
      </c>
      <c r="BS104" s="31">
        <f>IF(BR104="NO",5,0)</f>
        <v/>
      </c>
      <c r="BT104" s="31" t="inlineStr">
        <is>
          <t>Above 2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Between 0.7 to 1.2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IF(B105=0,"",RANK(B105,$B$2:$B$184,0))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MGEL</t>
        </is>
      </c>
      <c r="D105" s="31" t="inlineStr">
        <is>
          <t>Mangalam Global Enterprise Ltd</t>
        </is>
      </c>
      <c r="E105" s="31" t="inlineStr">
        <is>
          <t>services</t>
        </is>
      </c>
      <c r="F105" s="31" t="inlineStr">
        <is>
          <t>trading</t>
        </is>
      </c>
      <c r="G105" s="31" t="inlineStr">
        <is>
          <t>smallcap</t>
        </is>
      </c>
      <c r="H105" s="32" t="n">
        <v>511.8</v>
      </c>
      <c r="I105" s="32" t="n">
        <v>15.6</v>
      </c>
      <c r="J105" s="32" t="n">
        <v>0.45</v>
      </c>
      <c r="K105" s="32" t="n">
        <v>226843</v>
      </c>
      <c r="L105" s="31" t="n">
        <v>14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55.8</v>
      </c>
      <c r="P105" s="32" t="n">
        <v>33.31</v>
      </c>
      <c r="Q105" s="32" t="n">
        <v>12.51</v>
      </c>
      <c r="R105" s="31" t="inlineStr">
        <is>
          <t>Earnings / Momentum Support</t>
        </is>
      </c>
      <c r="S105" s="31" t="inlineStr">
        <is>
          <t>Nifty 50</t>
        </is>
      </c>
      <c r="T105" s="32" t="n">
        <v>-8.33</v>
      </c>
      <c r="U105" s="32" t="n">
        <v>0.45</v>
      </c>
      <c r="V105" s="32" t="n">
        <v>9.57</v>
      </c>
      <c r="W105" s="32" t="n">
        <v>2.84</v>
      </c>
      <c r="X105" s="31" t="inlineStr">
        <is>
          <t>Growing Industry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No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20 to 40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Between 0.7 to 1.2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IF(B106=0,"",RANK(B106,$B$2:$B$184,0))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DYNAMATECH</t>
        </is>
      </c>
      <c r="D106" s="31" t="inlineStr">
        <is>
          <t>Dynamatic Technologies Limited</t>
        </is>
      </c>
      <c r="E106" s="31" t="inlineStr">
        <is>
          <t>aerospace &amp; defence</t>
        </is>
      </c>
      <c r="F106" s="31" t="inlineStr">
        <is>
          <t>engineering</t>
        </is>
      </c>
      <c r="G106" s="31" t="inlineStr">
        <is>
          <t>midcap</t>
        </is>
      </c>
      <c r="H106" s="32" t="n">
        <v>8197.950000000001</v>
      </c>
      <c r="I106" s="32" t="n">
        <v>12077</v>
      </c>
      <c r="J106" s="32" t="n">
        <v>0.05</v>
      </c>
      <c r="K106" s="32" t="n">
        <v>28785</v>
      </c>
      <c r="L106" s="31" t="n">
        <v>48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61.83</v>
      </c>
      <c r="P106" s="32" t="n">
        <v>24.65</v>
      </c>
      <c r="Q106" s="32" t="n">
        <v>9054.65</v>
      </c>
      <c r="R106" s="31" t="inlineStr">
        <is>
          <t>Near 52W High Breakout</t>
        </is>
      </c>
      <c r="S106" s="31" t="inlineStr">
        <is>
          <t>Nifty 50</t>
        </is>
      </c>
      <c r="T106" s="32" t="n">
        <v>-8.33</v>
      </c>
      <c r="U106" s="32" t="n">
        <v>67.88</v>
      </c>
      <c r="V106" s="32" t="n">
        <v>83.14</v>
      </c>
      <c r="W106" s="32" t="n">
        <v>13.6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20 to 40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Yes</t>
        </is>
      </c>
      <c r="BS106" s="31">
        <f>IF(BR106="NO",5,0)</f>
        <v/>
      </c>
      <c r="BT106" s="31" t="inlineStr">
        <is>
          <t>Above 2</t>
        </is>
      </c>
      <c r="BU106" s="31">
        <f>IF(BT106="Above 2",0,IF(BT106="Between 1.5 to 2",5,IF(BT106="Less than 1.5",10,0)))</f>
        <v/>
      </c>
      <c r="BV106" s="31" t="inlineStr">
        <is>
          <t>Above 70%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Between 0.7 to 1.2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IF(B107=0,"",RANK(B107,$B$2:$B$184,0))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RAYMOND</t>
        </is>
      </c>
      <c r="D107" s="31" t="inlineStr">
        <is>
          <t>Raymond Limited</t>
        </is>
      </c>
      <c r="E107" s="31" t="inlineStr">
        <is>
          <t>transportation</t>
        </is>
      </c>
      <c r="F107" s="31" t="inlineStr">
        <is>
          <t>transport - airlines</t>
        </is>
      </c>
      <c r="G107" s="31" t="inlineStr">
        <is>
          <t>midcap</t>
        </is>
      </c>
      <c r="H107" s="32" t="n">
        <v>6630.41</v>
      </c>
      <c r="I107" s="32" t="n">
        <v>993.9</v>
      </c>
      <c r="J107" s="32" t="n">
        <v>-0.21</v>
      </c>
      <c r="K107" s="32" t="n">
        <v>12662239</v>
      </c>
      <c r="L107" s="31" t="n">
        <v>81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81.67</v>
      </c>
      <c r="P107" s="32" t="n">
        <v>49.85</v>
      </c>
      <c r="Q107" s="32" t="n">
        <v>764.63</v>
      </c>
      <c r="R107" s="31" t="inlineStr">
        <is>
          <t>Volume Spike &amp; Near 52W High Breakout</t>
        </is>
      </c>
      <c r="S107" s="31" t="inlineStr">
        <is>
          <t>Nifty 50</t>
        </is>
      </c>
      <c r="T107" s="32" t="n">
        <v>-8.33</v>
      </c>
      <c r="U107" s="32" t="n">
        <v>60.16</v>
      </c>
      <c r="V107" s="32" t="n">
        <v>74.72</v>
      </c>
      <c r="W107" s="32" t="n">
        <v>30.49</v>
      </c>
      <c r="X107" s="31" t="inlineStr">
        <is>
          <t>Growing Industry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Above 40</t>
        </is>
      </c>
      <c r="AY107" s="31">
        <f>IF(AX107="Above 40",20,IF(AX107="20 to 40",10,IF(AX107="0 to 20",-5,0)))</f>
        <v/>
      </c>
      <c r="AZ107" s="31" t="inlineStr">
        <is>
          <t>Above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Less than 12%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Yes</t>
        </is>
      </c>
      <c r="BS107" s="31">
        <f>IF(BR107="NO",5,0)</f>
        <v/>
      </c>
      <c r="BT107" s="31" t="inlineStr">
        <is>
          <t>Above 2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IF(B108=0,"",RANK(B108,$B$2:$B$184,0))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MMP</t>
        </is>
      </c>
      <c r="D108" s="31" t="inlineStr">
        <is>
          <t>MMP Industries Ltd</t>
        </is>
      </c>
      <c r="E108" s="31" t="inlineStr">
        <is>
          <t>metals &amp; mining</t>
        </is>
      </c>
      <c r="F108" s="31" t="inlineStr">
        <is>
          <t>aluminium and aluminium products</t>
        </is>
      </c>
      <c r="G108" s="31" t="inlineStr">
        <is>
          <t>smallcap</t>
        </is>
      </c>
      <c r="H108" s="32" t="n">
        <v>866</v>
      </c>
      <c r="I108" s="32" t="n">
        <v>456.35</v>
      </c>
      <c r="J108" s="32" t="n">
        <v>-0.3</v>
      </c>
      <c r="K108" s="32" t="n">
        <v>64179</v>
      </c>
      <c r="L108" s="31" t="inlineStr"/>
      <c r="M108" s="31" t="inlineStr"/>
      <c r="N108" s="32">
        <f>IF(M108="Underperforming",-5,IF(L108&gt;=95,15,IF(L108&gt;=90,10,IF(L108&gt;=80,5,0))))</f>
        <v/>
      </c>
      <c r="O108" s="32" t="n">
        <v>80.2</v>
      </c>
      <c r="P108" s="32" t="n">
        <v>52.91</v>
      </c>
      <c r="Q108" s="32" t="n">
        <v>352.11</v>
      </c>
      <c r="R108" s="31" t="inlineStr">
        <is>
          <t>Near 52W High Breakout</t>
        </is>
      </c>
      <c r="S108" s="31" t="inlineStr">
        <is>
          <t>Nifty Metal</t>
        </is>
      </c>
      <c r="T108" s="32" t="inlineStr"/>
      <c r="U108" s="32" t="inlineStr"/>
      <c r="V108" s="32" t="inlineStr"/>
      <c r="W108" s="32" t="inlineStr"/>
      <c r="X108" s="31" t="inlineStr">
        <is>
          <t>Cyclical in an Upturn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Cyclical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Volatile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Above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Less than 1.5</t>
        </is>
      </c>
      <c r="BU108" s="31">
        <f>IF(BT108="Above 2",0,IF(BT108="Between 1.5 to 2",5,IF(BT108="Less than 1.5",10,0)))</f>
        <v/>
      </c>
      <c r="BV108" s="31" t="inlineStr">
        <is>
          <t>Above 70%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Less than 0.7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IF(B109=0,"",RANK(B109,$B$2:$B$184,0))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NEOGEN</t>
        </is>
      </c>
      <c r="D109" s="31" t="inlineStr">
        <is>
          <t>Neogen Chemicals Ltd</t>
        </is>
      </c>
      <c r="E109" s="31" t="inlineStr">
        <is>
          <t>chemicals</t>
        </is>
      </c>
      <c r="F109" s="31" t="inlineStr">
        <is>
          <t>chemicals</t>
        </is>
      </c>
      <c r="G109" s="31" t="inlineStr">
        <is>
          <t>midcap</t>
        </is>
      </c>
      <c r="H109" s="32" t="n">
        <v>6325.99</v>
      </c>
      <c r="I109" s="32" t="n">
        <v>2302.4</v>
      </c>
      <c r="J109" s="32" t="n">
        <v>-0.34</v>
      </c>
      <c r="K109" s="32" t="n">
        <v>239255</v>
      </c>
      <c r="L109" s="31" t="n">
        <v>51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65.95999999999999</v>
      </c>
      <c r="P109" s="32" t="n">
        <v>57.26</v>
      </c>
      <c r="Q109" s="32" t="n">
        <v>1779.58</v>
      </c>
      <c r="R109" s="31" t="inlineStr">
        <is>
          <t>Near 52W High Breakout</t>
        </is>
      </c>
      <c r="S109" s="31" t="inlineStr">
        <is>
          <t>Nifty 50</t>
        </is>
      </c>
      <c r="T109" s="32" t="n">
        <v>-8.33</v>
      </c>
      <c r="U109" s="32" t="n">
        <v>45.41</v>
      </c>
      <c r="V109" s="32" t="n">
        <v>58.63</v>
      </c>
      <c r="W109" s="32" t="n">
        <v>14.99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Above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More than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IF(B110=0,"",RANK(B110,$B$2:$B$184,0))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3" t="inlineStr">
        <is>
          <t>OPTIEMUS</t>
        </is>
      </c>
      <c r="D110" s="33" t="inlineStr">
        <is>
          <t>Optiemus Infracom Ltd</t>
        </is>
      </c>
      <c r="E110" s="31" t="inlineStr">
        <is>
          <t>telecom</t>
        </is>
      </c>
      <c r="F110" s="31" t="inlineStr">
        <is>
          <t>trading</t>
        </is>
      </c>
      <c r="G110" s="31" t="inlineStr">
        <is>
          <t>midcap</t>
        </is>
      </c>
      <c r="H110" s="32" t="n">
        <v>5454.62</v>
      </c>
      <c r="I110" s="32" t="n">
        <v>592.85</v>
      </c>
      <c r="J110" s="32" t="n">
        <v>-2</v>
      </c>
      <c r="K110" s="32" t="n">
        <v>419440</v>
      </c>
      <c r="L110" s="31" t="n">
        <v>27</v>
      </c>
      <c r="M110" s="31" t="inlineStr">
        <is>
          <t>Underperforming</t>
        </is>
      </c>
      <c r="N110" s="32">
        <f>IF(M110="Underperforming",-5,IF(L110&gt;=95,15,IF(L110&gt;=90,10,IF(L110&gt;=80,5,0))))</f>
        <v/>
      </c>
      <c r="O110" s="32" t="n">
        <v>61.26</v>
      </c>
      <c r="P110" s="32" t="n">
        <v>36.83</v>
      </c>
      <c r="Q110" s="32" t="n">
        <v>486.08</v>
      </c>
      <c r="R110" s="31" t="inlineStr">
        <is>
          <t>Volume Spike / Accumulation</t>
        </is>
      </c>
      <c r="S110" s="31" t="inlineStr">
        <is>
          <t>Nifty 50</t>
        </is>
      </c>
      <c r="T110" s="32" t="n">
        <v>-8.33</v>
      </c>
      <c r="U110" s="32" t="n">
        <v>-8.94</v>
      </c>
      <c r="V110" s="32" t="n">
        <v>-0.67</v>
      </c>
      <c r="W110" s="32" t="n">
        <v>8.949999999999999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Oligopoly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Yes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20 to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Close to 52 week high or retracement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More than 20%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Between 1.5 to 2</t>
        </is>
      </c>
      <c r="BU110" s="31">
        <f>IF(BT110="Above 2",0,IF(BT110="Between 1.5 to 2",5,IF(BT110="Less than 1.5",10,0)))</f>
        <v/>
      </c>
      <c r="BV110" s="31" t="inlineStr">
        <is>
          <t>Above 70%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IF(B111=0,"",RANK(B111,$B$2:$B$184,0))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SPECTRUM</t>
        </is>
      </c>
      <c r="D111" s="31" t="inlineStr">
        <is>
          <t>Spectrum Electrical Industries Ltd</t>
        </is>
      </c>
      <c r="E111" s="31" t="inlineStr">
        <is>
          <t>industrials</t>
        </is>
      </c>
      <c r="F111" s="31" t="inlineStr">
        <is>
          <t>electric equipment</t>
        </is>
      </c>
      <c r="G111" s="31" t="inlineStr">
        <is>
          <t>smallcap</t>
        </is>
      </c>
      <c r="H111" s="32" t="n">
        <v>4986.94</v>
      </c>
      <c r="I111" s="32" t="n">
        <v>3083.7</v>
      </c>
      <c r="J111" s="32" t="n">
        <v>-2.83</v>
      </c>
      <c r="K111" s="32" t="n">
        <v>19711</v>
      </c>
      <c r="L111" s="31" t="n">
        <v>85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78.51000000000001</v>
      </c>
      <c r="P111" s="32" t="n">
        <v>61.42</v>
      </c>
      <c r="Q111" s="32" t="n">
        <v>2258.76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-8.33</v>
      </c>
      <c r="U111" s="32" t="n">
        <v>122.23</v>
      </c>
      <c r="V111" s="32" t="n">
        <v>142.42</v>
      </c>
      <c r="W111" s="32" t="n">
        <v>34.67</v>
      </c>
      <c r="X111" s="31" t="inlineStr">
        <is>
          <t>Cyclical in an Upturn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Blue sky scenario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Above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Between 0.7 to 1.2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IF(B112=0,"",RANK(B112,$B$2:$B$184,0))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PVRINOX</t>
        </is>
      </c>
      <c r="D112" s="31" t="inlineStr">
        <is>
          <t>PVR Inox Ltd</t>
        </is>
      </c>
      <c r="E112" s="31" t="inlineStr">
        <is>
          <t>media</t>
        </is>
      </c>
      <c r="F112" s="31" t="inlineStr">
        <is>
          <t>entertainment / electronic media software</t>
        </is>
      </c>
      <c r="G112" s="31" t="inlineStr">
        <is>
          <t>midcap</t>
        </is>
      </c>
      <c r="H112" s="32" t="n">
        <v>11990.22</v>
      </c>
      <c r="I112" s="32" t="n">
        <v>1254.6</v>
      </c>
      <c r="J112" s="32" t="n">
        <v>2.75</v>
      </c>
      <c r="K112" s="32" t="n">
        <v>456245</v>
      </c>
      <c r="L112" s="31" t="n">
        <v>30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74.56</v>
      </c>
      <c r="P112" s="32" t="n">
        <v>27.5</v>
      </c>
      <c r="Q112" s="32" t="n">
        <v>1044.98</v>
      </c>
      <c r="R112" s="31" t="inlineStr">
        <is>
          <t>Near 52W High Breakout</t>
        </is>
      </c>
      <c r="S112" s="31" t="inlineStr">
        <is>
          <t>Nifty IT</t>
        </is>
      </c>
      <c r="T112" s="32" t="n">
        <v>-20.48</v>
      </c>
      <c r="U112" s="32" t="n">
        <v>12.43</v>
      </c>
      <c r="V112" s="32" t="n">
        <v>41.38</v>
      </c>
      <c r="W112" s="32" t="n">
        <v>9.74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Annuity, Lower One Time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20 to 40</t>
        </is>
      </c>
      <c r="AY112" s="31">
        <f>IF(AX112="Above 40",20,IF(AX112="20 to 40",10,IF(AX112="0 to 20",-5,0)))</f>
        <v/>
      </c>
      <c r="AZ112" s="31" t="inlineStr">
        <is>
          <t>Between 50 to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Close to 52 week high or retracement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Between 0.7 to 1.2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IF(B113=0,"",RANK(B113,$B$2:$B$184,0))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SOFTTECH</t>
        </is>
      </c>
      <c r="D113" s="31" t="inlineStr">
        <is>
          <t>Softtech Engineers Ltd</t>
        </is>
      </c>
      <c r="E113" s="31" t="inlineStr">
        <is>
          <t>i.t</t>
        </is>
      </c>
      <c r="F113" s="31" t="inlineStr">
        <is>
          <t>computers - software - medium / small</t>
        </is>
      </c>
      <c r="G113" s="31" t="inlineStr">
        <is>
          <t>smallcap</t>
        </is>
      </c>
      <c r="H113" s="32" t="n">
        <v>657.4299999999999</v>
      </c>
      <c r="I113" s="32" t="n">
        <v>476.9</v>
      </c>
      <c r="J113" s="32" t="n">
        <v>0.41</v>
      </c>
      <c r="K113" s="32" t="n">
        <v>9640</v>
      </c>
      <c r="L113" s="31" t="n">
        <v>39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68.31</v>
      </c>
      <c r="P113" s="32" t="n">
        <v>27.35</v>
      </c>
      <c r="Q113" s="32" t="n">
        <v>382.83</v>
      </c>
      <c r="R113" s="31" t="inlineStr">
        <is>
          <t>Near 52W High Breakout</t>
        </is>
      </c>
      <c r="S113" s="31" t="inlineStr">
        <is>
          <t>Nifty IT</t>
        </is>
      </c>
      <c r="T113" s="32" t="n">
        <v>-20.48</v>
      </c>
      <c r="U113" s="32" t="n">
        <v>27.94</v>
      </c>
      <c r="V113" s="32" t="n">
        <v>60.89</v>
      </c>
      <c r="W113" s="32" t="n">
        <v>10.69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Annuity, Lower One Time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Less than 12%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Yes</t>
        </is>
      </c>
      <c r="BS113" s="31">
        <f>IF(BR113="NO",5,0)</f>
        <v/>
      </c>
      <c r="BT113" s="31" t="inlineStr">
        <is>
          <t>Above 2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Less than 0.7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IF(B114=0,"",RANK(B114,$B$2:$B$184,0))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BLISSGVS</t>
        </is>
      </c>
      <c r="D114" s="31" t="inlineStr">
        <is>
          <t>Bliss Gvs Pharma Limited</t>
        </is>
      </c>
      <c r="E114" s="31" t="inlineStr">
        <is>
          <t>healthcare</t>
        </is>
      </c>
      <c r="F114" s="31" t="inlineStr">
        <is>
          <t>pharmaceuticals - indian - formulations</t>
        </is>
      </c>
      <c r="G114" s="31" t="inlineStr">
        <is>
          <t>midcap</t>
        </is>
      </c>
      <c r="H114" s="32" t="n">
        <v>7264.32</v>
      </c>
      <c r="I114" s="32" t="n">
        <v>680.5</v>
      </c>
      <c r="J114" s="32" t="n">
        <v>-0.65</v>
      </c>
      <c r="K114" s="32" t="n">
        <v>412619</v>
      </c>
      <c r="L114" s="31" t="n">
        <v>93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79.56</v>
      </c>
      <c r="P114" s="32" t="n">
        <v>73.23999999999999</v>
      </c>
      <c r="Q114" s="32" t="n">
        <v>561.84</v>
      </c>
      <c r="R114" s="31" t="inlineStr">
        <is>
          <t>Earnings / Momentum Support</t>
        </is>
      </c>
      <c r="S114" s="31" t="inlineStr">
        <is>
          <t>Nifty Pharma</t>
        </is>
      </c>
      <c r="T114" s="32" t="n">
        <v>15.25</v>
      </c>
      <c r="U114" s="32" t="n">
        <v>353.94</v>
      </c>
      <c r="V114" s="32" t="n">
        <v>293.87</v>
      </c>
      <c r="W114" s="32" t="n">
        <v>49.69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Yes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No</t>
        </is>
      </c>
      <c r="AQ114" s="31">
        <f>IF(AP114="Yes",10,0)</f>
        <v/>
      </c>
      <c r="AR114" s="31" t="inlineStr">
        <is>
          <t>Higher Annuity, Lower One Time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Above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Close to 52 week high or retracement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Between 12 to 20%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Above 70%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IF(B115=0,"",RANK(B115,$B$2:$B$184,0))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3" t="inlineStr">
        <is>
          <t>WINDLAS</t>
        </is>
      </c>
      <c r="D115" s="33" t="inlineStr">
        <is>
          <t>Windlas Biotech Ltd</t>
        </is>
      </c>
      <c r="E115" s="31" t="inlineStr">
        <is>
          <t>healthcare</t>
        </is>
      </c>
      <c r="F115" s="31" t="inlineStr">
        <is>
          <t>pharmaceuticals - indian - formulations</t>
        </is>
      </c>
      <c r="G115" s="31" t="inlineStr">
        <is>
          <t>smallcap</t>
        </is>
      </c>
      <c r="H115" s="32" t="n">
        <v>2266.17</v>
      </c>
      <c r="I115" s="32" t="n">
        <v>1075.05</v>
      </c>
      <c r="J115" s="32" t="n">
        <v>-2.1</v>
      </c>
      <c r="K115" s="32" t="n">
        <v>113547</v>
      </c>
      <c r="L115" s="31" t="n">
        <v>36</v>
      </c>
      <c r="M115" s="31" t="inlineStr">
        <is>
          <t>Underperforming</t>
        </is>
      </c>
      <c r="N115" s="32">
        <f>IF(M115="Underperforming",-5,IF(L115&gt;=95,15,IF(L115&gt;=90,10,IF(L115&gt;=80,5,0))))</f>
        <v/>
      </c>
      <c r="O115" s="32" t="n">
        <v>69.33</v>
      </c>
      <c r="P115" s="32" t="n">
        <v>33.26</v>
      </c>
      <c r="Q115" s="32" t="n">
        <v>899.0599999999999</v>
      </c>
      <c r="R115" s="31" t="inlineStr">
        <is>
          <t>Near 52W High Breakout</t>
        </is>
      </c>
      <c r="S115" s="31" t="inlineStr">
        <is>
          <t>Nifty Pharma</t>
        </is>
      </c>
      <c r="T115" s="32" t="n">
        <v>15.25</v>
      </c>
      <c r="U115" s="32" t="n">
        <v>12.4</v>
      </c>
      <c r="V115" s="32" t="n">
        <v>-2.47</v>
      </c>
      <c r="W115" s="32" t="n">
        <v>10.38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Yes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Annuity, Lower One Time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No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IF(B116=0,"",RANK(B116,$B$2:$B$184,0))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QPOWER</t>
        </is>
      </c>
      <c r="D116" s="31" t="inlineStr">
        <is>
          <t>Quality Power Electrical Equipments Ltd</t>
        </is>
      </c>
      <c r="E116" s="31" t="inlineStr">
        <is>
          <t>industrials</t>
        </is>
      </c>
      <c r="F116" s="31" t="inlineStr">
        <is>
          <t>electric equipment</t>
        </is>
      </c>
      <c r="G116" s="31" t="inlineStr">
        <is>
          <t>midcap</t>
        </is>
      </c>
      <c r="H116" s="32" t="n">
        <v>10495.22</v>
      </c>
      <c r="I116" s="32" t="n">
        <v>1422.9</v>
      </c>
      <c r="J116" s="32" t="n">
        <v>5</v>
      </c>
      <c r="K116" s="32" t="n">
        <v>493456</v>
      </c>
      <c r="L116" s="31" t="n">
        <v>43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63.03</v>
      </c>
      <c r="P116" s="32" t="n">
        <v>19.37</v>
      </c>
      <c r="Q116" s="32" t="n">
        <v>1085.91</v>
      </c>
      <c r="R116" s="31" t="inlineStr">
        <is>
          <t>Near 52W High Breakout</t>
        </is>
      </c>
      <c r="S116" s="31" t="inlineStr">
        <is>
          <t>Nifty 50</t>
        </is>
      </c>
      <c r="T116" s="32" t="n">
        <v>-8.33</v>
      </c>
      <c r="U116" s="32" t="n">
        <v>42.15</v>
      </c>
      <c r="V116" s="32" t="n">
        <v>55.06</v>
      </c>
      <c r="W116" s="32" t="n">
        <v>12.67</v>
      </c>
      <c r="X116" s="31" t="inlineStr">
        <is>
          <t>Cyclical in an Upturn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Yes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0 to 20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Blue sky scenario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Yes</t>
        </is>
      </c>
      <c r="BS116" s="31">
        <f>IF(BR116="NO",5,0)</f>
        <v/>
      </c>
      <c r="BT116" s="31" t="inlineStr">
        <is>
          <t>Between 1.5 to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IF(B117=0,"",RANK(B117,$B$2:$B$184,0))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AEGISLOG</t>
        </is>
      </c>
      <c r="D117" s="31" t="inlineStr">
        <is>
          <t>Aegis Logistics Ltd</t>
        </is>
      </c>
      <c r="E117" s="31" t="inlineStr">
        <is>
          <t>services</t>
        </is>
      </c>
      <c r="F117" s="31" t="inlineStr">
        <is>
          <t>trading</t>
        </is>
      </c>
      <c r="G117" s="31" t="inlineStr">
        <is>
          <t>largecap</t>
        </is>
      </c>
      <c r="H117" s="32" t="n">
        <v>46454.85</v>
      </c>
      <c r="I117" s="32" t="n">
        <v>1381.2</v>
      </c>
      <c r="J117" s="32" t="n">
        <v>4.36</v>
      </c>
      <c r="K117" s="32" t="n">
        <v>1953104</v>
      </c>
      <c r="L117" s="31" t="n">
        <v>69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66.17</v>
      </c>
      <c r="P117" s="32" t="n">
        <v>60.4</v>
      </c>
      <c r="Q117" s="32" t="n">
        <v>1034.14</v>
      </c>
      <c r="R117" s="31" t="inlineStr">
        <is>
          <t>Near 52W High Breakout</t>
        </is>
      </c>
      <c r="S117" s="31" t="inlineStr">
        <is>
          <t>Nifty 50</t>
        </is>
      </c>
      <c r="T117" s="32" t="n">
        <v>-8.33</v>
      </c>
      <c r="U117" s="32" t="n">
        <v>75.42</v>
      </c>
      <c r="V117" s="32" t="n">
        <v>91.36</v>
      </c>
      <c r="W117" s="32" t="n">
        <v>23.28</v>
      </c>
      <c r="X117" s="31" t="inlineStr">
        <is>
          <t>Growing Industry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Above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Negative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Blue sky scenario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No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IF(B118=0,"",RANK(B118,$B$2:$B$184,0))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GLOBAL</t>
        </is>
      </c>
      <c r="D118" s="31" t="inlineStr">
        <is>
          <t>Global Education Ltd</t>
        </is>
      </c>
      <c r="E118" s="31" t="inlineStr">
        <is>
          <t>services</t>
        </is>
      </c>
      <c r="F118" s="31" t="inlineStr">
        <is>
          <t>miscellaneous</t>
        </is>
      </c>
      <c r="G118" s="31" t="inlineStr">
        <is>
          <t>smallcap</t>
        </is>
      </c>
      <c r="H118" s="32" t="n">
        <v>642.53</v>
      </c>
      <c r="I118" s="32" t="n">
        <v>128.89</v>
      </c>
      <c r="J118" s="32" t="n">
        <v>2.11</v>
      </c>
      <c r="K118" s="32" t="n">
        <v>214392</v>
      </c>
      <c r="L118" s="31" t="n">
        <v>61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72.26000000000001</v>
      </c>
      <c r="P118" s="32" t="n">
        <v>35.64</v>
      </c>
      <c r="Q118" s="32" t="n">
        <v>97.81999999999999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-8.33</v>
      </c>
      <c r="U118" s="32" t="n">
        <v>89.64</v>
      </c>
      <c r="V118" s="32" t="n">
        <v>106.87</v>
      </c>
      <c r="W118" s="32" t="n">
        <v>18.46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Blue sky scenario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Less than 12%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No</t>
        </is>
      </c>
      <c r="BS118" s="31">
        <f>IF(BR118="NO",5,0)</f>
        <v/>
      </c>
      <c r="BT118" s="31" t="inlineStr">
        <is>
          <t>Above 2</t>
        </is>
      </c>
      <c r="BU118" s="31">
        <f>IF(BT118="Above 2",0,IF(BT118="Between 1.5 to 2",5,IF(BT118="Less than 1.5",10,0)))</f>
        <v/>
      </c>
      <c r="BV118" s="31" t="inlineStr">
        <is>
          <t>Less than 50%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Less than 0.7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IF(B119=0,"",RANK(B119,$B$2:$B$184,0))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TNPETRO</t>
        </is>
      </c>
      <c r="D119" s="31" t="inlineStr">
        <is>
          <t>Tamilnadu Petroproducts Limited</t>
        </is>
      </c>
      <c r="E119" s="31" t="inlineStr">
        <is>
          <t>energy</t>
        </is>
      </c>
      <c r="F119" s="31" t="inlineStr">
        <is>
          <t>petrochemicals</t>
        </is>
      </c>
      <c r="G119" s="31" t="inlineStr">
        <is>
          <t>smallcap</t>
        </is>
      </c>
      <c r="H119" s="32" t="n">
        <v>1131.03</v>
      </c>
      <c r="I119" s="32" t="n">
        <v>127.72</v>
      </c>
      <c r="J119" s="32" t="n">
        <v>1.6</v>
      </c>
      <c r="K119" s="32" t="n">
        <v>947867</v>
      </c>
      <c r="L119" s="31" t="inlineStr"/>
      <c r="M119" s="31" t="inlineStr"/>
      <c r="N119" s="32">
        <f>IF(M119="Underperforming",-5,IF(L119&gt;=95,15,IF(L119&gt;=90,10,IF(L119&gt;=80,5,0))))</f>
        <v/>
      </c>
      <c r="O119" s="32" t="n">
        <v>71.87</v>
      </c>
      <c r="P119" s="32" t="n">
        <v>40.86</v>
      </c>
      <c r="Q119" s="32" t="n">
        <v>100.13</v>
      </c>
      <c r="R119" s="31" t="inlineStr">
        <is>
          <t>Near 52W High Breakout</t>
        </is>
      </c>
      <c r="S119" s="31" t="inlineStr">
        <is>
          <t>Nifty Energy</t>
        </is>
      </c>
      <c r="T119" s="32" t="inlineStr"/>
      <c r="U119" s="32" t="inlineStr"/>
      <c r="V119" s="32" t="inlineStr"/>
      <c r="W119" s="32" t="inlineStr"/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Oligopoly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Yes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Cyclical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Volatile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Above 40</t>
        </is>
      </c>
      <c r="AY119" s="31">
        <f>IF(AX119="Above 40",20,IF(AX119="20 to 40",10,IF(AX119="0 to 20",-5,0)))</f>
        <v/>
      </c>
      <c r="AZ119" s="31" t="inlineStr">
        <is>
          <t>Between 50 to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No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Above 70%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IF(B120=0,"",RANK(B120,$B$2:$B$184,0))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UFLEX</t>
        </is>
      </c>
      <c r="D120" s="31" t="inlineStr">
        <is>
          <t>Uflex Limited</t>
        </is>
      </c>
      <c r="E120" s="31" t="inlineStr">
        <is>
          <t>industrials</t>
        </is>
      </c>
      <c r="F120" s="31" t="inlineStr">
        <is>
          <t>packaging</t>
        </is>
      </c>
      <c r="G120" s="31" t="inlineStr">
        <is>
          <t>smallcap</t>
        </is>
      </c>
      <c r="H120" s="32" t="n">
        <v>4593.37</v>
      </c>
      <c r="I120" s="32" t="n">
        <v>645.45</v>
      </c>
      <c r="J120" s="32" t="n">
        <v>1.47</v>
      </c>
      <c r="K120" s="32" t="n">
        <v>235420</v>
      </c>
      <c r="L120" s="31" t="n">
        <v>53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72.51000000000001</v>
      </c>
      <c r="P120" s="32" t="n">
        <v>34.24</v>
      </c>
      <c r="Q120" s="32" t="n">
        <v>528.79</v>
      </c>
      <c r="R120" s="31" t="inlineStr">
        <is>
          <t>Near 52W High Breakout</t>
        </is>
      </c>
      <c r="S120" s="31" t="inlineStr">
        <is>
          <t>Nifty 50</t>
        </is>
      </c>
      <c r="T120" s="32" t="n">
        <v>-8.33</v>
      </c>
      <c r="U120" s="32" t="n">
        <v>17.41</v>
      </c>
      <c r="V120" s="32" t="n">
        <v>28.08</v>
      </c>
      <c r="W120" s="32" t="n">
        <v>16.1</v>
      </c>
      <c r="X120" s="31" t="inlineStr">
        <is>
          <t>Cyclical in an Upturn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Above 70%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More than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IF(B121=0,"",RANK(B121,$B$2:$B$184,0))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WELCORP</t>
        </is>
      </c>
      <c r="D121" s="31" t="inlineStr">
        <is>
          <t>Welspun Corp Limited</t>
        </is>
      </c>
      <c r="E121" s="31" t="inlineStr">
        <is>
          <t>industrials</t>
        </is>
      </c>
      <c r="F121" s="31" t="inlineStr">
        <is>
          <t>steel - large</t>
        </is>
      </c>
      <c r="G121" s="31" t="inlineStr">
        <is>
          <t>largecap</t>
        </is>
      </c>
      <c r="H121" s="32" t="n">
        <v>63660.6</v>
      </c>
      <c r="I121" s="32" t="n">
        <v>2424.5</v>
      </c>
      <c r="J121" s="32" t="n">
        <v>0.46</v>
      </c>
      <c r="K121" s="32" t="n">
        <v>2931474</v>
      </c>
      <c r="L121" s="31" t="inlineStr"/>
      <c r="M121" s="31" t="inlineStr"/>
      <c r="N121" s="32">
        <f>IF(M121="Underperforming",-5,IF(L121&gt;=95,15,IF(L121&gt;=90,10,IF(L121&gt;=80,5,0))))</f>
        <v/>
      </c>
      <c r="O121" s="32" t="n">
        <v>78.03</v>
      </c>
      <c r="P121" s="32" t="n">
        <v>76.62</v>
      </c>
      <c r="Q121" s="32" t="n">
        <v>2122.45</v>
      </c>
      <c r="R121" s="31" t="inlineStr">
        <is>
          <t>Earnings / Momentum Support</t>
        </is>
      </c>
      <c r="S121" s="31" t="inlineStr">
        <is>
          <t>Nifty Metal</t>
        </is>
      </c>
      <c r="T121" s="32" t="inlineStr"/>
      <c r="U121" s="32" t="inlineStr"/>
      <c r="V121" s="32" t="inlineStr"/>
      <c r="W121" s="32" t="inlineStr"/>
      <c r="X121" s="31" t="inlineStr">
        <is>
          <t>Cyclical in an Upturn</t>
        </is>
      </c>
      <c r="Y121" s="31">
        <f>IF(X121="Growing Industry",10,IF(X121="Cyclical in an Upturn",5,0))</f>
        <v/>
      </c>
      <c r="Z121" s="31" t="inlineStr">
        <is>
          <t>Too Many Players with High ROCE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No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No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Close to 52 week high or retracement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No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Above 70%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IF(B122=0,"",RANK(B122,$B$2:$B$184,0))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RISHABH</t>
        </is>
      </c>
      <c r="D122" s="31" t="inlineStr">
        <is>
          <t>Rishabh Instruments Ltd</t>
        </is>
      </c>
      <c r="E122" s="31" t="inlineStr">
        <is>
          <t>industrials</t>
        </is>
      </c>
      <c r="F122" s="31" t="inlineStr">
        <is>
          <t>electric equipment</t>
        </is>
      </c>
      <c r="G122" s="31" t="inlineStr">
        <is>
          <t>smallcap</t>
        </is>
      </c>
      <c r="H122" s="32" t="n">
        <v>3004.66</v>
      </c>
      <c r="I122" s="32" t="n">
        <v>758.55</v>
      </c>
      <c r="J122" s="32" t="n">
        <v>-2.69</v>
      </c>
      <c r="K122" s="32" t="n">
        <v>371434</v>
      </c>
      <c r="L122" s="31" t="n">
        <v>67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68.23999999999999</v>
      </c>
      <c r="P122" s="32" t="n">
        <v>49.5</v>
      </c>
      <c r="Q122" s="32" t="n">
        <v>624.12</v>
      </c>
      <c r="R122" s="31" t="inlineStr">
        <is>
          <t>Earnings / Momentum Support</t>
        </is>
      </c>
      <c r="S122" s="31" t="inlineStr">
        <is>
          <t>Nifty 50</t>
        </is>
      </c>
      <c r="T122" s="32" t="n">
        <v>-8.33</v>
      </c>
      <c r="U122" s="32" t="n">
        <v>83.81</v>
      </c>
      <c r="V122" s="32" t="n">
        <v>100.51</v>
      </c>
      <c r="W122" s="32" t="n">
        <v>21.21</v>
      </c>
      <c r="X122" s="31" t="inlineStr">
        <is>
          <t>Cyclical in an Upturn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No</t>
        </is>
      </c>
      <c r="AQ122" s="31">
        <f>IF(AP122="Yes",10,0)</f>
        <v/>
      </c>
      <c r="AR122" s="31" t="inlineStr">
        <is>
          <t>Higher One Time, Lower Annuity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Above 40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Less than 12%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No</t>
        </is>
      </c>
      <c r="BS122" s="31">
        <f>IF(BR122="NO",5,0)</f>
        <v/>
      </c>
      <c r="BT122" s="31" t="inlineStr">
        <is>
          <t>Above 2</t>
        </is>
      </c>
      <c r="BU122" s="31">
        <f>IF(BT122="Above 2",0,IF(BT122="Between 1.5 to 2",5,IF(BT122="Less than 1.5",10,0)))</f>
        <v/>
      </c>
      <c r="BV122" s="31" t="inlineStr">
        <is>
          <t>Above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IF(B123=0,"",RANK(B123,$B$2:$B$184,0))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EBGNG</t>
        </is>
      </c>
      <c r="D123" s="31" t="inlineStr">
        <is>
          <t>GNG Electronics Ltd</t>
        </is>
      </c>
      <c r="E123" s="31" t="inlineStr">
        <is>
          <t>services</t>
        </is>
      </c>
      <c r="F123" s="31" t="inlineStr">
        <is>
          <t>trading</t>
        </is>
      </c>
      <c r="G123" s="31" t="inlineStr">
        <is>
          <t>midcap</t>
        </is>
      </c>
      <c r="H123" s="32" t="n">
        <v>7655.3</v>
      </c>
      <c r="I123" s="32" t="n">
        <v>645.55</v>
      </c>
      <c r="J123" s="32" t="n">
        <v>-3.86</v>
      </c>
      <c r="K123" s="32" t="n">
        <v>1024574</v>
      </c>
      <c r="L123" s="31" t="n">
        <v>62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63.77</v>
      </c>
      <c r="P123" s="32" t="n">
        <v>37.69</v>
      </c>
      <c r="Q123" s="32" t="n">
        <v>477.44</v>
      </c>
      <c r="R123" s="31" t="inlineStr">
        <is>
          <t>Earnings / Momentum Support</t>
        </is>
      </c>
      <c r="S123" s="31" t="inlineStr">
        <is>
          <t>Nifty 50</t>
        </is>
      </c>
      <c r="T123" s="32" t="n">
        <v>-8.33</v>
      </c>
      <c r="U123" s="32" t="n">
        <v>70.83</v>
      </c>
      <c r="V123" s="32" t="n">
        <v>86.34999999999999</v>
      </c>
      <c r="W123" s="32" t="n">
        <v>19.03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B2B</t>
        </is>
      </c>
      <c r="AO123" s="31">
        <f>IF(AN123="B2C",10,IF(AN123="B2B",5,0))</f>
        <v/>
      </c>
      <c r="AP123" s="31" t="inlineStr">
        <is>
          <t>No</t>
        </is>
      </c>
      <c r="AQ123" s="31">
        <f>IF(AP123="Yes",10,0)</f>
        <v/>
      </c>
      <c r="AR123" s="31" t="inlineStr">
        <is>
          <t>Higher One Time, Lower Annuity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More than 20%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Yes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Less than 0.7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IF(B124=0,"",RANK(B124,$B$2:$B$184,0))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1" t="inlineStr">
        <is>
          <t>PVP</t>
        </is>
      </c>
      <c r="D124" s="31" t="inlineStr">
        <is>
          <t>Pvp Ventures Limited</t>
        </is>
      </c>
      <c r="E124" s="31" t="inlineStr">
        <is>
          <t>realty</t>
        </is>
      </c>
      <c r="F124" s="31" t="inlineStr">
        <is>
          <t>construction</t>
        </is>
      </c>
      <c r="G124" s="31" t="inlineStr">
        <is>
          <t>smallcap</t>
        </is>
      </c>
      <c r="H124" s="32" t="n">
        <v>1603.57</v>
      </c>
      <c r="I124" s="32" t="n">
        <v>58.51</v>
      </c>
      <c r="J124" s="32" t="n">
        <v>-4.99</v>
      </c>
      <c r="K124" s="32" t="n">
        <v>342199</v>
      </c>
      <c r="L124" s="31" t="inlineStr"/>
      <c r="M124" s="31" t="inlineStr"/>
      <c r="N124" s="32">
        <f>IF(M124="Underperforming",-5,IF(L124&gt;=95,15,IF(L124&gt;=90,10,IF(L124&gt;=80,5,0))))</f>
        <v/>
      </c>
      <c r="O124" s="32" t="n">
        <v>69.09</v>
      </c>
      <c r="P124" s="32" t="n">
        <v>32.27</v>
      </c>
      <c r="Q124" s="32" t="n">
        <v>48.9</v>
      </c>
      <c r="R124" s="31" t="inlineStr">
        <is>
          <t>Earnings / Momentum Support</t>
        </is>
      </c>
      <c r="S124" s="31" t="inlineStr">
        <is>
          <t>Nifty Realty</t>
        </is>
      </c>
      <c r="T124" s="32" t="inlineStr"/>
      <c r="U124" s="32" t="inlineStr"/>
      <c r="V124" s="32" t="inlineStr"/>
      <c r="W124" s="32" t="inlineStr"/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No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One Time, Lower Annuity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Above 2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IF(B125=0,"",RANK(B125,$B$2:$B$184,0))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KOPRAN</t>
        </is>
      </c>
      <c r="D125" s="31" t="inlineStr">
        <is>
          <t>Kopran Limited</t>
        </is>
      </c>
      <c r="E125" s="31" t="inlineStr">
        <is>
          <t>healthcare</t>
        </is>
      </c>
      <c r="F125" s="31" t="inlineStr">
        <is>
          <t>pharmaceuticals - indian - bulk drugs &amp; formln</t>
        </is>
      </c>
      <c r="G125" s="31" t="inlineStr">
        <is>
          <t>smallcap</t>
        </is>
      </c>
      <c r="H125" s="32" t="n">
        <v>1206.66</v>
      </c>
      <c r="I125" s="32" t="n">
        <v>260.86</v>
      </c>
      <c r="J125" s="32" t="n">
        <v>4.39</v>
      </c>
      <c r="K125" s="32" t="n">
        <v>14226630</v>
      </c>
      <c r="L125" s="31" t="n">
        <v>66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76.17</v>
      </c>
      <c r="P125" s="32" t="n">
        <v>41.94</v>
      </c>
      <c r="Q125" s="32" t="n">
        <v>194.1</v>
      </c>
      <c r="R125" s="31" t="inlineStr">
        <is>
          <t>Volume Spike &amp; Near 52W High Breakout</t>
        </is>
      </c>
      <c r="S125" s="31" t="inlineStr">
        <is>
          <t>Nifty Pharma</t>
        </is>
      </c>
      <c r="T125" s="32" t="n">
        <v>15.25</v>
      </c>
      <c r="U125" s="32" t="n">
        <v>53.89</v>
      </c>
      <c r="V125" s="32" t="n">
        <v>33.53</v>
      </c>
      <c r="W125" s="32" t="n">
        <v>20.8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Above 40</t>
        </is>
      </c>
      <c r="AY125" s="31">
        <f>IF(AX125="Above 40",20,IF(AX125="20 to 40",10,IF(AX125="0 to 20",-5,0)))</f>
        <v/>
      </c>
      <c r="AZ125" s="31" t="inlineStr">
        <is>
          <t>Above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Close to 52 week high or retracement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Less than 12%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Above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IF(B126=0,"",RANK(B126,$B$2:$B$184,0))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3" t="inlineStr">
        <is>
          <t>SURAKSHA</t>
        </is>
      </c>
      <c r="D126" s="33" t="inlineStr">
        <is>
          <t>Suraksha Diagnostic Ltd</t>
        </is>
      </c>
      <c r="E126" s="31" t="inlineStr">
        <is>
          <t>healthcare</t>
        </is>
      </c>
      <c r="F126" s="31" t="inlineStr">
        <is>
          <t>healthcare</t>
        </is>
      </c>
      <c r="G126" s="31" t="inlineStr">
        <is>
          <t>smallcap</t>
        </is>
      </c>
      <c r="H126" s="32" t="n">
        <v>1682.47</v>
      </c>
      <c r="I126" s="32" t="n">
        <v>326.8</v>
      </c>
      <c r="J126" s="32" t="n">
        <v>1.16</v>
      </c>
      <c r="K126" s="32" t="n">
        <v>98905</v>
      </c>
      <c r="L126" s="31" t="n">
        <v>22</v>
      </c>
      <c r="M126" s="31" t="inlineStr">
        <is>
          <t>Underperforming</t>
        </is>
      </c>
      <c r="N126" s="32">
        <f>IF(M126="Underperforming",-5,IF(L126&gt;=95,15,IF(L126&gt;=90,10,IF(L126&gt;=80,5,0))))</f>
        <v/>
      </c>
      <c r="O126" s="32" t="n">
        <v>62.86</v>
      </c>
      <c r="P126" s="32" t="n">
        <v>19.78</v>
      </c>
      <c r="Q126" s="32" t="n">
        <v>264.59</v>
      </c>
      <c r="R126" s="31" t="inlineStr">
        <is>
          <t>Near 52W High Breakout</t>
        </is>
      </c>
      <c r="S126" s="31" t="inlineStr">
        <is>
          <t>Nifty Pharma</t>
        </is>
      </c>
      <c r="T126" s="32" t="n">
        <v>15.25</v>
      </c>
      <c r="U126" s="32" t="n">
        <v>3.73</v>
      </c>
      <c r="V126" s="32" t="n">
        <v>-10</v>
      </c>
      <c r="W126" s="32" t="n">
        <v>5.73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Yes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0 to 20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More than 20%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Less than 1.5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IF(B127=0,"",RANK(B127,$B$2:$B$184,0))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3" t="inlineStr">
        <is>
          <t>KILITCH</t>
        </is>
      </c>
      <c r="D127" s="33" t="inlineStr">
        <is>
          <t>Kilitch Drugs (india) Limited</t>
        </is>
      </c>
      <c r="E127" s="31" t="inlineStr">
        <is>
          <t>healthcare</t>
        </is>
      </c>
      <c r="F127" s="31" t="inlineStr">
        <is>
          <t>pharmaceuticals - indian - formulations</t>
        </is>
      </c>
      <c r="G127" s="31" t="inlineStr">
        <is>
          <t>smallcap</t>
        </is>
      </c>
      <c r="H127" s="32" t="n">
        <v>664.97</v>
      </c>
      <c r="I127" s="32" t="n">
        <v>188.82</v>
      </c>
      <c r="J127" s="32" t="n">
        <v>-0.73</v>
      </c>
      <c r="K127" s="32" t="n">
        <v>9185</v>
      </c>
      <c r="L127" s="31" t="n">
        <v>8</v>
      </c>
      <c r="M127" s="31" t="inlineStr">
        <is>
          <t>Underperforming</t>
        </is>
      </c>
      <c r="N127" s="32">
        <f>IF(M127="Underperforming",-5,IF(L127&gt;=95,15,IF(L127&gt;=90,10,IF(L127&gt;=80,5,0))))</f>
        <v/>
      </c>
      <c r="O127" s="32" t="n">
        <v>56.34</v>
      </c>
      <c r="P127" s="32" t="n">
        <v>26.04</v>
      </c>
      <c r="Q127" s="32" t="n">
        <v>141.06</v>
      </c>
      <c r="R127" s="31" t="inlineStr">
        <is>
          <t>Near 52W High Breakout</t>
        </is>
      </c>
      <c r="S127" s="31" t="inlineStr">
        <is>
          <t>Nifty Pharma</t>
        </is>
      </c>
      <c r="T127" s="32" t="n">
        <v>15.25</v>
      </c>
      <c r="U127" s="32" t="n">
        <v>4.93</v>
      </c>
      <c r="V127" s="32" t="n">
        <v>-8.949999999999999</v>
      </c>
      <c r="W127" s="32" t="n">
        <v>1.64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Between 50 to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Close to 52 week high or retracement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Less than 12%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Above 2</t>
        </is>
      </c>
      <c r="BU127" s="31">
        <f>IF(BT127="Above 2",0,IF(BT127="Between 1.5 to 2",5,IF(BT127="Less than 1.5",10,0)))</f>
        <v/>
      </c>
      <c r="BV127" s="31" t="inlineStr">
        <is>
          <t>Above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IF(B128=0,"",RANK(B128,$B$2:$B$184,0))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VALIANTLAB</t>
        </is>
      </c>
      <c r="D128" s="31" t="inlineStr">
        <is>
          <t>Valiant Laboratories Ltd</t>
        </is>
      </c>
      <c r="E128" s="31" t="inlineStr">
        <is>
          <t>healthcare</t>
        </is>
      </c>
      <c r="F128" s="31" t="inlineStr">
        <is>
          <t>pharmaceuticals - indian - bulk drugs &amp; formln</t>
        </is>
      </c>
      <c r="G128" s="31" t="inlineStr">
        <is>
          <t>smallcap</t>
        </is>
      </c>
      <c r="H128" s="32" t="n">
        <v>666.03</v>
      </c>
      <c r="I128" s="32" t="n">
        <v>116.91</v>
      </c>
      <c r="J128" s="32" t="n">
        <v>-4.66</v>
      </c>
      <c r="K128" s="32" t="n">
        <v>111457</v>
      </c>
      <c r="L128" s="31" t="n">
        <v>74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71.81999999999999</v>
      </c>
      <c r="P128" s="32" t="n">
        <v>25.39</v>
      </c>
      <c r="Q128" s="32" t="n">
        <v>97.06</v>
      </c>
      <c r="R128" s="31" t="inlineStr">
        <is>
          <t>Earnings / Momentum Support</t>
        </is>
      </c>
      <c r="S128" s="31" t="inlineStr">
        <is>
          <t>Nifty Pharma</t>
        </is>
      </c>
      <c r="T128" s="32" t="n">
        <v>15.25</v>
      </c>
      <c r="U128" s="32" t="n">
        <v>33.96</v>
      </c>
      <c r="V128" s="32" t="n">
        <v>16.24</v>
      </c>
      <c r="W128" s="32" t="n">
        <v>24.67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Yes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No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More than 20%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Yes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Above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IF(B129=0,"",RANK(B129,$B$2:$B$184,0))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KRYSTAL</t>
        </is>
      </c>
      <c r="D129" s="31" t="inlineStr">
        <is>
          <t>Krystal Integrated Services Ltd</t>
        </is>
      </c>
      <c r="E129" s="31" t="inlineStr">
        <is>
          <t>miscellaneous</t>
        </is>
      </c>
      <c r="F129" s="31" t="inlineStr">
        <is>
          <t>miscellaneous</t>
        </is>
      </c>
      <c r="G129" s="31" t="inlineStr">
        <is>
          <t>smallcap</t>
        </is>
      </c>
      <c r="H129" s="32" t="n">
        <v>849.22</v>
      </c>
      <c r="I129" s="32" t="n">
        <v>655.6</v>
      </c>
      <c r="J129" s="32" t="n">
        <v>7.86</v>
      </c>
      <c r="K129" s="32" t="n">
        <v>174712</v>
      </c>
      <c r="L129" s="31" t="n">
        <v>10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61.09</v>
      </c>
      <c r="P129" s="32" t="n">
        <v>37.65</v>
      </c>
      <c r="Q129" s="32" t="n">
        <v>534.09</v>
      </c>
      <c r="R129" s="31" t="inlineStr">
        <is>
          <t>Near 52W High Breakout</t>
        </is>
      </c>
      <c r="S129" s="31" t="inlineStr">
        <is>
          <t>Nifty 50</t>
        </is>
      </c>
      <c r="T129" s="32" t="n">
        <v>-8.33</v>
      </c>
      <c r="U129" s="32" t="n">
        <v>0.5600000000000001</v>
      </c>
      <c r="V129" s="32" t="n">
        <v>9.699999999999999</v>
      </c>
      <c r="W129" s="32" t="n">
        <v>2.36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No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One Time, Lower Annuity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20 to 40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Negative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Close to 52 week high or retracement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Less than 1.5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IF(B130=0,"",RANK(B130,$B$2:$B$184,0))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YUKEN</t>
        </is>
      </c>
      <c r="D130" s="31" t="inlineStr">
        <is>
          <t>Yuken India Ltd</t>
        </is>
      </c>
      <c r="E130" s="31" t="inlineStr">
        <is>
          <t>industrials</t>
        </is>
      </c>
      <c r="F130" s="31" t="inlineStr">
        <is>
          <t>engineering</t>
        </is>
      </c>
      <c r="G130" s="31" t="inlineStr">
        <is>
          <t>smallcap</t>
        </is>
      </c>
      <c r="H130" s="32" t="n">
        <v>1463.81</v>
      </c>
      <c r="I130" s="32" t="n">
        <v>1134.95</v>
      </c>
      <c r="J130" s="32" t="n">
        <v>5.32</v>
      </c>
      <c r="K130" s="32" t="n">
        <v>66940</v>
      </c>
      <c r="L130" s="31" t="n">
        <v>61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77.64</v>
      </c>
      <c r="P130" s="32" t="n">
        <v>27.92</v>
      </c>
      <c r="Q130" s="32" t="n">
        <v>890.9</v>
      </c>
      <c r="R130" s="31" t="inlineStr">
        <is>
          <t>Near 52W High Breakout</t>
        </is>
      </c>
      <c r="S130" s="31" t="inlineStr">
        <is>
          <t>Nifty 50</t>
        </is>
      </c>
      <c r="T130" s="32" t="n">
        <v>-8.33</v>
      </c>
      <c r="U130" s="32" t="n">
        <v>13.05</v>
      </c>
      <c r="V130" s="32" t="n">
        <v>23.32</v>
      </c>
      <c r="W130" s="32" t="n">
        <v>19.01</v>
      </c>
      <c r="X130" s="31" t="inlineStr">
        <is>
          <t>Cyclical in an Upturn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No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One Time, Lower Annuity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IF(B131=0,"",RANK(B131,$B$2:$B$184,0))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GRAPHITE</t>
        </is>
      </c>
      <c r="D131" s="31" t="inlineStr">
        <is>
          <t>Graphite India Limited</t>
        </is>
      </c>
      <c r="E131" s="31" t="inlineStr">
        <is>
          <t>industrials</t>
        </is>
      </c>
      <c r="F131" s="31" t="inlineStr">
        <is>
          <t>electrodes - graphites</t>
        </is>
      </c>
      <c r="G131" s="31" t="inlineStr">
        <is>
          <t>midcap</t>
        </is>
      </c>
      <c r="H131" s="32" t="n">
        <v>15268.6</v>
      </c>
      <c r="I131" s="32" t="n">
        <v>805.05</v>
      </c>
      <c r="J131" s="32" t="n">
        <v>3.01</v>
      </c>
      <c r="K131" s="32" t="n">
        <v>3021853</v>
      </c>
      <c r="L131" s="31" t="n">
        <v>45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65.11</v>
      </c>
      <c r="P131" s="32" t="n">
        <v>16.19</v>
      </c>
      <c r="Q131" s="32" t="n">
        <v>632.64</v>
      </c>
      <c r="R131" s="31" t="inlineStr">
        <is>
          <t>Near 52W High Breakout</t>
        </is>
      </c>
      <c r="S131" s="31" t="inlineStr">
        <is>
          <t>Nifty 50</t>
        </is>
      </c>
      <c r="T131" s="32" t="n">
        <v>-8.33</v>
      </c>
      <c r="U131" s="32" t="n">
        <v>42.81</v>
      </c>
      <c r="V131" s="32" t="n">
        <v>55.79</v>
      </c>
      <c r="W131" s="32" t="n">
        <v>13.36</v>
      </c>
      <c r="X131" s="31" t="inlineStr">
        <is>
          <t>Cyclical in an Upturn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Yes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0 to 20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Blue sky scenario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IF(B132=0,"",RANK(B132,$B$2:$B$184,0))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ANDHRAPAP</t>
        </is>
      </c>
      <c r="D132" s="31" t="inlineStr">
        <is>
          <t>Andhra Paper Ltd</t>
        </is>
      </c>
      <c r="E132" s="31" t="inlineStr">
        <is>
          <t>building materials</t>
        </is>
      </c>
      <c r="F132" s="31" t="inlineStr">
        <is>
          <t>paper</t>
        </is>
      </c>
      <c r="G132" s="31" t="inlineStr">
        <is>
          <t>smallcap</t>
        </is>
      </c>
      <c r="H132" s="32" t="n">
        <v>1424.56</v>
      </c>
      <c r="I132" s="32" t="n">
        <v>73.31999999999999</v>
      </c>
      <c r="J132" s="32" t="n">
        <v>2.35</v>
      </c>
      <c r="K132" s="32" t="n">
        <v>769224</v>
      </c>
      <c r="L132" s="31" t="inlineStr"/>
      <c r="M132" s="31" t="inlineStr"/>
      <c r="N132" s="32">
        <f>IF(M132="Underperforming",-5,IF(L132&gt;=95,15,IF(L132&gt;=90,10,IF(L132&gt;=80,5,0))))</f>
        <v/>
      </c>
      <c r="O132" s="32" t="n">
        <v>69.39</v>
      </c>
      <c r="P132" s="32" t="n">
        <v>15.5</v>
      </c>
      <c r="Q132" s="32" t="n">
        <v>58.78</v>
      </c>
      <c r="R132" s="31" t="inlineStr">
        <is>
          <t>Earnings / Momentum Support</t>
        </is>
      </c>
      <c r="S132" s="31" t="inlineStr">
        <is>
          <t>Nifty Infra</t>
        </is>
      </c>
      <c r="T132" s="32" t="inlineStr"/>
      <c r="U132" s="32" t="inlineStr"/>
      <c r="V132" s="32" t="inlineStr"/>
      <c r="W132" s="32" t="inlineStr"/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No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0 to 20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Yes</t>
        </is>
      </c>
      <c r="BS132" s="31">
        <f>IF(BR132="NO",5,0)</f>
        <v/>
      </c>
      <c r="BT132" s="31" t="inlineStr">
        <is>
          <t>Less than 1.5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IF(B133=0,"",RANK(B133,$B$2:$B$184,0))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SVLL</t>
        </is>
      </c>
      <c r="D133" s="31" t="inlineStr">
        <is>
          <t>Shree Vasu Logistics Ltd</t>
        </is>
      </c>
      <c r="E133" s="31" t="inlineStr">
        <is>
          <t>transportation</t>
        </is>
      </c>
      <c r="F133" s="31" t="inlineStr">
        <is>
          <t>miscellaneous</t>
        </is>
      </c>
      <c r="G133" s="31" t="inlineStr">
        <is>
          <t>smallcap</t>
        </is>
      </c>
      <c r="H133" s="32" t="n">
        <v>908.46</v>
      </c>
      <c r="I133" s="32" t="n">
        <v>804.2</v>
      </c>
      <c r="J133" s="32" t="n">
        <v>1.75</v>
      </c>
      <c r="K133" s="32" t="n">
        <v>1647</v>
      </c>
      <c r="L133" s="31" t="n">
        <v>20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63.08</v>
      </c>
      <c r="P133" s="32" t="n">
        <v>39.04</v>
      </c>
      <c r="Q133" s="32" t="n">
        <v>608.7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-8.33</v>
      </c>
      <c r="U133" s="32" t="n">
        <v>1.98</v>
      </c>
      <c r="V133" s="32" t="n">
        <v>11.24</v>
      </c>
      <c r="W133" s="32" t="n">
        <v>5.54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20 to 40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Blue sky scenario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Yes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More than 1.2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IF(B134=0,"",RANK(B134,$B$2:$B$184,0))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SBC</t>
        </is>
      </c>
      <c r="D134" s="31" t="inlineStr">
        <is>
          <t>SBC Exports Ltd</t>
        </is>
      </c>
      <c r="E134" s="31" t="inlineStr">
        <is>
          <t>textiles</t>
        </is>
      </c>
      <c r="F134" s="31" t="inlineStr">
        <is>
          <t>textiles - products</t>
        </is>
      </c>
      <c r="G134" s="31" t="inlineStr">
        <is>
          <t>smallcap</t>
        </is>
      </c>
      <c r="H134" s="32" t="n">
        <v>2272.85</v>
      </c>
      <c r="I134" s="32" t="n">
        <v>47.63</v>
      </c>
      <c r="J134" s="32" t="n">
        <v>-0.21</v>
      </c>
      <c r="K134" s="32" t="n">
        <v>9128975</v>
      </c>
      <c r="L134" s="31" t="n">
        <v>64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72.68000000000001</v>
      </c>
      <c r="P134" s="32" t="n">
        <v>33.03</v>
      </c>
      <c r="Q134" s="32" t="n">
        <v>39.55</v>
      </c>
      <c r="R134" s="31" t="inlineStr">
        <is>
          <t>Near 52W High Breakout</t>
        </is>
      </c>
      <c r="S134" s="31" t="inlineStr">
        <is>
          <t>Nifty 50</t>
        </is>
      </c>
      <c r="T134" s="32" t="n">
        <v>-8.33</v>
      </c>
      <c r="U134" s="32" t="n">
        <v>122.67</v>
      </c>
      <c r="V134" s="32" t="n">
        <v>142.91</v>
      </c>
      <c r="W134" s="32" t="n">
        <v>20.08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20 to 40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Blue sky scenario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Yes</t>
        </is>
      </c>
      <c r="BS134" s="31">
        <f>IF(BR134="NO",5,0)</f>
        <v/>
      </c>
      <c r="BT134" s="31" t="inlineStr">
        <is>
          <t>Above 2</t>
        </is>
      </c>
      <c r="BU134" s="31">
        <f>IF(BT134="Above 2",0,IF(BT134="Between 1.5 to 2",5,IF(BT134="Less than 1.5",10,0)))</f>
        <v/>
      </c>
      <c r="BV134" s="31" t="inlineStr">
        <is>
          <t>Above 70%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More than 1.2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IF(B135=0,"",RANK(B135,$B$2:$B$184,0))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PTCIL</t>
        </is>
      </c>
      <c r="D135" s="31" t="inlineStr">
        <is>
          <t>PTC Industries Ltd</t>
        </is>
      </c>
      <c r="E135" s="31" t="inlineStr">
        <is>
          <t>industrials</t>
        </is>
      </c>
      <c r="F135" s="31" t="inlineStr">
        <is>
          <t>castings &amp; forgings</t>
        </is>
      </c>
      <c r="G135" s="31" t="inlineStr">
        <is>
          <t>largecap</t>
        </is>
      </c>
      <c r="H135" s="32" t="n">
        <v>33823.19</v>
      </c>
      <c r="I135" s="32" t="n">
        <v>22500</v>
      </c>
      <c r="J135" s="32" t="n">
        <v>-0.27</v>
      </c>
      <c r="K135" s="32" t="n">
        <v>25652</v>
      </c>
      <c r="L135" s="31" t="n">
        <v>47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68.19</v>
      </c>
      <c r="P135" s="32" t="n">
        <v>34.98</v>
      </c>
      <c r="Q135" s="32" t="n">
        <v>19406.93</v>
      </c>
      <c r="R135" s="31" t="inlineStr">
        <is>
          <t>Earnings / Momentum Support</t>
        </is>
      </c>
      <c r="S135" s="31" t="inlineStr">
        <is>
          <t>Nifty 50</t>
        </is>
      </c>
      <c r="T135" s="32" t="n">
        <v>-8.33</v>
      </c>
      <c r="U135" s="32" t="n">
        <v>50.58</v>
      </c>
      <c r="V135" s="32" t="n">
        <v>64.26000000000001</v>
      </c>
      <c r="W135" s="32" t="n">
        <v>13.47</v>
      </c>
      <c r="X135" s="31" t="inlineStr">
        <is>
          <t>Cyclical in an Upturn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No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Close to 52 week high or retracement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Above 2</t>
        </is>
      </c>
      <c r="BU135" s="31">
        <f>IF(BT135="Above 2",0,IF(BT135="Between 1.5 to 2",5,IF(BT135="Less than 1.5",10,0)))</f>
        <v/>
      </c>
      <c r="BV135" s="31" t="inlineStr">
        <is>
          <t>Above 70%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Less than 0.7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IF(B136=0,"",RANK(B136,$B$2:$B$184,0))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MAHSEAMLES</t>
        </is>
      </c>
      <c r="D136" s="31" t="inlineStr">
        <is>
          <t>Maharashtra Seamless Limited</t>
        </is>
      </c>
      <c r="E136" s="31" t="inlineStr">
        <is>
          <t>metals &amp; mining</t>
        </is>
      </c>
      <c r="F136" s="31" t="inlineStr">
        <is>
          <t>steel - medium / small</t>
        </is>
      </c>
      <c r="G136" s="31" t="inlineStr">
        <is>
          <t>midcap</t>
        </is>
      </c>
      <c r="H136" s="32" t="n">
        <v>9394.690000000001</v>
      </c>
      <c r="I136" s="32" t="n">
        <v>692.95</v>
      </c>
      <c r="J136" s="32" t="n">
        <v>-1.16</v>
      </c>
      <c r="K136" s="32" t="n">
        <v>217121</v>
      </c>
      <c r="L136" s="31" t="inlineStr"/>
      <c r="M136" s="31" t="inlineStr"/>
      <c r="N136" s="32">
        <f>IF(M136="Underperforming",-5,IF(L136&gt;=95,15,IF(L136&gt;=90,10,IF(L136&gt;=80,5,0))))</f>
        <v/>
      </c>
      <c r="O136" s="32" t="n">
        <v>65.14</v>
      </c>
      <c r="P136" s="32" t="n">
        <v>22.97</v>
      </c>
      <c r="Q136" s="32" t="n">
        <v>607.21</v>
      </c>
      <c r="R136" s="31" t="inlineStr">
        <is>
          <t>Near 52W High Breakout</t>
        </is>
      </c>
      <c r="S136" s="31" t="inlineStr">
        <is>
          <t>Nifty Metal</t>
        </is>
      </c>
      <c r="T136" s="32" t="inlineStr"/>
      <c r="U136" s="32" t="inlineStr"/>
      <c r="V136" s="32" t="inlineStr"/>
      <c r="W136" s="32" t="inlineStr"/>
      <c r="X136" s="31" t="inlineStr">
        <is>
          <t>Cyclical in an Upturn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Cyclical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Volatile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Yes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20 to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Between 12 to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Above 70%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Less than 0.7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IF(B137=0,"",RANK(B137,$B$2:$B$184,0))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1" t="inlineStr">
        <is>
          <t>GOODLUCK</t>
        </is>
      </c>
      <c r="D137" s="31" t="inlineStr">
        <is>
          <t>Goodluck India Limited</t>
        </is>
      </c>
      <c r="E137" s="31" t="inlineStr">
        <is>
          <t>metals &amp; mining</t>
        </is>
      </c>
      <c r="F137" s="31" t="inlineStr">
        <is>
          <t>steel - medium / small</t>
        </is>
      </c>
      <c r="G137" s="31" t="inlineStr">
        <is>
          <t>midcap</t>
        </is>
      </c>
      <c r="H137" s="32" t="n">
        <v>5176.73</v>
      </c>
      <c r="I137" s="32" t="n">
        <v>510.3</v>
      </c>
      <c r="J137" s="32" t="n">
        <v>-1.7</v>
      </c>
      <c r="K137" s="32" t="n">
        <v>533794</v>
      </c>
      <c r="L137" s="31" t="inlineStr"/>
      <c r="M137" s="31" t="inlineStr"/>
      <c r="N137" s="32">
        <f>IF(M137="Underperforming",-5,IF(L137&gt;=95,15,IF(L137&gt;=90,10,IF(L137&gt;=80,5,0))))</f>
        <v/>
      </c>
      <c r="O137" s="32" t="n">
        <v>58</v>
      </c>
      <c r="P137" s="32" t="n">
        <v>35.55</v>
      </c>
      <c r="Q137" s="32" t="n">
        <v>377.05</v>
      </c>
      <c r="R137" s="31" t="inlineStr">
        <is>
          <t>Near 52W High Breakout</t>
        </is>
      </c>
      <c r="S137" s="31" t="inlineStr">
        <is>
          <t>Nifty Metal</t>
        </is>
      </c>
      <c r="T137" s="32" t="inlineStr"/>
      <c r="U137" s="32" t="inlineStr"/>
      <c r="V137" s="32" t="inlineStr"/>
      <c r="W137" s="32" t="inlineStr"/>
      <c r="X137" s="31" t="inlineStr">
        <is>
          <t>Cyclical in an Upturn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Cyclical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Volatile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Blue sky scenario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Less than 1.5</t>
        </is>
      </c>
      <c r="BU137" s="31">
        <f>IF(BT137="Above 2",0,IF(BT137="Between 1.5 to 2",5,IF(BT137="Less than 1.5",10,0)))</f>
        <v/>
      </c>
      <c r="BV137" s="31" t="inlineStr">
        <is>
          <t>Above 70%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Between 0.7 to 1.2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IF(B138=0,"",RANK(B138,$B$2:$B$184,0))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STLTECH</t>
        </is>
      </c>
      <c r="D138" s="31" t="inlineStr">
        <is>
          <t>Sterlite Technologies Limited</t>
        </is>
      </c>
      <c r="E138" s="31" t="inlineStr">
        <is>
          <t>industrials</t>
        </is>
      </c>
      <c r="F138" s="31" t="inlineStr">
        <is>
          <t>cables - telephone</t>
        </is>
      </c>
      <c r="G138" s="31" t="inlineStr">
        <is>
          <t>largecap</t>
        </is>
      </c>
      <c r="H138" s="32" t="n">
        <v>43812.22</v>
      </c>
      <c r="I138" s="32" t="n">
        <v>818.05</v>
      </c>
      <c r="J138" s="32" t="n">
        <v>-4.05</v>
      </c>
      <c r="K138" s="32" t="n">
        <v>2551038</v>
      </c>
      <c r="L138" s="31" t="inlineStr"/>
      <c r="M138" s="31" t="inlineStr"/>
      <c r="N138" s="32">
        <f>IF(M138="Underperforming",-5,IF(L138&gt;=95,15,IF(L138&gt;=90,10,IF(L138&gt;=80,5,0))))</f>
        <v/>
      </c>
      <c r="O138" s="32" t="n">
        <v>72.84</v>
      </c>
      <c r="P138" s="32" t="n">
        <v>73.40000000000001</v>
      </c>
      <c r="Q138" s="32" t="n">
        <v>661.11</v>
      </c>
      <c r="R138" s="31" t="inlineStr">
        <is>
          <t>Earnings / Momentum Support</t>
        </is>
      </c>
      <c r="S138" s="31" t="inlineStr">
        <is>
          <t>Nifty Infra</t>
        </is>
      </c>
      <c r="T138" s="32" t="inlineStr"/>
      <c r="U138" s="32" t="inlineStr"/>
      <c r="V138" s="32" t="inlineStr"/>
      <c r="W138" s="32" t="inlineStr"/>
      <c r="X138" s="31" t="inlineStr">
        <is>
          <t>Cyclical in an Upturn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No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Above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Close to 52 week high or retracement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Above 70%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Between 0.7 to 1.2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IF(B139=0,"",RANK(B139,$B$2:$B$184,0))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SUPRIYA</t>
        </is>
      </c>
      <c r="D139" s="31" t="inlineStr">
        <is>
          <t>Supriya Lifescience Ltd</t>
        </is>
      </c>
      <c r="E139" s="31" t="inlineStr">
        <is>
          <t>healthcare</t>
        </is>
      </c>
      <c r="F139" s="31" t="inlineStr">
        <is>
          <t>pharmaceuticals - indian - bulk drugs &amp; formln</t>
        </is>
      </c>
      <c r="G139" s="31" t="inlineStr">
        <is>
          <t>midcap</t>
        </is>
      </c>
      <c r="H139" s="32" t="n">
        <v>7041.84</v>
      </c>
      <c r="I139" s="32" t="n">
        <v>877.85</v>
      </c>
      <c r="J139" s="32" t="n">
        <v>0.33</v>
      </c>
      <c r="K139" s="32" t="n">
        <v>191677</v>
      </c>
      <c r="L139" s="31" t="n">
        <v>22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55.69</v>
      </c>
      <c r="P139" s="32" t="n">
        <v>38.49</v>
      </c>
      <c r="Q139" s="32" t="n">
        <v>730.04</v>
      </c>
      <c r="R139" s="31" t="inlineStr">
        <is>
          <t>Earnings / Momentum Support</t>
        </is>
      </c>
      <c r="S139" s="31" t="inlineStr">
        <is>
          <t>Nifty Pharma</t>
        </is>
      </c>
      <c r="T139" s="32" t="n">
        <v>15.25</v>
      </c>
      <c r="U139" s="32" t="n">
        <v>21.03</v>
      </c>
      <c r="V139" s="32" t="n">
        <v>5.01</v>
      </c>
      <c r="W139" s="32" t="n">
        <v>5.78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Yes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No</t>
        </is>
      </c>
      <c r="AQ139" s="31">
        <f>IF(AP139="Yes",10,0)</f>
        <v/>
      </c>
      <c r="AR139" s="31" t="inlineStr">
        <is>
          <t>Higher Annuity, Lower One Time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Close to 52 week high or retracement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Less than 12%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Above 70%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Less than 0.7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IF(B140=0,"",RANK(B140,$B$2:$B$184,0))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3" t="inlineStr">
        <is>
          <t>ANUHPHR</t>
        </is>
      </c>
      <c r="D140" s="33" t="inlineStr">
        <is>
          <t>Anuh Pharma Ltd</t>
        </is>
      </c>
      <c r="E140" s="31" t="inlineStr">
        <is>
          <t>healthcare</t>
        </is>
      </c>
      <c r="F140" s="31" t="inlineStr">
        <is>
          <t>pharmaceuticals - indian - bulk drugs</t>
        </is>
      </c>
      <c r="G140" s="31" t="inlineStr">
        <is>
          <t>smallcap</t>
        </is>
      </c>
      <c r="H140" s="32" t="n">
        <v>905.3200000000001</v>
      </c>
      <c r="I140" s="32" t="n">
        <v>89.22</v>
      </c>
      <c r="J140" s="32" t="n">
        <v>-1.23</v>
      </c>
      <c r="K140" s="32" t="n">
        <v>141288</v>
      </c>
      <c r="L140" s="31" t="n">
        <v>17</v>
      </c>
      <c r="M140" s="31" t="inlineStr">
        <is>
          <t>Underperforming</t>
        </is>
      </c>
      <c r="N140" s="32">
        <f>IF(M140="Underperforming",-5,IF(L140&gt;=95,15,IF(L140&gt;=90,10,IF(L140&gt;=80,5,0))))</f>
        <v/>
      </c>
      <c r="O140" s="32" t="n">
        <v>60.72</v>
      </c>
      <c r="P140" s="32" t="n">
        <v>16.22</v>
      </c>
      <c r="Q140" s="32" t="n">
        <v>74.91</v>
      </c>
      <c r="R140" s="31" t="inlineStr">
        <is>
          <t>Earnings / Momentum Support</t>
        </is>
      </c>
      <c r="S140" s="31" t="inlineStr">
        <is>
          <t>Nifty Pharma</t>
        </is>
      </c>
      <c r="T140" s="32" t="n">
        <v>15.25</v>
      </c>
      <c r="U140" s="32" t="n">
        <v>3.16</v>
      </c>
      <c r="V140" s="32" t="n">
        <v>-10.49</v>
      </c>
      <c r="W140" s="32" t="n">
        <v>4.5</v>
      </c>
      <c r="X140" s="31" t="inlineStr">
        <is>
          <t>Growing Industry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Yes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No</t>
        </is>
      </c>
      <c r="AQ140" s="31">
        <f>IF(AP140="Yes",10,0)</f>
        <v/>
      </c>
      <c r="AR140" s="31" t="inlineStr">
        <is>
          <t>Higher Annuity, Lower One Time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0 to 20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No</t>
        </is>
      </c>
      <c r="BS140" s="31">
        <f>IF(BR140="NO",5,0)</f>
        <v/>
      </c>
      <c r="BT140" s="31" t="inlineStr">
        <is>
          <t>Less than 1.5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IF(B141=0,"",RANK(B141,$B$2:$B$184,0))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1" t="inlineStr">
        <is>
          <t>CUPID</t>
        </is>
      </c>
      <c r="D141" s="31" t="inlineStr">
        <is>
          <t>Cupid Limited</t>
        </is>
      </c>
      <c r="E141" s="31" t="inlineStr">
        <is>
          <t>fmcg</t>
        </is>
      </c>
      <c r="F141" s="31" t="inlineStr">
        <is>
          <t>personal care - indian</t>
        </is>
      </c>
      <c r="G141" s="31" t="inlineStr">
        <is>
          <t>largecap</t>
        </is>
      </c>
      <c r="H141" s="32" t="n">
        <v>38242.15</v>
      </c>
      <c r="I141" s="32" t="n">
        <v>280</v>
      </c>
      <c r="J141" s="32" t="n">
        <v>-1.55</v>
      </c>
      <c r="K141" s="32" t="n">
        <v>8678314</v>
      </c>
      <c r="L141" s="31" t="inlineStr"/>
      <c r="M141" s="31" t="inlineStr"/>
      <c r="N141" s="32">
        <f>IF(M141="Underperforming",-5,IF(L141&gt;=95,15,IF(L141&gt;=90,10,IF(L141&gt;=80,5,0))))</f>
        <v/>
      </c>
      <c r="O141" s="32" t="n">
        <v>84.79000000000001</v>
      </c>
      <c r="P141" s="32" t="n">
        <v>72.55</v>
      </c>
      <c r="Q141" s="32" t="n">
        <v>230.42</v>
      </c>
      <c r="R141" s="31" t="inlineStr">
        <is>
          <t>Near 52W High Breakout</t>
        </is>
      </c>
      <c r="S141" s="31" t="inlineStr">
        <is>
          <t>Nifty FMCG</t>
        </is>
      </c>
      <c r="T141" s="32" t="inlineStr"/>
      <c r="U141" s="32" t="inlineStr"/>
      <c r="V141" s="32" t="inlineStr"/>
      <c r="W141" s="32" t="inlineStr"/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B2C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Annuity, Lower One Time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Above 40</t>
        </is>
      </c>
      <c r="AY141" s="31">
        <f>IF(AX141="Above 40",20,IF(AX141="20 to 40",10,IF(AX141="0 to 20",-5,0)))</f>
        <v/>
      </c>
      <c r="AZ141" s="31" t="inlineStr">
        <is>
          <t>Above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Negative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Blue sky scenario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Yes</t>
        </is>
      </c>
      <c r="BS141" s="31">
        <f>IF(BR141="NO",5,0)</f>
        <v/>
      </c>
      <c r="BT141" s="31" t="inlineStr">
        <is>
          <t>Above 2</t>
        </is>
      </c>
      <c r="BU141" s="31">
        <f>IF(BT141="Above 2",0,IF(BT141="Between 1.5 to 2",5,IF(BT141="Less than 1.5",10,0)))</f>
        <v/>
      </c>
      <c r="BV141" s="31" t="inlineStr">
        <is>
          <t>Above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IF(B142=0,"",RANK(B142,$B$2:$B$184,0))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HATSUN</t>
        </is>
      </c>
      <c r="D142" s="31" t="inlineStr">
        <is>
          <t>Hatsun Agro Product Limited</t>
        </is>
      </c>
      <c r="E142" s="31" t="inlineStr">
        <is>
          <t>fmcg</t>
        </is>
      </c>
      <c r="F142" s="31" t="inlineStr">
        <is>
          <t>food - processing - indian</t>
        </is>
      </c>
      <c r="G142" s="31" t="inlineStr">
        <is>
          <t>largecap</t>
        </is>
      </c>
      <c r="H142" s="32" t="n">
        <v>28400.4</v>
      </c>
      <c r="I142" s="32" t="n">
        <v>1214</v>
      </c>
      <c r="J142" s="32" t="n">
        <v>-4.78</v>
      </c>
      <c r="K142" s="32" t="n">
        <v>88440</v>
      </c>
      <c r="L142" s="31" t="inlineStr"/>
      <c r="M142" s="31" t="inlineStr"/>
      <c r="N142" s="32">
        <f>IF(M142="Underperforming",-5,IF(L142&gt;=95,15,IF(L142&gt;=90,10,IF(L142&gt;=80,5,0))))</f>
        <v/>
      </c>
      <c r="O142" s="32" t="n">
        <v>75.84</v>
      </c>
      <c r="P142" s="32" t="n">
        <v>27.44</v>
      </c>
      <c r="Q142" s="32" t="n">
        <v>989.29</v>
      </c>
      <c r="R142" s="31" t="inlineStr">
        <is>
          <t>Volume Spike &amp; Near 52W High Breakout</t>
        </is>
      </c>
      <c r="S142" s="31" t="inlineStr">
        <is>
          <t>Nifty FMCG</t>
        </is>
      </c>
      <c r="T142" s="32" t="inlineStr"/>
      <c r="U142" s="32" t="inlineStr"/>
      <c r="V142" s="32" t="inlineStr"/>
      <c r="W142" s="32" t="inlineStr"/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B2C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Annuity, Lower One Time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Above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Blue sky scenario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Between 0.7 to 1.2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IF(B143=0,"",RANK(B143,$B$2:$B$184,0))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ANTELOPUS</t>
        </is>
      </c>
      <c r="D143" s="31" t="inlineStr">
        <is>
          <t>Antelopus Selan Energy Ltd</t>
        </is>
      </c>
      <c r="E143" s="31" t="inlineStr">
        <is>
          <t>energy</t>
        </is>
      </c>
      <c r="F143" s="31" t="inlineStr">
        <is>
          <t>oil drilling / allied services</t>
        </is>
      </c>
      <c r="G143" s="31" t="inlineStr">
        <is>
          <t>smallcap</t>
        </is>
      </c>
      <c r="H143" s="32" t="n">
        <v>3719.47</v>
      </c>
      <c r="I143" s="32" t="n">
        <v>1170.95</v>
      </c>
      <c r="J143" s="32" t="n">
        <v>10.7</v>
      </c>
      <c r="K143" s="32" t="n">
        <v>4319113</v>
      </c>
      <c r="L143" s="31" t="inlineStr"/>
      <c r="M143" s="31" t="inlineStr"/>
      <c r="N143" s="32">
        <f>IF(M143="Underperforming",-5,IF(L143&gt;=95,15,IF(L143&gt;=90,10,IF(L143&gt;=80,5,0))))</f>
        <v/>
      </c>
      <c r="O143" s="32" t="n">
        <v>75.34</v>
      </c>
      <c r="P143" s="32" t="n">
        <v>45.4</v>
      </c>
      <c r="Q143" s="32" t="n">
        <v>805.9</v>
      </c>
      <c r="R143" s="31" t="inlineStr">
        <is>
          <t>Near 52W High Breakout</t>
        </is>
      </c>
      <c r="S143" s="31" t="inlineStr">
        <is>
          <t>Nifty Energy</t>
        </is>
      </c>
      <c r="T143" s="32" t="inlineStr"/>
      <c r="U143" s="32" t="inlineStr"/>
      <c r="V143" s="32" t="inlineStr"/>
      <c r="W143" s="32" t="inlineStr"/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Oligopoly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Yes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Cyclical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Volatile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Above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No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Above 70%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IF(B144=0,"",RANK(B144,$B$2:$B$184,0))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KSL</t>
        </is>
      </c>
      <c r="D144" s="31" t="inlineStr">
        <is>
          <t>Kalyani Steels Limited</t>
        </is>
      </c>
      <c r="E144" s="31" t="inlineStr">
        <is>
          <t>metals &amp; mining</t>
        </is>
      </c>
      <c r="F144" s="31" t="inlineStr">
        <is>
          <t>steel - medium / small</t>
        </is>
      </c>
      <c r="G144" s="31" t="inlineStr">
        <is>
          <t>smallcap</t>
        </is>
      </c>
      <c r="H144" s="32" t="n">
        <v>4061.7</v>
      </c>
      <c r="I144" s="32" t="n">
        <v>952</v>
      </c>
      <c r="J144" s="32" t="n">
        <v>2.32</v>
      </c>
      <c r="K144" s="32" t="n">
        <v>108914</v>
      </c>
      <c r="L144" s="31" t="inlineStr"/>
      <c r="M144" s="31" t="inlineStr"/>
      <c r="N144" s="32">
        <f>IF(M144="Underperforming",-5,IF(L144&gt;=95,15,IF(L144&gt;=90,10,IF(L144&gt;=80,5,0))))</f>
        <v/>
      </c>
      <c r="O144" s="32" t="n">
        <v>64</v>
      </c>
      <c r="P144" s="32" t="n">
        <v>27.74</v>
      </c>
      <c r="Q144" s="32" t="n">
        <v>759.03</v>
      </c>
      <c r="R144" s="31" t="inlineStr">
        <is>
          <t>Near 52W High Breakout</t>
        </is>
      </c>
      <c r="S144" s="31" t="inlineStr">
        <is>
          <t>Nifty Metal</t>
        </is>
      </c>
      <c r="T144" s="32" t="inlineStr"/>
      <c r="U144" s="32" t="inlineStr"/>
      <c r="V144" s="32" t="inlineStr"/>
      <c r="W144" s="32" t="inlineStr"/>
      <c r="X144" s="31" t="inlineStr">
        <is>
          <t>Cyclical in an Upturn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Cyclical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Volatile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No</t>
        </is>
      </c>
      <c r="BS144" s="31">
        <f>IF(BR144="NO",5,0)</f>
        <v/>
      </c>
      <c r="BT144" s="31" t="inlineStr">
        <is>
          <t>Less than 1.5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IF(B145=0,"",RANK(B145,$B$2:$B$184,0))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SHANTIGEAR</t>
        </is>
      </c>
      <c r="D145" s="31" t="inlineStr">
        <is>
          <t>Shanthi Gears Limited</t>
        </is>
      </c>
      <c r="E145" s="31" t="inlineStr">
        <is>
          <t>industrials</t>
        </is>
      </c>
      <c r="F145" s="31" t="inlineStr">
        <is>
          <t>engineering</t>
        </is>
      </c>
      <c r="G145" s="31" t="inlineStr">
        <is>
          <t>midcap</t>
        </is>
      </c>
      <c r="H145" s="32" t="n">
        <v>5210.92</v>
      </c>
      <c r="I145" s="32" t="n">
        <v>691.6</v>
      </c>
      <c r="J145" s="32" t="n">
        <v>1.82</v>
      </c>
      <c r="K145" s="32" t="n">
        <v>212317</v>
      </c>
      <c r="L145" s="31" t="n">
        <v>59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78.87</v>
      </c>
      <c r="P145" s="32" t="n">
        <v>30.68</v>
      </c>
      <c r="Q145" s="32" t="n">
        <v>564.95</v>
      </c>
      <c r="R145" s="31" t="inlineStr">
        <is>
          <t>Near 52W High Breakout</t>
        </is>
      </c>
      <c r="S145" s="31" t="inlineStr">
        <is>
          <t>Nifty 50</t>
        </is>
      </c>
      <c r="T145" s="32" t="n">
        <v>-8.33</v>
      </c>
      <c r="U145" s="32" t="n">
        <v>25.94</v>
      </c>
      <c r="V145" s="32" t="n">
        <v>37.38</v>
      </c>
      <c r="W145" s="32" t="n">
        <v>17.93</v>
      </c>
      <c r="X145" s="31" t="inlineStr">
        <is>
          <t>Cyclical in an Upturn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Yes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20 to 40</t>
        </is>
      </c>
      <c r="AY145" s="31">
        <f>IF(AX145="Above 40",20,IF(AX145="20 to 40",10,IF(AX145="0 to 20",-5,0)))</f>
        <v/>
      </c>
      <c r="AZ145" s="31" t="inlineStr">
        <is>
          <t>Above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Blue sky scenario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Less than 12%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Yes</t>
        </is>
      </c>
      <c r="BS145" s="31">
        <f>IF(BR145="NO",5,0)</f>
        <v/>
      </c>
      <c r="BT145" s="31" t="inlineStr">
        <is>
          <t>Above 2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IF(B146=0,"",RANK(B146,$B$2:$B$184,0))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ACE</t>
        </is>
      </c>
      <c r="D146" s="31" t="inlineStr">
        <is>
          <t>Action Construction Equipment Limited</t>
        </is>
      </c>
      <c r="E146" s="31" t="inlineStr">
        <is>
          <t>industrials</t>
        </is>
      </c>
      <c r="F146" s="31" t="inlineStr">
        <is>
          <t>engineering</t>
        </is>
      </c>
      <c r="G146" s="31" t="inlineStr">
        <is>
          <t>midcap</t>
        </is>
      </c>
      <c r="H146" s="32" t="n">
        <v>13481.41</v>
      </c>
      <c r="I146" s="32" t="n">
        <v>1149.7</v>
      </c>
      <c r="J146" s="32" t="n">
        <v>1.55</v>
      </c>
      <c r="K146" s="32" t="n">
        <v>425403</v>
      </c>
      <c r="L146" s="31" t="n">
        <v>18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67.31999999999999</v>
      </c>
      <c r="P146" s="32" t="n">
        <v>35.9</v>
      </c>
      <c r="Q146" s="32" t="n">
        <v>961.37</v>
      </c>
      <c r="R146" s="31" t="inlineStr">
        <is>
          <t>Near 52W High Breakout</t>
        </is>
      </c>
      <c r="S146" s="31" t="inlineStr">
        <is>
          <t>Nifty 50</t>
        </is>
      </c>
      <c r="T146" s="32" t="n">
        <v>-8.33</v>
      </c>
      <c r="U146" s="32" t="n">
        <v>0.16</v>
      </c>
      <c r="V146" s="32" t="n">
        <v>9.26</v>
      </c>
      <c r="W146" s="32" t="n">
        <v>4.77</v>
      </c>
      <c r="X146" s="31" t="inlineStr">
        <is>
          <t>Cyclical in an Upturn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Negative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Close to 52 week high or retracement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More than 20%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No</t>
        </is>
      </c>
      <c r="BS146" s="31">
        <f>IF(BR146="NO",5,0)</f>
        <v/>
      </c>
      <c r="BT146" s="31" t="inlineStr">
        <is>
          <t>Less than 1.5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Less than 0.7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IF(B147=0,"",RANK(B147,$B$2:$B$184,0))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MAXESTATES</t>
        </is>
      </c>
      <c r="D147" s="31" t="inlineStr">
        <is>
          <t>Max Estates Ltd</t>
        </is>
      </c>
      <c r="E147" s="31" t="inlineStr">
        <is>
          <t>realty</t>
        </is>
      </c>
      <c r="F147" s="31" t="inlineStr">
        <is>
          <t>construction</t>
        </is>
      </c>
      <c r="G147" s="31" t="inlineStr">
        <is>
          <t>midcap</t>
        </is>
      </c>
      <c r="H147" s="32" t="n">
        <v>9301.360000000001</v>
      </c>
      <c r="I147" s="32" t="n">
        <v>572.1</v>
      </c>
      <c r="J147" s="32" t="n">
        <v>0.5600000000000001</v>
      </c>
      <c r="K147" s="32" t="n">
        <v>132037</v>
      </c>
      <c r="L147" s="31" t="inlineStr"/>
      <c r="M147" s="31" t="inlineStr"/>
      <c r="N147" s="32">
        <f>IF(M147="Underperforming",-5,IF(L147&gt;=95,15,IF(L147&gt;=90,10,IF(L147&gt;=80,5,0))))</f>
        <v/>
      </c>
      <c r="O147" s="32" t="n">
        <v>72.89</v>
      </c>
      <c r="P147" s="32" t="n">
        <v>27.31</v>
      </c>
      <c r="Q147" s="32" t="n">
        <v>443.14</v>
      </c>
      <c r="R147" s="31" t="inlineStr">
        <is>
          <t>Near 52W High Breakout</t>
        </is>
      </c>
      <c r="S147" s="31" t="inlineStr">
        <is>
          <t>Nifty Realty</t>
        </is>
      </c>
      <c r="T147" s="32" t="inlineStr"/>
      <c r="U147" s="32" t="inlineStr"/>
      <c r="V147" s="32" t="inlineStr"/>
      <c r="W147" s="32" t="inlineStr"/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Yes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20 to 40</t>
        </is>
      </c>
      <c r="AY147" s="31">
        <f>IF(AX147="Above 40",20,IF(AX147="20 to 40",10,IF(AX147="0 to 20",-5,0)))</f>
        <v/>
      </c>
      <c r="AZ147" s="31" t="inlineStr">
        <is>
          <t>Between 50 to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Less than 12%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Yes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Between 0.7 to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IF(B148=0,"",RANK(B148,$B$2:$B$184,0))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LGBBROSLTD</t>
        </is>
      </c>
      <c r="D148" s="31" t="inlineStr">
        <is>
          <t>Lg Balakrishnan &amp; Bros Limited</t>
        </is>
      </c>
      <c r="E148" s="31" t="inlineStr">
        <is>
          <t>auto</t>
        </is>
      </c>
      <c r="F148" s="31" t="inlineStr">
        <is>
          <t>bearings</t>
        </is>
      </c>
      <c r="G148" s="31" t="inlineStr">
        <is>
          <t>midcap</t>
        </is>
      </c>
      <c r="H148" s="32" t="n">
        <v>5431.92</v>
      </c>
      <c r="I148" s="32" t="n">
        <v>1706.7</v>
      </c>
      <c r="J148" s="32" t="n">
        <v>0.21</v>
      </c>
      <c r="K148" s="32" t="n">
        <v>38929</v>
      </c>
      <c r="L148" s="31" t="inlineStr"/>
      <c r="M148" s="31" t="inlineStr"/>
      <c r="N148" s="32">
        <f>IF(M148="Underperforming",-5,IF(L148&gt;=95,15,IF(L148&gt;=90,10,IF(L148&gt;=80,5,0))))</f>
        <v/>
      </c>
      <c r="O148" s="32" t="n">
        <v>57.69</v>
      </c>
      <c r="P148" s="32" t="n">
        <v>11.18</v>
      </c>
      <c r="Q148" s="32" t="n">
        <v>1435.34</v>
      </c>
      <c r="R148" s="31" t="inlineStr">
        <is>
          <t>Earnings / Momentum Support</t>
        </is>
      </c>
      <c r="S148" s="31" t="inlineStr">
        <is>
          <t>Nifty Auto</t>
        </is>
      </c>
      <c r="T148" s="32" t="inlineStr"/>
      <c r="U148" s="32" t="inlineStr"/>
      <c r="V148" s="32" t="inlineStr"/>
      <c r="W148" s="32" t="inlineStr"/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No</t>
        </is>
      </c>
      <c r="AQ148" s="31">
        <f>IF(AP148="Yes",10,0)</f>
        <v/>
      </c>
      <c r="AR148" s="31" t="inlineStr">
        <is>
          <t>Higher One Time, Lower Annuity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0 to 20</t>
        </is>
      </c>
      <c r="AY148" s="31">
        <f>IF(AX148="Above 40",20,IF(AX148="20 to 40",10,IF(AX148="0 to 20",-5,0)))</f>
        <v/>
      </c>
      <c r="AZ148" s="31" t="inlineStr">
        <is>
          <t>Between 50 to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Close to 52 week high or retracement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No</t>
        </is>
      </c>
      <c r="BS148" s="31">
        <f>IF(BR148="NO",5,0)</f>
        <v/>
      </c>
      <c r="BT148" s="31" t="inlineStr">
        <is>
          <t>Less than 1.5</t>
        </is>
      </c>
      <c r="BU148" s="31">
        <f>IF(BT148="Above 2",0,IF(BT148="Between 1.5 to 2",5,IF(BT148="Less than 1.5",10,0)))</f>
        <v/>
      </c>
      <c r="BV148" s="31" t="inlineStr">
        <is>
          <t>Above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IF(B149=0,"",RANK(B149,$B$2:$B$184,0))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IONEXCHANG</t>
        </is>
      </c>
      <c r="D149" s="31" t="inlineStr">
        <is>
          <t>Ion Exchange (India) Ltd</t>
        </is>
      </c>
      <c r="E149" s="31" t="inlineStr">
        <is>
          <t>realty</t>
        </is>
      </c>
      <c r="F149" s="31" t="inlineStr">
        <is>
          <t>engineering - turnkey services</t>
        </is>
      </c>
      <c r="G149" s="31" t="inlineStr">
        <is>
          <t>midcap</t>
        </is>
      </c>
      <c r="H149" s="32" t="n">
        <v>6336</v>
      </c>
      <c r="I149" s="32" t="n">
        <v>426.25</v>
      </c>
      <c r="J149" s="32" t="n">
        <v>-1.33</v>
      </c>
      <c r="K149" s="32" t="n">
        <v>344615</v>
      </c>
      <c r="L149" s="31" t="inlineStr"/>
      <c r="M149" s="31" t="inlineStr"/>
      <c r="N149" s="32">
        <f>IF(M149="Underperforming",-5,IF(L149&gt;=95,15,IF(L149&gt;=90,10,IF(L149&gt;=80,5,0))))</f>
        <v/>
      </c>
      <c r="O149" s="32" t="n">
        <v>55.94</v>
      </c>
      <c r="P149" s="32" t="n">
        <v>21.5</v>
      </c>
      <c r="Q149" s="32" t="n">
        <v>352.71</v>
      </c>
      <c r="R149" s="31" t="inlineStr">
        <is>
          <t>Earnings / Momentum Support</t>
        </is>
      </c>
      <c r="S149" s="31" t="inlineStr">
        <is>
          <t>Nifty Realty</t>
        </is>
      </c>
      <c r="T149" s="32" t="inlineStr"/>
      <c r="U149" s="32" t="inlineStr"/>
      <c r="V149" s="32" t="inlineStr"/>
      <c r="W149" s="32" t="inlineStr"/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B2B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One Time, Lower Annuity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Yes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Above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IF(B150=0,"",RANK(B150,$B$2:$B$184,0))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1" t="inlineStr">
        <is>
          <t>MANINDS</t>
        </is>
      </c>
      <c r="D150" s="31" t="inlineStr">
        <is>
          <t>Man Industries (india) Limited</t>
        </is>
      </c>
      <c r="E150" s="31" t="inlineStr">
        <is>
          <t>metals &amp; mining</t>
        </is>
      </c>
      <c r="F150" s="31" t="inlineStr">
        <is>
          <t>steel - medium / small</t>
        </is>
      </c>
      <c r="G150" s="31" t="inlineStr">
        <is>
          <t>midcap</t>
        </is>
      </c>
      <c r="H150" s="32" t="n">
        <v>6062.27</v>
      </c>
      <c r="I150" s="32" t="n">
        <v>790.3</v>
      </c>
      <c r="J150" s="32" t="n">
        <v>-2.21</v>
      </c>
      <c r="K150" s="32" t="n">
        <v>2075576</v>
      </c>
      <c r="L150" s="31" t="inlineStr"/>
      <c r="M150" s="31" t="inlineStr"/>
      <c r="N150" s="32">
        <f>IF(M150="Underperforming",-5,IF(L150&gt;=95,15,IF(L150&gt;=90,10,IF(L150&gt;=80,5,0))))</f>
        <v/>
      </c>
      <c r="O150" s="32" t="n">
        <v>68.84</v>
      </c>
      <c r="P150" s="32" t="n">
        <v>38.39</v>
      </c>
      <c r="Q150" s="32" t="n">
        <v>643.77</v>
      </c>
      <c r="R150" s="31" t="inlineStr">
        <is>
          <t>Earnings / Momentum Support</t>
        </is>
      </c>
      <c r="S150" s="31" t="inlineStr">
        <is>
          <t>Nifty Metal</t>
        </is>
      </c>
      <c r="T150" s="32" t="inlineStr"/>
      <c r="U150" s="32" t="inlineStr"/>
      <c r="V150" s="32" t="inlineStr"/>
      <c r="W150" s="32" t="inlineStr"/>
      <c r="X150" s="31" t="inlineStr">
        <is>
          <t>Cyclical in an Upturn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No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Cyclical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Volatile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No</t>
        </is>
      </c>
      <c r="AQ150" s="31">
        <f>IF(AP150="Yes",10,0)</f>
        <v/>
      </c>
      <c r="AR150" s="31" t="inlineStr">
        <is>
          <t>Higher One Time, Lower Annuity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More than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No</t>
        </is>
      </c>
      <c r="BS150" s="31">
        <f>IF(BR150="NO",5,0)</f>
        <v/>
      </c>
      <c r="BT150" s="31" t="inlineStr">
        <is>
          <t>Less than 1.5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IF(B151=0,"",RANK(B151,$B$2:$B$184,0))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MAHASTEEL</t>
        </is>
      </c>
      <c r="D151" s="31" t="inlineStr">
        <is>
          <t>Mahamaya Steel Industries Limited</t>
        </is>
      </c>
      <c r="E151" s="31" t="inlineStr">
        <is>
          <t>metals &amp; mining</t>
        </is>
      </c>
      <c r="F151" s="31" t="inlineStr">
        <is>
          <t>steel - medium / small</t>
        </is>
      </c>
      <c r="G151" s="31" t="inlineStr">
        <is>
          <t>smallcap</t>
        </is>
      </c>
      <c r="H151" s="32" t="n">
        <v>2127.43</v>
      </c>
      <c r="I151" s="32" t="n">
        <v>1265.1</v>
      </c>
      <c r="J151" s="32" t="n">
        <v>-2.27</v>
      </c>
      <c r="K151" s="32" t="n">
        <v>7469</v>
      </c>
      <c r="L151" s="31" t="inlineStr"/>
      <c r="M151" s="31" t="inlineStr"/>
      <c r="N151" s="32">
        <f>IF(M151="Underperforming",-5,IF(L151&gt;=95,15,IF(L151&gt;=90,10,IF(L151&gt;=80,5,0))))</f>
        <v/>
      </c>
      <c r="O151" s="32" t="n">
        <v>69.26000000000001</v>
      </c>
      <c r="P151" s="32" t="n">
        <v>25.34</v>
      </c>
      <c r="Q151" s="32" t="n">
        <v>978.01</v>
      </c>
      <c r="R151" s="31" t="inlineStr">
        <is>
          <t>Near 52W High Breakout</t>
        </is>
      </c>
      <c r="S151" s="31" t="inlineStr">
        <is>
          <t>Nifty Metal</t>
        </is>
      </c>
      <c r="T151" s="32" t="inlineStr"/>
      <c r="U151" s="32" t="inlineStr"/>
      <c r="V151" s="32" t="inlineStr"/>
      <c r="W151" s="32" t="inlineStr"/>
      <c r="X151" s="31" t="inlineStr">
        <is>
          <t>Cyclical in an Upturn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No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Cyclical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Volatile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One Time, Lower Annuity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More than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Above 70%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IF(B152=0,"",RANK(B152,$B$2:$B$184,0))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SMLMAH</t>
        </is>
      </c>
      <c r="D152" s="31" t="inlineStr">
        <is>
          <t>SML Mahindra Ltd</t>
        </is>
      </c>
      <c r="E152" s="31" t="inlineStr">
        <is>
          <t>auto</t>
        </is>
      </c>
      <c r="F152" s="31" t="inlineStr">
        <is>
          <t>automobiles - lcvs / hcvs</t>
        </is>
      </c>
      <c r="G152" s="31" t="inlineStr">
        <is>
          <t>midcap</t>
        </is>
      </c>
      <c r="H152" s="32" t="n">
        <v>9050.57</v>
      </c>
      <c r="I152" s="32" t="n">
        <v>5971.5</v>
      </c>
      <c r="J152" s="32" t="n">
        <v>-4.52</v>
      </c>
      <c r="K152" s="32" t="n">
        <v>83297</v>
      </c>
      <c r="L152" s="31" t="inlineStr"/>
      <c r="M152" s="31" t="inlineStr"/>
      <c r="N152" s="32">
        <f>IF(M152="Underperforming",-5,IF(L152&gt;=95,15,IF(L152&gt;=90,10,IF(L152&gt;=80,5,0))))</f>
        <v/>
      </c>
      <c r="O152" s="32" t="n">
        <v>63.43</v>
      </c>
      <c r="P152" s="32" t="n">
        <v>26.95</v>
      </c>
      <c r="Q152" s="32" t="n">
        <v>4855.18</v>
      </c>
      <c r="R152" s="31" t="inlineStr">
        <is>
          <t>Earnings / Momentum Support</t>
        </is>
      </c>
      <c r="S152" s="31" t="inlineStr">
        <is>
          <t>Nifty Auto</t>
        </is>
      </c>
      <c r="T152" s="32" t="inlineStr"/>
      <c r="U152" s="32" t="inlineStr"/>
      <c r="V152" s="32" t="inlineStr"/>
      <c r="W152" s="32" t="inlineStr"/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No</t>
        </is>
      </c>
      <c r="AQ152" s="31">
        <f>IF(AP152="Yes",10,0)</f>
        <v/>
      </c>
      <c r="AR152" s="31" t="inlineStr">
        <is>
          <t>Higher One Time, Lower Annuity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20 to 40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Less than 12%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IF(B153=0,"",RANK(B153,$B$2:$B$184,0))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MANAKSTEEL</t>
        </is>
      </c>
      <c r="D153" s="31" t="inlineStr">
        <is>
          <t>Manaksia Steels Limited</t>
        </is>
      </c>
      <c r="E153" s="31" t="inlineStr">
        <is>
          <t>metals &amp; mining</t>
        </is>
      </c>
      <c r="F153" s="31" t="inlineStr">
        <is>
          <t>steel - medium / small</t>
        </is>
      </c>
      <c r="G153" s="31" t="inlineStr">
        <is>
          <t>smallcap</t>
        </is>
      </c>
      <c r="H153" s="32" t="n">
        <v>734.11</v>
      </c>
      <c r="I153" s="32" t="n">
        <v>106.42</v>
      </c>
      <c r="J153" s="32" t="n">
        <v>-5</v>
      </c>
      <c r="K153" s="32" t="n">
        <v>75116</v>
      </c>
      <c r="L153" s="31" t="inlineStr"/>
      <c r="M153" s="31" t="inlineStr"/>
      <c r="N153" s="32">
        <f>IF(M153="Underperforming",-5,IF(L153&gt;=95,15,IF(L153&gt;=90,10,IF(L153&gt;=80,5,0))))</f>
        <v/>
      </c>
      <c r="O153" s="32" t="n">
        <v>68.41</v>
      </c>
      <c r="P153" s="32" t="n">
        <v>46.76</v>
      </c>
      <c r="Q153" s="32" t="n">
        <v>87.68000000000001</v>
      </c>
      <c r="R153" s="31" t="inlineStr">
        <is>
          <t>Earnings / Momentum Support</t>
        </is>
      </c>
      <c r="S153" s="31" t="inlineStr">
        <is>
          <t>Nifty Metal</t>
        </is>
      </c>
      <c r="T153" s="32" t="inlineStr"/>
      <c r="U153" s="32" t="inlineStr"/>
      <c r="V153" s="32" t="inlineStr"/>
      <c r="W153" s="32" t="inlineStr"/>
      <c r="X153" s="31" t="inlineStr">
        <is>
          <t>Cyclical in an Upturn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No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Cyclical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Volatile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No</t>
        </is>
      </c>
      <c r="AQ153" s="31">
        <f>IF(AP153="Yes",10,0)</f>
        <v/>
      </c>
      <c r="AR153" s="31" t="inlineStr">
        <is>
          <t>Higher One Time, Lower Annuity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Above 40</t>
        </is>
      </c>
      <c r="AY153" s="31">
        <f>IF(AX153="Above 40",20,IF(AX153="20 to 40",10,IF(AX153="0 to 20",-5,0)))</f>
        <v/>
      </c>
      <c r="AZ153" s="31" t="inlineStr">
        <is>
          <t>Between 50 to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Close to 52 week high or retracement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More than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No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IF(B154=0,"",RANK(B154,$B$2:$B$184,0))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MUKKA</t>
        </is>
      </c>
      <c r="D154" s="31" t="inlineStr">
        <is>
          <t>Mukka Proteins Ltd</t>
        </is>
      </c>
      <c r="E154" s="31" t="inlineStr">
        <is>
          <t>fmcg</t>
        </is>
      </c>
      <c r="F154" s="31" t="inlineStr">
        <is>
          <t>food - processing - indian</t>
        </is>
      </c>
      <c r="G154" s="31" t="inlineStr">
        <is>
          <t>smallcap</t>
        </is>
      </c>
      <c r="H154" s="32" t="n">
        <v>941.7</v>
      </c>
      <c r="I154" s="32" t="n">
        <v>29.53</v>
      </c>
      <c r="J154" s="32" t="n">
        <v>-5.93</v>
      </c>
      <c r="K154" s="32" t="n">
        <v>1355601</v>
      </c>
      <c r="L154" s="31" t="inlineStr"/>
      <c r="M154" s="31" t="inlineStr"/>
      <c r="N154" s="32">
        <f>IF(M154="Underperforming",-5,IF(L154&gt;=95,15,IF(L154&gt;=90,10,IF(L154&gt;=80,5,0))))</f>
        <v/>
      </c>
      <c r="O154" s="32" t="n">
        <v>62.39</v>
      </c>
      <c r="P154" s="32" t="n">
        <v>16.68</v>
      </c>
      <c r="Q154" s="32" t="n">
        <v>23.86</v>
      </c>
      <c r="R154" s="31" t="inlineStr">
        <is>
          <t>Earnings / Momentum Support</t>
        </is>
      </c>
      <c r="S154" s="31" t="inlineStr">
        <is>
          <t>Nifty FMCG</t>
        </is>
      </c>
      <c r="T154" s="32" t="inlineStr"/>
      <c r="U154" s="32" t="inlineStr"/>
      <c r="V154" s="32" t="inlineStr"/>
      <c r="W154" s="32" t="inlineStr"/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No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B2C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0 to 20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More than 20%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No</t>
        </is>
      </c>
      <c r="BS154" s="31">
        <f>IF(BR154="NO",5,0)</f>
        <v/>
      </c>
      <c r="BT154" s="31" t="inlineStr">
        <is>
          <t>Less than 1.5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More than 1.2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IF(B155=0,"",RANK(B155,$B$2:$B$184,0))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MATRIMONY</t>
        </is>
      </c>
      <c r="D155" s="31" t="inlineStr">
        <is>
          <t>Matrimony.com Ltd</t>
        </is>
      </c>
      <c r="E155" s="31" t="inlineStr">
        <is>
          <t>miscellaneous</t>
        </is>
      </c>
      <c r="F155" s="31" t="inlineStr">
        <is>
          <t>miscellaneous</t>
        </is>
      </c>
      <c r="G155" s="31" t="inlineStr">
        <is>
          <t>smallcap</t>
        </is>
      </c>
      <c r="H155" s="32" t="n">
        <v>1029.12</v>
      </c>
      <c r="I155" s="32" t="n">
        <v>533.4</v>
      </c>
      <c r="J155" s="32" t="n">
        <v>7.15</v>
      </c>
      <c r="K155" s="32" t="n">
        <v>40915</v>
      </c>
      <c r="L155" s="31" t="n">
        <v>36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63.78</v>
      </c>
      <c r="P155" s="32" t="n">
        <v>35.42</v>
      </c>
      <c r="Q155" s="32" t="n">
        <v>423.74</v>
      </c>
      <c r="R155" s="31" t="inlineStr">
        <is>
          <t>Near 52W High Breakout</t>
        </is>
      </c>
      <c r="S155" s="31" t="inlineStr">
        <is>
          <t>Nifty 50</t>
        </is>
      </c>
      <c r="T155" s="32" t="n">
        <v>-8.33</v>
      </c>
      <c r="U155" s="32" t="n">
        <v>5.18</v>
      </c>
      <c r="V155" s="32" t="n">
        <v>14.73</v>
      </c>
      <c r="W155" s="32" t="n">
        <v>10.38</v>
      </c>
      <c r="X155" s="31" t="inlineStr">
        <is>
          <t>Growing Industry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20 to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Negative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Close to 52 week high or retracement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More than 20%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No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Above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Less than 0.7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IF(B156=0,"",RANK(B156,$B$2:$B$184,0))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ROSSTECH</t>
        </is>
      </c>
      <c r="D156" s="31" t="inlineStr">
        <is>
          <t>Rossell Techsys Ltd</t>
        </is>
      </c>
      <c r="E156" s="31" t="inlineStr">
        <is>
          <t>aerospace &amp; defence</t>
        </is>
      </c>
      <c r="F156" s="31" t="inlineStr">
        <is>
          <t>engineering</t>
        </is>
      </c>
      <c r="G156" s="31" t="inlineStr">
        <is>
          <t>smallcap</t>
        </is>
      </c>
      <c r="H156" s="32" t="n">
        <v>4770.11</v>
      </c>
      <c r="I156" s="32" t="n">
        <v>1349.9</v>
      </c>
      <c r="J156" s="32" t="n">
        <v>6.68</v>
      </c>
      <c r="K156" s="32" t="n">
        <v>3386100</v>
      </c>
      <c r="L156" s="31" t="n">
        <v>66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75.61</v>
      </c>
      <c r="P156" s="32" t="n">
        <v>27.73</v>
      </c>
      <c r="Q156" s="32" t="n">
        <v>1001.44</v>
      </c>
      <c r="R156" s="31" t="inlineStr">
        <is>
          <t>Volume Spike &amp; Near 52W High Breakout</t>
        </is>
      </c>
      <c r="S156" s="31" t="inlineStr">
        <is>
          <t>Nifty 50</t>
        </is>
      </c>
      <c r="T156" s="32" t="n">
        <v>-8.33</v>
      </c>
      <c r="U156" s="32" t="n">
        <v>79.88</v>
      </c>
      <c r="V156" s="32" t="n">
        <v>96.22</v>
      </c>
      <c r="W156" s="32" t="n">
        <v>20.63</v>
      </c>
      <c r="X156" s="31" t="inlineStr">
        <is>
          <t>Growing Industry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More than 20%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More than 1.2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IF(B157=0,"",RANK(B157,$B$2:$B$184,0))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MANALIPETC</t>
        </is>
      </c>
      <c r="D157" s="31" t="inlineStr">
        <is>
          <t>Manali Petrochemicals Limited</t>
        </is>
      </c>
      <c r="E157" s="31" t="inlineStr">
        <is>
          <t>energy</t>
        </is>
      </c>
      <c r="F157" s="31" t="inlineStr">
        <is>
          <t>petrochemicals</t>
        </is>
      </c>
      <c r="G157" s="31" t="inlineStr">
        <is>
          <t>smallcap</t>
        </is>
      </c>
      <c r="H157" s="32" t="n">
        <v>1379.26</v>
      </c>
      <c r="I157" s="32" t="n">
        <v>82.37</v>
      </c>
      <c r="J157" s="32" t="n">
        <v>2.72</v>
      </c>
      <c r="K157" s="32" t="n">
        <v>2637453</v>
      </c>
      <c r="L157" s="31" t="inlineStr"/>
      <c r="M157" s="31" t="inlineStr"/>
      <c r="N157" s="32">
        <f>IF(M157="Underperforming",-5,IF(L157&gt;=95,15,IF(L157&gt;=90,10,IF(L157&gt;=80,5,0))))</f>
        <v/>
      </c>
      <c r="O157" s="32" t="n">
        <v>68.63</v>
      </c>
      <c r="P157" s="32" t="n">
        <v>42.81</v>
      </c>
      <c r="Q157" s="32" t="n">
        <v>64</v>
      </c>
      <c r="R157" s="31" t="inlineStr">
        <is>
          <t>Earnings / Momentum Support</t>
        </is>
      </c>
      <c r="S157" s="31" t="inlineStr">
        <is>
          <t>Nifty Energy</t>
        </is>
      </c>
      <c r="T157" s="32" t="inlineStr"/>
      <c r="U157" s="32" t="inlineStr"/>
      <c r="V157" s="32" t="inlineStr"/>
      <c r="W157" s="32" t="inlineStr"/>
      <c r="X157" s="31" t="inlineStr">
        <is>
          <t>Cyclical in an Upturn</t>
        </is>
      </c>
      <c r="Y157" s="31">
        <f>IF(X157="Growing Industry",10,IF(X157="Cyclical in an Upturn",5,0))</f>
        <v/>
      </c>
      <c r="Z157" s="31" t="inlineStr">
        <is>
          <t>Oligopoly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Yes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Cyclical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Volatile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No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Above 40</t>
        </is>
      </c>
      <c r="AY157" s="31">
        <f>IF(AX157="Above 40",20,IF(AX157="20 to 40",10,IF(AX157="0 to 20",-5,0)))</f>
        <v/>
      </c>
      <c r="AZ157" s="31" t="inlineStr">
        <is>
          <t>Between 50 to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Above 2</t>
        </is>
      </c>
      <c r="BU157" s="31">
        <f>IF(BT157="Above 2",0,IF(BT157="Between 1.5 to 2",5,IF(BT157="Less than 1.5",10,0)))</f>
        <v/>
      </c>
      <c r="BV157" s="31" t="inlineStr">
        <is>
          <t>Above 70%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Less than 0.7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IF(B158=0,"",RANK(B158,$B$2:$B$184,0))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1" t="inlineStr">
        <is>
          <t>DEEPINDS</t>
        </is>
      </c>
      <c r="D158" s="31" t="inlineStr">
        <is>
          <t>Deep Industries Ltd</t>
        </is>
      </c>
      <c r="E158" s="31" t="inlineStr">
        <is>
          <t>energy</t>
        </is>
      </c>
      <c r="F158" s="31" t="inlineStr">
        <is>
          <t>oil drilling / allied services</t>
        </is>
      </c>
      <c r="G158" s="31" t="inlineStr">
        <is>
          <t>smallcap</t>
        </is>
      </c>
      <c r="H158" s="32" t="n">
        <v>4674.56</v>
      </c>
      <c r="I158" s="32" t="n">
        <v>735.15</v>
      </c>
      <c r="J158" s="32" t="n">
        <v>0.65</v>
      </c>
      <c r="K158" s="32" t="n">
        <v>707797</v>
      </c>
      <c r="L158" s="31" t="inlineStr"/>
      <c r="M158" s="31" t="inlineStr"/>
      <c r="N158" s="32">
        <f>IF(M158="Underperforming",-5,IF(L158&gt;=95,15,IF(L158&gt;=90,10,IF(L158&gt;=80,5,0))))</f>
        <v/>
      </c>
      <c r="O158" s="32" t="n">
        <v>71.04000000000001</v>
      </c>
      <c r="P158" s="32" t="n">
        <v>34.07</v>
      </c>
      <c r="Q158" s="32" t="n">
        <v>601.51</v>
      </c>
      <c r="R158" s="31" t="inlineStr">
        <is>
          <t>Earnings / Momentum Support</t>
        </is>
      </c>
      <c r="S158" s="31" t="inlineStr">
        <is>
          <t>Nifty Energy</t>
        </is>
      </c>
      <c r="T158" s="32" t="inlineStr"/>
      <c r="U158" s="32" t="inlineStr"/>
      <c r="V158" s="32" t="inlineStr"/>
      <c r="W158" s="32" t="inlineStr"/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Oligopoly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Yes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Cyclical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Volatile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No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More than 20%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Less than 1.5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IF(B159=0,"",RANK(B159,$B$2:$B$184,0))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1" t="inlineStr">
        <is>
          <t>RATNAMANI</t>
        </is>
      </c>
      <c r="D159" s="31" t="inlineStr">
        <is>
          <t>Ratnamani Metals &amp; Tubes Limited</t>
        </is>
      </c>
      <c r="E159" s="31" t="inlineStr">
        <is>
          <t>industrials</t>
        </is>
      </c>
      <c r="F159" s="31" t="inlineStr">
        <is>
          <t>steel - medium / small</t>
        </is>
      </c>
      <c r="G159" s="31" t="inlineStr">
        <is>
          <t>midcap</t>
        </is>
      </c>
      <c r="H159" s="32" t="n">
        <v>18864.56</v>
      </c>
      <c r="I159" s="32" t="n">
        <v>2695</v>
      </c>
      <c r="J159" s="32" t="n">
        <v>0.13</v>
      </c>
      <c r="K159" s="32" t="n">
        <v>33844</v>
      </c>
      <c r="L159" s="31" t="inlineStr"/>
      <c r="M159" s="31" t="inlineStr"/>
      <c r="N159" s="32">
        <f>IF(M159="Underperforming",-5,IF(L159&gt;=95,15,IF(L159&gt;=90,10,IF(L159&gt;=80,5,0))))</f>
        <v/>
      </c>
      <c r="O159" s="32" t="n">
        <v>55.74</v>
      </c>
      <c r="P159" s="32" t="n">
        <v>24.05</v>
      </c>
      <c r="Q159" s="32" t="n">
        <v>2126.48</v>
      </c>
      <c r="R159" s="31" t="inlineStr">
        <is>
          <t>Earnings / Momentum Support</t>
        </is>
      </c>
      <c r="S159" s="31" t="inlineStr">
        <is>
          <t>Nifty Metal</t>
        </is>
      </c>
      <c r="T159" s="32" t="inlineStr"/>
      <c r="U159" s="32" t="inlineStr"/>
      <c r="V159" s="32" t="inlineStr"/>
      <c r="W159" s="32" t="inlineStr"/>
      <c r="X159" s="31" t="inlineStr">
        <is>
          <t>Cyclical in an Upturn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No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Structural (10 Years Consistency)</t>
        </is>
      </c>
      <c r="AG159" s="31">
        <f>IF(AF159="Structural (10 Years Consistency)",10,IF(AF159="Shallow Cyclical (2 to 3 years growth)",5,0))</f>
        <v/>
      </c>
      <c r="AH159" s="31" t="inlineStr">
        <is>
          <t>No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B2B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Less than 12%</t>
        </is>
      </c>
      <c r="BO159" s="31">
        <f>IF(BN159="More than 20%",10,IF(BN159="Between 12 to 20%",5,IF(BN159="Less than 12%",0,0)))</f>
        <v/>
      </c>
      <c r="BP159" s="31" t="inlineStr">
        <is>
          <t>No</t>
        </is>
      </c>
      <c r="BQ159" s="31">
        <f>IF(BP159="No",10,0)</f>
        <v/>
      </c>
      <c r="BR159" s="31" t="inlineStr">
        <is>
          <t>Yes</t>
        </is>
      </c>
      <c r="BS159" s="31">
        <f>IF(BR159="NO",5,0)</f>
        <v/>
      </c>
      <c r="BT159" s="31" t="inlineStr">
        <is>
          <t>Above 2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IF(B160=0,"",RANK(B160,$B$2:$B$184,0))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GMMPFAUDLR</t>
        </is>
      </c>
      <c r="D160" s="31" t="inlineStr">
        <is>
          <t>GMM Pfaudler Ltd</t>
        </is>
      </c>
      <c r="E160" s="31" t="inlineStr">
        <is>
          <t>industrials</t>
        </is>
      </c>
      <c r="F160" s="31" t="inlineStr">
        <is>
          <t>engineering</t>
        </is>
      </c>
      <c r="G160" s="31" t="inlineStr">
        <is>
          <t>midcap</t>
        </is>
      </c>
      <c r="H160" s="32" t="n">
        <v>6060.23</v>
      </c>
      <c r="I160" s="32" t="n">
        <v>1335</v>
      </c>
      <c r="J160" s="32" t="n">
        <v>-0.96</v>
      </c>
      <c r="K160" s="32" t="n">
        <v>586784</v>
      </c>
      <c r="L160" s="31" t="n">
        <v>64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77.87</v>
      </c>
      <c r="P160" s="32" t="n">
        <v>32.95</v>
      </c>
      <c r="Q160" s="32" t="n">
        <v>1079.47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-8.33</v>
      </c>
      <c r="U160" s="32" t="n">
        <v>18.83</v>
      </c>
      <c r="V160" s="32" t="n">
        <v>29.63</v>
      </c>
      <c r="W160" s="32" t="n">
        <v>19.96</v>
      </c>
      <c r="X160" s="31" t="inlineStr">
        <is>
          <t>Cyclical in an Upturn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20 to 40</t>
        </is>
      </c>
      <c r="AY160" s="31">
        <f>IF(AX160="Above 40",20,IF(AX160="20 to 40",10,IF(AX160="0 to 20",-5,0)))</f>
        <v/>
      </c>
      <c r="AZ160" s="31" t="inlineStr">
        <is>
          <t>Above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More than 20%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Yes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Above 70%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Between 0.7 to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IF(B161=0,"",RANK(B161,$B$2:$B$184,0))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1" t="inlineStr">
        <is>
          <t>SUNDRMFAST</t>
        </is>
      </c>
      <c r="D161" s="31" t="inlineStr">
        <is>
          <t>Sundram Fasteners Limited</t>
        </is>
      </c>
      <c r="E161" s="31" t="inlineStr">
        <is>
          <t>auto</t>
        </is>
      </c>
      <c r="F161" s="31" t="inlineStr">
        <is>
          <t>auto ancillaries</t>
        </is>
      </c>
      <c r="G161" s="31" t="inlineStr">
        <is>
          <t>largecap</t>
        </is>
      </c>
      <c r="H161" s="32" t="n">
        <v>25999.18</v>
      </c>
      <c r="I161" s="32" t="n">
        <v>1219.9</v>
      </c>
      <c r="J161" s="32" t="n">
        <v>-1.41</v>
      </c>
      <c r="K161" s="32" t="n">
        <v>533381</v>
      </c>
      <c r="L161" s="31" t="inlineStr"/>
      <c r="M161" s="31" t="inlineStr"/>
      <c r="N161" s="32">
        <f>IF(M161="Underperforming",-5,IF(L161&gt;=95,15,IF(L161&gt;=90,10,IF(L161&gt;=80,5,0))))</f>
        <v/>
      </c>
      <c r="O161" s="32" t="n">
        <v>72.05</v>
      </c>
      <c r="P161" s="32" t="n">
        <v>44.21</v>
      </c>
      <c r="Q161" s="32" t="n">
        <v>1071.98</v>
      </c>
      <c r="R161" s="31" t="inlineStr">
        <is>
          <t>Near 52W High Breakout</t>
        </is>
      </c>
      <c r="S161" s="31" t="inlineStr">
        <is>
          <t>Nifty Auto</t>
        </is>
      </c>
      <c r="T161" s="32" t="inlineStr"/>
      <c r="U161" s="32" t="inlineStr"/>
      <c r="V161" s="32" t="inlineStr"/>
      <c r="W161" s="32" t="inlineStr"/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Too Many Players with High ROCE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Structural (10 Years Consistency)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Above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2</t>
        </is>
      </c>
      <c r="BC161" s="31">
        <f>IF(BB161="Stage 2",20,IF(BB161="Stage 1",0,IF(BB161="Stage 3",5,IF(BB161="Stage 4",-5,0))))</f>
        <v/>
      </c>
      <c r="BD161" s="31" t="inlineStr">
        <is>
          <t>Negative Trend</t>
        </is>
      </c>
      <c r="BE161" s="31">
        <f>IF(BD161="Positive Trend",20,IF(BD161="Negative Trend",-10,0))</f>
        <v/>
      </c>
      <c r="BF161" s="31" t="inlineStr">
        <is>
          <t>Uptrend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Between 12 to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Yes</t>
        </is>
      </c>
      <c r="BS161" s="31">
        <f>IF(BR161="NO",5,0)</f>
        <v/>
      </c>
      <c r="BT161" s="31" t="inlineStr">
        <is>
          <t>Above 2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IF(B162=0,"",RANK(B162,$B$2:$B$184,0))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1" t="inlineStr">
        <is>
          <t>CYIENT</t>
        </is>
      </c>
      <c r="D162" s="31" t="inlineStr">
        <is>
          <t>Cyient Limited</t>
        </is>
      </c>
      <c r="E162" s="31" t="inlineStr">
        <is>
          <t>i.t</t>
        </is>
      </c>
      <c r="F162" s="31" t="inlineStr">
        <is>
          <t>computers - software - medium / small</t>
        </is>
      </c>
      <c r="G162" s="31" t="inlineStr">
        <is>
          <t>midcap</t>
        </is>
      </c>
      <c r="H162" s="32" t="n">
        <v>11300.59</v>
      </c>
      <c r="I162" s="32" t="n">
        <v>1054.5</v>
      </c>
      <c r="J162" s="32" t="n">
        <v>-2.26</v>
      </c>
      <c r="K162" s="32" t="n">
        <v>488288</v>
      </c>
      <c r="L162" s="31" t="n">
        <v>14</v>
      </c>
      <c r="M162" s="31" t="inlineStr">
        <is>
          <t>Outperforming</t>
        </is>
      </c>
      <c r="N162" s="32">
        <f>IF(M162="Underperforming",-5,IF(L162&gt;=95,15,IF(L162&gt;=90,10,IF(L162&gt;=80,5,0))))</f>
        <v/>
      </c>
      <c r="O162" s="32" t="n">
        <v>60.91</v>
      </c>
      <c r="P162" s="32" t="n">
        <v>18.21</v>
      </c>
      <c r="Q162" s="32" t="n">
        <v>877.75</v>
      </c>
      <c r="R162" s="31" t="inlineStr">
        <is>
          <t>Earnings / Momentum Support</t>
        </is>
      </c>
      <c r="S162" s="31" t="inlineStr">
        <is>
          <t>Nifty IT</t>
        </is>
      </c>
      <c r="T162" s="32" t="n">
        <v>-20.48</v>
      </c>
      <c r="U162" s="32" t="n">
        <v>-13.97</v>
      </c>
      <c r="V162" s="32" t="n">
        <v>8.18</v>
      </c>
      <c r="W162" s="32" t="n">
        <v>3.06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Annuity, Lower One Time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Less than 12%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Above 2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IF(B163=0,"",RANK(B163,$B$2:$B$184,0))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3" t="inlineStr">
        <is>
          <t>MOTISONS</t>
        </is>
      </c>
      <c r="D163" s="33" t="inlineStr">
        <is>
          <t>Motisons Jewellers Ltd</t>
        </is>
      </c>
      <c r="E163" s="31" t="inlineStr">
        <is>
          <t>consumer discretionary</t>
        </is>
      </c>
      <c r="F163" s="31" t="inlineStr">
        <is>
          <t>diamond cutting / jewellery</t>
        </is>
      </c>
      <c r="G163" s="31" t="inlineStr">
        <is>
          <t>smallcap</t>
        </is>
      </c>
      <c r="H163" s="32" t="n">
        <v>1759.72</v>
      </c>
      <c r="I163" s="32" t="n">
        <v>16.62</v>
      </c>
      <c r="J163" s="32" t="n">
        <v>7.43</v>
      </c>
      <c r="K163" s="32" t="n">
        <v>93614476</v>
      </c>
      <c r="L163" s="31" t="n">
        <v>7</v>
      </c>
      <c r="M163" s="31" t="inlineStr">
        <is>
          <t>Underperforming</t>
        </is>
      </c>
      <c r="N163" s="32">
        <f>IF(M163="Underperforming",-5,IF(L163&gt;=95,15,IF(L163&gt;=90,10,IF(L163&gt;=80,5,0))))</f>
        <v/>
      </c>
      <c r="O163" s="32" t="n">
        <v>60.24</v>
      </c>
      <c r="P163" s="32" t="n">
        <v>20.57</v>
      </c>
      <c r="Q163" s="32" t="n">
        <v>11.71</v>
      </c>
      <c r="R163" s="31" t="inlineStr">
        <is>
          <t>Earnings / Momentum Support</t>
        </is>
      </c>
      <c r="S163" s="31" t="inlineStr">
        <is>
          <t>Nifty 50</t>
        </is>
      </c>
      <c r="T163" s="32" t="n">
        <v>-8.33</v>
      </c>
      <c r="U163" s="32" t="n">
        <v>-13.39</v>
      </c>
      <c r="V163" s="32" t="n">
        <v>-5.52</v>
      </c>
      <c r="W163" s="32" t="n">
        <v>1.35</v>
      </c>
      <c r="X163" s="31" t="inlineStr">
        <is>
          <t>Growing Industry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No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20 to 40</t>
        </is>
      </c>
      <c r="AY163" s="31">
        <f>IF(AX163="Above 40",20,IF(AX163="20 to 40",10,IF(AX163="0 to 20",-5,0)))</f>
        <v/>
      </c>
      <c r="AZ163" s="31" t="inlineStr">
        <is>
          <t>Between 50 to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Negative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Close to 52 week high or retracement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More than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No</t>
        </is>
      </c>
      <c r="BS163" s="31">
        <f>IF(BR163="NO",5,0)</f>
        <v/>
      </c>
      <c r="BT163" s="31" t="inlineStr">
        <is>
          <t>Less than 1.5</t>
        </is>
      </c>
      <c r="BU163" s="31">
        <f>IF(BT163="Above 2",0,IF(BT163="Between 1.5 to 2",5,IF(BT163="Less than 1.5",10,0)))</f>
        <v/>
      </c>
      <c r="BV163" s="31" t="inlineStr">
        <is>
          <t>Above 70%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IF(B164=0,"",RANK(B164,$B$2:$B$184,0))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DICIND</t>
        </is>
      </c>
      <c r="D164" s="31" t="inlineStr">
        <is>
          <t>Dic India Limited</t>
        </is>
      </c>
      <c r="E164" s="31" t="inlineStr">
        <is>
          <t>chemicals</t>
        </is>
      </c>
      <c r="F164" s="31" t="inlineStr">
        <is>
          <t>chemicals</t>
        </is>
      </c>
      <c r="G164" s="31" t="inlineStr">
        <is>
          <t>smallcap</t>
        </is>
      </c>
      <c r="H164" s="32" t="n">
        <v>544.45</v>
      </c>
      <c r="I164" s="32" t="n">
        <v>610.3</v>
      </c>
      <c r="J164" s="32" t="n">
        <v>2.89</v>
      </c>
      <c r="K164" s="32" t="n">
        <v>3625</v>
      </c>
      <c r="L164" s="31" t="n">
        <v>23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66.83</v>
      </c>
      <c r="P164" s="32" t="n">
        <v>15.1</v>
      </c>
      <c r="Q164" s="32" t="n">
        <v>472.97</v>
      </c>
      <c r="R164" s="31" t="inlineStr">
        <is>
          <t>Near 52W High Breakout</t>
        </is>
      </c>
      <c r="S164" s="31" t="inlineStr">
        <is>
          <t>Nifty 50</t>
        </is>
      </c>
      <c r="T164" s="32" t="n">
        <v>-8.33</v>
      </c>
      <c r="U164" s="32" t="n">
        <v>8.67</v>
      </c>
      <c r="V164" s="32" t="n">
        <v>18.54</v>
      </c>
      <c r="W164" s="32" t="n">
        <v>6.09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0 to 20</t>
        </is>
      </c>
      <c r="AY164" s="31">
        <f>IF(AX164="Above 40",20,IF(AX164="20 to 40",10,IF(AX164="0 to 20",-5,0)))</f>
        <v/>
      </c>
      <c r="AZ164" s="31" t="inlineStr">
        <is>
          <t>Between 50 to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More than 20%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No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Negative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IF(B165=0,"",RANK(B165,$B$2:$B$184,0))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1" t="inlineStr">
        <is>
          <t>HINDOILEXP</t>
        </is>
      </c>
      <c r="D165" s="31" t="inlineStr">
        <is>
          <t>Hindustan Oil Exploration Company Limited</t>
        </is>
      </c>
      <c r="E165" s="31" t="inlineStr">
        <is>
          <t>energy</t>
        </is>
      </c>
      <c r="F165" s="31" t="inlineStr">
        <is>
          <t>oil drilling / allied services</t>
        </is>
      </c>
      <c r="G165" s="31" t="inlineStr">
        <is>
          <t>smallcap</t>
        </is>
      </c>
      <c r="H165" s="32" t="n">
        <v>2323.78</v>
      </c>
      <c r="I165" s="32" t="n">
        <v>180.44</v>
      </c>
      <c r="J165" s="32" t="n">
        <v>2.69</v>
      </c>
      <c r="K165" s="32" t="n">
        <v>971364</v>
      </c>
      <c r="L165" s="31" t="inlineStr"/>
      <c r="M165" s="31" t="inlineStr"/>
      <c r="N165" s="32">
        <f>IF(M165="Underperforming",-5,IF(L165&gt;=95,15,IF(L165&gt;=90,10,IF(L165&gt;=80,5,0))))</f>
        <v/>
      </c>
      <c r="O165" s="32" t="n">
        <v>60.93</v>
      </c>
      <c r="P165" s="32" t="n">
        <v>40.79</v>
      </c>
      <c r="Q165" s="32" t="n">
        <v>140.5</v>
      </c>
      <c r="R165" s="31" t="inlineStr">
        <is>
          <t>Near 52W High Breakout</t>
        </is>
      </c>
      <c r="S165" s="31" t="inlineStr">
        <is>
          <t>Nifty Energy</t>
        </is>
      </c>
      <c r="T165" s="32" t="inlineStr"/>
      <c r="U165" s="32" t="inlineStr"/>
      <c r="V165" s="32" t="inlineStr"/>
      <c r="W165" s="32" t="inlineStr"/>
      <c r="X165" s="31" t="inlineStr">
        <is>
          <t>Cyclical in an Upturn</t>
        </is>
      </c>
      <c r="Y165" s="31">
        <f>IF(X165="Growing Industry",10,IF(X165="Cyclical in an Upturn",5,0))</f>
        <v/>
      </c>
      <c r="Z165" s="31" t="inlineStr">
        <is>
          <t>Oligopoly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Yes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Cyclical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Volatile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Above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Less than 12%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Above 2</t>
        </is>
      </c>
      <c r="BU165" s="31">
        <f>IF(BT165="Above 2",0,IF(BT165="Between 1.5 to 2",5,IF(BT165="Less than 1.5",10,0)))</f>
        <v/>
      </c>
      <c r="BV165" s="31" t="inlineStr">
        <is>
          <t>Above 70%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IF(B166=0,"",RANK(B166,$B$2:$B$184,0))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VENUSPIPES</t>
        </is>
      </c>
      <c r="D166" s="31" t="inlineStr">
        <is>
          <t>Venus Pipes &amp; Tubes Ltd</t>
        </is>
      </c>
      <c r="E166" s="31" t="inlineStr">
        <is>
          <t>metals &amp; mining</t>
        </is>
      </c>
      <c r="F166" s="31" t="inlineStr">
        <is>
          <t>steel - medium / small</t>
        </is>
      </c>
      <c r="G166" s="31" t="inlineStr">
        <is>
          <t>smallcap</t>
        </is>
      </c>
      <c r="H166" s="32" t="n">
        <v>4022.24</v>
      </c>
      <c r="I166" s="32" t="n">
        <v>1938.1</v>
      </c>
      <c r="J166" s="32" t="n">
        <v>-0.18</v>
      </c>
      <c r="K166" s="32" t="n">
        <v>218549</v>
      </c>
      <c r="L166" s="31" t="inlineStr"/>
      <c r="M166" s="31" t="inlineStr"/>
      <c r="N166" s="32">
        <f>IF(M166="Underperforming",-5,IF(L166&gt;=95,15,IF(L166&gt;=90,10,IF(L166&gt;=80,5,0))))</f>
        <v/>
      </c>
      <c r="O166" s="32" t="n">
        <v>68.48</v>
      </c>
      <c r="P166" s="32" t="n">
        <v>35</v>
      </c>
      <c r="Q166" s="32" t="n">
        <v>1563.12</v>
      </c>
      <c r="R166" s="31" t="inlineStr">
        <is>
          <t>Near 52W High Breakout</t>
        </is>
      </c>
      <c r="S166" s="31" t="inlineStr">
        <is>
          <t>Nifty Metal</t>
        </is>
      </c>
      <c r="T166" s="32" t="inlineStr"/>
      <c r="U166" s="32" t="inlineStr"/>
      <c r="V166" s="32" t="inlineStr"/>
      <c r="W166" s="32" t="inlineStr"/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Cyclical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Volatile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Yes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Less than 12%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No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IF(B167=0,"",RANK(B167,$B$2:$B$184,0))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RATNAVEER</t>
        </is>
      </c>
      <c r="D167" s="31" t="inlineStr">
        <is>
          <t>Ratnaveer Precision Engineering Ltd</t>
        </is>
      </c>
      <c r="E167" s="31" t="inlineStr">
        <is>
          <t>metals &amp; mining</t>
        </is>
      </c>
      <c r="F167" s="31" t="inlineStr">
        <is>
          <t>steel - medium / small</t>
        </is>
      </c>
      <c r="G167" s="31" t="inlineStr">
        <is>
          <t>smallcap</t>
        </is>
      </c>
      <c r="H167" s="32" t="n">
        <v>2068.52</v>
      </c>
      <c r="I167" s="32" t="n">
        <v>286.75</v>
      </c>
      <c r="J167" s="32" t="n">
        <v>-0.98</v>
      </c>
      <c r="K167" s="32" t="n">
        <v>11887521</v>
      </c>
      <c r="L167" s="31" t="inlineStr"/>
      <c r="M167" s="31" t="inlineStr"/>
      <c r="N167" s="32">
        <f>IF(M167="Underperforming",-5,IF(L167&gt;=95,15,IF(L167&gt;=90,10,IF(L167&gt;=80,5,0))))</f>
        <v/>
      </c>
      <c r="O167" s="32" t="n">
        <v>74.75</v>
      </c>
      <c r="P167" s="32" t="n">
        <v>59.92</v>
      </c>
      <c r="Q167" s="32" t="n">
        <v>226.81</v>
      </c>
      <c r="R167" s="31" t="inlineStr">
        <is>
          <t>Earnings / Momentum Support</t>
        </is>
      </c>
      <c r="S167" s="31" t="inlineStr">
        <is>
          <t>Nifty Metal</t>
        </is>
      </c>
      <c r="T167" s="32" t="inlineStr"/>
      <c r="U167" s="32" t="inlineStr"/>
      <c r="V167" s="32" t="inlineStr"/>
      <c r="W167" s="32" t="inlineStr"/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Too Many Players with High ROCE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No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Cyclical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Volatile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No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Close to 52 week high or retracement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Less than 12%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Above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IF(B168=0,"",RANK(B168,$B$2:$B$184,0))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GODREJAGRO</t>
        </is>
      </c>
      <c r="D168" s="31" t="inlineStr">
        <is>
          <t>Godrej Agrovet Ltd</t>
        </is>
      </c>
      <c r="E168" s="31" t="inlineStr">
        <is>
          <t>fmcg</t>
        </is>
      </c>
      <c r="F168" s="31" t="inlineStr">
        <is>
          <t>food - processing - indian</t>
        </is>
      </c>
      <c r="G168" s="31" t="inlineStr">
        <is>
          <t>midcap</t>
        </is>
      </c>
      <c r="H168" s="32" t="n">
        <v>12412.99</v>
      </c>
      <c r="I168" s="32" t="n">
        <v>647.35</v>
      </c>
      <c r="J168" s="32" t="n">
        <v>0.32</v>
      </c>
      <c r="K168" s="32" t="n">
        <v>125139</v>
      </c>
      <c r="L168" s="31" t="inlineStr"/>
      <c r="M168" s="31" t="inlineStr"/>
      <c r="N168" s="32">
        <f>IF(M168="Underperforming",-5,IF(L168&gt;=95,15,IF(L168&gt;=90,10,IF(L168&gt;=80,5,0))))</f>
        <v/>
      </c>
      <c r="O168" s="32" t="n">
        <v>61.68</v>
      </c>
      <c r="P168" s="32" t="n">
        <v>19.62</v>
      </c>
      <c r="Q168" s="32" t="n">
        <v>555.23</v>
      </c>
      <c r="R168" s="31" t="inlineStr">
        <is>
          <t>Earnings / Momentum Support</t>
        </is>
      </c>
      <c r="S168" s="31" t="inlineStr">
        <is>
          <t>Nifty FMCG</t>
        </is>
      </c>
      <c r="T168" s="32" t="inlineStr"/>
      <c r="U168" s="32" t="inlineStr"/>
      <c r="V168" s="32" t="inlineStr"/>
      <c r="W168" s="32" t="inlineStr"/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Tailwind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B2C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Less than 12%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Above 2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Between 0.7 to 1.2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IF(B169=0,"",RANK(B169,$B$2:$B$184,0))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SESHAPAPER</t>
        </is>
      </c>
      <c r="D169" s="31" t="inlineStr">
        <is>
          <t>Seshasayee Paper And Boards Limited</t>
        </is>
      </c>
      <c r="E169" s="31" t="inlineStr">
        <is>
          <t>building materials</t>
        </is>
      </c>
      <c r="F169" s="31" t="inlineStr">
        <is>
          <t>paper</t>
        </is>
      </c>
      <c r="G169" s="31" t="inlineStr">
        <is>
          <t>smallcap</t>
        </is>
      </c>
      <c r="H169" s="32" t="n">
        <v>1531.29</v>
      </c>
      <c r="I169" s="32" t="n">
        <v>246.72</v>
      </c>
      <c r="J169" s="32" t="n">
        <v>1.61</v>
      </c>
      <c r="K169" s="32" t="n">
        <v>35200</v>
      </c>
      <c r="L169" s="31" t="inlineStr"/>
      <c r="M169" s="31" t="inlineStr"/>
      <c r="N169" s="32">
        <f>IF(M169="Underperforming",-5,IF(L169&gt;=95,15,IF(L169&gt;=90,10,IF(L169&gt;=80,5,0))))</f>
        <v/>
      </c>
      <c r="O169" s="32" t="n">
        <v>54.33</v>
      </c>
      <c r="P169" s="32" t="n">
        <v>20.26</v>
      </c>
      <c r="Q169" s="32" t="n">
        <v>200.27</v>
      </c>
      <c r="R169" s="31" t="inlineStr">
        <is>
          <t>Earnings / Momentum Support</t>
        </is>
      </c>
      <c r="S169" s="31" t="inlineStr">
        <is>
          <t>Nifty Infra</t>
        </is>
      </c>
      <c r="T169" s="32" t="inlineStr"/>
      <c r="U169" s="32" t="inlineStr"/>
      <c r="V169" s="32" t="inlineStr"/>
      <c r="W169" s="32" t="inlineStr"/>
      <c r="X169" s="31" t="inlineStr">
        <is>
          <t>Growing Industry</t>
        </is>
      </c>
      <c r="Y169" s="31">
        <f>IF(X169="Growing Industry",10,IF(X169="Cyclical in an Upturn",5,0))</f>
        <v/>
      </c>
      <c r="Z169" s="31" t="inlineStr">
        <is>
          <t>Too Many Players with High ROCE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Headwind</t>
        </is>
      </c>
      <c r="AE169" s="31">
        <f>IF(AD169="Tailwind",10,0)</f>
        <v/>
      </c>
      <c r="AF169" s="31" t="inlineStr">
        <is>
          <t>Structural (10 Years Consistency)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B2B</t>
        </is>
      </c>
      <c r="AO169" s="31">
        <f>IF(AN169="B2C",10,IF(AN169="B2B",5,0))</f>
        <v/>
      </c>
      <c r="AP169" s="31" t="inlineStr">
        <is>
          <t>No</t>
        </is>
      </c>
      <c r="AQ169" s="31">
        <f>IF(AP169="Yes",10,0)</f>
        <v/>
      </c>
      <c r="AR169" s="31" t="inlineStr">
        <is>
          <t>Higher One Time, Lower Annuity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20 to 40</t>
        </is>
      </c>
      <c r="AY169" s="31">
        <f>IF(AX169="Above 40",20,IF(AX169="20 to 40",10,IF(AX169="0 to 20",-5,0)))</f>
        <v/>
      </c>
      <c r="AZ169" s="31" t="inlineStr">
        <is>
          <t>Between 50 to 75</t>
        </is>
      </c>
      <c r="BA169" s="31">
        <f>IF(AZ169="Between 50 to 75",10,IF(AZ169="Above 75",0,0))</f>
        <v/>
      </c>
      <c r="BB169" s="31" t="inlineStr">
        <is>
          <t>Stage 1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No</t>
        </is>
      </c>
      <c r="BQ169" s="31">
        <f>IF(BP169="No",10,0)</f>
        <v/>
      </c>
      <c r="BR169" s="31" t="inlineStr">
        <is>
          <t>No</t>
        </is>
      </c>
      <c r="BS169" s="31">
        <f>IF(BR169="NO",5,0)</f>
        <v/>
      </c>
      <c r="BT169" s="31" t="inlineStr">
        <is>
          <t>Above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IF(B170=0,"",RANK(B170,$B$2:$B$184,0))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1" t="inlineStr">
        <is>
          <t>SPLPETRO</t>
        </is>
      </c>
      <c r="D170" s="31" t="inlineStr">
        <is>
          <t>Supreme Petrochem Ltd</t>
        </is>
      </c>
      <c r="E170" s="31" t="inlineStr">
        <is>
          <t>energy</t>
        </is>
      </c>
      <c r="F170" s="31" t="inlineStr">
        <is>
          <t>petrochemicals</t>
        </is>
      </c>
      <c r="G170" s="31" t="inlineStr">
        <is>
          <t>midcap</t>
        </is>
      </c>
      <c r="H170" s="32" t="n">
        <v>14843.04</v>
      </c>
      <c r="I170" s="32" t="n">
        <v>792.7</v>
      </c>
      <c r="J170" s="32" t="n">
        <v>0.42</v>
      </c>
      <c r="K170" s="32" t="n">
        <v>175117</v>
      </c>
      <c r="L170" s="31" t="inlineStr"/>
      <c r="M170" s="31" t="inlineStr"/>
      <c r="N170" s="32">
        <f>IF(M170="Underperforming",-5,IF(L170&gt;=95,15,IF(L170&gt;=90,10,IF(L170&gt;=80,5,0))))</f>
        <v/>
      </c>
      <c r="O170" s="32" t="n">
        <v>58.97</v>
      </c>
      <c r="P170" s="32" t="n">
        <v>28.36</v>
      </c>
      <c r="Q170" s="32" t="n">
        <v>642.95</v>
      </c>
      <c r="R170" s="31" t="inlineStr">
        <is>
          <t>Earnings / Momentum Support</t>
        </is>
      </c>
      <c r="S170" s="31" t="inlineStr">
        <is>
          <t>Nifty Energy</t>
        </is>
      </c>
      <c r="T170" s="32" t="inlineStr"/>
      <c r="U170" s="32" t="inlineStr"/>
      <c r="V170" s="32" t="inlineStr"/>
      <c r="W170" s="32" t="inlineStr"/>
      <c r="X170" s="31" t="inlineStr">
        <is>
          <t>Cyclical in an Upturn</t>
        </is>
      </c>
      <c r="Y170" s="31">
        <f>IF(X170="Growing Industry",10,IF(X170="Cyclical in an Upturn",5,0))</f>
        <v/>
      </c>
      <c r="Z170" s="31" t="inlineStr">
        <is>
          <t>Oligopoly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Cyclical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Volatile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No</t>
        </is>
      </c>
      <c r="AQ170" s="31">
        <f>IF(AP170="Yes",10,0)</f>
        <v/>
      </c>
      <c r="AR170" s="31" t="inlineStr">
        <is>
          <t>Higher One Time, Lower Annuity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Close to 52 week high or retracement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More than 20%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No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Above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IF(B171=0,"",RANK(B171,$B$2:$B$184,0))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LIKHITHA</t>
        </is>
      </c>
      <c r="D171" s="31" t="inlineStr">
        <is>
          <t>Likhitha Infrastructure Ltd</t>
        </is>
      </c>
      <c r="E171" s="31" t="inlineStr">
        <is>
          <t>realty</t>
        </is>
      </c>
      <c r="F171" s="31" t="inlineStr">
        <is>
          <t>construction</t>
        </is>
      </c>
      <c r="G171" s="31" t="inlineStr">
        <is>
          <t>smallcap</t>
        </is>
      </c>
      <c r="H171" s="32" t="n">
        <v>876.66</v>
      </c>
      <c r="I171" s="32" t="n">
        <v>227.33</v>
      </c>
      <c r="J171" s="32" t="n">
        <v>2.3</v>
      </c>
      <c r="K171" s="32" t="n">
        <v>378760</v>
      </c>
      <c r="L171" s="31" t="inlineStr"/>
      <c r="M171" s="31" t="inlineStr"/>
      <c r="N171" s="32">
        <f>IF(M171="Underperforming",-5,IF(L171&gt;=95,15,IF(L171&gt;=90,10,IF(L171&gt;=80,5,0))))</f>
        <v/>
      </c>
      <c r="O171" s="32" t="n">
        <v>54.62</v>
      </c>
      <c r="P171" s="32" t="n">
        <v>18.76</v>
      </c>
      <c r="Q171" s="32" t="n">
        <v>193.84</v>
      </c>
      <c r="R171" s="31" t="inlineStr">
        <is>
          <t>Volume Spike / Accumulation</t>
        </is>
      </c>
      <c r="S171" s="31" t="inlineStr">
        <is>
          <t>Nifty Realty</t>
        </is>
      </c>
      <c r="T171" s="32" t="inlineStr"/>
      <c r="U171" s="32" t="inlineStr"/>
      <c r="V171" s="32" t="inlineStr"/>
      <c r="W171" s="32" t="inlineStr"/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No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One Time, Lower Annuity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0 to 20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1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Above 70%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IF(B172=0,"",RANK(B172,$B$2:$B$184,0))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1" t="inlineStr">
        <is>
          <t>OIL</t>
        </is>
      </c>
      <c r="D172" s="31" t="inlineStr">
        <is>
          <t>Oil India Limited</t>
        </is>
      </c>
      <c r="E172" s="31" t="inlineStr">
        <is>
          <t>energy</t>
        </is>
      </c>
      <c r="F172" s="31" t="inlineStr">
        <is>
          <t>oil drilling / allied services</t>
        </is>
      </c>
      <c r="G172" s="31" t="inlineStr">
        <is>
          <t>largecap</t>
        </is>
      </c>
      <c r="H172" s="32" t="n">
        <v>78988.07000000001</v>
      </c>
      <c r="I172" s="32" t="n">
        <v>487.6</v>
      </c>
      <c r="J172" s="32" t="n">
        <v>0.41</v>
      </c>
      <c r="K172" s="32" t="n">
        <v>1295800</v>
      </c>
      <c r="L172" s="31" t="inlineStr"/>
      <c r="M172" s="31" t="inlineStr"/>
      <c r="N172" s="32">
        <f>IF(M172="Underperforming",-5,IF(L172&gt;=95,15,IF(L172&gt;=90,10,IF(L172&gt;=80,5,0))))</f>
        <v/>
      </c>
      <c r="O172" s="32" t="n">
        <v>58.11</v>
      </c>
      <c r="P172" s="32" t="n">
        <v>16.06</v>
      </c>
      <c r="Q172" s="32" t="n">
        <v>406.5</v>
      </c>
      <c r="R172" s="31" t="inlineStr">
        <is>
          <t>Earnings / Momentum Support</t>
        </is>
      </c>
      <c r="S172" s="31" t="inlineStr">
        <is>
          <t>Nifty Energy</t>
        </is>
      </c>
      <c r="T172" s="32" t="inlineStr"/>
      <c r="U172" s="32" t="inlineStr"/>
      <c r="V172" s="32" t="inlineStr"/>
      <c r="W172" s="32" t="inlineStr"/>
      <c r="X172" s="31" t="inlineStr">
        <is>
          <t>Cyclical in an Upturn</t>
        </is>
      </c>
      <c r="Y172" s="31">
        <f>IF(X172="Growing Industry",10,IF(X172="Cyclical in an Upturn",5,0))</f>
        <v/>
      </c>
      <c r="Z172" s="31" t="inlineStr">
        <is>
          <t>Oligopoly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Yes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Cyclical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Volatile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No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0 to 20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More than 20%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Less than 1.5</t>
        </is>
      </c>
      <c r="BU172" s="31">
        <f>IF(BT172="Above 2",0,IF(BT172="Between 1.5 to 2",5,IF(BT172="Less than 1.5",10,0)))</f>
        <v/>
      </c>
      <c r="BV172" s="31" t="inlineStr">
        <is>
          <t>Above 70%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IF(B173=0,"",RANK(B173,$B$2:$B$184,0))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PRABHA</t>
        </is>
      </c>
      <c r="D173" s="31" t="inlineStr">
        <is>
          <t>Prabha Energy Ltd</t>
        </is>
      </c>
      <c r="E173" s="31" t="inlineStr">
        <is>
          <t>energy</t>
        </is>
      </c>
      <c r="F173" s="31" t="inlineStr">
        <is>
          <t>oil drilling / allied services</t>
        </is>
      </c>
      <c r="G173" s="31" t="inlineStr">
        <is>
          <t>smallcap</t>
        </is>
      </c>
      <c r="H173" s="32" t="n">
        <v>3509.25</v>
      </c>
      <c r="I173" s="32" t="n">
        <v>226.58</v>
      </c>
      <c r="J173" s="32" t="n">
        <v>-5.36</v>
      </c>
      <c r="K173" s="32" t="n">
        <v>175244</v>
      </c>
      <c r="L173" s="31" t="inlineStr"/>
      <c r="M173" s="31" t="inlineStr"/>
      <c r="N173" s="32">
        <f>IF(M173="Underperforming",-5,IF(L173&gt;=95,15,IF(L173&gt;=90,10,IF(L173&gt;=80,5,0))))</f>
        <v/>
      </c>
      <c r="O173" s="32" t="n">
        <v>65.20999999999999</v>
      </c>
      <c r="P173" s="32" t="n">
        <v>27.94</v>
      </c>
      <c r="Q173" s="32" t="n">
        <v>176.66</v>
      </c>
      <c r="R173" s="31" t="inlineStr">
        <is>
          <t>Earnings / Momentum Support</t>
        </is>
      </c>
      <c r="S173" s="31" t="inlineStr">
        <is>
          <t>Nifty Energy</t>
        </is>
      </c>
      <c r="T173" s="32" t="inlineStr"/>
      <c r="U173" s="32" t="inlineStr"/>
      <c r="V173" s="32" t="inlineStr"/>
      <c r="W173" s="32" t="inlineStr"/>
      <c r="X173" s="31" t="inlineStr">
        <is>
          <t>Cyclical in an Upturn</t>
        </is>
      </c>
      <c r="Y173" s="31">
        <f>IF(X173="Growing Industry",10,IF(X173="Cyclical in an Upturn",5,0))</f>
        <v/>
      </c>
      <c r="Z173" s="31" t="inlineStr">
        <is>
          <t>Oligopoly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Yes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Cyclical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Volatile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20 to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Positive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Yes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IF(B174=0,"",RANK(B174,$B$2:$B$184,0))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INDIQUBE</t>
        </is>
      </c>
      <c r="D174" s="33" t="inlineStr">
        <is>
          <t>Indiqube Spaces Ltd</t>
        </is>
      </c>
      <c r="E174" s="31" t="inlineStr">
        <is>
          <t>co-working</t>
        </is>
      </c>
      <c r="F174" s="31" t="inlineStr">
        <is>
          <t>miscellaneous</t>
        </is>
      </c>
      <c r="G174" s="31" t="inlineStr">
        <is>
          <t>smallcap</t>
        </is>
      </c>
      <c r="H174" s="32" t="n">
        <v>4227.87</v>
      </c>
      <c r="I174" s="32" t="n">
        <v>200.15</v>
      </c>
      <c r="J174" s="32" t="n">
        <v>0.36</v>
      </c>
      <c r="K174" s="32" t="n">
        <v>59017</v>
      </c>
      <c r="L174" s="31" t="n">
        <v>5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60.32</v>
      </c>
      <c r="P174" s="32" t="n">
        <v>18.19</v>
      </c>
      <c r="Q174" s="32" t="n">
        <v>152.1</v>
      </c>
      <c r="R174" s="31" t="inlineStr">
        <is>
          <t>Earnings / Momentum Support</t>
        </is>
      </c>
      <c r="S174" s="31" t="inlineStr">
        <is>
          <t>Nifty 50</t>
        </is>
      </c>
      <c r="T174" s="32" t="n">
        <v>-8.33</v>
      </c>
      <c r="U174" s="32" t="n">
        <v>-15.88</v>
      </c>
      <c r="V174" s="32" t="n">
        <v>-8.23</v>
      </c>
      <c r="W174" s="32" t="n">
        <v>0.9399999999999999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0 to 20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More than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IF(B175=0,"",RANK(B175,$B$2:$B$184,0))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1" t="inlineStr">
        <is>
          <t>KIRLFER</t>
        </is>
      </c>
      <c r="D175" s="31" t="inlineStr">
        <is>
          <t>Kirloskar Ferrous Industries Ltd</t>
        </is>
      </c>
      <c r="E175" s="31" t="inlineStr">
        <is>
          <t>metals &amp; mining</t>
        </is>
      </c>
      <c r="F175" s="31" t="inlineStr">
        <is>
          <t>steel - large</t>
        </is>
      </c>
      <c r="G175" s="31" t="inlineStr">
        <is>
          <t>midcap</t>
        </is>
      </c>
      <c r="H175" s="32" t="n">
        <v>7669.67</v>
      </c>
      <c r="I175" s="32" t="n">
        <v>470.9</v>
      </c>
      <c r="J175" s="32" t="n">
        <v>1.3</v>
      </c>
      <c r="K175" s="32" t="n">
        <v>140176</v>
      </c>
      <c r="L175" s="31" t="inlineStr"/>
      <c r="M175" s="31" t="inlineStr"/>
      <c r="N175" s="32">
        <f>IF(M175="Underperforming",-5,IF(L175&gt;=95,15,IF(L175&gt;=90,10,IF(L175&gt;=80,5,0))))</f>
        <v/>
      </c>
      <c r="O175" s="32" t="n">
        <v>56.3</v>
      </c>
      <c r="P175" s="32" t="n">
        <v>13.95</v>
      </c>
      <c r="Q175" s="32" t="n">
        <v>393.55</v>
      </c>
      <c r="R175" s="31" t="inlineStr">
        <is>
          <t>Earnings / Momentum Support</t>
        </is>
      </c>
      <c r="S175" s="31" t="inlineStr">
        <is>
          <t>Nifty Metal</t>
        </is>
      </c>
      <c r="T175" s="32" t="inlineStr"/>
      <c r="U175" s="32" t="inlineStr"/>
      <c r="V175" s="32" t="inlineStr"/>
      <c r="W175" s="32" t="inlineStr"/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Too Many Players with High ROCE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No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Cyclical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Volatile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No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0 to 20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Less than 12%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Above 2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IF(B176=0,"",RANK(B176,$B$2:$B$184,0))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BLACKBUCK</t>
        </is>
      </c>
      <c r="D176" s="31" t="inlineStr">
        <is>
          <t>BlackBuck Ltd</t>
        </is>
      </c>
      <c r="E176" s="31" t="inlineStr">
        <is>
          <t>transportation</t>
        </is>
      </c>
      <c r="F176" s="31" t="inlineStr">
        <is>
          <t>miscellaneous</t>
        </is>
      </c>
      <c r="G176" s="31" t="inlineStr">
        <is>
          <t>midcap</t>
        </is>
      </c>
      <c r="H176" s="32" t="n">
        <v>11145.06</v>
      </c>
      <c r="I176" s="32" t="n">
        <v>619.05</v>
      </c>
      <c r="J176" s="32" t="n">
        <v>1.17</v>
      </c>
      <c r="K176" s="32" t="n">
        <v>892263</v>
      </c>
      <c r="L176" s="31" t="n">
        <v>11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55.61</v>
      </c>
      <c r="P176" s="32" t="n">
        <v>10.29</v>
      </c>
      <c r="Q176" s="32" t="n">
        <v>483.98</v>
      </c>
      <c r="R176" s="31" t="inlineStr">
        <is>
          <t>Earnings / Momentum Support</t>
        </is>
      </c>
      <c r="S176" s="31" t="inlineStr">
        <is>
          <t>Nifty 50</t>
        </is>
      </c>
      <c r="T176" s="32" t="n">
        <v>-8.33</v>
      </c>
      <c r="U176" s="32" t="n">
        <v>3.49</v>
      </c>
      <c r="V176" s="32" t="n">
        <v>12.89</v>
      </c>
      <c r="W176" s="32" t="n">
        <v>2.39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No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0 to 20</t>
        </is>
      </c>
      <c r="AY176" s="31">
        <f>IF(AX176="Above 40",20,IF(AX176="20 to 40",10,IF(AX176="0 to 20",-5,0)))</f>
        <v/>
      </c>
      <c r="AZ176" s="31" t="inlineStr">
        <is>
          <t>Between 50 to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Negative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Close to 52 week high or retracement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More than 20%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Less than 0.7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IF(B177=0,"",RANK(B177,$B$2:$B$184,0))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PFOCUS</t>
        </is>
      </c>
      <c r="D177" s="31" t="inlineStr">
        <is>
          <t>Prime Focus Limited</t>
        </is>
      </c>
      <c r="E177" s="31" t="inlineStr">
        <is>
          <t>realty</t>
        </is>
      </c>
      <c r="F177" s="31" t="inlineStr">
        <is>
          <t>miscellaneous</t>
        </is>
      </c>
      <c r="G177" s="31" t="inlineStr">
        <is>
          <t>largecap</t>
        </is>
      </c>
      <c r="H177" s="32" t="n">
        <v>24770.05</v>
      </c>
      <c r="I177" s="32" t="n">
        <v>320.45</v>
      </c>
      <c r="J177" s="32" t="n">
        <v>0.45</v>
      </c>
      <c r="K177" s="32" t="n">
        <v>2349306</v>
      </c>
      <c r="L177" s="31" t="inlineStr"/>
      <c r="M177" s="31" t="inlineStr"/>
      <c r="N177" s="32">
        <f>IF(M177="Underperforming",-5,IF(L177&gt;=95,15,IF(L177&gt;=90,10,IF(L177&gt;=80,5,0))))</f>
        <v/>
      </c>
      <c r="O177" s="32" t="n">
        <v>63.91</v>
      </c>
      <c r="P177" s="32" t="n">
        <v>15.82</v>
      </c>
      <c r="Q177" s="32" t="n">
        <v>231.64</v>
      </c>
      <c r="R177" s="31" t="inlineStr">
        <is>
          <t>Earnings / Momentum Support</t>
        </is>
      </c>
      <c r="S177" s="31" t="inlineStr">
        <is>
          <t>Nifty Realty</t>
        </is>
      </c>
      <c r="T177" s="32" t="inlineStr"/>
      <c r="U177" s="32" t="inlineStr"/>
      <c r="V177" s="32" t="inlineStr"/>
      <c r="W177" s="32" t="inlineStr"/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Headwind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No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Yes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Above 70%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More than 1.2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IF(B178=0,"",RANK(B178,$B$2:$B$184,0))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DOLPHIN</t>
        </is>
      </c>
      <c r="D178" s="31" t="inlineStr">
        <is>
          <t>Dolphin Offshore Enterprises (India) Ltd</t>
        </is>
      </c>
      <c r="E178" s="31" t="inlineStr">
        <is>
          <t>energy</t>
        </is>
      </c>
      <c r="F178" s="31" t="inlineStr">
        <is>
          <t>oil drilling / allied services</t>
        </is>
      </c>
      <c r="G178" s="31" t="inlineStr">
        <is>
          <t>smallcap</t>
        </is>
      </c>
      <c r="H178" s="32" t="n">
        <v>2604.5</v>
      </c>
      <c r="I178" s="32" t="n">
        <v>635.1</v>
      </c>
      <c r="J178" s="32" t="n">
        <v>-2.45</v>
      </c>
      <c r="K178" s="32" t="n">
        <v>35409</v>
      </c>
      <c r="L178" s="31" t="inlineStr"/>
      <c r="M178" s="31" t="inlineStr"/>
      <c r="N178" s="32">
        <f>IF(M178="Underperforming",-5,IF(L178&gt;=95,15,IF(L178&gt;=90,10,IF(L178&gt;=80,5,0))))</f>
        <v/>
      </c>
      <c r="O178" s="32" t="n">
        <v>71.33</v>
      </c>
      <c r="P178" s="32" t="n">
        <v>38.97</v>
      </c>
      <c r="Q178" s="32" t="n">
        <v>484.72</v>
      </c>
      <c r="R178" s="31" t="inlineStr">
        <is>
          <t>Earnings / Momentum Support</t>
        </is>
      </c>
      <c r="S178" s="31" t="inlineStr">
        <is>
          <t>Nifty Energy</t>
        </is>
      </c>
      <c r="T178" s="32" t="inlineStr"/>
      <c r="U178" s="32" t="inlineStr"/>
      <c r="V178" s="32" t="inlineStr"/>
      <c r="W178" s="32" t="inlineStr"/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Oligopoly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Yes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Cyclical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Volatile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20 to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Negative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More than 20%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Less than 1.5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Less than 0.7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IF(B179=0,"",RANK(B179,$B$2:$B$184,0))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JUBLPHARMA</t>
        </is>
      </c>
      <c r="D179" s="33" t="inlineStr">
        <is>
          <t>Jubilant Pharmova Ltd</t>
        </is>
      </c>
      <c r="E179" s="31" t="inlineStr">
        <is>
          <t>healthcare</t>
        </is>
      </c>
      <c r="F179" s="31" t="inlineStr">
        <is>
          <t>pharmaceuticals - indian - bulk drugs</t>
        </is>
      </c>
      <c r="G179" s="31" t="inlineStr">
        <is>
          <t>midcap</t>
        </is>
      </c>
      <c r="H179" s="32" t="n">
        <v>16118.45</v>
      </c>
      <c r="I179" s="32" t="n">
        <v>1002.5</v>
      </c>
      <c r="J179" s="32" t="n">
        <v>-0.93</v>
      </c>
      <c r="K179" s="32" t="n">
        <v>154099</v>
      </c>
      <c r="L179" s="31" t="n">
        <v>2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56.31</v>
      </c>
      <c r="P179" s="32" t="n">
        <v>10.92</v>
      </c>
      <c r="Q179" s="32" t="n">
        <v>827</v>
      </c>
      <c r="R179" s="31" t="inlineStr">
        <is>
          <t>Earnings / Momentum Support</t>
        </is>
      </c>
      <c r="S179" s="31" t="inlineStr">
        <is>
          <t>Nifty Pharma</t>
        </is>
      </c>
      <c r="T179" s="32" t="n">
        <v>15.25</v>
      </c>
      <c r="U179" s="32" t="n">
        <v>-8.41</v>
      </c>
      <c r="V179" s="32" t="n">
        <v>-20.53</v>
      </c>
      <c r="W179" s="32" t="n">
        <v>0.02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Yes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No</t>
        </is>
      </c>
      <c r="AQ179" s="31">
        <f>IF(AP179="Yes",10,0)</f>
        <v/>
      </c>
      <c r="AR179" s="31" t="inlineStr">
        <is>
          <t>Higher Annuity, Lower One Time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0 to 20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1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Less than 12%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Less than 0.7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IF(B180=0,"",RANK(B180,$B$2:$B$184,0))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INDIAGLYCO</t>
        </is>
      </c>
      <c r="D180" s="31" t="inlineStr">
        <is>
          <t>India Glycols Limited</t>
        </is>
      </c>
      <c r="E180" s="31" t="inlineStr">
        <is>
          <t>fmcg</t>
        </is>
      </c>
      <c r="F180" s="31" t="inlineStr">
        <is>
          <t>breweries &amp; distilleries</t>
        </is>
      </c>
      <c r="G180" s="31" t="inlineStr">
        <is>
          <t>smallcap</t>
        </is>
      </c>
      <c r="H180" s="32" t="n">
        <v>1878.09</v>
      </c>
      <c r="I180" s="32" t="n">
        <v>266.2</v>
      </c>
      <c r="J180" s="32" t="n">
        <v>-5</v>
      </c>
      <c r="K180" s="32" t="n">
        <v>39549</v>
      </c>
      <c r="L180" s="31" t="inlineStr"/>
      <c r="M180" s="31" t="inlineStr"/>
      <c r="N180" s="32">
        <f>IF(M180="Underperforming",-5,IF(L180&gt;=95,15,IF(L180&gt;=90,10,IF(L180&gt;=80,5,0))))</f>
        <v/>
      </c>
      <c r="O180" s="32" t="n">
        <v>24.6</v>
      </c>
      <c r="P180" s="32" t="n">
        <v>33.84</v>
      </c>
      <c r="Q180" s="32" t="n">
        <v>779.14</v>
      </c>
      <c r="R180" s="31" t="inlineStr">
        <is>
          <t>Earnings / Momentum Support</t>
        </is>
      </c>
      <c r="S180" s="31" t="inlineStr">
        <is>
          <t>Nifty FMCG</t>
        </is>
      </c>
      <c r="T180" s="32" t="inlineStr"/>
      <c r="U180" s="32" t="inlineStr"/>
      <c r="V180" s="32" t="inlineStr"/>
      <c r="W180" s="32" t="inlineStr"/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Headwind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B2C</t>
        </is>
      </c>
      <c r="AO180" s="31">
        <f>IF(AN180="B2C",10,IF(AN180="B2B",5,0))</f>
        <v/>
      </c>
      <c r="AP180" s="31" t="inlineStr">
        <is>
          <t>No</t>
        </is>
      </c>
      <c r="AQ180" s="31">
        <f>IF(AP180="Yes",10,0)</f>
        <v/>
      </c>
      <c r="AR180" s="31" t="inlineStr">
        <is>
          <t>Higher Annuity, Lower One Time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20 to 40</t>
        </is>
      </c>
      <c r="AY180" s="31">
        <f>IF(AX180="Above 40",20,IF(AX180="20 to 40",10,IF(AX180="0 to 20",-5,0)))</f>
        <v/>
      </c>
      <c r="AZ180" s="31" t="inlineStr">
        <is>
          <t>Below 45</t>
        </is>
      </c>
      <c r="BA180" s="31">
        <f>IF(AZ180="Between 50 to 75",10,IF(AZ180="Above 75",0,0))</f>
        <v/>
      </c>
      <c r="BB180" s="31" t="inlineStr">
        <is>
          <t>Stage 4</t>
        </is>
      </c>
      <c r="BC180" s="31">
        <f>IF(BB180="Stage 2",20,IF(BB180="Stage 1",0,IF(BB180="Stage 3",5,IF(BB180="Stage 4",-5,0))))</f>
        <v/>
      </c>
      <c r="BD180" s="31" t="inlineStr">
        <is>
          <t>Negative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Close to 52 week high or retracement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No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No</t>
        </is>
      </c>
      <c r="BS180" s="31">
        <f>IF(BR180="NO",5,0)</f>
        <v/>
      </c>
      <c r="BT180" s="31" t="inlineStr">
        <is>
          <t>Less than 1.5</t>
        </is>
      </c>
      <c r="BU180" s="31">
        <f>IF(BT180="Above 2",0,IF(BT180="Between 1.5 to 2",5,IF(BT180="Less than 1.5",10,0)))</f>
        <v/>
      </c>
      <c r="BV180" s="31" t="inlineStr">
        <is>
          <t>Above 70%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IF(B181=0,"",RANK(B181,$B$2:$B$184,0))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TATACOMM</t>
        </is>
      </c>
      <c r="D181" s="31" t="inlineStr">
        <is>
          <t>Tata Communications Limited</t>
        </is>
      </c>
      <c r="E181" s="31" t="inlineStr">
        <is>
          <t>telecom-service</t>
        </is>
      </c>
      <c r="F181" s="31" t="inlineStr">
        <is>
          <t>telecommunications - service provider</t>
        </is>
      </c>
      <c r="G181" s="31" t="inlineStr">
        <is>
          <t>largecap</t>
        </is>
      </c>
      <c r="H181" s="32" t="n">
        <v>49826.63</v>
      </c>
      <c r="I181" s="32" t="n">
        <v>1799.3</v>
      </c>
      <c r="J181" s="32" t="n">
        <v>2.92</v>
      </c>
      <c r="K181" s="32" t="n">
        <v>317034</v>
      </c>
      <c r="L181" s="31" t="n">
        <v>9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54.79</v>
      </c>
      <c r="P181" s="32" t="n">
        <v>14.23</v>
      </c>
      <c r="Q181" s="32" t="n">
        <v>1667.44</v>
      </c>
      <c r="R181" s="31" t="inlineStr">
        <is>
          <t>Earnings / Momentum Support</t>
        </is>
      </c>
      <c r="S181" s="31" t="inlineStr">
        <is>
          <t>Nifty 50</t>
        </is>
      </c>
      <c r="T181" s="32" t="n">
        <v>-8.33</v>
      </c>
      <c r="U181" s="32" t="n">
        <v>7.79</v>
      </c>
      <c r="V181" s="32" t="n">
        <v>17.59</v>
      </c>
      <c r="W181" s="32" t="n">
        <v>1.71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Oligopoly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Yes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No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0 to 20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1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Less than 12%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Above 70%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More than 1.2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IF(B182=0,"",RANK(B182,$B$2:$B$184,0))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3" t="inlineStr">
        <is>
          <t>TEGA</t>
        </is>
      </c>
      <c r="D182" s="33" t="inlineStr">
        <is>
          <t>Tega Industries Ltd</t>
        </is>
      </c>
      <c r="E182" s="31" t="inlineStr">
        <is>
          <t>industrials</t>
        </is>
      </c>
      <c r="F182" s="31" t="inlineStr">
        <is>
          <t>engineering</t>
        </is>
      </c>
      <c r="G182" s="31" t="inlineStr">
        <is>
          <t>midcap</t>
        </is>
      </c>
      <c r="H182" s="32" t="n">
        <v>12554.59</v>
      </c>
      <c r="I182" s="32" t="n">
        <v>1717.1</v>
      </c>
      <c r="J182" s="32" t="n">
        <v>2.75</v>
      </c>
      <c r="K182" s="32" t="n">
        <v>225032</v>
      </c>
      <c r="L182" s="31" t="n">
        <v>1</v>
      </c>
      <c r="M182" s="31" t="inlineStr">
        <is>
          <t>Underperforming</t>
        </is>
      </c>
      <c r="N182" s="32">
        <f>IF(M182="Underperforming",-5,IF(L182&gt;=95,15,IF(L182&gt;=90,10,IF(L182&gt;=80,5,0))))</f>
        <v/>
      </c>
      <c r="O182" s="32" t="n">
        <v>51.53</v>
      </c>
      <c r="P182" s="32" t="n">
        <v>9.68</v>
      </c>
      <c r="Q182" s="32" t="n">
        <v>1371.55</v>
      </c>
      <c r="R182" s="31" t="inlineStr">
        <is>
          <t>Earnings / Momentum Support</t>
        </is>
      </c>
      <c r="S182" s="31" t="inlineStr">
        <is>
          <t>Nifty 50</t>
        </is>
      </c>
      <c r="T182" s="32" t="n">
        <v>-8.33</v>
      </c>
      <c r="U182" s="32" t="n">
        <v>-14.69</v>
      </c>
      <c r="V182" s="32" t="n">
        <v>-6.94</v>
      </c>
      <c r="W182" s="32" t="n">
        <v>-3.83</v>
      </c>
      <c r="X182" s="31" t="inlineStr">
        <is>
          <t>Cyclical in an Upturn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No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0 to 20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1</t>
        </is>
      </c>
      <c r="BC182" s="31">
        <f>IF(BB182="Stage 2",20,IF(BB182="Stage 1",0,IF(BB182="Stage 3",5,IF(BB182="Stage 4",-5,0))))</f>
        <v/>
      </c>
      <c r="BD182" s="31" t="inlineStr">
        <is>
          <t>Negative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Close to 52 week high or retracement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Above 70%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Less than 0.7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IF(B183=0,"",RANK(B183,$B$2:$B$184,0))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UNITEDPOLY</t>
        </is>
      </c>
      <c r="D183" s="31" t="inlineStr">
        <is>
          <t>United Polyfab Gujarat Ltd</t>
        </is>
      </c>
      <c r="E183" s="31" t="inlineStr">
        <is>
          <t>textiles</t>
        </is>
      </c>
      <c r="F183" s="31" t="inlineStr">
        <is>
          <t>textiles - products</t>
        </is>
      </c>
      <c r="G183" s="31" t="inlineStr">
        <is>
          <t>smallcap</t>
        </is>
      </c>
      <c r="H183" s="32" t="n">
        <v>981.1799999999999</v>
      </c>
      <c r="I183" s="32" t="n">
        <v>43.19</v>
      </c>
      <c r="J183" s="32" t="n">
        <v>1.03</v>
      </c>
      <c r="K183" s="32" t="n">
        <v>143829</v>
      </c>
      <c r="L183" s="31" t="n">
        <v>30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70.90000000000001</v>
      </c>
      <c r="P183" s="32" t="n">
        <v>20.82</v>
      </c>
      <c r="Q183" s="32" t="n">
        <v>31.24</v>
      </c>
      <c r="R183" s="31" t="inlineStr">
        <is>
          <t>Earnings / Momentum Support</t>
        </is>
      </c>
      <c r="S183" s="31" t="inlineStr">
        <is>
          <t>Nifty 50</t>
        </is>
      </c>
      <c r="T183" s="32" t="n">
        <v>-8.33</v>
      </c>
      <c r="U183" s="32" t="n">
        <v>7.71</v>
      </c>
      <c r="V183" s="32" t="n">
        <v>17.49</v>
      </c>
      <c r="W183" s="32" t="n">
        <v>9.56</v>
      </c>
      <c r="X183" s="31" t="inlineStr">
        <is>
          <t>Growing Industry</t>
        </is>
      </c>
      <c r="Y183" s="31">
        <f>IF(X183="Growing Industry",10,IF(X183="Cyclical in an Upturn",5,0))</f>
        <v/>
      </c>
      <c r="Z183" s="31" t="inlineStr">
        <is>
          <t>Oligopoly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Shallow Cyclical (2 to 3 Years Growth)</t>
        </is>
      </c>
      <c r="AG183" s="31">
        <f>IF(AF183="Structural (10 Years Consistency)",10,IF(AF183="Shallow Cyclical (2 to 3 years growth)",5,0))</f>
        <v/>
      </c>
      <c r="AH183" s="31" t="inlineStr">
        <is>
          <t>Yes due to Product Mix change or Operating Leverage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Volatile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Yes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Allocated capital in Non-core Areas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Above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3</t>
        </is>
      </c>
      <c r="BC183" s="31">
        <f>IF(BB183="Stage 2",20,IF(BB183="Stage 1",0,IF(BB183="Stage 3",5,IF(BB183="Stage 4",-5,0))))</f>
        <v/>
      </c>
      <c r="BD183" s="31" t="inlineStr">
        <is>
          <t>Negative Trend</t>
        </is>
      </c>
      <c r="BE183" s="31">
        <f>IF(BD183="Positive Trend",20,IF(BD183="Negative Trend",-10,0))</f>
        <v/>
      </c>
      <c r="BF183" s="31" t="inlineStr">
        <is>
          <t>Sideways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Overhead supply in last 2 years in last 2 years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No</t>
        </is>
      </c>
      <c r="BS183" s="31">
        <f>IF(BR183="NO",5,0)</f>
        <v/>
      </c>
      <c r="BT183" s="31" t="inlineStr">
        <is>
          <t>Less than 1.5</t>
        </is>
      </c>
      <c r="BU183" s="31">
        <f>IF(BT183="Above 2",0,IF(BT183="Between 1.5 to 2",5,IF(BT183="Less than 1.5",10,0)))</f>
        <v/>
      </c>
      <c r="BV183" s="31" t="inlineStr">
        <is>
          <t>Above 70%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More than 15%</t>
        </is>
      </c>
      <c r="CC183" s="31">
        <f>IF(CB183="More than 15%",-10,IF(CB183="Less than 15%",10,0))</f>
        <v/>
      </c>
      <c r="CD183" s="31" t="inlineStr">
        <is>
          <t>Yes Upto 10%</t>
        </is>
      </c>
      <c r="CE183" s="31">
        <f>IF(CD183="Yes, more than 10%",-10,IF(CD183="No",10,0))</f>
        <v/>
      </c>
    </row>
    <row r="184">
      <c r="A184" s="31">
        <f>IF(B184=0,"",RANK(B184,$B$2:$B$184,0))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1" t="inlineStr">
        <is>
          <t>POLICYBZR</t>
        </is>
      </c>
      <c r="D184" s="31" t="inlineStr">
        <is>
          <t>PB Fintech Ltd</t>
        </is>
      </c>
      <c r="E184" s="31" t="inlineStr">
        <is>
          <t>i.t</t>
        </is>
      </c>
      <c r="F184" s="31" t="inlineStr">
        <is>
          <t>miscellaneous</t>
        </is>
      </c>
      <c r="G184" s="31" t="inlineStr">
        <is>
          <t>largecap</t>
        </is>
      </c>
      <c r="H184" s="32" t="n">
        <v>80323.83</v>
      </c>
      <c r="I184" s="32" t="n">
        <v>1827.1</v>
      </c>
      <c r="J184" s="32" t="n">
        <v>5.25</v>
      </c>
      <c r="K184" s="32" t="n">
        <v>2054206</v>
      </c>
      <c r="L184" s="31" t="n">
        <v>15</v>
      </c>
      <c r="M184" s="31" t="inlineStr">
        <is>
          <t>Outperforming</t>
        </is>
      </c>
      <c r="N184" s="32">
        <f>IF(M184="Underperforming",-5,IF(L184&gt;=95,15,IF(L184&gt;=90,10,IF(L184&gt;=80,5,0))))</f>
        <v/>
      </c>
      <c r="O184" s="32" t="n">
        <v>61.65</v>
      </c>
      <c r="P184" s="32" t="n">
        <v>11.29</v>
      </c>
      <c r="Q184" s="32" t="n">
        <v>1505.18</v>
      </c>
      <c r="R184" s="31" t="inlineStr">
        <is>
          <t>Earnings / Momentum Support</t>
        </is>
      </c>
      <c r="S184" s="31" t="inlineStr">
        <is>
          <t>Nifty IT</t>
        </is>
      </c>
      <c r="T184" s="32" t="n">
        <v>-20.48</v>
      </c>
      <c r="U184" s="32" t="n">
        <v>0.97</v>
      </c>
      <c r="V184" s="32" t="n">
        <v>26.97</v>
      </c>
      <c r="W184" s="32" t="n">
        <v>3.25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Monopoly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Yes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Volatile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B2C</t>
        </is>
      </c>
      <c r="AO184" s="31">
        <f>IF(AN184="B2C",10,IF(AN184="B2B",5,0))</f>
        <v/>
      </c>
      <c r="AP184" s="31" t="inlineStr">
        <is>
          <t>Yes</t>
        </is>
      </c>
      <c r="AQ184" s="31">
        <f>IF(AP184="Yes",10,0)</f>
        <v/>
      </c>
      <c r="AR184" s="31" t="inlineStr">
        <is>
          <t>Fully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Allocated capital in Non-core Areas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Below 45</t>
        </is>
      </c>
      <c r="BA184" s="31">
        <f>IF(AZ184="Between 50 to 75",10,IF(AZ184="Above 75",0,0))</f>
        <v/>
      </c>
      <c r="BB184" s="31" t="inlineStr">
        <is>
          <t>Stage 1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Downtrend</t>
        </is>
      </c>
      <c r="BG184" s="31">
        <f>IF(BF184="Uptrend",10,IF(BF184="Sideways",5,0))</f>
        <v/>
      </c>
      <c r="BH184" s="31" t="inlineStr">
        <is>
          <t>Downtrend</t>
        </is>
      </c>
      <c r="BI184" s="31">
        <f>IF(BH184="Uptrend",10,IF(BH184="Sideways",5,0))</f>
        <v/>
      </c>
      <c r="BJ184" s="31" t="inlineStr">
        <is>
          <t>Overhead supply in last 2 years in last 2 years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Less than 12%</t>
        </is>
      </c>
      <c r="BO184" s="31">
        <f>IF(BN184="More than 20%",10,IF(BN184="Between 12 to 20%",5,IF(BN184="Less than 12%",0,0)))</f>
        <v/>
      </c>
      <c r="BP184" s="31" t="inlineStr">
        <is>
          <t>Yes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Above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</sheetData>
  <autoFilter ref="A1:CE184"/>
  <conditionalFormatting sqref="B2:B18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8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8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8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8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8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8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8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8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8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8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8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8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8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8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8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8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8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8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8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8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8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8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8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8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8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8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8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8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8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18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8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184">
    <cfRule type="cellIs" priority="36" operator="equal" dxfId="3" stopIfTrue="1">
      <formula>"Underperforming"</formula>
    </cfRule>
  </conditionalFormatting>
  <conditionalFormatting sqref="N2:N184">
    <cfRule type="cellIs" priority="37" operator="equal" dxfId="3" stopIfTrue="1">
      <formula>-5</formula>
    </cfRule>
  </conditionalFormatting>
  <conditionalFormatting sqref="Q2:Q18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184" showDropDown="0" showInputMessage="0" showErrorMessage="0" allowBlank="1" type="list">
      <formula1>"Growing Industry,Stagnant Industry,Cyclical in an Upturn"</formula1>
    </dataValidation>
    <dataValidation sqref="Z2:Z18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184" showDropDown="0" showInputMessage="0" showErrorMessage="0" allowBlank="1" type="list">
      <formula1>"Yes,No"</formula1>
    </dataValidation>
    <dataValidation sqref="AD2:AD184" showDropDown="0" showInputMessage="0" showErrorMessage="0" allowBlank="1" type="list">
      <formula1>"Tailwind,Headwind"</formula1>
    </dataValidation>
    <dataValidation sqref="AF2:AF184" showDropDown="0" showInputMessage="0" showErrorMessage="0" allowBlank="1" type="list">
      <formula1>"Structural (10 Years Consistency),Shallow Cyclical (2 to 3 Years Growth),Cyclical"</formula1>
    </dataValidation>
    <dataValidation sqref="AH2:AH184" showDropDown="0" showInputMessage="0" showErrorMessage="0" allowBlank="1" type="list">
      <formula1>"Yes due to Product Mix change or Operating Leverage,Yes, these are peak margins,No"</formula1>
    </dataValidation>
    <dataValidation sqref="AJ2:AJ184" showDropDown="0" showInputMessage="0" showErrorMessage="0" allowBlank="1" type="list">
      <formula1>"Stable,Volatile"</formula1>
    </dataValidation>
    <dataValidation sqref="AL2:AL184" showDropDown="0" showInputMessage="0" showErrorMessage="0" allowBlank="1" type="list">
      <formula1>"Yes,No"</formula1>
    </dataValidation>
    <dataValidation sqref="AN2:AN184" showDropDown="0" showInputMessage="0" showErrorMessage="0" allowBlank="1" type="list">
      <formula1>"B2C,B2B,B2G"</formula1>
    </dataValidation>
    <dataValidation sqref="AP2:AP184" showDropDown="0" showInputMessage="0" showErrorMessage="0" allowBlank="1" type="list">
      <formula1>"Yes,No"</formula1>
    </dataValidation>
    <dataValidation sqref="AR2:AR184" showDropDown="0" showInputMessage="0" showErrorMessage="0" allowBlank="1" type="list">
      <formula1>"Fully Annuity,Higher Annuity, Lower One time,Higher One Time, Lower Annuity,Fully One Time"</formula1>
    </dataValidation>
    <dataValidation sqref="AT2:AT184" showDropDown="0" showInputMessage="0" showErrorMessage="0" allowBlank="1" type="list">
      <formula1>"Good,Allocated capital in Non-core Areas"</formula1>
    </dataValidation>
    <dataValidation sqref="AV2:AV184" showDropDown="0" showInputMessage="0" showErrorMessage="0" allowBlank="1" type="list">
      <formula1>"Yes for more than 2 years,Yes only for next 1 to 2 years,No"</formula1>
    </dataValidation>
    <dataValidation sqref="AX2:AX184" showDropDown="0" showInputMessage="0" showErrorMessage="0" allowBlank="1" type="list">
      <formula1>"Above 40,20 to 40,0 to 20"</formula1>
    </dataValidation>
    <dataValidation sqref="AZ2:AZ184" showDropDown="0" showInputMessage="0" showErrorMessage="0" allowBlank="1" type="list">
      <formula1>"Between 50 to 75,Above 75,Below 45"</formula1>
    </dataValidation>
    <dataValidation sqref="BB2:BB184" showDropDown="0" showInputMessage="0" showErrorMessage="0" allowBlank="1" type="list">
      <formula1>"Stage 1,Stage 2,Stage 3,Stage 4"</formula1>
    </dataValidation>
    <dataValidation sqref="BD2:BD184" showDropDown="0" showInputMessage="0" showErrorMessage="0" allowBlank="1" type="list">
      <formula1>"Positive Trend,Negative Trend"</formula1>
    </dataValidation>
    <dataValidation sqref="BF2:BF184" showDropDown="0" showInputMessage="0" showErrorMessage="0" allowBlank="1" type="list">
      <formula1>"Uptrend,Sideways,Downtrend"</formula1>
    </dataValidation>
    <dataValidation sqref="BH2:BH184" showDropDown="0" showInputMessage="0" showErrorMessage="0" allowBlank="1" type="list">
      <formula1>"Uptrend,Sideways,Downtrend"</formula1>
    </dataValidation>
    <dataValidation sqref="BJ2:BJ18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184" showDropDown="0" showInputMessage="0" showErrorMessage="0" allowBlank="1" type="list">
      <formula1>"Yes,No"</formula1>
    </dataValidation>
    <dataValidation sqref="BN2:BN184" showDropDown="0" showInputMessage="0" showErrorMessage="0" allowBlank="1" type="list">
      <formula1>"More than 20%,Between 12 to 20%,Less than 12%"</formula1>
    </dataValidation>
    <dataValidation sqref="BP2:BP184" showDropDown="0" showInputMessage="0" showErrorMessage="0" allowBlank="1" type="list">
      <formula1>"Yes,No"</formula1>
    </dataValidation>
    <dataValidation sqref="BR2:BR184" showDropDown="0" showInputMessage="0" showErrorMessage="0" allowBlank="1" type="list">
      <formula1>"Yes,No"</formula1>
    </dataValidation>
    <dataValidation sqref="BT2:BT184" showDropDown="0" showInputMessage="0" showErrorMessage="0" allowBlank="1" type="list">
      <formula1>"Above 2,Between 1.5 to 2,Less than 1.5"</formula1>
    </dataValidation>
    <dataValidation sqref="BV2:BV184" showDropDown="0" showInputMessage="0" showErrorMessage="0" allowBlank="1" type="list">
      <formula1>"Above 70%,Between 50% to 70%,Less than 50%,Less than 50% and Borrowings are increasing,Negative"</formula1>
    </dataValidation>
    <dataValidation sqref="BX2:BX184" showDropDown="0" showInputMessage="0" showErrorMessage="0" allowBlank="1" type="list">
      <formula1>"More than 1.2,Between 0.7 to 1.2,Less than 0.7"</formula1>
    </dataValidation>
    <dataValidation sqref="BZ2:BZ184" showDropDown="0" showInputMessage="0" showErrorMessage="0" allowBlank="1" type="list">
      <formula1>"Yes,No"</formula1>
    </dataValidation>
    <dataValidation sqref="CB2:CB184" showDropDown="0" showInputMessage="0" showErrorMessage="0" allowBlank="1" type="list">
      <formula1>"More than 15%,Less than 15%"</formula1>
    </dataValidation>
    <dataValidation sqref="CD2:CD18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13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IF(B2=0,"",RANK(B2,$B$2:$B$13,0))</f>
        <v/>
      </c>
      <c r="B2" s="32">
        <f>SUM(N2,Y2,AA2,AC2,AE2,AG2,AI2,AK2,AM2,AO2,AQ2,AS2,AU2,AW2,AY2,BA2,BC2,BE2,BG2,BI2,BK2,BM2,BO2,BQ2,BS2,BU2,BW2,BY2,CA2)</f>
        <v/>
      </c>
      <c r="C2" s="31" t="inlineStr">
        <is>
          <t>WELINV</t>
        </is>
      </c>
      <c r="D2" s="31" t="inlineStr">
        <is>
          <t>Welspun Investments And Commercials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831.76</v>
      </c>
      <c r="I2" s="32" t="n">
        <v>2230.5</v>
      </c>
      <c r="J2" s="32" t="n">
        <v>-2</v>
      </c>
      <c r="K2" s="32" t="n">
        <v>76</v>
      </c>
      <c r="L2" s="31" t="n">
        <v>72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74.09999999999999</v>
      </c>
      <c r="P2" s="32" t="n">
        <v>58.48</v>
      </c>
      <c r="Q2" s="32" t="n">
        <v>1822.07</v>
      </c>
      <c r="R2" s="31" t="inlineStr">
        <is>
          <t>Near 52W High Breakout</t>
        </is>
      </c>
      <c r="S2" s="31" t="inlineStr">
        <is>
          <t>Nifty Bank</t>
        </is>
      </c>
      <c r="T2" s="32" t="n">
        <v>1.5</v>
      </c>
      <c r="U2" s="32" t="n">
        <v>120.84</v>
      </c>
      <c r="V2" s="32" t="n">
        <v>117.57</v>
      </c>
      <c r="W2" s="32" t="n">
        <v>23.82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IF(B3=0,"",RANK(B3,$B$2:$B$13,0))</f>
        <v/>
      </c>
      <c r="B3" s="32">
        <f>SUM(N3,Y3,AA3,AC3,AE3,AG3,AI3,AK3,AM3,AO3,AQ3,AS3,AU3,AW3,AY3,BA3,BC3,BE3,BG3,BI3,BK3,BM3,BO3,BQ3,BS3,BU3,BW3,BY3,CA3)</f>
        <v/>
      </c>
      <c r="C3" s="31" t="inlineStr">
        <is>
          <t>DCBBANK</t>
        </is>
      </c>
      <c r="D3" s="31" t="inlineStr">
        <is>
          <t>Dcb Bank Limited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7146.58</v>
      </c>
      <c r="I3" s="32" t="n">
        <v>219.94</v>
      </c>
      <c r="J3" s="32" t="n">
        <v>-0.88</v>
      </c>
      <c r="K3" s="32" t="n">
        <v>912819</v>
      </c>
      <c r="L3" s="31" t="n">
        <v>52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67.79000000000001</v>
      </c>
      <c r="P3" s="32" t="n">
        <v>34.8</v>
      </c>
      <c r="Q3" s="32" t="n">
        <v>183.47</v>
      </c>
      <c r="R3" s="31" t="inlineStr">
        <is>
          <t>Near 52W High Breakout</t>
        </is>
      </c>
      <c r="S3" s="31" t="inlineStr">
        <is>
          <t>Nifty Bank</t>
        </is>
      </c>
      <c r="T3" s="32" t="n">
        <v>1.5</v>
      </c>
      <c r="U3" s="32" t="n">
        <v>70.33</v>
      </c>
      <c r="V3" s="32" t="n">
        <v>67.81</v>
      </c>
      <c r="W3" s="32" t="n">
        <v>15.62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IF(B4=0,"",RANK(B4,$B$2:$B$13,0))</f>
        <v/>
      </c>
      <c r="B4" s="32">
        <f>SUM(N4,Y4,AA4,AC4,AE4,AG4,AI4,AK4,AM4,AO4,AQ4,AS4,AU4,AW4,AY4,BA4,BC4,BE4,BG4,BI4,BK4,BM4,BO4,BQ4,BS4,BU4,BW4,BY4,CA4)</f>
        <v/>
      </c>
      <c r="C4" s="31" t="inlineStr">
        <is>
          <t>TFCILTD</t>
        </is>
      </c>
      <c r="D4" s="31" t="inlineStr">
        <is>
          <t>Tourism Finance Corporation Of India Limited</t>
        </is>
      </c>
      <c r="E4" s="31" t="inlineStr">
        <is>
          <t>financials</t>
        </is>
      </c>
      <c r="F4" s="31" t="inlineStr">
        <is>
          <t>finance - term-lending institutions</t>
        </is>
      </c>
      <c r="G4" s="31" t="inlineStr">
        <is>
          <t>midcap</t>
        </is>
      </c>
      <c r="H4" s="32" t="n">
        <v>6397.42</v>
      </c>
      <c r="I4" s="32" t="n">
        <v>138.81</v>
      </c>
      <c r="J4" s="32" t="n">
        <v>0.46</v>
      </c>
      <c r="K4" s="32" t="n">
        <v>11711599</v>
      </c>
      <c r="L4" s="31" t="n">
        <v>88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80.7</v>
      </c>
      <c r="P4" s="32" t="n">
        <v>68.23</v>
      </c>
      <c r="Q4" s="32" t="n">
        <v>114.97</v>
      </c>
      <c r="R4" s="31" t="inlineStr">
        <is>
          <t>Near 52W High Breakout</t>
        </is>
      </c>
      <c r="S4" s="31" t="inlineStr">
        <is>
          <t>Nifty Bank</t>
        </is>
      </c>
      <c r="T4" s="32" t="n">
        <v>1.5</v>
      </c>
      <c r="U4" s="32" t="n">
        <v>92.73</v>
      </c>
      <c r="V4" s="32" t="n">
        <v>89.88</v>
      </c>
      <c r="W4" s="32" t="n">
        <v>36.01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between 2.5x to 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Above 40</t>
        </is>
      </c>
      <c r="BM4" s="31">
        <f>IF(BL4="Above 40",20,IF(BL4="20 to 40",10,IF(BL4="0 to 20",-5,0)))</f>
        <v/>
      </c>
      <c r="BN4" s="31" t="inlineStr">
        <is>
          <t>Above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IF(B5=0,"",RANK(B5,$B$2:$B$13,0))</f>
        <v/>
      </c>
      <c r="B5" s="32">
        <f>SUM(N5,Y5,AA5,AC5,AE5,AG5,AI5,AK5,AM5,AO5,AQ5,AS5,AU5,AW5,AY5,BA5,BC5,BE5,BG5,BI5,BK5,BM5,BO5,BQ5,BS5,BU5,BW5,BY5,CA5)</f>
        <v/>
      </c>
      <c r="C5" s="31" t="inlineStr">
        <is>
          <t>PAISALO</t>
        </is>
      </c>
      <c r="D5" s="31" t="inlineStr">
        <is>
          <t>Paisalo Digital Ltd</t>
        </is>
      </c>
      <c r="E5" s="31" t="inlineStr">
        <is>
          <t>financials</t>
        </is>
      </c>
      <c r="F5" s="31" t="inlineStr">
        <is>
          <t>finance &amp; investments</t>
        </is>
      </c>
      <c r="G5" s="31" t="inlineStr">
        <is>
          <t>midcap</t>
        </is>
      </c>
      <c r="H5" s="32" t="n">
        <v>7682.73</v>
      </c>
      <c r="I5" s="32" t="n">
        <v>84.59</v>
      </c>
      <c r="J5" s="32" t="n">
        <v>0.14</v>
      </c>
      <c r="K5" s="32" t="n">
        <v>20996365</v>
      </c>
      <c r="L5" s="31" t="n">
        <v>80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80.48999999999999</v>
      </c>
      <c r="P5" s="32" t="n">
        <v>68.75</v>
      </c>
      <c r="Q5" s="32" t="n">
        <v>67.58</v>
      </c>
      <c r="R5" s="31" t="inlineStr">
        <is>
          <t>Near 52W High Breakout</t>
        </is>
      </c>
      <c r="S5" s="31" t="inlineStr">
        <is>
          <t>Nifty Bank</t>
        </is>
      </c>
      <c r="T5" s="32" t="n">
        <v>1.5</v>
      </c>
      <c r="U5" s="32" t="n">
        <v>117.44</v>
      </c>
      <c r="V5" s="32" t="n">
        <v>114.22</v>
      </c>
      <c r="W5" s="32" t="n">
        <v>29.12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Above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IF(B6=0,"",RANK(B6,$B$2:$B$13,0))</f>
        <v/>
      </c>
      <c r="B6" s="32">
        <f>SUM(N6,Y6,AA6,AC6,AE6,AG6,AI6,AK6,AM6,AO6,AQ6,AS6,AU6,AW6,AY6,BA6,BC6,BE6,BG6,BI6,BK6,BM6,BO6,BQ6,BS6,BU6,BW6,BY6,CA6)</f>
        <v/>
      </c>
      <c r="C6" s="31" t="inlineStr">
        <is>
          <t>SHAREINDIA</t>
        </is>
      </c>
      <c r="D6" s="31" t="inlineStr">
        <is>
          <t>Share India Securities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smallcap</t>
        </is>
      </c>
      <c r="H6" s="32" t="n">
        <v>4315.24</v>
      </c>
      <c r="I6" s="32" t="n">
        <v>196.05</v>
      </c>
      <c r="J6" s="32" t="n">
        <v>-0.58</v>
      </c>
      <c r="K6" s="32" t="n">
        <v>1855814</v>
      </c>
      <c r="L6" s="31" t="n">
        <v>58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65.26000000000001</v>
      </c>
      <c r="P6" s="32" t="n">
        <v>33.74</v>
      </c>
      <c r="Q6" s="32" t="n">
        <v>148.02</v>
      </c>
      <c r="R6" s="31" t="inlineStr">
        <is>
          <t>Near 52W High Breakout</t>
        </is>
      </c>
      <c r="S6" s="31" t="inlineStr">
        <is>
          <t>Nifty Bank</t>
        </is>
      </c>
      <c r="T6" s="32" t="n">
        <v>1.5</v>
      </c>
      <c r="U6" s="32" t="n">
        <v>39.3</v>
      </c>
      <c r="V6" s="32" t="n">
        <v>37.24</v>
      </c>
      <c r="W6" s="32" t="n">
        <v>17.67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IF(B7=0,"",RANK(B7,$B$2:$B$13,0))</f>
        <v/>
      </c>
      <c r="B7" s="32">
        <f>SUM(N7,Y7,AA7,AC7,AE7,AG7,AI7,AK7,AM7,AO7,AQ7,AS7,AU7,AW7,AY7,BA7,BC7,BE7,BG7,BI7,BK7,BM7,BO7,BQ7,BS7,BU7,BW7,BY7,CA7)</f>
        <v/>
      </c>
      <c r="C7" s="31" t="inlineStr">
        <is>
          <t>YESBANK</t>
        </is>
      </c>
      <c r="D7" s="31" t="inlineStr">
        <is>
          <t>Yes Bank Limited</t>
        </is>
      </c>
      <c r="E7" s="31" t="inlineStr">
        <is>
          <t>bank</t>
        </is>
      </c>
      <c r="F7" s="31" t="inlineStr">
        <is>
          <t>banks - private sector</t>
        </is>
      </c>
      <c r="G7" s="31" t="inlineStr">
        <is>
          <t>largecap</t>
        </is>
      </c>
      <c r="H7" s="32" t="n">
        <v>72409.25999999999</v>
      </c>
      <c r="I7" s="32" t="n">
        <v>23.4</v>
      </c>
      <c r="J7" s="32" t="n">
        <v>1.43</v>
      </c>
      <c r="K7" s="32" t="n">
        <v>205410106</v>
      </c>
      <c r="L7" s="31" t="n">
        <v>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56.23</v>
      </c>
      <c r="P7" s="32" t="n">
        <v>21.44</v>
      </c>
      <c r="Q7" s="32" t="n">
        <v>21.9</v>
      </c>
      <c r="R7" s="31" t="inlineStr">
        <is>
          <t>Earnings / Momentum Support</t>
        </is>
      </c>
      <c r="S7" s="31" t="inlineStr">
        <is>
          <t>Nifty Bank</t>
        </is>
      </c>
      <c r="T7" s="32" t="n">
        <v>1.5</v>
      </c>
      <c r="U7" s="32" t="n">
        <v>10.53</v>
      </c>
      <c r="V7" s="32" t="n">
        <v>8.9</v>
      </c>
      <c r="W7" s="32" t="n">
        <v>1.81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No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IF(B8=0,"",RANK(B8,$B$2:$B$13,0))</f>
        <v/>
      </c>
      <c r="B8" s="32">
        <f>SUM(N8,Y8,AA8,AC8,AE8,AG8,AI8,AK8,AM8,AO8,AQ8,AS8,AU8,AW8,AY8,BA8,BC8,BE8,BG8,BI8,BK8,BM8,BO8,BQ8,BS8,BU8,BW8,BY8,CA8)</f>
        <v/>
      </c>
      <c r="C8" s="31" t="inlineStr">
        <is>
          <t>CONSOFINVT</t>
        </is>
      </c>
      <c r="D8" s="31" t="inlineStr">
        <is>
          <t>Consolidated Finvest &amp; Holdings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976.26</v>
      </c>
      <c r="I8" s="32" t="n">
        <v>303.15</v>
      </c>
      <c r="J8" s="32" t="n">
        <v>0.38</v>
      </c>
      <c r="K8" s="32" t="n">
        <v>1942</v>
      </c>
      <c r="L8" s="31" t="n">
        <v>60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70.48999999999999</v>
      </c>
      <c r="P8" s="32" t="n">
        <v>38.45</v>
      </c>
      <c r="Q8" s="32" t="n">
        <v>238.39</v>
      </c>
      <c r="R8" s="31" t="inlineStr">
        <is>
          <t>Near 52W High Breakout</t>
        </is>
      </c>
      <c r="S8" s="31" t="inlineStr">
        <is>
          <t>Nifty Bank</t>
        </is>
      </c>
      <c r="T8" s="32" t="n">
        <v>1.5</v>
      </c>
      <c r="U8" s="32" t="n">
        <v>60.33</v>
      </c>
      <c r="V8" s="32" t="n">
        <v>57.95</v>
      </c>
      <c r="W8" s="32" t="n">
        <v>18.38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less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IF(B9=0,"",RANK(B9,$B$2:$B$13,0))</f>
        <v/>
      </c>
      <c r="B9" s="32">
        <f>SUM(N9,Y9,AA9,AC9,AE9,AG9,AI9,AK9,AM9,AO9,AQ9,AS9,AU9,AW9,AY9,BA9,BC9,BE9,BG9,BI9,BK9,BM9,BO9,BQ9,BS9,BU9,BW9,BY9,CA9)</f>
        <v/>
      </c>
      <c r="C9" s="31" t="inlineStr">
        <is>
          <t>RBLBANK</t>
        </is>
      </c>
      <c r="D9" s="31" t="inlineStr">
        <is>
          <t>Rbl Bank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62499.8</v>
      </c>
      <c r="I9" s="32" t="n">
        <v>404</v>
      </c>
      <c r="J9" s="32" t="n">
        <v>0.1</v>
      </c>
      <c r="K9" s="32" t="n">
        <v>2607366</v>
      </c>
      <c r="L9" s="31" t="n">
        <v>34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63.85</v>
      </c>
      <c r="P9" s="32" t="n">
        <v>35.67</v>
      </c>
      <c r="Q9" s="32" t="n">
        <v>352.69</v>
      </c>
      <c r="R9" s="31" t="inlineStr">
        <is>
          <t>Near 52W High Breakout</t>
        </is>
      </c>
      <c r="S9" s="31" t="inlineStr">
        <is>
          <t>Nifty Bank</t>
        </is>
      </c>
      <c r="T9" s="32" t="n">
        <v>1.5</v>
      </c>
      <c r="U9" s="32" t="n">
        <v>49.46</v>
      </c>
      <c r="V9" s="32" t="n">
        <v>47.25</v>
      </c>
      <c r="W9" s="32" t="n">
        <v>10.22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less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Between 50 to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IF(B10=0,"",RANK(B10,$B$2:$B$13,0))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ANANDRATHI</t>
        </is>
      </c>
      <c r="D10" s="31" t="inlineStr">
        <is>
          <t>Anand Rathi Wealth Ltd</t>
        </is>
      </c>
      <c r="E10" s="31" t="inlineStr">
        <is>
          <t>financials</t>
        </is>
      </c>
      <c r="F10" s="31" t="inlineStr">
        <is>
          <t>finance &amp; investments</t>
        </is>
      </c>
      <c r="G10" s="31" t="inlineStr">
        <is>
          <t>largecap</t>
        </is>
      </c>
      <c r="H10" s="32" t="n">
        <v>36261.75</v>
      </c>
      <c r="I10" s="32" t="n">
        <v>2206.2</v>
      </c>
      <c r="J10" s="32" t="n">
        <v>1.02</v>
      </c>
      <c r="K10" s="32" t="n">
        <v>279080</v>
      </c>
      <c r="L10" s="31" t="n">
        <v>42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75.28</v>
      </c>
      <c r="P10" s="32" t="n">
        <v>60.1</v>
      </c>
      <c r="Q10" s="32" t="n">
        <v>1930.12</v>
      </c>
      <c r="R10" s="31" t="inlineStr">
        <is>
          <t>Near 52W High Breakout</t>
        </is>
      </c>
      <c r="S10" s="31" t="inlineStr">
        <is>
          <t>Nifty Bank</t>
        </is>
      </c>
      <c r="T10" s="32" t="n">
        <v>1.5</v>
      </c>
      <c r="U10" s="32" t="n">
        <v>45.62</v>
      </c>
      <c r="V10" s="32" t="n">
        <v>43.46</v>
      </c>
      <c r="W10" s="32" t="n">
        <v>11.96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above 5x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Above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IF(B11=0,"",RANK(B11,$B$2:$B$13,0))</f>
        <v/>
      </c>
      <c r="B11" s="32">
        <f>SUM(N11,Y11,AA11,AC11,AE11,AG11,AI11,AK11,AM11,AO11,AQ11,AS11,AU11,AW11,AY11,BA11,BC11,BE11,BG11,BI11,BK11,BM11,BO11,BQ11,BS11,BU11,BW11,BY11,CA11)</f>
        <v/>
      </c>
      <c r="C11" s="31" t="inlineStr">
        <is>
          <t>GCSL</t>
        </is>
      </c>
      <c r="D11" s="31" t="inlineStr">
        <is>
          <t>Gretex Corporate Services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1453.31</v>
      </c>
      <c r="I11" s="32" t="n">
        <v>594.75</v>
      </c>
      <c r="J11" s="32" t="n">
        <v>-1.13</v>
      </c>
      <c r="K11" s="32" t="n">
        <v>1045600</v>
      </c>
      <c r="L11" s="31" t="n">
        <v>77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72.81</v>
      </c>
      <c r="P11" s="32" t="n">
        <v>33.57</v>
      </c>
      <c r="Q11" s="32" t="n">
        <v>465.15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1.5</v>
      </c>
      <c r="U11" s="32" t="n">
        <v>128.49</v>
      </c>
      <c r="V11" s="32" t="n">
        <v>125.11</v>
      </c>
      <c r="W11" s="32" t="n">
        <v>27.16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above 5x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IF(B12=0,"",RANK(B12,$B$2:$B$13,0))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PNB</t>
        </is>
      </c>
      <c r="D12" s="31" t="inlineStr">
        <is>
          <t>Punjab National Bank Ltd</t>
        </is>
      </c>
      <c r="E12" s="31" t="inlineStr">
        <is>
          <t>bank</t>
        </is>
      </c>
      <c r="F12" s="31" t="inlineStr">
        <is>
          <t>banks - public sector</t>
        </is>
      </c>
      <c r="G12" s="31" t="inlineStr">
        <is>
          <t>largecap</t>
        </is>
      </c>
      <c r="H12" s="32" t="n">
        <v>131824.06</v>
      </c>
      <c r="I12" s="32" t="n">
        <v>116.8</v>
      </c>
      <c r="J12" s="32" t="n">
        <v>1.83</v>
      </c>
      <c r="K12" s="32" t="n">
        <v>18494065</v>
      </c>
      <c r="L12" s="31" t="n">
        <v>12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58.92</v>
      </c>
      <c r="P12" s="32" t="n">
        <v>9.83</v>
      </c>
      <c r="Q12" s="32" t="n">
        <v>102.77</v>
      </c>
      <c r="R12" s="31" t="inlineStr">
        <is>
          <t>Earnings / Momentum Support</t>
        </is>
      </c>
      <c r="S12" s="31" t="inlineStr">
        <is>
          <t>Nifty Bank</t>
        </is>
      </c>
      <c r="T12" s="32" t="n">
        <v>1.5</v>
      </c>
      <c r="U12" s="32" t="n">
        <v>6.09</v>
      </c>
      <c r="V12" s="32" t="n">
        <v>4.52</v>
      </c>
      <c r="W12" s="32" t="n">
        <v>2.79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less than 2.5x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0 to 20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IF(B13=0,"",RANK(B13,$B$2:$B$13,0))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FIVESTAR</t>
        </is>
      </c>
      <c r="D13" s="31" t="inlineStr">
        <is>
          <t>Five-Star Business Finance Ltd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midcap</t>
        </is>
      </c>
      <c r="H13" s="32" t="n">
        <v>15997.27</v>
      </c>
      <c r="I13" s="32" t="n">
        <v>549.4</v>
      </c>
      <c r="J13" s="32" t="n">
        <v>1.37</v>
      </c>
      <c r="K13" s="32" t="n">
        <v>549733</v>
      </c>
      <c r="L13" s="31" t="n">
        <v>21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57.37</v>
      </c>
      <c r="P13" s="32" t="n">
        <v>14.16</v>
      </c>
      <c r="Q13" s="32" t="n">
        <v>436.37</v>
      </c>
      <c r="R13" s="31" t="inlineStr">
        <is>
          <t>Earnings / Momentum Support</t>
        </is>
      </c>
      <c r="S13" s="31" t="inlineStr">
        <is>
          <t>Nifty Bank</t>
        </is>
      </c>
      <c r="T13" s="32" t="n">
        <v>1.5</v>
      </c>
      <c r="U13" s="32" t="n">
        <v>2.53</v>
      </c>
      <c r="V13" s="32" t="n">
        <v>1.01</v>
      </c>
      <c r="W13" s="32" t="n">
        <v>5.59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No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0 to 20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Close to 52 week high or retracement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</sheetData>
  <autoFilter ref="A1:CA13"/>
  <conditionalFormatting sqref="B2:B13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3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13">
    <cfRule type="cellIs" priority="34" operator="equal" dxfId="3" stopIfTrue="1">
      <formula>"Underperforming"</formula>
    </cfRule>
  </conditionalFormatting>
  <conditionalFormatting sqref="N2:N13">
    <cfRule type="cellIs" priority="35" operator="equal" dxfId="3" stopIfTrue="1">
      <formula>-5</formula>
    </cfRule>
  </conditionalFormatting>
  <conditionalFormatting sqref="Q2:Q13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13" showDropDown="0" showInputMessage="0" showErrorMessage="0" allowBlank="1" type="list">
      <formula1>"Growing Industry,Stagnant Industry,Cyclical in an Upturn"</formula1>
    </dataValidation>
    <dataValidation sqref="Z2:Z13" showDropDown="0" showInputMessage="0" showErrorMessage="0" allowBlank="1" type="list">
      <formula1>"Fragmented with Low ROE,Fragmented with High ROE,Highly Cyclical"</formula1>
    </dataValidation>
    <dataValidation sqref="AB2:AB13" showDropDown="0" showInputMessage="0" showErrorMessage="0" allowBlank="1" type="list">
      <formula1>"Yes,No"</formula1>
    </dataValidation>
    <dataValidation sqref="AD2:AD13" showDropDown="0" showInputMessage="0" showErrorMessage="0" allowBlank="1" type="list">
      <formula1>"Tailwind,Headwind"</formula1>
    </dataValidation>
    <dataValidation sqref="AF2:AF13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3" showDropDown="0" showInputMessage="0" showErrorMessage="0" allowBlank="1" type="list">
      <formula1>"Yes,No"</formula1>
    </dataValidation>
    <dataValidation sqref="AJ2:AJ13" showDropDown="0" showInputMessage="0" showErrorMessage="0" allowBlank="1" type="list">
      <formula1>"Yes,No,Not Applicable"</formula1>
    </dataValidation>
    <dataValidation sqref="AL2:AL13" showDropDown="0" showInputMessage="0" showErrorMessage="0" allowBlank="1" type="list">
      <formula1>"Yes,No"</formula1>
    </dataValidation>
    <dataValidation sqref="AN2:AN13" showDropDown="0" showInputMessage="0" showErrorMessage="0" allowBlank="1" type="list">
      <formula1>"Yes,No"</formula1>
    </dataValidation>
    <dataValidation sqref="AP2:AP13" showDropDown="0" showInputMessage="0" showErrorMessage="0" allowBlank="1" type="list">
      <formula1>"Yes,No"</formula1>
    </dataValidation>
    <dataValidation sqref="AR2:AR13" showDropDown="0" showInputMessage="0" showErrorMessage="0" allowBlank="1" type="list">
      <formula1>"Yes,No"</formula1>
    </dataValidation>
    <dataValidation sqref="AT2:AT13" showDropDown="0" showInputMessage="0" showErrorMessage="0" allowBlank="1" type="list">
      <formula1>"No,Yes"</formula1>
    </dataValidation>
    <dataValidation sqref="AV2:AV13" showDropDown="0" showInputMessage="0" showErrorMessage="0" allowBlank="1" type="list">
      <formula1>"No,Yes"</formula1>
    </dataValidation>
    <dataValidation sqref="AX2:AX13" showDropDown="0" showInputMessage="0" showErrorMessage="0" allowBlank="1" type="list">
      <formula1>"No,Yes CEO Resignation,Yes CEO Retirement"</formula1>
    </dataValidation>
    <dataValidation sqref="AZ2:AZ13" showDropDown="0" showInputMessage="0" showErrorMessage="0" allowBlank="1" type="list">
      <formula1>"No,Yes"</formula1>
    </dataValidation>
    <dataValidation sqref="BB2:BB13" showDropDown="0" showInputMessage="0" showErrorMessage="0" allowBlank="1" type="list">
      <formula1>"No,Yes"</formula1>
    </dataValidation>
    <dataValidation sqref="BD2:BD13" showDropDown="0" showInputMessage="0" showErrorMessage="0" allowBlank="1" type="list">
      <formula1>"Yes,No"</formula1>
    </dataValidation>
    <dataValidation sqref="BF2:BF13" showDropDown="0" showInputMessage="0" showErrorMessage="0" allowBlank="1" type="list">
      <formula1>"Yes,No"</formula1>
    </dataValidation>
    <dataValidation sqref="BH2:BH13" showDropDown="0" showInputMessage="0" showErrorMessage="0" allowBlank="1" type="list">
      <formula1>"Yes,No"</formula1>
    </dataValidation>
    <dataValidation sqref="BJ2:BJ13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3" showDropDown="0" showInputMessage="0" showErrorMessage="0" allowBlank="1" type="list">
      <formula1>"Above 40,20 to 40,0 to 20"</formula1>
    </dataValidation>
    <dataValidation sqref="BN2:BN13" showDropDown="0" showInputMessage="0" showErrorMessage="0" allowBlank="1" type="list">
      <formula1>"Between 50 to 75,Above 75,Below 45"</formula1>
    </dataValidation>
    <dataValidation sqref="BP2:BP13" showDropDown="0" showInputMessage="0" showErrorMessage="0" allowBlank="1" type="list">
      <formula1>"Stage 1,Stage 2,Stage 3,Stage 4"</formula1>
    </dataValidation>
    <dataValidation sqref="BR2:BR13" showDropDown="0" showInputMessage="0" showErrorMessage="0" allowBlank="1" type="list">
      <formula1>"Positive Trend,Negative Trend"</formula1>
    </dataValidation>
    <dataValidation sqref="BT2:BT13" showDropDown="0" showInputMessage="0" showErrorMessage="0" allowBlank="1" type="list">
      <formula1>"Uptrend,Sideways,Downtrend"</formula1>
    </dataValidation>
    <dataValidation sqref="BV2:BV13" showDropDown="0" showInputMessage="0" showErrorMessage="0" allowBlank="1" type="list">
      <formula1>"Uptrend,Sideways,Downtrend"</formula1>
    </dataValidation>
    <dataValidation sqref="BX2:BX13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3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2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IF(B2=0,"",RANK(B2,$B$2:$B$22,0))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ATH Momentum</t>
        </is>
      </c>
      <c r="D2" s="32" t="n">
        <v>71.3</v>
      </c>
      <c r="E2" s="32" t="inlineStr">
        <is>
          <t>4%</t>
        </is>
      </c>
      <c r="F2" s="32" t="n">
        <v>40000</v>
      </c>
      <c r="G2" s="32" t="n">
        <v>103</v>
      </c>
      <c r="H2" s="31" t="inlineStr">
        <is>
          <t>REDINGTON</t>
        </is>
      </c>
      <c r="I2" s="31" t="inlineStr">
        <is>
          <t>Redington (india) Limited</t>
        </is>
      </c>
      <c r="J2" s="31" t="inlineStr">
        <is>
          <t>services</t>
        </is>
      </c>
      <c r="K2" s="31" t="inlineStr">
        <is>
          <t>trading</t>
        </is>
      </c>
      <c r="L2" s="31" t="inlineStr">
        <is>
          <t>largecap</t>
        </is>
      </c>
      <c r="M2" s="32" t="n">
        <v>29625.34</v>
      </c>
      <c r="N2" s="32" t="n">
        <v>388.15</v>
      </c>
      <c r="O2" s="32" t="n">
        <v>2.43</v>
      </c>
      <c r="P2" s="32" t="n">
        <v>5640367</v>
      </c>
      <c r="Q2" s="31" t="n">
        <v>55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72.37</v>
      </c>
      <c r="U2" s="32" t="n">
        <v>47.51</v>
      </c>
      <c r="V2" s="32" t="n">
        <v>307.49</v>
      </c>
      <c r="W2" s="31" t="inlineStr">
        <is>
          <t>Near 52W High Breakout</t>
        </is>
      </c>
      <c r="X2" s="31" t="inlineStr">
        <is>
          <t>Nifty 50</t>
        </is>
      </c>
      <c r="Y2" s="32" t="n">
        <v>-8.33</v>
      </c>
      <c r="Z2" s="32" t="n">
        <v>32.34</v>
      </c>
      <c r="AA2" s="32" t="n">
        <v>44.37</v>
      </c>
      <c r="AB2" s="32" t="n">
        <v>16.48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B2B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One Time, Lower Annuity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Above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IF(B3=0,"",RANK(B3,$B$2:$B$22,0))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ATH Momentum</t>
        </is>
      </c>
      <c r="D3" s="32" t="n">
        <v>68.90000000000001</v>
      </c>
      <c r="E3" s="32" t="inlineStr">
        <is>
          <t>4%</t>
        </is>
      </c>
      <c r="F3" s="32" t="n">
        <v>40000</v>
      </c>
      <c r="G3" s="32" t="n">
        <v>73</v>
      </c>
      <c r="H3" s="31" t="inlineStr">
        <is>
          <t>TBZ</t>
        </is>
      </c>
      <c r="I3" s="31" t="inlineStr">
        <is>
          <t>Tribhovandas Bhimji Zaveri Limited</t>
        </is>
      </c>
      <c r="J3" s="31" t="inlineStr">
        <is>
          <t>consumer discretionary</t>
        </is>
      </c>
      <c r="K3" s="31" t="inlineStr">
        <is>
          <t>diamond cutting / jewellery</t>
        </is>
      </c>
      <c r="L3" s="31" t="inlineStr">
        <is>
          <t>smallcap</t>
        </is>
      </c>
      <c r="M3" s="32" t="n">
        <v>3499.69</v>
      </c>
      <c r="N3" s="32" t="n">
        <v>547.5</v>
      </c>
      <c r="O3" s="32" t="n">
        <v>4.4</v>
      </c>
      <c r="P3" s="32" t="n">
        <v>1564537</v>
      </c>
      <c r="Q3" s="31" t="n">
        <v>99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90.48999999999999</v>
      </c>
      <c r="U3" s="32" t="n">
        <v>56.37</v>
      </c>
      <c r="V3" s="32" t="n">
        <v>412.89</v>
      </c>
      <c r="W3" s="31" t="inlineStr">
        <is>
          <t>Near 52W High Breakout</t>
        </is>
      </c>
      <c r="X3" s="31" t="inlineStr">
        <is>
          <t>Nifty 50</t>
        </is>
      </c>
      <c r="Y3" s="32" t="n">
        <v>-8.33</v>
      </c>
      <c r="Z3" s="32" t="n">
        <v>193.21</v>
      </c>
      <c r="AA3" s="32" t="n">
        <v>219.85</v>
      </c>
      <c r="AB3" s="32" t="n">
        <v>79.17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Above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Above 70%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Between 0.7 to 1.2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IF(B4=0,"",RANK(B4,$B$2:$B$22,0))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ATH Momentum</t>
        </is>
      </c>
      <c r="D4" s="32" t="n">
        <v>73.40000000000001</v>
      </c>
      <c r="E4" s="32" t="inlineStr">
        <is>
          <t>4%</t>
        </is>
      </c>
      <c r="F4" s="32" t="n">
        <v>40000</v>
      </c>
      <c r="G4" s="32" t="n">
        <v>94</v>
      </c>
      <c r="H4" s="31" t="inlineStr">
        <is>
          <t>BHAGYANGR</t>
        </is>
      </c>
      <c r="I4" s="31" t="inlineStr">
        <is>
          <t>Bhagyanagar India</t>
        </is>
      </c>
      <c r="J4" s="31" t="inlineStr">
        <is>
          <t>power &amp; utilities</t>
        </is>
      </c>
      <c r="K4" s="31" t="inlineStr">
        <is>
          <t>power generation and supply</t>
        </is>
      </c>
      <c r="L4" s="31" t="inlineStr">
        <is>
          <t>smallcap</t>
        </is>
      </c>
      <c r="M4" s="32" t="n">
        <v>1356.61</v>
      </c>
      <c r="N4" s="32" t="n">
        <v>425.25</v>
      </c>
      <c r="O4" s="32" t="n">
        <v>5</v>
      </c>
      <c r="P4" s="32" t="n">
        <v>328669</v>
      </c>
      <c r="Q4" s="31" t="n">
        <v>92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68.69</v>
      </c>
      <c r="U4" s="32" t="n">
        <v>66.26000000000001</v>
      </c>
      <c r="V4" s="32" t="n">
        <v>301.28</v>
      </c>
      <c r="W4" s="31" t="inlineStr">
        <is>
          <t>Near 52W High Breakout</t>
        </is>
      </c>
      <c r="X4" s="31" t="inlineStr">
        <is>
          <t>Nifty IT</t>
        </is>
      </c>
      <c r="Y4" s="32" t="n">
        <v>-20.48</v>
      </c>
      <c r="Z4" s="32" t="n">
        <v>358.19</v>
      </c>
      <c r="AA4" s="32" t="n">
        <v>476.19</v>
      </c>
      <c r="AB4" s="32" t="n">
        <v>47.7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Above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No</t>
        </is>
      </c>
      <c r="BX4" s="31">
        <f>IF(BW4="NO",5,0)</f>
        <v/>
      </c>
      <c r="BY4" s="31" t="inlineStr">
        <is>
          <t>Above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Between 0.7 to 1.2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IF(B5=0,"",RANK(B5,$B$2:$B$22,0))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ATH Momentum</t>
        </is>
      </c>
      <c r="D5" s="32" t="n">
        <v>72.7</v>
      </c>
      <c r="E5" s="32" t="inlineStr">
        <is>
          <t>4%</t>
        </is>
      </c>
      <c r="F5" s="32" t="n">
        <v>40000</v>
      </c>
      <c r="G5" s="32" t="n">
        <v>14</v>
      </c>
      <c r="H5" s="31" t="inlineStr">
        <is>
          <t>SWANDEF</t>
        </is>
      </c>
      <c r="I5" s="31" t="inlineStr">
        <is>
          <t>Swan Defence and Heavy Industries Ltd</t>
        </is>
      </c>
      <c r="J5" s="31" t="inlineStr">
        <is>
          <t>transportation</t>
        </is>
      </c>
      <c r="K5" s="31" t="inlineStr">
        <is>
          <t>miscellaneous</t>
        </is>
      </c>
      <c r="L5" s="31" t="inlineStr">
        <is>
          <t>midcap</t>
        </is>
      </c>
      <c r="M5" s="32" t="n">
        <v>13963.4</v>
      </c>
      <c r="N5" s="32" t="n">
        <v>2687.2</v>
      </c>
      <c r="O5" s="32" t="n">
        <v>1.38</v>
      </c>
      <c r="P5" s="32" t="n">
        <v>17649</v>
      </c>
      <c r="Q5" s="31" t="n">
        <v>94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66.7</v>
      </c>
      <c r="U5" s="32" t="n">
        <v>56.21</v>
      </c>
      <c r="V5" s="32" t="n">
        <v>2071.83</v>
      </c>
      <c r="W5" s="31" t="inlineStr">
        <is>
          <t>Near 52W High Breakout</t>
        </is>
      </c>
      <c r="X5" s="31" t="inlineStr">
        <is>
          <t>Nifty 50</t>
        </is>
      </c>
      <c r="Y5" s="32" t="n">
        <v>-8.33</v>
      </c>
      <c r="Z5" s="32" t="n">
        <v>388.89</v>
      </c>
      <c r="AA5" s="32" t="n">
        <v>433.31</v>
      </c>
      <c r="AB5" s="32" t="n">
        <v>51.23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Between 50 to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No</t>
        </is>
      </c>
      <c r="BX5" s="31">
        <f>IF(BW5="NO",5,0)</f>
        <v/>
      </c>
      <c r="BY5" s="31" t="inlineStr">
        <is>
          <t>Less than 1.5</t>
        </is>
      </c>
      <c r="BZ5" s="31">
        <f>IF(BY5="Above 2",0,IF(BY5="Between 1.5 to 2",5,IF(BY5="Less than 1.5",10,0)))</f>
        <v/>
      </c>
      <c r="CA5" s="31" t="inlineStr">
        <is>
          <t>Above 70%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More than 1.2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IF(B6=0,"",RANK(B6,$B$2:$B$22,0))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ATH Momentum</t>
        </is>
      </c>
      <c r="D6" s="32" t="n">
        <v>68.40000000000001</v>
      </c>
      <c r="E6" s="32" t="inlineStr">
        <is>
          <t>4%</t>
        </is>
      </c>
      <c r="F6" s="32" t="n">
        <v>40000</v>
      </c>
      <c r="G6" s="32" t="n">
        <v>298</v>
      </c>
      <c r="H6" s="31" t="inlineStr">
        <is>
          <t>NRL</t>
        </is>
      </c>
      <c r="I6" s="31" t="inlineStr">
        <is>
          <t>Nupur Recyclers Ltd</t>
        </is>
      </c>
      <c r="J6" s="31" t="inlineStr">
        <is>
          <t>services</t>
        </is>
      </c>
      <c r="K6" s="31" t="inlineStr">
        <is>
          <t>trading</t>
        </is>
      </c>
      <c r="L6" s="31" t="inlineStr">
        <is>
          <t>smallcap</t>
        </is>
      </c>
      <c r="M6" s="32" t="n">
        <v>934.85</v>
      </c>
      <c r="N6" s="32" t="n">
        <v>133.98</v>
      </c>
      <c r="O6" s="32" t="n">
        <v>-1.01</v>
      </c>
      <c r="P6" s="32" t="n">
        <v>80531</v>
      </c>
      <c r="Q6" s="31" t="n">
        <v>82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89.02</v>
      </c>
      <c r="U6" s="32" t="n">
        <v>71.15000000000001</v>
      </c>
      <c r="V6" s="32" t="n">
        <v>110.48</v>
      </c>
      <c r="W6" s="31" t="inlineStr">
        <is>
          <t>Near 52W High Breakout</t>
        </is>
      </c>
      <c r="X6" s="31" t="inlineStr">
        <is>
          <t>Nifty 50</t>
        </is>
      </c>
      <c r="Y6" s="32" t="n">
        <v>-8.33</v>
      </c>
      <c r="Z6" s="32" t="n">
        <v>72.54000000000001</v>
      </c>
      <c r="AA6" s="32" t="n">
        <v>88.22</v>
      </c>
      <c r="AB6" s="32" t="n">
        <v>31.27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More than 20%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Yes</t>
        </is>
      </c>
      <c r="BX6" s="31">
        <f>IF(BW6="NO",5,0)</f>
        <v/>
      </c>
      <c r="BY6" s="31" t="inlineStr">
        <is>
          <t>Less than 1.5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IF(B7=0,"",RANK(B7,$B$2:$B$22,0))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140</v>
      </c>
      <c r="E7" s="32" t="inlineStr">
        <is>
          <t>5%</t>
        </is>
      </c>
      <c r="F7" s="32" t="n">
        <v>50000</v>
      </c>
      <c r="G7" s="32" t="n">
        <v>267</v>
      </c>
      <c r="H7" s="31" t="inlineStr">
        <is>
          <t>KANORICHEM</t>
        </is>
      </c>
      <c r="I7" s="31" t="inlineStr">
        <is>
          <t>Kanoria Chemicals &amp; Industries Limited</t>
        </is>
      </c>
      <c r="J7" s="31" t="inlineStr">
        <is>
          <t>chemicals</t>
        </is>
      </c>
      <c r="K7" s="31" t="inlineStr">
        <is>
          <t>chemicals</t>
        </is>
      </c>
      <c r="L7" s="31" t="inlineStr">
        <is>
          <t>smallcap</t>
        </is>
      </c>
      <c r="M7" s="32" t="n">
        <v>778.27</v>
      </c>
      <c r="N7" s="32" t="n">
        <v>186.97</v>
      </c>
      <c r="O7" s="32" t="n">
        <v>4.97</v>
      </c>
      <c r="P7" s="32" t="n">
        <v>214032</v>
      </c>
      <c r="Q7" s="31" t="n">
        <v>87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78.3</v>
      </c>
      <c r="U7" s="32" t="n">
        <v>69.12</v>
      </c>
      <c r="V7" s="32" t="n">
        <v>141.6</v>
      </c>
      <c r="W7" s="31" t="inlineStr">
        <is>
          <t>Near 52W High Breakout</t>
        </is>
      </c>
      <c r="X7" s="31" t="inlineStr">
        <is>
          <t>Nifty 50</t>
        </is>
      </c>
      <c r="Y7" s="32" t="n">
        <v>-8.33</v>
      </c>
      <c r="Z7" s="32" t="n">
        <v>125.54</v>
      </c>
      <c r="AA7" s="32" t="n">
        <v>146.03</v>
      </c>
      <c r="AB7" s="32" t="n">
        <v>35.26</v>
      </c>
      <c r="AC7" s="31" t="inlineStr">
        <is>
          <t>Growing Industry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Above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Above 2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IF(B8=0,"",RANK(B8,$B$2:$B$22,0))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138.2</v>
      </c>
      <c r="E8" s="32" t="inlineStr">
        <is>
          <t>5%</t>
        </is>
      </c>
      <c r="F8" s="32" t="n">
        <v>50000</v>
      </c>
      <c r="G8" s="32" t="n">
        <v>231</v>
      </c>
      <c r="H8" s="31" t="inlineStr">
        <is>
          <t>LOTUSDEV</t>
        </is>
      </c>
      <c r="I8" s="31" t="inlineStr">
        <is>
          <t>Sri Lotus Developers &amp; Realty Ltd</t>
        </is>
      </c>
      <c r="J8" s="31" t="inlineStr">
        <is>
          <t>realty</t>
        </is>
      </c>
      <c r="K8" s="31" t="inlineStr">
        <is>
          <t>construction</t>
        </is>
      </c>
      <c r="L8" s="31" t="inlineStr">
        <is>
          <t>midcap</t>
        </is>
      </c>
      <c r="M8" s="32" t="n">
        <v>10436.21</v>
      </c>
      <c r="N8" s="32" t="n">
        <v>216.4</v>
      </c>
      <c r="O8" s="32" t="n">
        <v>1.34</v>
      </c>
      <c r="P8" s="32" t="n">
        <v>1914804</v>
      </c>
      <c r="Q8" s="31" t="inlineStr"/>
      <c r="R8" s="31" t="inlineStr"/>
      <c r="S8" s="32">
        <f>IF(R8="Underperforming",-5,IF(Q8&gt;=95,15,IF(Q8&gt;=90,10,IF(Q8&gt;=80,5,0))))</f>
        <v/>
      </c>
      <c r="T8" s="32" t="n">
        <v>67.17</v>
      </c>
      <c r="U8" s="32" t="n">
        <v>23.68</v>
      </c>
      <c r="V8" s="32" t="n">
        <v>164.04</v>
      </c>
      <c r="W8" s="31" t="inlineStr">
        <is>
          <t>Near 52W High Breakout</t>
        </is>
      </c>
      <c r="X8" s="31" t="inlineStr">
        <is>
          <t>Nifty Realty</t>
        </is>
      </c>
      <c r="Y8" s="32" t="inlineStr"/>
      <c r="Z8" s="32" t="inlineStr"/>
      <c r="AA8" s="32" t="inlineStr"/>
      <c r="AB8" s="32" t="inlineStr"/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20 to 40</t>
        </is>
      </c>
      <c r="BD8" s="31">
        <f>IF(BC8="Above 40",20,IF(BC8="20 to 40",10,IF(BC8="0 to 20",-5,0)))</f>
        <v/>
      </c>
      <c r="BE8" s="31" t="inlineStr">
        <is>
          <t>Between 50 to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Yes</t>
        </is>
      </c>
      <c r="BX8" s="31">
        <f>IF(BW8="NO",5,0)</f>
        <v/>
      </c>
      <c r="BY8" s="31" t="inlineStr">
        <is>
          <t>Less than 1.5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Less than 0.7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IF(B9=0,"",RANK(B9,$B$2:$B$22,0))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135.5</v>
      </c>
      <c r="E9" s="32" t="inlineStr">
        <is>
          <t>5%</t>
        </is>
      </c>
      <c r="F9" s="32" t="n">
        <v>50000</v>
      </c>
      <c r="G9" s="32" t="n">
        <v>573</v>
      </c>
      <c r="H9" s="31" t="inlineStr">
        <is>
          <t>FILATEX</t>
        </is>
      </c>
      <c r="I9" s="31" t="inlineStr">
        <is>
          <t>Filatex India Limited</t>
        </is>
      </c>
      <c r="J9" s="31" t="inlineStr">
        <is>
          <t>textiles</t>
        </is>
      </c>
      <c r="K9" s="31" t="inlineStr">
        <is>
          <t>textiles - manmade</t>
        </is>
      </c>
      <c r="L9" s="31" t="inlineStr">
        <is>
          <t>smallcap</t>
        </is>
      </c>
      <c r="M9" s="32" t="n">
        <v>3659.49</v>
      </c>
      <c r="N9" s="32" t="n">
        <v>87.22</v>
      </c>
      <c r="O9" s="32" t="n">
        <v>5.84</v>
      </c>
      <c r="P9" s="32" t="n">
        <v>4978051</v>
      </c>
      <c r="Q9" s="31" t="n">
        <v>73</v>
      </c>
      <c r="R9" s="31" t="inlineStr">
        <is>
          <t>Outperforming</t>
        </is>
      </c>
      <c r="S9" s="32">
        <f>IF(R9="Underperforming",-5,IF(Q9&gt;=95,15,IF(Q9&gt;=90,10,IF(Q9&gt;=80,5,0))))</f>
        <v/>
      </c>
      <c r="T9" s="32" t="n">
        <v>75.47</v>
      </c>
      <c r="U9" s="32" t="n">
        <v>44.63</v>
      </c>
      <c r="V9" s="32" t="n">
        <v>63.29</v>
      </c>
      <c r="W9" s="31" t="inlineStr">
        <is>
          <t>Near 52W High Breakout</t>
        </is>
      </c>
      <c r="X9" s="31" t="inlineStr">
        <is>
          <t>Nifty 50</t>
        </is>
      </c>
      <c r="Y9" s="32" t="n">
        <v>-8.33</v>
      </c>
      <c r="Z9" s="32" t="n">
        <v>53.71</v>
      </c>
      <c r="AA9" s="32" t="n">
        <v>67.67</v>
      </c>
      <c r="AB9" s="32" t="n">
        <v>24.65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Above 40</t>
        </is>
      </c>
      <c r="BD9" s="31">
        <f>IF(BC9="Above 40",20,IF(BC9="20 to 40",10,IF(BC9="0 to 20",-5,0)))</f>
        <v/>
      </c>
      <c r="BE9" s="31" t="inlineStr">
        <is>
          <t>Above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Between 12 to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IF(B10=0,"",RANK(B10,$B$2:$B$22,0))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ATH Momentum</t>
        </is>
      </c>
      <c r="D10" s="32" t="n">
        <v>67.90000000000001</v>
      </c>
      <c r="E10" s="32" t="inlineStr">
        <is>
          <t>4%</t>
        </is>
      </c>
      <c r="F10" s="32" t="n">
        <v>40000</v>
      </c>
      <c r="G10" s="32" t="n">
        <v>104</v>
      </c>
      <c r="H10" s="31" t="inlineStr">
        <is>
          <t>BIRLACABLE</t>
        </is>
      </c>
      <c r="I10" s="31" t="inlineStr">
        <is>
          <t>Birla Cable Limited</t>
        </is>
      </c>
      <c r="J10" s="31" t="inlineStr">
        <is>
          <t>industrials</t>
        </is>
      </c>
      <c r="K10" s="31" t="inlineStr">
        <is>
          <t>cables - telephone</t>
        </is>
      </c>
      <c r="L10" s="31" t="inlineStr">
        <is>
          <t>smallcap</t>
        </is>
      </c>
      <c r="M10" s="32" t="n">
        <v>1133.85</v>
      </c>
      <c r="N10" s="32" t="n">
        <v>382.55</v>
      </c>
      <c r="O10" s="32" t="n">
        <v>1.22</v>
      </c>
      <c r="P10" s="32" t="n">
        <v>734776</v>
      </c>
      <c r="Q10" s="31" t="inlineStr"/>
      <c r="R10" s="31" t="inlineStr"/>
      <c r="S10" s="32">
        <f>IF(R10="Underperforming",-5,IF(Q10&gt;=95,15,IF(Q10&gt;=90,10,IF(Q10&gt;=80,5,0))))</f>
        <v/>
      </c>
      <c r="T10" s="32" t="n">
        <v>77.84999999999999</v>
      </c>
      <c r="U10" s="32" t="n">
        <v>52.8</v>
      </c>
      <c r="V10" s="32" t="n">
        <v>285.73</v>
      </c>
      <c r="W10" s="31" t="inlineStr">
        <is>
          <t>Volume Spike &amp; Near 52W High Breakout</t>
        </is>
      </c>
      <c r="X10" s="31" t="inlineStr">
        <is>
          <t>Nifty Infra</t>
        </is>
      </c>
      <c r="Y10" s="32" t="inlineStr"/>
      <c r="Z10" s="32" t="inlineStr"/>
      <c r="AA10" s="32" t="inlineStr"/>
      <c r="AB10" s="32" t="inlineStr"/>
      <c r="AC10" s="31" t="inlineStr">
        <is>
          <t>Cyclical in an Upturn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No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One Time, Lower Annuity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Above 40</t>
        </is>
      </c>
      <c r="BD10" s="31">
        <f>IF(BC10="Above 40",20,IF(BC10="20 to 40",10,IF(BC10="0 to 20",-5,0)))</f>
        <v/>
      </c>
      <c r="BE10" s="31" t="inlineStr">
        <is>
          <t>Above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No</t>
        </is>
      </c>
      <c r="BX10" s="31">
        <f>IF(BW10="NO",5,0)</f>
        <v/>
      </c>
      <c r="BY10" s="31" t="inlineStr">
        <is>
          <t>Less than 1.5</t>
        </is>
      </c>
      <c r="BZ10" s="31">
        <f>IF(BY10="Above 2",0,IF(BY10="Between 1.5 to 2",5,IF(BY10="Less than 1.5",10,0)))</f>
        <v/>
      </c>
      <c r="CA10" s="31" t="inlineStr">
        <is>
          <t>Above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IF(B11=0,"",RANK(B11,$B$2:$B$22,0))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ATH Momentum</t>
        </is>
      </c>
      <c r="D11" s="32" t="n">
        <v>69.7</v>
      </c>
      <c r="E11" s="32" t="inlineStr">
        <is>
          <t>4%</t>
        </is>
      </c>
      <c r="F11" s="32" t="n">
        <v>40000</v>
      </c>
      <c r="G11" s="32" t="n">
        <v>292</v>
      </c>
      <c r="H11" s="31" t="inlineStr">
        <is>
          <t>ZIMLAB</t>
        </is>
      </c>
      <c r="I11" s="31" t="inlineStr">
        <is>
          <t>Zim Laboratories Ltd</t>
        </is>
      </c>
      <c r="J11" s="31" t="inlineStr">
        <is>
          <t>healthcare</t>
        </is>
      </c>
      <c r="K11" s="31" t="inlineStr">
        <is>
          <t>pharmaceuticals - indian - bulk drugs &amp; formln</t>
        </is>
      </c>
      <c r="L11" s="31" t="inlineStr">
        <is>
          <t>smallcap</t>
        </is>
      </c>
      <c r="M11" s="32" t="n">
        <v>715.47</v>
      </c>
      <c r="N11" s="32" t="n">
        <v>136.78</v>
      </c>
      <c r="O11" s="32" t="n">
        <v>2.37</v>
      </c>
      <c r="P11" s="32" t="n">
        <v>104649</v>
      </c>
      <c r="Q11" s="31" t="n">
        <v>63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70.31</v>
      </c>
      <c r="U11" s="32" t="n">
        <v>60.01</v>
      </c>
      <c r="V11" s="32" t="n">
        <v>101.75</v>
      </c>
      <c r="W11" s="31" t="inlineStr">
        <is>
          <t>Near 52W High Breakout</t>
        </is>
      </c>
      <c r="X11" s="31" t="inlineStr">
        <is>
          <t>Nifty Pharma</t>
        </is>
      </c>
      <c r="Y11" s="32" t="n">
        <v>15.25</v>
      </c>
      <c r="Z11" s="32" t="n">
        <v>81.84</v>
      </c>
      <c r="AA11" s="32" t="n">
        <v>57.78</v>
      </c>
      <c r="AB11" s="32" t="n">
        <v>19.05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Yes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Annuity, Lower One Time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Above 40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Yes</t>
        </is>
      </c>
      <c r="BX11" s="31">
        <f>IF(BW11="NO",5,0)</f>
        <v/>
      </c>
      <c r="BY11" s="31" t="inlineStr">
        <is>
          <t>Above 2</t>
        </is>
      </c>
      <c r="BZ11" s="31">
        <f>IF(BY11="Above 2",0,IF(BY11="Between 1.5 to 2",5,IF(BY11="Less than 1.5",10,0)))</f>
        <v/>
      </c>
      <c r="CA11" s="31" t="inlineStr">
        <is>
          <t>Above 70%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IF(B12=0,"",RANK(B12,$B$2:$B$22,0))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ATH Momentum</t>
        </is>
      </c>
      <c r="D12" s="32" t="n">
        <v>68</v>
      </c>
      <c r="E12" s="32" t="inlineStr">
        <is>
          <t>4%</t>
        </is>
      </c>
      <c r="F12" s="32" t="n">
        <v>40000</v>
      </c>
      <c r="G12" s="32" t="n">
        <v>78</v>
      </c>
      <c r="H12" s="31" t="inlineStr">
        <is>
          <t>SHREEPUSHK</t>
        </is>
      </c>
      <c r="I12" s="31" t="inlineStr">
        <is>
          <t>Shree Pushkar Chemicals &amp; Fertilisers Limited</t>
        </is>
      </c>
      <c r="J12" s="31" t="inlineStr">
        <is>
          <t>chemicals</t>
        </is>
      </c>
      <c r="K12" s="31" t="inlineStr">
        <is>
          <t>dyes and pigments</t>
        </is>
      </c>
      <c r="L12" s="31" t="inlineStr">
        <is>
          <t>smallcap</t>
        </is>
      </c>
      <c r="M12" s="32" t="n">
        <v>1621.57</v>
      </c>
      <c r="N12" s="32" t="n">
        <v>506.95</v>
      </c>
      <c r="O12" s="32" t="n">
        <v>1.1</v>
      </c>
      <c r="P12" s="32" t="n">
        <v>123748</v>
      </c>
      <c r="Q12" s="31" t="n">
        <v>44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70.7</v>
      </c>
      <c r="U12" s="32" t="n">
        <v>41.42</v>
      </c>
      <c r="V12" s="32" t="n">
        <v>372.99</v>
      </c>
      <c r="W12" s="31" t="inlineStr">
        <is>
          <t>Near 52W High Breakout</t>
        </is>
      </c>
      <c r="X12" s="31" t="inlineStr">
        <is>
          <t>Nifty 50</t>
        </is>
      </c>
      <c r="Y12" s="32" t="n">
        <v>-8.33</v>
      </c>
      <c r="Z12" s="32" t="n">
        <v>31.95</v>
      </c>
      <c r="AA12" s="32" t="n">
        <v>43.94</v>
      </c>
      <c r="AB12" s="32" t="n">
        <v>13.21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Above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Less than 12%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No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Above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IF(B13=0,"",RANK(B13,$B$2:$B$22,0))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137.9</v>
      </c>
      <c r="E13" s="32" t="inlineStr">
        <is>
          <t>5%</t>
        </is>
      </c>
      <c r="F13" s="32" t="n">
        <v>50000</v>
      </c>
      <c r="G13" s="32" t="n">
        <v>26</v>
      </c>
      <c r="H13" s="31" t="inlineStr">
        <is>
          <t>RACLGEAR</t>
        </is>
      </c>
      <c r="I13" s="31" t="inlineStr">
        <is>
          <t>RACL Geartech Ltd</t>
        </is>
      </c>
      <c r="J13" s="31" t="inlineStr">
        <is>
          <t>auto</t>
        </is>
      </c>
      <c r="K13" s="31" t="inlineStr">
        <is>
          <t>auto ancillaries</t>
        </is>
      </c>
      <c r="L13" s="31" t="inlineStr">
        <is>
          <t>smallcap</t>
        </is>
      </c>
      <c r="M13" s="32" t="n">
        <v>2069.04</v>
      </c>
      <c r="N13" s="32" t="n">
        <v>1852.4</v>
      </c>
      <c r="O13" s="32" t="n">
        <v>5.54</v>
      </c>
      <c r="P13" s="32" t="n">
        <v>258873</v>
      </c>
      <c r="Q13" s="31" t="inlineStr"/>
      <c r="R13" s="31" t="inlineStr"/>
      <c r="S13" s="32">
        <f>IF(R13="Underperforming",-5,IF(Q13&gt;=95,15,IF(Q13&gt;=90,10,IF(Q13&gt;=80,5,0))))</f>
        <v/>
      </c>
      <c r="T13" s="32" t="n">
        <v>71.05</v>
      </c>
      <c r="U13" s="32" t="n">
        <v>52.72</v>
      </c>
      <c r="V13" s="32" t="n">
        <v>1343.69</v>
      </c>
      <c r="W13" s="31" t="inlineStr">
        <is>
          <t>Near 52W High Breakout</t>
        </is>
      </c>
      <c r="X13" s="31" t="inlineStr">
        <is>
          <t>Nifty Auto</t>
        </is>
      </c>
      <c r="Y13" s="32" t="inlineStr"/>
      <c r="Z13" s="32" t="inlineStr"/>
      <c r="AA13" s="32" t="inlineStr"/>
      <c r="AB13" s="32" t="inlineStr"/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Above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Less than 12%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Yes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Above 70%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Less than 0.7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IF(B14=0,"",RANK(B14,$B$2:$B$22,0))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ATH Momentum</t>
        </is>
      </c>
      <c r="D14" s="32" t="n">
        <v>72.09999999999999</v>
      </c>
      <c r="E14" s="32" t="inlineStr">
        <is>
          <t>4%</t>
        </is>
      </c>
      <c r="F14" s="32" t="n">
        <v>40000</v>
      </c>
      <c r="G14" s="32" t="n">
        <v>95</v>
      </c>
      <c r="H14" s="31" t="inlineStr">
        <is>
          <t>ACMESOLAR</t>
        </is>
      </c>
      <c r="I14" s="31" t="inlineStr">
        <is>
          <t>ACME Solar Holdings Ltd</t>
        </is>
      </c>
      <c r="J14" s="31" t="inlineStr">
        <is>
          <t>realty</t>
        </is>
      </c>
      <c r="K14" s="31" t="inlineStr">
        <is>
          <t>engineering - turnkey services</t>
        </is>
      </c>
      <c r="L14" s="31" t="inlineStr">
        <is>
          <t>largecap</t>
        </is>
      </c>
      <c r="M14" s="32" t="n">
        <v>29717</v>
      </c>
      <c r="N14" s="32" t="n">
        <v>418</v>
      </c>
      <c r="O14" s="32" t="n">
        <v>-0.57</v>
      </c>
      <c r="P14" s="32" t="n">
        <v>1349732</v>
      </c>
      <c r="Q14" s="31" t="inlineStr"/>
      <c r="R14" s="31" t="inlineStr"/>
      <c r="S14" s="32">
        <f>IF(R14="Underperforming",-5,IF(Q14&gt;=95,15,IF(Q14&gt;=90,10,IF(Q14&gt;=80,5,0))))</f>
        <v/>
      </c>
      <c r="T14" s="32" t="n">
        <v>68.69</v>
      </c>
      <c r="U14" s="32" t="n">
        <v>49.44</v>
      </c>
      <c r="V14" s="32" t="n">
        <v>325.61</v>
      </c>
      <c r="W14" s="31" t="inlineStr">
        <is>
          <t>Near 52W High Breakout</t>
        </is>
      </c>
      <c r="X14" s="31" t="inlineStr">
        <is>
          <t>Nifty Realty</t>
        </is>
      </c>
      <c r="Y14" s="32" t="inlineStr"/>
      <c r="Z14" s="32" t="inlineStr"/>
      <c r="AA14" s="32" t="inlineStr"/>
      <c r="AB14" s="32" t="inlineStr"/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One Time, Lower Annuity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Above 40</t>
        </is>
      </c>
      <c r="BD14" s="31">
        <f>IF(BC14="Above 40",20,IF(BC14="20 to 40",10,IF(BC14="0 to 20",-5,0)))</f>
        <v/>
      </c>
      <c r="BE14" s="31" t="inlineStr">
        <is>
          <t>Between 50 to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More than 20%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Less than 1.5</t>
        </is>
      </c>
      <c r="BZ14" s="31">
        <f>IF(BY14="Above 2",0,IF(BY14="Between 1.5 to 2",5,IF(BY14="Less than 1.5",10,0)))</f>
        <v/>
      </c>
      <c r="CA14" s="31" t="inlineStr">
        <is>
          <t>Above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More than 1.2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IF(B15=0,"",RANK(B15,$B$2:$B$22,0))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137.7</v>
      </c>
      <c r="E15" s="32" t="inlineStr">
        <is>
          <t>5%</t>
        </is>
      </c>
      <c r="F15" s="32" t="n">
        <v>50000</v>
      </c>
      <c r="G15" s="32" t="n">
        <v>126</v>
      </c>
      <c r="H15" s="31" t="inlineStr">
        <is>
          <t>DIACABS</t>
        </is>
      </c>
      <c r="I15" s="31" t="inlineStr">
        <is>
          <t>Diamond Power Infrastructure Ltd</t>
        </is>
      </c>
      <c r="J15" s="31" t="inlineStr">
        <is>
          <t>industrials</t>
        </is>
      </c>
      <c r="K15" s="31" t="inlineStr">
        <is>
          <t>cables - power</t>
        </is>
      </c>
      <c r="L15" s="31" t="inlineStr">
        <is>
          <t>largecap</t>
        </is>
      </c>
      <c r="M15" s="32" t="n">
        <v>23175.25</v>
      </c>
      <c r="N15" s="32" t="n">
        <v>394.75</v>
      </c>
      <c r="O15" s="32" t="n">
        <v>1.87</v>
      </c>
      <c r="P15" s="32" t="n">
        <v>1589608</v>
      </c>
      <c r="Q15" s="31" t="inlineStr"/>
      <c r="R15" s="31" t="inlineStr"/>
      <c r="S15" s="32">
        <f>IF(R15="Underperforming",-5,IF(Q15&gt;=95,15,IF(Q15&gt;=90,10,IF(Q15&gt;=80,5,0))))</f>
        <v/>
      </c>
      <c r="T15" s="32" t="n">
        <v>80.43000000000001</v>
      </c>
      <c r="U15" s="32" t="n">
        <v>67</v>
      </c>
      <c r="V15" s="32" t="n">
        <v>302.14</v>
      </c>
      <c r="W15" s="31" t="inlineStr">
        <is>
          <t>Near 52W High Breakout</t>
        </is>
      </c>
      <c r="X15" s="31" t="inlineStr">
        <is>
          <t>Nifty Energy</t>
        </is>
      </c>
      <c r="Y15" s="32" t="inlineStr"/>
      <c r="Z15" s="32" t="inlineStr"/>
      <c r="AA15" s="32" t="inlineStr"/>
      <c r="AB15" s="32" t="inlineStr"/>
      <c r="AC15" s="31" t="inlineStr">
        <is>
          <t>Cyclical in an Upturn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More than 20%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Less than 0.7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IF(B16=0,"",RANK(B16,$B$2:$B$22,0))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139.8</v>
      </c>
      <c r="E16" s="32" t="inlineStr">
        <is>
          <t>5%</t>
        </is>
      </c>
      <c r="F16" s="32" t="n">
        <v>50000</v>
      </c>
      <c r="G16" s="32" t="n">
        <v>1283</v>
      </c>
      <c r="H16" s="31" t="inlineStr">
        <is>
          <t>STLNETWORK</t>
        </is>
      </c>
      <c r="I16" s="31" t="inlineStr">
        <is>
          <t>STL Networks Ltd</t>
        </is>
      </c>
      <c r="J16" s="31" t="inlineStr">
        <is>
          <t>telecom-service</t>
        </is>
      </c>
      <c r="K16" s="31" t="inlineStr">
        <is>
          <t>telecommunications - service provider</t>
        </is>
      </c>
      <c r="L16" s="31" t="inlineStr">
        <is>
          <t>smallcap</t>
        </is>
      </c>
      <c r="M16" s="32" t="n">
        <v>1815.64</v>
      </c>
      <c r="N16" s="32" t="n">
        <v>38.97</v>
      </c>
      <c r="O16" s="32" t="n">
        <v>4.76</v>
      </c>
      <c r="P16" s="32" t="n">
        <v>15347153</v>
      </c>
      <c r="Q16" s="31" t="n">
        <v>57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76.37</v>
      </c>
      <c r="U16" s="32" t="n">
        <v>28.66</v>
      </c>
      <c r="V16" s="32" t="n">
        <v>30.05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-8.33</v>
      </c>
      <c r="Z16" s="32" t="n">
        <v>32.87</v>
      </c>
      <c r="AA16" s="32" t="n">
        <v>44.94</v>
      </c>
      <c r="AB16" s="32" t="n">
        <v>17.42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Oligopoly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Yes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20 to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Less than 1.5</t>
        </is>
      </c>
      <c r="BZ16" s="31">
        <f>IF(BY16="Above 2",0,IF(BY16="Between 1.5 to 2",5,IF(BY16="Less than 1.5",10,0)))</f>
        <v/>
      </c>
      <c r="CA16" s="31" t="inlineStr">
        <is>
          <t>Above 70%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Between 0.7 to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IF(B17=0,"",RANK(B17,$B$2:$B$22,0))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ATH Momentum</t>
        </is>
      </c>
      <c r="D17" s="32" t="n">
        <v>72.2</v>
      </c>
      <c r="E17" s="32" t="inlineStr">
        <is>
          <t>4%</t>
        </is>
      </c>
      <c r="F17" s="32" t="n">
        <v>40000</v>
      </c>
      <c r="G17" s="32" t="n">
        <v>12</v>
      </c>
      <c r="H17" s="31" t="inlineStr">
        <is>
          <t>SPECTRUM</t>
        </is>
      </c>
      <c r="I17" s="31" t="inlineStr">
        <is>
          <t>Spectrum Electrical Industries Ltd</t>
        </is>
      </c>
      <c r="J17" s="31" t="inlineStr">
        <is>
          <t>industrials</t>
        </is>
      </c>
      <c r="K17" s="31" t="inlineStr">
        <is>
          <t>electric equipment</t>
        </is>
      </c>
      <c r="L17" s="31" t="inlineStr">
        <is>
          <t>smallcap</t>
        </is>
      </c>
      <c r="M17" s="32" t="n">
        <v>4986.94</v>
      </c>
      <c r="N17" s="32" t="n">
        <v>3083.7</v>
      </c>
      <c r="O17" s="32" t="n">
        <v>-2.83</v>
      </c>
      <c r="P17" s="32" t="n">
        <v>19711</v>
      </c>
      <c r="Q17" s="31" t="n">
        <v>85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78.51000000000001</v>
      </c>
      <c r="U17" s="32" t="n">
        <v>61.42</v>
      </c>
      <c r="V17" s="32" t="n">
        <v>2258.76</v>
      </c>
      <c r="W17" s="31" t="inlineStr">
        <is>
          <t>Near 52W High Breakout</t>
        </is>
      </c>
      <c r="X17" s="31" t="inlineStr">
        <is>
          <t>Nifty 50</t>
        </is>
      </c>
      <c r="Y17" s="32" t="n">
        <v>-8.33</v>
      </c>
      <c r="Z17" s="32" t="n">
        <v>122.23</v>
      </c>
      <c r="AA17" s="32" t="n">
        <v>142.42</v>
      </c>
      <c r="AB17" s="32" t="n">
        <v>34.67</v>
      </c>
      <c r="AC17" s="31" t="inlineStr">
        <is>
          <t>Cyclical in an Upturn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Above 40</t>
        </is>
      </c>
      <c r="BD17" s="31">
        <f>IF(BC17="Above 40",20,IF(BC17="20 to 40",10,IF(BC17="0 to 20",-5,0)))</f>
        <v/>
      </c>
      <c r="BE17" s="31" t="inlineStr">
        <is>
          <t>Above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Between 0.7 to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IF(B18=0,"",RANK(B18,$B$2:$B$22,0))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ATH Momentum</t>
        </is>
      </c>
      <c r="D18" s="32" t="n">
        <v>68.90000000000001</v>
      </c>
      <c r="E18" s="32" t="inlineStr">
        <is>
          <t>4%</t>
        </is>
      </c>
      <c r="F18" s="32" t="n">
        <v>40000</v>
      </c>
      <c r="G18" s="32" t="n">
        <v>3</v>
      </c>
      <c r="H18" s="31" t="inlineStr">
        <is>
          <t>DYNAMATECH</t>
        </is>
      </c>
      <c r="I18" s="31" t="inlineStr">
        <is>
          <t>Dynamatic Technologies Limited</t>
        </is>
      </c>
      <c r="J18" s="31" t="inlineStr">
        <is>
          <t>aerospace &amp; defence</t>
        </is>
      </c>
      <c r="K18" s="31" t="inlineStr">
        <is>
          <t>engineering</t>
        </is>
      </c>
      <c r="L18" s="31" t="inlineStr">
        <is>
          <t>midcap</t>
        </is>
      </c>
      <c r="M18" s="32" t="n">
        <v>8197.950000000001</v>
      </c>
      <c r="N18" s="32" t="n">
        <v>12077</v>
      </c>
      <c r="O18" s="32" t="n">
        <v>0.05</v>
      </c>
      <c r="P18" s="32" t="n">
        <v>28785</v>
      </c>
      <c r="Q18" s="31" t="n">
        <v>48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61.83</v>
      </c>
      <c r="U18" s="32" t="n">
        <v>24.65</v>
      </c>
      <c r="V18" s="32" t="n">
        <v>9054.65</v>
      </c>
      <c r="W18" s="31" t="inlineStr">
        <is>
          <t>Near 52W High Breakout</t>
        </is>
      </c>
      <c r="X18" s="31" t="inlineStr">
        <is>
          <t>Nifty 50</t>
        </is>
      </c>
      <c r="Y18" s="32" t="n">
        <v>-8.33</v>
      </c>
      <c r="Z18" s="32" t="n">
        <v>67.88</v>
      </c>
      <c r="AA18" s="32" t="n">
        <v>83.14</v>
      </c>
      <c r="AB18" s="32" t="n">
        <v>13.6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20 to 40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Above 2</t>
        </is>
      </c>
      <c r="BZ18" s="31">
        <f>IF(BY18="Above 2",0,IF(BY18="Between 1.5 to 2",5,IF(BY18="Less than 1.5",10,0)))</f>
        <v/>
      </c>
      <c r="CA18" s="31" t="inlineStr">
        <is>
          <t>Above 70%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Between 0.7 to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IF(B19=0,"",RANK(B19,$B$2:$B$22,0))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137.7</v>
      </c>
      <c r="E19" s="32" t="inlineStr">
        <is>
          <t>5%</t>
        </is>
      </c>
      <c r="F19" s="32" t="n">
        <v>50000</v>
      </c>
      <c r="G19" s="32" t="n">
        <v>387</v>
      </c>
      <c r="H19" s="31" t="inlineStr">
        <is>
          <t>GLOBAL</t>
        </is>
      </c>
      <c r="I19" s="31" t="inlineStr">
        <is>
          <t>Global Education Ltd</t>
        </is>
      </c>
      <c r="J19" s="31" t="inlineStr">
        <is>
          <t>services</t>
        </is>
      </c>
      <c r="K19" s="31" t="inlineStr">
        <is>
          <t>miscellaneous</t>
        </is>
      </c>
      <c r="L19" s="31" t="inlineStr">
        <is>
          <t>smallcap</t>
        </is>
      </c>
      <c r="M19" s="32" t="n">
        <v>642.53</v>
      </c>
      <c r="N19" s="32" t="n">
        <v>128.89</v>
      </c>
      <c r="O19" s="32" t="n">
        <v>2.11</v>
      </c>
      <c r="P19" s="32" t="n">
        <v>214392</v>
      </c>
      <c r="Q19" s="31" t="n">
        <v>61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72.26000000000001</v>
      </c>
      <c r="U19" s="32" t="n">
        <v>35.64</v>
      </c>
      <c r="V19" s="32" t="n">
        <v>97.81999999999999</v>
      </c>
      <c r="W19" s="31" t="inlineStr">
        <is>
          <t>Near 52W High Breakout</t>
        </is>
      </c>
      <c r="X19" s="31" t="inlineStr">
        <is>
          <t>Nifty 50</t>
        </is>
      </c>
      <c r="Y19" s="32" t="n">
        <v>-8.33</v>
      </c>
      <c r="Z19" s="32" t="n">
        <v>89.64</v>
      </c>
      <c r="AA19" s="32" t="n">
        <v>106.87</v>
      </c>
      <c r="AB19" s="32" t="n">
        <v>18.46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Too Many Players with High ROCE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Structural (10 Years Consistency)</t>
        </is>
      </c>
      <c r="AL19" s="31">
        <f>IF(AK19="Structural (10 Years Consistency)",10,IF(AK19="Shallow Cyclical (2 to 3 years growth)",5,0))</f>
        <v/>
      </c>
      <c r="AM19" s="31" t="inlineStr">
        <is>
          <t>No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Stable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Good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20 to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2</t>
        </is>
      </c>
      <c r="BH19" s="31">
        <f>IF(BG19="Stage 2",20,IF(BG19="Stage 1",0,IF(BG19="Stage 3",5,IF(BG19="Stage 4",-5,0))))</f>
        <v/>
      </c>
      <c r="BI19" s="31" t="inlineStr">
        <is>
          <t>Positive Trend</t>
        </is>
      </c>
      <c r="BJ19" s="31">
        <f>IF(BI19="Positive Trend",20,IF(BI19="Negative Trend",-10,0))</f>
        <v/>
      </c>
      <c r="BK19" s="31" t="inlineStr">
        <is>
          <t>Uptrend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Blue sky scenario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Less than 12%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Above 2</t>
        </is>
      </c>
      <c r="BZ19" s="31">
        <f>IF(BY19="Above 2",0,IF(BY19="Between 1.5 to 2",5,IF(BY19="Less than 1.5",10,0)))</f>
        <v/>
      </c>
      <c r="CA19" s="31" t="inlineStr">
        <is>
          <t>Less than 50%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Less than 15%</t>
        </is>
      </c>
      <c r="CH19" s="31">
        <f>IF(CG19="More than 15%",-10,IF(CG19="Less than 15%",10,0))</f>
        <v/>
      </c>
      <c r="CI19" s="31" t="inlineStr">
        <is>
          <t>No</t>
        </is>
      </c>
      <c r="CJ19" s="31">
        <f>IF(CI19="Yes, more than 10%",-10,IF(CI19="No",10,0))</f>
        <v/>
      </c>
    </row>
    <row r="20">
      <c r="A20" s="31">
        <f>IF(B20=0,"",RANK(B20,$B$2:$B$22,0))</f>
        <v/>
      </c>
      <c r="B20" s="32">
        <f>SUM(S20,AD20,AF20,AH20,AJ20,AL20,AN20,AP20,AR20,AT20,AV20,AX20,AZ20,BB20,BD20,BF20,BH20,BJ20,BL20,BN20,BP20,BR20,BT20,BV20,BX20,BZ20,CB20,CD20,CF20,CH20,CJ20)</f>
        <v/>
      </c>
      <c r="C20" s="31" t="inlineStr">
        <is>
          <t>52W Breakout</t>
        </is>
      </c>
      <c r="D20" s="32" t="n">
        <v>115.4</v>
      </c>
      <c r="E20" s="32" t="inlineStr">
        <is>
          <t>5%</t>
        </is>
      </c>
      <c r="F20" s="32" t="n">
        <v>50000</v>
      </c>
      <c r="G20" s="32" t="n">
        <v>191</v>
      </c>
      <c r="H20" s="31" t="inlineStr">
        <is>
          <t>KOPRAN</t>
        </is>
      </c>
      <c r="I20" s="31" t="inlineStr">
        <is>
          <t>Kopran Limited</t>
        </is>
      </c>
      <c r="J20" s="31" t="inlineStr">
        <is>
          <t>healthcare</t>
        </is>
      </c>
      <c r="K20" s="31" t="inlineStr">
        <is>
          <t>pharmaceuticals - indian - bulk drugs &amp; formln</t>
        </is>
      </c>
      <c r="L20" s="31" t="inlineStr">
        <is>
          <t>smallcap</t>
        </is>
      </c>
      <c r="M20" s="32" t="n">
        <v>1206.66</v>
      </c>
      <c r="N20" s="32" t="n">
        <v>260.86</v>
      </c>
      <c r="O20" s="32" t="n">
        <v>4.39</v>
      </c>
      <c r="P20" s="32" t="n">
        <v>14226630</v>
      </c>
      <c r="Q20" s="31" t="n">
        <v>66</v>
      </c>
      <c r="R20" s="31" t="inlineStr">
        <is>
          <t>Outperforming</t>
        </is>
      </c>
      <c r="S20" s="32">
        <f>IF(R20="Underperforming",-5,IF(Q20&gt;=95,15,IF(Q20&gt;=90,10,IF(Q20&gt;=80,5,0))))</f>
        <v/>
      </c>
      <c r="T20" s="32" t="n">
        <v>76.17</v>
      </c>
      <c r="U20" s="32" t="n">
        <v>41.94</v>
      </c>
      <c r="V20" s="32" t="n">
        <v>194.1</v>
      </c>
      <c r="W20" s="31" t="inlineStr">
        <is>
          <t>Volume Spike &amp; Near 52W High Breakout</t>
        </is>
      </c>
      <c r="X20" s="31" t="inlineStr">
        <is>
          <t>Nifty Pharma</t>
        </is>
      </c>
      <c r="Y20" s="32" t="n">
        <v>15.25</v>
      </c>
      <c r="Z20" s="32" t="n">
        <v>53.89</v>
      </c>
      <c r="AA20" s="32" t="n">
        <v>33.53</v>
      </c>
      <c r="AB20" s="32" t="n">
        <v>20.8</v>
      </c>
      <c r="AC20" s="31" t="inlineStr">
        <is>
          <t>Growing Industry</t>
        </is>
      </c>
      <c r="AD20" s="31">
        <f>IF(AC20="Growing Industry",10,IF(AC20="Cyclical in an Upturn",5,0))</f>
        <v/>
      </c>
      <c r="AE20" s="31" t="inlineStr">
        <is>
          <t>Too Many Players with High ROCE</t>
        </is>
      </c>
      <c r="AF20" s="31">
        <f>IF(AE20="Monopoly",10,IF(AE20="Oligopoly",5,IF(AE20="Duopoly that cooperate",10,IF(AE20="Duopoly that compete",5,IF(AE20="Too many players with High ROCE",5,0)))))</f>
        <v/>
      </c>
      <c r="AG20" s="31" t="inlineStr">
        <is>
          <t>Yes</t>
        </is>
      </c>
      <c r="AH20" s="31">
        <f>IF(AG20="No",5,0)</f>
        <v/>
      </c>
      <c r="AI20" s="31" t="inlineStr">
        <is>
          <t>Tailwind</t>
        </is>
      </c>
      <c r="AJ20" s="31">
        <f>IF(AI20="Tailwind",10,0)</f>
        <v/>
      </c>
      <c r="AK20" s="31" t="inlineStr">
        <is>
          <t>Structural (10 Years Consistency)</t>
        </is>
      </c>
      <c r="AL20" s="31">
        <f>IF(AK20="Structural (10 Years Consistency)",10,IF(AK20="Shallow Cyclical (2 to 3 years growth)",5,0))</f>
        <v/>
      </c>
      <c r="AM20" s="31" t="inlineStr">
        <is>
          <t>No</t>
        </is>
      </c>
      <c r="AN20" s="31">
        <f>IF(AM20="Yes due to Product Mix change or Operating Leverage",10,IF(AM20="Yes, these are peak margins",-5,IF(AM20="No",5,0)))</f>
        <v/>
      </c>
      <c r="AO20" s="31" t="inlineStr">
        <is>
          <t>Stable</t>
        </is>
      </c>
      <c r="AP20" s="31">
        <f>IF(AO20="Stable",10,0)</f>
        <v/>
      </c>
      <c r="AQ20" s="31" t="inlineStr">
        <is>
          <t>Yes</t>
        </is>
      </c>
      <c r="AR20" s="31">
        <f>IF(AQ20="Yes",10,0)</f>
        <v/>
      </c>
      <c r="AS20" s="31" t="inlineStr">
        <is>
          <t>B2B</t>
        </is>
      </c>
      <c r="AT20" s="31">
        <f>IF(AS20="B2C",10,IF(AS20="B2B",5,0))</f>
        <v/>
      </c>
      <c r="AU20" s="31" t="inlineStr">
        <is>
          <t>Yes</t>
        </is>
      </c>
      <c r="AV20" s="31">
        <f>IF(AU20="Yes",10,0)</f>
        <v/>
      </c>
      <c r="AW20" s="31" t="inlineStr">
        <is>
          <t>Higher Annuity, Lower One Time</t>
        </is>
      </c>
      <c r="AX20" s="31">
        <f>IF(AW20="Fully Annuity",10,IF(AW20="Higher Annuity, Lower One Time",5,IF(AW20="Higher One Time, Lower Annuity",3,0)))</f>
        <v/>
      </c>
      <c r="AY20" s="31" t="inlineStr">
        <is>
          <t>Good</t>
        </is>
      </c>
      <c r="AZ20" s="31">
        <f>IF(AY20="Good",10,0)</f>
        <v/>
      </c>
      <c r="BA20" s="31" t="inlineStr">
        <is>
          <t>Yes for more than 2 years</t>
        </is>
      </c>
      <c r="BB20" s="31">
        <f>IF(BA20="Yes for more than 2 years",10,IF(BA20="Yes only for next 1 to 2 years",5,0))</f>
        <v/>
      </c>
      <c r="BC20" s="31" t="inlineStr">
        <is>
          <t>Above 40</t>
        </is>
      </c>
      <c r="BD20" s="31">
        <f>IF(BC20="Above 40",20,IF(BC20="20 to 40",10,IF(BC20="0 to 20",-5,0)))</f>
        <v/>
      </c>
      <c r="BE20" s="31" t="inlineStr">
        <is>
          <t>Above 75</t>
        </is>
      </c>
      <c r="BF20" s="31">
        <f>IF(BE20="Between 50 to 75",10,IF(BE20="Above 75",0,0))</f>
        <v/>
      </c>
      <c r="BG20" s="31" t="inlineStr">
        <is>
          <t>Stage 2</t>
        </is>
      </c>
      <c r="BH20" s="31">
        <f>IF(BG20="Stage 2",20,IF(BG20="Stage 1",0,IF(BG20="Stage 3",5,IF(BG20="Stage 4",-5,0))))</f>
        <v/>
      </c>
      <c r="BI20" s="31" t="inlineStr">
        <is>
          <t>Positive Trend</t>
        </is>
      </c>
      <c r="BJ20" s="31">
        <f>IF(BI20="Positive Trend",20,IF(BI20="Negative Trend",-10,0))</f>
        <v/>
      </c>
      <c r="BK20" s="31" t="inlineStr">
        <is>
          <t>Uptrend</t>
        </is>
      </c>
      <c r="BL20" s="31">
        <f>IF(BK20="Uptrend",10,IF(BK20="Sideways",5,0))</f>
        <v/>
      </c>
      <c r="BM20" s="31" t="inlineStr">
        <is>
          <t>Uptrend</t>
        </is>
      </c>
      <c r="BN20" s="31">
        <f>IF(BM20="Uptrend",10,IF(BM20="Sideways",5,0))</f>
        <v/>
      </c>
      <c r="BO20" s="31" t="inlineStr">
        <is>
          <t>Close to 52 week high or retracement</t>
        </is>
      </c>
      <c r="BP20" s="31">
        <f>IF(BO20="Overhead supply in last 2 years in last 2 years",-5,IF(BO20="Close to 52 week high or retracement",5,IF(BO20="Blue sky scenario",10,IF(BO20="Long term Downtrend",-10,0))))</f>
        <v/>
      </c>
      <c r="BQ20" s="31" t="inlineStr">
        <is>
          <t>Yes</t>
        </is>
      </c>
      <c r="BR20" s="31">
        <f>IF(BQ20="Yes",10,0)</f>
        <v/>
      </c>
      <c r="BS20" s="31" t="inlineStr">
        <is>
          <t>Less than 12%</t>
        </is>
      </c>
      <c r="BT20" s="31">
        <f>IF(BS20="More than 20%",10,IF(BS20="Between 12 to 20%",5,IF(BS20="Less than 12%",0,0)))</f>
        <v/>
      </c>
      <c r="BU20" s="31" t="inlineStr">
        <is>
          <t>No</t>
        </is>
      </c>
      <c r="BV20" s="31">
        <f>IF(BU20="No",10,0)</f>
        <v/>
      </c>
      <c r="BW20" s="31" t="inlineStr">
        <is>
          <t>Yes</t>
        </is>
      </c>
      <c r="BX20" s="31">
        <f>IF(BW20="NO",5,0)</f>
        <v/>
      </c>
      <c r="BY20" s="31" t="inlineStr">
        <is>
          <t>Above 2</t>
        </is>
      </c>
      <c r="BZ20" s="31">
        <f>IF(BY20="Above 2",0,IF(BY20="Between 1.5 to 2",5,IF(BY20="Less than 1.5",10,0)))</f>
        <v/>
      </c>
      <c r="CA20" s="31" t="inlineStr">
        <is>
          <t>Above 70%</t>
        </is>
      </c>
      <c r="CB20" s="31">
        <f>IF(CA20="Above 70%",10,IF(CA20="Between 50% to 70%",5,IF(CA20="Less than 50%",0,IF(CA20="Negative",-10,IF(CA20="Less than 50% and Borrowings are increasing",-5,0)))))</f>
        <v/>
      </c>
      <c r="CC20" s="31" t="inlineStr">
        <is>
          <t>Less than 0.7</t>
        </is>
      </c>
      <c r="CD20" s="31">
        <f>IF(CC20="More than 1.2",-10,IF(CC20="Between 0.7 to 1.2",0,IF(CC20="Less than 0.7",10,0)))</f>
        <v/>
      </c>
      <c r="CE20" s="31" t="inlineStr">
        <is>
          <t>No</t>
        </is>
      </c>
      <c r="CF20" s="31">
        <f>IF(CE20="Yes",-10,0)</f>
        <v/>
      </c>
      <c r="CG20" s="31" t="inlineStr">
        <is>
          <t>Less than 15%</t>
        </is>
      </c>
      <c r="CH20" s="31">
        <f>IF(CG20="More than 15%",-10,IF(CG20="Less than 15%",10,0))</f>
        <v/>
      </c>
      <c r="CI20" s="31" t="inlineStr">
        <is>
          <t>No</t>
        </is>
      </c>
      <c r="CJ20" s="31">
        <f>IF(CI20="Yes, more than 10%",-10,IF(CI20="No",10,0))</f>
        <v/>
      </c>
    </row>
    <row r="21">
      <c r="A21" s="31">
        <f>IF(B21=0,"",RANK(B21,$B$2:$B$22,0))</f>
        <v/>
      </c>
      <c r="B21" s="32">
        <f>SUM(S21,AD21,AF21,AH21,AJ21,AL21,AN21,AP21,AR21,AT21,AV21,AX21,AZ21,BB21,BD21,BF21,BH21,BJ21,BL21,BN21,BP21,BR21,BT21,BV21,BX21,BZ21,CB21,CD21,CF21,CH21,CJ21)</f>
        <v/>
      </c>
      <c r="C21" s="31" t="inlineStr">
        <is>
          <t>52W Breakout</t>
        </is>
      </c>
      <c r="D21" s="32" t="n">
        <v>136.1</v>
      </c>
      <c r="E21" s="32" t="inlineStr">
        <is>
          <t>5%</t>
        </is>
      </c>
      <c r="F21" s="32" t="n">
        <v>50000</v>
      </c>
      <c r="G21" s="32" t="n">
        <v>42</v>
      </c>
      <c r="H21" s="31" t="inlineStr">
        <is>
          <t>ANTELOPUS</t>
        </is>
      </c>
      <c r="I21" s="31" t="inlineStr">
        <is>
          <t>Antelopus Selan Energy Ltd</t>
        </is>
      </c>
      <c r="J21" s="31" t="inlineStr">
        <is>
          <t>energy</t>
        </is>
      </c>
      <c r="K21" s="31" t="inlineStr">
        <is>
          <t>oil drilling / allied services</t>
        </is>
      </c>
      <c r="L21" s="31" t="inlineStr">
        <is>
          <t>smallcap</t>
        </is>
      </c>
      <c r="M21" s="32" t="n">
        <v>3719.47</v>
      </c>
      <c r="N21" s="32" t="n">
        <v>1170.95</v>
      </c>
      <c r="O21" s="32" t="n">
        <v>10.7</v>
      </c>
      <c r="P21" s="32" t="n">
        <v>4319113</v>
      </c>
      <c r="Q21" s="31" t="inlineStr"/>
      <c r="R21" s="31" t="inlineStr"/>
      <c r="S21" s="32">
        <f>IF(R21="Underperforming",-5,IF(Q21&gt;=95,15,IF(Q21&gt;=90,10,IF(Q21&gt;=80,5,0))))</f>
        <v/>
      </c>
      <c r="T21" s="32" t="n">
        <v>75.34</v>
      </c>
      <c r="U21" s="32" t="n">
        <v>45.4</v>
      </c>
      <c r="V21" s="32" t="n">
        <v>805.9</v>
      </c>
      <c r="W21" s="31" t="inlineStr">
        <is>
          <t>Near 52W High Breakout</t>
        </is>
      </c>
      <c r="X21" s="31" t="inlineStr">
        <is>
          <t>Nifty Energy</t>
        </is>
      </c>
      <c r="Y21" s="32" t="inlineStr"/>
      <c r="Z21" s="32" t="inlineStr"/>
      <c r="AA21" s="32" t="inlineStr"/>
      <c r="AB21" s="32" t="inlineStr"/>
      <c r="AC21" s="31" t="inlineStr">
        <is>
          <t>Cyclical in an Upturn</t>
        </is>
      </c>
      <c r="AD21" s="31">
        <f>IF(AC21="Growing Industry",10,IF(AC21="Cyclical in an Upturn",5,0))</f>
        <v/>
      </c>
      <c r="AE21" s="31" t="inlineStr">
        <is>
          <t>Oligopoly</t>
        </is>
      </c>
      <c r="AF21" s="31">
        <f>IF(AE21="Monopoly",10,IF(AE21="Oligopoly",5,IF(AE21="Duopoly that cooperate",10,IF(AE21="Duopoly that compete",5,IF(AE21="Too many players with High ROCE",5,0)))))</f>
        <v/>
      </c>
      <c r="AG21" s="31" t="inlineStr">
        <is>
          <t>Yes</t>
        </is>
      </c>
      <c r="AH21" s="31">
        <f>IF(AG21="No",5,0)</f>
        <v/>
      </c>
      <c r="AI21" s="31" t="inlineStr">
        <is>
          <t>Tailwind</t>
        </is>
      </c>
      <c r="AJ21" s="31">
        <f>IF(AI21="Tailwind",10,0)</f>
        <v/>
      </c>
      <c r="AK21" s="31" t="inlineStr">
        <is>
          <t>Cyclical</t>
        </is>
      </c>
      <c r="AL21" s="31">
        <f>IF(AK21="Structural (10 Years Consistency)",10,IF(AK21="Shallow Cyclical (2 to 3 years growth)",5,0))</f>
        <v/>
      </c>
      <c r="AM21" s="31" t="inlineStr">
        <is>
          <t>No</t>
        </is>
      </c>
      <c r="AN21" s="31">
        <f>IF(AM21="Yes due to Product Mix change or Operating Leverage",10,IF(AM21="Yes, these are peak margins",-5,IF(AM21="No",5,0)))</f>
        <v/>
      </c>
      <c r="AO21" s="31" t="inlineStr">
        <is>
          <t>Volatile</t>
        </is>
      </c>
      <c r="AP21" s="31">
        <f>IF(AO21="Stable",10,0)</f>
        <v/>
      </c>
      <c r="AQ21" s="31" t="inlineStr">
        <is>
          <t>Yes</t>
        </is>
      </c>
      <c r="AR21" s="31">
        <f>IF(AQ21="Yes",10,0)</f>
        <v/>
      </c>
      <c r="AS21" s="31" t="inlineStr">
        <is>
          <t>B2B</t>
        </is>
      </c>
      <c r="AT21" s="31">
        <f>IF(AS21="B2C",10,IF(AS21="B2B",5,0))</f>
        <v/>
      </c>
      <c r="AU21" s="31" t="inlineStr">
        <is>
          <t>Yes</t>
        </is>
      </c>
      <c r="AV21" s="31">
        <f>IF(AU21="Yes",10,0)</f>
        <v/>
      </c>
      <c r="AW21" s="31" t="inlineStr">
        <is>
          <t>Higher One Time, Lower Annuity</t>
        </is>
      </c>
      <c r="AX21" s="31">
        <f>IF(AW21="Fully Annuity",10,IF(AW21="Higher Annuity, Lower One Time",5,IF(AW21="Higher One Time, Lower Annuity",3,0)))</f>
        <v/>
      </c>
      <c r="AY21" s="31" t="inlineStr">
        <is>
          <t>Good</t>
        </is>
      </c>
      <c r="AZ21" s="31">
        <f>IF(AY21="Good",10,0)</f>
        <v/>
      </c>
      <c r="BA21" s="31" t="inlineStr">
        <is>
          <t>Yes for more than 2 years</t>
        </is>
      </c>
      <c r="BB21" s="31">
        <f>IF(BA21="Yes for more than 2 years",10,IF(BA21="Yes only for next 1 to 2 years",5,0))</f>
        <v/>
      </c>
      <c r="BC21" s="31" t="inlineStr">
        <is>
          <t>Above 40</t>
        </is>
      </c>
      <c r="BD21" s="31">
        <f>IF(BC21="Above 40",20,IF(BC21="20 to 40",10,IF(BC21="0 to 20",-5,0)))</f>
        <v/>
      </c>
      <c r="BE21" s="31" t="inlineStr">
        <is>
          <t>Above 75</t>
        </is>
      </c>
      <c r="BF21" s="31">
        <f>IF(BE21="Between 50 to 75",10,IF(BE21="Above 75",0,0))</f>
        <v/>
      </c>
      <c r="BG21" s="31" t="inlineStr">
        <is>
          <t>Stage 2</t>
        </is>
      </c>
      <c r="BH21" s="31">
        <f>IF(BG21="Stage 2",20,IF(BG21="Stage 1",0,IF(BG21="Stage 3",5,IF(BG21="Stage 4",-5,0))))</f>
        <v/>
      </c>
      <c r="BI21" s="31" t="inlineStr">
        <is>
          <t>Positive Trend</t>
        </is>
      </c>
      <c r="BJ21" s="31">
        <f>IF(BI21="Positive Trend",20,IF(BI21="Negative Trend",-10,0))</f>
        <v/>
      </c>
      <c r="BK21" s="31" t="inlineStr">
        <is>
          <t>Uptrend</t>
        </is>
      </c>
      <c r="BL21" s="31">
        <f>IF(BK21="Uptrend",10,IF(BK21="Sideways",5,0))</f>
        <v/>
      </c>
      <c r="BM21" s="31" t="inlineStr">
        <is>
          <t>Uptrend</t>
        </is>
      </c>
      <c r="BN21" s="31">
        <f>IF(BM21="Uptrend",10,IF(BM21="Sideways",5,0))</f>
        <v/>
      </c>
      <c r="BO21" s="31" t="inlineStr">
        <is>
          <t>Blue sky scenario</t>
        </is>
      </c>
      <c r="BP21" s="31">
        <f>IF(BO21="Overhead supply in last 2 years in last 2 years",-5,IF(BO21="Close to 52 week high or retracement",5,IF(BO21="Blue sky scenario",10,IF(BO21="Long term Downtrend",-10,0))))</f>
        <v/>
      </c>
      <c r="BQ21" s="31" t="inlineStr">
        <is>
          <t>Yes</t>
        </is>
      </c>
      <c r="BR21" s="31">
        <f>IF(BQ21="Yes",10,0)</f>
        <v/>
      </c>
      <c r="BS21" s="31" t="inlineStr">
        <is>
          <t>More than 20%</t>
        </is>
      </c>
      <c r="BT21" s="31">
        <f>IF(BS21="More than 20%",10,IF(BS21="Between 12 to 20%",5,IF(BS21="Less than 12%",0,0)))</f>
        <v/>
      </c>
      <c r="BU21" s="31" t="inlineStr">
        <is>
          <t>No</t>
        </is>
      </c>
      <c r="BV21" s="31">
        <f>IF(BU21="No",10,0)</f>
        <v/>
      </c>
      <c r="BW21" s="31" t="inlineStr">
        <is>
          <t>No</t>
        </is>
      </c>
      <c r="BX21" s="31">
        <f>IF(BW21="NO",5,0)</f>
        <v/>
      </c>
      <c r="BY21" s="31" t="inlineStr">
        <is>
          <t>Above 2</t>
        </is>
      </c>
      <c r="BZ21" s="31">
        <f>IF(BY21="Above 2",0,IF(BY21="Between 1.5 to 2",5,IF(BY21="Less than 1.5",10,0)))</f>
        <v/>
      </c>
      <c r="CA21" s="31" t="inlineStr">
        <is>
          <t>Above 70%</t>
        </is>
      </c>
      <c r="CB21" s="31">
        <f>IF(CA21="Above 70%",10,IF(CA21="Between 50% to 70%",5,IF(CA21="Less than 50%",0,IF(CA21="Negative",-10,IF(CA21="Less than 50% and Borrowings are increasing",-5,0)))))</f>
        <v/>
      </c>
      <c r="CC21" s="31" t="inlineStr">
        <is>
          <t>Less than 0.7</t>
        </is>
      </c>
      <c r="CD21" s="31">
        <f>IF(CC21="More than 1.2",-10,IF(CC21="Between 0.7 to 1.2",0,IF(CC21="Less than 0.7",10,0)))</f>
        <v/>
      </c>
      <c r="CE21" s="31" t="inlineStr">
        <is>
          <t>No</t>
        </is>
      </c>
      <c r="CF21" s="31">
        <f>IF(CE21="Yes",-10,0)</f>
        <v/>
      </c>
      <c r="CG21" s="31" t="inlineStr">
        <is>
          <t>Less than 15%</t>
        </is>
      </c>
      <c r="CH21" s="31">
        <f>IF(CG21="More than 15%",-10,IF(CG21="Less than 15%",10,0))</f>
        <v/>
      </c>
      <c r="CI21" s="31" t="inlineStr">
        <is>
          <t>No</t>
        </is>
      </c>
      <c r="CJ21" s="31">
        <f>IF(CI21="Yes, more than 10%",-10,IF(CI21="No",10,0))</f>
        <v/>
      </c>
    </row>
    <row r="22">
      <c r="A22" s="31">
        <f>IF(B22=0,"",RANK(B22,$B$2:$B$22,0))</f>
        <v/>
      </c>
      <c r="B22" s="32">
        <f>SUM(S22,AD22,AF22,AH22,AJ22,AL22,AN22,AP22,AR22,AT22,AV22,AX22,AZ22,BB22,BD22,BF22,BH22,BJ22,BL22,BN22,BP22,BR22,BT22,BV22,BX22,BZ22,CB22,CD22,CF22,CH22,CJ22)</f>
        <v/>
      </c>
      <c r="C22" s="31" t="inlineStr">
        <is>
          <t>52W Breakout</t>
        </is>
      </c>
      <c r="D22" s="32" t="n">
        <v>135.1</v>
      </c>
      <c r="E22" s="32" t="inlineStr">
        <is>
          <t>5%</t>
        </is>
      </c>
      <c r="F22" s="32" t="n">
        <v>50000</v>
      </c>
      <c r="G22" s="32" t="n">
        <v>37</v>
      </c>
      <c r="H22" s="31" t="inlineStr">
        <is>
          <t>ROSSTECH</t>
        </is>
      </c>
      <c r="I22" s="31" t="inlineStr">
        <is>
          <t>Rossell Techsys Ltd</t>
        </is>
      </c>
      <c r="J22" s="31" t="inlineStr">
        <is>
          <t>aerospace &amp; defence</t>
        </is>
      </c>
      <c r="K22" s="31" t="inlineStr">
        <is>
          <t>engineering</t>
        </is>
      </c>
      <c r="L22" s="31" t="inlineStr">
        <is>
          <t>smallcap</t>
        </is>
      </c>
      <c r="M22" s="32" t="n">
        <v>4770.11</v>
      </c>
      <c r="N22" s="32" t="n">
        <v>1349.9</v>
      </c>
      <c r="O22" s="32" t="n">
        <v>6.68</v>
      </c>
      <c r="P22" s="32" t="n">
        <v>3386100</v>
      </c>
      <c r="Q22" s="31" t="n">
        <v>66</v>
      </c>
      <c r="R22" s="31" t="inlineStr">
        <is>
          <t>Outperforming</t>
        </is>
      </c>
      <c r="S22" s="32">
        <f>IF(R22="Underperforming",-5,IF(Q22&gt;=95,15,IF(Q22&gt;=90,10,IF(Q22&gt;=80,5,0))))</f>
        <v/>
      </c>
      <c r="T22" s="32" t="n">
        <v>75.61</v>
      </c>
      <c r="U22" s="32" t="n">
        <v>27.73</v>
      </c>
      <c r="V22" s="32" t="n">
        <v>1001.44</v>
      </c>
      <c r="W22" s="31" t="inlineStr">
        <is>
          <t>Volume Spike &amp; Near 52W High Breakout</t>
        </is>
      </c>
      <c r="X22" s="31" t="inlineStr">
        <is>
          <t>Nifty 50</t>
        </is>
      </c>
      <c r="Y22" s="32" t="n">
        <v>-8.33</v>
      </c>
      <c r="Z22" s="32" t="n">
        <v>79.88</v>
      </c>
      <c r="AA22" s="32" t="n">
        <v>96.22</v>
      </c>
      <c r="AB22" s="32" t="n">
        <v>20.63</v>
      </c>
      <c r="AC22" s="31" t="inlineStr">
        <is>
          <t>Growing Industry</t>
        </is>
      </c>
      <c r="AD22" s="31">
        <f>IF(AC22="Growing Industry",10,IF(AC22="Cyclical in an Upturn",5,0))</f>
        <v/>
      </c>
      <c r="AE22" s="31" t="inlineStr">
        <is>
          <t>Too Many Players with High ROCE</t>
        </is>
      </c>
      <c r="AF22" s="31">
        <f>IF(AE22="Monopoly",10,IF(AE22="Oligopoly",5,IF(AE22="Duopoly that cooperate",10,IF(AE22="Duopoly that compete",5,IF(AE22="Too many players with High ROCE",5,0)))))</f>
        <v/>
      </c>
      <c r="AG22" s="31" t="inlineStr">
        <is>
          <t>No</t>
        </is>
      </c>
      <c r="AH22" s="31">
        <f>IF(AG22="No",5,0)</f>
        <v/>
      </c>
      <c r="AI22" s="31" t="inlineStr">
        <is>
          <t>Tailwind</t>
        </is>
      </c>
      <c r="AJ22" s="31">
        <f>IF(AI22="Tailwind",10,0)</f>
        <v/>
      </c>
      <c r="AK22" s="31" t="inlineStr">
        <is>
          <t>Structural (10 Years Consistency)</t>
        </is>
      </c>
      <c r="AL22" s="31">
        <f>IF(AK22="Structural (10 Years Consistency)",10,IF(AK22="Shallow Cyclical (2 to 3 years growth)",5,0))</f>
        <v/>
      </c>
      <c r="AM22" s="31" t="inlineStr">
        <is>
          <t>No</t>
        </is>
      </c>
      <c r="AN22" s="31">
        <f>IF(AM22="Yes due to Product Mix change or Operating Leverage",10,IF(AM22="Yes, these are peak margins",-5,IF(AM22="No",5,0)))</f>
        <v/>
      </c>
      <c r="AO22" s="31" t="inlineStr">
        <is>
          <t>Stable</t>
        </is>
      </c>
      <c r="AP22" s="31">
        <f>IF(AO22="Stable",10,0)</f>
        <v/>
      </c>
      <c r="AQ22" s="31" t="inlineStr">
        <is>
          <t>Yes</t>
        </is>
      </c>
      <c r="AR22" s="31">
        <f>IF(AQ22="Yes",10,0)</f>
        <v/>
      </c>
      <c r="AS22" s="31" t="inlineStr">
        <is>
          <t>B2B</t>
        </is>
      </c>
      <c r="AT22" s="31">
        <f>IF(AS22="B2C",10,IF(AS22="B2B",5,0))</f>
        <v/>
      </c>
      <c r="AU22" s="31" t="inlineStr">
        <is>
          <t>Yes</t>
        </is>
      </c>
      <c r="AV22" s="31">
        <f>IF(AU22="Yes",10,0)</f>
        <v/>
      </c>
      <c r="AW22" s="31" t="inlineStr">
        <is>
          <t>Higher One Time, Lower Annuity</t>
        </is>
      </c>
      <c r="AX22" s="31">
        <f>IF(AW22="Fully Annuity",10,IF(AW22="Higher Annuity, Lower One Time",5,IF(AW22="Higher One Time, Lower Annuity",3,0)))</f>
        <v/>
      </c>
      <c r="AY22" s="31" t="inlineStr">
        <is>
          <t>Good</t>
        </is>
      </c>
      <c r="AZ22" s="31">
        <f>IF(AY22="Good",10,0)</f>
        <v/>
      </c>
      <c r="BA22" s="31" t="inlineStr">
        <is>
          <t>Yes for more than 2 years</t>
        </is>
      </c>
      <c r="BB22" s="31">
        <f>IF(BA22="Yes for more than 2 years",10,IF(BA22="Yes only for next 1 to 2 years",5,0))</f>
        <v/>
      </c>
      <c r="BC22" s="31" t="inlineStr">
        <is>
          <t>20 to 40</t>
        </is>
      </c>
      <c r="BD22" s="31">
        <f>IF(BC22="Above 40",20,IF(BC22="20 to 40",10,IF(BC22="0 to 20",-5,0)))</f>
        <v/>
      </c>
      <c r="BE22" s="31" t="inlineStr">
        <is>
          <t>Above 75</t>
        </is>
      </c>
      <c r="BF22" s="31">
        <f>IF(BE22="Between 50 to 75",10,IF(BE22="Above 75",0,0))</f>
        <v/>
      </c>
      <c r="BG22" s="31" t="inlineStr">
        <is>
          <t>Stage 2</t>
        </is>
      </c>
      <c r="BH22" s="31">
        <f>IF(BG22="Stage 2",20,IF(BG22="Stage 1",0,IF(BG22="Stage 3",5,IF(BG22="Stage 4",-5,0))))</f>
        <v/>
      </c>
      <c r="BI22" s="31" t="inlineStr">
        <is>
          <t>Positive Trend</t>
        </is>
      </c>
      <c r="BJ22" s="31">
        <f>IF(BI22="Positive Trend",20,IF(BI22="Negative Trend",-10,0))</f>
        <v/>
      </c>
      <c r="BK22" s="31" t="inlineStr">
        <is>
          <t>Uptrend</t>
        </is>
      </c>
      <c r="BL22" s="31">
        <f>IF(BK22="Uptrend",10,IF(BK22="Sideways",5,0))</f>
        <v/>
      </c>
      <c r="BM22" s="31" t="inlineStr">
        <is>
          <t>Uptrend</t>
        </is>
      </c>
      <c r="BN22" s="31">
        <f>IF(BM22="Uptrend",10,IF(BM22="Sideways",5,0))</f>
        <v/>
      </c>
      <c r="BO22" s="31" t="inlineStr">
        <is>
          <t>Blue sky scenario</t>
        </is>
      </c>
      <c r="BP22" s="31">
        <f>IF(BO22="Overhead supply in last 2 years in last 2 years",-5,IF(BO22="Close to 52 week high or retracement",5,IF(BO22="Blue sky scenario",10,IF(BO22="Long term Downtrend",-10,0))))</f>
        <v/>
      </c>
      <c r="BQ22" s="31" t="inlineStr">
        <is>
          <t>Yes</t>
        </is>
      </c>
      <c r="BR22" s="31">
        <f>IF(BQ22="Yes",10,0)</f>
        <v/>
      </c>
      <c r="BS22" s="31" t="inlineStr">
        <is>
          <t>More than 20%</t>
        </is>
      </c>
      <c r="BT22" s="31">
        <f>IF(BS22="More than 20%",10,IF(BS22="Between 12 to 20%",5,IF(BS22="Less than 12%",0,0)))</f>
        <v/>
      </c>
      <c r="BU22" s="31" t="inlineStr">
        <is>
          <t>No</t>
        </is>
      </c>
      <c r="BV22" s="31">
        <f>IF(BU22="No",10,0)</f>
        <v/>
      </c>
      <c r="BW22" s="31" t="inlineStr">
        <is>
          <t>Yes</t>
        </is>
      </c>
      <c r="BX22" s="31">
        <f>IF(BW22="NO",5,0)</f>
        <v/>
      </c>
      <c r="BY22" s="31" t="inlineStr">
        <is>
          <t>Above 2</t>
        </is>
      </c>
      <c r="BZ22" s="31">
        <f>IF(BY22="Above 2",0,IF(BY22="Between 1.5 to 2",5,IF(BY22="Less than 1.5",10,0)))</f>
        <v/>
      </c>
      <c r="CA22" s="31" t="inlineStr">
        <is>
          <t>Above 70%</t>
        </is>
      </c>
      <c r="CB22" s="31">
        <f>IF(CA22="Above 70%",10,IF(CA22="Between 50% to 70%",5,IF(CA22="Less than 50%",0,IF(CA22="Negative",-10,IF(CA22="Less than 50% and Borrowings are increasing",-5,0)))))</f>
        <v/>
      </c>
      <c r="CC22" s="31" t="inlineStr">
        <is>
          <t>More than 1.2</t>
        </is>
      </c>
      <c r="CD22" s="31">
        <f>IF(CC22="More than 1.2",-10,IF(CC22="Between 0.7 to 1.2",0,IF(CC22="Less than 0.7",10,0)))</f>
        <v/>
      </c>
      <c r="CE22" s="31" t="inlineStr">
        <is>
          <t>No</t>
        </is>
      </c>
      <c r="CF22" s="31">
        <f>IF(CE22="Yes",-10,0)</f>
        <v/>
      </c>
      <c r="CG22" s="31" t="inlineStr">
        <is>
          <t>Less than 15%</t>
        </is>
      </c>
      <c r="CH22" s="31">
        <f>IF(CG22="More than 15%",-10,IF(CG22="Less than 15%",10,0))</f>
        <v/>
      </c>
      <c r="CI22" s="31" t="inlineStr">
        <is>
          <t>No</t>
        </is>
      </c>
      <c r="CJ22" s="31">
        <f>IF(CI22="Yes, more than 10%",-10,IF(CI22="No",10,0))</f>
        <v/>
      </c>
    </row>
  </sheetData>
  <autoFilter ref="A1:CJ22"/>
  <conditionalFormatting sqref="B2:B2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2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2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2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2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2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2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2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2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2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2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2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2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2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2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2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2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2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2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2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2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2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2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2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2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2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2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2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2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2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2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2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22">
    <cfRule type="cellIs" priority="36" operator="equal" dxfId="3" stopIfTrue="1">
      <formula>"Underperforming"</formula>
    </cfRule>
  </conditionalFormatting>
  <conditionalFormatting sqref="S2:S22">
    <cfRule type="cellIs" priority="37" operator="equal" dxfId="3" stopIfTrue="1">
      <formula>-5</formula>
    </cfRule>
  </conditionalFormatting>
  <conditionalFormatting sqref="V2:V22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22" showDropDown="0" showInputMessage="0" showErrorMessage="0" allowBlank="1" type="list">
      <formula1>"Growing Industry,Stagnant Industry,Cyclical in an Upturn"</formula1>
    </dataValidation>
    <dataValidation sqref="AE2:AE22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22" showDropDown="0" showInputMessage="0" showErrorMessage="0" allowBlank="1" type="list">
      <formula1>"Yes,No"</formula1>
    </dataValidation>
    <dataValidation sqref="AI2:AI22" showDropDown="0" showInputMessage="0" showErrorMessage="0" allowBlank="1" type="list">
      <formula1>"Tailwind,Headwind"</formula1>
    </dataValidation>
    <dataValidation sqref="AK2:AK22" showDropDown="0" showInputMessage="0" showErrorMessage="0" allowBlank="1" type="list">
      <formula1>"Structural (10 Years Consistency),Shallow Cyclical (2 to 3 Years Growth),Cyclical"</formula1>
    </dataValidation>
    <dataValidation sqref="AM2:AM22" showDropDown="0" showInputMessage="0" showErrorMessage="0" allowBlank="1" type="list">
      <formula1>"Yes due to Product Mix change or Operating Leverage,Yes, these are peak margins,No"</formula1>
    </dataValidation>
    <dataValidation sqref="AO2:AO22" showDropDown="0" showInputMessage="0" showErrorMessage="0" allowBlank="1" type="list">
      <formula1>"Stable,Volatile"</formula1>
    </dataValidation>
    <dataValidation sqref="AQ2:AQ22" showDropDown="0" showInputMessage="0" showErrorMessage="0" allowBlank="1" type="list">
      <formula1>"Yes,No"</formula1>
    </dataValidation>
    <dataValidation sqref="AS2:AS22" showDropDown="0" showInputMessage="0" showErrorMessage="0" allowBlank="1" type="list">
      <formula1>"B2C,B2B,B2G"</formula1>
    </dataValidation>
    <dataValidation sqref="AU2:AU22" showDropDown="0" showInputMessage="0" showErrorMessage="0" allowBlank="1" type="list">
      <formula1>"Yes,No"</formula1>
    </dataValidation>
    <dataValidation sqref="AW2:AW22" showDropDown="0" showInputMessage="0" showErrorMessage="0" allowBlank="1" type="list">
      <formula1>"Fully Annuity,Higher Annuity, Lower One time,Higher One Time, Lower Annuity,Fully One Time"</formula1>
    </dataValidation>
    <dataValidation sqref="AY2:AY22" showDropDown="0" showInputMessage="0" showErrorMessage="0" allowBlank="1" type="list">
      <formula1>"Good,Allocated capital in Non-core Areas"</formula1>
    </dataValidation>
    <dataValidation sqref="BA2:BA22" showDropDown="0" showInputMessage="0" showErrorMessage="0" allowBlank="1" type="list">
      <formula1>"Yes for more than 2 years,Yes only for next 1 to 2 years,No"</formula1>
    </dataValidation>
    <dataValidation sqref="BC2:BC22" showDropDown="0" showInputMessage="0" showErrorMessage="0" allowBlank="1" type="list">
      <formula1>"Above 40,20 to 40,0 to 20"</formula1>
    </dataValidation>
    <dataValidation sqref="BE2:BE22" showDropDown="0" showInputMessage="0" showErrorMessage="0" allowBlank="1" type="list">
      <formula1>"Between 50 to 75,Above 75,Below 45"</formula1>
    </dataValidation>
    <dataValidation sqref="BG2:BG22" showDropDown="0" showInputMessage="0" showErrorMessage="0" allowBlank="1" type="list">
      <formula1>"Stage 1,Stage 2,Stage 3,Stage 4"</formula1>
    </dataValidation>
    <dataValidation sqref="BI2:BI22" showDropDown="0" showInputMessage="0" showErrorMessage="0" allowBlank="1" type="list">
      <formula1>"Positive Trend,Negative Trend"</formula1>
    </dataValidation>
    <dataValidation sqref="BK2:BK22" showDropDown="0" showInputMessage="0" showErrorMessage="0" allowBlank="1" type="list">
      <formula1>"Uptrend,Sideways,Downtrend"</formula1>
    </dataValidation>
    <dataValidation sqref="BM2:BM22" showDropDown="0" showInputMessage="0" showErrorMessage="0" allowBlank="1" type="list">
      <formula1>"Uptrend,Sideways,Downtrend"</formula1>
    </dataValidation>
    <dataValidation sqref="BO2:BO2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22" showDropDown="0" showInputMessage="0" showErrorMessage="0" allowBlank="1" type="list">
      <formula1>"Yes,No"</formula1>
    </dataValidation>
    <dataValidation sqref="BS2:BS22" showDropDown="0" showInputMessage="0" showErrorMessage="0" allowBlank="1" type="list">
      <formula1>"More than 20%,Between 12 to 20%,Less than 12%"</formula1>
    </dataValidation>
    <dataValidation sqref="BU2:BU22" showDropDown="0" showInputMessage="0" showErrorMessage="0" allowBlank="1" type="list">
      <formula1>"Yes,No"</formula1>
    </dataValidation>
    <dataValidation sqref="BW2:BW22" showDropDown="0" showInputMessage="0" showErrorMessage="0" allowBlank="1" type="list">
      <formula1>"Yes,No"</formula1>
    </dataValidation>
    <dataValidation sqref="BY2:BY22" showDropDown="0" showInputMessage="0" showErrorMessage="0" allowBlank="1" type="list">
      <formula1>"Above 2,Between 1.5 to 2,Less than 1.5"</formula1>
    </dataValidation>
    <dataValidation sqref="CA2:CA22" showDropDown="0" showInputMessage="0" showErrorMessage="0" allowBlank="1" type="list">
      <formula1>"Above 70%,Between 50% to 70%,Less than 50%,Less than 50% and Borrowings are increasing,Negative"</formula1>
    </dataValidation>
    <dataValidation sqref="CC2:CC22" showDropDown="0" showInputMessage="0" showErrorMessage="0" allowBlank="1" type="list">
      <formula1>"More than 1.2,Between 0.7 to 1.2,Less than 0.7"</formula1>
    </dataValidation>
    <dataValidation sqref="CE2:CE22" showDropDown="0" showInputMessage="0" showErrorMessage="0" allowBlank="1" type="list">
      <formula1>"Yes,No"</formula1>
    </dataValidation>
    <dataValidation sqref="CG2:CG22" showDropDown="0" showInputMessage="0" showErrorMessage="0" allowBlank="1" type="list">
      <formula1>"More than 15%,Less than 15%"</formula1>
    </dataValidation>
    <dataValidation sqref="CI2:CI22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IF(B2=0,"",RANK(B2,$B$2:$B$2,0))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138.8</v>
      </c>
      <c r="E2" s="32" t="inlineStr">
        <is>
          <t>5%</t>
        </is>
      </c>
      <c r="F2" s="32" t="n">
        <v>50000</v>
      </c>
      <c r="G2" s="32" t="n">
        <v>591</v>
      </c>
      <c r="H2" s="31" t="inlineStr">
        <is>
          <t>PAISALO</t>
        </is>
      </c>
      <c r="I2" s="31" t="inlineStr">
        <is>
          <t>Paisalo Digital Ltd</t>
        </is>
      </c>
      <c r="J2" s="31" t="inlineStr">
        <is>
          <t>financials</t>
        </is>
      </c>
      <c r="K2" s="31" t="inlineStr">
        <is>
          <t>finance &amp; investments</t>
        </is>
      </c>
      <c r="L2" s="31" t="inlineStr">
        <is>
          <t>midcap</t>
        </is>
      </c>
      <c r="M2" s="32" t="n">
        <v>7682.73</v>
      </c>
      <c r="N2" s="32" t="n">
        <v>84.59</v>
      </c>
      <c r="O2" s="32" t="n">
        <v>0.14</v>
      </c>
      <c r="P2" s="32" t="n">
        <v>20996365</v>
      </c>
      <c r="Q2" s="31" t="n">
        <v>80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80.48999999999999</v>
      </c>
      <c r="U2" s="32" t="n">
        <v>68.75</v>
      </c>
      <c r="V2" s="32" t="n">
        <v>67.58</v>
      </c>
      <c r="W2" s="31" t="inlineStr">
        <is>
          <t>Near 52W High Breakout</t>
        </is>
      </c>
      <c r="X2" s="31" t="inlineStr">
        <is>
          <t>Nifty Bank</t>
        </is>
      </c>
      <c r="Y2" s="32" t="n">
        <v>1.5</v>
      </c>
      <c r="Z2" s="32" t="n">
        <v>117.44</v>
      </c>
      <c r="AA2" s="32" t="n">
        <v>114.22</v>
      </c>
      <c r="AB2" s="32" t="n">
        <v>29.12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between 2.5x to 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Above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</sheetData>
  <autoFilter ref="A1:CF2"/>
  <conditionalFormatting sqref="B2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">
    <cfRule type="cellIs" priority="34" operator="equal" dxfId="3" stopIfTrue="1">
      <formula>"Underperforming"</formula>
    </cfRule>
  </conditionalFormatting>
  <conditionalFormatting sqref="S2">
    <cfRule type="cellIs" priority="35" operator="equal" dxfId="3" stopIfTrue="1">
      <formula>-5</formula>
    </cfRule>
  </conditionalFormatting>
  <conditionalFormatting sqref="V2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" showDropDown="0" showInputMessage="0" showErrorMessage="0" allowBlank="1" type="list">
      <formula1>"Growing Industry,Stagnant Industry,Cyclical in an Upturn"</formula1>
    </dataValidation>
    <dataValidation sqref="AE2" showDropDown="0" showInputMessage="0" showErrorMessage="0" allowBlank="1" type="list">
      <formula1>"Fragmented with Low ROE,Fragmented with High ROE,Highly Cyclical"</formula1>
    </dataValidation>
    <dataValidation sqref="AG2" showDropDown="0" showInputMessage="0" showErrorMessage="0" allowBlank="1" type="list">
      <formula1>"Yes,No"</formula1>
    </dataValidation>
    <dataValidation sqref="AI2" showDropDown="0" showInputMessage="0" showErrorMessage="0" allowBlank="1" type="list">
      <formula1>"Tailwind,Headwind"</formula1>
    </dataValidation>
    <dataValidation sqref="AK2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" showDropDown="0" showInputMessage="0" showErrorMessage="0" allowBlank="1" type="list">
      <formula1>"Yes,No"</formula1>
    </dataValidation>
    <dataValidation sqref="AO2" showDropDown="0" showInputMessage="0" showErrorMessage="0" allowBlank="1" type="list">
      <formula1>"Yes,No,Not Applicable"</formula1>
    </dataValidation>
    <dataValidation sqref="AQ2" showDropDown="0" showInputMessage="0" showErrorMessage="0" allowBlank="1" type="list">
      <formula1>"Yes,No"</formula1>
    </dataValidation>
    <dataValidation sqref="AS2" showDropDown="0" showInputMessage="0" showErrorMessage="0" allowBlank="1" type="list">
      <formula1>"Yes,No"</formula1>
    </dataValidation>
    <dataValidation sqref="AU2" showDropDown="0" showInputMessage="0" showErrorMessage="0" allowBlank="1" type="list">
      <formula1>"Yes,No"</formula1>
    </dataValidation>
    <dataValidation sqref="AW2" showDropDown="0" showInputMessage="0" showErrorMessage="0" allowBlank="1" type="list">
      <formula1>"Yes,No"</formula1>
    </dataValidation>
    <dataValidation sqref="AY2" showDropDown="0" showInputMessage="0" showErrorMessage="0" allowBlank="1" type="list">
      <formula1>"No,Yes"</formula1>
    </dataValidation>
    <dataValidation sqref="BA2" showDropDown="0" showInputMessage="0" showErrorMessage="0" allowBlank="1" type="list">
      <formula1>"No,Yes"</formula1>
    </dataValidation>
    <dataValidation sqref="BC2" showDropDown="0" showInputMessage="0" showErrorMessage="0" allowBlank="1" type="list">
      <formula1>"No,Yes CEO Resignation,Yes CEO Retirement"</formula1>
    </dataValidation>
    <dataValidation sqref="BE2" showDropDown="0" showInputMessage="0" showErrorMessage="0" allowBlank="1" type="list">
      <formula1>"No,Yes"</formula1>
    </dataValidation>
    <dataValidation sqref="BG2" showDropDown="0" showInputMessage="0" showErrorMessage="0" allowBlank="1" type="list">
      <formula1>"No,Yes"</formula1>
    </dataValidation>
    <dataValidation sqref="BI2" showDropDown="0" showInputMessage="0" showErrorMessage="0" allowBlank="1" type="list">
      <formula1>"Yes,No"</formula1>
    </dataValidation>
    <dataValidation sqref="BK2" showDropDown="0" showInputMessage="0" showErrorMessage="0" allowBlank="1" type="list">
      <formula1>"Yes,No"</formula1>
    </dataValidation>
    <dataValidation sqref="BM2" showDropDown="0" showInputMessage="0" showErrorMessage="0" allowBlank="1" type="list">
      <formula1>"Yes,No"</formula1>
    </dataValidation>
    <dataValidation sqref="BO2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" showDropDown="0" showInputMessage="0" showErrorMessage="0" allowBlank="1" type="list">
      <formula1>"Above 40,20 to 40,0 to 20"</formula1>
    </dataValidation>
    <dataValidation sqref="BS2" showDropDown="0" showInputMessage="0" showErrorMessage="0" allowBlank="1" type="list">
      <formula1>"Between 50 to 75,Above 75,Below 45"</formula1>
    </dataValidation>
    <dataValidation sqref="BU2" showDropDown="0" showInputMessage="0" showErrorMessage="0" allowBlank="1" type="list">
      <formula1>"Stage 1,Stage 2,Stage 3,Stage 4"</formula1>
    </dataValidation>
    <dataValidation sqref="BW2" showDropDown="0" showInputMessage="0" showErrorMessage="0" allowBlank="1" type="list">
      <formula1>"Positive Trend,Negative Trend"</formula1>
    </dataValidation>
    <dataValidation sqref="BY2" showDropDown="0" showInputMessage="0" showErrorMessage="0" allowBlank="1" type="list">
      <formula1>"Uptrend,Sideways,Downtrend"</formula1>
    </dataValidation>
    <dataValidation sqref="CA2" showDropDown="0" showInputMessage="0" showErrorMessage="0" allowBlank="1" type="list">
      <formula1>"Uptrend,Sideways,Downtrend"</formula1>
    </dataValidation>
    <dataValidation sqref="CC2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2026-09-16T15:02:45Z</dcterms:created>
  <dcterms:modified xmlns:dcterms="http://purl.org/dc/terms/" xmlns:xsi="http://www.w3.org/2001/XMLSchema-instance" xsi:type="dcterms:W3CDTF">2026-09-16T15:04:43Z</dcterms:modified>
</cp:coreProperties>
</file>