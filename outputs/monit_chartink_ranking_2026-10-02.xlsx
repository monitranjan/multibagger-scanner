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Universe'!$A$1:$J$190</definedName>
    <definedName name="_xlnm._FilterDatabase" localSheetId="3" hidden="1">'Confluence Overlap'!$A$1:$K$79</definedName>
    <definedName name="_xlnm._FilterDatabase" localSheetId="4" hidden="1">'Monit Non Financial'!$A$1:$CE$180</definedName>
    <definedName name="_xlnm._FilterDatabase" localSheetId="5" hidden="1">'Monit Banks NBFC'!$A$1:$CA$11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02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33" customWidth="1" min="3" max="3"/>
    <col width="46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492</v>
      </c>
      <c r="C6" s="17" t="inlineStr">
        <is>
          <t>SETL</t>
        </is>
      </c>
      <c r="D6" s="18" t="inlineStr">
        <is>
          <t>Standard Enginnering Technology Ltd</t>
        </is>
      </c>
      <c r="E6" s="18" t="inlineStr">
        <is>
          <t>industrials</t>
        </is>
      </c>
      <c r="F6" s="16" t="n">
        <v>67</v>
      </c>
      <c r="G6" s="19" t="n">
        <v>8317.799999999999</v>
      </c>
      <c r="H6" s="18" t="inlineStr">
        <is>
          <t>Potential Leader</t>
        </is>
      </c>
      <c r="J6" s="18" t="inlineStr">
        <is>
          <t>castings, forgings &amp; fasteners</t>
        </is>
      </c>
      <c r="K6" s="16" t="n">
        <v>22</v>
      </c>
      <c r="L6" s="16" t="n">
        <v>4</v>
      </c>
      <c r="M6" s="20" t="inlineStr">
        <is>
          <t>450.0%</t>
        </is>
      </c>
    </row>
    <row r="7">
      <c r="A7" s="16" t="n">
        <v>2</v>
      </c>
      <c r="B7" s="17" t="n">
        <v>426</v>
      </c>
      <c r="C7" s="17" t="inlineStr">
        <is>
          <t>KABRAEXTRU</t>
        </is>
      </c>
      <c r="D7" s="18" t="inlineStr">
        <is>
          <t>Kabra Extrusion Technik Limited</t>
        </is>
      </c>
      <c r="E7" s="18" t="inlineStr">
        <is>
          <t>industrials</t>
        </is>
      </c>
      <c r="F7" s="16" t="n">
        <v>56</v>
      </c>
      <c r="G7" s="19" t="n">
        <v>2676.47</v>
      </c>
      <c r="H7" s="18" t="inlineStr">
        <is>
          <t>Potential Leader</t>
        </is>
      </c>
      <c r="J7" s="18" t="inlineStr">
        <is>
          <t>readymade garments/apparels</t>
        </is>
      </c>
      <c r="K7" s="16" t="n">
        <v>7</v>
      </c>
      <c r="L7" s="16" t="n">
        <v>2</v>
      </c>
      <c r="M7" s="20" t="inlineStr">
        <is>
          <t>250.0%</t>
        </is>
      </c>
    </row>
    <row r="8">
      <c r="A8" s="16" t="n">
        <v>3</v>
      </c>
      <c r="B8" s="17" t="n">
        <v>384</v>
      </c>
      <c r="C8" s="17" t="inlineStr">
        <is>
          <t>REDINGTON</t>
        </is>
      </c>
      <c r="D8" s="18" t="inlineStr">
        <is>
          <t>Redington (india) Limited</t>
        </is>
      </c>
      <c r="E8" s="18" t="inlineStr">
        <is>
          <t>services</t>
        </is>
      </c>
      <c r="F8" s="16" t="n">
        <v>49</v>
      </c>
      <c r="G8" s="19" t="n">
        <v>31110.71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47</v>
      </c>
      <c r="L8" s="16" t="n">
        <v>44</v>
      </c>
      <c r="M8" s="20" t="inlineStr">
        <is>
          <t>6.8%</t>
        </is>
      </c>
    </row>
    <row r="9">
      <c r="A9" s="16" t="n">
        <v>4</v>
      </c>
      <c r="B9" s="17" t="n">
        <v>360</v>
      </c>
      <c r="C9" s="17" t="inlineStr">
        <is>
          <t>RATNAVEER</t>
        </is>
      </c>
      <c r="D9" s="18" t="inlineStr">
        <is>
          <t>Ratnaveer Precision Engineering Ltd</t>
        </is>
      </c>
      <c r="E9" s="18" t="inlineStr">
        <is>
          <t>metals &amp; mining</t>
        </is>
      </c>
      <c r="F9" s="16" t="n">
        <v>45</v>
      </c>
      <c r="G9" s="19" t="n">
        <v>2899.24</v>
      </c>
      <c r="H9" s="18" t="inlineStr">
        <is>
          <t>Potential Leader</t>
        </is>
      </c>
      <c r="J9" s="18" t="inlineStr">
        <is>
          <t>telecom-service</t>
        </is>
      </c>
      <c r="K9" s="16" t="n">
        <v>5</v>
      </c>
      <c r="L9" s="16" t="n">
        <v>5</v>
      </c>
      <c r="M9" s="20" t="inlineStr">
        <is>
          <t>0.0%</t>
        </is>
      </c>
    </row>
    <row r="10">
      <c r="A10" s="16" t="n">
        <v>5</v>
      </c>
      <c r="B10" s="17" t="n">
        <v>360</v>
      </c>
      <c r="C10" s="17" t="inlineStr">
        <is>
          <t>SHILPAMED</t>
        </is>
      </c>
      <c r="D10" s="18" t="inlineStr">
        <is>
          <t>Shilpa Medicare Limited</t>
        </is>
      </c>
      <c r="E10" s="18" t="inlineStr">
        <is>
          <t>healthcare</t>
        </is>
      </c>
      <c r="F10" s="16" t="n">
        <v>45</v>
      </c>
      <c r="G10" s="19" t="n">
        <v>20811.86</v>
      </c>
      <c r="H10" s="18" t="inlineStr">
        <is>
          <t>Potential Leader</t>
        </is>
      </c>
      <c r="J10" s="18" t="inlineStr">
        <is>
          <t>plastic products</t>
        </is>
      </c>
      <c r="K10" s="16" t="n">
        <v>13</v>
      </c>
      <c r="L10" s="16" t="n">
        <v>13</v>
      </c>
      <c r="M10" s="20" t="inlineStr">
        <is>
          <t>0.0%</t>
        </is>
      </c>
    </row>
    <row r="11">
      <c r="A11" s="16" t="n">
        <v>6</v>
      </c>
      <c r="B11" s="17" t="n">
        <v>360</v>
      </c>
      <c r="C11" s="17" t="inlineStr">
        <is>
          <t>STLTECH</t>
        </is>
      </c>
      <c r="D11" s="18" t="inlineStr">
        <is>
          <t>Sterlite Technologies Limited</t>
        </is>
      </c>
      <c r="E11" s="18" t="inlineStr">
        <is>
          <t>industrials</t>
        </is>
      </c>
      <c r="F11" s="16" t="n">
        <v>45</v>
      </c>
      <c r="G11" s="19" t="n">
        <v>49095.07</v>
      </c>
      <c r="H11" s="18" t="inlineStr">
        <is>
          <t>Potential Leader</t>
        </is>
      </c>
      <c r="J11" s="18" t="inlineStr">
        <is>
          <t>chemicals</t>
        </is>
      </c>
      <c r="K11" s="16" t="n">
        <v>124</v>
      </c>
      <c r="L11" s="16" t="n">
        <v>132</v>
      </c>
      <c r="M11" s="21" t="inlineStr">
        <is>
          <t>-6.1%</t>
        </is>
      </c>
    </row>
    <row r="12">
      <c r="A12" s="16" t="n">
        <v>7</v>
      </c>
      <c r="B12" s="17" t="n">
        <v>354</v>
      </c>
      <c r="C12" s="17" t="inlineStr">
        <is>
          <t>MOREPENLAB</t>
        </is>
      </c>
      <c r="D12" s="18" t="inlineStr">
        <is>
          <t>Morepen Laboratories Limited</t>
        </is>
      </c>
      <c r="E12" s="18" t="inlineStr">
        <is>
          <t>healthcare</t>
        </is>
      </c>
      <c r="F12" s="16" t="n">
        <v>44</v>
      </c>
      <c r="G12" s="19" t="n">
        <v>7327.24</v>
      </c>
      <c r="H12" s="18" t="inlineStr">
        <is>
          <t>Potential Leader</t>
        </is>
      </c>
      <c r="J12" s="18" t="inlineStr">
        <is>
          <t>fmcg</t>
        </is>
      </c>
      <c r="K12" s="16" t="n">
        <v>41</v>
      </c>
      <c r="L12" s="16" t="n">
        <v>46</v>
      </c>
      <c r="M12" s="21" t="inlineStr">
        <is>
          <t>-10.9%</t>
        </is>
      </c>
    </row>
    <row r="13">
      <c r="A13" s="16" t="n">
        <v>8</v>
      </c>
      <c r="B13" s="17" t="n">
        <v>336</v>
      </c>
      <c r="C13" s="17" t="inlineStr">
        <is>
          <t>INDSWFTLAB</t>
        </is>
      </c>
      <c r="D13" s="18" t="inlineStr">
        <is>
          <t>Ind-swift Laboratories Limited</t>
        </is>
      </c>
      <c r="E13" s="18" t="inlineStr">
        <is>
          <t>healthcare</t>
        </is>
      </c>
      <c r="F13" s="16" t="n">
        <v>41</v>
      </c>
      <c r="G13" s="19" t="n">
        <v>3436.29</v>
      </c>
      <c r="H13" s="18" t="inlineStr">
        <is>
          <t>Potential Leader</t>
        </is>
      </c>
      <c r="J13" s="18" t="inlineStr">
        <is>
          <t>telecom</t>
        </is>
      </c>
      <c r="K13" s="16" t="n">
        <v>7</v>
      </c>
      <c r="L13" s="16" t="n">
        <v>8</v>
      </c>
      <c r="M13" s="21" t="inlineStr">
        <is>
          <t>-12.5%</t>
        </is>
      </c>
    </row>
    <row r="14">
      <c r="A14" s="16" t="n">
        <v>9</v>
      </c>
      <c r="B14" s="17" t="n">
        <v>324</v>
      </c>
      <c r="C14" s="17" t="inlineStr">
        <is>
          <t>MANINDS</t>
        </is>
      </c>
      <c r="D14" s="18" t="inlineStr">
        <is>
          <t>Man Industries (india) Limited</t>
        </is>
      </c>
      <c r="E14" s="18" t="inlineStr">
        <is>
          <t>metals &amp; mining</t>
        </is>
      </c>
      <c r="F14" s="16" t="n">
        <v>39</v>
      </c>
      <c r="G14" s="19" t="n">
        <v>6912.51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74</v>
      </c>
      <c r="L14" s="16" t="n">
        <v>85</v>
      </c>
      <c r="M14" s="21" t="inlineStr">
        <is>
          <t>-12.9%</t>
        </is>
      </c>
    </row>
    <row r="15">
      <c r="A15" s="16" t="n">
        <v>10</v>
      </c>
      <c r="B15" s="17" t="n">
        <v>306</v>
      </c>
      <c r="C15" s="17" t="inlineStr">
        <is>
          <t>EIMCOELECO</t>
        </is>
      </c>
      <c r="D15" s="18" t="inlineStr">
        <is>
          <t>Eimco Elecon (india) Limited</t>
        </is>
      </c>
      <c r="E15" s="18" t="inlineStr">
        <is>
          <t>industrials</t>
        </is>
      </c>
      <c r="F15" s="16" t="n">
        <v>36</v>
      </c>
      <c r="G15" s="19" t="n">
        <v>1308.73</v>
      </c>
      <c r="H15" s="18" t="inlineStr">
        <is>
          <t>Potential Leader</t>
        </is>
      </c>
      <c r="J15" s="18" t="inlineStr">
        <is>
          <t>services</t>
        </is>
      </c>
      <c r="K15" s="16" t="n">
        <v>42</v>
      </c>
      <c r="L15" s="16" t="n">
        <v>50</v>
      </c>
      <c r="M15" s="21" t="inlineStr">
        <is>
          <t>-16.0%</t>
        </is>
      </c>
    </row>
    <row r="16">
      <c r="A16" s="16" t="n">
        <v>11</v>
      </c>
      <c r="B16" s="17" t="n">
        <v>306</v>
      </c>
      <c r="C16" s="17" t="inlineStr">
        <is>
          <t>RGL</t>
        </is>
      </c>
      <c r="D16" s="18" t="inlineStr">
        <is>
          <t>Renaissance Global Ltd</t>
        </is>
      </c>
      <c r="E16" s="18" t="inlineStr">
        <is>
          <t>consumer discretionary</t>
        </is>
      </c>
      <c r="F16" s="16" t="n">
        <v>36</v>
      </c>
      <c r="G16" s="19" t="n">
        <v>1744.74</v>
      </c>
      <c r="H16" s="18" t="inlineStr">
        <is>
          <t>Potential Leader</t>
        </is>
      </c>
      <c r="J16" s="18" t="inlineStr">
        <is>
          <t>textiles</t>
        </is>
      </c>
      <c r="K16" s="16" t="n">
        <v>48</v>
      </c>
      <c r="L16" s="16" t="n">
        <v>58</v>
      </c>
      <c r="M16" s="21" t="inlineStr">
        <is>
          <t>-17.2%</t>
        </is>
      </c>
    </row>
    <row r="17">
      <c r="A17" s="16" t="n">
        <v>12</v>
      </c>
      <c r="B17" s="17" t="n">
        <v>300</v>
      </c>
      <c r="C17" s="17" t="inlineStr">
        <is>
          <t>WELSPUNLIV</t>
        </is>
      </c>
      <c r="D17" s="18" t="inlineStr">
        <is>
          <t>Welspun Living Ltd</t>
        </is>
      </c>
      <c r="E17" s="18" t="inlineStr">
        <is>
          <t>textiles</t>
        </is>
      </c>
      <c r="F17" s="16" t="n">
        <v>35</v>
      </c>
      <c r="G17" s="19" t="n">
        <v>22595.65</v>
      </c>
      <c r="H17" s="18" t="inlineStr">
        <is>
          <t>Potential Leader</t>
        </is>
      </c>
      <c r="J17" s="18" t="inlineStr">
        <is>
          <t>industrials</t>
        </is>
      </c>
      <c r="K17" s="16" t="n">
        <v>163</v>
      </c>
      <c r="L17" s="16" t="n">
        <v>198</v>
      </c>
      <c r="M17" s="21" t="inlineStr">
        <is>
          <t>-17.7%</t>
        </is>
      </c>
    </row>
    <row r="18">
      <c r="A18" s="16" t="n">
        <v>13</v>
      </c>
      <c r="B18" s="17" t="n">
        <v>294</v>
      </c>
      <c r="C18" s="17" t="inlineStr">
        <is>
          <t>YUKEN</t>
        </is>
      </c>
      <c r="D18" s="18" t="inlineStr">
        <is>
          <t>Yuken India Ltd</t>
        </is>
      </c>
      <c r="E18" s="18" t="inlineStr">
        <is>
          <t>industrials</t>
        </is>
      </c>
      <c r="F18" s="16" t="n">
        <v>34</v>
      </c>
      <c r="G18" s="19" t="n">
        <v>1550.48</v>
      </c>
      <c r="H18" s="18" t="inlineStr">
        <is>
          <t>Potential Leader</t>
        </is>
      </c>
      <c r="J18" s="18" t="inlineStr">
        <is>
          <t>building materials</t>
        </is>
      </c>
      <c r="K18" s="16" t="n">
        <v>38</v>
      </c>
      <c r="L18" s="16" t="n">
        <v>47</v>
      </c>
      <c r="M18" s="21" t="inlineStr">
        <is>
          <t>-19.1%</t>
        </is>
      </c>
    </row>
    <row r="19">
      <c r="A19" s="16" t="n">
        <v>14</v>
      </c>
      <c r="B19" s="17" t="n">
        <v>288</v>
      </c>
      <c r="C19" s="17" t="inlineStr">
        <is>
          <t>BODALCHEM</t>
        </is>
      </c>
      <c r="D19" s="18" t="inlineStr">
        <is>
          <t>Bodal Chemicals Limited</t>
        </is>
      </c>
      <c r="E19" s="18" t="inlineStr">
        <is>
          <t>chemicals</t>
        </is>
      </c>
      <c r="F19" s="16" t="n">
        <v>33</v>
      </c>
      <c r="G19" s="19" t="n">
        <v>2389.79</v>
      </c>
      <c r="H19" s="18" t="inlineStr">
        <is>
          <t>Potential Leader</t>
        </is>
      </c>
      <c r="J19" s="18" t="inlineStr">
        <is>
          <t>media</t>
        </is>
      </c>
      <c r="K19" s="16" t="n">
        <v>4</v>
      </c>
      <c r="L19" s="16" t="n">
        <v>5</v>
      </c>
      <c r="M19" s="21" t="inlineStr">
        <is>
          <t>-20.0%</t>
        </is>
      </c>
    </row>
    <row r="20">
      <c r="A20" s="16" t="n">
        <v>15</v>
      </c>
      <c r="B20" s="17" t="n">
        <v>288</v>
      </c>
      <c r="C20" s="17" t="inlineStr">
        <is>
          <t>WELINV</t>
        </is>
      </c>
      <c r="D20" s="18" t="inlineStr">
        <is>
          <t>Welspun Investments And Commercials Limited</t>
        </is>
      </c>
      <c r="E20" s="18" t="inlineStr">
        <is>
          <t>financials</t>
        </is>
      </c>
      <c r="F20" s="16" t="n">
        <v>33</v>
      </c>
      <c r="G20" s="19" t="n">
        <v>905.58</v>
      </c>
      <c r="H20" s="18" t="inlineStr">
        <is>
          <t>Potential Leader</t>
        </is>
      </c>
      <c r="J20" s="18" t="inlineStr">
        <is>
          <t>transportation</t>
        </is>
      </c>
      <c r="K20" s="16" t="n">
        <v>39</v>
      </c>
      <c r="L20" s="16" t="n">
        <v>52</v>
      </c>
      <c r="M20" s="21" t="inlineStr">
        <is>
          <t>-25.0%</t>
        </is>
      </c>
    </row>
    <row r="21">
      <c r="A21" s="16" t="n">
        <v>16</v>
      </c>
      <c r="B21" s="17" t="n">
        <v>282</v>
      </c>
      <c r="C21" s="17" t="inlineStr">
        <is>
          <t>INDORAMA</t>
        </is>
      </c>
      <c r="D21" s="18" t="inlineStr">
        <is>
          <t>Indo Rama Synthetics (india) Limited</t>
        </is>
      </c>
      <c r="E21" s="18" t="inlineStr">
        <is>
          <t>textiles</t>
        </is>
      </c>
      <c r="F21" s="16" t="n">
        <v>32</v>
      </c>
      <c r="G21" s="19" t="n">
        <v>2501.73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SOLARA</t>
        </is>
      </c>
      <c r="D22" s="18" t="inlineStr">
        <is>
          <t>Solara Active Pharma Sciences Ltd</t>
        </is>
      </c>
      <c r="E22" s="18" t="inlineStr">
        <is>
          <t>healthcare</t>
        </is>
      </c>
      <c r="F22" s="16" t="n">
        <v>32</v>
      </c>
      <c r="G22" s="19" t="n">
        <v>3448.87</v>
      </c>
      <c r="H22" s="18" t="inlineStr">
        <is>
          <t>Potential Leader</t>
        </is>
      </c>
    </row>
    <row r="23">
      <c r="A23" s="16" t="n">
        <v>18</v>
      </c>
      <c r="B23" s="17" t="n">
        <v>276</v>
      </c>
      <c r="C23" s="17" t="inlineStr">
        <is>
          <t>BHAGERIA</t>
        </is>
      </c>
      <c r="D23" s="18" t="inlineStr">
        <is>
          <t>Bhageria Industries Limited</t>
        </is>
      </c>
      <c r="E23" s="18" t="inlineStr">
        <is>
          <t>chemicals</t>
        </is>
      </c>
      <c r="F23" s="16" t="n">
        <v>31</v>
      </c>
      <c r="G23" s="19" t="n">
        <v>1667.43</v>
      </c>
      <c r="H23" s="18" t="inlineStr">
        <is>
          <t>Potential Leader</t>
        </is>
      </c>
    </row>
    <row r="24">
      <c r="A24" s="16" t="n">
        <v>19</v>
      </c>
      <c r="B24" s="17" t="n">
        <v>276</v>
      </c>
      <c r="C24" s="17" t="inlineStr">
        <is>
          <t>QUADFUTURE</t>
        </is>
      </c>
      <c r="D24" s="18" t="inlineStr">
        <is>
          <t>Quadrant Future Tek Ltd</t>
        </is>
      </c>
      <c r="E24" s="18" t="inlineStr">
        <is>
          <t>industrials</t>
        </is>
      </c>
      <c r="F24" s="16" t="n">
        <v>31</v>
      </c>
      <c r="G24" s="19" t="n">
        <v>2125.6</v>
      </c>
      <c r="H24" s="18" t="inlineStr">
        <is>
          <t>Potential Leader</t>
        </is>
      </c>
    </row>
    <row r="25">
      <c r="A25" s="16" t="n">
        <v>20</v>
      </c>
      <c r="B25" s="17" t="n">
        <v>276</v>
      </c>
      <c r="C25" s="17" t="inlineStr">
        <is>
          <t>TBZ</t>
        </is>
      </c>
      <c r="D25" s="18" t="inlineStr">
        <is>
          <t>Tribhovandas Bhimji Zaveri Limited</t>
        </is>
      </c>
      <c r="E25" s="18" t="inlineStr">
        <is>
          <t>consumer discretionary</t>
        </is>
      </c>
      <c r="F25" s="16" t="n">
        <v>31</v>
      </c>
      <c r="G25" s="19" t="n">
        <v>4160.32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SHIVALIK</t>
        </is>
      </c>
      <c r="B30" s="18" t="inlineStr">
        <is>
          <t>Shivalik Rasayan Ltd</t>
        </is>
      </c>
      <c r="C30" s="18" t="inlineStr">
        <is>
          <t>chemicals</t>
        </is>
      </c>
      <c r="D30" s="16" t="n">
        <v>10</v>
      </c>
      <c r="E30" s="16" t="n">
        <v>0</v>
      </c>
      <c r="F30" s="19" t="n">
        <v>631.76</v>
      </c>
      <c r="J30" s="17" t="inlineStr">
        <is>
          <t>RPTECH</t>
        </is>
      </c>
      <c r="K30" s="18" t="inlineStr">
        <is>
          <t>i.t</t>
        </is>
      </c>
      <c r="L30" s="19" t="n">
        <v>295</v>
      </c>
      <c r="M30" s="19" t="n">
        <v>6281.23</v>
      </c>
      <c r="N30" s="16" t="n">
        <v>11</v>
      </c>
    </row>
    <row r="31">
      <c r="A31" s="17" t="inlineStr">
        <is>
          <t>SUNDROP</t>
        </is>
      </c>
      <c r="B31" s="18" t="inlineStr">
        <is>
          <t>Sundrop Brands Ltd</t>
        </is>
      </c>
      <c r="C31" s="18" t="inlineStr">
        <is>
          <t>fmcg</t>
        </is>
      </c>
      <c r="D31" s="16" t="n">
        <v>10</v>
      </c>
      <c r="E31" s="16" t="n">
        <v>0</v>
      </c>
      <c r="F31" s="19" t="n">
        <v>2839.14</v>
      </c>
      <c r="J31" s="17" t="inlineStr">
        <is>
          <t>KINGFA</t>
        </is>
      </c>
      <c r="K31" s="18" t="inlineStr">
        <is>
          <t>plastic products</t>
        </is>
      </c>
      <c r="L31" s="19" t="n">
        <v>290</v>
      </c>
      <c r="M31" s="19" t="n">
        <v>8925.620000000001</v>
      </c>
      <c r="N31" s="16" t="n">
        <v>26</v>
      </c>
    </row>
    <row r="32">
      <c r="A32" s="17" t="inlineStr">
        <is>
          <t>GESHIP</t>
        </is>
      </c>
      <c r="B32" s="18" t="inlineStr">
        <is>
          <t>The Great Eastern Shipping Company Limited</t>
        </is>
      </c>
      <c r="C32" s="18" t="inlineStr">
        <is>
          <t>transportation</t>
        </is>
      </c>
      <c r="D32" s="16" t="n">
        <v>10</v>
      </c>
      <c r="E32" s="16" t="n">
        <v>1</v>
      </c>
      <c r="F32" s="19" t="n">
        <v>21851.94</v>
      </c>
      <c r="J32" s="17" t="inlineStr">
        <is>
          <t>PGIL</t>
        </is>
      </c>
      <c r="K32" s="18" t="inlineStr">
        <is>
          <t>readymade garments/apparels</t>
        </is>
      </c>
      <c r="L32" s="19" t="n">
        <v>290</v>
      </c>
      <c r="M32" s="19" t="n">
        <v>11667.73</v>
      </c>
      <c r="N32" s="16" t="n">
        <v>17</v>
      </c>
    </row>
    <row r="33">
      <c r="A33" s="17" t="inlineStr">
        <is>
          <t>TEXRAIL</t>
        </is>
      </c>
      <c r="B33" s="18" t="inlineStr">
        <is>
          <t>Texmaco Rail &amp; Engineering Limited</t>
        </is>
      </c>
      <c r="C33" s="18" t="inlineStr">
        <is>
          <t>industrials</t>
        </is>
      </c>
      <c r="D33" s="16" t="n">
        <v>8</v>
      </c>
      <c r="E33" s="16" t="n">
        <v>0</v>
      </c>
      <c r="F33" s="19" t="n">
        <v>5161.48</v>
      </c>
      <c r="J33" s="17" t="inlineStr">
        <is>
          <t>BLUSPRING</t>
        </is>
      </c>
      <c r="K33" s="18" t="inlineStr">
        <is>
          <t>miscellaneous</t>
        </is>
      </c>
      <c r="L33" s="19" t="n">
        <v>288</v>
      </c>
      <c r="M33" s="19" t="n">
        <v>2209.04</v>
      </c>
      <c r="N33" s="16" t="n">
        <v>20</v>
      </c>
    </row>
    <row r="34">
      <c r="A34" s="17" t="inlineStr">
        <is>
          <t>SHARDAMOTR</t>
        </is>
      </c>
      <c r="B34" s="18" t="inlineStr">
        <is>
          <t>Sharda Motor Industries Limited</t>
        </is>
      </c>
      <c r="C34" s="18" t="inlineStr">
        <is>
          <t>Consumer Cyclical</t>
        </is>
      </c>
      <c r="D34" s="16" t="n">
        <v>7</v>
      </c>
      <c r="E34" s="16" t="n">
        <v>2</v>
      </c>
      <c r="F34" s="19" t="n">
        <v>5358.15</v>
      </c>
      <c r="J34" s="17" t="inlineStr">
        <is>
          <t>SMCGLOBAL</t>
        </is>
      </c>
      <c r="K34" s="18" t="inlineStr">
        <is>
          <t>financials</t>
        </is>
      </c>
      <c r="L34" s="19" t="n">
        <v>287</v>
      </c>
      <c r="M34" s="19" t="n">
        <v>2074.32</v>
      </c>
      <c r="N34" s="16" t="n">
        <v>16</v>
      </c>
    </row>
    <row r="35">
      <c r="A35" s="17" t="inlineStr">
        <is>
          <t>DELTACORP</t>
        </is>
      </c>
      <c r="B35" s="18" t="inlineStr">
        <is>
          <t>Delta Corp Limited</t>
        </is>
      </c>
      <c r="C35" s="18" t="inlineStr">
        <is>
          <t>miscellaneous</t>
        </is>
      </c>
      <c r="D35" s="16" t="n">
        <v>7</v>
      </c>
      <c r="E35" s="16" t="n">
        <v>0</v>
      </c>
      <c r="F35" s="19" t="n">
        <v>1967.58</v>
      </c>
      <c r="J35" s="17" t="inlineStr">
        <is>
          <t>WELINV</t>
        </is>
      </c>
      <c r="K35" s="18" t="inlineStr">
        <is>
          <t>financials</t>
        </is>
      </c>
      <c r="L35" s="19" t="n">
        <v>285</v>
      </c>
      <c r="M35" s="19" t="n">
        <v>905.58</v>
      </c>
      <c r="N35" s="16" t="n">
        <v>30</v>
      </c>
    </row>
    <row r="36">
      <c r="A36" s="17" t="inlineStr">
        <is>
          <t>DHARMAJ</t>
        </is>
      </c>
      <c r="B36" s="18" t="inlineStr">
        <is>
          <t>Dharmaj Crop Guard Limited</t>
        </is>
      </c>
      <c r="C36" s="18" t="inlineStr">
        <is>
          <t>Basic Materials</t>
        </is>
      </c>
      <c r="D36" s="16" t="n">
        <v>6</v>
      </c>
      <c r="E36" s="16" t="n">
        <v>0</v>
      </c>
      <c r="F36" s="19" t="n">
        <v>896.47</v>
      </c>
      <c r="J36" s="17" t="inlineStr">
        <is>
          <t>TBZ</t>
        </is>
      </c>
      <c r="K36" s="18" t="inlineStr">
        <is>
          <t>consumer discretionary</t>
        </is>
      </c>
      <c r="L36" s="19" t="n">
        <v>285</v>
      </c>
      <c r="M36" s="19" t="n">
        <v>4160.32</v>
      </c>
      <c r="N36" s="16" t="n">
        <v>30</v>
      </c>
    </row>
    <row r="37">
      <c r="A37" s="17" t="inlineStr">
        <is>
          <t>BANDHANBNK</t>
        </is>
      </c>
      <c r="B37" s="18" t="inlineStr">
        <is>
          <t>Bandhan Bank Limited</t>
        </is>
      </c>
      <c r="C37" s="18" t="inlineStr">
        <is>
          <t>Financial Services</t>
        </is>
      </c>
      <c r="D37" s="16" t="n">
        <v>6</v>
      </c>
      <c r="E37" s="16" t="n">
        <v>1</v>
      </c>
      <c r="F37" s="19" t="n">
        <v>28356.2</v>
      </c>
      <c r="J37" s="17" t="inlineStr">
        <is>
          <t>MODISONLTD</t>
        </is>
      </c>
      <c r="K37" s="18" t="inlineStr">
        <is>
          <t>industrials</t>
        </is>
      </c>
      <c r="L37" s="19" t="n">
        <v>285</v>
      </c>
      <c r="M37" s="19" t="n">
        <v>1577.23</v>
      </c>
      <c r="N37" s="16" t="n">
        <v>25</v>
      </c>
    </row>
    <row r="38">
      <c r="A38" s="17" t="inlineStr">
        <is>
          <t>SATIA</t>
        </is>
      </c>
      <c r="B38" s="18" t="inlineStr">
        <is>
          <t>Satia Industries Ltd</t>
        </is>
      </c>
      <c r="C38" s="18" t="inlineStr">
        <is>
          <t>building materials</t>
        </is>
      </c>
      <c r="D38" s="16" t="n">
        <v>5</v>
      </c>
      <c r="E38" s="16" t="n">
        <v>0</v>
      </c>
      <c r="F38" s="19" t="n">
        <v>683.4</v>
      </c>
      <c r="J38" s="17" t="inlineStr">
        <is>
          <t>KANORICHEM</t>
        </is>
      </c>
      <c r="K38" s="18" t="inlineStr">
        <is>
          <t>chemicals</t>
        </is>
      </c>
      <c r="L38" s="19" t="n">
        <v>283</v>
      </c>
      <c r="M38" s="19" t="n">
        <v>825.89</v>
      </c>
      <c r="N38" s="16" t="n">
        <v>29</v>
      </c>
    </row>
    <row r="39">
      <c r="A39" s="17" t="inlineStr">
        <is>
          <t>SUNTV</t>
        </is>
      </c>
      <c r="B39" s="18" t="inlineStr">
        <is>
          <t>Sun Tv Network Limited</t>
        </is>
      </c>
      <c r="C39" s="18" t="inlineStr">
        <is>
          <t>media</t>
        </is>
      </c>
      <c r="D39" s="16" t="n">
        <v>4</v>
      </c>
      <c r="E39" s="16" t="n">
        <v>0</v>
      </c>
      <c r="F39" s="19" t="n">
        <v>23641.14</v>
      </c>
      <c r="J39" s="17" t="inlineStr">
        <is>
          <t>SPECIALITY</t>
        </is>
      </c>
      <c r="K39" s="18" t="inlineStr">
        <is>
          <t>services</t>
        </is>
      </c>
      <c r="L39" s="19" t="n">
        <v>283</v>
      </c>
      <c r="M39" s="19" t="n">
        <v>740.42</v>
      </c>
      <c r="N39" s="16" t="n">
        <v>13</v>
      </c>
    </row>
    <row r="40">
      <c r="A40" s="17" t="inlineStr">
        <is>
          <t>ALICON</t>
        </is>
      </c>
      <c r="B40" s="18" t="inlineStr">
        <is>
          <t>Alicon Castalloy Limited</t>
        </is>
      </c>
      <c r="C40" s="18" t="inlineStr">
        <is>
          <t>castings, forgings &amp; fasteners</t>
        </is>
      </c>
      <c r="D40" s="16" t="n">
        <v>3</v>
      </c>
      <c r="E40" s="16" t="n">
        <v>0</v>
      </c>
      <c r="F40" s="19" t="n">
        <v>1431.03</v>
      </c>
      <c r="J40" s="17" t="inlineStr">
        <is>
          <t>KRONOX</t>
        </is>
      </c>
      <c r="K40" s="18" t="inlineStr">
        <is>
          <t>chemicals</t>
        </is>
      </c>
      <c r="L40" s="19" t="n">
        <v>283</v>
      </c>
      <c r="M40" s="19" t="n">
        <v>763.49</v>
      </c>
      <c r="N40" s="16" t="n">
        <v>15</v>
      </c>
    </row>
    <row r="41">
      <c r="A41" s="17" t="inlineStr">
        <is>
          <t>MANINFRA</t>
        </is>
      </c>
      <c r="B41" s="18" t="inlineStr">
        <is>
          <t>Man Infraconstruction Limited</t>
        </is>
      </c>
      <c r="C41" s="18" t="inlineStr">
        <is>
          <t>Industrials</t>
        </is>
      </c>
      <c r="D41" s="16" t="n">
        <v>3</v>
      </c>
      <c r="E41" s="16" t="n">
        <v>0</v>
      </c>
      <c r="F41" s="19" t="n">
        <v>4947.37</v>
      </c>
      <c r="J41" s="17" t="inlineStr">
        <is>
          <t>NRL</t>
        </is>
      </c>
      <c r="K41" s="18" t="inlineStr">
        <is>
          <t>services</t>
        </is>
      </c>
      <c r="L41" s="19" t="n">
        <v>280</v>
      </c>
      <c r="M41" s="19" t="n">
        <v>1081.69</v>
      </c>
      <c r="N41" s="16" t="n">
        <v>27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95.01000000000001</v>
      </c>
      <c r="D47" s="28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4160.32</v>
      </c>
    </row>
    <row r="48">
      <c r="A48" s="16" t="n">
        <v>2</v>
      </c>
      <c r="B48" s="27" t="n">
        <v>98</v>
      </c>
      <c r="C48" s="28" t="n">
        <v>90.06</v>
      </c>
      <c r="D48" s="28" t="n">
        <v>260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20406.84</v>
      </c>
    </row>
    <row r="49">
      <c r="A49" s="16" t="n">
        <v>3</v>
      </c>
      <c r="B49" s="27" t="n">
        <v>98</v>
      </c>
      <c r="C49" s="28" t="n">
        <v>81.33</v>
      </c>
      <c r="D49" s="28" t="n">
        <v>260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2389.79</v>
      </c>
    </row>
    <row r="50">
      <c r="A50" s="16" t="n">
        <v>4</v>
      </c>
      <c r="B50" s="27" t="n">
        <v>97</v>
      </c>
      <c r="C50" s="28" t="n">
        <v>74.56999999999999</v>
      </c>
      <c r="D50" s="28" t="n">
        <v>258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2676.47</v>
      </c>
    </row>
    <row r="51">
      <c r="A51" s="16" t="n">
        <v>5</v>
      </c>
      <c r="B51" s="27" t="n">
        <v>97</v>
      </c>
      <c r="C51" s="28" t="n">
        <v>56.93</v>
      </c>
      <c r="D51" s="28" t="n">
        <v>275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7327.24</v>
      </c>
    </row>
    <row r="52">
      <c r="A52" s="16" t="n">
        <v>6</v>
      </c>
      <c r="B52" s="27" t="n">
        <v>96</v>
      </c>
      <c r="C52" s="28" t="n">
        <v>53.6</v>
      </c>
      <c r="D52" s="28" t="n">
        <v>277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3436.29</v>
      </c>
    </row>
    <row r="53">
      <c r="A53" s="16" t="n">
        <v>7</v>
      </c>
      <c r="B53" s="27" t="n">
        <v>95</v>
      </c>
      <c r="C53" s="28" t="n">
        <v>51.08</v>
      </c>
      <c r="D53" s="28" t="n">
        <v>265</v>
      </c>
      <c r="E53" s="17" t="inlineStr">
        <is>
          <t>SPECTRUM</t>
        </is>
      </c>
      <c r="F53" s="18" t="inlineStr">
        <is>
          <t>Spectrum Electrical Industries Ltd</t>
        </is>
      </c>
      <c r="G53" s="18" t="inlineStr">
        <is>
          <t>industrials</t>
        </is>
      </c>
      <c r="H53" s="19" t="n">
        <v>6584.48</v>
      </c>
    </row>
    <row r="54">
      <c r="A54" s="16" t="n">
        <v>8</v>
      </c>
      <c r="B54" s="27" t="n">
        <v>95</v>
      </c>
      <c r="C54" s="28" t="n">
        <v>49.9</v>
      </c>
      <c r="D54" s="28" t="n">
        <v>275</v>
      </c>
      <c r="E54" s="17" t="inlineStr">
        <is>
          <t>AHCL</t>
        </is>
      </c>
      <c r="F54" s="18" t="inlineStr">
        <is>
          <t>Anlon Healthcare Ltd</t>
        </is>
      </c>
      <c r="G54" s="18" t="inlineStr">
        <is>
          <t>healthcare</t>
        </is>
      </c>
      <c r="H54" s="19" t="n">
        <v>1746.56</v>
      </c>
    </row>
    <row r="55">
      <c r="A55" s="16" t="n">
        <v>9</v>
      </c>
      <c r="B55" s="29" t="n">
        <v>94</v>
      </c>
      <c r="C55" s="28" t="n">
        <v>48.74</v>
      </c>
      <c r="D55" s="28" t="n">
        <v>285</v>
      </c>
      <c r="E55" s="17" t="inlineStr">
        <is>
          <t>MODISONLTD</t>
        </is>
      </c>
      <c r="F55" s="18" t="inlineStr">
        <is>
          <t>Modison Ltd</t>
        </is>
      </c>
      <c r="G55" s="18" t="inlineStr">
        <is>
          <t>industrials</t>
        </is>
      </c>
      <c r="H55" s="19" t="n">
        <v>1577.23</v>
      </c>
    </row>
    <row r="56">
      <c r="A56" s="16" t="n">
        <v>10</v>
      </c>
      <c r="B56" s="29" t="n">
        <v>94</v>
      </c>
      <c r="C56" s="28" t="n">
        <v>48.17</v>
      </c>
      <c r="D56" s="28" t="n">
        <v>267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7331.49</v>
      </c>
    </row>
    <row r="57">
      <c r="A57" s="16" t="n">
        <v>11</v>
      </c>
      <c r="B57" s="29" t="n">
        <v>93</v>
      </c>
      <c r="C57" s="28" t="n">
        <v>47.26</v>
      </c>
      <c r="D57" s="28" t="n">
        <v>240</v>
      </c>
      <c r="E57" s="17" t="inlineStr">
        <is>
          <t>SVRL</t>
        </is>
      </c>
      <c r="F57" s="18" t="inlineStr">
        <is>
          <t>Shri Venkatesh Refineries Limited</t>
        </is>
      </c>
      <c r="G57" s="18" t="inlineStr">
        <is>
          <t>Consumer Defensive</t>
        </is>
      </c>
      <c r="H57" s="19" t="n">
        <v>1507.43</v>
      </c>
    </row>
    <row r="58">
      <c r="A58" s="16" t="n">
        <v>12</v>
      </c>
      <c r="B58" s="29" t="n">
        <v>92</v>
      </c>
      <c r="C58" s="28" t="n">
        <v>46.7</v>
      </c>
      <c r="D58" s="28" t="n">
        <v>278</v>
      </c>
      <c r="E58" s="17" t="inlineStr">
        <is>
          <t>SWANDEF</t>
        </is>
      </c>
      <c r="F58" s="18" t="inlineStr">
        <is>
          <t>Swan Defence and Heavy Industries Ltd</t>
        </is>
      </c>
      <c r="G58" s="18" t="inlineStr">
        <is>
          <t>transportation</t>
        </is>
      </c>
      <c r="H58" s="19" t="n">
        <v>14320.06</v>
      </c>
    </row>
    <row r="59">
      <c r="A59" s="16" t="n">
        <v>13</v>
      </c>
      <c r="B59" s="29" t="n">
        <v>92</v>
      </c>
      <c r="C59" s="28" t="n">
        <v>44.19</v>
      </c>
      <c r="D59" s="28" t="n">
        <v>260</v>
      </c>
      <c r="E59" s="17" t="inlineStr">
        <is>
          <t>RAYMOND</t>
        </is>
      </c>
      <c r="F59" s="18" t="inlineStr">
        <is>
          <t>Raymond Limited</t>
        </is>
      </c>
      <c r="G59" s="18" t="inlineStr">
        <is>
          <t>transportation</t>
        </is>
      </c>
      <c r="H59" s="19" t="n">
        <v>7970.21</v>
      </c>
    </row>
    <row r="60">
      <c r="A60" s="16" t="n">
        <v>14</v>
      </c>
      <c r="B60" s="29" t="n">
        <v>91</v>
      </c>
      <c r="C60" s="28" t="n">
        <v>42.19</v>
      </c>
      <c r="D60" s="28" t="n">
        <v>272</v>
      </c>
      <c r="E60" s="17" t="inlineStr">
        <is>
          <t>SHILPAMED</t>
        </is>
      </c>
      <c r="F60" s="18" t="inlineStr">
        <is>
          <t>Shilpa Medicare Limited</t>
        </is>
      </c>
      <c r="G60" s="18" t="inlineStr">
        <is>
          <t>healthcare</t>
        </is>
      </c>
      <c r="H60" s="19" t="n">
        <v>20811.86</v>
      </c>
    </row>
    <row r="61">
      <c r="A61" s="16" t="n">
        <v>15</v>
      </c>
      <c r="B61" s="29" t="n">
        <v>90</v>
      </c>
      <c r="C61" s="28" t="n">
        <v>41.47</v>
      </c>
      <c r="D61" s="28" t="n">
        <v>260</v>
      </c>
      <c r="E61" s="17" t="inlineStr">
        <is>
          <t>BAFNAPH</t>
        </is>
      </c>
      <c r="F61" s="18" t="inlineStr">
        <is>
          <t>Bafna Pharmaceuticals Ltd</t>
        </is>
      </c>
      <c r="G61" s="18" t="inlineStr">
        <is>
          <t>healthcare</t>
        </is>
      </c>
      <c r="H61" s="19" t="n">
        <v>895.98</v>
      </c>
    </row>
    <row r="62">
      <c r="A62" s="16" t="n">
        <v>16</v>
      </c>
      <c r="B62" s="29" t="n">
        <v>90</v>
      </c>
      <c r="C62" s="28" t="n">
        <v>41.36</v>
      </c>
      <c r="D62" s="28" t="n">
        <v>282</v>
      </c>
      <c r="E62" s="17" t="inlineStr">
        <is>
          <t>KPL</t>
        </is>
      </c>
      <c r="F62" s="18" t="inlineStr">
        <is>
          <t>Kwality Pharmaceuticals Limited</t>
        </is>
      </c>
      <c r="G62" s="18" t="inlineStr">
        <is>
          <t>Healthcare</t>
        </is>
      </c>
      <c r="H62" s="19" t="n">
        <v>3738.03</v>
      </c>
    </row>
    <row r="6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LOKESHMACH</t>
        </is>
      </c>
      <c r="B2" s="31" t="inlineStr">
        <is>
          <t>Lokesh Machines Limited</t>
        </is>
      </c>
      <c r="C2" s="31" t="inlineStr">
        <is>
          <t>industrials</t>
        </is>
      </c>
      <c r="D2" s="31" t="inlineStr">
        <is>
          <t>engineering</t>
        </is>
      </c>
      <c r="E2" s="31" t="inlineStr">
        <is>
          <t>smallcap</t>
        </is>
      </c>
      <c r="F2" s="31" t="n">
        <v>873.61</v>
      </c>
      <c r="G2" s="31" t="n">
        <v>400.8</v>
      </c>
      <c r="H2" s="31" t="n">
        <v>9.539999999999999</v>
      </c>
      <c r="I2" s="31" t="n">
        <v>991506</v>
      </c>
      <c r="J2" s="31" t="inlineStr">
        <is>
          <t>532740</t>
        </is>
      </c>
    </row>
    <row r="3">
      <c r="A3" s="31" t="inlineStr">
        <is>
          <t>MOREPENLAB</t>
        </is>
      </c>
      <c r="B3" s="31" t="inlineStr">
        <is>
          <t>Morepen Laboratories Limited</t>
        </is>
      </c>
      <c r="C3" s="31" t="inlineStr">
        <is>
          <t>healthcare</t>
        </is>
      </c>
      <c r="D3" s="31" t="inlineStr">
        <is>
          <t>pharmaceuticals - indian - bulk drugs &amp; formln</t>
        </is>
      </c>
      <c r="E3" s="31" t="inlineStr">
        <is>
          <t>midcap</t>
        </is>
      </c>
      <c r="F3" s="31" t="n">
        <v>7327.24</v>
      </c>
      <c r="G3" s="31" t="n">
        <v>133.72</v>
      </c>
      <c r="H3" s="31" t="n">
        <v>6.14</v>
      </c>
      <c r="I3" s="31" t="n">
        <v>37973409</v>
      </c>
      <c r="J3" s="31" t="inlineStr">
        <is>
          <t>500288</t>
        </is>
      </c>
    </row>
    <row r="4">
      <c r="A4" s="31" t="inlineStr">
        <is>
          <t>SCHNEIDER</t>
        </is>
      </c>
      <c r="B4" s="31" t="inlineStr">
        <is>
          <t>Schneider Electric Infrastructure Limited</t>
        </is>
      </c>
      <c r="C4" s="31" t="inlineStr">
        <is>
          <t>industrials</t>
        </is>
      </c>
      <c r="D4" s="31" t="inlineStr">
        <is>
          <t>electric equipment</t>
        </is>
      </c>
      <c r="E4" s="31" t="inlineStr">
        <is>
          <t>largecap</t>
        </is>
      </c>
      <c r="F4" s="31" t="n">
        <v>30495.33</v>
      </c>
      <c r="G4" s="31" t="n">
        <v>1275.4</v>
      </c>
      <c r="H4" s="31" t="n">
        <v>5.98</v>
      </c>
      <c r="I4" s="31" t="n">
        <v>1444982</v>
      </c>
      <c r="J4" s="31" t="inlineStr">
        <is>
          <t>534139</t>
        </is>
      </c>
    </row>
    <row r="5">
      <c r="A5" s="31" t="inlineStr">
        <is>
          <t>RAMRAT</t>
        </is>
      </c>
      <c r="B5" s="31" t="inlineStr">
        <is>
          <t>Ram Ratna Wires Ltd</t>
        </is>
      </c>
      <c r="C5" s="31" t="inlineStr">
        <is>
          <t>metals &amp; mining</t>
        </is>
      </c>
      <c r="D5" s="31" t="inlineStr">
        <is>
          <t>mining / minerals / metals</t>
        </is>
      </c>
      <c r="E5" s="31" t="inlineStr">
        <is>
          <t>midcap</t>
        </is>
      </c>
      <c r="F5" s="31" t="n">
        <v>5755.44</v>
      </c>
      <c r="G5" s="31" t="n">
        <v>616.55</v>
      </c>
      <c r="H5" s="31" t="n">
        <v>5.86</v>
      </c>
      <c r="I5" s="31" t="n">
        <v>1005993</v>
      </c>
      <c r="J5" s="31" t="inlineStr">
        <is>
          <t>522281</t>
        </is>
      </c>
    </row>
    <row r="6">
      <c r="A6" s="31" t="inlineStr">
        <is>
          <t>DIFFNKG</t>
        </is>
      </c>
      <c r="B6" s="31" t="inlineStr">
        <is>
          <t>Diffusion Engineers Ltd</t>
        </is>
      </c>
      <c r="C6" s="31" t="inlineStr">
        <is>
          <t>industrials</t>
        </is>
      </c>
      <c r="D6" s="31" t="inlineStr">
        <is>
          <t>electrodes - welding equipment</t>
        </is>
      </c>
      <c r="E6" s="31" t="inlineStr">
        <is>
          <t>smallcap</t>
        </is>
      </c>
      <c r="F6" s="31" t="n">
        <v>1738.08</v>
      </c>
      <c r="G6" s="31" t="n">
        <v>464.4</v>
      </c>
      <c r="H6" s="31" t="n">
        <v>5.85</v>
      </c>
      <c r="I6" s="31" t="n">
        <v>498520</v>
      </c>
      <c r="J6" s="31" t="inlineStr">
        <is>
          <t>544264</t>
        </is>
      </c>
    </row>
    <row r="7">
      <c r="A7" s="31" t="inlineStr">
        <is>
          <t>INOXINDIA</t>
        </is>
      </c>
      <c r="B7" s="31" t="inlineStr">
        <is>
          <t>Inox India Ltd</t>
        </is>
      </c>
      <c r="C7" s="31" t="inlineStr">
        <is>
          <t>industrials</t>
        </is>
      </c>
      <c r="D7" s="31" t="inlineStr">
        <is>
          <t>packaging</t>
        </is>
      </c>
      <c r="E7" s="31" t="inlineStr">
        <is>
          <t>midcap</t>
        </is>
      </c>
      <c r="F7" s="31" t="n">
        <v>19680.25</v>
      </c>
      <c r="G7" s="31" t="n">
        <v>2168.3</v>
      </c>
      <c r="H7" s="31" t="n">
        <v>5.64</v>
      </c>
      <c r="I7" s="31" t="n">
        <v>629630</v>
      </c>
      <c r="J7" s="31" t="inlineStr">
        <is>
          <t>544046</t>
        </is>
      </c>
    </row>
    <row r="8">
      <c r="A8" s="31" t="inlineStr">
        <is>
          <t>WELSPUNLIV</t>
        </is>
      </c>
      <c r="B8" s="31" t="inlineStr">
        <is>
          <t>Welspun Living Ltd</t>
        </is>
      </c>
      <c r="C8" s="31" t="inlineStr">
        <is>
          <t>textiles</t>
        </is>
      </c>
      <c r="D8" s="31" t="inlineStr">
        <is>
          <t>textiles - products</t>
        </is>
      </c>
      <c r="E8" s="31" t="inlineStr">
        <is>
          <t>largecap</t>
        </is>
      </c>
      <c r="F8" s="31" t="n">
        <v>22595.65</v>
      </c>
      <c r="G8" s="31" t="n">
        <v>239.17</v>
      </c>
      <c r="H8" s="31" t="n">
        <v>5.21</v>
      </c>
      <c r="I8" s="31" t="n">
        <v>22516675</v>
      </c>
      <c r="J8" s="31" t="inlineStr">
        <is>
          <t>514162</t>
        </is>
      </c>
    </row>
    <row r="9">
      <c r="A9" s="31" t="inlineStr">
        <is>
          <t>HFCL</t>
        </is>
      </c>
      <c r="B9" s="31" t="inlineStr">
        <is>
          <t>HFCL Ltd</t>
        </is>
      </c>
      <c r="C9" s="31" t="inlineStr">
        <is>
          <t>telecom</t>
        </is>
      </c>
      <c r="D9" s="31" t="inlineStr">
        <is>
          <t>cables - telephone</t>
        </is>
      </c>
      <c r="E9" s="31" t="inlineStr">
        <is>
          <t>largecap</t>
        </is>
      </c>
      <c r="F9" s="31" t="n">
        <v>36483.44</v>
      </c>
      <c r="G9" s="31" t="n">
        <v>238.36</v>
      </c>
      <c r="H9" s="31" t="n">
        <v>5</v>
      </c>
      <c r="I9" s="31" t="n">
        <v>23039457</v>
      </c>
      <c r="J9" s="31" t="inlineStr">
        <is>
          <t>500183</t>
        </is>
      </c>
    </row>
    <row r="10">
      <c r="A10" s="31" t="inlineStr">
        <is>
          <t>STLTECH</t>
        </is>
      </c>
      <c r="B10" s="31" t="inlineStr">
        <is>
          <t>Sterlite Technologies Limited</t>
        </is>
      </c>
      <c r="C10" s="31" t="inlineStr">
        <is>
          <t>industrials</t>
        </is>
      </c>
      <c r="D10" s="31" t="inlineStr">
        <is>
          <t>cables - telephone</t>
        </is>
      </c>
      <c r="E10" s="31" t="inlineStr">
        <is>
          <t>largecap</t>
        </is>
      </c>
      <c r="F10" s="31" t="n">
        <v>49095.07</v>
      </c>
      <c r="G10" s="31" t="n">
        <v>955.35</v>
      </c>
      <c r="H10" s="31" t="n">
        <v>5</v>
      </c>
      <c r="I10" s="31" t="n">
        <v>5594054</v>
      </c>
      <c r="J10" s="31" t="inlineStr">
        <is>
          <t>532374</t>
        </is>
      </c>
    </row>
    <row r="11">
      <c r="A11" s="31" t="inlineStr">
        <is>
          <t>NINSYS</t>
        </is>
      </c>
      <c r="B11" s="31" t="inlineStr">
        <is>
          <t>NINtec Systems Ltd</t>
        </is>
      </c>
      <c r="C11" s="31" t="inlineStr">
        <is>
          <t>i.t</t>
        </is>
      </c>
      <c r="D11" s="31" t="inlineStr">
        <is>
          <t>computers - software - medium / small</t>
        </is>
      </c>
      <c r="E11" s="31" t="inlineStr">
        <is>
          <t>smallcap</t>
        </is>
      </c>
      <c r="F11" s="31" t="n">
        <v>1494.72</v>
      </c>
      <c r="G11" s="31" t="n">
        <v>804.65</v>
      </c>
      <c r="H11" s="31" t="n">
        <v>5</v>
      </c>
      <c r="I11" s="31" t="n">
        <v>18078</v>
      </c>
      <c r="J11" s="31" t="inlineStr">
        <is>
          <t>539843</t>
        </is>
      </c>
    </row>
    <row r="12">
      <c r="A12" s="31" t="inlineStr">
        <is>
          <t>MODISONLTD</t>
        </is>
      </c>
      <c r="B12" s="31" t="inlineStr">
        <is>
          <t>Modison Ltd</t>
        </is>
      </c>
      <c r="C12" s="31" t="inlineStr">
        <is>
          <t>industrials</t>
        </is>
      </c>
      <c r="D12" s="31" t="inlineStr">
        <is>
          <t>electric equipment</t>
        </is>
      </c>
      <c r="E12" s="31" t="inlineStr">
        <is>
          <t>smallcap</t>
        </is>
      </c>
      <c r="F12" s="31" t="n">
        <v>1577.23</v>
      </c>
      <c r="G12" s="31" t="n">
        <v>486.05</v>
      </c>
      <c r="H12" s="31" t="n">
        <v>4.99</v>
      </c>
      <c r="I12" s="31" t="n">
        <v>96311</v>
      </c>
      <c r="J12" s="31" t="inlineStr">
        <is>
          <t>506261</t>
        </is>
      </c>
    </row>
    <row r="13">
      <c r="A13" s="31" t="inlineStr">
        <is>
          <t>SIGMAADV</t>
        </is>
      </c>
      <c r="B13" s="31" t="inlineStr">
        <is>
          <t>Sigma Advanced System Ltd</t>
        </is>
      </c>
      <c r="C13" s="31" t="inlineStr">
        <is>
          <t>aerospace &amp; defence</t>
        </is>
      </c>
      <c r="D13" s="31" t="inlineStr">
        <is>
          <t>electronics - components</t>
        </is>
      </c>
      <c r="E13" s="31" t="inlineStr">
        <is>
          <t>largecap</t>
        </is>
      </c>
      <c r="F13" s="31" t="n">
        <v>20406.84</v>
      </c>
      <c r="G13" s="31" t="n">
        <v>1076.9</v>
      </c>
      <c r="H13" s="31" t="n">
        <v>4.99</v>
      </c>
      <c r="I13" s="31" t="n">
        <v>542861</v>
      </c>
      <c r="J13" s="31" t="inlineStr">
        <is>
          <t>532408</t>
        </is>
      </c>
    </row>
    <row r="14">
      <c r="A14" s="31" t="inlineStr">
        <is>
          <t>VALIANTORG</t>
        </is>
      </c>
      <c r="B14" s="31" t="inlineStr">
        <is>
          <t>Valiant Organics Ltd</t>
        </is>
      </c>
      <c r="C14" s="31" t="inlineStr">
        <is>
          <t>chemicals</t>
        </is>
      </c>
      <c r="D14" s="31" t="inlineStr">
        <is>
          <t>chemicals</t>
        </is>
      </c>
      <c r="E14" s="31" t="inlineStr">
        <is>
          <t>smallcap</t>
        </is>
      </c>
      <c r="F14" s="31" t="n">
        <v>1337.67</v>
      </c>
      <c r="G14" s="31" t="n">
        <v>477.15</v>
      </c>
      <c r="H14" s="31" t="n">
        <v>4.85</v>
      </c>
      <c r="I14" s="31" t="n">
        <v>551682</v>
      </c>
      <c r="J14" s="31" t="inlineStr">
        <is>
          <t>540145</t>
        </is>
      </c>
    </row>
    <row r="15">
      <c r="A15" s="31" t="inlineStr">
        <is>
          <t>SMCGLOBAL</t>
        </is>
      </c>
      <c r="B15" s="31" t="inlineStr">
        <is>
          <t>SMC Global Securities Ltd</t>
        </is>
      </c>
      <c r="C15" s="31" t="inlineStr">
        <is>
          <t>financials</t>
        </is>
      </c>
      <c r="D15" s="31" t="inlineStr">
        <is>
          <t>finance &amp; investments</t>
        </is>
      </c>
      <c r="E15" s="31" t="inlineStr">
        <is>
          <t>smallcap</t>
        </is>
      </c>
      <c r="F15" s="31" t="n">
        <v>2074.32</v>
      </c>
      <c r="G15" s="31" t="n">
        <v>99.06</v>
      </c>
      <c r="H15" s="31" t="n">
        <v>4.85</v>
      </c>
      <c r="I15" s="31" t="n">
        <v>9500246</v>
      </c>
      <c r="J15" s="31" t="inlineStr">
        <is>
          <t>543263</t>
        </is>
      </c>
    </row>
    <row r="16">
      <c r="A16" s="31" t="inlineStr">
        <is>
          <t>HEG</t>
        </is>
      </c>
      <c r="B16" s="31" t="inlineStr">
        <is>
          <t>Heg Limited</t>
        </is>
      </c>
      <c r="C16" s="31" t="inlineStr">
        <is>
          <t>industrials</t>
        </is>
      </c>
      <c r="D16" s="31" t="inlineStr">
        <is>
          <t>electrodes - graphites</t>
        </is>
      </c>
      <c r="E16" s="31" t="inlineStr">
        <is>
          <t>midcap</t>
        </is>
      </c>
      <c r="F16" s="31" t="n">
        <v>8195.5</v>
      </c>
      <c r="G16" s="31" t="n">
        <v>248.5</v>
      </c>
      <c r="H16" s="31" t="n">
        <v>4.83</v>
      </c>
      <c r="I16" s="31" t="n">
        <v>16318026</v>
      </c>
      <c r="J16" s="31" t="inlineStr">
        <is>
          <t>509631</t>
        </is>
      </c>
    </row>
    <row r="17">
      <c r="A17" s="31" t="inlineStr">
        <is>
          <t>BOSCH-HCIL</t>
        </is>
      </c>
      <c r="B17" s="31" t="inlineStr">
        <is>
          <t>Bosch Home Comfort India Ltd</t>
        </is>
      </c>
      <c r="C17" s="31" t="inlineStr">
        <is>
          <t>consumer discretionary</t>
        </is>
      </c>
      <c r="D17" s="31" t="inlineStr">
        <is>
          <t>air-conditioners</t>
        </is>
      </c>
      <c r="E17" s="31" t="inlineStr">
        <is>
          <t>midcap</t>
        </is>
      </c>
      <c r="F17" s="31" t="n">
        <v>5348.99</v>
      </c>
      <c r="G17" s="31" t="n">
        <v>1967.2</v>
      </c>
      <c r="H17" s="31" t="n">
        <v>4.82</v>
      </c>
      <c r="I17" s="31" t="n">
        <v>127667</v>
      </c>
      <c r="J17" s="31" t="inlineStr">
        <is>
          <t>523398</t>
        </is>
      </c>
    </row>
    <row r="18">
      <c r="A18" s="31" t="inlineStr">
        <is>
          <t>PIXTRANS</t>
        </is>
      </c>
      <c r="B18" s="31" t="inlineStr">
        <is>
          <t>Pix Transmission Ltd</t>
        </is>
      </c>
      <c r="C18" s="31" t="inlineStr">
        <is>
          <t>fmcg</t>
        </is>
      </c>
      <c r="D18" s="31" t="inlineStr">
        <is>
          <t>miscellaneous</t>
        </is>
      </c>
      <c r="E18" s="31" t="inlineStr">
        <is>
          <t>smallcap</t>
        </is>
      </c>
      <c r="F18" s="31" t="n">
        <v>2465.21</v>
      </c>
      <c r="G18" s="31" t="n">
        <v>1809.3</v>
      </c>
      <c r="H18" s="31" t="n">
        <v>4.77</v>
      </c>
      <c r="I18" s="31" t="n">
        <v>1455118</v>
      </c>
      <c r="J18" s="31" t="inlineStr">
        <is>
          <t>500333</t>
        </is>
      </c>
    </row>
    <row r="19">
      <c r="A19" s="31" t="inlineStr">
        <is>
          <t>DPABHUSHAN</t>
        </is>
      </c>
      <c r="B19" s="31" t="inlineStr">
        <is>
          <t>D.P. Abhushan Ltd</t>
        </is>
      </c>
      <c r="C19" s="31" t="inlineStr">
        <is>
          <t>consumer discretionary</t>
        </is>
      </c>
      <c r="D19" s="31" t="inlineStr">
        <is>
          <t>diamond cutting / jewellery</t>
        </is>
      </c>
      <c r="E19" s="31" t="inlineStr">
        <is>
          <t>smallcap</t>
        </is>
      </c>
      <c r="F19" s="31" t="n">
        <v>4277.95</v>
      </c>
      <c r="G19" s="31" t="n">
        <v>1874</v>
      </c>
      <c r="H19" s="31" t="n">
        <v>4.76</v>
      </c>
      <c r="I19" s="31" t="n">
        <v>784999</v>
      </c>
      <c r="J19" s="31" t="inlineStr">
        <is>
          <t>535026</t>
        </is>
      </c>
    </row>
    <row r="20">
      <c r="A20" s="31" t="inlineStr">
        <is>
          <t>OPTIEMUS</t>
        </is>
      </c>
      <c r="B20" s="31" t="inlineStr">
        <is>
          <t>Optiemus Infracom Ltd</t>
        </is>
      </c>
      <c r="C20" s="31" t="inlineStr">
        <is>
          <t>telecom</t>
        </is>
      </c>
      <c r="D20" s="31" t="inlineStr">
        <is>
          <t>trading</t>
        </is>
      </c>
      <c r="E20" s="31" t="inlineStr">
        <is>
          <t>midcap</t>
        </is>
      </c>
      <c r="F20" s="31" t="n">
        <v>7246.68</v>
      </c>
      <c r="G20" s="31" t="n">
        <v>803.7</v>
      </c>
      <c r="H20" s="31" t="n">
        <v>4.68</v>
      </c>
      <c r="I20" s="31" t="n">
        <v>655634</v>
      </c>
      <c r="J20" s="31" t="inlineStr">
        <is>
          <t>530135</t>
        </is>
      </c>
    </row>
    <row r="21">
      <c r="A21" s="31" t="inlineStr">
        <is>
          <t>RATNAVEER</t>
        </is>
      </c>
      <c r="B21" s="31" t="inlineStr">
        <is>
          <t>Ratnaveer Precision Engineering Ltd</t>
        </is>
      </c>
      <c r="C21" s="31" t="inlineStr">
        <is>
          <t>metals &amp; mining</t>
        </is>
      </c>
      <c r="D21" s="31" t="inlineStr">
        <is>
          <t>steel - medium / small</t>
        </is>
      </c>
      <c r="E21" s="31" t="inlineStr">
        <is>
          <t>smallcap</t>
        </is>
      </c>
      <c r="F21" s="31" t="n">
        <v>2899.24</v>
      </c>
      <c r="G21" s="31" t="n">
        <v>345.45</v>
      </c>
      <c r="H21" s="31" t="n">
        <v>4.44</v>
      </c>
      <c r="I21" s="31" t="n">
        <v>11559546</v>
      </c>
      <c r="J21" s="31" t="inlineStr">
        <is>
          <t>543978</t>
        </is>
      </c>
    </row>
    <row r="22">
      <c r="A22" s="31" t="inlineStr">
        <is>
          <t>BLUSPRING</t>
        </is>
      </c>
      <c r="B22" s="31" t="inlineStr">
        <is>
          <t>Bluspring Enterprises Ltd</t>
        </is>
      </c>
      <c r="C22" s="31" t="inlineStr">
        <is>
          <t>miscellaneous</t>
        </is>
      </c>
      <c r="D22" s="31" t="inlineStr">
        <is>
          <t>diversified - large</t>
        </is>
      </c>
      <c r="E22" s="31" t="inlineStr">
        <is>
          <t>smallcap</t>
        </is>
      </c>
      <c r="F22" s="31" t="n">
        <v>2209.04</v>
      </c>
      <c r="G22" s="31" t="n">
        <v>147.82</v>
      </c>
      <c r="H22" s="31" t="n">
        <v>4.29</v>
      </c>
      <c r="I22" s="31" t="n">
        <v>346713</v>
      </c>
      <c r="J22" s="31" t="inlineStr">
        <is>
          <t>544414</t>
        </is>
      </c>
    </row>
    <row r="23">
      <c r="A23" s="31" t="inlineStr">
        <is>
          <t>ENRIN</t>
        </is>
      </c>
      <c r="B23" s="31" t="inlineStr">
        <is>
          <t>Siemens Energy India Ltd</t>
        </is>
      </c>
      <c r="C23" s="31" t="inlineStr">
        <is>
          <t>power &amp; utilities</t>
        </is>
      </c>
      <c r="D23" s="31" t="inlineStr">
        <is>
          <t>power generation and supply</t>
        </is>
      </c>
      <c r="E23" s="31" t="inlineStr">
        <is>
          <t>largecap</t>
        </is>
      </c>
      <c r="F23" s="31" t="n">
        <v>118730.58</v>
      </c>
      <c r="G23" s="31" t="n">
        <v>3334</v>
      </c>
      <c r="H23" s="31" t="n">
        <v>4.19</v>
      </c>
      <c r="I23" s="31" t="n">
        <v>1649842</v>
      </c>
      <c r="J23" s="31" t="n"/>
    </row>
    <row r="24">
      <c r="A24" s="31" t="inlineStr">
        <is>
          <t>ISGEC</t>
        </is>
      </c>
      <c r="B24" s="31" t="inlineStr">
        <is>
          <t>ISGEC Heavy Engineering  Ltd</t>
        </is>
      </c>
      <c r="C24" s="31" t="inlineStr">
        <is>
          <t>realty</t>
        </is>
      </c>
      <c r="D24" s="31" t="inlineStr">
        <is>
          <t>engineering - turnkey services</t>
        </is>
      </c>
      <c r="E24" s="31" t="inlineStr">
        <is>
          <t>midcap</t>
        </is>
      </c>
      <c r="F24" s="31" t="n">
        <v>6762.51</v>
      </c>
      <c r="G24" s="31" t="n">
        <v>919.7</v>
      </c>
      <c r="H24" s="31" t="n">
        <v>4.14</v>
      </c>
      <c r="I24" s="31" t="n">
        <v>203704</v>
      </c>
      <c r="J24" s="31" t="inlineStr">
        <is>
          <t>533033</t>
        </is>
      </c>
    </row>
    <row r="25">
      <c r="A25" s="31" t="inlineStr">
        <is>
          <t>AXISCADES</t>
        </is>
      </c>
      <c r="B25" s="31" t="inlineStr">
        <is>
          <t>AXISCADES Technologies Ltd</t>
        </is>
      </c>
      <c r="C25" s="31" t="inlineStr">
        <is>
          <t>aerospace &amp; defence</t>
        </is>
      </c>
      <c r="D25" s="31" t="inlineStr">
        <is>
          <t>computers - software - medium / small</t>
        </is>
      </c>
      <c r="E25" s="31" t="inlineStr">
        <is>
          <t>midcap</t>
        </is>
      </c>
      <c r="F25" s="31" t="n">
        <v>9813.18</v>
      </c>
      <c r="G25" s="31" t="n">
        <v>2307.3</v>
      </c>
      <c r="H25" s="31" t="n">
        <v>3.41</v>
      </c>
      <c r="I25" s="31" t="n">
        <v>681040</v>
      </c>
      <c r="J25" s="31" t="inlineStr">
        <is>
          <t>532395</t>
        </is>
      </c>
    </row>
    <row r="26">
      <c r="A26" s="31" t="inlineStr">
        <is>
          <t>ROLEXRINGS</t>
        </is>
      </c>
      <c r="B26" s="31" t="inlineStr">
        <is>
          <t>Rolex Rings Ltd</t>
        </is>
      </c>
      <c r="C26" s="31" t="inlineStr">
        <is>
          <t>auto</t>
        </is>
      </c>
      <c r="D26" s="31" t="inlineStr">
        <is>
          <t>auto ancillaries</t>
        </is>
      </c>
      <c r="E26" s="31" t="inlineStr">
        <is>
          <t>midcap</t>
        </is>
      </c>
      <c r="F26" s="31" t="n">
        <v>5347.53</v>
      </c>
      <c r="G26" s="31" t="n">
        <v>196.36</v>
      </c>
      <c r="H26" s="31" t="n">
        <v>3.3</v>
      </c>
      <c r="I26" s="31" t="n">
        <v>5245978</v>
      </c>
      <c r="J26" s="31" t="inlineStr">
        <is>
          <t>543325</t>
        </is>
      </c>
    </row>
    <row r="27">
      <c r="A27" s="31" t="inlineStr">
        <is>
          <t>OCCLLTD</t>
        </is>
      </c>
      <c r="B27" s="31" t="inlineStr">
        <is>
          <t>OCCL Ltd</t>
        </is>
      </c>
      <c r="C27" s="31" t="inlineStr">
        <is>
          <t>chemicals</t>
        </is>
      </c>
      <c r="D27" s="31" t="inlineStr">
        <is>
          <t>chemicals</t>
        </is>
      </c>
      <c r="E27" s="31" t="inlineStr">
        <is>
          <t>smallcap</t>
        </is>
      </c>
      <c r="F27" s="31" t="n">
        <v>966.49</v>
      </c>
      <c r="G27" s="31" t="n">
        <v>193.49</v>
      </c>
      <c r="H27" s="31" t="n">
        <v>3.23</v>
      </c>
      <c r="I27" s="31" t="n">
        <v>182487</v>
      </c>
      <c r="J27" s="31" t="inlineStr">
        <is>
          <t>544278</t>
        </is>
      </c>
    </row>
    <row r="28">
      <c r="A28" s="31" t="inlineStr">
        <is>
          <t>SUDARSCHEM</t>
        </is>
      </c>
      <c r="B28" s="31" t="inlineStr">
        <is>
          <t>Sudarshan Chemical Industries Limited</t>
        </is>
      </c>
      <c r="C28" s="31" t="inlineStr">
        <is>
          <t>chemicals</t>
        </is>
      </c>
      <c r="D28" s="31" t="inlineStr">
        <is>
          <t>dyes and pigments</t>
        </is>
      </c>
      <c r="E28" s="31" t="inlineStr">
        <is>
          <t>midcap</t>
        </is>
      </c>
      <c r="F28" s="31" t="n">
        <v>9761.610000000001</v>
      </c>
      <c r="G28" s="31" t="n">
        <v>1241.5</v>
      </c>
      <c r="H28" s="31" t="n">
        <v>3.12</v>
      </c>
      <c r="I28" s="31" t="n">
        <v>425401</v>
      </c>
      <c r="J28" s="31" t="inlineStr">
        <is>
          <t>506655</t>
        </is>
      </c>
    </row>
    <row r="29">
      <c r="A29" s="31" t="inlineStr">
        <is>
          <t>ADFFOODS</t>
        </is>
      </c>
      <c r="B29" s="31" t="inlineStr">
        <is>
          <t>Adf Foods Limited</t>
        </is>
      </c>
      <c r="C29" s="31" t="inlineStr">
        <is>
          <t>fmcg</t>
        </is>
      </c>
      <c r="D29" s="31" t="inlineStr">
        <is>
          <t>food - processing - indian</t>
        </is>
      </c>
      <c r="E29" s="31" t="inlineStr">
        <is>
          <t>smallcap</t>
        </is>
      </c>
      <c r="F29" s="31" t="n">
        <v>3091.56</v>
      </c>
      <c r="G29" s="31" t="n">
        <v>281.4</v>
      </c>
      <c r="H29" s="31" t="n">
        <v>3.04</v>
      </c>
      <c r="I29" s="31" t="n">
        <v>266181</v>
      </c>
      <c r="J29" s="31" t="inlineStr">
        <is>
          <t>519183</t>
        </is>
      </c>
    </row>
    <row r="30">
      <c r="A30" s="31" t="inlineStr">
        <is>
          <t>UNIMECH</t>
        </is>
      </c>
      <c r="B30" s="31" t="inlineStr">
        <is>
          <t>Unimech Aerospace and Manufacturing Ltd</t>
        </is>
      </c>
      <c r="C30" s="31" t="inlineStr">
        <is>
          <t>aerospace &amp; defence</t>
        </is>
      </c>
      <c r="D30" s="31" t="inlineStr">
        <is>
          <t>engineering</t>
        </is>
      </c>
      <c r="E30" s="31" t="inlineStr">
        <is>
          <t>midcap</t>
        </is>
      </c>
      <c r="F30" s="31" t="n">
        <v>9016.93</v>
      </c>
      <c r="G30" s="31" t="n">
        <v>1773</v>
      </c>
      <c r="H30" s="31" t="n">
        <v>2.84</v>
      </c>
      <c r="I30" s="31" t="n">
        <v>403902</v>
      </c>
      <c r="J30" s="31" t="inlineStr">
        <is>
          <t>544322</t>
        </is>
      </c>
    </row>
    <row r="31">
      <c r="A31" s="31" t="inlineStr">
        <is>
          <t>GLOBAL</t>
        </is>
      </c>
      <c r="B31" s="31" t="inlineStr">
        <is>
          <t>Global Education Ltd</t>
        </is>
      </c>
      <c r="C31" s="31" t="inlineStr">
        <is>
          <t>services</t>
        </is>
      </c>
      <c r="D31" s="31" t="inlineStr">
        <is>
          <t>miscellaneous</t>
        </is>
      </c>
      <c r="E31" s="31" t="inlineStr">
        <is>
          <t>smallcap</t>
        </is>
      </c>
      <c r="F31" s="31" t="n">
        <v>694.86</v>
      </c>
      <c r="G31" s="31" t="n">
        <v>136.51</v>
      </c>
      <c r="H31" s="31" t="n">
        <v>2.79</v>
      </c>
      <c r="I31" s="31" t="n">
        <v>605881</v>
      </c>
      <c r="J31" s="31" t="inlineStr">
        <is>
          <t>538406</t>
        </is>
      </c>
    </row>
    <row r="32">
      <c r="A32" s="31" t="inlineStr">
        <is>
          <t>VENUSPIPES</t>
        </is>
      </c>
      <c r="B32" s="31" t="inlineStr">
        <is>
          <t>Venus Pipes &amp; Tubes Ltd</t>
        </is>
      </c>
      <c r="C32" s="31" t="inlineStr">
        <is>
          <t>metals &amp; mining</t>
        </is>
      </c>
      <c r="D32" s="31" t="inlineStr">
        <is>
          <t>steel - medium / small</t>
        </is>
      </c>
      <c r="E32" s="31" t="inlineStr">
        <is>
          <t>smallcap</t>
        </is>
      </c>
      <c r="F32" s="31" t="n">
        <v>4567.7</v>
      </c>
      <c r="G32" s="31" t="n">
        <v>2204.9</v>
      </c>
      <c r="H32" s="31" t="n">
        <v>2.69</v>
      </c>
      <c r="I32" s="31" t="n">
        <v>161732</v>
      </c>
      <c r="J32" s="31" t="inlineStr">
        <is>
          <t>543528</t>
        </is>
      </c>
    </row>
    <row r="33">
      <c r="A33" s="31" t="inlineStr">
        <is>
          <t>EBGNG</t>
        </is>
      </c>
      <c r="B33" s="31" t="inlineStr">
        <is>
          <t>GNG Electronics Ltd</t>
        </is>
      </c>
      <c r="C33" s="31" t="inlineStr">
        <is>
          <t>services</t>
        </is>
      </c>
      <c r="D33" s="31" t="inlineStr">
        <is>
          <t>trading</t>
        </is>
      </c>
      <c r="E33" s="31" t="inlineStr">
        <is>
          <t>midcap</t>
        </is>
      </c>
      <c r="F33" s="31" t="n">
        <v>8034.39</v>
      </c>
      <c r="G33" s="31" t="n">
        <v>704.7</v>
      </c>
      <c r="H33" s="31" t="n">
        <v>2.61</v>
      </c>
      <c r="I33" s="31" t="n">
        <v>892168</v>
      </c>
      <c r="J33" s="31" t="inlineStr">
        <is>
          <t>544455</t>
        </is>
      </c>
    </row>
    <row r="34">
      <c r="A34" s="31" t="inlineStr">
        <is>
          <t>GANDHITUBE</t>
        </is>
      </c>
      <c r="B34" s="31" t="inlineStr">
        <is>
          <t>Gandhi Special Tubes Limited</t>
        </is>
      </c>
      <c r="C34" s="31" t="inlineStr">
        <is>
          <t>metals &amp; mining</t>
        </is>
      </c>
      <c r="D34" s="31" t="inlineStr">
        <is>
          <t>steel - medium / small</t>
        </is>
      </c>
      <c r="E34" s="31" t="inlineStr">
        <is>
          <t>smallcap</t>
        </is>
      </c>
      <c r="F34" s="31" t="n">
        <v>1100.8</v>
      </c>
      <c r="G34" s="31" t="n">
        <v>975.55</v>
      </c>
      <c r="H34" s="31" t="n">
        <v>2.52</v>
      </c>
      <c r="I34" s="31" t="n">
        <v>31132</v>
      </c>
      <c r="J34" s="31" t="inlineStr">
        <is>
          <t>513108</t>
        </is>
      </c>
    </row>
    <row r="35">
      <c r="A35" s="31" t="inlineStr">
        <is>
          <t>LOTUSDEV</t>
        </is>
      </c>
      <c r="B35" s="31" t="inlineStr">
        <is>
          <t>Sri Lotus Developers &amp; Realty Ltd</t>
        </is>
      </c>
      <c r="C35" s="31" t="inlineStr">
        <is>
          <t>realty</t>
        </is>
      </c>
      <c r="D35" s="31" t="inlineStr">
        <is>
          <t>construction</t>
        </is>
      </c>
      <c r="E35" s="31" t="inlineStr">
        <is>
          <t>midcap</t>
        </is>
      </c>
      <c r="F35" s="31" t="n">
        <v>11244.07</v>
      </c>
      <c r="G35" s="31" t="n">
        <v>230.07</v>
      </c>
      <c r="H35" s="31" t="n">
        <v>2.47</v>
      </c>
      <c r="I35" s="31" t="n">
        <v>1685413</v>
      </c>
      <c r="J35" s="31" t="inlineStr">
        <is>
          <t>544469</t>
        </is>
      </c>
    </row>
    <row r="36">
      <c r="A36" s="31" t="inlineStr">
        <is>
          <t>KILITCH</t>
        </is>
      </c>
      <c r="B36" s="31" t="inlineStr">
        <is>
          <t>Kilitch Drugs (india) Limited</t>
        </is>
      </c>
      <c r="C36" s="31" t="inlineStr">
        <is>
          <t>healthcare</t>
        </is>
      </c>
      <c r="D36" s="31" t="inlineStr">
        <is>
          <t>pharmaceuticals - indian - formulations</t>
        </is>
      </c>
      <c r="E36" s="31" t="inlineStr">
        <is>
          <t>smallcap</t>
        </is>
      </c>
      <c r="F36" s="31" t="n">
        <v>763.95</v>
      </c>
      <c r="G36" s="31" t="n">
        <v>218.51</v>
      </c>
      <c r="H36" s="31" t="n">
        <v>2.43</v>
      </c>
      <c r="I36" s="31" t="n">
        <v>22964</v>
      </c>
      <c r="J36" s="31" t="inlineStr">
        <is>
          <t>524500</t>
        </is>
      </c>
    </row>
    <row r="37">
      <c r="A37" s="31" t="inlineStr">
        <is>
          <t>MACPOWER</t>
        </is>
      </c>
      <c r="B37" s="31" t="inlineStr">
        <is>
          <t>Macpower CNC Machines Ltd</t>
        </is>
      </c>
      <c r="C37" s="31" t="inlineStr">
        <is>
          <t>industrials</t>
        </is>
      </c>
      <c r="D37" s="31" t="inlineStr">
        <is>
          <t>engineering</t>
        </is>
      </c>
      <c r="E37" s="31" t="inlineStr">
        <is>
          <t>smallcap</t>
        </is>
      </c>
      <c r="F37" s="31" t="n">
        <v>2145.69</v>
      </c>
      <c r="G37" s="31" t="n">
        <v>2144.8</v>
      </c>
      <c r="H37" s="31" t="n">
        <v>2.33</v>
      </c>
      <c r="I37" s="31" t="n">
        <v>97223</v>
      </c>
      <c r="J37" s="31" t="inlineStr">
        <is>
          <t>535057</t>
        </is>
      </c>
    </row>
    <row r="38">
      <c r="A38" s="31" t="inlineStr">
        <is>
          <t>MBECL</t>
        </is>
      </c>
      <c r="B38" s="31" t="inlineStr">
        <is>
          <t>Mcnally Bharat Engineering Company Limited</t>
        </is>
      </c>
      <c r="C38" s="31" t="inlineStr">
        <is>
          <t>realty</t>
        </is>
      </c>
      <c r="D38" s="31" t="inlineStr">
        <is>
          <t>engineering - turnkey services</t>
        </is>
      </c>
      <c r="E38" s="31" t="inlineStr">
        <is>
          <t>smallcap</t>
        </is>
      </c>
      <c r="F38" s="31" t="n">
        <v>1646.67</v>
      </c>
      <c r="G38" s="31" t="n">
        <v>494</v>
      </c>
      <c r="H38" s="31" t="n">
        <v>2</v>
      </c>
      <c r="I38" s="31" t="n">
        <v>4423</v>
      </c>
      <c r="J38" s="31" t="inlineStr">
        <is>
          <t>532629</t>
        </is>
      </c>
    </row>
    <row r="39">
      <c r="A39" s="31" t="inlineStr">
        <is>
          <t>BAFNAPH</t>
        </is>
      </c>
      <c r="B39" s="31" t="inlineStr">
        <is>
          <t>Bafna Pharmaceuticals Ltd</t>
        </is>
      </c>
      <c r="C39" s="31" t="inlineStr">
        <is>
          <t>healthcare</t>
        </is>
      </c>
      <c r="D39" s="31" t="inlineStr">
        <is>
          <t>pharmaceuticals - indian - formulations</t>
        </is>
      </c>
      <c r="E39" s="31" t="inlineStr">
        <is>
          <t>smallcap</t>
        </is>
      </c>
      <c r="F39" s="31" t="n">
        <v>895.98</v>
      </c>
      <c r="G39" s="31" t="n">
        <v>378.75</v>
      </c>
      <c r="H39" s="31" t="n">
        <v>1.99</v>
      </c>
      <c r="I39" s="31" t="n">
        <v>500</v>
      </c>
      <c r="J39" s="31" t="inlineStr">
        <is>
          <t>532989</t>
        </is>
      </c>
    </row>
    <row r="40">
      <c r="A40" s="31" t="inlineStr">
        <is>
          <t>GALAXYSURF</t>
        </is>
      </c>
      <c r="B40" s="31" t="inlineStr">
        <is>
          <t>Galaxy Surfactants Ltd</t>
        </is>
      </c>
      <c r="C40" s="31" t="inlineStr">
        <is>
          <t>chemicals</t>
        </is>
      </c>
      <c r="D40" s="31" t="inlineStr">
        <is>
          <t>chemicals</t>
        </is>
      </c>
      <c r="E40" s="31" t="inlineStr">
        <is>
          <t>midcap</t>
        </is>
      </c>
      <c r="F40" s="31" t="n">
        <v>8427.24</v>
      </c>
      <c r="G40" s="31" t="n">
        <v>2376.9</v>
      </c>
      <c r="H40" s="31" t="n">
        <v>1.89</v>
      </c>
      <c r="I40" s="31" t="n">
        <v>216645</v>
      </c>
      <c r="J40" s="31" t="inlineStr">
        <is>
          <t>540935</t>
        </is>
      </c>
    </row>
    <row r="41">
      <c r="A41" s="31" t="inlineStr">
        <is>
          <t>PRECWIRE</t>
        </is>
      </c>
      <c r="B41" s="31" t="inlineStr">
        <is>
          <t>Precision Wires India Limited</t>
        </is>
      </c>
      <c r="C41" s="31" t="inlineStr">
        <is>
          <t>metals &amp; mining</t>
        </is>
      </c>
      <c r="D41" s="31" t="inlineStr">
        <is>
          <t>mining / minerals / metals</t>
        </is>
      </c>
      <c r="E41" s="31" t="inlineStr">
        <is>
          <t>midcap</t>
        </is>
      </c>
      <c r="F41" s="31" t="n">
        <v>9165.99</v>
      </c>
      <c r="G41" s="31" t="n">
        <v>501.4</v>
      </c>
      <c r="H41" s="31" t="n">
        <v>1.82</v>
      </c>
      <c r="I41" s="31" t="n">
        <v>696872</v>
      </c>
      <c r="J41" s="31" t="inlineStr">
        <is>
          <t>523539</t>
        </is>
      </c>
    </row>
    <row r="42">
      <c r="A42" s="31" t="inlineStr">
        <is>
          <t>INDSWFTLAB</t>
        </is>
      </c>
      <c r="B42" s="31" t="inlineStr">
        <is>
          <t>Ind-swift Laboratories Limited</t>
        </is>
      </c>
      <c r="C42" s="31" t="inlineStr">
        <is>
          <t>healthcare</t>
        </is>
      </c>
      <c r="D42" s="31" t="inlineStr">
        <is>
          <t>pharmaceuticals - indian - bulk drugs &amp; formln</t>
        </is>
      </c>
      <c r="E42" s="31" t="inlineStr">
        <is>
          <t>smallcap</t>
        </is>
      </c>
      <c r="F42" s="31" t="n">
        <v>3436.29</v>
      </c>
      <c r="G42" s="31" t="n">
        <v>395.15</v>
      </c>
      <c r="H42" s="31" t="n">
        <v>1.65</v>
      </c>
      <c r="I42" s="31" t="n">
        <v>749983</v>
      </c>
      <c r="J42" s="31" t="inlineStr">
        <is>
          <t>532305</t>
        </is>
      </c>
    </row>
    <row r="43">
      <c r="A43" s="31" t="inlineStr">
        <is>
          <t>MARINE</t>
        </is>
      </c>
      <c r="B43" s="31" t="inlineStr">
        <is>
          <t>Marine Electricals (India) Ltd</t>
        </is>
      </c>
      <c r="C43" s="31" t="inlineStr">
        <is>
          <t>industrials</t>
        </is>
      </c>
      <c r="D43" s="31" t="inlineStr">
        <is>
          <t>electric equipment</t>
        </is>
      </c>
      <c r="E43" s="31" t="inlineStr">
        <is>
          <t>midcap</t>
        </is>
      </c>
      <c r="F43" s="31" t="n">
        <v>6109.27</v>
      </c>
      <c r="G43" s="31" t="n">
        <v>436.55</v>
      </c>
      <c r="H43" s="31" t="n">
        <v>1.63</v>
      </c>
      <c r="I43" s="31" t="n">
        <v>1481138</v>
      </c>
      <c r="J43" s="31" t="inlineStr">
        <is>
          <t>535119</t>
        </is>
      </c>
    </row>
    <row r="44">
      <c r="A44" s="31" t="inlineStr">
        <is>
          <t>SHILPAMED</t>
        </is>
      </c>
      <c r="B44" s="31" t="inlineStr">
        <is>
          <t>Shilpa Medicare Limited</t>
        </is>
      </c>
      <c r="C44" s="31" t="inlineStr">
        <is>
          <t>healthcare</t>
        </is>
      </c>
      <c r="D44" s="31" t="inlineStr">
        <is>
          <t>pharmaceuticals - indian - formulations</t>
        </is>
      </c>
      <c r="E44" s="31" t="inlineStr">
        <is>
          <t>largecap</t>
        </is>
      </c>
      <c r="F44" s="31" t="n">
        <v>20811.86</v>
      </c>
      <c r="G44" s="31" t="n">
        <v>1064.1</v>
      </c>
      <c r="H44" s="31" t="n">
        <v>1.61</v>
      </c>
      <c r="I44" s="31" t="n">
        <v>1687680</v>
      </c>
      <c r="J44" s="31" t="inlineStr">
        <is>
          <t>530549</t>
        </is>
      </c>
    </row>
    <row r="45">
      <c r="A45" s="31" t="inlineStr">
        <is>
          <t>KINGFA</t>
        </is>
      </c>
      <c r="B45" s="31" t="inlineStr">
        <is>
          <t>Kingfa Science &amp; Technology (india) Limited</t>
        </is>
      </c>
      <c r="C45" s="31" t="inlineStr">
        <is>
          <t>plastic products</t>
        </is>
      </c>
      <c r="D45" s="31" t="inlineStr">
        <is>
          <t>plastics products</t>
        </is>
      </c>
      <c r="E45" s="31" t="inlineStr">
        <is>
          <t>midcap</t>
        </is>
      </c>
      <c r="F45" s="31" t="n">
        <v>8925.620000000001</v>
      </c>
      <c r="G45" s="31" t="n">
        <v>6586.5</v>
      </c>
      <c r="H45" s="31" t="n">
        <v>1.6</v>
      </c>
      <c r="I45" s="31" t="n">
        <v>16414</v>
      </c>
      <c r="J45" s="31" t="inlineStr">
        <is>
          <t>524019</t>
        </is>
      </c>
    </row>
    <row r="46">
      <c r="A46" s="31" t="inlineStr">
        <is>
          <t>NRBBEARING</t>
        </is>
      </c>
      <c r="B46" s="31" t="inlineStr">
        <is>
          <t>Nrb Bearing Limited</t>
        </is>
      </c>
      <c r="C46" s="31" t="inlineStr">
        <is>
          <t>industrials</t>
        </is>
      </c>
      <c r="D46" s="31" t="inlineStr">
        <is>
          <t>bearings</t>
        </is>
      </c>
      <c r="E46" s="31" t="inlineStr">
        <is>
          <t>midcap</t>
        </is>
      </c>
      <c r="F46" s="31" t="n">
        <v>5259.02</v>
      </c>
      <c r="G46" s="31" t="n">
        <v>542.6</v>
      </c>
      <c r="H46" s="31" t="n">
        <v>1.6</v>
      </c>
      <c r="I46" s="31" t="n">
        <v>677742</v>
      </c>
      <c r="J46" s="31" t="inlineStr">
        <is>
          <t>530367</t>
        </is>
      </c>
    </row>
    <row r="47">
      <c r="A47" s="31" t="inlineStr">
        <is>
          <t>MANBA</t>
        </is>
      </c>
      <c r="B47" s="31" t="inlineStr">
        <is>
          <t>Manba Finance Ltd</t>
        </is>
      </c>
      <c r="C47" s="31" t="inlineStr">
        <is>
          <t>financials</t>
        </is>
      </c>
      <c r="D47" s="31" t="inlineStr">
        <is>
          <t>finance &amp; investments</t>
        </is>
      </c>
      <c r="E47" s="31" t="inlineStr">
        <is>
          <t>smallcap</t>
        </is>
      </c>
      <c r="F47" s="31" t="n">
        <v>698.38</v>
      </c>
      <c r="G47" s="31" t="n">
        <v>139.01</v>
      </c>
      <c r="H47" s="31" t="n">
        <v>1.59</v>
      </c>
      <c r="I47" s="31" t="n">
        <v>229896</v>
      </c>
      <c r="J47" s="31" t="inlineStr">
        <is>
          <t>544262</t>
        </is>
      </c>
    </row>
    <row r="48">
      <c r="A48" s="31" t="inlineStr">
        <is>
          <t>MANINDS</t>
        </is>
      </c>
      <c r="B48" s="31" t="inlineStr">
        <is>
          <t>Man Industries (india) Limited</t>
        </is>
      </c>
      <c r="C48" s="31" t="inlineStr">
        <is>
          <t>metals &amp; mining</t>
        </is>
      </c>
      <c r="D48" s="31" t="inlineStr">
        <is>
          <t>steel - medium / small</t>
        </is>
      </c>
      <c r="E48" s="31" t="inlineStr">
        <is>
          <t>midcap</t>
        </is>
      </c>
      <c r="F48" s="31" t="n">
        <v>6912.51</v>
      </c>
      <c r="G48" s="31" t="n">
        <v>921.55</v>
      </c>
      <c r="H48" s="31" t="n">
        <v>1.57</v>
      </c>
      <c r="I48" s="31" t="n">
        <v>998005</v>
      </c>
      <c r="J48" s="31" t="inlineStr">
        <is>
          <t>513269</t>
        </is>
      </c>
    </row>
    <row r="49">
      <c r="A49" s="31" t="inlineStr">
        <is>
          <t>AARTIPHARM</t>
        </is>
      </c>
      <c r="B49" s="31" t="inlineStr">
        <is>
          <t>Aarti Pharmalabs Ltd</t>
        </is>
      </c>
      <c r="C49" s="31" t="inlineStr">
        <is>
          <t>healthcare</t>
        </is>
      </c>
      <c r="D49" s="31" t="inlineStr">
        <is>
          <t>pharmaceuticals - indian - bulk drugs &amp; formln</t>
        </is>
      </c>
      <c r="E49" s="31" t="inlineStr">
        <is>
          <t>midcap</t>
        </is>
      </c>
      <c r="F49" s="31" t="n">
        <v>8782.34</v>
      </c>
      <c r="G49" s="31" t="n">
        <v>968.5</v>
      </c>
      <c r="H49" s="31" t="n">
        <v>1.55</v>
      </c>
      <c r="I49" s="31" t="n">
        <v>658749</v>
      </c>
      <c r="J49" s="31" t="inlineStr">
        <is>
          <t>543748</t>
        </is>
      </c>
    </row>
    <row r="50">
      <c r="A50" s="31" t="inlineStr">
        <is>
          <t>AEGISLOG</t>
        </is>
      </c>
      <c r="B50" s="31" t="inlineStr">
        <is>
          <t>Aegis Logistics Ltd</t>
        </is>
      </c>
      <c r="C50" s="31" t="inlineStr">
        <is>
          <t>services</t>
        </is>
      </c>
      <c r="D50" s="31" t="inlineStr">
        <is>
          <t>trading</t>
        </is>
      </c>
      <c r="E50" s="31" t="inlineStr">
        <is>
          <t>largecap</t>
        </is>
      </c>
      <c r="F50" s="31" t="n">
        <v>49178.61</v>
      </c>
      <c r="G50" s="31" t="n">
        <v>1401.1</v>
      </c>
      <c r="H50" s="31" t="n">
        <v>1.52</v>
      </c>
      <c r="I50" s="31" t="n">
        <v>1061975</v>
      </c>
      <c r="J50" s="31" t="inlineStr">
        <is>
          <t>500003</t>
        </is>
      </c>
    </row>
    <row r="51">
      <c r="A51" s="31" t="inlineStr">
        <is>
          <t>SOTL</t>
        </is>
      </c>
      <c r="B51" s="31" t="inlineStr">
        <is>
          <t>Savita Oil Technologies Limited</t>
        </is>
      </c>
      <c r="C51" s="31" t="inlineStr">
        <is>
          <t>energy</t>
        </is>
      </c>
      <c r="D51" s="31" t="inlineStr">
        <is>
          <t>petrochemicals</t>
        </is>
      </c>
      <c r="E51" s="31" t="inlineStr">
        <is>
          <t>midcap</t>
        </is>
      </c>
      <c r="F51" s="31" t="n">
        <v>5001.48</v>
      </c>
      <c r="G51" s="31" t="n">
        <v>729.5</v>
      </c>
      <c r="H51" s="31" t="n">
        <v>1.49</v>
      </c>
      <c r="I51" s="31" t="n">
        <v>296616</v>
      </c>
      <c r="J51" s="31" t="inlineStr">
        <is>
          <t>524667</t>
        </is>
      </c>
    </row>
    <row r="52">
      <c r="A52" s="31" t="inlineStr">
        <is>
          <t>GANDHAR</t>
        </is>
      </c>
      <c r="B52" s="31" t="inlineStr">
        <is>
          <t>Gandhar Oil Refinery (India) Ltd</t>
        </is>
      </c>
      <c r="C52" s="31" t="inlineStr">
        <is>
          <t>energy</t>
        </is>
      </c>
      <c r="D52" s="31" t="inlineStr">
        <is>
          <t>refineries</t>
        </is>
      </c>
      <c r="E52" s="31" t="inlineStr">
        <is>
          <t>smallcap</t>
        </is>
      </c>
      <c r="F52" s="31" t="n">
        <v>2766.08</v>
      </c>
      <c r="G52" s="31" t="n">
        <v>282.6</v>
      </c>
      <c r="H52" s="31" t="n">
        <v>1.34</v>
      </c>
      <c r="I52" s="31" t="n">
        <v>872149</v>
      </c>
      <c r="J52" s="31" t="inlineStr">
        <is>
          <t>544029</t>
        </is>
      </c>
    </row>
    <row r="53">
      <c r="A53" s="31" t="inlineStr">
        <is>
          <t>ONEPOINT</t>
        </is>
      </c>
      <c r="B53" s="31" t="inlineStr">
        <is>
          <t>One Point One Solutions Ltd</t>
        </is>
      </c>
      <c r="C53" s="31" t="inlineStr">
        <is>
          <t>i.t</t>
        </is>
      </c>
      <c r="D53" s="31" t="inlineStr">
        <is>
          <t>computers - software - medium / small</t>
        </is>
      </c>
      <c r="E53" s="31" t="inlineStr">
        <is>
          <t>smallcap</t>
        </is>
      </c>
      <c r="F53" s="31" t="n">
        <v>1955.46</v>
      </c>
      <c r="G53" s="31" t="n">
        <v>74.37</v>
      </c>
      <c r="H53" s="31" t="n">
        <v>1.34</v>
      </c>
      <c r="I53" s="31" t="n">
        <v>6251994</v>
      </c>
      <c r="J53" s="31" t="inlineStr">
        <is>
          <t>535039</t>
        </is>
      </c>
    </row>
    <row r="54">
      <c r="A54" s="31" t="inlineStr">
        <is>
          <t>KOPRAN</t>
        </is>
      </c>
      <c r="B54" s="31" t="inlineStr">
        <is>
          <t>Kopran Limited</t>
        </is>
      </c>
      <c r="C54" s="31" t="inlineStr">
        <is>
          <t>healthcare</t>
        </is>
      </c>
      <c r="D54" s="31" t="inlineStr">
        <is>
          <t>pharmaceuticals - indian - bulk drugs &amp; formln</t>
        </is>
      </c>
      <c r="E54" s="31" t="inlineStr">
        <is>
          <t>smallcap</t>
        </is>
      </c>
      <c r="F54" s="31" t="n">
        <v>1361.9</v>
      </c>
      <c r="G54" s="31" t="n">
        <v>282.05</v>
      </c>
      <c r="H54" s="31" t="n">
        <v>1.34</v>
      </c>
      <c r="I54" s="31" t="n">
        <v>714330</v>
      </c>
      <c r="J54" s="31" t="inlineStr">
        <is>
          <t>524280</t>
        </is>
      </c>
    </row>
    <row r="55">
      <c r="A55" s="31" t="inlineStr">
        <is>
          <t>ROSSTECH</t>
        </is>
      </c>
      <c r="B55" s="31" t="inlineStr">
        <is>
          <t>Rossell Techsys Ltd</t>
        </is>
      </c>
      <c r="C55" s="31" t="inlineStr">
        <is>
          <t>aerospace &amp; defence</t>
        </is>
      </c>
      <c r="D55" s="31" t="inlineStr">
        <is>
          <t>engineering</t>
        </is>
      </c>
      <c r="E55" s="31" t="inlineStr">
        <is>
          <t>midcap</t>
        </is>
      </c>
      <c r="F55" s="31" t="n">
        <v>5738.53</v>
      </c>
      <c r="G55" s="31" t="n">
        <v>1522.3</v>
      </c>
      <c r="H55" s="31" t="n">
        <v>1.27</v>
      </c>
      <c r="I55" s="31" t="n">
        <v>247467</v>
      </c>
      <c r="J55" s="31" t="inlineStr">
        <is>
          <t>544294</t>
        </is>
      </c>
    </row>
    <row r="56">
      <c r="A56" s="31" t="inlineStr">
        <is>
          <t>GREENPLY</t>
        </is>
      </c>
      <c r="B56" s="31" t="inlineStr">
        <is>
          <t>Greenply Industries Limited</t>
        </is>
      </c>
      <c r="C56" s="31" t="inlineStr">
        <is>
          <t>building materials</t>
        </is>
      </c>
      <c r="D56" s="31" t="inlineStr">
        <is>
          <t>miscellaneous</t>
        </is>
      </c>
      <c r="E56" s="31" t="inlineStr">
        <is>
          <t>smallcap</t>
        </is>
      </c>
      <c r="F56" s="31" t="n">
        <v>3793.28</v>
      </c>
      <c r="G56" s="31" t="n">
        <v>303.7</v>
      </c>
      <c r="H56" s="31" t="n">
        <v>1.25</v>
      </c>
      <c r="I56" s="31" t="n">
        <v>393933</v>
      </c>
      <c r="J56" s="31" t="inlineStr">
        <is>
          <t>526797</t>
        </is>
      </c>
    </row>
    <row r="57">
      <c r="A57" s="31" t="inlineStr">
        <is>
          <t>MANKIND</t>
        </is>
      </c>
      <c r="B57" s="31" t="inlineStr">
        <is>
          <t>Mankind Pharma Ltd</t>
        </is>
      </c>
      <c r="C57" s="31" t="inlineStr">
        <is>
          <t>healthcare</t>
        </is>
      </c>
      <c r="D57" s="31" t="inlineStr">
        <is>
          <t>pharmaceuticals - indian - bulk drugs &amp; formln</t>
        </is>
      </c>
      <c r="E57" s="31" t="inlineStr">
        <is>
          <t>largecap</t>
        </is>
      </c>
      <c r="F57" s="31" t="n">
        <v>104694.48</v>
      </c>
      <c r="G57" s="31" t="n">
        <v>2535</v>
      </c>
      <c r="H57" s="31" t="n">
        <v>1.25</v>
      </c>
      <c r="I57" s="31" t="n">
        <v>427905</v>
      </c>
      <c r="J57" s="31" t="inlineStr">
        <is>
          <t>543904</t>
        </is>
      </c>
    </row>
    <row r="58">
      <c r="A58" s="31" t="inlineStr">
        <is>
          <t>SANGAMIND</t>
        </is>
      </c>
      <c r="B58" s="31" t="inlineStr">
        <is>
          <t>Sangam (india) Limited</t>
        </is>
      </c>
      <c r="C58" s="31" t="inlineStr">
        <is>
          <t>textiles</t>
        </is>
      </c>
      <c r="D58" s="31" t="inlineStr">
        <is>
          <t>textiles - spinning - synthetic / blended</t>
        </is>
      </c>
      <c r="E58" s="31" t="inlineStr">
        <is>
          <t>smallcap</t>
        </is>
      </c>
      <c r="F58" s="31" t="n">
        <v>3188.4</v>
      </c>
      <c r="G58" s="31" t="n">
        <v>634.55</v>
      </c>
      <c r="H58" s="31" t="n">
        <v>1.22</v>
      </c>
      <c r="I58" s="31" t="n">
        <v>50667</v>
      </c>
      <c r="J58" s="31" t="inlineStr">
        <is>
          <t>514234</t>
        </is>
      </c>
    </row>
    <row r="59">
      <c r="A59" s="31" t="inlineStr">
        <is>
          <t>IOLCP</t>
        </is>
      </c>
      <c r="B59" s="31" t="inlineStr">
        <is>
          <t>Iol Chemicals And Pharmaceuticals Limited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midcap</t>
        </is>
      </c>
      <c r="F59" s="31" t="n">
        <v>6146.17</v>
      </c>
      <c r="G59" s="31" t="n">
        <v>209.39</v>
      </c>
      <c r="H59" s="31" t="n">
        <v>1.12</v>
      </c>
      <c r="I59" s="31" t="n">
        <v>4041973</v>
      </c>
      <c r="J59" s="31" t="inlineStr">
        <is>
          <t>524164</t>
        </is>
      </c>
    </row>
    <row r="60">
      <c r="A60" s="31" t="inlineStr">
        <is>
          <t>DYNAMATECH</t>
        </is>
      </c>
      <c r="B60" s="31" t="inlineStr">
        <is>
          <t>Dynamatic Technologies Limited</t>
        </is>
      </c>
      <c r="C60" s="31" t="inlineStr">
        <is>
          <t>aerospace &amp; defence</t>
        </is>
      </c>
      <c r="D60" s="31" t="inlineStr">
        <is>
          <t>engineering</t>
        </is>
      </c>
      <c r="E60" s="31" t="inlineStr">
        <is>
          <t>midcap</t>
        </is>
      </c>
      <c r="F60" s="31" t="n">
        <v>9342.309999999999</v>
      </c>
      <c r="G60" s="31" t="n">
        <v>13756</v>
      </c>
      <c r="H60" s="31" t="n">
        <v>1.07</v>
      </c>
      <c r="I60" s="31" t="n">
        <v>42592</v>
      </c>
      <c r="J60" s="31" t="inlineStr">
        <is>
          <t>505242</t>
        </is>
      </c>
    </row>
    <row r="61">
      <c r="A61" s="31" t="inlineStr">
        <is>
          <t>SUNDROP</t>
        </is>
      </c>
      <c r="B61" s="31" t="inlineStr">
        <is>
          <t>Sundrop Brands Ltd</t>
        </is>
      </c>
      <c r="C61" s="31" t="inlineStr">
        <is>
          <t>fmcg</t>
        </is>
      </c>
      <c r="D61" s="31" t="inlineStr">
        <is>
          <t>food - processing - indian</t>
        </is>
      </c>
      <c r="E61" s="31" t="inlineStr">
        <is>
          <t>smallcap</t>
        </is>
      </c>
      <c r="F61" s="31" t="n">
        <v>2839.14</v>
      </c>
      <c r="G61" s="31" t="n">
        <v>753.15</v>
      </c>
      <c r="H61" s="31" t="n">
        <v>1.07</v>
      </c>
      <c r="I61" s="31" t="n">
        <v>30756</v>
      </c>
      <c r="J61" s="31" t="inlineStr">
        <is>
          <t>500215</t>
        </is>
      </c>
    </row>
    <row r="62">
      <c r="A62" s="31" t="inlineStr">
        <is>
          <t>ARROWGREEN</t>
        </is>
      </c>
      <c r="B62" s="31" t="inlineStr">
        <is>
          <t>Arrow Greentech Limited</t>
        </is>
      </c>
      <c r="C62" s="31" t="inlineStr">
        <is>
          <t>plastic products</t>
        </is>
      </c>
      <c r="D62" s="31" t="inlineStr">
        <is>
          <t>plastics products</t>
        </is>
      </c>
      <c r="E62" s="31" t="inlineStr">
        <is>
          <t>smallcap</t>
        </is>
      </c>
      <c r="F62" s="31" t="n">
        <v>1305.41</v>
      </c>
      <c r="G62" s="31" t="n">
        <v>865.2</v>
      </c>
      <c r="H62" s="31" t="n">
        <v>1.07</v>
      </c>
      <c r="I62" s="31" t="n">
        <v>40400</v>
      </c>
      <c r="J62" s="31" t="inlineStr">
        <is>
          <t>516064</t>
        </is>
      </c>
    </row>
    <row r="63">
      <c r="A63" s="31" t="inlineStr">
        <is>
          <t>PRIMESECU</t>
        </is>
      </c>
      <c r="B63" s="31" t="inlineStr">
        <is>
          <t>Prime Securities Limited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smallcap</t>
        </is>
      </c>
      <c r="F63" s="31" t="n">
        <v>1023.3</v>
      </c>
      <c r="G63" s="31" t="n">
        <v>301.5</v>
      </c>
      <c r="H63" s="31" t="n">
        <v>1.02</v>
      </c>
      <c r="I63" s="31" t="n">
        <v>43023</v>
      </c>
      <c r="J63" s="31" t="inlineStr">
        <is>
          <t>500337</t>
        </is>
      </c>
    </row>
    <row r="64">
      <c r="A64" s="31" t="inlineStr">
        <is>
          <t>ENGINERSIN</t>
        </is>
      </c>
      <c r="B64" s="31" t="inlineStr">
        <is>
          <t>Engineers India Limited</t>
        </is>
      </c>
      <c r="C64" s="31" t="inlineStr">
        <is>
          <t>realty</t>
        </is>
      </c>
      <c r="D64" s="31" t="inlineStr">
        <is>
          <t>engineering - turnkey services</t>
        </is>
      </c>
      <c r="E64" s="31" t="inlineStr">
        <is>
          <t>midcap</t>
        </is>
      </c>
      <c r="F64" s="31" t="n">
        <v>17577.88</v>
      </c>
      <c r="G64" s="31" t="n">
        <v>312.75</v>
      </c>
      <c r="H64" s="31" t="n">
        <v>1.02</v>
      </c>
      <c r="I64" s="31" t="n">
        <v>7911815</v>
      </c>
      <c r="J64" s="31" t="inlineStr">
        <is>
          <t>532178</t>
        </is>
      </c>
    </row>
    <row r="65">
      <c r="A65" s="31" t="inlineStr">
        <is>
          <t>WHEELS</t>
        </is>
      </c>
      <c r="B65" s="31" t="inlineStr">
        <is>
          <t>Wheels India Limited</t>
        </is>
      </c>
      <c r="C65" s="31" t="inlineStr">
        <is>
          <t>auto</t>
        </is>
      </c>
      <c r="D65" s="31" t="inlineStr">
        <is>
          <t>auto ancillaries</t>
        </is>
      </c>
      <c r="E65" s="31" t="inlineStr">
        <is>
          <t>midcap</t>
        </is>
      </c>
      <c r="F65" s="31" t="n">
        <v>5476.17</v>
      </c>
      <c r="G65" s="31" t="n">
        <v>2241.3</v>
      </c>
      <c r="H65" s="31" t="n">
        <v>0.91</v>
      </c>
      <c r="I65" s="31" t="n">
        <v>183997</v>
      </c>
      <c r="J65" s="31" t="inlineStr">
        <is>
          <t>590073</t>
        </is>
      </c>
    </row>
    <row r="66">
      <c r="A66" s="31" t="inlineStr">
        <is>
          <t>LALPATHLAB</t>
        </is>
      </c>
      <c r="B66" s="31" t="inlineStr">
        <is>
          <t>Dr. Lal Path Labs Ltd.</t>
        </is>
      </c>
      <c r="C66" s="31" t="inlineStr">
        <is>
          <t>healthcare</t>
        </is>
      </c>
      <c r="D66" s="31" t="inlineStr">
        <is>
          <t>healthcare</t>
        </is>
      </c>
      <c r="E66" s="31" t="inlineStr">
        <is>
          <t>largecap</t>
        </is>
      </c>
      <c r="F66" s="31" t="n">
        <v>33613.05</v>
      </c>
      <c r="G66" s="31" t="n">
        <v>2005.1</v>
      </c>
      <c r="H66" s="31" t="n">
        <v>0.91</v>
      </c>
      <c r="I66" s="31" t="n">
        <v>542969</v>
      </c>
      <c r="J66" s="31" t="inlineStr">
        <is>
          <t>539524</t>
        </is>
      </c>
    </row>
    <row r="67">
      <c r="A67" s="31" t="inlineStr">
        <is>
          <t>YUKEN</t>
        </is>
      </c>
      <c r="B67" s="31" t="inlineStr">
        <is>
          <t>Yuken India Ltd</t>
        </is>
      </c>
      <c r="C67" s="31" t="inlineStr">
        <is>
          <t>industrials</t>
        </is>
      </c>
      <c r="D67" s="31" t="inlineStr">
        <is>
          <t>engineering</t>
        </is>
      </c>
      <c r="E67" s="31" t="inlineStr">
        <is>
          <t>smallcap</t>
        </is>
      </c>
      <c r="F67" s="31" t="n">
        <v>1550.48</v>
      </c>
      <c r="G67" s="31" t="n">
        <v>1141.4</v>
      </c>
      <c r="H67" s="31" t="n">
        <v>0.91</v>
      </c>
      <c r="I67" s="31" t="n">
        <v>15046</v>
      </c>
      <c r="J67" s="31" t="inlineStr">
        <is>
          <t>522108</t>
        </is>
      </c>
    </row>
    <row r="68">
      <c r="A68" s="31" t="inlineStr">
        <is>
          <t>HARSHA</t>
        </is>
      </c>
      <c r="B68" s="31" t="inlineStr">
        <is>
          <t>Harsha Engineers International Ltd</t>
        </is>
      </c>
      <c r="C68" s="31" t="inlineStr">
        <is>
          <t>industrials</t>
        </is>
      </c>
      <c r="D68" s="31" t="inlineStr">
        <is>
          <t>engineering</t>
        </is>
      </c>
      <c r="E68" s="31" t="inlineStr">
        <is>
          <t>smallcap</t>
        </is>
      </c>
      <c r="F68" s="31" t="n">
        <v>4320.04</v>
      </c>
      <c r="G68" s="31" t="n">
        <v>474.5</v>
      </c>
      <c r="H68" s="31" t="n">
        <v>0.89</v>
      </c>
      <c r="I68" s="31" t="n">
        <v>401993</v>
      </c>
      <c r="J68" s="31" t="inlineStr">
        <is>
          <t>543600</t>
        </is>
      </c>
    </row>
    <row r="69">
      <c r="A69" s="31" t="inlineStr">
        <is>
          <t>TDPOWERSYS</t>
        </is>
      </c>
      <c r="B69" s="31" t="inlineStr">
        <is>
          <t>Td Power Systems Limited</t>
        </is>
      </c>
      <c r="C69" s="31" t="inlineStr">
        <is>
          <t>industrials</t>
        </is>
      </c>
      <c r="D69" s="31" t="inlineStr">
        <is>
          <t>electric equipment</t>
        </is>
      </c>
      <c r="E69" s="31" t="inlineStr">
        <is>
          <t>midcap</t>
        </is>
      </c>
      <c r="F69" s="31" t="n">
        <v>12375.64</v>
      </c>
      <c r="G69" s="31" t="n">
        <v>792.15</v>
      </c>
      <c r="H69" s="31" t="n">
        <v>0.78</v>
      </c>
      <c r="I69" s="31" t="n">
        <v>5370306</v>
      </c>
      <c r="J69" s="31" t="inlineStr">
        <is>
          <t>533553</t>
        </is>
      </c>
    </row>
    <row r="70">
      <c r="A70" s="31" t="inlineStr">
        <is>
          <t>SHREEJISPG</t>
        </is>
      </c>
      <c r="B70" s="31" t="inlineStr">
        <is>
          <t>Shreeji Shipping Global Ltd</t>
        </is>
      </c>
      <c r="C70" s="31" t="inlineStr">
        <is>
          <t>transportation</t>
        </is>
      </c>
      <c r="D70" s="31" t="inlineStr">
        <is>
          <t>shipping</t>
        </is>
      </c>
      <c r="E70" s="31" t="inlineStr">
        <is>
          <t>midcap</t>
        </is>
      </c>
      <c r="F70" s="31" t="n">
        <v>12631.87</v>
      </c>
      <c r="G70" s="31" t="n">
        <v>775.35</v>
      </c>
      <c r="H70" s="31" t="n">
        <v>0.64</v>
      </c>
      <c r="I70" s="31" t="n">
        <v>1026808</v>
      </c>
      <c r="J70" s="31" t="inlineStr">
        <is>
          <t>544490</t>
        </is>
      </c>
    </row>
    <row r="71">
      <c r="A71" s="31" t="inlineStr">
        <is>
          <t>GCSL</t>
        </is>
      </c>
      <c r="B71" s="31" t="inlineStr">
        <is>
          <t>Gretex Corporate Services Ltd</t>
        </is>
      </c>
      <c r="C71" s="31" t="inlineStr">
        <is>
          <t>financials</t>
        </is>
      </c>
      <c r="D71" s="31" t="inlineStr">
        <is>
          <t>finance &amp; investments</t>
        </is>
      </c>
      <c r="E71" s="31" t="inlineStr">
        <is>
          <t>smallcap</t>
        </is>
      </c>
      <c r="F71" s="31" t="n">
        <v>1700.12</v>
      </c>
      <c r="G71" s="31" t="n">
        <v>679.9</v>
      </c>
      <c r="H71" s="31" t="n">
        <v>0.6</v>
      </c>
      <c r="I71" s="31" t="n">
        <v>321775</v>
      </c>
      <c r="J71" s="31" t="inlineStr">
        <is>
          <t>543324</t>
        </is>
      </c>
    </row>
    <row r="72">
      <c r="A72" s="31" t="inlineStr">
        <is>
          <t>FINCABLES</t>
        </is>
      </c>
      <c r="B72" s="31" t="inlineStr">
        <is>
          <t>Finolex Cables Limited</t>
        </is>
      </c>
      <c r="C72" s="31" t="inlineStr">
        <is>
          <t>industrials</t>
        </is>
      </c>
      <c r="D72" s="31" t="inlineStr">
        <is>
          <t>cables - power</t>
        </is>
      </c>
      <c r="E72" s="31" t="inlineStr">
        <is>
          <t>largecap</t>
        </is>
      </c>
      <c r="F72" s="31" t="n">
        <v>22310.79</v>
      </c>
      <c r="G72" s="31" t="n">
        <v>1458.8</v>
      </c>
      <c r="H72" s="31" t="n">
        <v>0.59</v>
      </c>
      <c r="I72" s="31" t="n">
        <v>598654</v>
      </c>
      <c r="J72" s="31" t="inlineStr">
        <is>
          <t>500144</t>
        </is>
      </c>
    </row>
    <row r="73">
      <c r="A73" s="31" t="inlineStr">
        <is>
          <t>RPEL</t>
        </is>
      </c>
      <c r="B73" s="31" t="inlineStr">
        <is>
          <t>Raghav Productivity Enhancers Ltd</t>
        </is>
      </c>
      <c r="C73" s="31" t="inlineStr">
        <is>
          <t>building materials</t>
        </is>
      </c>
      <c r="D73" s="31" t="inlineStr">
        <is>
          <t>refractories / intermediates</t>
        </is>
      </c>
      <c r="E73" s="31" t="inlineStr">
        <is>
          <t>midcap</t>
        </is>
      </c>
      <c r="F73" s="31" t="n">
        <v>8352.74</v>
      </c>
      <c r="G73" s="31" t="n">
        <v>1818.9</v>
      </c>
      <c r="H73" s="31" t="n">
        <v>0.55</v>
      </c>
      <c r="I73" s="31" t="n">
        <v>180052</v>
      </c>
      <c r="J73" s="31" t="inlineStr">
        <is>
          <t>539837</t>
        </is>
      </c>
    </row>
    <row r="74">
      <c r="A74" s="31" t="inlineStr">
        <is>
          <t>BIRLACABLE</t>
        </is>
      </c>
      <c r="B74" s="31" t="inlineStr">
        <is>
          <t>Birla Cable Limited</t>
        </is>
      </c>
      <c r="C74" s="31" t="inlineStr">
        <is>
          <t>industrials</t>
        </is>
      </c>
      <c r="D74" s="31" t="inlineStr">
        <is>
          <t>cables - telephone</t>
        </is>
      </c>
      <c r="E74" s="31" t="inlineStr">
        <is>
          <t>smallcap</t>
        </is>
      </c>
      <c r="F74" s="31" t="n">
        <v>1149</v>
      </c>
      <c r="G74" s="31" t="n">
        <v>383</v>
      </c>
      <c r="H74" s="31" t="n">
        <v>0.49</v>
      </c>
      <c r="I74" s="31" t="n">
        <v>403264</v>
      </c>
      <c r="J74" s="31" t="inlineStr">
        <is>
          <t>500060</t>
        </is>
      </c>
    </row>
    <row r="75">
      <c r="A75" s="31" t="inlineStr">
        <is>
          <t>SBC</t>
        </is>
      </c>
      <c r="B75" s="31" t="inlineStr">
        <is>
          <t>SBC Exports Ltd</t>
        </is>
      </c>
      <c r="C75" s="31" t="inlineStr">
        <is>
          <t>textiles</t>
        </is>
      </c>
      <c r="D75" s="31" t="inlineStr">
        <is>
          <t>textiles - products</t>
        </is>
      </c>
      <c r="E75" s="31" t="inlineStr">
        <is>
          <t>smallcap</t>
        </is>
      </c>
      <c r="F75" s="31" t="n">
        <v>2787.62</v>
      </c>
      <c r="G75" s="31" t="n">
        <v>58.54</v>
      </c>
      <c r="H75" s="31" t="n">
        <v>0.43</v>
      </c>
      <c r="I75" s="31" t="n">
        <v>31458938</v>
      </c>
      <c r="J75" s="31" t="inlineStr">
        <is>
          <t>542725</t>
        </is>
      </c>
    </row>
    <row r="76">
      <c r="A76" s="31" t="inlineStr">
        <is>
          <t>CYIENT</t>
        </is>
      </c>
      <c r="B76" s="31" t="inlineStr">
        <is>
          <t>Cyient Limited</t>
        </is>
      </c>
      <c r="C76" s="31" t="inlineStr">
        <is>
          <t>i.t</t>
        </is>
      </c>
      <c r="D76" s="31" t="inlineStr">
        <is>
          <t>computers - software - medium / small</t>
        </is>
      </c>
      <c r="E76" s="31" t="inlineStr">
        <is>
          <t>midcap</t>
        </is>
      </c>
      <c r="F76" s="31" t="n">
        <v>11569.78</v>
      </c>
      <c r="G76" s="31" t="n">
        <v>1104.6</v>
      </c>
      <c r="H76" s="31" t="n">
        <v>0.35</v>
      </c>
      <c r="I76" s="31" t="n">
        <v>594962</v>
      </c>
      <c r="J76" s="31" t="inlineStr">
        <is>
          <t>532175</t>
        </is>
      </c>
    </row>
    <row r="77">
      <c r="A77" s="31" t="inlineStr">
        <is>
          <t>KOTAKBANK</t>
        </is>
      </c>
      <c r="B77" s="31" t="inlineStr">
        <is>
          <t>Kotak Mahindra Bank Limited</t>
        </is>
      </c>
      <c r="C77" s="31" t="inlineStr">
        <is>
          <t>bank</t>
        </is>
      </c>
      <c r="D77" s="31" t="inlineStr">
        <is>
          <t>banks - private sector</t>
        </is>
      </c>
      <c r="E77" s="31" t="inlineStr">
        <is>
          <t>largecap</t>
        </is>
      </c>
      <c r="F77" s="31" t="n">
        <v>416120.58</v>
      </c>
      <c r="G77" s="31" t="n">
        <v>418.35</v>
      </c>
      <c r="H77" s="31" t="n">
        <v>0.32</v>
      </c>
      <c r="I77" s="31" t="n">
        <v>76637247</v>
      </c>
      <c r="J77" s="31" t="inlineStr">
        <is>
          <t>500247</t>
        </is>
      </c>
    </row>
    <row r="78">
      <c r="A78" s="31" t="inlineStr">
        <is>
          <t>CUPID</t>
        </is>
      </c>
      <c r="B78" s="31" t="inlineStr">
        <is>
          <t>Cupid Limited</t>
        </is>
      </c>
      <c r="C78" s="31" t="inlineStr">
        <is>
          <t>fmcg</t>
        </is>
      </c>
      <c r="D78" s="31" t="inlineStr">
        <is>
          <t>personal care - indian</t>
        </is>
      </c>
      <c r="E78" s="31" t="inlineStr">
        <is>
          <t>largecap</t>
        </is>
      </c>
      <c r="F78" s="31" t="n">
        <v>42020.65</v>
      </c>
      <c r="G78" s="31" t="n">
        <v>312.5</v>
      </c>
      <c r="H78" s="31" t="n">
        <v>0.27</v>
      </c>
      <c r="I78" s="31" t="n">
        <v>25539188</v>
      </c>
      <c r="J78" s="31" t="inlineStr">
        <is>
          <t>530843</t>
        </is>
      </c>
    </row>
    <row r="79">
      <c r="A79" s="31" t="inlineStr">
        <is>
          <t>ALICON</t>
        </is>
      </c>
      <c r="B79" s="31" t="inlineStr">
        <is>
          <t>Alicon Castalloy Limited</t>
        </is>
      </c>
      <c r="C79" s="31" t="inlineStr">
        <is>
          <t>castings, forgings &amp; fasteners</t>
        </is>
      </c>
      <c r="D79" s="31" t="inlineStr">
        <is>
          <t>castings &amp; forgings</t>
        </is>
      </c>
      <c r="E79" s="31" t="inlineStr">
        <is>
          <t>smallcap</t>
        </is>
      </c>
      <c r="F79" s="31" t="n">
        <v>1431.03</v>
      </c>
      <c r="G79" s="31" t="n">
        <v>871.95</v>
      </c>
      <c r="H79" s="31" t="n">
        <v>0.25</v>
      </c>
      <c r="I79" s="31" t="n">
        <v>864818</v>
      </c>
      <c r="J79" s="31" t="inlineStr">
        <is>
          <t>531147</t>
        </is>
      </c>
    </row>
    <row r="80">
      <c r="A80" s="31" t="inlineStr">
        <is>
          <t>JSWINFRA</t>
        </is>
      </c>
      <c r="B80" s="31" t="inlineStr">
        <is>
          <t>JSW Infrastructure Ltd</t>
        </is>
      </c>
      <c r="C80" s="31" t="inlineStr">
        <is>
          <t>transportation</t>
        </is>
      </c>
      <c r="D80" s="31" t="inlineStr">
        <is>
          <t>miscellaneous</t>
        </is>
      </c>
      <c r="E80" s="31" t="inlineStr">
        <is>
          <t>largecap</t>
        </is>
      </c>
      <c r="F80" s="31" t="n">
        <v>83285.91</v>
      </c>
      <c r="G80" s="31" t="n">
        <v>357.45</v>
      </c>
      <c r="H80" s="31" t="n">
        <v>0.24</v>
      </c>
      <c r="I80" s="31" t="n">
        <v>3430947</v>
      </c>
      <c r="J80" s="31" t="inlineStr">
        <is>
          <t>543994</t>
        </is>
      </c>
    </row>
    <row r="81">
      <c r="A81" s="31" t="inlineStr">
        <is>
          <t>LAURUSLABS</t>
        </is>
      </c>
      <c r="B81" s="31" t="inlineStr">
        <is>
          <t>Laurus Labs Limited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largecap</t>
        </is>
      </c>
      <c r="F81" s="31" t="n">
        <v>107185.52</v>
      </c>
      <c r="G81" s="31" t="n">
        <v>1984</v>
      </c>
      <c r="H81" s="31" t="n">
        <v>0.2</v>
      </c>
      <c r="I81" s="31" t="n">
        <v>1459687</v>
      </c>
      <c r="J81" s="31" t="inlineStr">
        <is>
          <t>540222</t>
        </is>
      </c>
    </row>
    <row r="82">
      <c r="A82" s="31" t="inlineStr">
        <is>
          <t>SPECTRUM</t>
        </is>
      </c>
      <c r="B82" s="31" t="inlineStr">
        <is>
          <t>Spectrum Electrical Industries Ltd</t>
        </is>
      </c>
      <c r="C82" s="31" t="inlineStr">
        <is>
          <t>industrials</t>
        </is>
      </c>
      <c r="D82" s="31" t="inlineStr">
        <is>
          <t>electric equipment</t>
        </is>
      </c>
      <c r="E82" s="31" t="inlineStr">
        <is>
          <t>midcap</t>
        </is>
      </c>
      <c r="F82" s="31" t="n">
        <v>6584.48</v>
      </c>
      <c r="G82" s="31" t="n">
        <v>3853.4</v>
      </c>
      <c r="H82" s="31" t="n">
        <v>0.19</v>
      </c>
      <c r="I82" s="31" t="n">
        <v>8519</v>
      </c>
      <c r="J82" s="31" t="inlineStr">
        <is>
          <t>535112</t>
        </is>
      </c>
    </row>
    <row r="83">
      <c r="A83" s="31" t="inlineStr">
        <is>
          <t>SHAREINDIA</t>
        </is>
      </c>
      <c r="B83" s="31" t="inlineStr">
        <is>
          <t>Share India Securities Ltd</t>
        </is>
      </c>
      <c r="C83" s="31" t="inlineStr">
        <is>
          <t>financials</t>
        </is>
      </c>
      <c r="D83" s="31" t="inlineStr">
        <is>
          <t>finance &amp; investments</t>
        </is>
      </c>
      <c r="E83" s="31" t="inlineStr">
        <is>
          <t>smallcap</t>
        </is>
      </c>
      <c r="F83" s="31" t="n">
        <v>4487.89</v>
      </c>
      <c r="G83" s="31" t="n">
        <v>205.09</v>
      </c>
      <c r="H83" s="31" t="n">
        <v>0.04</v>
      </c>
      <c r="I83" s="31" t="n">
        <v>1139127</v>
      </c>
      <c r="J83" s="31" t="inlineStr">
        <is>
          <t>540725</t>
        </is>
      </c>
    </row>
    <row r="84">
      <c r="A84" s="31" t="inlineStr">
        <is>
          <t>VENUSREM</t>
        </is>
      </c>
      <c r="B84" s="31" t="inlineStr">
        <is>
          <t>Venus Remedies Limited</t>
        </is>
      </c>
      <c r="C84" s="31" t="inlineStr">
        <is>
          <t>healthcare</t>
        </is>
      </c>
      <c r="D84" s="31" t="inlineStr">
        <is>
          <t>pharmaceuticals - indian - formulations</t>
        </is>
      </c>
      <c r="E84" s="31" t="inlineStr">
        <is>
          <t>smallcap</t>
        </is>
      </c>
      <c r="F84" s="31" t="n">
        <v>2401.65</v>
      </c>
      <c r="G84" s="31" t="n">
        <v>1796.7</v>
      </c>
      <c r="H84" s="31" t="n">
        <v>0.03</v>
      </c>
      <c r="I84" s="31" t="n">
        <v>116523</v>
      </c>
      <c r="J84" s="31" t="inlineStr">
        <is>
          <t>526953</t>
        </is>
      </c>
    </row>
    <row r="85">
      <c r="A85" s="31" t="inlineStr">
        <is>
          <t>ORIENTBELL</t>
        </is>
      </c>
      <c r="B85" s="31" t="inlineStr">
        <is>
          <t>Orient Bell Limited</t>
        </is>
      </c>
      <c r="C85" s="31" t="inlineStr">
        <is>
          <t>building materials</t>
        </is>
      </c>
      <c r="D85" s="31" t="inlineStr">
        <is>
          <t>ceramics - tiles / sanitaryware</t>
        </is>
      </c>
      <c r="E85" s="31" t="inlineStr">
        <is>
          <t>smallcap</t>
        </is>
      </c>
      <c r="F85" s="31" t="n">
        <v>586.29</v>
      </c>
      <c r="G85" s="31" t="n">
        <v>398.55</v>
      </c>
      <c r="H85" s="31" t="n">
        <v>0</v>
      </c>
      <c r="I85" s="31" t="n">
        <v>18312</v>
      </c>
      <c r="J85" s="31" t="inlineStr">
        <is>
          <t>530365</t>
        </is>
      </c>
    </row>
    <row r="86">
      <c r="A86" s="31" t="inlineStr">
        <is>
          <t>MTARTECH</t>
        </is>
      </c>
      <c r="B86" s="31" t="inlineStr">
        <is>
          <t>MTAR Technologies Ltd</t>
        </is>
      </c>
      <c r="C86" s="31" t="inlineStr">
        <is>
          <t>aerospace &amp; defence</t>
        </is>
      </c>
      <c r="D86" s="31" t="inlineStr">
        <is>
          <t>engineering</t>
        </is>
      </c>
      <c r="E86" s="31" t="inlineStr">
        <is>
          <t>largecap</t>
        </is>
      </c>
      <c r="F86" s="31" t="n">
        <v>23983.25</v>
      </c>
      <c r="G86" s="31" t="n">
        <v>7797</v>
      </c>
      <c r="H86" s="31" t="n">
        <v>0</v>
      </c>
      <c r="I86" s="31" t="n">
        <v>283715</v>
      </c>
      <c r="J86" s="31" t="inlineStr">
        <is>
          <t>543270</t>
        </is>
      </c>
    </row>
    <row r="87">
      <c r="A87" s="31" t="inlineStr">
        <is>
          <t>SKYGOLD</t>
        </is>
      </c>
      <c r="B87" s="31" t="inlineStr">
        <is>
          <t>Sky Gold Ltd</t>
        </is>
      </c>
      <c r="C87" s="31" t="inlineStr">
        <is>
          <t>consumer discretionary</t>
        </is>
      </c>
      <c r="D87" s="31" t="inlineStr">
        <is>
          <t>diamond cutting / jewellery</t>
        </is>
      </c>
      <c r="E87" s="31" t="inlineStr">
        <is>
          <t>midcap</t>
        </is>
      </c>
      <c r="F87" s="31" t="n">
        <v>12554.85</v>
      </c>
      <c r="G87" s="31" t="n">
        <v>810.65</v>
      </c>
      <c r="H87" s="31" t="n">
        <v>-0.01</v>
      </c>
      <c r="I87" s="31" t="n">
        <v>1141277</v>
      </c>
      <c r="J87" s="31" t="inlineStr">
        <is>
          <t>541967</t>
        </is>
      </c>
    </row>
    <row r="88">
      <c r="A88" s="31" t="inlineStr">
        <is>
          <t>EIMCOELECO</t>
        </is>
      </c>
      <c r="B88" s="31" t="inlineStr">
        <is>
          <t>Eimco Elecon (india) Limited</t>
        </is>
      </c>
      <c r="C88" s="31" t="inlineStr">
        <is>
          <t>industrials</t>
        </is>
      </c>
      <c r="D88" s="31" t="inlineStr">
        <is>
          <t>engineering</t>
        </is>
      </c>
      <c r="E88" s="31" t="inlineStr">
        <is>
          <t>smallcap</t>
        </is>
      </c>
      <c r="F88" s="31" t="n">
        <v>1308.73</v>
      </c>
      <c r="G88" s="31" t="n">
        <v>2268.8</v>
      </c>
      <c r="H88" s="31" t="n">
        <v>-0.02</v>
      </c>
      <c r="I88" s="31" t="n">
        <v>18996</v>
      </c>
      <c r="J88" s="31" t="inlineStr">
        <is>
          <t>523708</t>
        </is>
      </c>
    </row>
    <row r="89">
      <c r="A89" s="31" t="inlineStr">
        <is>
          <t>RUBYMILLS</t>
        </is>
      </c>
      <c r="B89" s="31" t="inlineStr">
        <is>
          <t>The Ruby Mills Limited</t>
        </is>
      </c>
      <c r="C89" s="31" t="inlineStr">
        <is>
          <t>textiles</t>
        </is>
      </c>
      <c r="D89" s="31" t="inlineStr">
        <is>
          <t>textiles - composite</t>
        </is>
      </c>
      <c r="E89" s="31" t="inlineStr">
        <is>
          <t>smallcap</t>
        </is>
      </c>
      <c r="F89" s="31" t="n">
        <v>1670.83</v>
      </c>
      <c r="G89" s="31" t="n">
        <v>499.65</v>
      </c>
      <c r="H89" s="31" t="n">
        <v>-0.02</v>
      </c>
      <c r="I89" s="31" t="n">
        <v>24508</v>
      </c>
      <c r="J89" s="31" t="inlineStr">
        <is>
          <t>503169</t>
        </is>
      </c>
    </row>
    <row r="90">
      <c r="A90" s="31" t="inlineStr">
        <is>
          <t>TEXINFRA</t>
        </is>
      </c>
      <c r="B90" s="31" t="inlineStr">
        <is>
          <t>Texmaco Infrastructure &amp; Holdings Limited</t>
        </is>
      </c>
      <c r="C90" s="31" t="inlineStr">
        <is>
          <t>realty</t>
        </is>
      </c>
      <c r="D90" s="31" t="inlineStr">
        <is>
          <t>construction</t>
        </is>
      </c>
      <c r="E90" s="31" t="inlineStr">
        <is>
          <t>smallcap</t>
        </is>
      </c>
      <c r="F90" s="31" t="n">
        <v>1521.35</v>
      </c>
      <c r="G90" s="31" t="n">
        <v>119.39</v>
      </c>
      <c r="H90" s="31" t="n">
        <v>-0.02</v>
      </c>
      <c r="I90" s="31" t="n">
        <v>344580</v>
      </c>
      <c r="J90" s="31" t="inlineStr">
        <is>
          <t>505400</t>
        </is>
      </c>
    </row>
    <row r="91">
      <c r="A91" s="31" t="inlineStr">
        <is>
          <t>RPTECH</t>
        </is>
      </c>
      <c r="B91" s="31" t="inlineStr">
        <is>
          <t>Rashi Peripherals Ltd</t>
        </is>
      </c>
      <c r="C91" s="31" t="inlineStr">
        <is>
          <t>i.t</t>
        </is>
      </c>
      <c r="D91" s="31" t="inlineStr">
        <is>
          <t>trading</t>
        </is>
      </c>
      <c r="E91" s="31" t="inlineStr">
        <is>
          <t>midcap</t>
        </is>
      </c>
      <c r="F91" s="31" t="n">
        <v>6281.23</v>
      </c>
      <c r="G91" s="31" t="n">
        <v>953.15</v>
      </c>
      <c r="H91" s="31" t="n">
        <v>-0.04</v>
      </c>
      <c r="I91" s="31" t="n">
        <v>377963</v>
      </c>
      <c r="J91" s="31" t="n"/>
    </row>
    <row r="92">
      <c r="A92" s="31" t="inlineStr">
        <is>
          <t>IIFLCAPS</t>
        </is>
      </c>
      <c r="B92" s="31" t="inlineStr">
        <is>
          <t>IIFL Capital Services Ltd</t>
        </is>
      </c>
      <c r="C92" s="31" t="inlineStr">
        <is>
          <t>financials</t>
        </is>
      </c>
      <c r="D92" s="31" t="inlineStr">
        <is>
          <t>finance &amp; investments</t>
        </is>
      </c>
      <c r="E92" s="31" t="inlineStr">
        <is>
          <t>midcap</t>
        </is>
      </c>
      <c r="F92" s="31" t="n">
        <v>10832.85</v>
      </c>
      <c r="G92" s="31" t="n">
        <v>345.6</v>
      </c>
      <c r="H92" s="31" t="n">
        <v>-0.12</v>
      </c>
      <c r="I92" s="31" t="n">
        <v>654711</v>
      </c>
      <c r="J92" s="31" t="inlineStr">
        <is>
          <t>542773</t>
        </is>
      </c>
    </row>
    <row r="93">
      <c r="A93" s="31" t="inlineStr">
        <is>
          <t>SALSTEEL</t>
        </is>
      </c>
      <c r="B93" s="31" t="inlineStr">
        <is>
          <t>SAL Steel</t>
        </is>
      </c>
      <c r="C93" s="31" t="inlineStr">
        <is>
          <t>metals &amp; mining</t>
        </is>
      </c>
      <c r="D93" s="31" t="inlineStr">
        <is>
          <t>steel - sponge iron</t>
        </is>
      </c>
      <c r="E93" s="31" t="inlineStr">
        <is>
          <t>smallcap</t>
        </is>
      </c>
      <c r="F93" s="31" t="n">
        <v>1432.03</v>
      </c>
      <c r="G93" s="31" t="n">
        <v>98.92</v>
      </c>
      <c r="H93" s="31" t="n">
        <v>-0.14</v>
      </c>
      <c r="I93" s="31" t="n">
        <v>1173063</v>
      </c>
      <c r="J93" s="31" t="inlineStr">
        <is>
          <t>532604</t>
        </is>
      </c>
    </row>
    <row r="94">
      <c r="A94" s="31" t="inlineStr">
        <is>
          <t>WELINV</t>
        </is>
      </c>
      <c r="B94" s="31" t="inlineStr">
        <is>
          <t>Welspun Investments And Commercials Limited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smallcap</t>
        </is>
      </c>
      <c r="F94" s="31" t="n">
        <v>905.58</v>
      </c>
      <c r="G94" s="31" t="n">
        <v>2478</v>
      </c>
      <c r="H94" s="31" t="n">
        <v>-0.16</v>
      </c>
      <c r="I94" s="31" t="n">
        <v>54</v>
      </c>
      <c r="J94" s="31" t="inlineStr">
        <is>
          <t>533252</t>
        </is>
      </c>
    </row>
    <row r="95">
      <c r="A95" s="31" t="inlineStr">
        <is>
          <t>OAL</t>
        </is>
      </c>
      <c r="B95" s="31" t="inlineStr">
        <is>
          <t>Oriental Aromatics Ltd</t>
        </is>
      </c>
      <c r="C95" s="31" t="inlineStr">
        <is>
          <t>chemicals</t>
        </is>
      </c>
      <c r="D95" s="31" t="inlineStr">
        <is>
          <t>chemicals</t>
        </is>
      </c>
      <c r="E95" s="31" t="inlineStr">
        <is>
          <t>smallcap</t>
        </is>
      </c>
      <c r="F95" s="31" t="n">
        <v>1791.04</v>
      </c>
      <c r="G95" s="31" t="n">
        <v>532.2</v>
      </c>
      <c r="H95" s="31" t="n">
        <v>-0.2</v>
      </c>
      <c r="I95" s="31" t="n">
        <v>64420</v>
      </c>
      <c r="J95" s="31" t="inlineStr">
        <is>
          <t>500078</t>
        </is>
      </c>
    </row>
    <row r="96">
      <c r="A96" s="31" t="inlineStr">
        <is>
          <t>MVGJL</t>
        </is>
      </c>
      <c r="B96" s="31" t="inlineStr">
        <is>
          <t>Manoj Vaibhav Gems N Jewellers Ltd</t>
        </is>
      </c>
      <c r="C96" s="31" t="inlineStr">
        <is>
          <t>consumer discretionary</t>
        </is>
      </c>
      <c r="D96" s="31" t="inlineStr">
        <is>
          <t>diamond cutting / jewellery</t>
        </is>
      </c>
      <c r="E96" s="31" t="inlineStr">
        <is>
          <t>smallcap</t>
        </is>
      </c>
      <c r="F96" s="31" t="n">
        <v>1009.63</v>
      </c>
      <c r="G96" s="31" t="n">
        <v>206.69</v>
      </c>
      <c r="H96" s="31" t="n">
        <v>-0.23</v>
      </c>
      <c r="I96" s="31" t="n">
        <v>313628</v>
      </c>
      <c r="J96" s="31" t="inlineStr">
        <is>
          <t>543995</t>
        </is>
      </c>
    </row>
    <row r="97">
      <c r="A97" s="31" t="inlineStr">
        <is>
          <t>PREMEXPLN</t>
        </is>
      </c>
      <c r="B97" s="31" t="inlineStr">
        <is>
          <t>Premier Explosives Limited</t>
        </is>
      </c>
      <c r="C97" s="31" t="inlineStr">
        <is>
          <t>aerospace &amp; defence</t>
        </is>
      </c>
      <c r="D97" s="31" t="inlineStr">
        <is>
          <t>chemicals</t>
        </is>
      </c>
      <c r="E97" s="31" t="inlineStr">
        <is>
          <t>smallcap</t>
        </is>
      </c>
      <c r="F97" s="31" t="n">
        <v>3666.78</v>
      </c>
      <c r="G97" s="31" t="n">
        <v>682.05</v>
      </c>
      <c r="H97" s="31" t="n">
        <v>-0.3</v>
      </c>
      <c r="I97" s="31" t="n">
        <v>165290</v>
      </c>
      <c r="J97" s="31" t="inlineStr">
        <is>
          <t>526247</t>
        </is>
      </c>
    </row>
    <row r="98">
      <c r="A98" s="31" t="inlineStr">
        <is>
          <t>LLOYDSENGG</t>
        </is>
      </c>
      <c r="B98" s="31" t="inlineStr">
        <is>
          <t>Lloyds Engineering Works Ltd</t>
        </is>
      </c>
      <c r="C98" s="31" t="inlineStr">
        <is>
          <t>industrials</t>
        </is>
      </c>
      <c r="D98" s="31" t="inlineStr">
        <is>
          <t>engineering</t>
        </is>
      </c>
      <c r="E98" s="31" t="inlineStr">
        <is>
          <t>midcap</t>
        </is>
      </c>
      <c r="F98" s="31" t="n">
        <v>15248.26</v>
      </c>
      <c r="G98" s="31" t="n">
        <v>98.31</v>
      </c>
      <c r="H98" s="31" t="n">
        <v>-0.33</v>
      </c>
      <c r="I98" s="31" t="n">
        <v>15406969</v>
      </c>
      <c r="J98" s="31" t="inlineStr">
        <is>
          <t>539992</t>
        </is>
      </c>
    </row>
    <row r="99">
      <c r="A99" s="31" t="inlineStr">
        <is>
          <t>PRIVISCL</t>
        </is>
      </c>
      <c r="B99" s="31" t="inlineStr">
        <is>
          <t>Privi Speciality Chemicals Ltd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midcap</t>
        </is>
      </c>
      <c r="F99" s="31" t="n">
        <v>13957.1</v>
      </c>
      <c r="G99" s="31" t="n">
        <v>3573</v>
      </c>
      <c r="H99" s="31" t="n">
        <v>-0.38</v>
      </c>
      <c r="I99" s="31" t="n">
        <v>135556</v>
      </c>
      <c r="J99" s="31" t="inlineStr">
        <is>
          <t>530117</t>
        </is>
      </c>
    </row>
    <row r="100">
      <c r="A100" s="31" t="inlineStr">
        <is>
          <t>E2E</t>
        </is>
      </c>
      <c r="B100" s="31" t="inlineStr">
        <is>
          <t>E2E Networks Ltd</t>
        </is>
      </c>
      <c r="C100" s="31" t="inlineStr">
        <is>
          <t>i.t</t>
        </is>
      </c>
      <c r="D100" s="31" t="inlineStr">
        <is>
          <t>computers - software - medium / small</t>
        </is>
      </c>
      <c r="E100" s="31" t="inlineStr">
        <is>
          <t>midcap</t>
        </is>
      </c>
      <c r="F100" s="31" t="n">
        <v>13320.6</v>
      </c>
      <c r="G100" s="31" t="n">
        <v>648</v>
      </c>
      <c r="H100" s="31" t="n">
        <v>-0.38</v>
      </c>
      <c r="I100" s="31" t="n">
        <v>470548</v>
      </c>
      <c r="J100" s="31" t="inlineStr">
        <is>
          <t>535080</t>
        </is>
      </c>
    </row>
    <row r="101">
      <c r="A101" s="31" t="inlineStr">
        <is>
          <t>SPECIALITY</t>
        </is>
      </c>
      <c r="B101" s="31" t="inlineStr">
        <is>
          <t>Speciality Restaurants Limited</t>
        </is>
      </c>
      <c r="C101" s="31" t="inlineStr">
        <is>
          <t>services</t>
        </is>
      </c>
      <c r="D101" s="31" t="inlineStr">
        <is>
          <t>hotels</t>
        </is>
      </c>
      <c r="E101" s="31" t="inlineStr">
        <is>
          <t>smallcap</t>
        </is>
      </c>
      <c r="F101" s="31" t="n">
        <v>740.42</v>
      </c>
      <c r="G101" s="31" t="n">
        <v>153.5</v>
      </c>
      <c r="H101" s="31" t="n">
        <v>-0.39</v>
      </c>
      <c r="I101" s="31" t="n">
        <v>25371</v>
      </c>
      <c r="J101" s="31" t="inlineStr">
        <is>
          <t>534425</t>
        </is>
      </c>
    </row>
    <row r="102">
      <c r="A102" s="31" t="inlineStr">
        <is>
          <t>GPPL</t>
        </is>
      </c>
      <c r="B102" s="31" t="inlineStr">
        <is>
          <t>Gujarat Pipavav Port Limited</t>
        </is>
      </c>
      <c r="C102" s="31" t="inlineStr">
        <is>
          <t>transportation</t>
        </is>
      </c>
      <c r="D102" s="31" t="inlineStr">
        <is>
          <t>miscellaneous</t>
        </is>
      </c>
      <c r="E102" s="31" t="inlineStr">
        <is>
          <t>midcap</t>
        </is>
      </c>
      <c r="F102" s="31" t="n">
        <v>8019.3</v>
      </c>
      <c r="G102" s="31" t="n">
        <v>165.88</v>
      </c>
      <c r="H102" s="31" t="n">
        <v>-0.52</v>
      </c>
      <c r="I102" s="31" t="n">
        <v>1997403</v>
      </c>
      <c r="J102" s="31" t="inlineStr">
        <is>
          <t>533248</t>
        </is>
      </c>
    </row>
    <row r="103">
      <c r="A103" s="31" t="inlineStr">
        <is>
          <t>ASHIANA</t>
        </is>
      </c>
      <c r="B103" s="31" t="inlineStr">
        <is>
          <t>Ashiana Housing Limited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smallcap</t>
        </is>
      </c>
      <c r="F103" s="31" t="n">
        <v>3859.65</v>
      </c>
      <c r="G103" s="31" t="n">
        <v>383.95</v>
      </c>
      <c r="H103" s="31" t="n">
        <v>-0.53</v>
      </c>
      <c r="I103" s="31" t="n">
        <v>37988</v>
      </c>
      <c r="J103" s="31" t="inlineStr">
        <is>
          <t>523716</t>
        </is>
      </c>
    </row>
    <row r="104">
      <c r="A104" s="31" t="inlineStr">
        <is>
          <t>VINCOFE</t>
        </is>
      </c>
      <c r="B104" s="31" t="inlineStr">
        <is>
          <t>Vintage Coffee &amp; Beverages Ltd</t>
        </is>
      </c>
      <c r="C104" s="31" t="inlineStr">
        <is>
          <t>consumer discretionary</t>
        </is>
      </c>
      <c r="D104" s="31" t="inlineStr">
        <is>
          <t>trading</t>
        </is>
      </c>
      <c r="E104" s="31" t="inlineStr">
        <is>
          <t>smallcap</t>
        </is>
      </c>
      <c r="F104" s="31" t="n">
        <v>2607.09</v>
      </c>
      <c r="G104" s="31" t="n">
        <v>178.95</v>
      </c>
      <c r="H104" s="31" t="n">
        <v>-0.5600000000000001</v>
      </c>
      <c r="I104" s="31" t="n">
        <v>1031758</v>
      </c>
      <c r="J104" s="31" t="inlineStr">
        <is>
          <t>538920</t>
        </is>
      </c>
    </row>
    <row r="105">
      <c r="A105" s="31" t="inlineStr">
        <is>
          <t>SOMANYCERA</t>
        </is>
      </c>
      <c r="B105" s="31" t="inlineStr">
        <is>
          <t>Somany Ceramics Limited</t>
        </is>
      </c>
      <c r="C105" s="31" t="inlineStr">
        <is>
          <t>building materials</t>
        </is>
      </c>
      <c r="D105" s="31" t="inlineStr">
        <is>
          <t>ceramics - tiles / sanitaryware</t>
        </is>
      </c>
      <c r="E105" s="31" t="inlineStr">
        <is>
          <t>smallcap</t>
        </is>
      </c>
      <c r="F105" s="31" t="n">
        <v>2519.01</v>
      </c>
      <c r="G105" s="31" t="n">
        <v>614.2</v>
      </c>
      <c r="H105" s="31" t="n">
        <v>-0.57</v>
      </c>
      <c r="I105" s="31" t="n">
        <v>95859</v>
      </c>
      <c r="J105" s="31" t="inlineStr">
        <is>
          <t>531548</t>
        </is>
      </c>
    </row>
    <row r="106">
      <c r="A106" s="31" t="inlineStr">
        <is>
          <t>IBULLSLTD</t>
        </is>
      </c>
      <c r="B106" s="31" t="inlineStr">
        <is>
          <t>Indiabulls Limited</t>
        </is>
      </c>
      <c r="C106" s="31" t="inlineStr">
        <is>
          <t>miscellaneous</t>
        </is>
      </c>
      <c r="D106" s="31" t="inlineStr">
        <is>
          <t>diversified - medium / small</t>
        </is>
      </c>
      <c r="E106" s="31" t="inlineStr">
        <is>
          <t>midcap</t>
        </is>
      </c>
      <c r="F106" s="31" t="n">
        <v>6855.85</v>
      </c>
      <c r="G106" s="31" t="n">
        <v>29.43</v>
      </c>
      <c r="H106" s="31" t="n">
        <v>-0.61</v>
      </c>
      <c r="I106" s="31" t="n">
        <v>14659328</v>
      </c>
      <c r="J106" s="31" t="inlineStr">
        <is>
          <t>533520</t>
        </is>
      </c>
    </row>
    <row r="107">
      <c r="A107" s="31" t="inlineStr">
        <is>
          <t>TEGA</t>
        </is>
      </c>
      <c r="B107" s="31" t="inlineStr">
        <is>
          <t>Tega Industries Ltd</t>
        </is>
      </c>
      <c r="C107" s="31" t="inlineStr">
        <is>
          <t>industrials</t>
        </is>
      </c>
      <c r="D107" s="31" t="inlineStr">
        <is>
          <t>engineering</t>
        </is>
      </c>
      <c r="E107" s="31" t="inlineStr">
        <is>
          <t>midcap</t>
        </is>
      </c>
      <c r="F107" s="31" t="n">
        <v>15727.23</v>
      </c>
      <c r="G107" s="31" t="n">
        <v>2093.4</v>
      </c>
      <c r="H107" s="31" t="n">
        <v>-0.63</v>
      </c>
      <c r="I107" s="31" t="n">
        <v>408456</v>
      </c>
      <c r="J107" s="31" t="inlineStr">
        <is>
          <t>543413</t>
        </is>
      </c>
    </row>
    <row r="108">
      <c r="A108" s="31" t="inlineStr">
        <is>
          <t>RML</t>
        </is>
      </c>
      <c r="B108" s="31" t="inlineStr">
        <is>
          <t>Rane (madras) Limited</t>
        </is>
      </c>
      <c r="C108" s="31" t="inlineStr">
        <is>
          <t>auto</t>
        </is>
      </c>
      <c r="D108" s="31" t="inlineStr">
        <is>
          <t>auto ancillaries</t>
        </is>
      </c>
      <c r="E108" s="31" t="inlineStr">
        <is>
          <t>smallcap</t>
        </is>
      </c>
      <c r="F108" s="31" t="n">
        <v>3712.22</v>
      </c>
      <c r="G108" s="31" t="n">
        <v>1343.2</v>
      </c>
      <c r="H108" s="31" t="n">
        <v>-0.64</v>
      </c>
      <c r="I108" s="31" t="n">
        <v>58263</v>
      </c>
      <c r="J108" s="31" t="inlineStr">
        <is>
          <t>532661</t>
        </is>
      </c>
    </row>
    <row r="109">
      <c r="A109" s="31" t="inlineStr">
        <is>
          <t>EMIL</t>
        </is>
      </c>
      <c r="B109" s="31" t="inlineStr">
        <is>
          <t>Electronics Mart India Ltd</t>
        </is>
      </c>
      <c r="C109" s="31" t="inlineStr">
        <is>
          <t>consumer discretionary</t>
        </is>
      </c>
      <c r="D109" s="31" t="inlineStr">
        <is>
          <t>trading</t>
        </is>
      </c>
      <c r="E109" s="31" t="inlineStr">
        <is>
          <t>midcap</t>
        </is>
      </c>
      <c r="F109" s="31" t="n">
        <v>7850.8</v>
      </c>
      <c r="G109" s="31" t="n">
        <v>204.05</v>
      </c>
      <c r="H109" s="31" t="n">
        <v>-0.64</v>
      </c>
      <c r="I109" s="31" t="n">
        <v>4017614</v>
      </c>
      <c r="J109" s="31" t="inlineStr">
        <is>
          <t>543626</t>
        </is>
      </c>
    </row>
    <row r="110">
      <c r="A110" s="31" t="inlineStr">
        <is>
          <t>AKUMS</t>
        </is>
      </c>
      <c r="B110" s="31" t="inlineStr">
        <is>
          <t>Akums Drugs &amp; Pharmaceuticals Ltd</t>
        </is>
      </c>
      <c r="C110" s="31" t="inlineStr">
        <is>
          <t>healthcare</t>
        </is>
      </c>
      <c r="D110" s="31" t="inlineStr">
        <is>
          <t>pharmaceuticals - indian - bulk drugs &amp; formln</t>
        </is>
      </c>
      <c r="E110" s="31" t="inlineStr">
        <is>
          <t>midcap</t>
        </is>
      </c>
      <c r="F110" s="31" t="n">
        <v>12797.71</v>
      </c>
      <c r="G110" s="31" t="n">
        <v>813.1</v>
      </c>
      <c r="H110" s="31" t="n">
        <v>-0.66</v>
      </c>
      <c r="I110" s="31" t="n">
        <v>191282</v>
      </c>
      <c r="J110" s="31" t="inlineStr">
        <is>
          <t>544222</t>
        </is>
      </c>
    </row>
    <row r="111">
      <c r="A111" s="31" t="inlineStr">
        <is>
          <t>ARIES</t>
        </is>
      </c>
      <c r="B111" s="31" t="inlineStr">
        <is>
          <t>Aries Agro Limited</t>
        </is>
      </c>
      <c r="C111" s="31" t="inlineStr">
        <is>
          <t>chemicals</t>
        </is>
      </c>
      <c r="D111" s="31" t="inlineStr">
        <is>
          <t>fertilizers</t>
        </is>
      </c>
      <c r="E111" s="31" t="inlineStr">
        <is>
          <t>smallcap</t>
        </is>
      </c>
      <c r="F111" s="31" t="n">
        <v>620.83</v>
      </c>
      <c r="G111" s="31" t="n">
        <v>477.4</v>
      </c>
      <c r="H111" s="31" t="n">
        <v>-0.66</v>
      </c>
      <c r="I111" s="31" t="n">
        <v>27860</v>
      </c>
      <c r="J111" s="31" t="inlineStr">
        <is>
          <t>532935</t>
        </is>
      </c>
    </row>
    <row r="112">
      <c r="A112" s="31" t="inlineStr">
        <is>
          <t>MOTISONS</t>
        </is>
      </c>
      <c r="B112" s="31" t="inlineStr">
        <is>
          <t>Motisons Jewellers Ltd</t>
        </is>
      </c>
      <c r="C112" s="31" t="inlineStr">
        <is>
          <t>consumer discretionary</t>
        </is>
      </c>
      <c r="D112" s="31" t="inlineStr">
        <is>
          <t>diamond cutting / jewellery</t>
        </is>
      </c>
      <c r="E112" s="31" t="inlineStr">
        <is>
          <t>smallcap</t>
        </is>
      </c>
      <c r="F112" s="31" t="n">
        <v>2033.86</v>
      </c>
      <c r="G112" s="31" t="n">
        <v>17.88</v>
      </c>
      <c r="H112" s="31" t="n">
        <v>-0.67</v>
      </c>
      <c r="I112" s="31" t="n">
        <v>28260057</v>
      </c>
      <c r="J112" s="31" t="inlineStr">
        <is>
          <t>544053</t>
        </is>
      </c>
    </row>
    <row r="113">
      <c r="A113" s="31" t="inlineStr">
        <is>
          <t>MOLDTECH</t>
        </is>
      </c>
      <c r="B113" s="31" t="inlineStr">
        <is>
          <t>Mold-tek Technologies Limited</t>
        </is>
      </c>
      <c r="C113" s="31" t="inlineStr">
        <is>
          <t>realty</t>
        </is>
      </c>
      <c r="D113" s="31" t="inlineStr">
        <is>
          <t>engineering - turnkey services</t>
        </is>
      </c>
      <c r="E113" s="31" t="inlineStr">
        <is>
          <t>smallcap</t>
        </is>
      </c>
      <c r="F113" s="31" t="n">
        <v>589.87</v>
      </c>
      <c r="G113" s="31" t="n">
        <v>204.78</v>
      </c>
      <c r="H113" s="31" t="n">
        <v>-0.67</v>
      </c>
      <c r="I113" s="31" t="n">
        <v>30948</v>
      </c>
      <c r="J113" s="31" t="inlineStr">
        <is>
          <t>526263</t>
        </is>
      </c>
    </row>
    <row r="114">
      <c r="A114" s="31" t="inlineStr">
        <is>
          <t>CEIGALL</t>
        </is>
      </c>
      <c r="B114" s="31" t="inlineStr">
        <is>
          <t>Ceigall India Ltd</t>
        </is>
      </c>
      <c r="C114" s="31" t="inlineStr">
        <is>
          <t>realty</t>
        </is>
      </c>
      <c r="D114" s="31" t="inlineStr">
        <is>
          <t>construction</t>
        </is>
      </c>
      <c r="E114" s="31" t="inlineStr">
        <is>
          <t>midcap</t>
        </is>
      </c>
      <c r="F114" s="31" t="n">
        <v>6621.53</v>
      </c>
      <c r="G114" s="31" t="n">
        <v>380.1</v>
      </c>
      <c r="H114" s="31" t="n">
        <v>-0.6899999999999999</v>
      </c>
      <c r="I114" s="31" t="n">
        <v>170053</v>
      </c>
      <c r="J114" s="31" t="inlineStr">
        <is>
          <t>544223</t>
        </is>
      </c>
    </row>
    <row r="115">
      <c r="A115" s="31" t="inlineStr">
        <is>
          <t>ZIMLAB</t>
        </is>
      </c>
      <c r="B115" s="31" t="inlineStr">
        <is>
          <t>Zim Laboratories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smallcap</t>
        </is>
      </c>
      <c r="F115" s="31" t="n">
        <v>733.73</v>
      </c>
      <c r="G115" s="31" t="n">
        <v>137.02</v>
      </c>
      <c r="H115" s="31" t="n">
        <v>-0.6899999999999999</v>
      </c>
      <c r="I115" s="31" t="n">
        <v>129941</v>
      </c>
      <c r="J115" s="31" t="inlineStr">
        <is>
          <t>541400</t>
        </is>
      </c>
    </row>
    <row r="116">
      <c r="A116" s="31" t="inlineStr">
        <is>
          <t>CASTROLIND</t>
        </is>
      </c>
      <c r="B116" s="31" t="inlineStr">
        <is>
          <t>Castrol India Limited</t>
        </is>
      </c>
      <c r="C116" s="31" t="inlineStr">
        <is>
          <t>chemicals</t>
        </is>
      </c>
      <c r="D116" s="31" t="inlineStr">
        <is>
          <t>chemicals</t>
        </is>
      </c>
      <c r="E116" s="31" t="inlineStr">
        <is>
          <t>midcap</t>
        </is>
      </c>
      <c r="F116" s="31" t="n">
        <v>19687.49</v>
      </c>
      <c r="G116" s="31" t="n">
        <v>199.04</v>
      </c>
      <c r="H116" s="31" t="n">
        <v>-0.74</v>
      </c>
      <c r="I116" s="31" t="n">
        <v>2825230</v>
      </c>
      <c r="J116" s="31" t="inlineStr">
        <is>
          <t>500870</t>
        </is>
      </c>
    </row>
    <row r="117">
      <c r="A117" s="31" t="inlineStr">
        <is>
          <t>SANATHAN</t>
        </is>
      </c>
      <c r="B117" s="31" t="inlineStr">
        <is>
          <t>Sanathan Textiles Ltd</t>
        </is>
      </c>
      <c r="C117" s="31" t="inlineStr">
        <is>
          <t>textiles</t>
        </is>
      </c>
      <c r="D117" s="31" t="inlineStr">
        <is>
          <t>textiles - cotton/blended</t>
        </is>
      </c>
      <c r="E117" s="31" t="inlineStr">
        <is>
          <t>smallcap</t>
        </is>
      </c>
      <c r="F117" s="31" t="n">
        <v>4256.92</v>
      </c>
      <c r="G117" s="31" t="n">
        <v>504.35</v>
      </c>
      <c r="H117" s="31" t="n">
        <v>-0.75</v>
      </c>
      <c r="I117" s="31" t="n">
        <v>80531</v>
      </c>
      <c r="J117" s="31" t="inlineStr">
        <is>
          <t>544314</t>
        </is>
      </c>
    </row>
    <row r="118">
      <c r="A118" s="31" t="inlineStr">
        <is>
          <t>SUNTV</t>
        </is>
      </c>
      <c r="B118" s="31" t="inlineStr">
        <is>
          <t>Sun Tv Network Limited</t>
        </is>
      </c>
      <c r="C118" s="31" t="inlineStr">
        <is>
          <t>media</t>
        </is>
      </c>
      <c r="D118" s="31" t="inlineStr">
        <is>
          <t>entertainment / electronic media software</t>
        </is>
      </c>
      <c r="E118" s="31" t="inlineStr">
        <is>
          <t>largecap</t>
        </is>
      </c>
      <c r="F118" s="31" t="n">
        <v>23641.14</v>
      </c>
      <c r="G118" s="31" t="n">
        <v>599.9</v>
      </c>
      <c r="H118" s="31" t="n">
        <v>-0.84</v>
      </c>
      <c r="I118" s="31" t="n">
        <v>6014245</v>
      </c>
      <c r="J118" s="31" t="inlineStr">
        <is>
          <t>532733</t>
        </is>
      </c>
    </row>
    <row r="119">
      <c r="A119" s="31" t="inlineStr">
        <is>
          <t>THELEELA</t>
        </is>
      </c>
      <c r="B119" s="31" t="inlineStr">
        <is>
          <t>Leela Palaces Hotels &amp; Resorts Ltd</t>
        </is>
      </c>
      <c r="C119" s="31" t="inlineStr">
        <is>
          <t>services</t>
        </is>
      </c>
      <c r="D119" s="31" t="inlineStr">
        <is>
          <t>hotels</t>
        </is>
      </c>
      <c r="E119" s="31" t="inlineStr">
        <is>
          <t>midcap</t>
        </is>
      </c>
      <c r="F119" s="31" t="n">
        <v>19000.53</v>
      </c>
      <c r="G119" s="31" t="n">
        <v>568.95</v>
      </c>
      <c r="H119" s="31" t="n">
        <v>-0.85</v>
      </c>
      <c r="I119" s="31" t="n">
        <v>222623</v>
      </c>
      <c r="J119" s="31" t="inlineStr">
        <is>
          <t>544408</t>
        </is>
      </c>
    </row>
    <row r="120">
      <c r="A120" s="31" t="inlineStr">
        <is>
          <t>UNITEDPOLY</t>
        </is>
      </c>
      <c r="B120" s="31" t="inlineStr">
        <is>
          <t>United Polyfab Gujarat Ltd</t>
        </is>
      </c>
      <c r="C120" s="31" t="inlineStr">
        <is>
          <t>textiles</t>
        </is>
      </c>
      <c r="D120" s="31" t="inlineStr">
        <is>
          <t>textiles - products</t>
        </is>
      </c>
      <c r="E120" s="31" t="inlineStr">
        <is>
          <t>smallcap</t>
        </is>
      </c>
      <c r="F120" s="31" t="n">
        <v>1079.87</v>
      </c>
      <c r="G120" s="31" t="n">
        <v>47.05</v>
      </c>
      <c r="H120" s="31" t="n">
        <v>-0.88</v>
      </c>
      <c r="I120" s="31" t="n">
        <v>98775</v>
      </c>
      <c r="J120" s="31" t="inlineStr">
        <is>
          <t>533024</t>
        </is>
      </c>
    </row>
    <row r="121">
      <c r="A121" s="31" t="inlineStr">
        <is>
          <t>VALIANTLAB</t>
        </is>
      </c>
      <c r="B121" s="31" t="inlineStr">
        <is>
          <t>Valiant Laboratories Ltd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smallcap</t>
        </is>
      </c>
      <c r="F121" s="31" t="n">
        <v>679.34</v>
      </c>
      <c r="G121" s="31" t="n">
        <v>125.08</v>
      </c>
      <c r="H121" s="31" t="n">
        <v>-0.91</v>
      </c>
      <c r="I121" s="31" t="n">
        <v>163055</v>
      </c>
      <c r="J121" s="31" t="n"/>
    </row>
    <row r="122">
      <c r="A122" s="31" t="inlineStr">
        <is>
          <t>DMCC</t>
        </is>
      </c>
      <c r="B122" s="31" t="inlineStr">
        <is>
          <t>DMCC Speciality Chemicals Ltd</t>
        </is>
      </c>
      <c r="C122" s="31" t="inlineStr">
        <is>
          <t>chemicals</t>
        </is>
      </c>
      <c r="D122" s="31" t="inlineStr">
        <is>
          <t>chemicals</t>
        </is>
      </c>
      <c r="E122" s="31" t="inlineStr">
        <is>
          <t>smallcap</t>
        </is>
      </c>
      <c r="F122" s="31" t="n">
        <v>769.9</v>
      </c>
      <c r="G122" s="31" t="n">
        <v>308.7</v>
      </c>
      <c r="H122" s="31" t="n">
        <v>-0.96</v>
      </c>
      <c r="I122" s="31" t="n">
        <v>197626</v>
      </c>
      <c r="J122" s="31" t="inlineStr">
        <is>
          <t>506405</t>
        </is>
      </c>
    </row>
    <row r="123">
      <c r="A123" s="31" t="inlineStr">
        <is>
          <t>CARBORUNIV</t>
        </is>
      </c>
      <c r="B123" s="31" t="inlineStr">
        <is>
          <t>Carborundum Universal Limited</t>
        </is>
      </c>
      <c r="C123" s="31" t="inlineStr">
        <is>
          <t>industrials</t>
        </is>
      </c>
      <c r="D123" s="31" t="inlineStr">
        <is>
          <t>abrasives and grinding wheels</t>
        </is>
      </c>
      <c r="E123" s="31" t="inlineStr">
        <is>
          <t>largecap</t>
        </is>
      </c>
      <c r="F123" s="31" t="n">
        <v>23615.48</v>
      </c>
      <c r="G123" s="31" t="n">
        <v>1239.7</v>
      </c>
      <c r="H123" s="31" t="n">
        <v>-1.02</v>
      </c>
      <c r="I123" s="31" t="n">
        <v>384105</v>
      </c>
      <c r="J123" s="31" t="inlineStr">
        <is>
          <t>513375</t>
        </is>
      </c>
    </row>
    <row r="124">
      <c r="A124" s="31" t="inlineStr">
        <is>
          <t>SMSPHARMA</t>
        </is>
      </c>
      <c r="B124" s="31" t="inlineStr">
        <is>
          <t>Sms Pharmaceuticals Limited</t>
        </is>
      </c>
      <c r="C124" s="31" t="inlineStr">
        <is>
          <t>healthcare</t>
        </is>
      </c>
      <c r="D124" s="31" t="inlineStr">
        <is>
          <t>pharmaceuticals - indian - bulk drugs</t>
        </is>
      </c>
      <c r="E124" s="31" t="inlineStr">
        <is>
          <t>smallcap</t>
        </is>
      </c>
      <c r="F124" s="31" t="n">
        <v>4413.82</v>
      </c>
      <c r="G124" s="31" t="n">
        <v>471.3</v>
      </c>
      <c r="H124" s="31" t="n">
        <v>-1.11</v>
      </c>
      <c r="I124" s="31" t="n">
        <v>393944</v>
      </c>
      <c r="J124" s="31" t="inlineStr">
        <is>
          <t>532815</t>
        </is>
      </c>
    </row>
    <row r="125">
      <c r="A125" s="31" t="inlineStr">
        <is>
          <t>WSTCSTPAPR</t>
        </is>
      </c>
      <c r="B125" s="31" t="inlineStr">
        <is>
          <t>West Coast Paper Mills Limited</t>
        </is>
      </c>
      <c r="C125" s="31" t="inlineStr">
        <is>
          <t>building materials</t>
        </is>
      </c>
      <c r="D125" s="31" t="inlineStr">
        <is>
          <t>paper</t>
        </is>
      </c>
      <c r="E125" s="31" t="inlineStr">
        <is>
          <t>smallcap</t>
        </is>
      </c>
      <c r="F125" s="31" t="n">
        <v>4806.05</v>
      </c>
      <c r="G125" s="31" t="n">
        <v>727.65</v>
      </c>
      <c r="H125" s="31" t="n">
        <v>-1.22</v>
      </c>
      <c r="I125" s="31" t="n">
        <v>145287</v>
      </c>
      <c r="J125" s="31" t="inlineStr">
        <is>
          <t>500444</t>
        </is>
      </c>
    </row>
    <row r="126">
      <c r="A126" s="31" t="inlineStr">
        <is>
          <t>CPPLUS</t>
        </is>
      </c>
      <c r="B126" s="31" t="inlineStr">
        <is>
          <t>Aditya Infotech Ltd</t>
        </is>
      </c>
      <c r="C126" s="31" t="inlineStr">
        <is>
          <t>consumer discretionary</t>
        </is>
      </c>
      <c r="D126" s="31" t="inlineStr">
        <is>
          <t>trading</t>
        </is>
      </c>
      <c r="E126" s="31" t="inlineStr">
        <is>
          <t>largecap</t>
        </is>
      </c>
      <c r="F126" s="31" t="n">
        <v>44778.47</v>
      </c>
      <c r="G126" s="31" t="n">
        <v>3799.6</v>
      </c>
      <c r="H126" s="31" t="n">
        <v>-1.22</v>
      </c>
      <c r="I126" s="31" t="n">
        <v>119217</v>
      </c>
      <c r="J126" s="31" t="inlineStr">
        <is>
          <t>544466</t>
        </is>
      </c>
    </row>
    <row r="127">
      <c r="A127" s="31" t="inlineStr">
        <is>
          <t>QPOWER</t>
        </is>
      </c>
      <c r="B127" s="31" t="inlineStr">
        <is>
          <t>Quality Power Electrical Equipments Ltd</t>
        </is>
      </c>
      <c r="C127" s="31" t="inlineStr">
        <is>
          <t>industrials</t>
        </is>
      </c>
      <c r="D127" s="31" t="inlineStr">
        <is>
          <t>electric equipment</t>
        </is>
      </c>
      <c r="E127" s="31" t="inlineStr">
        <is>
          <t>midcap</t>
        </is>
      </c>
      <c r="F127" s="31" t="n">
        <v>12116.9</v>
      </c>
      <c r="G127" s="31" t="n">
        <v>1564.6</v>
      </c>
      <c r="H127" s="31" t="n">
        <v>-1.27</v>
      </c>
      <c r="I127" s="31" t="n">
        <v>317871</v>
      </c>
      <c r="J127" s="31" t="inlineStr">
        <is>
          <t>544367</t>
        </is>
      </c>
    </row>
    <row r="128">
      <c r="A128" s="31" t="inlineStr">
        <is>
          <t>MANAKSTEEL</t>
        </is>
      </c>
      <c r="B128" s="31" t="inlineStr">
        <is>
          <t>Manaksia Steels Limited</t>
        </is>
      </c>
      <c r="C128" s="31" t="inlineStr">
        <is>
          <t>metals &amp; mining</t>
        </is>
      </c>
      <c r="D128" s="31" t="inlineStr">
        <is>
          <t>steel - medium / small</t>
        </is>
      </c>
      <c r="E128" s="31" t="inlineStr">
        <is>
          <t>smallcap</t>
        </is>
      </c>
      <c r="F128" s="31" t="n">
        <v>713.6</v>
      </c>
      <c r="G128" s="31" t="n">
        <v>108.89</v>
      </c>
      <c r="H128" s="31" t="n">
        <v>-1.31</v>
      </c>
      <c r="I128" s="31" t="n">
        <v>23191</v>
      </c>
      <c r="J128" s="31" t="inlineStr">
        <is>
          <t>539044</t>
        </is>
      </c>
    </row>
    <row r="129">
      <c r="A129" s="31" t="inlineStr">
        <is>
          <t>RAYMOND</t>
        </is>
      </c>
      <c r="B129" s="31" t="inlineStr">
        <is>
          <t>Raymond Limited</t>
        </is>
      </c>
      <c r="C129" s="31" t="inlineStr">
        <is>
          <t>transportation</t>
        </is>
      </c>
      <c r="D129" s="31" t="inlineStr">
        <is>
          <t>transport - airlines</t>
        </is>
      </c>
      <c r="E129" s="31" t="inlineStr">
        <is>
          <t>midcap</t>
        </is>
      </c>
      <c r="F129" s="31" t="n">
        <v>7970.21</v>
      </c>
      <c r="G129" s="31" t="n">
        <v>1197.2</v>
      </c>
      <c r="H129" s="31" t="n">
        <v>-1.31</v>
      </c>
      <c r="I129" s="31" t="n">
        <v>1191490</v>
      </c>
      <c r="J129" s="31" t="inlineStr">
        <is>
          <t>500330</t>
        </is>
      </c>
    </row>
    <row r="130">
      <c r="A130" s="31" t="inlineStr">
        <is>
          <t>SETL</t>
        </is>
      </c>
      <c r="B130" s="31" t="inlineStr">
        <is>
          <t>Standard Enginnering Technology Ltd</t>
        </is>
      </c>
      <c r="C130" s="31" t="inlineStr">
        <is>
          <t>industrials</t>
        </is>
      </c>
      <c r="D130" s="31" t="inlineStr">
        <is>
          <t>engineering</t>
        </is>
      </c>
      <c r="E130" s="31" t="inlineStr">
        <is>
          <t>midcap</t>
        </is>
      </c>
      <c r="F130" s="31" t="n">
        <v>8317.799999999999</v>
      </c>
      <c r="G130" s="31" t="n">
        <v>416.95</v>
      </c>
      <c r="H130" s="31" t="n">
        <v>-1.38</v>
      </c>
      <c r="I130" s="31" t="n">
        <v>714646</v>
      </c>
      <c r="J130" s="31" t="inlineStr">
        <is>
          <t>544333</t>
        </is>
      </c>
    </row>
    <row r="131">
      <c r="A131" s="31" t="inlineStr">
        <is>
          <t>SWANDEF</t>
        </is>
      </c>
      <c r="B131" s="31" t="inlineStr">
        <is>
          <t>Swan Defence and Heavy Industries Ltd</t>
        </is>
      </c>
      <c r="C131" s="31" t="inlineStr">
        <is>
          <t>transportation</t>
        </is>
      </c>
      <c r="D131" s="31" t="inlineStr">
        <is>
          <t>miscellaneous</t>
        </is>
      </c>
      <c r="E131" s="31" t="inlineStr">
        <is>
          <t>midcap</t>
        </is>
      </c>
      <c r="F131" s="31" t="n">
        <v>14320.06</v>
      </c>
      <c r="G131" s="31" t="n">
        <v>2718.2</v>
      </c>
      <c r="H131" s="31" t="n">
        <v>-1.39</v>
      </c>
      <c r="I131" s="31" t="n">
        <v>22327</v>
      </c>
      <c r="J131" s="31" t="inlineStr">
        <is>
          <t>533107</t>
        </is>
      </c>
    </row>
    <row r="132">
      <c r="A132" s="31" t="inlineStr">
        <is>
          <t>SOLARA</t>
        </is>
      </c>
      <c r="B132" s="31" t="inlineStr">
        <is>
          <t>Solara Active Pharma Sciences Ltd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smallcap</t>
        </is>
      </c>
      <c r="F132" s="31" t="n">
        <v>3448.87</v>
      </c>
      <c r="G132" s="31" t="n">
        <v>714.85</v>
      </c>
      <c r="H132" s="31" t="n">
        <v>-1.45</v>
      </c>
      <c r="I132" s="31" t="n">
        <v>244820</v>
      </c>
      <c r="J132" s="31" t="inlineStr">
        <is>
          <t>541540</t>
        </is>
      </c>
    </row>
    <row r="133">
      <c r="A133" s="31" t="inlineStr">
        <is>
          <t>HITECHCORP</t>
        </is>
      </c>
      <c r="B133" s="31" t="inlineStr">
        <is>
          <t>Hitech Corporation</t>
        </is>
      </c>
      <c r="C133" s="31" t="inlineStr">
        <is>
          <t>industrials</t>
        </is>
      </c>
      <c r="D133" s="31" t="inlineStr">
        <is>
          <t>packaging</t>
        </is>
      </c>
      <c r="E133" s="31" t="inlineStr">
        <is>
          <t>smallcap</t>
        </is>
      </c>
      <c r="F133" s="31" t="n">
        <v>584.4</v>
      </c>
      <c r="G133" s="31" t="n">
        <v>340.25</v>
      </c>
      <c r="H133" s="31" t="n">
        <v>-1.45</v>
      </c>
      <c r="I133" s="31" t="n">
        <v>20052</v>
      </c>
      <c r="J133" s="31" t="inlineStr">
        <is>
          <t>526217</t>
        </is>
      </c>
    </row>
    <row r="134">
      <c r="A134" s="31" t="inlineStr">
        <is>
          <t>SHRINGARMS</t>
        </is>
      </c>
      <c r="B134" s="31" t="inlineStr">
        <is>
          <t>Shringar House of Mangalsutra Ltd</t>
        </is>
      </c>
      <c r="C134" s="31" t="inlineStr">
        <is>
          <t>consumer discretionary</t>
        </is>
      </c>
      <c r="D134" s="31" t="inlineStr">
        <is>
          <t>diamond cutting / jewellery</t>
        </is>
      </c>
      <c r="E134" s="31" t="inlineStr">
        <is>
          <t>smallcap</t>
        </is>
      </c>
      <c r="F134" s="31" t="n">
        <v>2134.14</v>
      </c>
      <c r="G134" s="31" t="n">
        <v>221.31</v>
      </c>
      <c r="H134" s="31" t="n">
        <v>-1.46</v>
      </c>
      <c r="I134" s="31" t="n">
        <v>1103142</v>
      </c>
      <c r="J134" s="31" t="inlineStr">
        <is>
          <t>544512</t>
        </is>
      </c>
    </row>
    <row r="135">
      <c r="A135" s="31" t="inlineStr">
        <is>
          <t>ACMESOLAR</t>
        </is>
      </c>
      <c r="B135" s="31" t="inlineStr">
        <is>
          <t>ACME Solar Holdings Ltd</t>
        </is>
      </c>
      <c r="C135" s="31" t="inlineStr">
        <is>
          <t>realty</t>
        </is>
      </c>
      <c r="D135" s="31" t="inlineStr">
        <is>
          <t>engineering - turnkey services</t>
        </is>
      </c>
      <c r="E135" s="31" t="inlineStr">
        <is>
          <t>largecap</t>
        </is>
      </c>
      <c r="F135" s="31" t="n">
        <v>30575.85</v>
      </c>
      <c r="G135" s="31" t="n">
        <v>432.55</v>
      </c>
      <c r="H135" s="31" t="n">
        <v>-1.47</v>
      </c>
      <c r="I135" s="31" t="n">
        <v>1085604</v>
      </c>
      <c r="J135" s="31" t="inlineStr">
        <is>
          <t>544283</t>
        </is>
      </c>
    </row>
    <row r="136">
      <c r="A136" s="31" t="inlineStr">
        <is>
          <t>SURAKSHA</t>
        </is>
      </c>
      <c r="B136" s="31" t="inlineStr">
        <is>
          <t>Suraksha Diagnostic Ltd</t>
        </is>
      </c>
      <c r="C136" s="31" t="inlineStr">
        <is>
          <t>healthcare</t>
        </is>
      </c>
      <c r="D136" s="31" t="inlineStr">
        <is>
          <t>healthcare</t>
        </is>
      </c>
      <c r="E136" s="31" t="inlineStr">
        <is>
          <t>smallcap</t>
        </is>
      </c>
      <c r="F136" s="31" t="n">
        <v>1823.61</v>
      </c>
      <c r="G136" s="31" t="n">
        <v>350.15</v>
      </c>
      <c r="H136" s="31" t="n">
        <v>-1.48</v>
      </c>
      <c r="I136" s="31" t="n">
        <v>93480</v>
      </c>
      <c r="J136" s="31" t="inlineStr">
        <is>
          <t>544293</t>
        </is>
      </c>
    </row>
    <row r="137">
      <c r="A137" s="31" t="inlineStr">
        <is>
          <t>NRAIL</t>
        </is>
      </c>
      <c r="B137" s="31" t="inlineStr">
        <is>
          <t>N R Agarwal Industries Ltd</t>
        </is>
      </c>
      <c r="C137" s="31" t="inlineStr">
        <is>
          <t>building materials</t>
        </is>
      </c>
      <c r="D137" s="31" t="inlineStr">
        <is>
          <t>paper</t>
        </is>
      </c>
      <c r="E137" s="31" t="inlineStr">
        <is>
          <t>smallcap</t>
        </is>
      </c>
      <c r="F137" s="31" t="n">
        <v>1122.41</v>
      </c>
      <c r="G137" s="31" t="n">
        <v>659.5</v>
      </c>
      <c r="H137" s="31" t="n">
        <v>-1.49</v>
      </c>
      <c r="I137" s="31" t="n">
        <v>22172</v>
      </c>
      <c r="J137" s="31" t="inlineStr">
        <is>
          <t>516082</t>
        </is>
      </c>
    </row>
    <row r="138">
      <c r="A138" s="31" t="inlineStr">
        <is>
          <t>PGIL</t>
        </is>
      </c>
      <c r="B138" s="31" t="inlineStr">
        <is>
          <t>Pearl Global Industries Limited</t>
        </is>
      </c>
      <c r="C138" s="31" t="inlineStr">
        <is>
          <t>readymade garments/apparels</t>
        </is>
      </c>
      <c r="D138" s="31" t="inlineStr">
        <is>
          <t>textiles - products</t>
        </is>
      </c>
      <c r="E138" s="31" t="inlineStr">
        <is>
          <t>midcap</t>
        </is>
      </c>
      <c r="F138" s="31" t="n">
        <v>11667.73</v>
      </c>
      <c r="G138" s="31" t="n">
        <v>1263</v>
      </c>
      <c r="H138" s="31" t="n">
        <v>-1.49</v>
      </c>
      <c r="I138" s="31" t="n">
        <v>115643</v>
      </c>
      <c r="J138" s="31" t="inlineStr">
        <is>
          <t>532808</t>
        </is>
      </c>
    </row>
    <row r="139">
      <c r="A139" s="31" t="inlineStr">
        <is>
          <t>RGL</t>
        </is>
      </c>
      <c r="B139" s="31" t="inlineStr">
        <is>
          <t>Renaissance Global Ltd</t>
        </is>
      </c>
      <c r="C139" s="31" t="inlineStr">
        <is>
          <t>consumer discretionary</t>
        </is>
      </c>
      <c r="D139" s="31" t="inlineStr">
        <is>
          <t>diamond cutting / jewellery</t>
        </is>
      </c>
      <c r="E139" s="31" t="inlineStr">
        <is>
          <t>smallcap</t>
        </is>
      </c>
      <c r="F139" s="31" t="n">
        <v>1744.74</v>
      </c>
      <c r="G139" s="31" t="n">
        <v>162.5</v>
      </c>
      <c r="H139" s="31" t="n">
        <v>-1.53</v>
      </c>
      <c r="I139" s="31" t="n">
        <v>658380</v>
      </c>
      <c r="J139" s="31" t="inlineStr">
        <is>
          <t>532923</t>
        </is>
      </c>
    </row>
    <row r="140">
      <c r="A140" s="31" t="inlineStr">
        <is>
          <t>FILATEX</t>
        </is>
      </c>
      <c r="B140" s="31" t="inlineStr">
        <is>
          <t>Filatex India Limited</t>
        </is>
      </c>
      <c r="C140" s="31" t="inlineStr">
        <is>
          <t>textiles</t>
        </is>
      </c>
      <c r="D140" s="31" t="inlineStr">
        <is>
          <t>textiles - manmade</t>
        </is>
      </c>
      <c r="E140" s="31" t="inlineStr">
        <is>
          <t>smallcap</t>
        </is>
      </c>
      <c r="F140" s="31" t="n">
        <v>4711.46</v>
      </c>
      <c r="G140" s="31" t="n">
        <v>106.1</v>
      </c>
      <c r="H140" s="31" t="n">
        <v>-1.54</v>
      </c>
      <c r="I140" s="31" t="n">
        <v>3522416</v>
      </c>
      <c r="J140" s="31" t="inlineStr">
        <is>
          <t>526227</t>
        </is>
      </c>
    </row>
    <row r="141">
      <c r="A141" s="31" t="inlineStr">
        <is>
          <t>GMMPFAUDLR</t>
        </is>
      </c>
      <c r="B141" s="31" t="inlineStr">
        <is>
          <t>GMM Pfaudler Ltd</t>
        </is>
      </c>
      <c r="C141" s="31" t="inlineStr">
        <is>
          <t>industrials</t>
        </is>
      </c>
      <c r="D141" s="31" t="inlineStr">
        <is>
          <t>engineering</t>
        </is>
      </c>
      <c r="E141" s="31" t="inlineStr">
        <is>
          <t>midcap</t>
        </is>
      </c>
      <c r="F141" s="31" t="n">
        <v>6489.13</v>
      </c>
      <c r="G141" s="31" t="n">
        <v>1443.4</v>
      </c>
      <c r="H141" s="31" t="n">
        <v>-1.59</v>
      </c>
      <c r="I141" s="31" t="n">
        <v>328964</v>
      </c>
      <c r="J141" s="31" t="inlineStr">
        <is>
          <t>505255</t>
        </is>
      </c>
    </row>
    <row r="142">
      <c r="A142" s="31" t="inlineStr">
        <is>
          <t>ACE</t>
        </is>
      </c>
      <c r="B142" s="31" t="inlineStr">
        <is>
          <t>Action Construction Equipment Limited</t>
        </is>
      </c>
      <c r="C142" s="31" t="inlineStr">
        <is>
          <t>industrials</t>
        </is>
      </c>
      <c r="D142" s="31" t="inlineStr">
        <is>
          <t>engineering</t>
        </is>
      </c>
      <c r="E142" s="31" t="inlineStr">
        <is>
          <t>midcap</t>
        </is>
      </c>
      <c r="F142" s="31" t="n">
        <v>14436.46</v>
      </c>
      <c r="G142" s="31" t="n">
        <v>1212.3</v>
      </c>
      <c r="H142" s="31" t="n">
        <v>-1.6</v>
      </c>
      <c r="I142" s="31" t="n">
        <v>465866</v>
      </c>
      <c r="J142" s="31" t="inlineStr">
        <is>
          <t>532762</t>
        </is>
      </c>
    </row>
    <row r="143">
      <c r="A143" s="31" t="inlineStr">
        <is>
          <t>LLOYDSENT</t>
        </is>
      </c>
      <c r="B143" s="31" t="inlineStr">
        <is>
          <t>Lloyds Enterprises Ltd</t>
        </is>
      </c>
      <c r="C143" s="31" t="inlineStr">
        <is>
          <t>services</t>
        </is>
      </c>
      <c r="D143" s="31" t="inlineStr">
        <is>
          <t>trading</t>
        </is>
      </c>
      <c r="E143" s="31" t="inlineStr">
        <is>
          <t>midcap</t>
        </is>
      </c>
      <c r="F143" s="31" t="n">
        <v>11899.47</v>
      </c>
      <c r="G143" s="31" t="n">
        <v>77.95</v>
      </c>
      <c r="H143" s="31" t="n">
        <v>-1.62</v>
      </c>
      <c r="I143" s="31" t="n">
        <v>3290009</v>
      </c>
      <c r="J143" s="31" t="inlineStr">
        <is>
          <t>512463</t>
        </is>
      </c>
    </row>
    <row r="144">
      <c r="A144" s="31" t="inlineStr">
        <is>
          <t>SHANTIGOLD</t>
        </is>
      </c>
      <c r="B144" s="31" t="inlineStr">
        <is>
          <t>Shanti Gold International Ltd</t>
        </is>
      </c>
      <c r="C144" s="31" t="inlineStr">
        <is>
          <t>consumer discretionary</t>
        </is>
      </c>
      <c r="D144" s="31" t="inlineStr">
        <is>
          <t>diamond cutting / jewellery</t>
        </is>
      </c>
      <c r="E144" s="31" t="inlineStr">
        <is>
          <t>smallcap</t>
        </is>
      </c>
      <c r="F144" s="31" t="n">
        <v>2329.43</v>
      </c>
      <c r="G144" s="31" t="n">
        <v>303.55</v>
      </c>
      <c r="H144" s="31" t="n">
        <v>-1.64</v>
      </c>
      <c r="I144" s="31" t="n">
        <v>2237991</v>
      </c>
      <c r="J144" s="31" t="inlineStr">
        <is>
          <t>544459</t>
        </is>
      </c>
    </row>
    <row r="145">
      <c r="A145" s="31" t="inlineStr">
        <is>
          <t>IGPL</t>
        </is>
      </c>
      <c r="B145" s="31" t="inlineStr">
        <is>
          <t>Ig Petrochemicals Limited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smallcap</t>
        </is>
      </c>
      <c r="F145" s="31" t="n">
        <v>1753.92</v>
      </c>
      <c r="G145" s="31" t="n">
        <v>569.55</v>
      </c>
      <c r="H145" s="31" t="n">
        <v>-1.76</v>
      </c>
      <c r="I145" s="31" t="n">
        <v>61516</v>
      </c>
      <c r="J145" s="31" t="inlineStr">
        <is>
          <t>500199</t>
        </is>
      </c>
    </row>
    <row r="146">
      <c r="A146" s="31" t="inlineStr">
        <is>
          <t>KROSS</t>
        </is>
      </c>
      <c r="B146" s="31" t="inlineStr">
        <is>
          <t>Kross Ltd</t>
        </is>
      </c>
      <c r="C146" s="31" t="inlineStr">
        <is>
          <t>auto</t>
        </is>
      </c>
      <c r="D146" s="31" t="inlineStr">
        <is>
          <t>auto ancillaries</t>
        </is>
      </c>
      <c r="E146" s="31" t="inlineStr">
        <is>
          <t>smallcap</t>
        </is>
      </c>
      <c r="F146" s="31" t="n">
        <v>1666.92</v>
      </c>
      <c r="G146" s="31" t="n">
        <v>258.4</v>
      </c>
      <c r="H146" s="31" t="n">
        <v>-1.77</v>
      </c>
      <c r="I146" s="31" t="n">
        <v>670329</v>
      </c>
      <c r="J146" s="31" t="inlineStr">
        <is>
          <t>544253</t>
        </is>
      </c>
    </row>
    <row r="147">
      <c r="A147" s="31" t="inlineStr">
        <is>
          <t>NEOGEN</t>
        </is>
      </c>
      <c r="B147" s="31" t="inlineStr">
        <is>
          <t>Neogen Chemicals Ltd</t>
        </is>
      </c>
      <c r="C147" s="31" t="inlineStr">
        <is>
          <t>chemicals</t>
        </is>
      </c>
      <c r="D147" s="31" t="inlineStr">
        <is>
          <t>chemicals</t>
        </is>
      </c>
      <c r="E147" s="31" t="inlineStr">
        <is>
          <t>midcap</t>
        </is>
      </c>
      <c r="F147" s="31" t="n">
        <v>7231.51</v>
      </c>
      <c r="G147" s="31" t="n">
        <v>2407.1</v>
      </c>
      <c r="H147" s="31" t="n">
        <v>-1.82</v>
      </c>
      <c r="I147" s="31" t="n">
        <v>103868</v>
      </c>
      <c r="J147" s="31" t="inlineStr">
        <is>
          <t>542665</t>
        </is>
      </c>
    </row>
    <row r="148">
      <c r="A148" s="31" t="inlineStr">
        <is>
          <t>ANDHRAPAP</t>
        </is>
      </c>
      <c r="B148" s="31" t="inlineStr">
        <is>
          <t>Andhra Paper Ltd</t>
        </is>
      </c>
      <c r="C148" s="31" t="inlineStr">
        <is>
          <t>building materials</t>
        </is>
      </c>
      <c r="D148" s="31" t="inlineStr">
        <is>
          <t>paper</t>
        </is>
      </c>
      <c r="E148" s="31" t="inlineStr">
        <is>
          <t>smallcap</t>
        </is>
      </c>
      <c r="F148" s="31" t="n">
        <v>1419</v>
      </c>
      <c r="G148" s="31" t="n">
        <v>71.36</v>
      </c>
      <c r="H148" s="31" t="n">
        <v>-1.82</v>
      </c>
      <c r="I148" s="31" t="n">
        <v>222862</v>
      </c>
      <c r="J148" s="31" t="inlineStr">
        <is>
          <t>502330</t>
        </is>
      </c>
    </row>
    <row r="149">
      <c r="A149" s="31" t="inlineStr">
        <is>
          <t>TBZ</t>
        </is>
      </c>
      <c r="B149" s="31" t="inlineStr">
        <is>
          <t>Tribhovandas Bhimji Zaveri Limited</t>
        </is>
      </c>
      <c r="C149" s="31" t="inlineStr">
        <is>
          <t>consumer discretionary</t>
        </is>
      </c>
      <c r="D149" s="31" t="inlineStr">
        <is>
          <t>diamond cutting / jewellery</t>
        </is>
      </c>
      <c r="E149" s="31" t="inlineStr">
        <is>
          <t>smallcap</t>
        </is>
      </c>
      <c r="F149" s="31" t="n">
        <v>4160.32</v>
      </c>
      <c r="G149" s="31" t="n">
        <v>623.45</v>
      </c>
      <c r="H149" s="31" t="n">
        <v>-1.83</v>
      </c>
      <c r="I149" s="31" t="n">
        <v>121799</v>
      </c>
      <c r="J149" s="31" t="inlineStr">
        <is>
          <t>534369</t>
        </is>
      </c>
    </row>
    <row r="150">
      <c r="A150" s="31" t="inlineStr">
        <is>
          <t>GREAVESCOT</t>
        </is>
      </c>
      <c r="B150" s="31" t="inlineStr">
        <is>
          <t>Greaves Cotton Limited</t>
        </is>
      </c>
      <c r="C150" s="31" t="inlineStr">
        <is>
          <t>industrials</t>
        </is>
      </c>
      <c r="D150" s="31" t="inlineStr">
        <is>
          <t>engines</t>
        </is>
      </c>
      <c r="E150" s="31" t="inlineStr">
        <is>
          <t>midcap</t>
        </is>
      </c>
      <c r="F150" s="31" t="n">
        <v>5264.24</v>
      </c>
      <c r="G150" s="31" t="n">
        <v>225.98</v>
      </c>
      <c r="H150" s="31" t="n">
        <v>-1.87</v>
      </c>
      <c r="I150" s="31" t="n">
        <v>1763832</v>
      </c>
      <c r="J150" s="31" t="inlineStr">
        <is>
          <t>501455</t>
        </is>
      </c>
    </row>
    <row r="151">
      <c r="A151" s="31" t="inlineStr">
        <is>
          <t>GESHIP</t>
        </is>
      </c>
      <c r="B151" s="31" t="inlineStr">
        <is>
          <t>The Great Eastern Shipping Company Limited</t>
        </is>
      </c>
      <c r="C151" s="31" t="inlineStr">
        <is>
          <t>transportation</t>
        </is>
      </c>
      <c r="D151" s="31" t="inlineStr">
        <is>
          <t>shipping</t>
        </is>
      </c>
      <c r="E151" s="31" t="inlineStr">
        <is>
          <t>largecap</t>
        </is>
      </c>
      <c r="F151" s="31" t="n">
        <v>21851.94</v>
      </c>
      <c r="G151" s="31" t="n">
        <v>1530.6</v>
      </c>
      <c r="H151" s="31" t="n">
        <v>-1.88</v>
      </c>
      <c r="I151" s="31" t="n">
        <v>574389</v>
      </c>
      <c r="J151" s="31" t="inlineStr">
        <is>
          <t>500620</t>
        </is>
      </c>
    </row>
    <row r="152">
      <c r="A152" s="31" t="inlineStr">
        <is>
          <t>SATIA</t>
        </is>
      </c>
      <c r="B152" s="31" t="inlineStr">
        <is>
          <t>Satia Industries Ltd</t>
        </is>
      </c>
      <c r="C152" s="31" t="inlineStr">
        <is>
          <t>building materials</t>
        </is>
      </c>
      <c r="D152" s="31" t="inlineStr">
        <is>
          <t>paper</t>
        </is>
      </c>
      <c r="E152" s="31" t="inlineStr">
        <is>
          <t>smallcap</t>
        </is>
      </c>
      <c r="F152" s="31" t="n">
        <v>683.4</v>
      </c>
      <c r="G152" s="31" t="n">
        <v>68.34</v>
      </c>
      <c r="H152" s="31" t="n">
        <v>-1.95</v>
      </c>
      <c r="I152" s="31" t="n">
        <v>125480</v>
      </c>
      <c r="J152" s="31" t="inlineStr">
        <is>
          <t>539201</t>
        </is>
      </c>
    </row>
    <row r="153">
      <c r="A153" s="31" t="inlineStr">
        <is>
          <t>TIRUPATIFL</t>
        </is>
      </c>
      <c r="B153" s="31" t="inlineStr">
        <is>
          <t>Tirupati Forge Ltd</t>
        </is>
      </c>
      <c r="C153" s="31" t="inlineStr">
        <is>
          <t>castings, forgings &amp; fasteners</t>
        </is>
      </c>
      <c r="D153" s="31" t="inlineStr">
        <is>
          <t>castings &amp; forgings</t>
        </is>
      </c>
      <c r="E153" s="31" t="inlineStr">
        <is>
          <t>smallcap</t>
        </is>
      </c>
      <c r="F153" s="31" t="n">
        <v>977.38</v>
      </c>
      <c r="G153" s="31" t="n">
        <v>75.16</v>
      </c>
      <c r="H153" s="31" t="n">
        <v>-2</v>
      </c>
      <c r="I153" s="31" t="n">
        <v>139143</v>
      </c>
      <c r="J153" s="31" t="inlineStr">
        <is>
          <t>535021</t>
        </is>
      </c>
    </row>
    <row r="154">
      <c r="A154" s="31" t="inlineStr">
        <is>
          <t>NRL</t>
        </is>
      </c>
      <c r="B154" s="31" t="inlineStr">
        <is>
          <t>Nupur Recyclers Ltd</t>
        </is>
      </c>
      <c r="C154" s="31" t="inlineStr">
        <is>
          <t>services</t>
        </is>
      </c>
      <c r="D154" s="31" t="inlineStr">
        <is>
          <t>trading</t>
        </is>
      </c>
      <c r="E154" s="31" t="inlineStr">
        <is>
          <t>smallcap</t>
        </is>
      </c>
      <c r="F154" s="31" t="n">
        <v>1081.69</v>
      </c>
      <c r="G154" s="31" t="n">
        <v>156.61</v>
      </c>
      <c r="H154" s="31" t="n">
        <v>-2</v>
      </c>
      <c r="I154" s="31" t="n">
        <v>56197</v>
      </c>
      <c r="J154" s="31" t="inlineStr">
        <is>
          <t>535413</t>
        </is>
      </c>
    </row>
    <row r="155">
      <c r="A155" s="31" t="inlineStr">
        <is>
          <t>CENTUM</t>
        </is>
      </c>
      <c r="B155" s="31" t="inlineStr">
        <is>
          <t>Centum Electronics Limited</t>
        </is>
      </c>
      <c r="C155" s="31" t="inlineStr">
        <is>
          <t>aerospace &amp; defence</t>
        </is>
      </c>
      <c r="D155" s="31" t="inlineStr">
        <is>
          <t>electronics - components</t>
        </is>
      </c>
      <c r="E155" s="31" t="inlineStr">
        <is>
          <t>midcap</t>
        </is>
      </c>
      <c r="F155" s="31" t="n">
        <v>6939.25</v>
      </c>
      <c r="G155" s="31" t="n">
        <v>4701.7</v>
      </c>
      <c r="H155" s="31" t="n">
        <v>-2.01</v>
      </c>
      <c r="I155" s="31" t="n">
        <v>79168</v>
      </c>
      <c r="J155" s="31" t="inlineStr">
        <is>
          <t>517544</t>
        </is>
      </c>
    </row>
    <row r="156">
      <c r="A156" s="31" t="inlineStr">
        <is>
          <t>NAZARA</t>
        </is>
      </c>
      <c r="B156" s="31" t="inlineStr">
        <is>
          <t>Nazara Technologies Ltd</t>
        </is>
      </c>
      <c r="C156" s="31" t="inlineStr">
        <is>
          <t>i.t</t>
        </is>
      </c>
      <c r="D156" s="31" t="inlineStr">
        <is>
          <t>telecommunications - service provider</t>
        </is>
      </c>
      <c r="E156" s="31" t="inlineStr">
        <is>
          <t>midcap</t>
        </is>
      </c>
      <c r="F156" s="31" t="n">
        <v>14799.26</v>
      </c>
      <c r="G156" s="31" t="n">
        <v>384.7</v>
      </c>
      <c r="H156" s="31" t="n">
        <v>-2.07</v>
      </c>
      <c r="I156" s="31" t="n">
        <v>1314362</v>
      </c>
      <c r="J156" s="31" t="inlineStr">
        <is>
          <t>543280</t>
        </is>
      </c>
    </row>
    <row r="157">
      <c r="A157" s="31" t="inlineStr">
        <is>
          <t>SAMBHV</t>
        </is>
      </c>
      <c r="B157" s="31" t="inlineStr">
        <is>
          <t>Sambhv Steel Tubes Ltd</t>
        </is>
      </c>
      <c r="C157" s="31" t="inlineStr">
        <is>
          <t>metals &amp; mining</t>
        </is>
      </c>
      <c r="D157" s="31" t="inlineStr">
        <is>
          <t>steel - medium / small</t>
        </is>
      </c>
      <c r="E157" s="31" t="inlineStr">
        <is>
          <t>smallcap</t>
        </is>
      </c>
      <c r="F157" s="31" t="n">
        <v>4757.47</v>
      </c>
      <c r="G157" s="31" t="n">
        <v>161.45</v>
      </c>
      <c r="H157" s="31" t="n">
        <v>-2.09</v>
      </c>
      <c r="I157" s="31" t="n">
        <v>3619878</v>
      </c>
      <c r="J157" s="31" t="inlineStr">
        <is>
          <t>544430</t>
        </is>
      </c>
    </row>
    <row r="158">
      <c r="A158" s="31" t="inlineStr">
        <is>
          <t>REDINGTON</t>
        </is>
      </c>
      <c r="B158" s="31" t="inlineStr">
        <is>
          <t>Redington (india) Limited</t>
        </is>
      </c>
      <c r="C158" s="31" t="inlineStr">
        <is>
          <t>services</t>
        </is>
      </c>
      <c r="D158" s="31" t="inlineStr">
        <is>
          <t>trading</t>
        </is>
      </c>
      <c r="E158" s="31" t="inlineStr">
        <is>
          <t>largecap</t>
        </is>
      </c>
      <c r="F158" s="31" t="n">
        <v>31110.71</v>
      </c>
      <c r="G158" s="31" t="n">
        <v>397.95</v>
      </c>
      <c r="H158" s="31" t="n">
        <v>-2.22</v>
      </c>
      <c r="I158" s="31" t="n">
        <v>2795102</v>
      </c>
      <c r="J158" s="31" t="inlineStr">
        <is>
          <t>532805</t>
        </is>
      </c>
    </row>
    <row r="159">
      <c r="A159" s="31" t="inlineStr">
        <is>
          <t>SHIVALIK</t>
        </is>
      </c>
      <c r="B159" s="31" t="inlineStr">
        <is>
          <t>Shivalik Rasayan Ltd</t>
        </is>
      </c>
      <c r="C159" s="31" t="inlineStr">
        <is>
          <t>chemicals</t>
        </is>
      </c>
      <c r="D159" s="31" t="inlineStr">
        <is>
          <t>pesticides / agrochemicals - indian</t>
        </is>
      </c>
      <c r="E159" s="31" t="inlineStr">
        <is>
          <t>smallcap</t>
        </is>
      </c>
      <c r="F159" s="31" t="n">
        <v>631.76</v>
      </c>
      <c r="G159" s="31" t="n">
        <v>394.05</v>
      </c>
      <c r="H159" s="31" t="n">
        <v>-2.33</v>
      </c>
      <c r="I159" s="31" t="n">
        <v>99182</v>
      </c>
      <c r="J159" s="31" t="inlineStr">
        <is>
          <t>539148</t>
        </is>
      </c>
    </row>
    <row r="160">
      <c r="A160" s="31" t="inlineStr">
        <is>
          <t>ESAFSFB</t>
        </is>
      </c>
      <c r="B160" s="31" t="inlineStr">
        <is>
          <t>ESAF Small Finance Bank Ltd</t>
        </is>
      </c>
      <c r="C160" s="31" t="inlineStr">
        <is>
          <t>bank</t>
        </is>
      </c>
      <c r="D160" s="31" t="inlineStr">
        <is>
          <t>banks - private sector</t>
        </is>
      </c>
      <c r="E160" s="31" t="inlineStr">
        <is>
          <t>smallcap</t>
        </is>
      </c>
      <c r="F160" s="31" t="n">
        <v>2239.23</v>
      </c>
      <c r="G160" s="31" t="n">
        <v>43.4</v>
      </c>
      <c r="H160" s="31" t="n">
        <v>-2.52</v>
      </c>
      <c r="I160" s="31" t="n">
        <v>438635</v>
      </c>
      <c r="J160" s="31" t="inlineStr">
        <is>
          <t>544020</t>
        </is>
      </c>
    </row>
    <row r="161">
      <c r="A161" s="31" t="inlineStr">
        <is>
          <t>JASH</t>
        </is>
      </c>
      <c r="B161" s="31" t="inlineStr">
        <is>
          <t>Jash Engineering Ltd</t>
        </is>
      </c>
      <c r="C161" s="31" t="inlineStr">
        <is>
          <t>industrials</t>
        </is>
      </c>
      <c r="D161" s="31" t="inlineStr">
        <is>
          <t>engineering</t>
        </is>
      </c>
      <c r="E161" s="31" t="inlineStr">
        <is>
          <t>smallcap</t>
        </is>
      </c>
      <c r="F161" s="31" t="n">
        <v>3641.85</v>
      </c>
      <c r="G161" s="31" t="n">
        <v>576.3</v>
      </c>
      <c r="H161" s="31" t="n">
        <v>-2.59</v>
      </c>
      <c r="I161" s="31" t="n">
        <v>408620</v>
      </c>
      <c r="J161" s="31" t="inlineStr">
        <is>
          <t>535019</t>
        </is>
      </c>
    </row>
    <row r="162">
      <c r="A162" s="31" t="inlineStr">
        <is>
          <t>INDIAGLYCO</t>
        </is>
      </c>
      <c r="B162" s="31" t="inlineStr">
        <is>
          <t>India Glycols Limited</t>
        </is>
      </c>
      <c r="C162" s="31" t="inlineStr">
        <is>
          <t>fmcg</t>
        </is>
      </c>
      <c r="D162" s="31" t="inlineStr">
        <is>
          <t>breweries &amp; distilleries</t>
        </is>
      </c>
      <c r="E162" s="31" t="inlineStr">
        <is>
          <t>smallcap</t>
        </is>
      </c>
      <c r="F162" s="31" t="n">
        <v>2002.76</v>
      </c>
      <c r="G162" s="31" t="n">
        <v>298.8</v>
      </c>
      <c r="H162" s="31" t="n">
        <v>-2.8</v>
      </c>
      <c r="I162" s="31" t="n">
        <v>273493</v>
      </c>
      <c r="J162" s="31" t="inlineStr">
        <is>
          <t>500201</t>
        </is>
      </c>
    </row>
    <row r="163">
      <c r="A163" s="31" t="inlineStr">
        <is>
          <t>QUADFUTURE</t>
        </is>
      </c>
      <c r="B163" s="31" t="inlineStr">
        <is>
          <t>Quadrant Future Tek Ltd</t>
        </is>
      </c>
      <c r="C163" s="31" t="inlineStr">
        <is>
          <t>industrials</t>
        </is>
      </c>
      <c r="D163" s="31" t="inlineStr">
        <is>
          <t>cables - power</t>
        </is>
      </c>
      <c r="E163" s="31" t="inlineStr">
        <is>
          <t>smallcap</t>
        </is>
      </c>
      <c r="F163" s="31" t="n">
        <v>2125.6</v>
      </c>
      <c r="G163" s="31" t="n">
        <v>531.4</v>
      </c>
      <c r="H163" s="31" t="n">
        <v>-2.93</v>
      </c>
      <c r="I163" s="31" t="n">
        <v>403649</v>
      </c>
      <c r="J163" s="31" t="inlineStr">
        <is>
          <t>544336</t>
        </is>
      </c>
    </row>
    <row r="164">
      <c r="A164" s="31" t="inlineStr">
        <is>
          <t>RAYMONDREL</t>
        </is>
      </c>
      <c r="B164" s="31" t="inlineStr">
        <is>
          <t>Raymond Realty Ltd</t>
        </is>
      </c>
      <c r="C164" s="31" t="inlineStr">
        <is>
          <t>realty</t>
        </is>
      </c>
      <c r="D164" s="31" t="inlineStr">
        <is>
          <t>construction</t>
        </is>
      </c>
      <c r="E164" s="31" t="inlineStr">
        <is>
          <t>smallcap</t>
        </is>
      </c>
      <c r="F164" s="31" t="n">
        <v>4316.97</v>
      </c>
      <c r="G164" s="31" t="n">
        <v>648.45</v>
      </c>
      <c r="H164" s="31" t="n">
        <v>-3.21</v>
      </c>
      <c r="I164" s="31" t="n">
        <v>853435</v>
      </c>
      <c r="J164" s="31" t="inlineStr">
        <is>
          <t>544420</t>
        </is>
      </c>
    </row>
    <row r="165">
      <c r="A165" s="31" t="inlineStr">
        <is>
          <t>GALAPREC</t>
        </is>
      </c>
      <c r="B165" s="31" t="inlineStr">
        <is>
          <t>Gala Precision Engineering Ltd</t>
        </is>
      </c>
      <c r="C165" s="31" t="inlineStr">
        <is>
          <t>castings, forgings &amp; fasteners</t>
        </is>
      </c>
      <c r="D165" s="31" t="inlineStr">
        <is>
          <t>fasteners</t>
        </is>
      </c>
      <c r="E165" s="31" t="inlineStr">
        <is>
          <t>smallcap</t>
        </is>
      </c>
      <c r="F165" s="31" t="n">
        <v>1483.86</v>
      </c>
      <c r="G165" s="31" t="n">
        <v>1157.8</v>
      </c>
      <c r="H165" s="31" t="n">
        <v>-3.29</v>
      </c>
      <c r="I165" s="31" t="n">
        <v>62711</v>
      </c>
      <c r="J165" s="31" t="inlineStr">
        <is>
          <t>544244</t>
        </is>
      </c>
    </row>
    <row r="166">
      <c r="A166" s="31" t="inlineStr">
        <is>
          <t>EDELWEISS</t>
        </is>
      </c>
      <c r="B166" s="31" t="inlineStr">
        <is>
          <t>Edelweiss Financial Services Limited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midcap</t>
        </is>
      </c>
      <c r="F166" s="31" t="n">
        <v>13052.67</v>
      </c>
      <c r="G166" s="31" t="n">
        <v>137.9</v>
      </c>
      <c r="H166" s="31" t="n">
        <v>-3.38</v>
      </c>
      <c r="I166" s="31" t="n">
        <v>6165446</v>
      </c>
      <c r="J166" s="31" t="inlineStr">
        <is>
          <t>532922</t>
        </is>
      </c>
    </row>
    <row r="167">
      <c r="A167" s="31" t="inlineStr">
        <is>
          <t>AZAD</t>
        </is>
      </c>
      <c r="B167" s="31" t="inlineStr">
        <is>
          <t>Azad Engineering Ltd</t>
        </is>
      </c>
      <c r="C167" s="31" t="inlineStr">
        <is>
          <t>aerospace &amp; defence</t>
        </is>
      </c>
      <c r="D167" s="31" t="inlineStr">
        <is>
          <t>engineering</t>
        </is>
      </c>
      <c r="E167" s="31" t="inlineStr">
        <is>
          <t>midcap</t>
        </is>
      </c>
      <c r="F167" s="31" t="n">
        <v>18476.19</v>
      </c>
      <c r="G167" s="31" t="n">
        <v>2860.9</v>
      </c>
      <c r="H167" s="31" t="n">
        <v>-3.45</v>
      </c>
      <c r="I167" s="31" t="n">
        <v>1334621</v>
      </c>
      <c r="J167" s="31" t="inlineStr">
        <is>
          <t>544061</t>
        </is>
      </c>
    </row>
    <row r="168">
      <c r="A168" s="31" t="inlineStr">
        <is>
          <t>RPGLIFE</t>
        </is>
      </c>
      <c r="B168" s="31" t="inlineStr">
        <is>
          <t>Rpg Life Sciences Limited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smallcap</t>
        </is>
      </c>
      <c r="F168" s="31" t="n">
        <v>4847.09</v>
      </c>
      <c r="G168" s="31" t="n">
        <v>2930.7</v>
      </c>
      <c r="H168" s="31" t="n">
        <v>-3.5</v>
      </c>
      <c r="I168" s="31" t="n">
        <v>36208</v>
      </c>
      <c r="J168" s="31" t="inlineStr">
        <is>
          <t>532983</t>
        </is>
      </c>
    </row>
    <row r="169">
      <c r="A169" s="31" t="inlineStr">
        <is>
          <t>SYRMA</t>
        </is>
      </c>
      <c r="B169" s="31" t="inlineStr">
        <is>
          <t>Syrma SGS Technology Ltd</t>
        </is>
      </c>
      <c r="C169" s="31" t="inlineStr">
        <is>
          <t>consumer discretionary</t>
        </is>
      </c>
      <c r="D169" s="31" t="inlineStr">
        <is>
          <t>electronics - components</t>
        </is>
      </c>
      <c r="E169" s="31" t="inlineStr">
        <is>
          <t>largecap</t>
        </is>
      </c>
      <c r="F169" s="31" t="n">
        <v>33126.35</v>
      </c>
      <c r="G169" s="31" t="n">
        <v>1717.9</v>
      </c>
      <c r="H169" s="31" t="n">
        <v>-3.65</v>
      </c>
      <c r="I169" s="31" t="n">
        <v>1874242</v>
      </c>
      <c r="J169" s="31" t="inlineStr">
        <is>
          <t>543573</t>
        </is>
      </c>
    </row>
    <row r="170">
      <c r="A170" s="31" t="inlineStr">
        <is>
          <t>STLNETWORK</t>
        </is>
      </c>
      <c r="B170" s="31" t="inlineStr">
        <is>
          <t>STL Networks Ltd</t>
        </is>
      </c>
      <c r="C170" s="31" t="inlineStr">
        <is>
          <t>telecom-service</t>
        </is>
      </c>
      <c r="D170" s="31" t="inlineStr">
        <is>
          <t>telecommunications - service provider</t>
        </is>
      </c>
      <c r="E170" s="31" t="inlineStr">
        <is>
          <t>smallcap</t>
        </is>
      </c>
      <c r="F170" s="31" t="n">
        <v>2302.74</v>
      </c>
      <c r="G170" s="31" t="n">
        <v>47.18</v>
      </c>
      <c r="H170" s="31" t="n">
        <v>-3.66</v>
      </c>
      <c r="I170" s="31" t="n">
        <v>13627273</v>
      </c>
      <c r="J170" s="31" t="inlineStr">
        <is>
          <t>544395</t>
        </is>
      </c>
    </row>
    <row r="171">
      <c r="A171" s="31" t="inlineStr">
        <is>
          <t>TEXRAIL</t>
        </is>
      </c>
      <c r="B171" s="31" t="inlineStr">
        <is>
          <t>Texmaco Rail &amp; Engineering Limited</t>
        </is>
      </c>
      <c r="C171" s="31" t="inlineStr">
        <is>
          <t>industrials</t>
        </is>
      </c>
      <c r="D171" s="31" t="inlineStr">
        <is>
          <t>engineering</t>
        </is>
      </c>
      <c r="E171" s="31" t="inlineStr">
        <is>
          <t>midcap</t>
        </is>
      </c>
      <c r="F171" s="31" t="n">
        <v>5161.48</v>
      </c>
      <c r="G171" s="31" t="n">
        <v>126.86</v>
      </c>
      <c r="H171" s="31" t="n">
        <v>-3.7</v>
      </c>
      <c r="I171" s="31" t="n">
        <v>4419603</v>
      </c>
      <c r="J171" s="31" t="inlineStr">
        <is>
          <t>533326</t>
        </is>
      </c>
    </row>
    <row r="172">
      <c r="A172" s="31" t="inlineStr">
        <is>
          <t>INDOAMIN</t>
        </is>
      </c>
      <c r="B172" s="31" t="inlineStr">
        <is>
          <t>Indo Amines Ltd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smallcap</t>
        </is>
      </c>
      <c r="F172" s="31" t="n">
        <v>990.97</v>
      </c>
      <c r="G172" s="31" t="n">
        <v>136.52</v>
      </c>
      <c r="H172" s="31" t="n">
        <v>-3.91</v>
      </c>
      <c r="I172" s="31" t="n">
        <v>293231</v>
      </c>
      <c r="J172" s="31" t="inlineStr">
        <is>
          <t>524648</t>
        </is>
      </c>
    </row>
    <row r="173">
      <c r="A173" s="31" t="inlineStr">
        <is>
          <t>MUKANDLTD</t>
        </is>
      </c>
      <c r="B173" s="31" t="inlineStr">
        <is>
          <t>Mukand Limited</t>
        </is>
      </c>
      <c r="C173" s="31" t="inlineStr">
        <is>
          <t>metals &amp; mining</t>
        </is>
      </c>
      <c r="D173" s="31" t="inlineStr">
        <is>
          <t>steel - medium / small</t>
        </is>
      </c>
      <c r="E173" s="31" t="inlineStr">
        <is>
          <t>smallcap</t>
        </is>
      </c>
      <c r="F173" s="31" t="n">
        <v>2494.86</v>
      </c>
      <c r="G173" s="31" t="n">
        <v>172.66</v>
      </c>
      <c r="H173" s="31" t="n">
        <v>-4.15</v>
      </c>
      <c r="I173" s="31" t="n">
        <v>858946</v>
      </c>
      <c r="J173" s="31" t="inlineStr">
        <is>
          <t>500460</t>
        </is>
      </c>
    </row>
    <row r="174">
      <c r="A174" s="31" t="inlineStr">
        <is>
          <t>SSWL</t>
        </is>
      </c>
      <c r="B174" s="31" t="inlineStr">
        <is>
          <t>Steel Strips Wheels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midcap</t>
        </is>
      </c>
      <c r="F174" s="31" t="n">
        <v>6142.61</v>
      </c>
      <c r="G174" s="31" t="n">
        <v>390.8</v>
      </c>
      <c r="H174" s="31" t="n">
        <v>-4.24</v>
      </c>
      <c r="I174" s="31" t="n">
        <v>3280912</v>
      </c>
      <c r="J174" s="31" t="inlineStr">
        <is>
          <t>513262</t>
        </is>
      </c>
    </row>
    <row r="175">
      <c r="A175" s="31" t="inlineStr">
        <is>
          <t>BODALCHEM</t>
        </is>
      </c>
      <c r="B175" s="31" t="inlineStr">
        <is>
          <t>Bodal Chemicals Limited</t>
        </is>
      </c>
      <c r="C175" s="31" t="inlineStr">
        <is>
          <t>chemicals</t>
        </is>
      </c>
      <c r="D175" s="31" t="inlineStr">
        <is>
          <t>dyes and pigments</t>
        </is>
      </c>
      <c r="E175" s="31" t="inlineStr">
        <is>
          <t>smallcap</t>
        </is>
      </c>
      <c r="F175" s="31" t="n">
        <v>2389.79</v>
      </c>
      <c r="G175" s="31" t="n">
        <v>189.75</v>
      </c>
      <c r="H175" s="31" t="n">
        <v>-4.34</v>
      </c>
      <c r="I175" s="31" t="n">
        <v>619032</v>
      </c>
      <c r="J175" s="31" t="inlineStr">
        <is>
          <t>524370</t>
        </is>
      </c>
    </row>
    <row r="176">
      <c r="A176" s="31" t="inlineStr">
        <is>
          <t>MAHLOG</t>
        </is>
      </c>
      <c r="B176" s="31" t="inlineStr">
        <is>
          <t>Mahindra Logistics Ltd</t>
        </is>
      </c>
      <c r="C176" s="31" t="inlineStr">
        <is>
          <t>transportation</t>
        </is>
      </c>
      <c r="D176" s="31" t="inlineStr">
        <is>
          <t>miscellaneous</t>
        </is>
      </c>
      <c r="E176" s="31" t="inlineStr">
        <is>
          <t>smallcap</t>
        </is>
      </c>
      <c r="F176" s="31" t="n">
        <v>4131.62</v>
      </c>
      <c r="G176" s="31" t="n">
        <v>416.4</v>
      </c>
      <c r="H176" s="31" t="n">
        <v>-4.46</v>
      </c>
      <c r="I176" s="31" t="n">
        <v>243388</v>
      </c>
      <c r="J176" s="31" t="inlineStr">
        <is>
          <t>540768</t>
        </is>
      </c>
    </row>
    <row r="177">
      <c r="A177" s="31" t="inlineStr">
        <is>
          <t>SYNCOMF</t>
        </is>
      </c>
      <c r="B177" s="31" t="inlineStr">
        <is>
          <t>Syncom Formulations (India) Ltd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smallcap</t>
        </is>
      </c>
      <c r="F177" s="31" t="n">
        <v>2252.24</v>
      </c>
      <c r="G177" s="31" t="n">
        <v>23.96</v>
      </c>
      <c r="H177" s="31" t="n">
        <v>-4.47</v>
      </c>
      <c r="I177" s="31" t="n">
        <v>44387615</v>
      </c>
      <c r="J177" s="31" t="inlineStr">
        <is>
          <t>524470</t>
        </is>
      </c>
    </row>
    <row r="178">
      <c r="A178" s="31" t="inlineStr">
        <is>
          <t>INDORAMA</t>
        </is>
      </c>
      <c r="B178" s="31" t="inlineStr">
        <is>
          <t>Indo Rama Synthetics (india) Limited</t>
        </is>
      </c>
      <c r="C178" s="31" t="inlineStr">
        <is>
          <t>textiles</t>
        </is>
      </c>
      <c r="D178" s="31" t="inlineStr">
        <is>
          <t>textiles - manmade</t>
        </is>
      </c>
      <c r="E178" s="31" t="inlineStr">
        <is>
          <t>smallcap</t>
        </is>
      </c>
      <c r="F178" s="31" t="n">
        <v>2501.73</v>
      </c>
      <c r="G178" s="31" t="n">
        <v>95.81</v>
      </c>
      <c r="H178" s="31" t="n">
        <v>-4.53</v>
      </c>
      <c r="I178" s="31" t="n">
        <v>1609228</v>
      </c>
      <c r="J178" s="31" t="inlineStr">
        <is>
          <t>500207</t>
        </is>
      </c>
    </row>
    <row r="179">
      <c r="A179" s="31" t="inlineStr">
        <is>
          <t>PRIMO</t>
        </is>
      </c>
      <c r="B179" s="31" t="inlineStr">
        <is>
          <t>Primo Chemicals Ltd</t>
        </is>
      </c>
      <c r="C179" s="31" t="inlineStr">
        <is>
          <t>chemicals</t>
        </is>
      </c>
      <c r="D179" s="31" t="inlineStr">
        <is>
          <t>chlor alkali / soda ash</t>
        </is>
      </c>
      <c r="E179" s="31" t="inlineStr">
        <is>
          <t>smallcap</t>
        </is>
      </c>
      <c r="F179" s="31" t="n">
        <v>615.79</v>
      </c>
      <c r="G179" s="31" t="n">
        <v>25.41</v>
      </c>
      <c r="H179" s="31" t="n">
        <v>-4.62</v>
      </c>
      <c r="I179" s="31" t="n">
        <v>449481</v>
      </c>
      <c r="J179" s="31" t="inlineStr">
        <is>
          <t>506852</t>
        </is>
      </c>
    </row>
    <row r="180">
      <c r="A180" s="31" t="inlineStr">
        <is>
          <t>KRONOX</t>
        </is>
      </c>
      <c r="B180" s="31" t="inlineStr">
        <is>
          <t>Kronox Lab Sciences Ltd</t>
        </is>
      </c>
      <c r="C180" s="31" t="inlineStr">
        <is>
          <t>chemicals</t>
        </is>
      </c>
      <c r="D180" s="31" t="inlineStr">
        <is>
          <t>chemicals</t>
        </is>
      </c>
      <c r="E180" s="31" t="inlineStr">
        <is>
          <t>smallcap</t>
        </is>
      </c>
      <c r="F180" s="31" t="n">
        <v>763.49</v>
      </c>
      <c r="G180" s="31" t="n">
        <v>205.77</v>
      </c>
      <c r="H180" s="31" t="n">
        <v>-4.9</v>
      </c>
      <c r="I180" s="31" t="n">
        <v>72814</v>
      </c>
      <c r="J180" s="31" t="inlineStr">
        <is>
          <t>544187</t>
        </is>
      </c>
    </row>
    <row r="181">
      <c r="A181" s="31" t="inlineStr">
        <is>
          <t>KANORICHEM</t>
        </is>
      </c>
      <c r="B181" s="31" t="inlineStr">
        <is>
          <t>Kanoria Chemicals &amp; Industries Limited</t>
        </is>
      </c>
      <c r="C181" s="31" t="inlineStr">
        <is>
          <t>chemicals</t>
        </is>
      </c>
      <c r="D181" s="31" t="inlineStr">
        <is>
          <t>chemicals</t>
        </is>
      </c>
      <c r="E181" s="31" t="inlineStr">
        <is>
          <t>smallcap</t>
        </is>
      </c>
      <c r="F181" s="31" t="n">
        <v>825.89</v>
      </c>
      <c r="G181" s="31" t="n">
        <v>189.02</v>
      </c>
      <c r="H181" s="31" t="n">
        <v>-4.91</v>
      </c>
      <c r="I181" s="31" t="n">
        <v>35879</v>
      </c>
      <c r="J181" s="31" t="inlineStr">
        <is>
          <t>506525</t>
        </is>
      </c>
    </row>
    <row r="182">
      <c r="A182" s="31" t="inlineStr">
        <is>
          <t>SUNFLAG</t>
        </is>
      </c>
      <c r="B182" s="31" t="inlineStr">
        <is>
          <t>Sunflag Iron And Steel Company Limited</t>
        </is>
      </c>
      <c r="C182" s="31" t="inlineStr">
        <is>
          <t>metals &amp; mining</t>
        </is>
      </c>
      <c r="D182" s="31" t="inlineStr">
        <is>
          <t>steel - medium / small</t>
        </is>
      </c>
      <c r="E182" s="31" t="inlineStr">
        <is>
          <t>midcap</t>
        </is>
      </c>
      <c r="F182" s="31" t="n">
        <v>7812.51</v>
      </c>
      <c r="G182" s="31" t="n">
        <v>433.5</v>
      </c>
      <c r="H182" s="31" t="n">
        <v>-4.94</v>
      </c>
      <c r="I182" s="31" t="n">
        <v>420955</v>
      </c>
      <c r="J182" s="31" t="inlineStr">
        <is>
          <t>500404</t>
        </is>
      </c>
    </row>
    <row r="183">
      <c r="A183" s="31" t="inlineStr">
        <is>
          <t>AHCL</t>
        </is>
      </c>
      <c r="B183" s="31" t="inlineStr">
        <is>
          <t>Anlon Healthcare Ltd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smallcap</t>
        </is>
      </c>
      <c r="F183" s="31" t="n">
        <v>1746.56</v>
      </c>
      <c r="G183" s="31" t="n">
        <v>32.86</v>
      </c>
      <c r="H183" s="31" t="n">
        <v>-4.97</v>
      </c>
      <c r="I183" s="31" t="n">
        <v>1444357</v>
      </c>
      <c r="J183" s="31" t="inlineStr">
        <is>
          <t>544497</t>
        </is>
      </c>
    </row>
    <row r="184">
      <c r="A184" s="31" t="inlineStr">
        <is>
          <t>MAZDA</t>
        </is>
      </c>
      <c r="B184" s="31" t="inlineStr">
        <is>
          <t>Mazda Limited</t>
        </is>
      </c>
      <c r="C184" s="31" t="inlineStr">
        <is>
          <t>industrials</t>
        </is>
      </c>
      <c r="D184" s="31" t="inlineStr">
        <is>
          <t>engineering</t>
        </is>
      </c>
      <c r="E184" s="31" t="inlineStr">
        <is>
          <t>smallcap</t>
        </is>
      </c>
      <c r="F184" s="31" t="n">
        <v>577.02</v>
      </c>
      <c r="G184" s="31" t="n">
        <v>288.15</v>
      </c>
      <c r="H184" s="31" t="n">
        <v>-5</v>
      </c>
      <c r="I184" s="31" t="n">
        <v>32502</v>
      </c>
      <c r="J184" s="31" t="inlineStr">
        <is>
          <t>523792</t>
        </is>
      </c>
    </row>
    <row r="185">
      <c r="A185" s="31" t="inlineStr">
        <is>
          <t>RBZJEWEL</t>
        </is>
      </c>
      <c r="B185" s="31" t="inlineStr">
        <is>
          <t>RBZ Jewellers Ltd</t>
        </is>
      </c>
      <c r="C185" s="31" t="inlineStr">
        <is>
          <t>consumer discretionary</t>
        </is>
      </c>
      <c r="D185" s="31" t="inlineStr">
        <is>
          <t>diamond cutting / jewellery</t>
        </is>
      </c>
      <c r="E185" s="31" t="inlineStr">
        <is>
          <t>smallcap</t>
        </is>
      </c>
      <c r="F185" s="31" t="n">
        <v>787.48</v>
      </c>
      <c r="G185" s="31" t="n">
        <v>196.87</v>
      </c>
      <c r="H185" s="31" t="n">
        <v>-5</v>
      </c>
      <c r="I185" s="31" t="n">
        <v>123782</v>
      </c>
      <c r="J185" s="31" t="inlineStr">
        <is>
          <t>544060</t>
        </is>
      </c>
    </row>
    <row r="186">
      <c r="A186" s="31" t="inlineStr">
        <is>
          <t>KABRAEXTRU</t>
        </is>
      </c>
      <c r="B186" s="31" t="inlineStr">
        <is>
          <t>Kabra Extrusion Technik Limited</t>
        </is>
      </c>
      <c r="C186" s="31" t="inlineStr">
        <is>
          <t>industrials</t>
        </is>
      </c>
      <c r="D186" s="31" t="inlineStr">
        <is>
          <t>engineering</t>
        </is>
      </c>
      <c r="E186" s="31" t="inlineStr">
        <is>
          <t>smallcap</t>
        </is>
      </c>
      <c r="F186" s="31" t="n">
        <v>2676.47</v>
      </c>
      <c r="G186" s="31" t="n">
        <v>765.3</v>
      </c>
      <c r="H186" s="31" t="n">
        <v>-5</v>
      </c>
      <c r="I186" s="31" t="n">
        <v>120365</v>
      </c>
      <c r="J186" s="31" t="inlineStr">
        <is>
          <t>524109</t>
        </is>
      </c>
    </row>
    <row r="187">
      <c r="A187" s="31" t="inlineStr">
        <is>
          <t>ABDL</t>
        </is>
      </c>
      <c r="B187" s="31" t="inlineStr">
        <is>
          <t>Allied Blenders &amp; Distillers Ltd</t>
        </is>
      </c>
      <c r="C187" s="31" t="inlineStr">
        <is>
          <t>fmcg</t>
        </is>
      </c>
      <c r="D187" s="31" t="inlineStr">
        <is>
          <t>breweries &amp; distilleries</t>
        </is>
      </c>
      <c r="E187" s="31" t="inlineStr">
        <is>
          <t>midcap</t>
        </is>
      </c>
      <c r="F187" s="31" t="n">
        <v>19004.91</v>
      </c>
      <c r="G187" s="31" t="n">
        <v>679.45</v>
      </c>
      <c r="H187" s="31" t="n">
        <v>-5.49</v>
      </c>
      <c r="I187" s="31" t="n">
        <v>1056525</v>
      </c>
      <c r="J187" s="31" t="inlineStr">
        <is>
          <t>544203</t>
        </is>
      </c>
    </row>
    <row r="188">
      <c r="A188" s="31" t="inlineStr">
        <is>
          <t>STEELCAS</t>
        </is>
      </c>
      <c r="B188" s="31" t="inlineStr">
        <is>
          <t>Steelcast Ltd</t>
        </is>
      </c>
      <c r="C188" s="31" t="inlineStr">
        <is>
          <t>castings, forgings &amp; fasteners</t>
        </is>
      </c>
      <c r="D188" s="31" t="inlineStr">
        <is>
          <t>castings &amp; forgings</t>
        </is>
      </c>
      <c r="E188" s="31" t="inlineStr">
        <is>
          <t>smallcap</t>
        </is>
      </c>
      <c r="F188" s="31" t="n">
        <v>3607.27</v>
      </c>
      <c r="G188" s="31" t="n">
        <v>356.45</v>
      </c>
      <c r="H188" s="31" t="n">
        <v>-5.5</v>
      </c>
      <c r="I188" s="31" t="n">
        <v>349563</v>
      </c>
      <c r="J188" s="31" t="inlineStr">
        <is>
          <t>513517</t>
        </is>
      </c>
    </row>
    <row r="189">
      <c r="A189" s="31" t="inlineStr">
        <is>
          <t>BHAGERIA</t>
        </is>
      </c>
      <c r="B189" s="31" t="inlineStr">
        <is>
          <t>Bhageria Industries Limited</t>
        </is>
      </c>
      <c r="C189" s="31" t="inlineStr">
        <is>
          <t>chemicals</t>
        </is>
      </c>
      <c r="D189" s="31" t="inlineStr">
        <is>
          <t>dyes and pigments</t>
        </is>
      </c>
      <c r="E189" s="31" t="inlineStr">
        <is>
          <t>smallcap</t>
        </is>
      </c>
      <c r="F189" s="31" t="n">
        <v>1667.43</v>
      </c>
      <c r="G189" s="31" t="n">
        <v>382.05</v>
      </c>
      <c r="H189" s="31" t="n">
        <v>-6</v>
      </c>
      <c r="I189" s="31" t="n">
        <v>319885</v>
      </c>
      <c r="J189" s="31" t="inlineStr">
        <is>
          <t>530803</t>
        </is>
      </c>
    </row>
    <row r="190">
      <c r="A190" s="31" t="inlineStr">
        <is>
          <t>DELTACORP</t>
        </is>
      </c>
      <c r="B190" s="31" t="inlineStr">
        <is>
          <t>Delta Corp Limited</t>
        </is>
      </c>
      <c r="C190" s="31" t="inlineStr">
        <is>
          <t>miscellaneous</t>
        </is>
      </c>
      <c r="D190" s="31" t="inlineStr">
        <is>
          <t>recreation / amusement parks</t>
        </is>
      </c>
      <c r="E190" s="31" t="inlineStr">
        <is>
          <t>smallcap</t>
        </is>
      </c>
      <c r="F190" s="31" t="n">
        <v>1967.58</v>
      </c>
      <c r="G190" s="31" t="n">
        <v>73.48</v>
      </c>
      <c r="H190" s="31" t="n">
        <v>-8.73</v>
      </c>
      <c r="I190" s="31" t="n">
        <v>31237756</v>
      </c>
      <c r="J190" s="31" t="inlineStr">
        <is>
          <t>532848</t>
        </is>
      </c>
    </row>
  </sheetData>
  <autoFilter ref="A1:J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KINGFA</t>
        </is>
      </c>
      <c r="E2" s="31" t="inlineStr">
        <is>
          <t>Kingfa Science &amp; Technology (india) Limited</t>
        </is>
      </c>
      <c r="F2" s="31" t="inlineStr">
        <is>
          <t>Plastics Plastic and Plastic Products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17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SMCGLOBAL</t>
        </is>
      </c>
      <c r="E3" s="31" t="inlineStr">
        <is>
          <t>SMC Global Securities Ltd</t>
        </is>
      </c>
      <c r="F3" s="31" t="inlineStr">
        <is>
          <t>Finance Capital Markets Brokers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17</v>
      </c>
      <c r="K3" s="31" t="n">
        <v>16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DPABHUSHAN</t>
        </is>
      </c>
      <c r="E4" s="31" t="inlineStr">
        <is>
          <t>D.P. Abhushan Ltd</t>
        </is>
      </c>
      <c r="F4" s="31" t="inlineStr">
        <is>
          <t>Diamond Gems and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28</v>
      </c>
      <c r="K4" s="31" t="n">
        <v>13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LOTUSDEV</t>
        </is>
      </c>
      <c r="E5" s="31" t="inlineStr">
        <is>
          <t>Sri Lotus Developers &amp; Realty Ltd</t>
        </is>
      </c>
      <c r="F5" s="31" t="inlineStr">
        <is>
          <t>Construction Factories and Offices and Commercial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27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WELSPUNLIV</t>
        </is>
      </c>
      <c r="E6" s="31" t="inlineStr">
        <is>
          <t>Welspun Living Ltd</t>
        </is>
      </c>
      <c r="F6" s="31" t="inlineStr">
        <is>
          <t>Textiles Home Textile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18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CUPID</t>
        </is>
      </c>
      <c r="E7" s="31" t="inlineStr">
        <is>
          <t>Cupid Limited</t>
        </is>
      </c>
      <c r="F7" s="31" t="inlineStr">
        <is>
          <t>Contraceptives and Protectives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20</v>
      </c>
      <c r="K7" s="31" t="n">
        <v>22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SPECTRUM</t>
        </is>
      </c>
      <c r="E8" s="31" t="inlineStr">
        <is>
          <t>Spectrum Electrical Industries Ltd</t>
        </is>
      </c>
      <c r="F8" s="31" t="inlineStr">
        <is>
          <t>Capital Goods Electric General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15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ONEPOINT</t>
        </is>
      </c>
      <c r="E9" s="31" t="inlineStr">
        <is>
          <t>One Point One Solutions Ltd</t>
        </is>
      </c>
      <c r="F9" s="31" t="inlineStr">
        <is>
          <t>IT Enabled Services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16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SIGMAADV</t>
        </is>
      </c>
      <c r="E10" s="31" t="inlineStr">
        <is>
          <t>Sigma Advanced System Ltd</t>
        </is>
      </c>
      <c r="F10" s="31" t="inlineStr">
        <is>
          <t>Aerospace and Defence Equipment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15</v>
      </c>
      <c r="K10" s="31" t="n">
        <v>29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DYNAMATECH</t>
        </is>
      </c>
      <c r="E11" s="31" t="inlineStr">
        <is>
          <t>Dynamatic Technologies Limited</t>
        </is>
      </c>
      <c r="F11" s="31" t="inlineStr">
        <is>
          <t>Aerospace and Defence Equipment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18</v>
      </c>
      <c r="K11" s="31" t="n">
        <v>28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AXISCADES</t>
        </is>
      </c>
      <c r="E12" s="31" t="inlineStr">
        <is>
          <t>AXISCADES Technologies Ltd</t>
        </is>
      </c>
      <c r="F12" s="31" t="inlineStr">
        <is>
          <t>Aerospace and Defence Equipment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20</v>
      </c>
      <c r="K12" s="31" t="n">
        <v>18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RATNAVEER</t>
        </is>
      </c>
      <c r="E13" s="31" t="inlineStr">
        <is>
          <t>Ratnaveer Precision Engineering Ltd</t>
        </is>
      </c>
      <c r="F13" s="31" t="inlineStr">
        <is>
          <t>Stainless Steel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17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SBC</t>
        </is>
      </c>
      <c r="E14" s="31" t="inlineStr">
        <is>
          <t>SBC Exports Ltd</t>
        </is>
      </c>
      <c r="F14" s="31" t="inlineStr">
        <is>
          <t>Textiles Readymade Apparel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18</v>
      </c>
      <c r="K14" s="31" t="n">
        <v>27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RPTECH</t>
        </is>
      </c>
      <c r="E15" s="31" t="inlineStr">
        <is>
          <t>Rashi Peripherals Ltd</t>
        </is>
      </c>
      <c r="F15" s="31" t="inlineStr">
        <is>
          <t>Trading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11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PGIL</t>
        </is>
      </c>
      <c r="E16" s="31" t="inlineStr">
        <is>
          <t>Pearl Global Industries Limited</t>
        </is>
      </c>
      <c r="F16" s="31" t="inlineStr">
        <is>
          <t>Textiles Readymade Apparel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17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TBZ</t>
        </is>
      </c>
      <c r="E17" s="31" t="inlineStr">
        <is>
          <t>Tribhovandas Bhimji Zaveri Limited</t>
        </is>
      </c>
      <c r="F17" s="31" t="inlineStr">
        <is>
          <t>Diamond Gems and Jewellery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15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MODISONLTD</t>
        </is>
      </c>
      <c r="E18" s="31" t="inlineStr">
        <is>
          <t>Modison Ltd</t>
        </is>
      </c>
      <c r="F18" s="31" t="inlineStr">
        <is>
          <t>Capital Goods Electric General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17</v>
      </c>
      <c r="K18" s="31" t="n">
        <v>25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CASTROLIND</t>
        </is>
      </c>
      <c r="E19" s="31" t="inlineStr">
        <is>
          <t>Castrol India Limited</t>
        </is>
      </c>
      <c r="F19" s="31" t="inlineStr">
        <is>
          <t>Lubricants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18</v>
      </c>
      <c r="K19" s="31" t="n">
        <v>17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NRL</t>
        </is>
      </c>
      <c r="E20" s="31" t="inlineStr">
        <is>
          <t>Nupur Recyclers Ltd</t>
        </is>
      </c>
      <c r="F20" s="31" t="inlineStr">
        <is>
          <t>Trading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15</v>
      </c>
      <c r="K20" s="31" t="n">
        <v>27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MBECL</t>
        </is>
      </c>
      <c r="E21" s="31" t="inlineStr">
        <is>
          <t>Mcnally Bharat Engineering Company Limited</t>
        </is>
      </c>
      <c r="F21" s="31" t="inlineStr">
        <is>
          <t>Engineering Turnkey Services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19</v>
      </c>
      <c r="K21" s="31" t="n">
        <v>15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FILATEX</t>
        </is>
      </c>
      <c r="E22" s="31" t="inlineStr">
        <is>
          <t>Filatex India Limited</t>
        </is>
      </c>
      <c r="F22" s="31" t="inlineStr">
        <is>
          <t>Textiles Manmade PFY and PSF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15</v>
      </c>
      <c r="K22" s="31" t="n">
        <v>18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IBULLSLTD</t>
        </is>
      </c>
      <c r="E23" s="31" t="inlineStr">
        <is>
          <t>Indiabulls Limited</t>
        </is>
      </c>
      <c r="F23" s="31" t="inlineStr">
        <is>
          <t>Diversified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15</v>
      </c>
      <c r="K23" s="31" t="n">
        <v>13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SANGAMIND</t>
        </is>
      </c>
      <c r="E24" s="31" t="inlineStr">
        <is>
          <t>Sangam (india) Limited</t>
        </is>
      </c>
      <c r="F24" s="31" t="inlineStr">
        <is>
          <t>Textiles Spinning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15</v>
      </c>
      <c r="K24" s="31" t="n">
        <v>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VALIANTORG</t>
        </is>
      </c>
      <c r="E25" s="31" t="inlineStr">
        <is>
          <t>Valiant Organics Ltd</t>
        </is>
      </c>
      <c r="F25" s="31" t="inlineStr">
        <is>
          <t>Chemicals Organic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21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AEGISLOG</t>
        </is>
      </c>
      <c r="E26" s="31" t="inlineStr">
        <is>
          <t>Aegis Logistics Ltd</t>
        </is>
      </c>
      <c r="F26" s="31" t="inlineStr">
        <is>
          <t>Logistics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19</v>
      </c>
      <c r="K26" s="31" t="n">
        <v>10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OCCLLTD</t>
        </is>
      </c>
      <c r="E27" s="31" t="inlineStr">
        <is>
          <t>OCCL Ltd</t>
        </is>
      </c>
      <c r="F27" s="31" t="inlineStr">
        <is>
          <t>unknown</t>
        </is>
      </c>
      <c r="G27" s="31" t="n">
        <v>2</v>
      </c>
      <c r="H27" s="31" t="inlineStr">
        <is>
          <t>52W Breakout</t>
        </is>
      </c>
      <c r="I27" s="31" t="inlineStr">
        <is>
          <t>Yes</t>
        </is>
      </c>
      <c r="J27" s="31" t="n">
        <v>0</v>
      </c>
      <c r="K27" s="31" t="n">
        <v>18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INDSWFTLAB</t>
        </is>
      </c>
      <c r="E28" s="31" t="inlineStr">
        <is>
          <t>Ind-swift Laboratories Limited</t>
        </is>
      </c>
      <c r="F28" s="31" t="inlineStr">
        <is>
          <t>Pharma Formulations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15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MOTISONS</t>
        </is>
      </c>
      <c r="E29" s="31" t="inlineStr">
        <is>
          <t>Motisons Jewellers Ltd</t>
        </is>
      </c>
      <c r="F29" s="31" t="inlineStr">
        <is>
          <t>Diamond Gems and Jewellery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16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SHANTIGOLD</t>
        </is>
      </c>
      <c r="E30" s="31" t="inlineStr">
        <is>
          <t>Shanti Gold International Ltd</t>
        </is>
      </c>
      <c r="F30" s="31" t="inlineStr">
        <is>
          <t>Diamond Gems and Jewellery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20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MACPOWER</t>
        </is>
      </c>
      <c r="E31" s="31" t="inlineStr">
        <is>
          <t>Macpower CNC Machines Ltd</t>
        </is>
      </c>
      <c r="F31" s="31" t="inlineStr">
        <is>
          <t>CNC Machines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19</v>
      </c>
      <c r="K31" s="31" t="n">
        <v>26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ARROWGREEN</t>
        </is>
      </c>
      <c r="E32" s="31" t="inlineStr">
        <is>
          <t>Arrow Greentech Limited</t>
        </is>
      </c>
      <c r="F32" s="31" t="inlineStr">
        <is>
          <t>Plastics Plastic and Plastic Products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15</v>
      </c>
      <c r="K32" s="31" t="n">
        <v>23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MARINE</t>
        </is>
      </c>
      <c r="E33" s="31" t="inlineStr">
        <is>
          <t>Marine Electricals (India) Ltd</t>
        </is>
      </c>
      <c r="F33" s="31" t="inlineStr">
        <is>
          <t>Shipping Proxy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18</v>
      </c>
      <c r="K33" s="31" t="n">
        <v>25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BHAGERIA</t>
        </is>
      </c>
      <c r="E34" s="31" t="inlineStr">
        <is>
          <t>Bhageria Industries Limited</t>
        </is>
      </c>
      <c r="F34" s="31" t="inlineStr">
        <is>
          <t>Dyes and Pigments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AZAD</t>
        </is>
      </c>
      <c r="E35" s="31" t="inlineStr">
        <is>
          <t>Azad Engineering Ltd</t>
        </is>
      </c>
      <c r="F35" s="31" t="inlineStr">
        <is>
          <t>Aerospace and Defence Equipment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16</v>
      </c>
      <c r="K35" s="31" t="n">
        <v>20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SYRMA</t>
        </is>
      </c>
      <c r="E36" s="31" t="inlineStr">
        <is>
          <t>Syrma SGS Technology Ltd</t>
        </is>
      </c>
      <c r="F36" s="31" t="inlineStr">
        <is>
          <t>EMS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16</v>
      </c>
      <c r="K36" s="31" t="n">
        <v>23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MOREPENLAB</t>
        </is>
      </c>
      <c r="E37" s="31" t="inlineStr">
        <is>
          <t>Morepen Laboratories Limited</t>
        </is>
      </c>
      <c r="F37" s="31" t="inlineStr">
        <is>
          <t>unknown</t>
        </is>
      </c>
      <c r="G37" s="31" t="n">
        <v>2</v>
      </c>
      <c r="H37" s="31" t="inlineStr">
        <is>
          <t>52W Breakout</t>
        </is>
      </c>
      <c r="I37" s="31" t="inlineStr">
        <is>
          <t>Yes</t>
        </is>
      </c>
      <c r="J37" s="31" t="n">
        <v>0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CENTUM</t>
        </is>
      </c>
      <c r="E38" s="31" t="inlineStr">
        <is>
          <t>Centum Electronics Limited</t>
        </is>
      </c>
      <c r="F38" s="31" t="inlineStr">
        <is>
          <t>EMS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15</v>
      </c>
      <c r="K38" s="31" t="n">
        <v>22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SKYGOLD</t>
        </is>
      </c>
      <c r="E39" s="31" t="inlineStr">
        <is>
          <t>Sky Gold Ltd</t>
        </is>
      </c>
      <c r="F39" s="31" t="inlineStr">
        <is>
          <t>Diamond Gems and Jewellery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17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SHILPAMED</t>
        </is>
      </c>
      <c r="E40" s="31" t="inlineStr">
        <is>
          <t>Shilpa Medicare Limited</t>
        </is>
      </c>
      <c r="F40" s="31" t="inlineStr">
        <is>
          <t>Pharma API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17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ENGINERSIN</t>
        </is>
      </c>
      <c r="E41" s="31" t="inlineStr">
        <is>
          <t>Engineers India Limited</t>
        </is>
      </c>
      <c r="F41" s="31" t="inlineStr">
        <is>
          <t>Infra Engineering General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27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EBGNG</t>
        </is>
      </c>
      <c r="E42" s="31" t="inlineStr">
        <is>
          <t>GNG Electronics Ltd</t>
        </is>
      </c>
      <c r="F42" s="31" t="inlineStr">
        <is>
          <t>New age Platform E Retail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25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LALPATHLAB</t>
        </is>
      </c>
      <c r="E43" s="31" t="inlineStr">
        <is>
          <t>Dr. Lal Path Labs Ltd.</t>
        </is>
      </c>
      <c r="F43" s="31" t="inlineStr">
        <is>
          <t>unknown</t>
        </is>
      </c>
      <c r="G43" s="31" t="n">
        <v>2</v>
      </c>
      <c r="H43" s="31" t="inlineStr">
        <is>
          <t>52W Breakout</t>
        </is>
      </c>
      <c r="I43" s="31" t="inlineStr">
        <is>
          <t>Yes</t>
        </is>
      </c>
      <c r="J43" s="31" t="n">
        <v>0</v>
      </c>
      <c r="K43" s="31" t="n">
        <v>19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FINCABLES</t>
        </is>
      </c>
      <c r="E44" s="31" t="inlineStr">
        <is>
          <t>Finolex Cables Limited</t>
        </is>
      </c>
      <c r="F44" s="31" t="inlineStr">
        <is>
          <t>Cables Telecom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SYNCOMF</t>
        </is>
      </c>
      <c r="E45" s="31" t="inlineStr">
        <is>
          <t>Syncom Formulations (India) Ltd</t>
        </is>
      </c>
      <c r="F45" s="31" t="inlineStr">
        <is>
          <t>Pharma Others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28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RPGLIFE</t>
        </is>
      </c>
      <c r="E46" s="31" t="inlineStr">
        <is>
          <t>Rpg Life Sciences Limited</t>
        </is>
      </c>
      <c r="F46" s="31" t="inlineStr">
        <is>
          <t>Pharma Formulations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15</v>
      </c>
      <c r="K46" s="31" t="n">
        <v>14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AARTIPHARM</t>
        </is>
      </c>
      <c r="E47" s="31" t="inlineStr">
        <is>
          <t>Aarti Pharmalabs Ltd</t>
        </is>
      </c>
      <c r="F47" s="31" t="inlineStr">
        <is>
          <t>Pharma API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19</v>
      </c>
      <c r="K47" s="31" t="n">
        <v>22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AKUMS</t>
        </is>
      </c>
      <c r="E48" s="31" t="inlineStr">
        <is>
          <t>Akums Drugs &amp; Pharmaceuticals Ltd</t>
        </is>
      </c>
      <c r="F48" s="31" t="inlineStr">
        <is>
          <t>Pharma Formulations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17</v>
      </c>
      <c r="K48" s="31" t="n">
        <v>26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SUNDROP</t>
        </is>
      </c>
      <c r="E49" s="31" t="inlineStr">
        <is>
          <t>Sundrop Brands Ltd</t>
        </is>
      </c>
      <c r="F49" s="31" t="inlineStr">
        <is>
          <t>FMCG Foods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16</v>
      </c>
      <c r="K49" s="31" t="n">
        <v>10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ACMESOLAR</t>
        </is>
      </c>
      <c r="E50" s="31" t="inlineStr">
        <is>
          <t>ACME Solar Holdings Ltd</t>
        </is>
      </c>
      <c r="F50" s="31" t="inlineStr">
        <is>
          <t>Power Generation and Distribution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15</v>
      </c>
      <c r="K50" s="31" t="n">
        <v>28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BIRLACABLE</t>
        </is>
      </c>
      <c r="E51" s="31" t="inlineStr">
        <is>
          <t>Birla Cable Limited</t>
        </is>
      </c>
      <c r="F51" s="31" t="inlineStr">
        <is>
          <t>Cables Telecom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23</v>
      </c>
      <c r="K51" s="31" t="n">
        <v>28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UNIMECH</t>
        </is>
      </c>
      <c r="E52" s="31" t="inlineStr">
        <is>
          <t>Unimech Aerospace and Manufacturing Ltd</t>
        </is>
      </c>
      <c r="F52" s="31" t="inlineStr">
        <is>
          <t>unknown</t>
        </is>
      </c>
      <c r="G52" s="31" t="n">
        <v>2</v>
      </c>
      <c r="H52" s="31" t="inlineStr">
        <is>
          <t>52W Breakout</t>
        </is>
      </c>
      <c r="I52" s="31" t="inlineStr">
        <is>
          <t>Yes</t>
        </is>
      </c>
      <c r="J52" s="31" t="n">
        <v>0</v>
      </c>
      <c r="K52" s="31" t="n">
        <v>29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PIXTRANS</t>
        </is>
      </c>
      <c r="E53" s="31" t="inlineStr">
        <is>
          <t>Pix Transmission Ltd</t>
        </is>
      </c>
      <c r="F53" s="31" t="inlineStr">
        <is>
          <t>Rubber Processing and Rubber Products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15</v>
      </c>
      <c r="K53" s="31" t="n">
        <v>3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LAURUSLABS</t>
        </is>
      </c>
      <c r="E54" s="31" t="inlineStr">
        <is>
          <t>Laurus Labs Limited</t>
        </is>
      </c>
      <c r="F54" s="31" t="inlineStr">
        <is>
          <t>Pharma API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15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BOSCH-HCIL</t>
        </is>
      </c>
      <c r="E55" s="31" t="inlineStr">
        <is>
          <t>Bosch Home Comfort India Ltd</t>
        </is>
      </c>
      <c r="F55" s="31" t="inlineStr">
        <is>
          <t>Consumer Electronics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15</v>
      </c>
      <c r="K55" s="31" t="n">
        <v>20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BAFNAPH</t>
        </is>
      </c>
      <c r="E56" s="31" t="inlineStr">
        <is>
          <t>Bafna Pharmaceuticals Ltd</t>
        </is>
      </c>
      <c r="F56" s="31" t="inlineStr">
        <is>
          <t>unknown</t>
        </is>
      </c>
      <c r="G56" s="31" t="n">
        <v>2</v>
      </c>
      <c r="H56" s="31" t="inlineStr">
        <is>
          <t>52W Breakout</t>
        </is>
      </c>
      <c r="I56" s="31" t="inlineStr">
        <is>
          <t>Yes</t>
        </is>
      </c>
      <c r="J56" s="31" t="n">
        <v>0</v>
      </c>
      <c r="K56" s="31" t="n">
        <v>29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NRBBEARING</t>
        </is>
      </c>
      <c r="E57" s="31" t="inlineStr">
        <is>
          <t>Nrb Bearing Limited</t>
        </is>
      </c>
      <c r="F57" s="31" t="inlineStr">
        <is>
          <t>Bearings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21</v>
      </c>
      <c r="K57" s="31" t="n">
        <v>22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OPTIEMUS</t>
        </is>
      </c>
      <c r="E58" s="31" t="inlineStr">
        <is>
          <t>Optiemus Infracom Ltd</t>
        </is>
      </c>
      <c r="F58" s="31" t="inlineStr">
        <is>
          <t>EMS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17</v>
      </c>
      <c r="K58" s="31" t="n">
        <v>14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GANDHAR</t>
        </is>
      </c>
      <c r="E59" s="31" t="inlineStr">
        <is>
          <t>Gandhar Oil Refinery (India) Ltd</t>
        </is>
      </c>
      <c r="F59" s="31" t="inlineStr">
        <is>
          <t>Refineries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25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RAYMOND</t>
        </is>
      </c>
      <c r="E60" s="31" t="inlineStr">
        <is>
          <t>Raymond Limited</t>
        </is>
      </c>
      <c r="F60" s="31" t="inlineStr">
        <is>
          <t>Realty Construction and Contracting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16</v>
      </c>
      <c r="K60" s="31" t="n">
        <v>24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STEELCAS</t>
        </is>
      </c>
      <c r="E61" s="31" t="inlineStr">
        <is>
          <t>Steelcast Ltd</t>
        </is>
      </c>
      <c r="F61" s="31" t="inlineStr">
        <is>
          <t>Castings Forgings and Fasteners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15</v>
      </c>
      <c r="K61" s="31" t="n">
        <v>12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BODALCHEM</t>
        </is>
      </c>
      <c r="E62" s="31" t="inlineStr">
        <is>
          <t>Bodal Chemicals Limited</t>
        </is>
      </c>
      <c r="F62" s="31" t="inlineStr">
        <is>
          <t>Dyes and Pigments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22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SHREEJISPG</t>
        </is>
      </c>
      <c r="E63" s="31" t="inlineStr">
        <is>
          <t>Shreeji Shipping Global Ltd</t>
        </is>
      </c>
      <c r="F63" s="31" t="inlineStr">
        <is>
          <t>unknown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0</v>
      </c>
      <c r="K63" s="31" t="n">
        <v>22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SAMBHV</t>
        </is>
      </c>
      <c r="E64" s="31" t="inlineStr">
        <is>
          <t>Sambhv Steel Tubes Ltd</t>
        </is>
      </c>
      <c r="F64" s="31" t="inlineStr">
        <is>
          <t>Steel Tubes and Pipes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23</v>
      </c>
      <c r="K64" s="31" t="n">
        <v>24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MUKANDLTD</t>
        </is>
      </c>
      <c r="E65" s="31" t="inlineStr">
        <is>
          <t>Mukand Limited</t>
        </is>
      </c>
      <c r="F65" s="31" t="inlineStr">
        <is>
          <t>Steel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18</v>
      </c>
      <c r="K65" s="31" t="n">
        <v>11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JASH</t>
        </is>
      </c>
      <c r="E66" s="31" t="inlineStr">
        <is>
          <t>Jash Engineering Ltd</t>
        </is>
      </c>
      <c r="F66" s="31" t="inlineStr">
        <is>
          <t>Water Treatment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16</v>
      </c>
      <c r="K66" s="31" t="n">
        <v>18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LOKESHMACH</t>
        </is>
      </c>
      <c r="E67" s="31" t="inlineStr">
        <is>
          <t>Lokesh Machines Limited</t>
        </is>
      </c>
      <c r="F67" s="31" t="inlineStr">
        <is>
          <t>unknown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0</v>
      </c>
      <c r="K67" s="31" t="n">
        <v>12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SMSPHARMA</t>
        </is>
      </c>
      <c r="E68" s="31" t="inlineStr">
        <is>
          <t>Sms Pharmaceuticals Limited</t>
        </is>
      </c>
      <c r="F68" s="31" t="inlineStr">
        <is>
          <t>Pharma API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15</v>
      </c>
      <c r="K68" s="31" t="n">
        <v>20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GCSL</t>
        </is>
      </c>
      <c r="E69" s="31" t="inlineStr">
        <is>
          <t>Gretex Corporate Services Ltd</t>
        </is>
      </c>
      <c r="F69" s="31" t="inlineStr">
        <is>
          <t>Finance and Investments Others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18</v>
      </c>
      <c r="K69" s="31" t="n">
        <v>17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MANINDS</t>
        </is>
      </c>
      <c r="E70" s="31" t="inlineStr">
        <is>
          <t>Man Industries (india) Limited</t>
        </is>
      </c>
      <c r="F70" s="31" t="inlineStr">
        <is>
          <t>Steel Tubes and Pipes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17</v>
      </c>
      <c r="K70" s="31" t="n">
        <v>30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EMIL</t>
        </is>
      </c>
      <c r="E71" s="31" t="inlineStr">
        <is>
          <t>Electronics Mart India Ltd</t>
        </is>
      </c>
      <c r="F71" s="31" t="inlineStr">
        <is>
          <t>Retail Electronics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16</v>
      </c>
      <c r="K71" s="31" t="n">
        <v>28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STLTECH</t>
        </is>
      </c>
      <c r="E72" s="31" t="inlineStr">
        <is>
          <t>Sterlite Technologies Limited</t>
        </is>
      </c>
      <c r="F72" s="31" t="inlineStr">
        <is>
          <t>Cables Telecom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30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TEGA</t>
        </is>
      </c>
      <c r="E73" s="31" t="inlineStr">
        <is>
          <t>Tega Industries Ltd</t>
        </is>
      </c>
      <c r="F73" s="31" t="inlineStr">
        <is>
          <t>Capital Goods Mining Equipment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19</v>
      </c>
      <c r="K73" s="31" t="n">
        <v>16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YUKEN</t>
        </is>
      </c>
      <c r="E74" s="31" t="inlineStr">
        <is>
          <t>Yuken India Ltd</t>
        </is>
      </c>
      <c r="F74" s="31" t="inlineStr">
        <is>
          <t>unknown</t>
        </is>
      </c>
      <c r="G74" s="31" t="n">
        <v>2</v>
      </c>
      <c r="H74" s="31" t="inlineStr">
        <is>
          <t>52W Breakout</t>
        </is>
      </c>
      <c r="I74" s="31" t="inlineStr">
        <is>
          <t>Yes</t>
        </is>
      </c>
      <c r="J74" s="31" t="n">
        <v>0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RAMRAT</t>
        </is>
      </c>
      <c r="E75" s="31" t="inlineStr">
        <is>
          <t>Ram Ratna Wires Ltd</t>
        </is>
      </c>
      <c r="F75" s="31" t="inlineStr">
        <is>
          <t>Copper Wires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28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SUNFLAG</t>
        </is>
      </c>
      <c r="E76" s="31" t="inlineStr">
        <is>
          <t>Sunflag Iron And Steel Company Limited</t>
        </is>
      </c>
      <c r="F76" s="31" t="inlineStr">
        <is>
          <t>Steel Products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16</v>
      </c>
      <c r="K76" s="31" t="n">
        <v>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ROSSTECH</t>
        </is>
      </c>
      <c r="E77" s="31" t="inlineStr">
        <is>
          <t>Rossell Techsys Ltd</t>
        </is>
      </c>
      <c r="F77" s="31" t="inlineStr">
        <is>
          <t>unknown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0</v>
      </c>
      <c r="K77" s="31" t="n">
        <v>28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SALSTEEL</t>
        </is>
      </c>
      <c r="E78" s="31" t="inlineStr">
        <is>
          <t>SAL Steel</t>
        </is>
      </c>
      <c r="F78" s="31" t="inlineStr">
        <is>
          <t>Steel Sponge Iron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15</v>
      </c>
      <c r="K78" s="31" t="n">
        <v>26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UNITEDPOLY</t>
        </is>
      </c>
      <c r="E79" s="31" t="inlineStr">
        <is>
          <t>United Polyfab Gujarat Ltd</t>
        </is>
      </c>
      <c r="F79" s="31" t="inlineStr">
        <is>
          <t>Textiles Others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18</v>
      </c>
      <c r="K79" s="31" t="n">
        <v>21</v>
      </c>
    </row>
  </sheetData>
  <autoFilter ref="A1:K79"/>
  <conditionalFormatting sqref="G2:G7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8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IF(B2=0,"",RANK(B2,$B$2:$B$180,0))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6281.23</v>
      </c>
      <c r="I2" s="32" t="n">
        <v>953.15</v>
      </c>
      <c r="J2" s="32" t="n">
        <v>-0.04</v>
      </c>
      <c r="K2" s="32" t="n">
        <v>377963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74.11</v>
      </c>
      <c r="P2" s="32" t="n">
        <v>69.61</v>
      </c>
      <c r="Q2" s="32" t="n">
        <v>704.54</v>
      </c>
      <c r="R2" s="31" t="inlineStr">
        <is>
          <t>Near 52W High Breakout</t>
        </is>
      </c>
      <c r="S2" s="31" t="inlineStr">
        <is>
          <t>Nifty IT</t>
        </is>
      </c>
      <c r="T2" s="32" t="n">
        <v>-16.63</v>
      </c>
      <c r="U2" s="32" t="n">
        <v>202.31</v>
      </c>
      <c r="V2" s="32" t="n">
        <v>262.6</v>
      </c>
      <c r="W2" s="32" t="n">
        <v>35.02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IF(B3=0,"",RANK(B3,$B$2:$B$180,0))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BLUSPRING</t>
        </is>
      </c>
      <c r="D3" s="31" t="inlineStr">
        <is>
          <t>Bluspring Enterprises Ltd</t>
        </is>
      </c>
      <c r="E3" s="31" t="inlineStr">
        <is>
          <t>miscellaneous</t>
        </is>
      </c>
      <c r="F3" s="31" t="inlineStr">
        <is>
          <t>diversified - large</t>
        </is>
      </c>
      <c r="G3" s="31" t="inlineStr">
        <is>
          <t>smallcap</t>
        </is>
      </c>
      <c r="H3" s="32" t="n">
        <v>2209.04</v>
      </c>
      <c r="I3" s="32" t="n">
        <v>147.82</v>
      </c>
      <c r="J3" s="32" t="n">
        <v>4.29</v>
      </c>
      <c r="K3" s="32" t="n">
        <v>346713</v>
      </c>
      <c r="L3" s="31" t="n">
        <v>62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70.86</v>
      </c>
      <c r="P3" s="32" t="n">
        <v>61.27</v>
      </c>
      <c r="Q3" s="32" t="n">
        <v>102.75</v>
      </c>
      <c r="R3" s="31" t="inlineStr">
        <is>
          <t>Near 52W High Breakout</t>
        </is>
      </c>
      <c r="S3" s="31" t="inlineStr">
        <is>
          <t>Nifty 50</t>
        </is>
      </c>
      <c r="T3" s="32" t="n">
        <v>-9.93</v>
      </c>
      <c r="U3" s="32" t="n">
        <v>86.06</v>
      </c>
      <c r="V3" s="32" t="n">
        <v>106.58</v>
      </c>
      <c r="W3" s="32" t="n">
        <v>24.81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IF(B4=0,"",RANK(B4,$B$2:$B$180,0))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KINGFA</t>
        </is>
      </c>
      <c r="D4" s="31" t="inlineStr">
        <is>
          <t>Kingfa Science &amp; Technology (india) Limited</t>
        </is>
      </c>
      <c r="E4" s="31" t="inlineStr">
        <is>
          <t>plastic products</t>
        </is>
      </c>
      <c r="F4" s="31" t="inlineStr">
        <is>
          <t>plastics products</t>
        </is>
      </c>
      <c r="G4" s="31" t="inlineStr">
        <is>
          <t>midcap</t>
        </is>
      </c>
      <c r="H4" s="32" t="n">
        <v>8925.620000000001</v>
      </c>
      <c r="I4" s="32" t="n">
        <v>6586.5</v>
      </c>
      <c r="J4" s="32" t="n">
        <v>1.6</v>
      </c>
      <c r="K4" s="32" t="n">
        <v>16414</v>
      </c>
      <c r="L4" s="31" t="n">
        <v>38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71.51000000000001</v>
      </c>
      <c r="P4" s="32" t="n">
        <v>41.97</v>
      </c>
      <c r="Q4" s="32" t="n">
        <v>5246.09</v>
      </c>
      <c r="R4" s="31" t="inlineStr">
        <is>
          <t>Near 52W High Breakout</t>
        </is>
      </c>
      <c r="S4" s="31" t="inlineStr">
        <is>
          <t>Nifty 50</t>
        </is>
      </c>
      <c r="T4" s="32" t="n">
        <v>-9.93</v>
      </c>
      <c r="U4" s="32" t="n">
        <v>44.26</v>
      </c>
      <c r="V4" s="32" t="n">
        <v>60.17</v>
      </c>
      <c r="W4" s="32" t="n">
        <v>14.21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IF(B5=0,"",RANK(B5,$B$2:$B$180,0))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PGIL</t>
        </is>
      </c>
      <c r="D5" s="31" t="inlineStr">
        <is>
          <t>Pearl Global Industries Limited</t>
        </is>
      </c>
      <c r="E5" s="31" t="inlineStr">
        <is>
          <t>readymade garments/apparels</t>
        </is>
      </c>
      <c r="F5" s="31" t="inlineStr">
        <is>
          <t>textiles - products</t>
        </is>
      </c>
      <c r="G5" s="31" t="inlineStr">
        <is>
          <t>midcap</t>
        </is>
      </c>
      <c r="H5" s="32" t="n">
        <v>11667.73</v>
      </c>
      <c r="I5" s="32" t="n">
        <v>1263</v>
      </c>
      <c r="J5" s="32" t="n">
        <v>-1.49</v>
      </c>
      <c r="K5" s="32" t="n">
        <v>115643</v>
      </c>
      <c r="L5" s="31" t="n">
        <v>56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</v>
      </c>
      <c r="P5" s="32" t="n">
        <v>59.25</v>
      </c>
      <c r="Q5" s="32" t="n">
        <v>1010.78</v>
      </c>
      <c r="R5" s="31" t="inlineStr">
        <is>
          <t>Near 52W High Breakout</t>
        </is>
      </c>
      <c r="S5" s="31" t="inlineStr">
        <is>
          <t>Nifty 50</t>
        </is>
      </c>
      <c r="T5" s="32" t="n">
        <v>-9.93</v>
      </c>
      <c r="U5" s="32" t="n">
        <v>106.27</v>
      </c>
      <c r="V5" s="32" t="n">
        <v>129.01</v>
      </c>
      <c r="W5" s="32" t="n">
        <v>22.47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IF(B6=0,"",RANK(B6,$B$2:$B$180,0))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REDINGTON</t>
        </is>
      </c>
      <c r="D6" s="31" t="inlineStr">
        <is>
          <t>Redington (india) Limited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largecap</t>
        </is>
      </c>
      <c r="H6" s="32" t="n">
        <v>31110.71</v>
      </c>
      <c r="I6" s="32" t="n">
        <v>397.95</v>
      </c>
      <c r="J6" s="32" t="n">
        <v>-2.22</v>
      </c>
      <c r="K6" s="32" t="n">
        <v>2795102</v>
      </c>
      <c r="L6" s="31" t="n">
        <v>52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72.51000000000001</v>
      </c>
      <c r="P6" s="32" t="n">
        <v>50.23</v>
      </c>
      <c r="Q6" s="32" t="n">
        <v>320.04</v>
      </c>
      <c r="R6" s="31" t="inlineStr">
        <is>
          <t>Near 52W High Breakout</t>
        </is>
      </c>
      <c r="S6" s="31" t="inlineStr">
        <is>
          <t>Nifty 50</t>
        </is>
      </c>
      <c r="T6" s="32" t="n">
        <v>-9.93</v>
      </c>
      <c r="U6" s="32" t="n">
        <v>45.42</v>
      </c>
      <c r="V6" s="32" t="n">
        <v>61.45</v>
      </c>
      <c r="W6" s="32" t="n">
        <v>20.17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IF(B7=0,"",RANK(B7,$B$2:$B$180,0))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MODISONLTD</t>
        </is>
      </c>
      <c r="D7" s="31" t="inlineStr">
        <is>
          <t>Modison Ltd</t>
        </is>
      </c>
      <c r="E7" s="31" t="inlineStr">
        <is>
          <t>industrials</t>
        </is>
      </c>
      <c r="F7" s="31" t="inlineStr">
        <is>
          <t>electric equipment</t>
        </is>
      </c>
      <c r="G7" s="31" t="inlineStr">
        <is>
          <t>smallcap</t>
        </is>
      </c>
      <c r="H7" s="32" t="n">
        <v>1577.23</v>
      </c>
      <c r="I7" s="32" t="n">
        <v>486.05</v>
      </c>
      <c r="J7" s="32" t="n">
        <v>4.99</v>
      </c>
      <c r="K7" s="32" t="n">
        <v>96311</v>
      </c>
      <c r="L7" s="31" t="n">
        <v>94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73.02</v>
      </c>
      <c r="P7" s="32" t="n">
        <v>56.48</v>
      </c>
      <c r="Q7" s="32" t="n">
        <v>359.46</v>
      </c>
      <c r="R7" s="31" t="inlineStr">
        <is>
          <t>Near 52W High Breakout</t>
        </is>
      </c>
      <c r="S7" s="31" t="inlineStr">
        <is>
          <t>Nifty 50</t>
        </is>
      </c>
      <c r="T7" s="32" t="n">
        <v>-9.93</v>
      </c>
      <c r="U7" s="32" t="n">
        <v>204.75</v>
      </c>
      <c r="V7" s="32" t="n">
        <v>238.35</v>
      </c>
      <c r="W7" s="32" t="n">
        <v>48.74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IF(B8=0,"",RANK(B8,$B$2:$B$180,0))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SPECIALITY</t>
        </is>
      </c>
      <c r="D8" s="31" t="inlineStr">
        <is>
          <t>Speciality Restaurants Limited</t>
        </is>
      </c>
      <c r="E8" s="31" t="inlineStr">
        <is>
          <t>services</t>
        </is>
      </c>
      <c r="F8" s="31" t="inlineStr">
        <is>
          <t>hotels</t>
        </is>
      </c>
      <c r="G8" s="31" t="inlineStr">
        <is>
          <t>smallcap</t>
        </is>
      </c>
      <c r="H8" s="32" t="n">
        <v>740.42</v>
      </c>
      <c r="I8" s="32" t="n">
        <v>153.5</v>
      </c>
      <c r="J8" s="32" t="n">
        <v>-0.39</v>
      </c>
      <c r="K8" s="32" t="n">
        <v>25371</v>
      </c>
      <c r="L8" s="31" t="n">
        <v>17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69.7</v>
      </c>
      <c r="P8" s="32" t="n">
        <v>44.13</v>
      </c>
      <c r="Q8" s="32" t="n">
        <v>113.61</v>
      </c>
      <c r="R8" s="31" t="inlineStr">
        <is>
          <t>Near 52W High Breakout</t>
        </is>
      </c>
      <c r="S8" s="31" t="inlineStr">
        <is>
          <t>Nifty 50</t>
        </is>
      </c>
      <c r="T8" s="32" t="n">
        <v>-9.93</v>
      </c>
      <c r="U8" s="32" t="n">
        <v>5.44</v>
      </c>
      <c r="V8" s="32" t="n">
        <v>17.07</v>
      </c>
      <c r="W8" s="32" t="n">
        <v>7.08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IF(B9=0,"",RANK(B9,$B$2:$B$180,0))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TBZ</t>
        </is>
      </c>
      <c r="D9" s="31" t="inlineStr">
        <is>
          <t>Tribhovandas Bhimji Zaveri Limited</t>
        </is>
      </c>
      <c r="E9" s="31" t="inlineStr">
        <is>
          <t>consumer discretionary</t>
        </is>
      </c>
      <c r="F9" s="31" t="inlineStr">
        <is>
          <t>diamond cutting / jewellery</t>
        </is>
      </c>
      <c r="G9" s="31" t="inlineStr">
        <is>
          <t>smallcap</t>
        </is>
      </c>
      <c r="H9" s="32" t="n">
        <v>4160.32</v>
      </c>
      <c r="I9" s="32" t="n">
        <v>623.45</v>
      </c>
      <c r="J9" s="32" t="n">
        <v>-1.83</v>
      </c>
      <c r="K9" s="32" t="n">
        <v>121799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87.5</v>
      </c>
      <c r="P9" s="32" t="n">
        <v>63.54</v>
      </c>
      <c r="Q9" s="32" t="n">
        <v>495.64</v>
      </c>
      <c r="R9" s="31" t="inlineStr">
        <is>
          <t>Near 52W High Breakout</t>
        </is>
      </c>
      <c r="S9" s="31" t="inlineStr">
        <is>
          <t>Nifty 50</t>
        </is>
      </c>
      <c r="T9" s="32" t="n">
        <v>-9.93</v>
      </c>
      <c r="U9" s="32" t="n">
        <v>236.92</v>
      </c>
      <c r="V9" s="32" t="n">
        <v>274.07</v>
      </c>
      <c r="W9" s="32" t="n">
        <v>95.01000000000001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IF(B10=0,"",RANK(B10,$B$2:$B$180,0))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KRONOX</t>
        </is>
      </c>
      <c r="D10" s="31" t="inlineStr">
        <is>
          <t>Kronox Lab Sciences Ltd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763.49</v>
      </c>
      <c r="I10" s="32" t="n">
        <v>205.77</v>
      </c>
      <c r="J10" s="32" t="n">
        <v>-4.9</v>
      </c>
      <c r="K10" s="32" t="n">
        <v>72814</v>
      </c>
      <c r="L10" s="31" t="n">
        <v>35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64.25</v>
      </c>
      <c r="P10" s="32" t="n">
        <v>49.59</v>
      </c>
      <c r="Q10" s="32" t="n">
        <v>146.5</v>
      </c>
      <c r="R10" s="31" t="inlineStr">
        <is>
          <t>Near 52W High Breakout</t>
        </is>
      </c>
      <c r="S10" s="31" t="inlineStr">
        <is>
          <t>Nifty 50</t>
        </is>
      </c>
      <c r="T10" s="32" t="n">
        <v>-9.93</v>
      </c>
      <c r="U10" s="32" t="n">
        <v>29.34</v>
      </c>
      <c r="V10" s="32" t="n">
        <v>43.6</v>
      </c>
      <c r="W10" s="32" t="n">
        <v>13.34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Between 12 to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IF(B11=0,"",RANK(B11,$B$2:$B$180,0))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KANORICHEM</t>
        </is>
      </c>
      <c r="D11" s="31" t="inlineStr">
        <is>
          <t>Kanoria Chemicals &amp; Industries Limited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825.89</v>
      </c>
      <c r="I11" s="32" t="n">
        <v>189.02</v>
      </c>
      <c r="J11" s="32" t="n">
        <v>-4.91</v>
      </c>
      <c r="K11" s="32" t="n">
        <v>35879</v>
      </c>
      <c r="L11" s="31" t="n">
        <v>81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73.79000000000001</v>
      </c>
      <c r="P11" s="32" t="n">
        <v>72.3</v>
      </c>
      <c r="Q11" s="32" t="n">
        <v>148.72</v>
      </c>
      <c r="R11" s="31" t="inlineStr">
        <is>
          <t>Near 52W High Breakout</t>
        </is>
      </c>
      <c r="S11" s="31" t="inlineStr">
        <is>
          <t>Nifty 50</t>
        </is>
      </c>
      <c r="T11" s="32" t="n">
        <v>-9.93</v>
      </c>
      <c r="U11" s="32" t="n">
        <v>136.11</v>
      </c>
      <c r="V11" s="32" t="n">
        <v>162.14</v>
      </c>
      <c r="W11" s="32" t="n">
        <v>33.82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IF(B12=0,"",RANK(B12,$B$2:$B$180,0))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E2E</t>
        </is>
      </c>
      <c r="D12" s="31" t="inlineStr">
        <is>
          <t>E2E Networks Ltd</t>
        </is>
      </c>
      <c r="E12" s="31" t="inlineStr">
        <is>
          <t>i.t</t>
        </is>
      </c>
      <c r="F12" s="31" t="inlineStr">
        <is>
          <t>computers - software - medium / small</t>
        </is>
      </c>
      <c r="G12" s="31" t="inlineStr">
        <is>
          <t>midcap</t>
        </is>
      </c>
      <c r="H12" s="32" t="n">
        <v>13320.6</v>
      </c>
      <c r="I12" s="32" t="n">
        <v>648</v>
      </c>
      <c r="J12" s="32" t="n">
        <v>-0.38</v>
      </c>
      <c r="K12" s="32" t="n">
        <v>470548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72.37</v>
      </c>
      <c r="P12" s="32" t="n">
        <v>53.25</v>
      </c>
      <c r="Q12" s="32" t="n">
        <v>471.32</v>
      </c>
      <c r="R12" s="31" t="inlineStr">
        <is>
          <t>Near 52W High Breakout</t>
        </is>
      </c>
      <c r="S12" s="31" t="inlineStr">
        <is>
          <t>Nifty IT</t>
        </is>
      </c>
      <c r="T12" s="32" t="n">
        <v>-16.63</v>
      </c>
      <c r="U12" s="32" t="n">
        <v>84</v>
      </c>
      <c r="V12" s="32" t="n">
        <v>120.69</v>
      </c>
      <c r="W12" s="32" t="n">
        <v>35.7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IF(B13=0,"",RANK(B13,$B$2:$B$180,0))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VALIANTORG</t>
        </is>
      </c>
      <c r="D13" s="31" t="inlineStr">
        <is>
          <t>Valiant Organics Ltd</t>
        </is>
      </c>
      <c r="E13" s="31" t="inlineStr">
        <is>
          <t>chemicals</t>
        </is>
      </c>
      <c r="F13" s="31" t="inlineStr">
        <is>
          <t>chemicals</t>
        </is>
      </c>
      <c r="G13" s="31" t="inlineStr">
        <is>
          <t>smallcap</t>
        </is>
      </c>
      <c r="H13" s="32" t="n">
        <v>1337.67</v>
      </c>
      <c r="I13" s="32" t="n">
        <v>477.15</v>
      </c>
      <c r="J13" s="32" t="n">
        <v>4.85</v>
      </c>
      <c r="K13" s="32" t="n">
        <v>551682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74.76000000000001</v>
      </c>
      <c r="P13" s="32" t="n">
        <v>44.31</v>
      </c>
      <c r="Q13" s="32" t="n">
        <v>344.14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-9.93</v>
      </c>
      <c r="U13" s="32" t="n">
        <v>39.09</v>
      </c>
      <c r="V13" s="32" t="n">
        <v>54.42</v>
      </c>
      <c r="W13" s="32" t="n">
        <v>24.68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IF(B14=0,"",RANK(B14,$B$2:$B$180,0))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DPABHUSHAN</t>
        </is>
      </c>
      <c r="D14" s="31" t="inlineStr">
        <is>
          <t>D.P. Abhushan Ltd</t>
        </is>
      </c>
      <c r="E14" s="31" t="inlineStr">
        <is>
          <t>consumer discretionary</t>
        </is>
      </c>
      <c r="F14" s="31" t="inlineStr">
        <is>
          <t>diamond cutting / jewellery</t>
        </is>
      </c>
      <c r="G14" s="31" t="inlineStr">
        <is>
          <t>smallcap</t>
        </is>
      </c>
      <c r="H14" s="32" t="n">
        <v>4277.95</v>
      </c>
      <c r="I14" s="32" t="n">
        <v>1874</v>
      </c>
      <c r="J14" s="32" t="n">
        <v>4.76</v>
      </c>
      <c r="K14" s="32" t="n">
        <v>784999</v>
      </c>
      <c r="L14" s="31" t="n">
        <v>77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74.56</v>
      </c>
      <c r="P14" s="32" t="n">
        <v>36.23</v>
      </c>
      <c r="Q14" s="32" t="n">
        <v>1376.2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-9.93</v>
      </c>
      <c r="U14" s="32" t="n">
        <v>30.25</v>
      </c>
      <c r="V14" s="32" t="n">
        <v>44.61</v>
      </c>
      <c r="W14" s="32" t="n">
        <v>30.82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IF(B15=0,"",RANK(B15,$B$2:$B$180,0))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ROLEXRINGS</t>
        </is>
      </c>
      <c r="D15" s="31" t="inlineStr">
        <is>
          <t>Rolex Rings Ltd</t>
        </is>
      </c>
      <c r="E15" s="31" t="inlineStr">
        <is>
          <t>auto</t>
        </is>
      </c>
      <c r="F15" s="31" t="inlineStr">
        <is>
          <t>auto ancillaries</t>
        </is>
      </c>
      <c r="G15" s="31" t="inlineStr">
        <is>
          <t>midcap</t>
        </is>
      </c>
      <c r="H15" s="32" t="n">
        <v>5347.53</v>
      </c>
      <c r="I15" s="32" t="n">
        <v>196.36</v>
      </c>
      <c r="J15" s="32" t="n">
        <v>3.3</v>
      </c>
      <c r="K15" s="32" t="n">
        <v>5245978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69.23</v>
      </c>
      <c r="P15" s="32" t="n">
        <v>44.34</v>
      </c>
      <c r="Q15" s="32" t="n">
        <v>152.76</v>
      </c>
      <c r="R15" s="31" t="inlineStr">
        <is>
          <t>Near 52W High Breakout</t>
        </is>
      </c>
      <c r="S15" s="31" t="inlineStr">
        <is>
          <t>Nifty Auto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Between 1.5 to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IF(B16=0,"",RANK(B16,$B$2:$B$180,0))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OCCLLTD</t>
        </is>
      </c>
      <c r="D16" s="31" t="inlineStr">
        <is>
          <t>OCCL Ltd</t>
        </is>
      </c>
      <c r="E16" s="31" t="inlineStr">
        <is>
          <t>chemicals</t>
        </is>
      </c>
      <c r="F16" s="31" t="inlineStr">
        <is>
          <t>chemicals</t>
        </is>
      </c>
      <c r="G16" s="31" t="inlineStr">
        <is>
          <t>smallcap</t>
        </is>
      </c>
      <c r="H16" s="32" t="n">
        <v>966.49</v>
      </c>
      <c r="I16" s="32" t="n">
        <v>193.49</v>
      </c>
      <c r="J16" s="32" t="n">
        <v>3.23</v>
      </c>
      <c r="K16" s="32" t="n">
        <v>182487</v>
      </c>
      <c r="L16" s="31" t="n">
        <v>59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76.87</v>
      </c>
      <c r="P16" s="32" t="n">
        <v>48.34</v>
      </c>
      <c r="Q16" s="32" t="n">
        <v>146.04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-9.93</v>
      </c>
      <c r="U16" s="32" t="n">
        <v>51.79</v>
      </c>
      <c r="V16" s="32" t="n">
        <v>68.53</v>
      </c>
      <c r="W16" s="32" t="n">
        <v>23.91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IF(B17=0,"",RANK(B17,$B$2:$B$180,0))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MBECL</t>
        </is>
      </c>
      <c r="D17" s="31" t="inlineStr">
        <is>
          <t>Mcnally Bharat Engineering Company Limited</t>
        </is>
      </c>
      <c r="E17" s="31" t="inlineStr">
        <is>
          <t>realty</t>
        </is>
      </c>
      <c r="F17" s="31" t="inlineStr">
        <is>
          <t>engineering - turnkey services</t>
        </is>
      </c>
      <c r="G17" s="31" t="inlineStr">
        <is>
          <t>smallcap</t>
        </is>
      </c>
      <c r="H17" s="32" t="n">
        <v>1646.67</v>
      </c>
      <c r="I17" s="32" t="n">
        <v>494</v>
      </c>
      <c r="J17" s="32" t="n">
        <v>2</v>
      </c>
      <c r="K17" s="32" t="n">
        <v>4423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99.95999999999999</v>
      </c>
      <c r="P17" s="32" t="n">
        <v>73.13</v>
      </c>
      <c r="Q17" s="32" t="n">
        <v>418.59</v>
      </c>
      <c r="R17" s="31" t="inlineStr">
        <is>
          <t>Volume Spike &amp; Near 52W High Breakout</t>
        </is>
      </c>
      <c r="S17" s="31" t="inlineStr">
        <is>
          <t>Nifty Realty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IF(B18=0,"",RANK(B18,$B$2:$B$180,0))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AEGISLOG</t>
        </is>
      </c>
      <c r="D18" s="31" t="inlineStr">
        <is>
          <t>Aegis Logistics Ltd</t>
        </is>
      </c>
      <c r="E18" s="31" t="inlineStr">
        <is>
          <t>services</t>
        </is>
      </c>
      <c r="F18" s="31" t="inlineStr">
        <is>
          <t>trading</t>
        </is>
      </c>
      <c r="G18" s="31" t="inlineStr">
        <is>
          <t>largecap</t>
        </is>
      </c>
      <c r="H18" s="32" t="n">
        <v>49178.61</v>
      </c>
      <c r="I18" s="32" t="n">
        <v>1401.1</v>
      </c>
      <c r="J18" s="32" t="n">
        <v>1.52</v>
      </c>
      <c r="K18" s="32" t="n">
        <v>1061975</v>
      </c>
      <c r="L18" s="31" t="n">
        <v>52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65.23999999999999</v>
      </c>
      <c r="P18" s="32" t="n">
        <v>58.76</v>
      </c>
      <c r="Q18" s="32" t="n">
        <v>1015.63</v>
      </c>
      <c r="R18" s="31" t="inlineStr">
        <is>
          <t>Near 52W High Breakout</t>
        </is>
      </c>
      <c r="S18" s="31" t="inlineStr">
        <is>
          <t>Nifty 50</t>
        </is>
      </c>
      <c r="T18" s="32" t="n">
        <v>-9.93</v>
      </c>
      <c r="U18" s="32" t="n">
        <v>59.91</v>
      </c>
      <c r="V18" s="32" t="n">
        <v>77.54000000000001</v>
      </c>
      <c r="W18" s="32" t="n">
        <v>20.22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IF(B19=0,"",RANK(B19,$B$2:$B$180,0))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SANGAMIND</t>
        </is>
      </c>
      <c r="D19" s="31" t="inlineStr">
        <is>
          <t>Sangam (india) Limited</t>
        </is>
      </c>
      <c r="E19" s="31" t="inlineStr">
        <is>
          <t>textiles</t>
        </is>
      </c>
      <c r="F19" s="31" t="inlineStr">
        <is>
          <t>textiles - spinning - synthetic / blended</t>
        </is>
      </c>
      <c r="G19" s="31" t="inlineStr">
        <is>
          <t>smallcap</t>
        </is>
      </c>
      <c r="H19" s="32" t="n">
        <v>3188.4</v>
      </c>
      <c r="I19" s="32" t="n">
        <v>634.55</v>
      </c>
      <c r="J19" s="32" t="n">
        <v>1.22</v>
      </c>
      <c r="K19" s="32" t="n">
        <v>50667</v>
      </c>
      <c r="L19" s="31" t="n">
        <v>33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67.41</v>
      </c>
      <c r="P19" s="32" t="n">
        <v>45.79</v>
      </c>
      <c r="Q19" s="32" t="n">
        <v>501.55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-9.93</v>
      </c>
      <c r="U19" s="32" t="n">
        <v>51.17</v>
      </c>
      <c r="V19" s="32" t="n">
        <v>67.84</v>
      </c>
      <c r="W19" s="32" t="n">
        <v>12.58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IF(B20=0,"",RANK(B20,$B$2:$B$180,0))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WHEELS</t>
        </is>
      </c>
      <c r="D20" s="31" t="inlineStr">
        <is>
          <t>Wheels India Limited</t>
        </is>
      </c>
      <c r="E20" s="31" t="inlineStr">
        <is>
          <t>auto</t>
        </is>
      </c>
      <c r="F20" s="31" t="inlineStr">
        <is>
          <t>auto ancillaries</t>
        </is>
      </c>
      <c r="G20" s="31" t="inlineStr">
        <is>
          <t>midcap</t>
        </is>
      </c>
      <c r="H20" s="32" t="n">
        <v>5476.17</v>
      </c>
      <c r="I20" s="32" t="n">
        <v>2241.3</v>
      </c>
      <c r="J20" s="32" t="n">
        <v>0.91</v>
      </c>
      <c r="K20" s="32" t="n">
        <v>183997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74.75</v>
      </c>
      <c r="P20" s="32" t="n">
        <v>59.44</v>
      </c>
      <c r="Q20" s="32" t="n">
        <v>1693.94</v>
      </c>
      <c r="R20" s="31" t="inlineStr">
        <is>
          <t>Near 52W High Breakout</t>
        </is>
      </c>
      <c r="S20" s="31" t="inlineStr">
        <is>
          <t>Nifty Auto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IF(B21=0,"",RANK(B21,$B$2:$B$180,0))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LLOYDSENGG</t>
        </is>
      </c>
      <c r="D21" s="31" t="inlineStr">
        <is>
          <t>Lloyds Engineering Works Ltd</t>
        </is>
      </c>
      <c r="E21" s="31" t="inlineStr">
        <is>
          <t>industrials</t>
        </is>
      </c>
      <c r="F21" s="31" t="inlineStr">
        <is>
          <t>engineering</t>
        </is>
      </c>
      <c r="G21" s="31" t="inlineStr">
        <is>
          <t>midcap</t>
        </is>
      </c>
      <c r="H21" s="32" t="n">
        <v>15248.26</v>
      </c>
      <c r="I21" s="32" t="n">
        <v>98.31</v>
      </c>
      <c r="J21" s="32" t="n">
        <v>-0.33</v>
      </c>
      <c r="K21" s="32" t="n">
        <v>15406969</v>
      </c>
      <c r="L21" s="31" t="n">
        <v>50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68.75</v>
      </c>
      <c r="P21" s="32" t="n">
        <v>45.1</v>
      </c>
      <c r="Q21" s="32" t="n">
        <v>73.92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-9.93</v>
      </c>
      <c r="U21" s="32" t="n">
        <v>59.29</v>
      </c>
      <c r="V21" s="32" t="n">
        <v>76.84999999999999</v>
      </c>
      <c r="W21" s="32" t="n">
        <v>19.98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IF(B22=0,"",RANK(B22,$B$2:$B$180,0))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VINCOFE</t>
        </is>
      </c>
      <c r="D22" s="31" t="inlineStr">
        <is>
          <t>Vintage Coffee &amp; Beverages Ltd</t>
        </is>
      </c>
      <c r="E22" s="31" t="inlineStr">
        <is>
          <t>consumer discretionary</t>
        </is>
      </c>
      <c r="F22" s="31" t="inlineStr">
        <is>
          <t>trading</t>
        </is>
      </c>
      <c r="G22" s="31" t="inlineStr">
        <is>
          <t>smallcap</t>
        </is>
      </c>
      <c r="H22" s="32" t="n">
        <v>2607.09</v>
      </c>
      <c r="I22" s="32" t="n">
        <v>178.95</v>
      </c>
      <c r="J22" s="32" t="n">
        <v>-0.5600000000000001</v>
      </c>
      <c r="K22" s="32" t="n">
        <v>1031758</v>
      </c>
      <c r="L22" s="31" t="n">
        <v>21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63.43</v>
      </c>
      <c r="P22" s="32" t="n">
        <v>29.12</v>
      </c>
      <c r="Q22" s="32" t="n">
        <v>137.88</v>
      </c>
      <c r="R22" s="31" t="inlineStr">
        <is>
          <t>Near 52W High Breakout</t>
        </is>
      </c>
      <c r="S22" s="31" t="inlineStr">
        <is>
          <t>Nifty 50</t>
        </is>
      </c>
      <c r="T22" s="32" t="n">
        <v>-9.93</v>
      </c>
      <c r="U22" s="32" t="n">
        <v>22.59</v>
      </c>
      <c r="V22" s="32" t="n">
        <v>36.11</v>
      </c>
      <c r="W22" s="32" t="n">
        <v>8.23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IF(B23=0,"",RANK(B23,$B$2:$B$180,0))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IBULLSLTD</t>
        </is>
      </c>
      <c r="D23" s="31" t="inlineStr">
        <is>
          <t>Indiabulls Limited</t>
        </is>
      </c>
      <c r="E23" s="31" t="inlineStr">
        <is>
          <t>miscellaneous</t>
        </is>
      </c>
      <c r="F23" s="31" t="inlineStr">
        <is>
          <t>diversified - medium / small</t>
        </is>
      </c>
      <c r="G23" s="31" t="inlineStr">
        <is>
          <t>midcap</t>
        </is>
      </c>
      <c r="H23" s="32" t="n">
        <v>6855.85</v>
      </c>
      <c r="I23" s="32" t="n">
        <v>29.43</v>
      </c>
      <c r="J23" s="32" t="n">
        <v>-0.61</v>
      </c>
      <c r="K23" s="32" t="n">
        <v>14659328</v>
      </c>
      <c r="L23" s="31" t="n">
        <v>67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63.59</v>
      </c>
      <c r="P23" s="32" t="n">
        <v>39.66</v>
      </c>
      <c r="Q23" s="32" t="n">
        <v>21.16</v>
      </c>
      <c r="R23" s="31" t="inlineStr">
        <is>
          <t>Near 52W High Breakout</t>
        </is>
      </c>
      <c r="S23" s="31" t="inlineStr">
        <is>
          <t>Nifty 50</t>
        </is>
      </c>
      <c r="T23" s="32" t="n">
        <v>-9.93</v>
      </c>
      <c r="U23" s="32" t="n">
        <v>66.09</v>
      </c>
      <c r="V23" s="32" t="n">
        <v>84.40000000000001</v>
      </c>
      <c r="W23" s="32" t="n">
        <v>27.31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IF(B24=0,"",RANK(B24,$B$2:$B$180,0))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RML</t>
        </is>
      </c>
      <c r="D24" s="31" t="inlineStr">
        <is>
          <t>Rane (madras) Limited</t>
        </is>
      </c>
      <c r="E24" s="31" t="inlineStr">
        <is>
          <t>auto</t>
        </is>
      </c>
      <c r="F24" s="31" t="inlineStr">
        <is>
          <t>auto ancillaries</t>
        </is>
      </c>
      <c r="G24" s="31" t="inlineStr">
        <is>
          <t>smallcap</t>
        </is>
      </c>
      <c r="H24" s="32" t="n">
        <v>3712.22</v>
      </c>
      <c r="I24" s="32" t="n">
        <v>1343.2</v>
      </c>
      <c r="J24" s="32" t="n">
        <v>-0.64</v>
      </c>
      <c r="K24" s="32" t="n">
        <v>58263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67.81999999999999</v>
      </c>
      <c r="P24" s="32" t="n">
        <v>57.35</v>
      </c>
      <c r="Q24" s="32" t="n">
        <v>1011.97</v>
      </c>
      <c r="R24" s="31" t="inlineStr">
        <is>
          <t>Near 52W High Breakout</t>
        </is>
      </c>
      <c r="S24" s="31" t="inlineStr">
        <is>
          <t>Nifty Auto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IF(B25=0,"",RANK(B25,$B$2:$B$180,0))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CEIGALL</t>
        </is>
      </c>
      <c r="D25" s="31" t="inlineStr">
        <is>
          <t>Ceigall India Ltd</t>
        </is>
      </c>
      <c r="E25" s="31" t="inlineStr">
        <is>
          <t>realty</t>
        </is>
      </c>
      <c r="F25" s="31" t="inlineStr">
        <is>
          <t>construction</t>
        </is>
      </c>
      <c r="G25" s="31" t="inlineStr">
        <is>
          <t>midcap</t>
        </is>
      </c>
      <c r="H25" s="32" t="n">
        <v>6621.53</v>
      </c>
      <c r="I25" s="32" t="n">
        <v>380.1</v>
      </c>
      <c r="J25" s="32" t="n">
        <v>-0.6899999999999999</v>
      </c>
      <c r="K25" s="32" t="n">
        <v>170053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62.99</v>
      </c>
      <c r="P25" s="32" t="n">
        <v>26.73</v>
      </c>
      <c r="Q25" s="32" t="n">
        <v>305.65</v>
      </c>
      <c r="R25" s="31" t="inlineStr">
        <is>
          <t>Near 52W High Breakout</t>
        </is>
      </c>
      <c r="S25" s="31" t="inlineStr">
        <is>
          <t>Nifty Realty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IF(B26=0,"",RANK(B26,$B$2:$B$180,0))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CASTROLIND</t>
        </is>
      </c>
      <c r="D26" s="31" t="inlineStr">
        <is>
          <t>Castrol India Limited</t>
        </is>
      </c>
      <c r="E26" s="31" t="inlineStr">
        <is>
          <t>chemicals</t>
        </is>
      </c>
      <c r="F26" s="31" t="inlineStr">
        <is>
          <t>chemicals</t>
        </is>
      </c>
      <c r="G26" s="31" t="inlineStr">
        <is>
          <t>midcap</t>
        </is>
      </c>
      <c r="H26" s="32" t="n">
        <v>19687.49</v>
      </c>
      <c r="I26" s="32" t="n">
        <v>199.04</v>
      </c>
      <c r="J26" s="32" t="n">
        <v>-0.74</v>
      </c>
      <c r="K26" s="32" t="n">
        <v>2825230</v>
      </c>
      <c r="L26" s="31" t="n">
        <v>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68.68000000000001</v>
      </c>
      <c r="P26" s="32" t="n">
        <v>41.92</v>
      </c>
      <c r="Q26" s="32" t="n">
        <v>183.77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-9.93</v>
      </c>
      <c r="U26" s="32" t="n">
        <v>3.98</v>
      </c>
      <c r="V26" s="32" t="n">
        <v>15.45</v>
      </c>
      <c r="W26" s="32" t="n">
        <v>3.18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IF(B27=0,"",RANK(B27,$B$2:$B$180,0))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WSTCSTPAPR</t>
        </is>
      </c>
      <c r="D27" s="31" t="inlineStr">
        <is>
          <t>West Coast Paper Mills Limited</t>
        </is>
      </c>
      <c r="E27" s="31" t="inlineStr">
        <is>
          <t>building materials</t>
        </is>
      </c>
      <c r="F27" s="31" t="inlineStr">
        <is>
          <t>paper</t>
        </is>
      </c>
      <c r="G27" s="31" t="inlineStr">
        <is>
          <t>smallcap</t>
        </is>
      </c>
      <c r="H27" s="32" t="n">
        <v>4806.05</v>
      </c>
      <c r="I27" s="32" t="n">
        <v>727.65</v>
      </c>
      <c r="J27" s="32" t="n">
        <v>-1.22</v>
      </c>
      <c r="K27" s="32" t="n">
        <v>145287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72.09</v>
      </c>
      <c r="P27" s="32" t="n">
        <v>61.7</v>
      </c>
      <c r="Q27" s="32" t="n">
        <v>611.15</v>
      </c>
      <c r="R27" s="31" t="inlineStr">
        <is>
          <t>Near 52W High Breakout</t>
        </is>
      </c>
      <c r="S27" s="31" t="inlineStr">
        <is>
          <t>Nifty Infra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IF(B28=0,"",RANK(B28,$B$2:$B$180,0))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SWANDEF</t>
        </is>
      </c>
      <c r="D28" s="31" t="inlineStr">
        <is>
          <t>Swan Defence and Heavy Industries Ltd</t>
        </is>
      </c>
      <c r="E28" s="31" t="inlineStr">
        <is>
          <t>transportation</t>
        </is>
      </c>
      <c r="F28" s="31" t="inlineStr">
        <is>
          <t>miscellaneous</t>
        </is>
      </c>
      <c r="G28" s="31" t="inlineStr">
        <is>
          <t>midcap</t>
        </is>
      </c>
      <c r="H28" s="32" t="n">
        <v>14320.06</v>
      </c>
      <c r="I28" s="32" t="n">
        <v>2718.2</v>
      </c>
      <c r="J28" s="32" t="n">
        <v>-1.39</v>
      </c>
      <c r="K28" s="32" t="n">
        <v>22327</v>
      </c>
      <c r="L28" s="31" t="n">
        <v>92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66.29000000000001</v>
      </c>
      <c r="P28" s="32" t="n">
        <v>56.92</v>
      </c>
      <c r="Q28" s="32" t="n">
        <v>2086.47</v>
      </c>
      <c r="R28" s="31" t="inlineStr">
        <is>
          <t>Near 52W High Breakout</t>
        </is>
      </c>
      <c r="S28" s="31" t="inlineStr">
        <is>
          <t>Nifty 50</t>
        </is>
      </c>
      <c r="T28" s="32" t="n">
        <v>-9.93</v>
      </c>
      <c r="U28" s="32" t="n">
        <v>345.6</v>
      </c>
      <c r="V28" s="32" t="n">
        <v>394.73</v>
      </c>
      <c r="W28" s="32" t="n">
        <v>46.7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More than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IF(B29=0,"",RANK(B29,$B$2:$B$180,0))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FILATEX</t>
        </is>
      </c>
      <c r="D29" s="31" t="inlineStr">
        <is>
          <t>Filatex India Limited</t>
        </is>
      </c>
      <c r="E29" s="31" t="inlineStr">
        <is>
          <t>textiles</t>
        </is>
      </c>
      <c r="F29" s="31" t="inlineStr">
        <is>
          <t>textiles - manmade</t>
        </is>
      </c>
      <c r="G29" s="31" t="inlineStr">
        <is>
          <t>smallcap</t>
        </is>
      </c>
      <c r="H29" s="32" t="n">
        <v>4711.46</v>
      </c>
      <c r="I29" s="32" t="n">
        <v>106.1</v>
      </c>
      <c r="J29" s="32" t="n">
        <v>-1.54</v>
      </c>
      <c r="K29" s="32" t="n">
        <v>3522416</v>
      </c>
      <c r="L29" s="31" t="n">
        <v>88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81.38</v>
      </c>
      <c r="P29" s="32" t="n">
        <v>50.62</v>
      </c>
      <c r="Q29" s="32" t="n">
        <v>79.29000000000001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-9.93</v>
      </c>
      <c r="U29" s="32" t="n">
        <v>104.56</v>
      </c>
      <c r="V29" s="32" t="n">
        <v>127.11</v>
      </c>
      <c r="W29" s="32" t="n">
        <v>38.91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IF(B30=0,"",RANK(B30,$B$2:$B$180,0))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KROSS</t>
        </is>
      </c>
      <c r="D30" s="31" t="inlineStr">
        <is>
          <t>Kross Ltd</t>
        </is>
      </c>
      <c r="E30" s="31" t="inlineStr">
        <is>
          <t>auto</t>
        </is>
      </c>
      <c r="F30" s="31" t="inlineStr">
        <is>
          <t>auto ancillaries</t>
        </is>
      </c>
      <c r="G30" s="31" t="inlineStr">
        <is>
          <t>smallcap</t>
        </is>
      </c>
      <c r="H30" s="32" t="n">
        <v>1666.92</v>
      </c>
      <c r="I30" s="32" t="n">
        <v>258.4</v>
      </c>
      <c r="J30" s="32" t="n">
        <v>-1.77</v>
      </c>
      <c r="K30" s="32" t="n">
        <v>670329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67.94</v>
      </c>
      <c r="P30" s="32" t="n">
        <v>35.98</v>
      </c>
      <c r="Q30" s="32" t="n">
        <v>204.09</v>
      </c>
      <c r="R30" s="31" t="inlineStr">
        <is>
          <t>Near 52W High Breakout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IF(B31=0,"",RANK(B31,$B$2:$B$180,0))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NRL</t>
        </is>
      </c>
      <c r="D31" s="31" t="inlineStr">
        <is>
          <t>Nupur Recyclers Ltd</t>
        </is>
      </c>
      <c r="E31" s="31" t="inlineStr">
        <is>
          <t>services</t>
        </is>
      </c>
      <c r="F31" s="31" t="inlineStr">
        <is>
          <t>trading</t>
        </is>
      </c>
      <c r="G31" s="31" t="inlineStr">
        <is>
          <t>smallcap</t>
        </is>
      </c>
      <c r="H31" s="32" t="n">
        <v>1081.69</v>
      </c>
      <c r="I31" s="32" t="n">
        <v>156.61</v>
      </c>
      <c r="J31" s="32" t="n">
        <v>-2</v>
      </c>
      <c r="K31" s="32" t="n">
        <v>56197</v>
      </c>
      <c r="L31" s="31" t="n">
        <v>87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86.73</v>
      </c>
      <c r="P31" s="32" t="n">
        <v>76.48</v>
      </c>
      <c r="Q31" s="32" t="n">
        <v>133.96</v>
      </c>
      <c r="R31" s="31" t="inlineStr">
        <is>
          <t>Near 52W High Breakout</t>
        </is>
      </c>
      <c r="S31" s="31" t="inlineStr">
        <is>
          <t>Nifty 50</t>
        </is>
      </c>
      <c r="T31" s="32" t="n">
        <v>-9.93</v>
      </c>
      <c r="U31" s="32" t="n">
        <v>117.79</v>
      </c>
      <c r="V31" s="32" t="n">
        <v>141.8</v>
      </c>
      <c r="W31" s="32" t="n">
        <v>38.76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IF(B32=0,"",RANK(B32,$B$2:$B$180,0))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QUADFUTURE</t>
        </is>
      </c>
      <c r="D32" s="31" t="inlineStr">
        <is>
          <t>Quadrant Future Tek Ltd</t>
        </is>
      </c>
      <c r="E32" s="31" t="inlineStr">
        <is>
          <t>industrials</t>
        </is>
      </c>
      <c r="F32" s="31" t="inlineStr">
        <is>
          <t>cables - power</t>
        </is>
      </c>
      <c r="G32" s="31" t="inlineStr">
        <is>
          <t>smallcap</t>
        </is>
      </c>
      <c r="H32" s="32" t="n">
        <v>2125.6</v>
      </c>
      <c r="I32" s="32" t="n">
        <v>531.4</v>
      </c>
      <c r="J32" s="32" t="n">
        <v>-2.93</v>
      </c>
      <c r="K32" s="32" t="n">
        <v>403649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68.79000000000001</v>
      </c>
      <c r="P32" s="32" t="n">
        <v>40.74</v>
      </c>
      <c r="Q32" s="32" t="n">
        <v>387.07</v>
      </c>
      <c r="R32" s="31" t="inlineStr">
        <is>
          <t>Near 52W High Breakout</t>
        </is>
      </c>
      <c r="S32" s="31" t="inlineStr">
        <is>
          <t>Nifty Energy</t>
        </is>
      </c>
      <c r="T32" s="32" t="inlineStr"/>
      <c r="U32" s="32" t="inlineStr"/>
      <c r="V32" s="32" t="inlineStr"/>
      <c r="W32" s="32" t="inlineStr"/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IF(B33=0,"",RANK(B33,$B$2:$B$180,0))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SSWL</t>
        </is>
      </c>
      <c r="D33" s="31" t="inlineStr">
        <is>
          <t>Steel Strips Wheels Limited</t>
        </is>
      </c>
      <c r="E33" s="31" t="inlineStr">
        <is>
          <t>auto</t>
        </is>
      </c>
      <c r="F33" s="31" t="inlineStr">
        <is>
          <t>auto ancillaries</t>
        </is>
      </c>
      <c r="G33" s="31" t="inlineStr">
        <is>
          <t>midcap</t>
        </is>
      </c>
      <c r="H33" s="32" t="n">
        <v>6142.61</v>
      </c>
      <c r="I33" s="32" t="n">
        <v>390.8</v>
      </c>
      <c r="J33" s="32" t="n">
        <v>-4.24</v>
      </c>
      <c r="K33" s="32" t="n">
        <v>3280912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81.73</v>
      </c>
      <c r="P33" s="32" t="n">
        <v>48.16</v>
      </c>
      <c r="Q33" s="32" t="n">
        <v>304.44</v>
      </c>
      <c r="R33" s="31" t="inlineStr">
        <is>
          <t>Near 52W High Breakout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IF(B34=0,"",RANK(B34,$B$2:$B$180,0))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MOREPENLAB</t>
        </is>
      </c>
      <c r="D34" s="31" t="inlineStr">
        <is>
          <t>Morepen Laboratories Limited</t>
        </is>
      </c>
      <c r="E34" s="31" t="inlineStr">
        <is>
          <t>healthcare</t>
        </is>
      </c>
      <c r="F34" s="31" t="inlineStr">
        <is>
          <t>pharmaceuticals - indian - bulk drugs &amp; formln</t>
        </is>
      </c>
      <c r="G34" s="31" t="inlineStr">
        <is>
          <t>midcap</t>
        </is>
      </c>
      <c r="H34" s="32" t="n">
        <v>7327.24</v>
      </c>
      <c r="I34" s="32" t="n">
        <v>133.72</v>
      </c>
      <c r="J34" s="32" t="n">
        <v>6.14</v>
      </c>
      <c r="K34" s="32" t="n">
        <v>37973409</v>
      </c>
      <c r="L34" s="31" t="n">
        <v>97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90.11</v>
      </c>
      <c r="P34" s="32" t="n">
        <v>56.84</v>
      </c>
      <c r="Q34" s="32" t="n">
        <v>100.61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20.94</v>
      </c>
      <c r="U34" s="32" t="n">
        <v>171.83</v>
      </c>
      <c r="V34" s="32" t="n">
        <v>124.77</v>
      </c>
      <c r="W34" s="32" t="n">
        <v>56.93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IF(B35=0,"",RANK(B35,$B$2:$B$180,0))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INDSWFTLAB</t>
        </is>
      </c>
      <c r="D35" s="31" t="inlineStr">
        <is>
          <t>Ind-swift Laboratories Limited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smallcap</t>
        </is>
      </c>
      <c r="H35" s="32" t="n">
        <v>3436.29</v>
      </c>
      <c r="I35" s="32" t="n">
        <v>395.15</v>
      </c>
      <c r="J35" s="32" t="n">
        <v>1.65</v>
      </c>
      <c r="K35" s="32" t="n">
        <v>749983</v>
      </c>
      <c r="L35" s="31" t="n">
        <v>96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81.55</v>
      </c>
      <c r="P35" s="32" t="n">
        <v>76.16</v>
      </c>
      <c r="Q35" s="32" t="n">
        <v>295.89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20.94</v>
      </c>
      <c r="U35" s="32" t="n">
        <v>305.18</v>
      </c>
      <c r="V35" s="32" t="n">
        <v>235.04</v>
      </c>
      <c r="W35" s="32" t="n">
        <v>53.6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IF(B36=0,"",RANK(B36,$B$2:$B$180,0))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IOLCP</t>
        </is>
      </c>
      <c r="D36" s="31" t="inlineStr">
        <is>
          <t>Iol Chemicals And Pharmaceuticals Limited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midcap</t>
        </is>
      </c>
      <c r="H36" s="32" t="n">
        <v>6146.17</v>
      </c>
      <c r="I36" s="32" t="n">
        <v>209.39</v>
      </c>
      <c r="J36" s="32" t="n">
        <v>1.12</v>
      </c>
      <c r="K36" s="32" t="n">
        <v>4041973</v>
      </c>
      <c r="L36" s="31" t="n">
        <v>75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78.77</v>
      </c>
      <c r="P36" s="32" t="n">
        <v>79.39</v>
      </c>
      <c r="Q36" s="32" t="n">
        <v>153.31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20.94</v>
      </c>
      <c r="U36" s="32" t="n">
        <v>101.92</v>
      </c>
      <c r="V36" s="32" t="n">
        <v>66.97</v>
      </c>
      <c r="W36" s="32" t="n">
        <v>30.44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IF(B37=0,"",RANK(B37,$B$2:$B$180,0))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VENUSREM</t>
        </is>
      </c>
      <c r="D37" s="31" t="inlineStr">
        <is>
          <t>Venus Remedies Limited</t>
        </is>
      </c>
      <c r="E37" s="31" t="inlineStr">
        <is>
          <t>healthcare</t>
        </is>
      </c>
      <c r="F37" s="31" t="inlineStr">
        <is>
          <t>pharmaceuticals - indian - formulations</t>
        </is>
      </c>
      <c r="G37" s="31" t="inlineStr">
        <is>
          <t>smallcap</t>
        </is>
      </c>
      <c r="H37" s="32" t="n">
        <v>2401.65</v>
      </c>
      <c r="I37" s="32" t="n">
        <v>1796.7</v>
      </c>
      <c r="J37" s="32" t="n">
        <v>0.03</v>
      </c>
      <c r="K37" s="32" t="n">
        <v>116523</v>
      </c>
      <c r="L37" s="31" t="n">
        <v>86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63.69</v>
      </c>
      <c r="P37" s="32" t="n">
        <v>45.15</v>
      </c>
      <c r="Q37" s="32" t="n">
        <v>1235.66</v>
      </c>
      <c r="R37" s="31" t="inlineStr">
        <is>
          <t>Volume Spike / Accumulation</t>
        </is>
      </c>
      <c r="S37" s="31" t="inlineStr">
        <is>
          <t>Nifty Pharma</t>
        </is>
      </c>
      <c r="T37" s="32" t="n">
        <v>20.94</v>
      </c>
      <c r="U37" s="32" t="n">
        <v>290.76</v>
      </c>
      <c r="V37" s="32" t="n">
        <v>223.11</v>
      </c>
      <c r="W37" s="32" t="n">
        <v>37.15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IF(B38=0,"",RANK(B38,$B$2:$B$180,0))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AHCL</t>
        </is>
      </c>
      <c r="D38" s="31" t="inlineStr">
        <is>
          <t>Anlon Healthcare Ltd</t>
        </is>
      </c>
      <c r="E38" s="31" t="inlineStr">
        <is>
          <t>healthcare</t>
        </is>
      </c>
      <c r="F38" s="31" t="inlineStr">
        <is>
          <t>pharmaceuticals - indian - bulk drugs &amp; formln</t>
        </is>
      </c>
      <c r="G38" s="31" t="inlineStr">
        <is>
          <t>smallcap</t>
        </is>
      </c>
      <c r="H38" s="32" t="n">
        <v>1746.56</v>
      </c>
      <c r="I38" s="32" t="n">
        <v>32.86</v>
      </c>
      <c r="J38" s="32" t="n">
        <v>-4.97</v>
      </c>
      <c r="K38" s="32" t="n">
        <v>1444357</v>
      </c>
      <c r="L38" s="31" t="n">
        <v>95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88.2</v>
      </c>
      <c r="P38" s="32" t="n">
        <v>47.36</v>
      </c>
      <c r="Q38" s="32" t="n">
        <v>24.98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20.94</v>
      </c>
      <c r="U38" s="32" t="n">
        <v>159.07</v>
      </c>
      <c r="V38" s="32" t="n">
        <v>114.22</v>
      </c>
      <c r="W38" s="32" t="n">
        <v>49.9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IF(B39=0,"",RANK(B39,$B$2:$B$180,0))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WELSPUNLIV</t>
        </is>
      </c>
      <c r="D39" s="31" t="inlineStr">
        <is>
          <t>Welspun Living Ltd</t>
        </is>
      </c>
      <c r="E39" s="31" t="inlineStr">
        <is>
          <t>textiles</t>
        </is>
      </c>
      <c r="F39" s="31" t="inlineStr">
        <is>
          <t>textiles - products</t>
        </is>
      </c>
      <c r="G39" s="31" t="inlineStr">
        <is>
          <t>largecap</t>
        </is>
      </c>
      <c r="H39" s="32" t="n">
        <v>22595.65</v>
      </c>
      <c r="I39" s="32" t="n">
        <v>239.17</v>
      </c>
      <c r="J39" s="32" t="n">
        <v>5.21</v>
      </c>
      <c r="K39" s="32" t="n">
        <v>22516675</v>
      </c>
      <c r="L39" s="31" t="n">
        <v>63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84.48</v>
      </c>
      <c r="P39" s="32" t="n">
        <v>45.31</v>
      </c>
      <c r="Q39" s="32" t="n">
        <v>193.09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-9.93</v>
      </c>
      <c r="U39" s="32" t="n">
        <v>104.03</v>
      </c>
      <c r="V39" s="32" t="n">
        <v>126.53</v>
      </c>
      <c r="W39" s="32" t="n">
        <v>25.55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IF(B40=0,"",RANK(B40,$B$2:$B$180,0))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LOTUSDEV</t>
        </is>
      </c>
      <c r="D40" s="31" t="inlineStr">
        <is>
          <t>Sri Lotus Developers &amp; Realty Ltd</t>
        </is>
      </c>
      <c r="E40" s="31" t="inlineStr">
        <is>
          <t>realty</t>
        </is>
      </c>
      <c r="F40" s="31" t="inlineStr">
        <is>
          <t>construction</t>
        </is>
      </c>
      <c r="G40" s="31" t="inlineStr">
        <is>
          <t>midcap</t>
        </is>
      </c>
      <c r="H40" s="32" t="n">
        <v>11244.07</v>
      </c>
      <c r="I40" s="32" t="n">
        <v>230.07</v>
      </c>
      <c r="J40" s="32" t="n">
        <v>2.47</v>
      </c>
      <c r="K40" s="32" t="n">
        <v>1685413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70.98999999999999</v>
      </c>
      <c r="P40" s="32" t="n">
        <v>29.65</v>
      </c>
      <c r="Q40" s="32" t="n">
        <v>176.61</v>
      </c>
      <c r="R40" s="31" t="inlineStr">
        <is>
          <t>Near 52W High Breakout</t>
        </is>
      </c>
      <c r="S40" s="31" t="inlineStr">
        <is>
          <t>Nifty Realty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IF(B41=0,"",RANK(B41,$B$2:$B$180,0))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MACPOWER</t>
        </is>
      </c>
      <c r="D41" s="31" t="inlineStr">
        <is>
          <t>Macpower CNC Machines Ltd</t>
        </is>
      </c>
      <c r="E41" s="31" t="inlineStr">
        <is>
          <t>industrials</t>
        </is>
      </c>
      <c r="F41" s="31" t="inlineStr">
        <is>
          <t>engineering</t>
        </is>
      </c>
      <c r="G41" s="31" t="inlineStr">
        <is>
          <t>smallcap</t>
        </is>
      </c>
      <c r="H41" s="32" t="n">
        <v>2145.69</v>
      </c>
      <c r="I41" s="32" t="n">
        <v>2144.8</v>
      </c>
      <c r="J41" s="32" t="n">
        <v>2.33</v>
      </c>
      <c r="K41" s="32" t="n">
        <v>97223</v>
      </c>
      <c r="L41" s="31" t="n">
        <v>83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74.53</v>
      </c>
      <c r="P41" s="32" t="n">
        <v>55.1</v>
      </c>
      <c r="Q41" s="32" t="n">
        <v>1518.34</v>
      </c>
      <c r="R41" s="31" t="inlineStr">
        <is>
          <t>Near 52W High Breakout</t>
        </is>
      </c>
      <c r="S41" s="31" t="inlineStr">
        <is>
          <t>Nifty 50</t>
        </is>
      </c>
      <c r="T41" s="32" t="n">
        <v>-9.93</v>
      </c>
      <c r="U41" s="32" t="n">
        <v>160.25</v>
      </c>
      <c r="V41" s="32" t="n">
        <v>188.94</v>
      </c>
      <c r="W41" s="32" t="n">
        <v>34.8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IF(B42=0,"",RANK(B42,$B$2:$B$180,0))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MARINE</t>
        </is>
      </c>
      <c r="D42" s="31" t="inlineStr">
        <is>
          <t>Marine Electricals (India) Ltd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midcap</t>
        </is>
      </c>
      <c r="H42" s="32" t="n">
        <v>6109.27</v>
      </c>
      <c r="I42" s="32" t="n">
        <v>436.55</v>
      </c>
      <c r="J42" s="32" t="n">
        <v>1.63</v>
      </c>
      <c r="K42" s="32" t="n">
        <v>1481138</v>
      </c>
      <c r="L42" s="31" t="n">
        <v>72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72.01000000000001</v>
      </c>
      <c r="P42" s="32" t="n">
        <v>49</v>
      </c>
      <c r="Q42" s="32" t="n">
        <v>310.47</v>
      </c>
      <c r="R42" s="31" t="inlineStr">
        <is>
          <t>Near 52W High Breakout</t>
        </is>
      </c>
      <c r="S42" s="31" t="inlineStr">
        <is>
          <t>Nifty 50</t>
        </is>
      </c>
      <c r="T42" s="32" t="n">
        <v>-9.93</v>
      </c>
      <c r="U42" s="32" t="n">
        <v>93.56</v>
      </c>
      <c r="V42" s="32" t="n">
        <v>114.91</v>
      </c>
      <c r="W42" s="32" t="n">
        <v>29.69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IF(B43=0,"",RANK(B43,$B$2:$B$180,0))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ARROWGREEN</t>
        </is>
      </c>
      <c r="D43" s="31" t="inlineStr">
        <is>
          <t>Arrow Greentech Limited</t>
        </is>
      </c>
      <c r="E43" s="31" t="inlineStr">
        <is>
          <t>plastic products</t>
        </is>
      </c>
      <c r="F43" s="31" t="inlineStr">
        <is>
          <t>plastics products</t>
        </is>
      </c>
      <c r="G43" s="31" t="inlineStr">
        <is>
          <t>smallcap</t>
        </is>
      </c>
      <c r="H43" s="32" t="n">
        <v>1305.41</v>
      </c>
      <c r="I43" s="32" t="n">
        <v>865.2</v>
      </c>
      <c r="J43" s="32" t="n">
        <v>1.07</v>
      </c>
      <c r="K43" s="32" t="n">
        <v>40400</v>
      </c>
      <c r="L43" s="31" t="n">
        <v>44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66.48999999999999</v>
      </c>
      <c r="P43" s="32" t="n">
        <v>49</v>
      </c>
      <c r="Q43" s="32" t="n">
        <v>671.74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-9.93</v>
      </c>
      <c r="U43" s="32" t="n">
        <v>50.79</v>
      </c>
      <c r="V43" s="32" t="n">
        <v>67.42</v>
      </c>
      <c r="W43" s="32" t="n">
        <v>17.74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IF(B44=0,"",RANK(B44,$B$2:$B$180,0))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FINCABLES</t>
        </is>
      </c>
      <c r="D44" s="31" t="inlineStr">
        <is>
          <t>Finolex Cables Limited</t>
        </is>
      </c>
      <c r="E44" s="31" t="inlineStr">
        <is>
          <t>industrials</t>
        </is>
      </c>
      <c r="F44" s="31" t="inlineStr">
        <is>
          <t>cables - power</t>
        </is>
      </c>
      <c r="G44" s="31" t="inlineStr">
        <is>
          <t>largecap</t>
        </is>
      </c>
      <c r="H44" s="32" t="n">
        <v>22310.79</v>
      </c>
      <c r="I44" s="32" t="n">
        <v>1458.8</v>
      </c>
      <c r="J44" s="32" t="n">
        <v>0.59</v>
      </c>
      <c r="K44" s="32" t="n">
        <v>598654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70.26000000000001</v>
      </c>
      <c r="P44" s="32" t="n">
        <v>39.08</v>
      </c>
      <c r="Q44" s="32" t="n">
        <v>1117.19</v>
      </c>
      <c r="R44" s="31" t="inlineStr">
        <is>
          <t>Near 52W High Breakout</t>
        </is>
      </c>
      <c r="S44" s="31" t="inlineStr">
        <is>
          <t>Nifty Energy</t>
        </is>
      </c>
      <c r="T44" s="32" t="inlineStr"/>
      <c r="U44" s="32" t="inlineStr"/>
      <c r="V44" s="32" t="inlineStr"/>
      <c r="W44" s="32" t="inlineStr"/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IF(B45=0,"",RANK(B45,$B$2:$B$180,0))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SKYGOLD</t>
        </is>
      </c>
      <c r="D45" s="31" t="inlineStr">
        <is>
          <t>Sky Gold Ltd</t>
        </is>
      </c>
      <c r="E45" s="31" t="inlineStr">
        <is>
          <t>consumer discretionary</t>
        </is>
      </c>
      <c r="F45" s="31" t="inlineStr">
        <is>
          <t>diamond cutting / jewellery</t>
        </is>
      </c>
      <c r="G45" s="31" t="inlineStr">
        <is>
          <t>midcap</t>
        </is>
      </c>
      <c r="H45" s="32" t="n">
        <v>12554.85</v>
      </c>
      <c r="I45" s="32" t="n">
        <v>810.65</v>
      </c>
      <c r="J45" s="32" t="n">
        <v>-0.01</v>
      </c>
      <c r="K45" s="32" t="n">
        <v>1141277</v>
      </c>
      <c r="L45" s="31" t="n">
        <v>82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72.56</v>
      </c>
      <c r="P45" s="32" t="n">
        <v>67.92</v>
      </c>
      <c r="Q45" s="32" t="n">
        <v>626.17</v>
      </c>
      <c r="R45" s="31" t="inlineStr">
        <is>
          <t>Near 52W High Breakout</t>
        </is>
      </c>
      <c r="S45" s="31" t="inlineStr">
        <is>
          <t>Nifty 50</t>
        </is>
      </c>
      <c r="T45" s="32" t="n">
        <v>-9.93</v>
      </c>
      <c r="U45" s="32" t="n">
        <v>183.71</v>
      </c>
      <c r="V45" s="32" t="n">
        <v>214.99</v>
      </c>
      <c r="W45" s="32" t="n">
        <v>34.41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IF(B46=0,"",RANK(B46,$B$2:$B$180,0))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MOTISONS</t>
        </is>
      </c>
      <c r="D46" s="31" t="inlineStr">
        <is>
          <t>Motisons Jewellers Ltd</t>
        </is>
      </c>
      <c r="E46" s="31" t="inlineStr">
        <is>
          <t>consumer discretionary</t>
        </is>
      </c>
      <c r="F46" s="31" t="inlineStr">
        <is>
          <t>diamond cutting / jewellery</t>
        </is>
      </c>
      <c r="G46" s="31" t="inlineStr">
        <is>
          <t>smallcap</t>
        </is>
      </c>
      <c r="H46" s="32" t="n">
        <v>2033.86</v>
      </c>
      <c r="I46" s="32" t="n">
        <v>17.88</v>
      </c>
      <c r="J46" s="32" t="n">
        <v>-0.67</v>
      </c>
      <c r="K46" s="32" t="n">
        <v>28260057</v>
      </c>
      <c r="L46" s="31" t="n">
        <v>15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63.57</v>
      </c>
      <c r="P46" s="32" t="n">
        <v>26.29</v>
      </c>
      <c r="Q46" s="32" t="n">
        <v>12.63</v>
      </c>
      <c r="R46" s="31" t="inlineStr">
        <is>
          <t>Near 52W High Breakout</t>
        </is>
      </c>
      <c r="S46" s="31" t="inlineStr">
        <is>
          <t>Nifty 50</t>
        </is>
      </c>
      <c r="T46" s="32" t="n">
        <v>-9.93</v>
      </c>
      <c r="U46" s="32" t="n">
        <v>-3.2</v>
      </c>
      <c r="V46" s="32" t="n">
        <v>7.48</v>
      </c>
      <c r="W46" s="32" t="n">
        <v>6.06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IF(B47=0,"",RANK(B47,$B$2:$B$180,0))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THELEELA</t>
        </is>
      </c>
      <c r="D47" s="31" t="inlineStr">
        <is>
          <t>Leela Palaces Hotels &amp; Resorts Ltd</t>
        </is>
      </c>
      <c r="E47" s="31" t="inlineStr">
        <is>
          <t>services</t>
        </is>
      </c>
      <c r="F47" s="31" t="inlineStr">
        <is>
          <t>hotels</t>
        </is>
      </c>
      <c r="G47" s="31" t="inlineStr">
        <is>
          <t>midcap</t>
        </is>
      </c>
      <c r="H47" s="32" t="n">
        <v>19000.53</v>
      </c>
      <c r="I47" s="32" t="n">
        <v>568.95</v>
      </c>
      <c r="J47" s="32" t="n">
        <v>-0.85</v>
      </c>
      <c r="K47" s="32" t="n">
        <v>222623</v>
      </c>
      <c r="L47" s="31" t="n">
        <v>29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69.3</v>
      </c>
      <c r="P47" s="32" t="n">
        <v>41.38</v>
      </c>
      <c r="Q47" s="32" t="n">
        <v>461.54</v>
      </c>
      <c r="R47" s="31" t="inlineStr">
        <is>
          <t>Near 52W High Breakout</t>
        </is>
      </c>
      <c r="S47" s="31" t="inlineStr">
        <is>
          <t>Nifty 50</t>
        </is>
      </c>
      <c r="T47" s="32" t="n">
        <v>-9.93</v>
      </c>
      <c r="U47" s="32" t="n">
        <v>32.06</v>
      </c>
      <c r="V47" s="32" t="n">
        <v>46.62</v>
      </c>
      <c r="W47" s="32" t="n">
        <v>10.11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IF(B48=0,"",RANK(B48,$B$2:$B$180,0))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CPPLUS</t>
        </is>
      </c>
      <c r="D48" s="31" t="inlineStr">
        <is>
          <t>Aditya Infotech Ltd</t>
        </is>
      </c>
      <c r="E48" s="31" t="inlineStr">
        <is>
          <t>consumer discretionary</t>
        </is>
      </c>
      <c r="F48" s="31" t="inlineStr">
        <is>
          <t>trading</t>
        </is>
      </c>
      <c r="G48" s="31" t="inlineStr">
        <is>
          <t>largecap</t>
        </is>
      </c>
      <c r="H48" s="32" t="n">
        <v>44778.47</v>
      </c>
      <c r="I48" s="32" t="n">
        <v>3799.6</v>
      </c>
      <c r="J48" s="32" t="n">
        <v>-1.22</v>
      </c>
      <c r="K48" s="32" t="n">
        <v>119217</v>
      </c>
      <c r="L48" s="31" t="n">
        <v>69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64.73999999999999</v>
      </c>
      <c r="P48" s="32" t="n">
        <v>46.8</v>
      </c>
      <c r="Q48" s="32" t="n">
        <v>2804.72</v>
      </c>
      <c r="R48" s="31" t="inlineStr">
        <is>
          <t>Near 52W High Breakout</t>
        </is>
      </c>
      <c r="S48" s="31" t="inlineStr">
        <is>
          <t>Nifty 50</t>
        </is>
      </c>
      <c r="T48" s="32" t="n">
        <v>-9.93</v>
      </c>
      <c r="U48" s="32" t="n">
        <v>180.09</v>
      </c>
      <c r="V48" s="32" t="n">
        <v>210.98</v>
      </c>
      <c r="W48" s="32" t="n">
        <v>28.35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IF(B49=0,"",RANK(B49,$B$2:$B$180,0))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HITECHCORP</t>
        </is>
      </c>
      <c r="D49" s="31" t="inlineStr">
        <is>
          <t>Hitech Corporation</t>
        </is>
      </c>
      <c r="E49" s="31" t="inlineStr">
        <is>
          <t>industrials</t>
        </is>
      </c>
      <c r="F49" s="31" t="inlineStr">
        <is>
          <t>packaging</t>
        </is>
      </c>
      <c r="G49" s="31" t="inlineStr">
        <is>
          <t>smallcap</t>
        </is>
      </c>
      <c r="H49" s="32" t="n">
        <v>584.4</v>
      </c>
      <c r="I49" s="32" t="n">
        <v>340.25</v>
      </c>
      <c r="J49" s="32" t="n">
        <v>-1.45</v>
      </c>
      <c r="K49" s="32" t="n">
        <v>20052</v>
      </c>
      <c r="L49" s="31" t="n">
        <v>58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78.76000000000001</v>
      </c>
      <c r="P49" s="32" t="n">
        <v>65.62</v>
      </c>
      <c r="Q49" s="32" t="n">
        <v>285.88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-9.93</v>
      </c>
      <c r="U49" s="32" t="n">
        <v>70.43000000000001</v>
      </c>
      <c r="V49" s="32" t="n">
        <v>89.23</v>
      </c>
      <c r="W49" s="32" t="n">
        <v>23.33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IF(B50=0,"",RANK(B50,$B$2:$B$180,0))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SHANTIGOLD</t>
        </is>
      </c>
      <c r="D50" s="31" t="inlineStr">
        <is>
          <t>Shanti Gold International Ltd</t>
        </is>
      </c>
      <c r="E50" s="31" t="inlineStr">
        <is>
          <t>consumer discretionary</t>
        </is>
      </c>
      <c r="F50" s="31" t="inlineStr">
        <is>
          <t>diamond cutting / jewellery</t>
        </is>
      </c>
      <c r="G50" s="31" t="inlineStr">
        <is>
          <t>smallcap</t>
        </is>
      </c>
      <c r="H50" s="32" t="n">
        <v>2329.43</v>
      </c>
      <c r="I50" s="32" t="n">
        <v>303.55</v>
      </c>
      <c r="J50" s="32" t="n">
        <v>-1.64</v>
      </c>
      <c r="K50" s="32" t="n">
        <v>2237991</v>
      </c>
      <c r="L50" s="31" t="n">
        <v>44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67.45999999999999</v>
      </c>
      <c r="P50" s="32" t="n">
        <v>41.32</v>
      </c>
      <c r="Q50" s="32" t="n">
        <v>240.12</v>
      </c>
      <c r="R50" s="31" t="inlineStr">
        <is>
          <t>Earnings / Momentum Support</t>
        </is>
      </c>
      <c r="S50" s="31" t="inlineStr">
        <is>
          <t>Nifty 50</t>
        </is>
      </c>
      <c r="T50" s="32" t="n">
        <v>-9.93</v>
      </c>
      <c r="U50" s="32" t="n">
        <v>43.51</v>
      </c>
      <c r="V50" s="32" t="n">
        <v>59.34</v>
      </c>
      <c r="W50" s="32" t="n">
        <v>17.07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IF(B51=0,"",RANK(B51,$B$2:$B$180,0))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CENTUM</t>
        </is>
      </c>
      <c r="D51" s="31" t="inlineStr">
        <is>
          <t>Centum Electronics Limited</t>
        </is>
      </c>
      <c r="E51" s="31" t="inlineStr">
        <is>
          <t>aerospace &amp; defence</t>
        </is>
      </c>
      <c r="F51" s="31" t="inlineStr">
        <is>
          <t>electronics - components</t>
        </is>
      </c>
      <c r="G51" s="31" t="inlineStr">
        <is>
          <t>midcap</t>
        </is>
      </c>
      <c r="H51" s="32" t="n">
        <v>6939.25</v>
      </c>
      <c r="I51" s="32" t="n">
        <v>4701.7</v>
      </c>
      <c r="J51" s="32" t="n">
        <v>-2.01</v>
      </c>
      <c r="K51" s="32" t="n">
        <v>79168</v>
      </c>
      <c r="L51" s="31" t="n">
        <v>54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73.3</v>
      </c>
      <c r="P51" s="32" t="n">
        <v>53.07</v>
      </c>
      <c r="Q51" s="32" t="n">
        <v>3631.97</v>
      </c>
      <c r="R51" s="31" t="inlineStr">
        <is>
          <t>Volume Spike &amp; Near 52W High Breakout</t>
        </is>
      </c>
      <c r="S51" s="31" t="inlineStr">
        <is>
          <t>Nifty 50</t>
        </is>
      </c>
      <c r="T51" s="32" t="n">
        <v>-9.93</v>
      </c>
      <c r="U51" s="32" t="n">
        <v>90.83</v>
      </c>
      <c r="V51" s="32" t="n">
        <v>111.87</v>
      </c>
      <c r="W51" s="32" t="n">
        <v>20.79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IF(B52=0,"",RANK(B52,$B$2:$B$180,0))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GALAPREC</t>
        </is>
      </c>
      <c r="D52" s="31" t="inlineStr">
        <is>
          <t>Gala Precision Engineering Ltd</t>
        </is>
      </c>
      <c r="E52" s="31" t="inlineStr">
        <is>
          <t>castings, forgings &amp; fasteners</t>
        </is>
      </c>
      <c r="F52" s="31" t="inlineStr">
        <is>
          <t>fasteners</t>
        </is>
      </c>
      <c r="G52" s="31" t="inlineStr">
        <is>
          <t>smallcap</t>
        </is>
      </c>
      <c r="H52" s="32" t="n">
        <v>1483.86</v>
      </c>
      <c r="I52" s="32" t="n">
        <v>1157.8</v>
      </c>
      <c r="J52" s="32" t="n">
        <v>-3.29</v>
      </c>
      <c r="K52" s="32" t="n">
        <v>62711</v>
      </c>
      <c r="L52" s="31" t="n">
        <v>32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64.93000000000001</v>
      </c>
      <c r="P52" s="32" t="n">
        <v>46.09</v>
      </c>
      <c r="Q52" s="32" t="n">
        <v>880.64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-9.93</v>
      </c>
      <c r="U52" s="32" t="n">
        <v>51.93</v>
      </c>
      <c r="V52" s="32" t="n">
        <v>68.68000000000001</v>
      </c>
      <c r="W52" s="32" t="n">
        <v>10.82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IF(B53=0,"",RANK(B53,$B$2:$B$180,0))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AZAD</t>
        </is>
      </c>
      <c r="D53" s="31" t="inlineStr">
        <is>
          <t>Azad Engineering Ltd</t>
        </is>
      </c>
      <c r="E53" s="31" t="inlineStr">
        <is>
          <t>aerospace &amp; defence</t>
        </is>
      </c>
      <c r="F53" s="31" t="inlineStr">
        <is>
          <t>engineering</t>
        </is>
      </c>
      <c r="G53" s="31" t="inlineStr">
        <is>
          <t>midcap</t>
        </is>
      </c>
      <c r="H53" s="32" t="n">
        <v>18476.19</v>
      </c>
      <c r="I53" s="32" t="n">
        <v>2860.9</v>
      </c>
      <c r="J53" s="32" t="n">
        <v>-3.45</v>
      </c>
      <c r="K53" s="32" t="n">
        <v>1334621</v>
      </c>
      <c r="L53" s="31" t="n">
        <v>46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66.75</v>
      </c>
      <c r="P53" s="32" t="n">
        <v>43.01</v>
      </c>
      <c r="Q53" s="32" t="n">
        <v>2142.11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-9.93</v>
      </c>
      <c r="U53" s="32" t="n">
        <v>65.06999999999999</v>
      </c>
      <c r="V53" s="32" t="n">
        <v>83.27</v>
      </c>
      <c r="W53" s="32" t="n">
        <v>18.74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IF(B54=0,"",RANK(B54,$B$2:$B$180,0))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SYRMA</t>
        </is>
      </c>
      <c r="D54" s="31" t="inlineStr">
        <is>
          <t>Syrma SGS Technology Ltd</t>
        </is>
      </c>
      <c r="E54" s="31" t="inlineStr">
        <is>
          <t>consumer discretionary</t>
        </is>
      </c>
      <c r="F54" s="31" t="inlineStr">
        <is>
          <t>electronics - components</t>
        </is>
      </c>
      <c r="G54" s="31" t="inlineStr">
        <is>
          <t>largecap</t>
        </is>
      </c>
      <c r="H54" s="32" t="n">
        <v>33126.35</v>
      </c>
      <c r="I54" s="32" t="n">
        <v>1717.9</v>
      </c>
      <c r="J54" s="32" t="n">
        <v>-3.65</v>
      </c>
      <c r="K54" s="32" t="n">
        <v>1874242</v>
      </c>
      <c r="L54" s="31" t="n">
        <v>60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75.48</v>
      </c>
      <c r="P54" s="32" t="n">
        <v>60.34</v>
      </c>
      <c r="Q54" s="32" t="n">
        <v>1336.96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-9.93</v>
      </c>
      <c r="U54" s="32" t="n">
        <v>107.82</v>
      </c>
      <c r="V54" s="32" t="n">
        <v>130.73</v>
      </c>
      <c r="W54" s="32" t="n">
        <v>23.99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IF(B55=0,"",RANK(B55,$B$2:$B$180,0))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BHAGERIA</t>
        </is>
      </c>
      <c r="D55" s="31" t="inlineStr">
        <is>
          <t>Bhageria Industries Limited</t>
        </is>
      </c>
      <c r="E55" s="31" t="inlineStr">
        <is>
          <t>chemicals</t>
        </is>
      </c>
      <c r="F55" s="31" t="inlineStr">
        <is>
          <t>dyes and pigments</t>
        </is>
      </c>
      <c r="G55" s="31" t="inlineStr">
        <is>
          <t>smallcap</t>
        </is>
      </c>
      <c r="H55" s="32" t="n">
        <v>1667.43</v>
      </c>
      <c r="I55" s="32" t="n">
        <v>382.05</v>
      </c>
      <c r="J55" s="32" t="n">
        <v>-6</v>
      </c>
      <c r="K55" s="32" t="n">
        <v>319885</v>
      </c>
      <c r="L55" s="31" t="n">
        <v>86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79.17</v>
      </c>
      <c r="P55" s="32" t="n">
        <v>43.2</v>
      </c>
      <c r="Q55" s="32" t="n">
        <v>301.37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-9.93</v>
      </c>
      <c r="U55" s="32" t="n">
        <v>117.81</v>
      </c>
      <c r="V55" s="32" t="n">
        <v>141.83</v>
      </c>
      <c r="W55" s="32" t="n">
        <v>36.74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IF(B56=0,"",RANK(B56,$B$2:$B$180,0))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DELTACORP</t>
        </is>
      </c>
      <c r="D56" s="31" t="inlineStr">
        <is>
          <t>Delta Corp Limited</t>
        </is>
      </c>
      <c r="E56" s="31" t="inlineStr">
        <is>
          <t>miscellaneous</t>
        </is>
      </c>
      <c r="F56" s="31" t="inlineStr">
        <is>
          <t>recreation / amusement parks</t>
        </is>
      </c>
      <c r="G56" s="31" t="inlineStr">
        <is>
          <t>smallcap</t>
        </is>
      </c>
      <c r="H56" s="32" t="n">
        <v>1967.58</v>
      </c>
      <c r="I56" s="32" t="n">
        <v>73.48</v>
      </c>
      <c r="J56" s="32" t="n">
        <v>-8.73</v>
      </c>
      <c r="K56" s="32" t="n">
        <v>31237756</v>
      </c>
      <c r="L56" s="31" t="n">
        <v>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59.85</v>
      </c>
      <c r="P56" s="32" t="n">
        <v>23.63</v>
      </c>
      <c r="Q56" s="32" t="n">
        <v>54.78</v>
      </c>
      <c r="R56" s="31" t="inlineStr">
        <is>
          <t>Volume Spike / Accumulation</t>
        </is>
      </c>
      <c r="S56" s="31" t="inlineStr">
        <is>
          <t>Nifty 50</t>
        </is>
      </c>
      <c r="T56" s="32" t="n">
        <v>-9.93</v>
      </c>
      <c r="U56" s="32" t="n">
        <v>-9.300000000000001</v>
      </c>
      <c r="V56" s="32" t="n">
        <v>0.7</v>
      </c>
      <c r="W56" s="32" t="n">
        <v>1.62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IF(B57=0,"",RANK(B57,$B$2:$B$180,0))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NINSYS</t>
        </is>
      </c>
      <c r="D57" s="31" t="inlineStr">
        <is>
          <t>NINtec Systems Ltd</t>
        </is>
      </c>
      <c r="E57" s="31" t="inlineStr">
        <is>
          <t>i.t</t>
        </is>
      </c>
      <c r="F57" s="31" t="inlineStr">
        <is>
          <t>computers - software - medium / small</t>
        </is>
      </c>
      <c r="G57" s="31" t="inlineStr">
        <is>
          <t>smallcap</t>
        </is>
      </c>
      <c r="H57" s="32" t="n">
        <v>1494.72</v>
      </c>
      <c r="I57" s="32" t="n">
        <v>804.65</v>
      </c>
      <c r="J57" s="32" t="n">
        <v>5</v>
      </c>
      <c r="K57" s="32" t="n">
        <v>18078</v>
      </c>
      <c r="L57" s="31" t="n">
        <v>49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66.95999999999999</v>
      </c>
      <c r="P57" s="32" t="n">
        <v>41.46</v>
      </c>
      <c r="Q57" s="32" t="n">
        <v>701.99</v>
      </c>
      <c r="R57" s="31" t="inlineStr">
        <is>
          <t>Volume Spike / Accumulation</t>
        </is>
      </c>
      <c r="S57" s="31" t="inlineStr">
        <is>
          <t>Nifty IT</t>
        </is>
      </c>
      <c r="T57" s="32" t="n">
        <v>-16.63</v>
      </c>
      <c r="U57" s="32" t="n">
        <v>82.73</v>
      </c>
      <c r="V57" s="32" t="n">
        <v>119.17</v>
      </c>
      <c r="W57" s="32" t="n">
        <v>19.73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IF(B58=0,"",RANK(B58,$B$2:$B$180,0))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SHILPAMED</t>
        </is>
      </c>
      <c r="D58" s="31" t="inlineStr">
        <is>
          <t>Shilpa Medicare Limited</t>
        </is>
      </c>
      <c r="E58" s="31" t="inlineStr">
        <is>
          <t>healthcare</t>
        </is>
      </c>
      <c r="F58" s="31" t="inlineStr">
        <is>
          <t>pharmaceuticals - indian - formulations</t>
        </is>
      </c>
      <c r="G58" s="31" t="inlineStr">
        <is>
          <t>largecap</t>
        </is>
      </c>
      <c r="H58" s="32" t="n">
        <v>20811.86</v>
      </c>
      <c r="I58" s="32" t="n">
        <v>1064.1</v>
      </c>
      <c r="J58" s="32" t="n">
        <v>1.61</v>
      </c>
      <c r="K58" s="32" t="n">
        <v>1687680</v>
      </c>
      <c r="L58" s="31" t="n">
        <v>91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91.48999999999999</v>
      </c>
      <c r="P58" s="32" t="n">
        <v>82.68000000000001</v>
      </c>
      <c r="Q58" s="32" t="n">
        <v>854.36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20.94</v>
      </c>
      <c r="U58" s="32" t="n">
        <v>176.57</v>
      </c>
      <c r="V58" s="32" t="n">
        <v>128.69</v>
      </c>
      <c r="W58" s="32" t="n">
        <v>42.19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IF(B59=0,"",RANK(B59,$B$2:$B$180,0))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LALPATHLAB</t>
        </is>
      </c>
      <c r="D59" s="31" t="inlineStr">
        <is>
          <t>Dr. Lal Path Labs Ltd.</t>
        </is>
      </c>
      <c r="E59" s="31" t="inlineStr">
        <is>
          <t>healthcare</t>
        </is>
      </c>
      <c r="F59" s="31" t="inlineStr">
        <is>
          <t>healthcare</t>
        </is>
      </c>
      <c r="G59" s="31" t="inlineStr">
        <is>
          <t>largecap</t>
        </is>
      </c>
      <c r="H59" s="32" t="n">
        <v>33613.05</v>
      </c>
      <c r="I59" s="32" t="n">
        <v>2005.1</v>
      </c>
      <c r="J59" s="32" t="n">
        <v>0.91</v>
      </c>
      <c r="K59" s="32" t="n">
        <v>542969</v>
      </c>
      <c r="L59" s="31" t="n">
        <v>31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71.73</v>
      </c>
      <c r="P59" s="32" t="n">
        <v>47.47</v>
      </c>
      <c r="Q59" s="32" t="n">
        <v>1663.59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20.94</v>
      </c>
      <c r="U59" s="32" t="n">
        <v>28.83</v>
      </c>
      <c r="V59" s="32" t="n">
        <v>6.52</v>
      </c>
      <c r="W59" s="32" t="n">
        <v>10.42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IF(B60=0,"",RANK(B60,$B$2:$B$180,0))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CUPID</t>
        </is>
      </c>
      <c r="D60" s="31" t="inlineStr">
        <is>
          <t>Cupid Limited</t>
        </is>
      </c>
      <c r="E60" s="31" t="inlineStr">
        <is>
          <t>fmcg</t>
        </is>
      </c>
      <c r="F60" s="31" t="inlineStr">
        <is>
          <t>personal care - indian</t>
        </is>
      </c>
      <c r="G60" s="31" t="inlineStr">
        <is>
          <t>largecap</t>
        </is>
      </c>
      <c r="H60" s="32" t="n">
        <v>42020.65</v>
      </c>
      <c r="I60" s="32" t="n">
        <v>312.5</v>
      </c>
      <c r="J60" s="32" t="n">
        <v>0.27</v>
      </c>
      <c r="K60" s="32" t="n">
        <v>25539188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82.45999999999999</v>
      </c>
      <c r="P60" s="32" t="n">
        <v>67.44</v>
      </c>
      <c r="Q60" s="32" t="n">
        <v>234.99</v>
      </c>
      <c r="R60" s="31" t="inlineStr">
        <is>
          <t>Near 52W High Breakout</t>
        </is>
      </c>
      <c r="S60" s="31" t="inlineStr">
        <is>
          <t>Nifty FMCG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IF(B61=0,"",RANK(B61,$B$2:$B$180,0))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ZIMLAB</t>
        </is>
      </c>
      <c r="D61" s="31" t="inlineStr">
        <is>
          <t>Zim Laboratories Ltd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smallcap</t>
        </is>
      </c>
      <c r="H61" s="32" t="n">
        <v>733.73</v>
      </c>
      <c r="I61" s="32" t="n">
        <v>137.02</v>
      </c>
      <c r="J61" s="32" t="n">
        <v>-0.6899999999999999</v>
      </c>
      <c r="K61" s="32" t="n">
        <v>129941</v>
      </c>
      <c r="L61" s="31" t="n">
        <v>53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69.87</v>
      </c>
      <c r="P61" s="32" t="n">
        <v>58.33</v>
      </c>
      <c r="Q61" s="32" t="n">
        <v>101.59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20.94</v>
      </c>
      <c r="U61" s="32" t="n">
        <v>92.93000000000001</v>
      </c>
      <c r="V61" s="32" t="n">
        <v>59.53</v>
      </c>
      <c r="W61" s="32" t="n">
        <v>20.26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IF(B62=0,"",RANK(B62,$B$2:$B$180,0))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SUDARSCHEM</t>
        </is>
      </c>
      <c r="D62" s="31" t="inlineStr">
        <is>
          <t>Sudarshan Chemical Industries Limited</t>
        </is>
      </c>
      <c r="E62" s="31" t="inlineStr">
        <is>
          <t>chemicals</t>
        </is>
      </c>
      <c r="F62" s="31" t="inlineStr">
        <is>
          <t>dyes and pigments</t>
        </is>
      </c>
      <c r="G62" s="31" t="inlineStr">
        <is>
          <t>midcap</t>
        </is>
      </c>
      <c r="H62" s="32" t="n">
        <v>9761.610000000001</v>
      </c>
      <c r="I62" s="32" t="n">
        <v>1241.5</v>
      </c>
      <c r="J62" s="32" t="n">
        <v>3.12</v>
      </c>
      <c r="K62" s="32" t="n">
        <v>425401</v>
      </c>
      <c r="L62" s="31" t="n">
        <v>23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65.47</v>
      </c>
      <c r="P62" s="32" t="n">
        <v>40.7</v>
      </c>
      <c r="Q62" s="32" t="n">
        <v>972.62</v>
      </c>
      <c r="R62" s="31" t="inlineStr">
        <is>
          <t>Near 52W High Breakout</t>
        </is>
      </c>
      <c r="S62" s="31" t="inlineStr">
        <is>
          <t>Nifty 50</t>
        </is>
      </c>
      <c r="T62" s="32" t="n">
        <v>-9.93</v>
      </c>
      <c r="U62" s="32" t="n">
        <v>-6.65</v>
      </c>
      <c r="V62" s="32" t="n">
        <v>3.64</v>
      </c>
      <c r="W62" s="32" t="n">
        <v>8.970000000000001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IF(B63=0,"",RANK(B63,$B$2:$B$180,0))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ENGINERSIN</t>
        </is>
      </c>
      <c r="D63" s="31" t="inlineStr">
        <is>
          <t>Engineers India Limited</t>
        </is>
      </c>
      <c r="E63" s="31" t="inlineStr">
        <is>
          <t>realty</t>
        </is>
      </c>
      <c r="F63" s="31" t="inlineStr">
        <is>
          <t>engineering - turnkey services</t>
        </is>
      </c>
      <c r="G63" s="31" t="inlineStr">
        <is>
          <t>midcap</t>
        </is>
      </c>
      <c r="H63" s="32" t="n">
        <v>17577.88</v>
      </c>
      <c r="I63" s="32" t="n">
        <v>312.75</v>
      </c>
      <c r="J63" s="32" t="n">
        <v>1.02</v>
      </c>
      <c r="K63" s="32" t="n">
        <v>7911815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71.54000000000001</v>
      </c>
      <c r="P63" s="32" t="n">
        <v>20.1</v>
      </c>
      <c r="Q63" s="32" t="n">
        <v>251.51</v>
      </c>
      <c r="R63" s="31" t="inlineStr">
        <is>
          <t>Near 52W High Breakout</t>
        </is>
      </c>
      <c r="S63" s="31" t="inlineStr">
        <is>
          <t>Nifty Realty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IF(B64=0,"",RANK(B64,$B$2:$B$180,0))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BIRLACABLE</t>
        </is>
      </c>
      <c r="D64" s="31" t="inlineStr">
        <is>
          <t>Birla Cable Limited</t>
        </is>
      </c>
      <c r="E64" s="31" t="inlineStr">
        <is>
          <t>industrials</t>
        </is>
      </c>
      <c r="F64" s="31" t="inlineStr">
        <is>
          <t>cables - telephone</t>
        </is>
      </c>
      <c r="G64" s="31" t="inlineStr">
        <is>
          <t>smallcap</t>
        </is>
      </c>
      <c r="H64" s="32" t="n">
        <v>1149</v>
      </c>
      <c r="I64" s="32" t="n">
        <v>383</v>
      </c>
      <c r="J64" s="32" t="n">
        <v>0.49</v>
      </c>
      <c r="K64" s="32" t="n">
        <v>403264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71.48</v>
      </c>
      <c r="P64" s="32" t="n">
        <v>53.26</v>
      </c>
      <c r="Q64" s="32" t="n">
        <v>289.89</v>
      </c>
      <c r="R64" s="31" t="inlineStr">
        <is>
          <t>Earnings / Momentum Support</t>
        </is>
      </c>
      <c r="S64" s="31" t="inlineStr">
        <is>
          <t>Nifty Infra</t>
        </is>
      </c>
      <c r="T64" s="32" t="inlineStr"/>
      <c r="U64" s="32" t="inlineStr"/>
      <c r="V64" s="32" t="inlineStr"/>
      <c r="W64" s="32" t="inlineStr"/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IF(B65=0,"",RANK(B65,$B$2:$B$180,0))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NRAIL</t>
        </is>
      </c>
      <c r="D65" s="31" t="inlineStr">
        <is>
          <t>N R Agarwal Industries Ltd</t>
        </is>
      </c>
      <c r="E65" s="31" t="inlineStr">
        <is>
          <t>building materials</t>
        </is>
      </c>
      <c r="F65" s="31" t="inlineStr">
        <is>
          <t>paper</t>
        </is>
      </c>
      <c r="G65" s="31" t="inlineStr">
        <is>
          <t>smallcap</t>
        </is>
      </c>
      <c r="H65" s="32" t="n">
        <v>1122.41</v>
      </c>
      <c r="I65" s="32" t="n">
        <v>659.5</v>
      </c>
      <c r="J65" s="32" t="n">
        <v>-1.49</v>
      </c>
      <c r="K65" s="32" t="n">
        <v>22172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69.55</v>
      </c>
      <c r="P65" s="32" t="n">
        <v>41.8</v>
      </c>
      <c r="Q65" s="32" t="n">
        <v>496.97</v>
      </c>
      <c r="R65" s="31" t="inlineStr">
        <is>
          <t>Near 52W High Breakout</t>
        </is>
      </c>
      <c r="S65" s="31" t="inlineStr">
        <is>
          <t>Nifty Infra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IF(B66=0,"",RANK(B66,$B$2:$B$180,0))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ACE</t>
        </is>
      </c>
      <c r="D66" s="31" t="inlineStr">
        <is>
          <t>Action Construction Equipment Limited</t>
        </is>
      </c>
      <c r="E66" s="31" t="inlineStr">
        <is>
          <t>industrials</t>
        </is>
      </c>
      <c r="F66" s="31" t="inlineStr">
        <is>
          <t>engineering</t>
        </is>
      </c>
      <c r="G66" s="31" t="inlineStr">
        <is>
          <t>midcap</t>
        </is>
      </c>
      <c r="H66" s="32" t="n">
        <v>14436.46</v>
      </c>
      <c r="I66" s="32" t="n">
        <v>1212.3</v>
      </c>
      <c r="J66" s="32" t="n">
        <v>-1.6</v>
      </c>
      <c r="K66" s="32" t="n">
        <v>465866</v>
      </c>
      <c r="L66" s="31" t="n">
        <v>20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70.02</v>
      </c>
      <c r="P66" s="32" t="n">
        <v>39.58</v>
      </c>
      <c r="Q66" s="32" t="n">
        <v>997.34</v>
      </c>
      <c r="R66" s="31" t="inlineStr">
        <is>
          <t>Near 52W High Breakout</t>
        </is>
      </c>
      <c r="S66" s="31" t="inlineStr">
        <is>
          <t>Nifty 50</t>
        </is>
      </c>
      <c r="T66" s="32" t="n">
        <v>-9.93</v>
      </c>
      <c r="U66" s="32" t="n">
        <v>12.82</v>
      </c>
      <c r="V66" s="32" t="n">
        <v>25.26</v>
      </c>
      <c r="W66" s="32" t="n">
        <v>8.19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IF(B67=0,"",RANK(B67,$B$2:$B$180,0))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MAZDA</t>
        </is>
      </c>
      <c r="D67" s="31" t="inlineStr">
        <is>
          <t>Mazda Limited</t>
        </is>
      </c>
      <c r="E67" s="31" t="inlineStr">
        <is>
          <t>industrials</t>
        </is>
      </c>
      <c r="F67" s="31" t="inlineStr">
        <is>
          <t>engineering</t>
        </is>
      </c>
      <c r="G67" s="31" t="inlineStr">
        <is>
          <t>smallcap</t>
        </is>
      </c>
      <c r="H67" s="32" t="n">
        <v>577.02</v>
      </c>
      <c r="I67" s="32" t="n">
        <v>288.15</v>
      </c>
      <c r="J67" s="32" t="n">
        <v>-5</v>
      </c>
      <c r="K67" s="32" t="n">
        <v>32502</v>
      </c>
      <c r="L67" s="31" t="n">
        <v>22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69.68000000000001</v>
      </c>
      <c r="P67" s="32" t="n">
        <v>34.49</v>
      </c>
      <c r="Q67" s="32" t="n">
        <v>218.7</v>
      </c>
      <c r="R67" s="31" t="inlineStr">
        <is>
          <t>Near 52W High Breakout</t>
        </is>
      </c>
      <c r="S67" s="31" t="inlineStr">
        <is>
          <t>Nifty 50</t>
        </is>
      </c>
      <c r="T67" s="32" t="n">
        <v>-9.93</v>
      </c>
      <c r="U67" s="32" t="n">
        <v>2.74</v>
      </c>
      <c r="V67" s="32" t="n">
        <v>14.06</v>
      </c>
      <c r="W67" s="32" t="n">
        <v>8.369999999999999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IF(B68=0,"",RANK(B68,$B$2:$B$180,0))</f>
        <v/>
      </c>
      <c r="B68" s="32">
        <f>SUM(N68,Y68,AA68,AC68,AE68,AG68,AI68,AK68,AM68,AO68,AQ68,AS68,AU68,AW68,AY68,BA68,BC68,BE68,BG68,BI68,BK68,BM68,BO68,BQ68,BS68,BU68,BW68,BY68,CA68,CC68,CE68)</f>
        <v/>
      </c>
      <c r="C68" s="33" t="inlineStr">
        <is>
          <t>AARTIPHARM</t>
        </is>
      </c>
      <c r="D68" s="33" t="inlineStr">
        <is>
          <t>Aarti Pharmalabs Ltd</t>
        </is>
      </c>
      <c r="E68" s="31" t="inlineStr">
        <is>
          <t>healthcare</t>
        </is>
      </c>
      <c r="F68" s="31" t="inlineStr">
        <is>
          <t>pharmaceuticals - indian - bulk drugs &amp; formln</t>
        </is>
      </c>
      <c r="G68" s="31" t="inlineStr">
        <is>
          <t>midcap</t>
        </is>
      </c>
      <c r="H68" s="32" t="n">
        <v>8782.34</v>
      </c>
      <c r="I68" s="32" t="n">
        <v>968.5</v>
      </c>
      <c r="J68" s="32" t="n">
        <v>1.55</v>
      </c>
      <c r="K68" s="32" t="n">
        <v>658749</v>
      </c>
      <c r="L68" s="31" t="n">
        <v>34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71.56999999999999</v>
      </c>
      <c r="P68" s="32" t="n">
        <v>25.45</v>
      </c>
      <c r="Q68" s="32" t="n">
        <v>749.9400000000001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20.94</v>
      </c>
      <c r="U68" s="32" t="n">
        <v>19.05</v>
      </c>
      <c r="V68" s="32" t="n">
        <v>-1.56</v>
      </c>
      <c r="W68" s="32" t="n">
        <v>12.9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IF(B69=0,"",RANK(B69,$B$2:$B$180,0))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SUNDROP</t>
        </is>
      </c>
      <c r="D69" s="31" t="inlineStr">
        <is>
          <t>Sundrop Brands Ltd</t>
        </is>
      </c>
      <c r="E69" s="31" t="inlineStr">
        <is>
          <t>fmcg</t>
        </is>
      </c>
      <c r="F69" s="31" t="inlineStr">
        <is>
          <t>food - processing - indian</t>
        </is>
      </c>
      <c r="G69" s="31" t="inlineStr">
        <is>
          <t>smallcap</t>
        </is>
      </c>
      <c r="H69" s="32" t="n">
        <v>2839.14</v>
      </c>
      <c r="I69" s="32" t="n">
        <v>753.15</v>
      </c>
      <c r="J69" s="32" t="n">
        <v>1.07</v>
      </c>
      <c r="K69" s="32" t="n">
        <v>30756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65.54000000000001</v>
      </c>
      <c r="P69" s="32" t="n">
        <v>20.6</v>
      </c>
      <c r="Q69" s="32" t="n">
        <v>620.37</v>
      </c>
      <c r="R69" s="31" t="inlineStr">
        <is>
          <t>Near 52W High Breakout</t>
        </is>
      </c>
      <c r="S69" s="31" t="inlineStr">
        <is>
          <t>Nifty FMCG</t>
        </is>
      </c>
      <c r="T69" s="32" t="inlineStr"/>
      <c r="U69" s="32" t="inlineStr"/>
      <c r="V69" s="32" t="inlineStr"/>
      <c r="W69" s="32" t="inlineStr"/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IF(B70=0,"",RANK(B70,$B$2:$B$180,0))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AKUMS</t>
        </is>
      </c>
      <c r="D70" s="31" t="inlineStr">
        <is>
          <t>Akums Drugs &amp; Pharmaceuticals Ltd</t>
        </is>
      </c>
      <c r="E70" s="31" t="inlineStr">
        <is>
          <t>healthcare</t>
        </is>
      </c>
      <c r="F70" s="31" t="inlineStr">
        <is>
          <t>pharmaceuticals - indian - bulk drugs &amp; formln</t>
        </is>
      </c>
      <c r="G70" s="31" t="inlineStr">
        <is>
          <t>midcap</t>
        </is>
      </c>
      <c r="H70" s="32" t="n">
        <v>12797.71</v>
      </c>
      <c r="I70" s="32" t="n">
        <v>813.1</v>
      </c>
      <c r="J70" s="32" t="n">
        <v>-0.66</v>
      </c>
      <c r="K70" s="32" t="n">
        <v>191282</v>
      </c>
      <c r="L70" s="31" t="n">
        <v>48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76.53</v>
      </c>
      <c r="P70" s="32" t="n">
        <v>65.23999999999999</v>
      </c>
      <c r="Q70" s="32" t="n">
        <v>675.05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20.94</v>
      </c>
      <c r="U70" s="32" t="n">
        <v>83.7</v>
      </c>
      <c r="V70" s="32" t="n">
        <v>51.89</v>
      </c>
      <c r="W70" s="32" t="n">
        <v>19.64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IF(B71=0,"",RANK(B71,$B$2:$B$180,0))</f>
        <v/>
      </c>
      <c r="B71" s="32">
        <f>SUM(N71,Y71,AA71,AC71,AE71,AG71,AI71,AK71,AM71,AO71,AQ71,AS71,AU71,AW71,AY71,BA71,BC71,BE71,BG71,BI71,BK71,BM71,BO71,BQ71,BS71,BU71,BW71,BY71,CA71,CC71,CE71)</f>
        <v/>
      </c>
      <c r="C71" s="33" t="inlineStr">
        <is>
          <t>SOLARA</t>
        </is>
      </c>
      <c r="D71" s="33" t="inlineStr">
        <is>
          <t>Solara Active Pharma Sciences Ltd</t>
        </is>
      </c>
      <c r="E71" s="31" t="inlineStr">
        <is>
          <t>healthcare</t>
        </is>
      </c>
      <c r="F71" s="31" t="inlineStr">
        <is>
          <t>pharmaceuticals - indian - bulk drugs &amp; formln</t>
        </is>
      </c>
      <c r="G71" s="31" t="inlineStr">
        <is>
          <t>smallcap</t>
        </is>
      </c>
      <c r="H71" s="32" t="n">
        <v>3448.87</v>
      </c>
      <c r="I71" s="32" t="n">
        <v>714.85</v>
      </c>
      <c r="J71" s="32" t="n">
        <v>-1.45</v>
      </c>
      <c r="K71" s="32" t="n">
        <v>244820</v>
      </c>
      <c r="L71" s="31" t="n">
        <v>24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65.98</v>
      </c>
      <c r="P71" s="32" t="n">
        <v>32.46</v>
      </c>
      <c r="Q71" s="32" t="n">
        <v>557.75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20.94</v>
      </c>
      <c r="U71" s="32" t="n">
        <v>16.05</v>
      </c>
      <c r="V71" s="32" t="n">
        <v>-4.04</v>
      </c>
      <c r="W71" s="32" t="n">
        <v>9.109999999999999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IF(B72=0,"",RANK(B72,$B$2:$B$180,0))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RPGLIFE</t>
        </is>
      </c>
      <c r="D72" s="31" t="inlineStr">
        <is>
          <t>Rpg Life Sciences Limited</t>
        </is>
      </c>
      <c r="E72" s="31" t="inlineStr">
        <is>
          <t>healthcare</t>
        </is>
      </c>
      <c r="F72" s="31" t="inlineStr">
        <is>
          <t>pharmaceuticals - indian - bulk drugs &amp; formln</t>
        </is>
      </c>
      <c r="G72" s="31" t="inlineStr">
        <is>
          <t>smallcap</t>
        </is>
      </c>
      <c r="H72" s="32" t="n">
        <v>4847.09</v>
      </c>
      <c r="I72" s="32" t="n">
        <v>2930.7</v>
      </c>
      <c r="J72" s="32" t="n">
        <v>-3.5</v>
      </c>
      <c r="K72" s="32" t="n">
        <v>36208</v>
      </c>
      <c r="L72" s="31" t="n">
        <v>32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63.62</v>
      </c>
      <c r="P72" s="32" t="n">
        <v>43.82</v>
      </c>
      <c r="Q72" s="32" t="n">
        <v>2342.67</v>
      </c>
      <c r="R72" s="31" t="inlineStr">
        <is>
          <t>Volume Spike &amp; Near 52W High Breakout</t>
        </is>
      </c>
      <c r="S72" s="31" t="inlineStr">
        <is>
          <t>Nifty Pharma</t>
        </is>
      </c>
      <c r="T72" s="32" t="n">
        <v>20.94</v>
      </c>
      <c r="U72" s="32" t="n">
        <v>31.25</v>
      </c>
      <c r="V72" s="32" t="n">
        <v>8.529999999999999</v>
      </c>
      <c r="W72" s="32" t="n">
        <v>11.47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IF(B73=0,"",RANK(B73,$B$2:$B$180,0))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SYNCOMF</t>
        </is>
      </c>
      <c r="D73" s="31" t="inlineStr">
        <is>
          <t>Syncom Formulations (India) Ltd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smallcap</t>
        </is>
      </c>
      <c r="H73" s="32" t="n">
        <v>2252.24</v>
      </c>
      <c r="I73" s="32" t="n">
        <v>23.96</v>
      </c>
      <c r="J73" s="32" t="n">
        <v>-4.47</v>
      </c>
      <c r="K73" s="32" t="n">
        <v>44387615</v>
      </c>
      <c r="L73" s="31" t="n">
        <v>64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79.47</v>
      </c>
      <c r="P73" s="32" t="n">
        <v>34.33</v>
      </c>
      <c r="Q73" s="32" t="n">
        <v>17.18</v>
      </c>
      <c r="R73" s="31" t="inlineStr">
        <is>
          <t>Volume Spike &amp; Near 52W High Breakout</t>
        </is>
      </c>
      <c r="S73" s="31" t="inlineStr">
        <is>
          <t>Nifty Pharma</t>
        </is>
      </c>
      <c r="T73" s="32" t="n">
        <v>20.94</v>
      </c>
      <c r="U73" s="32" t="n">
        <v>42.74</v>
      </c>
      <c r="V73" s="32" t="n">
        <v>18.03</v>
      </c>
      <c r="W73" s="32" t="n">
        <v>25.68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IF(B74=0,"",RANK(B74,$B$2:$B$180,0))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UNIMECH</t>
        </is>
      </c>
      <c r="D74" s="31" t="inlineStr">
        <is>
          <t>Unimech Aerospace and Manufacturing Ltd</t>
        </is>
      </c>
      <c r="E74" s="31" t="inlineStr">
        <is>
          <t>aerospace &amp; defence</t>
        </is>
      </c>
      <c r="F74" s="31" t="inlineStr">
        <is>
          <t>engineering</t>
        </is>
      </c>
      <c r="G74" s="31" t="inlineStr">
        <is>
          <t>midcap</t>
        </is>
      </c>
      <c r="H74" s="32" t="n">
        <v>9016.93</v>
      </c>
      <c r="I74" s="32" t="n">
        <v>1773</v>
      </c>
      <c r="J74" s="32" t="n">
        <v>2.84</v>
      </c>
      <c r="K74" s="32" t="n">
        <v>403902</v>
      </c>
      <c r="L74" s="31" t="n">
        <v>66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80.37</v>
      </c>
      <c r="P74" s="32" t="n">
        <v>47.53</v>
      </c>
      <c r="Q74" s="32" t="n">
        <v>1342.07</v>
      </c>
      <c r="R74" s="31" t="inlineStr">
        <is>
          <t>Near 52W High Breakout</t>
        </is>
      </c>
      <c r="S74" s="31" t="inlineStr">
        <is>
          <t>Nifty 50</t>
        </is>
      </c>
      <c r="T74" s="32" t="n">
        <v>-9.93</v>
      </c>
      <c r="U74" s="32" t="n">
        <v>78.70999999999999</v>
      </c>
      <c r="V74" s="32" t="n">
        <v>98.42</v>
      </c>
      <c r="W74" s="32" t="n">
        <v>27.28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IF(B75=0,"",RANK(B75,$B$2:$B$180,0))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EBGNG</t>
        </is>
      </c>
      <c r="D75" s="31" t="inlineStr">
        <is>
          <t>GNG Electronics Ltd</t>
        </is>
      </c>
      <c r="E75" s="31" t="inlineStr">
        <is>
          <t>services</t>
        </is>
      </c>
      <c r="F75" s="31" t="inlineStr">
        <is>
          <t>trading</t>
        </is>
      </c>
      <c r="G75" s="31" t="inlineStr">
        <is>
          <t>midcap</t>
        </is>
      </c>
      <c r="H75" s="32" t="n">
        <v>8034.39</v>
      </c>
      <c r="I75" s="32" t="n">
        <v>704.7</v>
      </c>
      <c r="J75" s="32" t="n">
        <v>2.61</v>
      </c>
      <c r="K75" s="32" t="n">
        <v>892168</v>
      </c>
      <c r="L75" s="31" t="n">
        <v>51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67.63</v>
      </c>
      <c r="P75" s="32" t="n">
        <v>39.04</v>
      </c>
      <c r="Q75" s="32" t="n">
        <v>500.04</v>
      </c>
      <c r="R75" s="31" t="inlineStr">
        <is>
          <t>Near 52W High Breakout</t>
        </is>
      </c>
      <c r="S75" s="31" t="inlineStr">
        <is>
          <t>Nifty 50</t>
        </is>
      </c>
      <c r="T75" s="32" t="n">
        <v>-9.93</v>
      </c>
      <c r="U75" s="32" t="n">
        <v>99.26000000000001</v>
      </c>
      <c r="V75" s="32" t="n">
        <v>121.24</v>
      </c>
      <c r="W75" s="32" t="n">
        <v>20.04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IF(B76=0,"",RANK(B76,$B$2:$B$180,0))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GALAXYSURF</t>
        </is>
      </c>
      <c r="D76" s="31" t="inlineStr">
        <is>
          <t>Galaxy Surfactants Ltd</t>
        </is>
      </c>
      <c r="E76" s="31" t="inlineStr">
        <is>
          <t>chemicals</t>
        </is>
      </c>
      <c r="F76" s="31" t="inlineStr">
        <is>
          <t>chemicals</t>
        </is>
      </c>
      <c r="G76" s="31" t="inlineStr">
        <is>
          <t>midcap</t>
        </is>
      </c>
      <c r="H76" s="32" t="n">
        <v>8427.24</v>
      </c>
      <c r="I76" s="32" t="n">
        <v>2376.9</v>
      </c>
      <c r="J76" s="32" t="n">
        <v>1.89</v>
      </c>
      <c r="K76" s="32" t="n">
        <v>216645</v>
      </c>
      <c r="L76" s="31" t="n">
        <v>15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63.11</v>
      </c>
      <c r="P76" s="32" t="n">
        <v>29.74</v>
      </c>
      <c r="Q76" s="32" t="n">
        <v>1974.07</v>
      </c>
      <c r="R76" s="31" t="inlineStr">
        <is>
          <t>Volume Spike / Accumulation</t>
        </is>
      </c>
      <c r="S76" s="31" t="inlineStr">
        <is>
          <t>Nifty 50</t>
        </is>
      </c>
      <c r="T76" s="32" t="n">
        <v>-9.93</v>
      </c>
      <c r="U76" s="32" t="n">
        <v>6.3</v>
      </c>
      <c r="V76" s="32" t="n">
        <v>18.02</v>
      </c>
      <c r="W76" s="32" t="n">
        <v>5.78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IF(B77=0,"",RANK(B77,$B$2:$B$180,0))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JSWINFRA</t>
        </is>
      </c>
      <c r="D77" s="31" t="inlineStr">
        <is>
          <t>JSW Infrastructure Ltd</t>
        </is>
      </c>
      <c r="E77" s="31" t="inlineStr">
        <is>
          <t>transportation</t>
        </is>
      </c>
      <c r="F77" s="31" t="inlineStr">
        <is>
          <t>miscellaneous</t>
        </is>
      </c>
      <c r="G77" s="31" t="inlineStr">
        <is>
          <t>largecap</t>
        </is>
      </c>
      <c r="H77" s="32" t="n">
        <v>83285.91</v>
      </c>
      <c r="I77" s="32" t="n">
        <v>357.45</v>
      </c>
      <c r="J77" s="32" t="n">
        <v>0.24</v>
      </c>
      <c r="K77" s="32" t="n">
        <v>3430947</v>
      </c>
      <c r="L77" s="31" t="n">
        <v>14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65.05</v>
      </c>
      <c r="P77" s="32" t="n">
        <v>42.49</v>
      </c>
      <c r="Q77" s="32" t="n">
        <v>295.62</v>
      </c>
      <c r="R77" s="31" t="inlineStr">
        <is>
          <t>Near 52W High Breakout</t>
        </is>
      </c>
      <c r="S77" s="31" t="inlineStr">
        <is>
          <t>Nifty 50</t>
        </is>
      </c>
      <c r="T77" s="32" t="n">
        <v>-9.93</v>
      </c>
      <c r="U77" s="32" t="n">
        <v>12.93</v>
      </c>
      <c r="V77" s="32" t="n">
        <v>25.38</v>
      </c>
      <c r="W77" s="32" t="n">
        <v>5.71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IF(B78=0,"",RANK(B78,$B$2:$B$180,0))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SPECTRUM</t>
        </is>
      </c>
      <c r="D78" s="31" t="inlineStr">
        <is>
          <t>Spectrum Electrical Industries Ltd</t>
        </is>
      </c>
      <c r="E78" s="31" t="inlineStr">
        <is>
          <t>industrials</t>
        </is>
      </c>
      <c r="F78" s="31" t="inlineStr">
        <is>
          <t>electric equipment</t>
        </is>
      </c>
      <c r="G78" s="31" t="inlineStr">
        <is>
          <t>midcap</t>
        </is>
      </c>
      <c r="H78" s="32" t="n">
        <v>6584.48</v>
      </c>
      <c r="I78" s="32" t="n">
        <v>3853.4</v>
      </c>
      <c r="J78" s="32" t="n">
        <v>0.19</v>
      </c>
      <c r="K78" s="32" t="n">
        <v>8519</v>
      </c>
      <c r="L78" s="31" t="n">
        <v>95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84.95</v>
      </c>
      <c r="P78" s="32" t="n">
        <v>64.61</v>
      </c>
      <c r="Q78" s="32" t="n">
        <v>2929.05</v>
      </c>
      <c r="R78" s="31" t="inlineStr">
        <is>
          <t>Near 52W High Breakout</t>
        </is>
      </c>
      <c r="S78" s="31" t="inlineStr">
        <is>
          <t>Nifty 50</t>
        </is>
      </c>
      <c r="T78" s="32" t="n">
        <v>-9.93</v>
      </c>
      <c r="U78" s="32" t="n">
        <v>188.3</v>
      </c>
      <c r="V78" s="32" t="n">
        <v>220.09</v>
      </c>
      <c r="W78" s="32" t="n">
        <v>51.08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IF(B79=0,"",RANK(B79,$B$2:$B$180,0))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MVGJL</t>
        </is>
      </c>
      <c r="D79" s="31" t="inlineStr">
        <is>
          <t>Manoj Vaibhav Gems N Jewellers Ltd</t>
        </is>
      </c>
      <c r="E79" s="31" t="inlineStr">
        <is>
          <t>consumer discretionary</t>
        </is>
      </c>
      <c r="F79" s="31" t="inlineStr">
        <is>
          <t>diamond cutting / jewellery</t>
        </is>
      </c>
      <c r="G79" s="31" t="inlineStr">
        <is>
          <t>smallcap</t>
        </is>
      </c>
      <c r="H79" s="32" t="n">
        <v>1009.63</v>
      </c>
      <c r="I79" s="32" t="n">
        <v>206.69</v>
      </c>
      <c r="J79" s="32" t="n">
        <v>-0.23</v>
      </c>
      <c r="K79" s="32" t="n">
        <v>313628</v>
      </c>
      <c r="L79" s="31" t="n">
        <v>30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62.34</v>
      </c>
      <c r="P79" s="32" t="n">
        <v>20.92</v>
      </c>
      <c r="Q79" s="32" t="n">
        <v>160.72</v>
      </c>
      <c r="R79" s="31" t="inlineStr">
        <is>
          <t>Earnings / Momentum Support</t>
        </is>
      </c>
      <c r="S79" s="31" t="inlineStr">
        <is>
          <t>Nifty 50</t>
        </is>
      </c>
      <c r="T79" s="32" t="n">
        <v>-9.93</v>
      </c>
      <c r="U79" s="32" t="n">
        <v>8.52</v>
      </c>
      <c r="V79" s="32" t="n">
        <v>20.49</v>
      </c>
      <c r="W79" s="32" t="n">
        <v>10.41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IF(B80=0,"",RANK(B80,$B$2:$B$180,0))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SOMANYCERA</t>
        </is>
      </c>
      <c r="D80" s="31" t="inlineStr">
        <is>
          <t>Somany Ceramics Limited</t>
        </is>
      </c>
      <c r="E80" s="31" t="inlineStr">
        <is>
          <t>building materials</t>
        </is>
      </c>
      <c r="F80" s="31" t="inlineStr">
        <is>
          <t>ceramics - tiles / sanitaryware</t>
        </is>
      </c>
      <c r="G80" s="31" t="inlineStr">
        <is>
          <t>smallcap</t>
        </is>
      </c>
      <c r="H80" s="32" t="n">
        <v>2519.01</v>
      </c>
      <c r="I80" s="32" t="n">
        <v>614.2</v>
      </c>
      <c r="J80" s="32" t="n">
        <v>-0.57</v>
      </c>
      <c r="K80" s="32" t="n">
        <v>95859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71.84999999999999</v>
      </c>
      <c r="P80" s="32" t="n">
        <v>33.64</v>
      </c>
      <c r="Q80" s="32" t="n">
        <v>499.23</v>
      </c>
      <c r="R80" s="31" t="inlineStr">
        <is>
          <t>Near 52W High Breakout</t>
        </is>
      </c>
      <c r="S80" s="31" t="inlineStr">
        <is>
          <t>Nifty Infra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IF(B81=0,"",RANK(B81,$B$2:$B$180,0))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DMCC</t>
        </is>
      </c>
      <c r="D81" s="31" t="inlineStr">
        <is>
          <t>DMCC Speciality Chemicals Ltd</t>
        </is>
      </c>
      <c r="E81" s="31" t="inlineStr">
        <is>
          <t>chemicals</t>
        </is>
      </c>
      <c r="F81" s="31" t="inlineStr">
        <is>
          <t>chemicals</t>
        </is>
      </c>
      <c r="G81" s="31" t="inlineStr">
        <is>
          <t>smallcap</t>
        </is>
      </c>
      <c r="H81" s="32" t="n">
        <v>769.9</v>
      </c>
      <c r="I81" s="32" t="n">
        <v>308.7</v>
      </c>
      <c r="J81" s="32" t="n">
        <v>-0.96</v>
      </c>
      <c r="K81" s="32" t="n">
        <v>197626</v>
      </c>
      <c r="L81" s="31" t="n">
        <v>12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60.5</v>
      </c>
      <c r="P81" s="32" t="n">
        <v>35.38</v>
      </c>
      <c r="Q81" s="32" t="n">
        <v>224.33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-9.93</v>
      </c>
      <c r="U81" s="32" t="n">
        <v>-1.28</v>
      </c>
      <c r="V81" s="32" t="n">
        <v>9.6</v>
      </c>
      <c r="W81" s="32" t="n">
        <v>5.63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IF(B82=0,"",RANK(B82,$B$2:$B$180,0))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CARBORUNIV</t>
        </is>
      </c>
      <c r="D82" s="31" t="inlineStr">
        <is>
          <t>Carborundum Universal Limited</t>
        </is>
      </c>
      <c r="E82" s="31" t="inlineStr">
        <is>
          <t>industrials</t>
        </is>
      </c>
      <c r="F82" s="31" t="inlineStr">
        <is>
          <t>abrasives and grinding wheels</t>
        </is>
      </c>
      <c r="G82" s="31" t="inlineStr">
        <is>
          <t>largecap</t>
        </is>
      </c>
      <c r="H82" s="32" t="n">
        <v>23615.48</v>
      </c>
      <c r="I82" s="32" t="n">
        <v>1239.7</v>
      </c>
      <c r="J82" s="32" t="n">
        <v>-1.02</v>
      </c>
      <c r="K82" s="32" t="n">
        <v>384105</v>
      </c>
      <c r="L82" s="31" t="n">
        <v>22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63.88</v>
      </c>
      <c r="P82" s="32" t="n">
        <v>45.84</v>
      </c>
      <c r="Q82" s="32" t="n">
        <v>978.55</v>
      </c>
      <c r="R82" s="31" t="inlineStr">
        <is>
          <t>Near 52W High Breakout</t>
        </is>
      </c>
      <c r="S82" s="31" t="inlineStr">
        <is>
          <t>Nifty 50</t>
        </is>
      </c>
      <c r="T82" s="32" t="n">
        <v>-9.93</v>
      </c>
      <c r="U82" s="32" t="n">
        <v>33.38</v>
      </c>
      <c r="V82" s="32" t="n">
        <v>48.09</v>
      </c>
      <c r="W82" s="32" t="n">
        <v>8.74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IF(B83=0,"",RANK(B83,$B$2:$B$180,0))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ACMESOLAR</t>
        </is>
      </c>
      <c r="D83" s="31" t="inlineStr">
        <is>
          <t>ACME Solar Holdings Ltd</t>
        </is>
      </c>
      <c r="E83" s="31" t="inlineStr">
        <is>
          <t>realty</t>
        </is>
      </c>
      <c r="F83" s="31" t="inlineStr">
        <is>
          <t>engineering - turnkey services</t>
        </is>
      </c>
      <c r="G83" s="31" t="inlineStr">
        <is>
          <t>largecap</t>
        </is>
      </c>
      <c r="H83" s="32" t="n">
        <v>30575.85</v>
      </c>
      <c r="I83" s="32" t="n">
        <v>432.55</v>
      </c>
      <c r="J83" s="32" t="n">
        <v>-1.47</v>
      </c>
      <c r="K83" s="32" t="n">
        <v>1085604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68.66</v>
      </c>
      <c r="P83" s="32" t="n">
        <v>53.81</v>
      </c>
      <c r="Q83" s="32" t="n">
        <v>346.26</v>
      </c>
      <c r="R83" s="31" t="inlineStr">
        <is>
          <t>Near 52W High Breakout</t>
        </is>
      </c>
      <c r="S83" s="31" t="inlineStr">
        <is>
          <t>Nifty Realty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IF(B84=0,"",RANK(B84,$B$2:$B$180,0))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RGL</t>
        </is>
      </c>
      <c r="D84" s="31" t="inlineStr">
        <is>
          <t>Renaissance Global Ltd</t>
        </is>
      </c>
      <c r="E84" s="31" t="inlineStr">
        <is>
          <t>consumer discretionary</t>
        </is>
      </c>
      <c r="F84" s="31" t="inlineStr">
        <is>
          <t>diamond cutting / jewellery</t>
        </is>
      </c>
      <c r="G84" s="31" t="inlineStr">
        <is>
          <t>smallcap</t>
        </is>
      </c>
      <c r="H84" s="32" t="n">
        <v>1744.74</v>
      </c>
      <c r="I84" s="32" t="n">
        <v>162.5</v>
      </c>
      <c r="J84" s="32" t="n">
        <v>-1.53</v>
      </c>
      <c r="K84" s="32" t="n">
        <v>658380</v>
      </c>
      <c r="L84" s="31" t="n">
        <v>36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70.31999999999999</v>
      </c>
      <c r="P84" s="32" t="n">
        <v>34.96</v>
      </c>
      <c r="Q84" s="32" t="n">
        <v>126.91</v>
      </c>
      <c r="R84" s="31" t="inlineStr">
        <is>
          <t>Near 52W High Breakout</t>
        </is>
      </c>
      <c r="S84" s="31" t="inlineStr">
        <is>
          <t>Nifty 50</t>
        </is>
      </c>
      <c r="T84" s="32" t="n">
        <v>-9.93</v>
      </c>
      <c r="U84" s="32" t="n">
        <v>32.87</v>
      </c>
      <c r="V84" s="32" t="n">
        <v>47.52</v>
      </c>
      <c r="W84" s="32" t="n">
        <v>13.52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IF(B85=0,"",RANK(B85,$B$2:$B$180,0))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TIRUPATIFL</t>
        </is>
      </c>
      <c r="D85" s="31" t="inlineStr">
        <is>
          <t>Tirupati Forge Ltd</t>
        </is>
      </c>
      <c r="E85" s="31" t="inlineStr">
        <is>
          <t>castings, forgings &amp; fasteners</t>
        </is>
      </c>
      <c r="F85" s="31" t="inlineStr">
        <is>
          <t>castings &amp; forgings</t>
        </is>
      </c>
      <c r="G85" s="31" t="inlineStr">
        <is>
          <t>smallcap</t>
        </is>
      </c>
      <c r="H85" s="32" t="n">
        <v>977.38</v>
      </c>
      <c r="I85" s="32" t="n">
        <v>75.16</v>
      </c>
      <c r="J85" s="32" t="n">
        <v>-2</v>
      </c>
      <c r="K85" s="32" t="n">
        <v>139143</v>
      </c>
      <c r="L85" s="31" t="n">
        <v>47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67.67</v>
      </c>
      <c r="P85" s="32" t="n">
        <v>57.98</v>
      </c>
      <c r="Q85" s="32" t="n">
        <v>56.04</v>
      </c>
      <c r="R85" s="31" t="inlineStr">
        <is>
          <t>Near 52W High Breakout</t>
        </is>
      </c>
      <c r="S85" s="31" t="inlineStr">
        <is>
          <t>Nifty 50</t>
        </is>
      </c>
      <c r="T85" s="32" t="n">
        <v>-9.93</v>
      </c>
      <c r="U85" s="32" t="n">
        <v>104.63</v>
      </c>
      <c r="V85" s="32" t="n">
        <v>127.19</v>
      </c>
      <c r="W85" s="32" t="n">
        <v>19.42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IF(B86=0,"",RANK(B86,$B$2:$B$180,0))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STLNETWORK</t>
        </is>
      </c>
      <c r="D86" s="31" t="inlineStr">
        <is>
          <t>STL Networks Ltd</t>
        </is>
      </c>
      <c r="E86" s="31" t="inlineStr">
        <is>
          <t>telecom-service</t>
        </is>
      </c>
      <c r="F86" s="31" t="inlineStr">
        <is>
          <t>telecommunications - service provider</t>
        </is>
      </c>
      <c r="G86" s="31" t="inlineStr">
        <is>
          <t>smallcap</t>
        </is>
      </c>
      <c r="H86" s="32" t="n">
        <v>2302.74</v>
      </c>
      <c r="I86" s="32" t="n">
        <v>47.18</v>
      </c>
      <c r="J86" s="32" t="n">
        <v>-3.66</v>
      </c>
      <c r="K86" s="32" t="n">
        <v>13627273</v>
      </c>
      <c r="L86" s="31" t="n">
        <v>80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70.87</v>
      </c>
      <c r="P86" s="32" t="n">
        <v>34.94</v>
      </c>
      <c r="Q86" s="32" t="n">
        <v>41.75</v>
      </c>
      <c r="R86" s="31" t="inlineStr">
        <is>
          <t>Volume Spike / Accumulation</t>
        </is>
      </c>
      <c r="S86" s="31" t="inlineStr">
        <is>
          <t>Nifty 50</t>
        </is>
      </c>
      <c r="T86" s="32" t="n">
        <v>-9.93</v>
      </c>
      <c r="U86" s="32" t="n">
        <v>60.2</v>
      </c>
      <c r="V86" s="32" t="n">
        <v>77.87</v>
      </c>
      <c r="W86" s="32" t="n">
        <v>32.07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IF(B87=0,"",RANK(B87,$B$2:$B$180,0))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INDORAMA</t>
        </is>
      </c>
      <c r="D87" s="31" t="inlineStr">
        <is>
          <t>Indo Rama Synthetics (india) Limited</t>
        </is>
      </c>
      <c r="E87" s="31" t="inlineStr">
        <is>
          <t>textiles</t>
        </is>
      </c>
      <c r="F87" s="31" t="inlineStr">
        <is>
          <t>textiles - manmade</t>
        </is>
      </c>
      <c r="G87" s="31" t="inlineStr">
        <is>
          <t>smallcap</t>
        </is>
      </c>
      <c r="H87" s="32" t="n">
        <v>2501.73</v>
      </c>
      <c r="I87" s="32" t="n">
        <v>95.81</v>
      </c>
      <c r="J87" s="32" t="n">
        <v>-4.53</v>
      </c>
      <c r="K87" s="32" t="n">
        <v>1609228</v>
      </c>
      <c r="L87" s="31" t="n">
        <v>84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81.03</v>
      </c>
      <c r="P87" s="32" t="n">
        <v>64.27</v>
      </c>
      <c r="Q87" s="32" t="n">
        <v>70.88</v>
      </c>
      <c r="R87" s="31" t="inlineStr">
        <is>
          <t>Near 52W High Breakout</t>
        </is>
      </c>
      <c r="S87" s="31" t="inlineStr">
        <is>
          <t>Nifty 50</t>
        </is>
      </c>
      <c r="T87" s="32" t="n">
        <v>-9.93</v>
      </c>
      <c r="U87" s="32" t="n">
        <v>53.67</v>
      </c>
      <c r="V87" s="32" t="n">
        <v>70.62</v>
      </c>
      <c r="W87" s="32" t="n">
        <v>35.98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IF(B88=0,"",RANK(B88,$B$2:$B$180,0))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PIXTRANS</t>
        </is>
      </c>
      <c r="D88" s="31" t="inlineStr">
        <is>
          <t>Pix Transmission Ltd</t>
        </is>
      </c>
      <c r="E88" s="31" t="inlineStr">
        <is>
          <t>fmcg</t>
        </is>
      </c>
      <c r="F88" s="31" t="inlineStr">
        <is>
          <t>miscellaneous</t>
        </is>
      </c>
      <c r="G88" s="31" t="inlineStr">
        <is>
          <t>smallcap</t>
        </is>
      </c>
      <c r="H88" s="32" t="n">
        <v>2465.21</v>
      </c>
      <c r="I88" s="32" t="n">
        <v>1809.3</v>
      </c>
      <c r="J88" s="32" t="n">
        <v>4.77</v>
      </c>
      <c r="K88" s="32" t="n">
        <v>1455118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57</v>
      </c>
      <c r="P88" s="32" t="n">
        <v>43.57</v>
      </c>
      <c r="Q88" s="32" t="n">
        <v>1500.63</v>
      </c>
      <c r="R88" s="31" t="inlineStr">
        <is>
          <t>Volume Spike / Accumulation</t>
        </is>
      </c>
      <c r="S88" s="31" t="inlineStr">
        <is>
          <t>Nifty FMCG</t>
        </is>
      </c>
      <c r="T88" s="32" t="inlineStr"/>
      <c r="U88" s="32" t="inlineStr"/>
      <c r="V88" s="32" t="inlineStr"/>
      <c r="W88" s="32" t="inlineStr"/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IF(B89=0,"",RANK(B89,$B$2:$B$180,0))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BAFNAPH</t>
        </is>
      </c>
      <c r="D89" s="31" t="inlineStr">
        <is>
          <t>Bafna Pharmaceuticals Ltd</t>
        </is>
      </c>
      <c r="E89" s="31" t="inlineStr">
        <is>
          <t>healthcare</t>
        </is>
      </c>
      <c r="F89" s="31" t="inlineStr">
        <is>
          <t>pharmaceuticals - indian - formulations</t>
        </is>
      </c>
      <c r="G89" s="31" t="inlineStr">
        <is>
          <t>smallcap</t>
        </is>
      </c>
      <c r="H89" s="32" t="n">
        <v>895.98</v>
      </c>
      <c r="I89" s="32" t="n">
        <v>378.75</v>
      </c>
      <c r="J89" s="32" t="n">
        <v>1.99</v>
      </c>
      <c r="K89" s="32" t="n">
        <v>500</v>
      </c>
      <c r="L89" s="31" t="n">
        <v>90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80.3</v>
      </c>
      <c r="P89" s="32" t="n">
        <v>62.43</v>
      </c>
      <c r="Q89" s="32" t="n">
        <v>305.06</v>
      </c>
      <c r="R89" s="31" t="inlineStr">
        <is>
          <t>Near 52W High Breakout</t>
        </is>
      </c>
      <c r="S89" s="31" t="inlineStr">
        <is>
          <t>Nifty Pharma</t>
        </is>
      </c>
      <c r="T89" s="32" t="n">
        <v>20.94</v>
      </c>
      <c r="U89" s="32" t="n">
        <v>123.77</v>
      </c>
      <c r="V89" s="32" t="n">
        <v>85.03</v>
      </c>
      <c r="W89" s="32" t="n">
        <v>41.47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IF(B90=0,"",RANK(B90,$B$2:$B$180,0))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ONEPOINT</t>
        </is>
      </c>
      <c r="D90" s="31" t="inlineStr">
        <is>
          <t>One Point One Solutions Ltd</t>
        </is>
      </c>
      <c r="E90" s="31" t="inlineStr">
        <is>
          <t>i.t</t>
        </is>
      </c>
      <c r="F90" s="31" t="inlineStr">
        <is>
          <t>computers - software - medium / small</t>
        </is>
      </c>
      <c r="G90" s="31" t="inlineStr">
        <is>
          <t>smallcap</t>
        </is>
      </c>
      <c r="H90" s="32" t="n">
        <v>1955.46</v>
      </c>
      <c r="I90" s="32" t="n">
        <v>74.37</v>
      </c>
      <c r="J90" s="32" t="n">
        <v>1.34</v>
      </c>
      <c r="K90" s="32" t="n">
        <v>6251994</v>
      </c>
      <c r="L90" s="31" t="n">
        <v>41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72.48</v>
      </c>
      <c r="P90" s="32" t="n">
        <v>16.07</v>
      </c>
      <c r="Q90" s="32" t="n">
        <v>57.86</v>
      </c>
      <c r="R90" s="31" t="inlineStr">
        <is>
          <t>Volume Spike &amp; Near 52W High Breakout</t>
        </is>
      </c>
      <c r="S90" s="31" t="inlineStr">
        <is>
          <t>Nifty IT</t>
        </is>
      </c>
      <c r="T90" s="32" t="n">
        <v>-16.63</v>
      </c>
      <c r="U90" s="32" t="n">
        <v>54.07</v>
      </c>
      <c r="V90" s="32" t="n">
        <v>84.8</v>
      </c>
      <c r="W90" s="32" t="n">
        <v>15.55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IF(B91=0,"",RANK(B91,$B$2:$B$180,0))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LAURUSLABS</t>
        </is>
      </c>
      <c r="D91" s="31" t="inlineStr">
        <is>
          <t>Laurus Labs Limited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largecap</t>
        </is>
      </c>
      <c r="H91" s="32" t="n">
        <v>107185.52</v>
      </c>
      <c r="I91" s="32" t="n">
        <v>1984</v>
      </c>
      <c r="J91" s="32" t="n">
        <v>0.2</v>
      </c>
      <c r="K91" s="32" t="n">
        <v>1459687</v>
      </c>
      <c r="L91" s="31" t="n">
        <v>63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75.31999999999999</v>
      </c>
      <c r="P91" s="32" t="n">
        <v>76.23999999999999</v>
      </c>
      <c r="Q91" s="32" t="n">
        <v>1713.85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20.94</v>
      </c>
      <c r="U91" s="32" t="n">
        <v>129.94</v>
      </c>
      <c r="V91" s="32" t="n">
        <v>90.13</v>
      </c>
      <c r="W91" s="32" t="n">
        <v>25.54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IF(B92=0,"",RANK(B92,$B$2:$B$180,0))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SURAKSHA</t>
        </is>
      </c>
      <c r="D92" s="33" t="inlineStr">
        <is>
          <t>Suraksha Diagnostic Ltd</t>
        </is>
      </c>
      <c r="E92" s="31" t="inlineStr">
        <is>
          <t>healthcare</t>
        </is>
      </c>
      <c r="F92" s="31" t="inlineStr">
        <is>
          <t>healthcare</t>
        </is>
      </c>
      <c r="G92" s="31" t="inlineStr">
        <is>
          <t>smallcap</t>
        </is>
      </c>
      <c r="H92" s="32" t="n">
        <v>1823.61</v>
      </c>
      <c r="I92" s="32" t="n">
        <v>350.15</v>
      </c>
      <c r="J92" s="32" t="n">
        <v>-1.48</v>
      </c>
      <c r="K92" s="32" t="n">
        <v>93480</v>
      </c>
      <c r="L92" s="31" t="n">
        <v>27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68.44</v>
      </c>
      <c r="P92" s="32" t="n">
        <v>22.26</v>
      </c>
      <c r="Q92" s="32" t="n">
        <v>274.88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20.94</v>
      </c>
      <c r="U92" s="32" t="n">
        <v>17.31</v>
      </c>
      <c r="V92" s="32" t="n">
        <v>-3</v>
      </c>
      <c r="W92" s="32" t="n">
        <v>9.859999999999999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IF(B93=0,"",RANK(B93,$B$2:$B$180,0))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ABDL</t>
        </is>
      </c>
      <c r="D93" s="31" t="inlineStr">
        <is>
          <t>Allied Blenders &amp; Distillers Ltd</t>
        </is>
      </c>
      <c r="E93" s="31" t="inlineStr">
        <is>
          <t>fmcg</t>
        </is>
      </c>
      <c r="F93" s="31" t="inlineStr">
        <is>
          <t>breweries &amp; distilleries</t>
        </is>
      </c>
      <c r="G93" s="31" t="inlineStr">
        <is>
          <t>midcap</t>
        </is>
      </c>
      <c r="H93" s="32" t="n">
        <v>19004.91</v>
      </c>
      <c r="I93" s="32" t="n">
        <v>679.45</v>
      </c>
      <c r="J93" s="32" t="n">
        <v>-5.49</v>
      </c>
      <c r="K93" s="32" t="n">
        <v>1056525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62.62</v>
      </c>
      <c r="P93" s="32" t="n">
        <v>26.13</v>
      </c>
      <c r="Q93" s="32" t="n">
        <v>555.88</v>
      </c>
      <c r="R93" s="31" t="inlineStr">
        <is>
          <t>Near 52W High Breakout</t>
        </is>
      </c>
      <c r="S93" s="31" t="inlineStr">
        <is>
          <t>Nifty FMCG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IF(B94=0,"",RANK(B94,$B$2:$B$180,0))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SIGMAADV</t>
        </is>
      </c>
      <c r="D94" s="31" t="inlineStr">
        <is>
          <t>Sigma Advanced System Ltd</t>
        </is>
      </c>
      <c r="E94" s="31" t="inlineStr">
        <is>
          <t>aerospace &amp; defence</t>
        </is>
      </c>
      <c r="F94" s="31" t="inlineStr">
        <is>
          <t>electronics - components</t>
        </is>
      </c>
      <c r="G94" s="31" t="inlineStr">
        <is>
          <t>largecap</t>
        </is>
      </c>
      <c r="H94" s="32" t="n">
        <v>20406.84</v>
      </c>
      <c r="I94" s="32" t="n">
        <v>1076.9</v>
      </c>
      <c r="J94" s="32" t="n">
        <v>4.99</v>
      </c>
      <c r="K94" s="32" t="n">
        <v>542861</v>
      </c>
      <c r="L94" s="31" t="n">
        <v>98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85.68000000000001</v>
      </c>
      <c r="P94" s="32" t="n">
        <v>63.17</v>
      </c>
      <c r="Q94" s="32" t="n">
        <v>817.98</v>
      </c>
      <c r="R94" s="31" t="inlineStr">
        <is>
          <t>Near 52W High Breakout</t>
        </is>
      </c>
      <c r="S94" s="31" t="inlineStr">
        <is>
          <t>Nifty 50</t>
        </is>
      </c>
      <c r="T94" s="32" t="n">
        <v>-9.93</v>
      </c>
      <c r="U94" s="32" t="n">
        <v>594.37</v>
      </c>
      <c r="V94" s="32" t="n">
        <v>670.9299999999999</v>
      </c>
      <c r="W94" s="32" t="n">
        <v>90.06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IF(B95=0,"",RANK(B95,$B$2:$B$180,0))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BOSCH-HCIL</t>
        </is>
      </c>
      <c r="D95" s="31" t="inlineStr">
        <is>
          <t>Bosch Home Comfort India Ltd</t>
        </is>
      </c>
      <c r="E95" s="31" t="inlineStr">
        <is>
          <t>consumer discretionary</t>
        </is>
      </c>
      <c r="F95" s="31" t="inlineStr">
        <is>
          <t>air-conditioners</t>
        </is>
      </c>
      <c r="G95" s="31" t="inlineStr">
        <is>
          <t>midcap</t>
        </is>
      </c>
      <c r="H95" s="32" t="n">
        <v>5348.99</v>
      </c>
      <c r="I95" s="32" t="n">
        <v>1967.2</v>
      </c>
      <c r="J95" s="32" t="n">
        <v>4.82</v>
      </c>
      <c r="K95" s="32" t="n">
        <v>127667</v>
      </c>
      <c r="L95" s="31" t="n">
        <v>37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71.51000000000001</v>
      </c>
      <c r="P95" s="32" t="n">
        <v>36.66</v>
      </c>
      <c r="Q95" s="32" t="n">
        <v>1554.18</v>
      </c>
      <c r="R95" s="31" t="inlineStr">
        <is>
          <t>Volume Spike &amp; Near 52W High Breakout</t>
        </is>
      </c>
      <c r="S95" s="31" t="inlineStr">
        <is>
          <t>Nifty 50</t>
        </is>
      </c>
      <c r="T95" s="32" t="n">
        <v>-9.93</v>
      </c>
      <c r="U95" s="32" t="n">
        <v>12.69</v>
      </c>
      <c r="V95" s="32" t="n">
        <v>25.12</v>
      </c>
      <c r="W95" s="32" t="n">
        <v>13.94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IF(B96=0,"",RANK(B96,$B$2:$B$180,0))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OPTIEMUS</t>
        </is>
      </c>
      <c r="D96" s="31" t="inlineStr">
        <is>
          <t>Optiemus Infracom Ltd</t>
        </is>
      </c>
      <c r="E96" s="31" t="inlineStr">
        <is>
          <t>telecom</t>
        </is>
      </c>
      <c r="F96" s="31" t="inlineStr">
        <is>
          <t>trading</t>
        </is>
      </c>
      <c r="G96" s="31" t="inlineStr">
        <is>
          <t>midcap</t>
        </is>
      </c>
      <c r="H96" s="32" t="n">
        <v>7246.68</v>
      </c>
      <c r="I96" s="32" t="n">
        <v>803.7</v>
      </c>
      <c r="J96" s="32" t="n">
        <v>4.68</v>
      </c>
      <c r="K96" s="32" t="n">
        <v>655634</v>
      </c>
      <c r="L96" s="31" t="n">
        <v>56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76.31999999999999</v>
      </c>
      <c r="P96" s="32" t="n">
        <v>43.09</v>
      </c>
      <c r="Q96" s="32" t="n">
        <v>604.14</v>
      </c>
      <c r="R96" s="31" t="inlineStr">
        <is>
          <t>Volume Spike &amp; Near 52W High Breakout</t>
        </is>
      </c>
      <c r="S96" s="31" t="inlineStr">
        <is>
          <t>Nifty 50</t>
        </is>
      </c>
      <c r="T96" s="32" t="n">
        <v>-9.93</v>
      </c>
      <c r="U96" s="32" t="n">
        <v>18.72</v>
      </c>
      <c r="V96" s="32" t="n">
        <v>31.81</v>
      </c>
      <c r="W96" s="32" t="n">
        <v>22.56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IF(B97=0,"",RANK(B97,$B$2:$B$180,0))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NRBBEARING</t>
        </is>
      </c>
      <c r="D97" s="31" t="inlineStr">
        <is>
          <t>Nrb Bearing Limited</t>
        </is>
      </c>
      <c r="E97" s="31" t="inlineStr">
        <is>
          <t>industrials</t>
        </is>
      </c>
      <c r="F97" s="31" t="inlineStr">
        <is>
          <t>bearings</t>
        </is>
      </c>
      <c r="G97" s="31" t="inlineStr">
        <is>
          <t>midcap</t>
        </is>
      </c>
      <c r="H97" s="32" t="n">
        <v>5259.02</v>
      </c>
      <c r="I97" s="32" t="n">
        <v>542.6</v>
      </c>
      <c r="J97" s="32" t="n">
        <v>1.6</v>
      </c>
      <c r="K97" s="32" t="n">
        <v>677742</v>
      </c>
      <c r="L97" s="31" t="n">
        <v>61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76.34</v>
      </c>
      <c r="P97" s="32" t="n">
        <v>51.06</v>
      </c>
      <c r="Q97" s="32" t="n">
        <v>426.08</v>
      </c>
      <c r="R97" s="31" t="inlineStr">
        <is>
          <t>Near 52W High Breakout</t>
        </is>
      </c>
      <c r="S97" s="31" t="inlineStr">
        <is>
          <t>Nifty 50</t>
        </is>
      </c>
      <c r="T97" s="32" t="n">
        <v>-9.93</v>
      </c>
      <c r="U97" s="32" t="n">
        <v>92.13</v>
      </c>
      <c r="V97" s="32" t="n">
        <v>113.31</v>
      </c>
      <c r="W97" s="32" t="n">
        <v>24.37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IF(B98=0,"",RANK(B98,$B$2:$B$180,0))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GANDHAR</t>
        </is>
      </c>
      <c r="D98" s="31" t="inlineStr">
        <is>
          <t>Gandhar Oil Refinery (India) Ltd</t>
        </is>
      </c>
      <c r="E98" s="31" t="inlineStr">
        <is>
          <t>energy</t>
        </is>
      </c>
      <c r="F98" s="31" t="inlineStr">
        <is>
          <t>refineries</t>
        </is>
      </c>
      <c r="G98" s="31" t="inlineStr">
        <is>
          <t>smallcap</t>
        </is>
      </c>
      <c r="H98" s="32" t="n">
        <v>2766.08</v>
      </c>
      <c r="I98" s="32" t="n">
        <v>282.6</v>
      </c>
      <c r="J98" s="32" t="n">
        <v>1.34</v>
      </c>
      <c r="K98" s="32" t="n">
        <v>872149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69.36</v>
      </c>
      <c r="P98" s="32" t="n">
        <v>77.19</v>
      </c>
      <c r="Q98" s="32" t="n">
        <v>214.89</v>
      </c>
      <c r="R98" s="31" t="inlineStr">
        <is>
          <t>Near 52W High Breakout</t>
        </is>
      </c>
      <c r="S98" s="31" t="inlineStr">
        <is>
          <t>Nifty Energy</t>
        </is>
      </c>
      <c r="T98" s="32" t="inlineStr"/>
      <c r="U98" s="32" t="inlineStr"/>
      <c r="V98" s="32" t="inlineStr"/>
      <c r="W98" s="32" t="inlineStr"/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Oligopoly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Cyclical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Volatile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IF(B99=0,"",RANK(B99,$B$2:$B$180,0))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SHREEJISPG</t>
        </is>
      </c>
      <c r="D99" s="31" t="inlineStr">
        <is>
          <t>Shreeji Shipping Global Ltd</t>
        </is>
      </c>
      <c r="E99" s="31" t="inlineStr">
        <is>
          <t>transportation</t>
        </is>
      </c>
      <c r="F99" s="31" t="inlineStr">
        <is>
          <t>shipping</t>
        </is>
      </c>
      <c r="G99" s="31" t="inlineStr">
        <is>
          <t>midcap</t>
        </is>
      </c>
      <c r="H99" s="32" t="n">
        <v>12631.87</v>
      </c>
      <c r="I99" s="32" t="n">
        <v>775.35</v>
      </c>
      <c r="J99" s="32" t="n">
        <v>0.64</v>
      </c>
      <c r="K99" s="32" t="n">
        <v>1026808</v>
      </c>
      <c r="L99" s="31" t="n">
        <v>89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83.45</v>
      </c>
      <c r="P99" s="32" t="n">
        <v>56.61</v>
      </c>
      <c r="Q99" s="32" t="n">
        <v>645.39</v>
      </c>
      <c r="R99" s="31" t="inlineStr">
        <is>
          <t>Near 52W High Breakout</t>
        </is>
      </c>
      <c r="S99" s="31" t="inlineStr">
        <is>
          <t>Nifty 50</t>
        </is>
      </c>
      <c r="T99" s="32" t="n">
        <v>-9.93</v>
      </c>
      <c r="U99" s="32" t="n">
        <v>222.06</v>
      </c>
      <c r="V99" s="32" t="n">
        <v>257.58</v>
      </c>
      <c r="W99" s="32" t="n">
        <v>39.49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IF(B100=0,"",RANK(B100,$B$2:$B$180,0))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EIMCOELECO</t>
        </is>
      </c>
      <c r="D100" s="31" t="inlineStr">
        <is>
          <t>Eimco Elecon (india) Limited</t>
        </is>
      </c>
      <c r="E100" s="31" t="inlineStr">
        <is>
          <t>industrials</t>
        </is>
      </c>
      <c r="F100" s="31" t="inlineStr">
        <is>
          <t>engineering</t>
        </is>
      </c>
      <c r="G100" s="31" t="inlineStr">
        <is>
          <t>smallcap</t>
        </is>
      </c>
      <c r="H100" s="32" t="n">
        <v>1308.73</v>
      </c>
      <c r="I100" s="32" t="n">
        <v>2268.8</v>
      </c>
      <c r="J100" s="32" t="n">
        <v>-0.02</v>
      </c>
      <c r="K100" s="32" t="n">
        <v>18996</v>
      </c>
      <c r="L100" s="31" t="n">
        <v>29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69.70999999999999</v>
      </c>
      <c r="P100" s="32" t="n">
        <v>58.14</v>
      </c>
      <c r="Q100" s="32" t="n">
        <v>1851.03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-9.93</v>
      </c>
      <c r="U100" s="32" t="n">
        <v>26.29</v>
      </c>
      <c r="V100" s="32" t="n">
        <v>40.21</v>
      </c>
      <c r="W100" s="32" t="n">
        <v>10.33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IF(B101=0,"",RANK(B101,$B$2:$B$180,0))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RUBYMILLS</t>
        </is>
      </c>
      <c r="D101" s="31" t="inlineStr">
        <is>
          <t>The Ruby Mills Limited</t>
        </is>
      </c>
      <c r="E101" s="31" t="inlineStr">
        <is>
          <t>textiles</t>
        </is>
      </c>
      <c r="F101" s="31" t="inlineStr">
        <is>
          <t>textiles - composite</t>
        </is>
      </c>
      <c r="G101" s="31" t="inlineStr">
        <is>
          <t>smallcap</t>
        </is>
      </c>
      <c r="H101" s="32" t="n">
        <v>1670.83</v>
      </c>
      <c r="I101" s="32" t="n">
        <v>499.65</v>
      </c>
      <c r="J101" s="32" t="n">
        <v>-0.02</v>
      </c>
      <c r="K101" s="32" t="n">
        <v>24508</v>
      </c>
      <c r="L101" s="31" t="n">
        <v>73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78.25</v>
      </c>
      <c r="P101" s="32" t="n">
        <v>53.1</v>
      </c>
      <c r="Q101" s="32" t="n">
        <v>357.04</v>
      </c>
      <c r="R101" s="31" t="inlineStr">
        <is>
          <t>Volume Spike &amp; Near 52W High Breakout</t>
        </is>
      </c>
      <c r="S101" s="31" t="inlineStr">
        <is>
          <t>Nifty 50</t>
        </is>
      </c>
      <c r="T101" s="32" t="n">
        <v>-9.93</v>
      </c>
      <c r="U101" s="32" t="n">
        <v>121.36</v>
      </c>
      <c r="V101" s="32" t="n">
        <v>145.77</v>
      </c>
      <c r="W101" s="32" t="n">
        <v>29.97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IF(B102=0,"",RANK(B102,$B$2:$B$180,0))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TEXINFRA</t>
        </is>
      </c>
      <c r="D102" s="31" t="inlineStr">
        <is>
          <t>Texmaco Infrastructure &amp; Holdings Limited</t>
        </is>
      </c>
      <c r="E102" s="31" t="inlineStr">
        <is>
          <t>realty</t>
        </is>
      </c>
      <c r="F102" s="31" t="inlineStr">
        <is>
          <t>construction</t>
        </is>
      </c>
      <c r="G102" s="31" t="inlineStr">
        <is>
          <t>smallcap</t>
        </is>
      </c>
      <c r="H102" s="32" t="n">
        <v>1521.35</v>
      </c>
      <c r="I102" s="32" t="n">
        <v>119.39</v>
      </c>
      <c r="J102" s="32" t="n">
        <v>-0.02</v>
      </c>
      <c r="K102" s="32" t="n">
        <v>344580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68.22</v>
      </c>
      <c r="P102" s="32" t="n">
        <v>41.81</v>
      </c>
      <c r="Q102" s="32" t="n">
        <v>97.36</v>
      </c>
      <c r="R102" s="31" t="inlineStr">
        <is>
          <t>Near 52W High Breakout</t>
        </is>
      </c>
      <c r="S102" s="31" t="inlineStr">
        <is>
          <t>Nifty Realty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IF(B103=0,"",RANK(B103,$B$2:$B$180,0))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OAL</t>
        </is>
      </c>
      <c r="D103" s="31" t="inlineStr">
        <is>
          <t>Oriental Aromatics Ltd</t>
        </is>
      </c>
      <c r="E103" s="31" t="inlineStr">
        <is>
          <t>chemicals</t>
        </is>
      </c>
      <c r="F103" s="31" t="inlineStr">
        <is>
          <t>chemicals</t>
        </is>
      </c>
      <c r="G103" s="31" t="inlineStr">
        <is>
          <t>smallcap</t>
        </is>
      </c>
      <c r="H103" s="32" t="n">
        <v>1791.04</v>
      </c>
      <c r="I103" s="32" t="n">
        <v>532.2</v>
      </c>
      <c r="J103" s="32" t="n">
        <v>-0.2</v>
      </c>
      <c r="K103" s="32" t="n">
        <v>64420</v>
      </c>
      <c r="L103" s="31" t="n">
        <v>65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71.95999999999999</v>
      </c>
      <c r="P103" s="32" t="n">
        <v>39.78</v>
      </c>
      <c r="Q103" s="32" t="n">
        <v>383.7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-9.93</v>
      </c>
      <c r="U103" s="32" t="n">
        <v>59.26</v>
      </c>
      <c r="V103" s="32" t="n">
        <v>76.81999999999999</v>
      </c>
      <c r="W103" s="32" t="n">
        <v>26.67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IF(B104=0,"",RANK(B104,$B$2:$B$180,0))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ASHIANA</t>
        </is>
      </c>
      <c r="D104" s="31" t="inlineStr">
        <is>
          <t>Ashiana Housing Limited</t>
        </is>
      </c>
      <c r="E104" s="31" t="inlineStr">
        <is>
          <t>realty</t>
        </is>
      </c>
      <c r="F104" s="31" t="inlineStr">
        <is>
          <t>construction</t>
        </is>
      </c>
      <c r="G104" s="31" t="inlineStr">
        <is>
          <t>smallcap</t>
        </is>
      </c>
      <c r="H104" s="32" t="n">
        <v>3859.65</v>
      </c>
      <c r="I104" s="32" t="n">
        <v>383.95</v>
      </c>
      <c r="J104" s="32" t="n">
        <v>-0.53</v>
      </c>
      <c r="K104" s="32" t="n">
        <v>37988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57.56</v>
      </c>
      <c r="P104" s="32" t="n">
        <v>33.42</v>
      </c>
      <c r="Q104" s="32" t="n">
        <v>303.04</v>
      </c>
      <c r="R104" s="31" t="inlineStr">
        <is>
          <t>Near 52W High Breakout</t>
        </is>
      </c>
      <c r="S104" s="31" t="inlineStr">
        <is>
          <t>Nifty Realty</t>
        </is>
      </c>
      <c r="T104" s="32" t="inlineStr"/>
      <c r="U104" s="32" t="inlineStr"/>
      <c r="V104" s="32" t="inlineStr"/>
      <c r="W104" s="32" t="inlineStr"/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IF(B105=0,"",RANK(B105,$B$2:$B$180,0))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RAYMOND</t>
        </is>
      </c>
      <c r="D105" s="31" t="inlineStr">
        <is>
          <t>Raymond Limited</t>
        </is>
      </c>
      <c r="E105" s="31" t="inlineStr">
        <is>
          <t>transportation</t>
        </is>
      </c>
      <c r="F105" s="31" t="inlineStr">
        <is>
          <t>transport - airlines</t>
        </is>
      </c>
      <c r="G105" s="31" t="inlineStr">
        <is>
          <t>midcap</t>
        </is>
      </c>
      <c r="H105" s="32" t="n">
        <v>7970.21</v>
      </c>
      <c r="I105" s="32" t="n">
        <v>1197.2</v>
      </c>
      <c r="J105" s="32" t="n">
        <v>-1.31</v>
      </c>
      <c r="K105" s="32" t="n">
        <v>1191490</v>
      </c>
      <c r="L105" s="31" t="n">
        <v>92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84.95</v>
      </c>
      <c r="P105" s="32" t="n">
        <v>55.74</v>
      </c>
      <c r="Q105" s="32" t="n">
        <v>918.74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-9.93</v>
      </c>
      <c r="U105" s="32" t="n">
        <v>103.13</v>
      </c>
      <c r="V105" s="32" t="n">
        <v>125.53</v>
      </c>
      <c r="W105" s="32" t="n">
        <v>44.19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IF(B106=0,"",RANK(B106,$B$2:$B$180,0))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SETL</t>
        </is>
      </c>
      <c r="D106" s="31" t="inlineStr">
        <is>
          <t>Standard Enginnering Technology Ltd</t>
        </is>
      </c>
      <c r="E106" s="31" t="inlineStr">
        <is>
          <t>industrials</t>
        </is>
      </c>
      <c r="F106" s="31" t="inlineStr">
        <is>
          <t>engineering</t>
        </is>
      </c>
      <c r="G106" s="31" t="inlineStr">
        <is>
          <t>midcap</t>
        </is>
      </c>
      <c r="H106" s="32" t="n">
        <v>8317.799999999999</v>
      </c>
      <c r="I106" s="32" t="n">
        <v>416.95</v>
      </c>
      <c r="J106" s="32" t="n">
        <v>-1.38</v>
      </c>
      <c r="K106" s="32" t="n">
        <v>714646</v>
      </c>
      <c r="L106" s="31" t="n">
        <v>85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74.29000000000001</v>
      </c>
      <c r="P106" s="32" t="n">
        <v>76.70999999999999</v>
      </c>
      <c r="Q106" s="32" t="n">
        <v>359.12</v>
      </c>
      <c r="R106" s="31" t="inlineStr">
        <is>
          <t>Earnings / Momentum Support</t>
        </is>
      </c>
      <c r="S106" s="31" t="inlineStr">
        <is>
          <t>Nifty 50</t>
        </is>
      </c>
      <c r="T106" s="32" t="n">
        <v>-9.93</v>
      </c>
      <c r="U106" s="32" t="n">
        <v>122.91</v>
      </c>
      <c r="V106" s="32" t="n">
        <v>147.48</v>
      </c>
      <c r="W106" s="32" t="n">
        <v>36.31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IF(B107=0,"",RANK(B107,$B$2:$B$180,0))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ANDHRAPAP</t>
        </is>
      </c>
      <c r="D107" s="31" t="inlineStr">
        <is>
          <t>Andhra Paper Ltd</t>
        </is>
      </c>
      <c r="E107" s="31" t="inlineStr">
        <is>
          <t>building materials</t>
        </is>
      </c>
      <c r="F107" s="31" t="inlineStr">
        <is>
          <t>paper</t>
        </is>
      </c>
      <c r="G107" s="31" t="inlineStr">
        <is>
          <t>smallcap</t>
        </is>
      </c>
      <c r="H107" s="32" t="n">
        <v>1419</v>
      </c>
      <c r="I107" s="32" t="n">
        <v>71.36</v>
      </c>
      <c r="J107" s="32" t="n">
        <v>-1.82</v>
      </c>
      <c r="K107" s="32" t="n">
        <v>222862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62.72</v>
      </c>
      <c r="P107" s="32" t="n">
        <v>24.1</v>
      </c>
      <c r="Q107" s="32" t="n">
        <v>59.72</v>
      </c>
      <c r="R107" s="31" t="inlineStr">
        <is>
          <t>Earnings / Momentum Support</t>
        </is>
      </c>
      <c r="S107" s="31" t="inlineStr">
        <is>
          <t>Nifty Infra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IF(B108=0,"",RANK(B108,$B$2:$B$180,0))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BODALCHEM</t>
        </is>
      </c>
      <c r="D108" s="31" t="inlineStr">
        <is>
          <t>Bodal Chemicals Limited</t>
        </is>
      </c>
      <c r="E108" s="31" t="inlineStr">
        <is>
          <t>chemicals</t>
        </is>
      </c>
      <c r="F108" s="31" t="inlineStr">
        <is>
          <t>dyes and pigments</t>
        </is>
      </c>
      <c r="G108" s="31" t="inlineStr">
        <is>
          <t>smallcap</t>
        </is>
      </c>
      <c r="H108" s="32" t="n">
        <v>2389.79</v>
      </c>
      <c r="I108" s="32" t="n">
        <v>189.75</v>
      </c>
      <c r="J108" s="32" t="n">
        <v>-4.34</v>
      </c>
      <c r="K108" s="32" t="n">
        <v>619032</v>
      </c>
      <c r="L108" s="31" t="n">
        <v>98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83.29000000000001</v>
      </c>
      <c r="P108" s="32" t="n">
        <v>48.06</v>
      </c>
      <c r="Q108" s="32" t="n">
        <v>156.98</v>
      </c>
      <c r="R108" s="31" t="inlineStr">
        <is>
          <t>Earnings / Momentum Support</t>
        </is>
      </c>
      <c r="S108" s="31" t="inlineStr">
        <is>
          <t>Nifty 50</t>
        </is>
      </c>
      <c r="T108" s="32" t="n">
        <v>-9.93</v>
      </c>
      <c r="U108" s="32" t="n">
        <v>202.45</v>
      </c>
      <c r="V108" s="32" t="n">
        <v>235.8</v>
      </c>
      <c r="W108" s="32" t="n">
        <v>81.33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IF(B109=0,"",RANK(B109,$B$2:$B$180,0))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MAHLOG</t>
        </is>
      </c>
      <c r="D109" s="31" t="inlineStr">
        <is>
          <t>Mahindra Logistics Ltd</t>
        </is>
      </c>
      <c r="E109" s="31" t="inlineStr">
        <is>
          <t>transportation</t>
        </is>
      </c>
      <c r="F109" s="31" t="inlineStr">
        <is>
          <t>miscellaneous</t>
        </is>
      </c>
      <c r="G109" s="31" t="inlineStr">
        <is>
          <t>smallcap</t>
        </is>
      </c>
      <c r="H109" s="32" t="n">
        <v>4131.62</v>
      </c>
      <c r="I109" s="32" t="n">
        <v>416.4</v>
      </c>
      <c r="J109" s="32" t="n">
        <v>-4.46</v>
      </c>
      <c r="K109" s="32" t="n">
        <v>243388</v>
      </c>
      <c r="L109" s="31" t="n">
        <v>10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58.53</v>
      </c>
      <c r="P109" s="32" t="n">
        <v>29.17</v>
      </c>
      <c r="Q109" s="32" t="n">
        <v>334.32</v>
      </c>
      <c r="R109" s="31" t="inlineStr">
        <is>
          <t>Volume Spike &amp; Near 52W High Breakout</t>
        </is>
      </c>
      <c r="S109" s="31" t="inlineStr">
        <is>
          <t>Nifty 50</t>
        </is>
      </c>
      <c r="T109" s="32" t="n">
        <v>-9.93</v>
      </c>
      <c r="U109" s="32" t="n">
        <v>18.32</v>
      </c>
      <c r="V109" s="32" t="n">
        <v>31.36</v>
      </c>
      <c r="W109" s="32" t="n">
        <v>4.9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IF(B110=0,"",RANK(B110,$B$2:$B$180,0))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KABRAEXTRU</t>
        </is>
      </c>
      <c r="D110" s="31" t="inlineStr">
        <is>
          <t>Kabra Extrusion Technik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smallcap</t>
        </is>
      </c>
      <c r="H110" s="32" t="n">
        <v>2676.47</v>
      </c>
      <c r="I110" s="32" t="n">
        <v>765.3</v>
      </c>
      <c r="J110" s="32" t="n">
        <v>-5</v>
      </c>
      <c r="K110" s="32" t="n">
        <v>120365</v>
      </c>
      <c r="L110" s="31" t="n">
        <v>97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75.42</v>
      </c>
      <c r="P110" s="32" t="n">
        <v>71.33</v>
      </c>
      <c r="Q110" s="32" t="n">
        <v>625.62</v>
      </c>
      <c r="R110" s="31" t="inlineStr">
        <is>
          <t>Earnings / Momentum Support</t>
        </is>
      </c>
      <c r="S110" s="31" t="inlineStr">
        <is>
          <t>Nifty 50</t>
        </is>
      </c>
      <c r="T110" s="32" t="n">
        <v>-9.93</v>
      </c>
      <c r="U110" s="32" t="n">
        <v>200.29</v>
      </c>
      <c r="V110" s="32" t="n">
        <v>233.41</v>
      </c>
      <c r="W110" s="32" t="n">
        <v>74.56999999999999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IF(B111=0,"",RANK(B111,$B$2:$B$180,0))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STEELCAS</t>
        </is>
      </c>
      <c r="D111" s="31" t="inlineStr">
        <is>
          <t>Steelcast Ltd</t>
        </is>
      </c>
      <c r="E111" s="31" t="inlineStr">
        <is>
          <t>castings, forgings &amp; fasteners</t>
        </is>
      </c>
      <c r="F111" s="31" t="inlineStr">
        <is>
          <t>castings &amp; forgings</t>
        </is>
      </c>
      <c r="G111" s="31" t="inlineStr">
        <is>
          <t>smallcap</t>
        </is>
      </c>
      <c r="H111" s="32" t="n">
        <v>3607.27</v>
      </c>
      <c r="I111" s="32" t="n">
        <v>356.45</v>
      </c>
      <c r="J111" s="32" t="n">
        <v>-5.5</v>
      </c>
      <c r="K111" s="32" t="n">
        <v>349563</v>
      </c>
      <c r="L111" s="31" t="n">
        <v>36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64.18000000000001</v>
      </c>
      <c r="P111" s="32" t="n">
        <v>42.51</v>
      </c>
      <c r="Q111" s="32" t="n">
        <v>279.26</v>
      </c>
      <c r="R111" s="31" t="inlineStr">
        <is>
          <t>Earnings / Momentum Support</t>
        </is>
      </c>
      <c r="S111" s="31" t="inlineStr">
        <is>
          <t>Nifty 50</t>
        </is>
      </c>
      <c r="T111" s="32" t="n">
        <v>-9.93</v>
      </c>
      <c r="U111" s="32" t="n">
        <v>60.31</v>
      </c>
      <c r="V111" s="32" t="n">
        <v>77.98</v>
      </c>
      <c r="W111" s="32" t="n">
        <v>13.61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Between 12 to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IF(B112=0,"",RANK(B112,$B$2:$B$180,0))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ADFFOODS</t>
        </is>
      </c>
      <c r="D112" s="31" t="inlineStr">
        <is>
          <t>Adf Foods Limited</t>
        </is>
      </c>
      <c r="E112" s="31" t="inlineStr">
        <is>
          <t>fmcg</t>
        </is>
      </c>
      <c r="F112" s="31" t="inlineStr">
        <is>
          <t>food - processing - indian</t>
        </is>
      </c>
      <c r="G112" s="31" t="inlineStr">
        <is>
          <t>smallcap</t>
        </is>
      </c>
      <c r="H112" s="32" t="n">
        <v>3091.56</v>
      </c>
      <c r="I112" s="32" t="n">
        <v>281.4</v>
      </c>
      <c r="J112" s="32" t="n">
        <v>3.04</v>
      </c>
      <c r="K112" s="32" t="n">
        <v>266181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55.51</v>
      </c>
      <c r="P112" s="32" t="n">
        <v>29.3</v>
      </c>
      <c r="Q112" s="32" t="n">
        <v>243.4</v>
      </c>
      <c r="R112" s="31" t="inlineStr">
        <is>
          <t>Earnings / Momentum Support</t>
        </is>
      </c>
      <c r="S112" s="31" t="inlineStr">
        <is>
          <t>Nifty FMCG</t>
        </is>
      </c>
      <c r="T112" s="32" t="inlineStr"/>
      <c r="U112" s="32" t="inlineStr"/>
      <c r="V112" s="32" t="inlineStr"/>
      <c r="W112" s="32" t="inlineStr"/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B2C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IF(B113=0,"",RANK(B113,$B$2:$B$180,0))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KILITCH</t>
        </is>
      </c>
      <c r="D113" s="31" t="inlineStr">
        <is>
          <t>Kilitch Drugs (india) Limited</t>
        </is>
      </c>
      <c r="E113" s="31" t="inlineStr">
        <is>
          <t>healthcare</t>
        </is>
      </c>
      <c r="F113" s="31" t="inlineStr">
        <is>
          <t>pharmaceuticals - indian - formulations</t>
        </is>
      </c>
      <c r="G113" s="31" t="inlineStr">
        <is>
          <t>smallcap</t>
        </is>
      </c>
      <c r="H113" s="32" t="n">
        <v>763.95</v>
      </c>
      <c r="I113" s="32" t="n">
        <v>218.51</v>
      </c>
      <c r="J113" s="32" t="n">
        <v>2.43</v>
      </c>
      <c r="K113" s="32" t="n">
        <v>22964</v>
      </c>
      <c r="L113" s="31" t="n">
        <v>28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65.68000000000001</v>
      </c>
      <c r="P113" s="32" t="n">
        <v>27.48</v>
      </c>
      <c r="Q113" s="32" t="n">
        <v>167.18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20.94</v>
      </c>
      <c r="U113" s="32" t="n">
        <v>27.04</v>
      </c>
      <c r="V113" s="32" t="n">
        <v>5.05</v>
      </c>
      <c r="W113" s="32" t="n">
        <v>10.08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IF(B114=0,"",RANK(B114,$B$2:$B$180,0))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LOKESHMACH</t>
        </is>
      </c>
      <c r="D114" s="31" t="inlineStr">
        <is>
          <t>Lokesh Machines Limited</t>
        </is>
      </c>
      <c r="E114" s="31" t="inlineStr">
        <is>
          <t>industrials</t>
        </is>
      </c>
      <c r="F114" s="31" t="inlineStr">
        <is>
          <t>engineering</t>
        </is>
      </c>
      <c r="G114" s="31" t="inlineStr">
        <is>
          <t>smallcap</t>
        </is>
      </c>
      <c r="H114" s="32" t="n">
        <v>873.61</v>
      </c>
      <c r="I114" s="32" t="n">
        <v>400.8</v>
      </c>
      <c r="J114" s="32" t="n">
        <v>9.539999999999999</v>
      </c>
      <c r="K114" s="32" t="n">
        <v>991506</v>
      </c>
      <c r="L114" s="31" t="n">
        <v>57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72.09</v>
      </c>
      <c r="P114" s="32" t="n">
        <v>40.32</v>
      </c>
      <c r="Q114" s="32" t="n">
        <v>293.29</v>
      </c>
      <c r="R114" s="31" t="inlineStr">
        <is>
          <t>Volume Spike &amp; Near 52W High Breakout</t>
        </is>
      </c>
      <c r="S114" s="31" t="inlineStr">
        <is>
          <t>Nifty 50</t>
        </is>
      </c>
      <c r="T114" s="32" t="n">
        <v>-9.93</v>
      </c>
      <c r="U114" s="32" t="n">
        <v>107.01</v>
      </c>
      <c r="V114" s="32" t="n">
        <v>129.84</v>
      </c>
      <c r="W114" s="32" t="n">
        <v>22.87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IF(B115=0,"",RANK(B115,$B$2:$B$180,0))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DIFFNKG</t>
        </is>
      </c>
      <c r="D115" s="31" t="inlineStr">
        <is>
          <t>Diffusion Engineers Ltd</t>
        </is>
      </c>
      <c r="E115" s="31" t="inlineStr">
        <is>
          <t>industrials</t>
        </is>
      </c>
      <c r="F115" s="31" t="inlineStr">
        <is>
          <t>electrodes - welding equipment</t>
        </is>
      </c>
      <c r="G115" s="31" t="inlineStr">
        <is>
          <t>smallcap</t>
        </is>
      </c>
      <c r="H115" s="32" t="n">
        <v>1738.08</v>
      </c>
      <c r="I115" s="32" t="n">
        <v>464.4</v>
      </c>
      <c r="J115" s="32" t="n">
        <v>5.85</v>
      </c>
      <c r="K115" s="32" t="n">
        <v>498520</v>
      </c>
      <c r="L115" s="31" t="n">
        <v>26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63.83</v>
      </c>
      <c r="P115" s="32" t="n">
        <v>49.05</v>
      </c>
      <c r="Q115" s="32" t="n">
        <v>342.86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-9.93</v>
      </c>
      <c r="U115" s="32" t="n">
        <v>26.92</v>
      </c>
      <c r="V115" s="32" t="n">
        <v>40.91</v>
      </c>
      <c r="W115" s="32" t="n">
        <v>9.44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IF(B116=0,"",RANK(B116,$B$2:$B$180,0))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HFCL</t>
        </is>
      </c>
      <c r="D116" s="31" t="inlineStr">
        <is>
          <t>HFCL Ltd</t>
        </is>
      </c>
      <c r="E116" s="31" t="inlineStr">
        <is>
          <t>telecom</t>
        </is>
      </c>
      <c r="F116" s="31" t="inlineStr">
        <is>
          <t>cables - telephone</t>
        </is>
      </c>
      <c r="G116" s="31" t="inlineStr">
        <is>
          <t>largecap</t>
        </is>
      </c>
      <c r="H116" s="32" t="n">
        <v>36483.44</v>
      </c>
      <c r="I116" s="32" t="n">
        <v>238.36</v>
      </c>
      <c r="J116" s="32" t="n">
        <v>5</v>
      </c>
      <c r="K116" s="32" t="n">
        <v>23039457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67.2</v>
      </c>
      <c r="P116" s="32" t="n">
        <v>51.27</v>
      </c>
      <c r="Q116" s="32" t="n">
        <v>180.8</v>
      </c>
      <c r="R116" s="31" t="inlineStr">
        <is>
          <t>Earnings / Momentum Support</t>
        </is>
      </c>
      <c r="S116" s="31" t="inlineStr">
        <is>
          <t>Nifty Infra</t>
        </is>
      </c>
      <c r="T116" s="32" t="inlineStr"/>
      <c r="U116" s="32" t="inlineStr"/>
      <c r="V116" s="32" t="inlineStr"/>
      <c r="W116" s="32" t="inlineStr"/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Oligopoly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IF(B117=0,"",RANK(B117,$B$2:$B$180,0))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GANDHITUBE</t>
        </is>
      </c>
      <c r="D117" s="31" t="inlineStr">
        <is>
          <t>Gandhi Special Tubes Limited</t>
        </is>
      </c>
      <c r="E117" s="31" t="inlineStr">
        <is>
          <t>metals &amp; mining</t>
        </is>
      </c>
      <c r="F117" s="31" t="inlineStr">
        <is>
          <t>steel - medium / small</t>
        </is>
      </c>
      <c r="G117" s="31" t="inlineStr">
        <is>
          <t>smallcap</t>
        </is>
      </c>
      <c r="H117" s="32" t="n">
        <v>1100.8</v>
      </c>
      <c r="I117" s="32" t="n">
        <v>975.55</v>
      </c>
      <c r="J117" s="32" t="n">
        <v>2.52</v>
      </c>
      <c r="K117" s="32" t="n">
        <v>31132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71.01000000000001</v>
      </c>
      <c r="P117" s="32" t="n">
        <v>35.09</v>
      </c>
      <c r="Q117" s="32" t="n">
        <v>817.02</v>
      </c>
      <c r="R117" s="31" t="inlineStr">
        <is>
          <t>Near 52W High Breakout</t>
        </is>
      </c>
      <c r="S117" s="31" t="inlineStr">
        <is>
          <t>Nifty Metal</t>
        </is>
      </c>
      <c r="T117" s="32" t="inlineStr"/>
      <c r="U117" s="32" t="inlineStr"/>
      <c r="V117" s="32" t="inlineStr"/>
      <c r="W117" s="32" t="inlineStr"/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Cyclical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Volatile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IF(B118=0,"",RANK(B118,$B$2:$B$180,0))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DYNAMATECH</t>
        </is>
      </c>
      <c r="D118" s="31" t="inlineStr">
        <is>
          <t>Dynamatic Technologies Limited</t>
        </is>
      </c>
      <c r="E118" s="31" t="inlineStr">
        <is>
          <t>aerospace &amp; defence</t>
        </is>
      </c>
      <c r="F118" s="31" t="inlineStr">
        <is>
          <t>engineering</t>
        </is>
      </c>
      <c r="G118" s="31" t="inlineStr">
        <is>
          <t>midcap</t>
        </is>
      </c>
      <c r="H118" s="32" t="n">
        <v>9342.309999999999</v>
      </c>
      <c r="I118" s="32" t="n">
        <v>13756</v>
      </c>
      <c r="J118" s="32" t="n">
        <v>1.07</v>
      </c>
      <c r="K118" s="32" t="n">
        <v>42592</v>
      </c>
      <c r="L118" s="31" t="n">
        <v>55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71.03</v>
      </c>
      <c r="P118" s="32" t="n">
        <v>29.22</v>
      </c>
      <c r="Q118" s="32" t="n">
        <v>10602.05</v>
      </c>
      <c r="R118" s="31" t="inlineStr">
        <is>
          <t>Volume Spike &amp; Near 52W High Breakout</t>
        </is>
      </c>
      <c r="S118" s="31" t="inlineStr">
        <is>
          <t>Nifty 50</t>
        </is>
      </c>
      <c r="T118" s="32" t="n">
        <v>-9.93</v>
      </c>
      <c r="U118" s="32" t="n">
        <v>96.81</v>
      </c>
      <c r="V118" s="32" t="n">
        <v>118.51</v>
      </c>
      <c r="W118" s="32" t="n">
        <v>22.45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IF(B119=0,"",RANK(B119,$B$2:$B$180,0))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TDPOWERSYS</t>
        </is>
      </c>
      <c r="D119" s="31" t="inlineStr">
        <is>
          <t>Td Power Systems Limited</t>
        </is>
      </c>
      <c r="E119" s="31" t="inlineStr">
        <is>
          <t>industrials</t>
        </is>
      </c>
      <c r="F119" s="31" t="inlineStr">
        <is>
          <t>electric equipment</t>
        </is>
      </c>
      <c r="G119" s="31" t="inlineStr">
        <is>
          <t>midcap</t>
        </is>
      </c>
      <c r="H119" s="32" t="n">
        <v>12375.64</v>
      </c>
      <c r="I119" s="32" t="n">
        <v>792.15</v>
      </c>
      <c r="J119" s="32" t="n">
        <v>0.78</v>
      </c>
      <c r="K119" s="32" t="n">
        <v>5370306</v>
      </c>
      <c r="L119" s="31" t="n">
        <v>73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68.22</v>
      </c>
      <c r="P119" s="32" t="n">
        <v>17.87</v>
      </c>
      <c r="Q119" s="32" t="n">
        <v>577.99</v>
      </c>
      <c r="R119" s="31" t="inlineStr">
        <is>
          <t>Volume Spike &amp; Near 52W High Breakout</t>
        </is>
      </c>
      <c r="S119" s="31" t="inlineStr">
        <is>
          <t>Nifty 50</t>
        </is>
      </c>
      <c r="T119" s="32" t="n">
        <v>-9.93</v>
      </c>
      <c r="U119" s="32" t="n">
        <v>147.26</v>
      </c>
      <c r="V119" s="32" t="n">
        <v>174.52</v>
      </c>
      <c r="W119" s="32" t="n">
        <v>30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0 to 20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IF(B120=0,"",RANK(B120,$B$2:$B$180,0))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ALICON</t>
        </is>
      </c>
      <c r="D120" s="31" t="inlineStr">
        <is>
          <t>Alicon Castalloy Limited</t>
        </is>
      </c>
      <c r="E120" s="31" t="inlineStr">
        <is>
          <t>castings, forgings &amp; fasteners</t>
        </is>
      </c>
      <c r="F120" s="31" t="inlineStr">
        <is>
          <t>castings &amp; forgings</t>
        </is>
      </c>
      <c r="G120" s="31" t="inlineStr">
        <is>
          <t>smallcap</t>
        </is>
      </c>
      <c r="H120" s="32" t="n">
        <v>1431.03</v>
      </c>
      <c r="I120" s="32" t="n">
        <v>871.95</v>
      </c>
      <c r="J120" s="32" t="n">
        <v>0.25</v>
      </c>
      <c r="K120" s="32" t="n">
        <v>864818</v>
      </c>
      <c r="L120" s="31" t="n">
        <v>27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70.05</v>
      </c>
      <c r="P120" s="32" t="n">
        <v>19.18</v>
      </c>
      <c r="Q120" s="32" t="n">
        <v>675.64</v>
      </c>
      <c r="R120" s="31" t="inlineStr">
        <is>
          <t>Volume Spike &amp; Near 52W High Breakout</t>
        </is>
      </c>
      <c r="S120" s="31" t="inlineStr">
        <is>
          <t>Nifty 50</t>
        </is>
      </c>
      <c r="T120" s="32" t="n">
        <v>-9.93</v>
      </c>
      <c r="U120" s="32" t="n">
        <v>3.48</v>
      </c>
      <c r="V120" s="32" t="n">
        <v>14.89</v>
      </c>
      <c r="W120" s="32" t="n">
        <v>10.01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Between 1.5 to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IF(B121=0,"",RANK(B121,$B$2:$B$180,0))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NEOGEN</t>
        </is>
      </c>
      <c r="D121" s="31" t="inlineStr">
        <is>
          <t>Neogen Chemicals Ltd</t>
        </is>
      </c>
      <c r="E121" s="31" t="inlineStr">
        <is>
          <t>chemicals</t>
        </is>
      </c>
      <c r="F121" s="31" t="inlineStr">
        <is>
          <t>chemicals</t>
        </is>
      </c>
      <c r="G121" s="31" t="inlineStr">
        <is>
          <t>midcap</t>
        </is>
      </c>
      <c r="H121" s="32" t="n">
        <v>7231.51</v>
      </c>
      <c r="I121" s="32" t="n">
        <v>2407.1</v>
      </c>
      <c r="J121" s="32" t="n">
        <v>-1.82</v>
      </c>
      <c r="K121" s="32" t="n">
        <v>103868</v>
      </c>
      <c r="L121" s="31" t="n">
        <v>46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67.59999999999999</v>
      </c>
      <c r="P121" s="32" t="n">
        <v>59.21</v>
      </c>
      <c r="Q121" s="32" t="n">
        <v>1888.42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-9.93</v>
      </c>
      <c r="U121" s="32" t="n">
        <v>60.62</v>
      </c>
      <c r="V121" s="32" t="n">
        <v>78.33</v>
      </c>
      <c r="W121" s="32" t="n">
        <v>18.03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More than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IF(B122=0,"",RANK(B122,$B$2:$B$180,0))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GESHIP</t>
        </is>
      </c>
      <c r="D122" s="31" t="inlineStr">
        <is>
          <t>The Great Eastern Shipping Company Limited</t>
        </is>
      </c>
      <c r="E122" s="31" t="inlineStr">
        <is>
          <t>transportation</t>
        </is>
      </c>
      <c r="F122" s="31" t="inlineStr">
        <is>
          <t>shipping</t>
        </is>
      </c>
      <c r="G122" s="31" t="inlineStr">
        <is>
          <t>largecap</t>
        </is>
      </c>
      <c r="H122" s="32" t="n">
        <v>21851.94</v>
      </c>
      <c r="I122" s="32" t="n">
        <v>1530.6</v>
      </c>
      <c r="J122" s="32" t="n">
        <v>-1.88</v>
      </c>
      <c r="K122" s="32" t="n">
        <v>574389</v>
      </c>
      <c r="L122" s="31" t="n">
        <v>30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61.29</v>
      </c>
      <c r="P122" s="32" t="n">
        <v>24.28</v>
      </c>
      <c r="Q122" s="32" t="n">
        <v>1205.88</v>
      </c>
      <c r="R122" s="31" t="inlineStr">
        <is>
          <t>Earnings / Momentum Support</t>
        </is>
      </c>
      <c r="S122" s="31" t="inlineStr">
        <is>
          <t>Nifty 50</t>
        </is>
      </c>
      <c r="T122" s="32" t="n">
        <v>-9.93</v>
      </c>
      <c r="U122" s="32" t="n">
        <v>49.72</v>
      </c>
      <c r="V122" s="32" t="n">
        <v>66.23</v>
      </c>
      <c r="W122" s="32" t="n">
        <v>10.4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IF(B123=0,"",RANK(B123,$B$2:$B$180,0))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NAZARA</t>
        </is>
      </c>
      <c r="D123" s="31" t="inlineStr">
        <is>
          <t>Nazara Technologies Ltd</t>
        </is>
      </c>
      <c r="E123" s="31" t="inlineStr">
        <is>
          <t>i.t</t>
        </is>
      </c>
      <c r="F123" s="31" t="inlineStr">
        <is>
          <t>telecommunications - service provider</t>
        </is>
      </c>
      <c r="G123" s="31" t="inlineStr">
        <is>
          <t>midcap</t>
        </is>
      </c>
      <c r="H123" s="32" t="n">
        <v>14799.26</v>
      </c>
      <c r="I123" s="32" t="n">
        <v>384.7</v>
      </c>
      <c r="J123" s="32" t="n">
        <v>-2.07</v>
      </c>
      <c r="K123" s="32" t="n">
        <v>1314362</v>
      </c>
      <c r="L123" s="31" t="n">
        <v>35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75.76000000000001</v>
      </c>
      <c r="P123" s="32" t="n">
        <v>33.44</v>
      </c>
      <c r="Q123" s="32" t="n">
        <v>314.75</v>
      </c>
      <c r="R123" s="31" t="inlineStr">
        <is>
          <t>Near 52W High Breakout</t>
        </is>
      </c>
      <c r="S123" s="31" t="inlineStr">
        <is>
          <t>Nifty IT</t>
        </is>
      </c>
      <c r="T123" s="32" t="n">
        <v>-16.63</v>
      </c>
      <c r="U123" s="32" t="n">
        <v>37.19</v>
      </c>
      <c r="V123" s="32" t="n">
        <v>64.56</v>
      </c>
      <c r="W123" s="32" t="n">
        <v>13.2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Oligopoly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IF(B124=0,"",RANK(B124,$B$2:$B$180,0))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SAMBHV</t>
        </is>
      </c>
      <c r="D124" s="31" t="inlineStr">
        <is>
          <t>Sambhv Steel Tubes Ltd</t>
        </is>
      </c>
      <c r="E124" s="31" t="inlineStr">
        <is>
          <t>metals &amp; mining</t>
        </is>
      </c>
      <c r="F124" s="31" t="inlineStr">
        <is>
          <t>steel - medium / small</t>
        </is>
      </c>
      <c r="G124" s="31" t="inlineStr">
        <is>
          <t>smallcap</t>
        </is>
      </c>
      <c r="H124" s="32" t="n">
        <v>4757.47</v>
      </c>
      <c r="I124" s="32" t="n">
        <v>161.45</v>
      </c>
      <c r="J124" s="32" t="n">
        <v>-2.09</v>
      </c>
      <c r="K124" s="32" t="n">
        <v>3619878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78.98999999999999</v>
      </c>
      <c r="P124" s="32" t="n">
        <v>45.76</v>
      </c>
      <c r="Q124" s="32" t="n">
        <v>126.12</v>
      </c>
      <c r="R124" s="31" t="inlineStr">
        <is>
          <t>Near 52W High Breakout</t>
        </is>
      </c>
      <c r="S124" s="31" t="inlineStr">
        <is>
          <t>Nifty Metal</t>
        </is>
      </c>
      <c r="T124" s="32" t="inlineStr"/>
      <c r="U124" s="32" t="inlineStr"/>
      <c r="V124" s="32" t="inlineStr"/>
      <c r="W124" s="32" t="inlineStr"/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Cyclical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Volatile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IF(B125=0,"",RANK(B125,$B$2:$B$180,0))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JASH</t>
        </is>
      </c>
      <c r="D125" s="31" t="inlineStr">
        <is>
          <t>Jash Engineering Ltd</t>
        </is>
      </c>
      <c r="E125" s="31" t="inlineStr">
        <is>
          <t>industrials</t>
        </is>
      </c>
      <c r="F125" s="31" t="inlineStr">
        <is>
          <t>engineering</t>
        </is>
      </c>
      <c r="G125" s="31" t="inlineStr">
        <is>
          <t>smallcap</t>
        </is>
      </c>
      <c r="H125" s="32" t="n">
        <v>3641.85</v>
      </c>
      <c r="I125" s="32" t="n">
        <v>576.3</v>
      </c>
      <c r="J125" s="32" t="n">
        <v>-2.59</v>
      </c>
      <c r="K125" s="32" t="n">
        <v>408620</v>
      </c>
      <c r="L125" s="31" t="n">
        <v>24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66.5</v>
      </c>
      <c r="P125" s="32" t="n">
        <v>21.12</v>
      </c>
      <c r="Q125" s="32" t="n">
        <v>459.03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-9.93</v>
      </c>
      <c r="U125" s="32" t="n">
        <v>22.16</v>
      </c>
      <c r="V125" s="32" t="n">
        <v>35.63</v>
      </c>
      <c r="W125" s="32" t="n">
        <v>9.15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IF(B126=0,"",RANK(B126,$B$2:$B$180,0))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TEXRAIL</t>
        </is>
      </c>
      <c r="D126" s="31" t="inlineStr">
        <is>
          <t>Texmaco Rail &amp; Engineering Limited</t>
        </is>
      </c>
      <c r="E126" s="31" t="inlineStr">
        <is>
          <t>industrials</t>
        </is>
      </c>
      <c r="F126" s="31" t="inlineStr">
        <is>
          <t>engineering</t>
        </is>
      </c>
      <c r="G126" s="31" t="inlineStr">
        <is>
          <t>midcap</t>
        </is>
      </c>
      <c r="H126" s="32" t="n">
        <v>5161.48</v>
      </c>
      <c r="I126" s="32" t="n">
        <v>126.86</v>
      </c>
      <c r="J126" s="32" t="n">
        <v>-3.7</v>
      </c>
      <c r="K126" s="32" t="n">
        <v>4419603</v>
      </c>
      <c r="L126" s="31" t="n">
        <v>7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63.38</v>
      </c>
      <c r="P126" s="32" t="n">
        <v>14.52</v>
      </c>
      <c r="Q126" s="32" t="n">
        <v>97.36</v>
      </c>
      <c r="R126" s="31" t="inlineStr">
        <is>
          <t>Volume Spike / Accumulation</t>
        </is>
      </c>
      <c r="S126" s="31" t="inlineStr">
        <is>
          <t>Nifty 50</t>
        </is>
      </c>
      <c r="T126" s="32" t="n">
        <v>-9.93</v>
      </c>
      <c r="U126" s="32" t="n">
        <v>-8.91</v>
      </c>
      <c r="V126" s="32" t="n">
        <v>1.13</v>
      </c>
      <c r="W126" s="32" t="n">
        <v>3.14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IF(B127=0,"",RANK(B127,$B$2:$B$180,0))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MUKANDLTD</t>
        </is>
      </c>
      <c r="D127" s="31" t="inlineStr">
        <is>
          <t>Mukand Limited</t>
        </is>
      </c>
      <c r="E127" s="31" t="inlineStr">
        <is>
          <t>metals &amp; mining</t>
        </is>
      </c>
      <c r="F127" s="31" t="inlineStr">
        <is>
          <t>steel - medium / small</t>
        </is>
      </c>
      <c r="G127" s="31" t="inlineStr">
        <is>
          <t>smallcap</t>
        </is>
      </c>
      <c r="H127" s="32" t="n">
        <v>2494.86</v>
      </c>
      <c r="I127" s="32" t="n">
        <v>172.66</v>
      </c>
      <c r="J127" s="32" t="n">
        <v>-4.15</v>
      </c>
      <c r="K127" s="32" t="n">
        <v>858946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71.23999999999999</v>
      </c>
      <c r="P127" s="32" t="n">
        <v>40.03</v>
      </c>
      <c r="Q127" s="32" t="n">
        <v>135.57</v>
      </c>
      <c r="R127" s="31" t="inlineStr">
        <is>
          <t>Volume Spike &amp; Near 52W High Breakout</t>
        </is>
      </c>
      <c r="S127" s="31" t="inlineStr">
        <is>
          <t>Nifty Metal</t>
        </is>
      </c>
      <c r="T127" s="32" t="inlineStr"/>
      <c r="U127" s="32" t="inlineStr"/>
      <c r="V127" s="32" t="inlineStr"/>
      <c r="W127" s="32" t="inlineStr"/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IF(B128=0,"",RANK(B128,$B$2:$B$180,0))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AXISCADES</t>
        </is>
      </c>
      <c r="D128" s="31" t="inlineStr">
        <is>
          <t>AXISCADES Technologies Ltd</t>
        </is>
      </c>
      <c r="E128" s="31" t="inlineStr">
        <is>
          <t>aerospace &amp; defence</t>
        </is>
      </c>
      <c r="F128" s="31" t="inlineStr">
        <is>
          <t>computers - software - medium / small</t>
        </is>
      </c>
      <c r="G128" s="31" t="inlineStr">
        <is>
          <t>midcap</t>
        </is>
      </c>
      <c r="H128" s="32" t="n">
        <v>9813.18</v>
      </c>
      <c r="I128" s="32" t="n">
        <v>2307.3</v>
      </c>
      <c r="J128" s="32" t="n">
        <v>3.41</v>
      </c>
      <c r="K128" s="32" t="n">
        <v>681040</v>
      </c>
      <c r="L128" s="31" t="n">
        <v>42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71.45999999999999</v>
      </c>
      <c r="P128" s="32" t="n">
        <v>12.86</v>
      </c>
      <c r="Q128" s="32" t="n">
        <v>1707</v>
      </c>
      <c r="R128" s="31" t="inlineStr">
        <is>
          <t>Volume Spike &amp; Near 52W High Breakout</t>
        </is>
      </c>
      <c r="S128" s="31" t="inlineStr">
        <is>
          <t>Nifty IT</t>
        </is>
      </c>
      <c r="T128" s="32" t="n">
        <v>-16.63</v>
      </c>
      <c r="U128" s="32" t="n">
        <v>35.5</v>
      </c>
      <c r="V128" s="32" t="n">
        <v>62.52</v>
      </c>
      <c r="W128" s="32" t="n">
        <v>16.15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IF(B129=0,"",RANK(B129,$B$2:$B$180,0))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VALIANTLAB</t>
        </is>
      </c>
      <c r="D129" s="31" t="inlineStr">
        <is>
          <t>Valiant Laboratories Ltd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smallcap</t>
        </is>
      </c>
      <c r="H129" s="32" t="n">
        <v>679.34</v>
      </c>
      <c r="I129" s="32" t="n">
        <v>125.08</v>
      </c>
      <c r="J129" s="32" t="n">
        <v>-0.91</v>
      </c>
      <c r="K129" s="32" t="n">
        <v>163055</v>
      </c>
      <c r="L129" s="31" t="n">
        <v>78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76.54000000000001</v>
      </c>
      <c r="P129" s="32" t="n">
        <v>32.72</v>
      </c>
      <c r="Q129" s="32" t="n">
        <v>93.84</v>
      </c>
      <c r="R129" s="31" t="inlineStr">
        <is>
          <t>Near 52W High Breakout</t>
        </is>
      </c>
      <c r="S129" s="31" t="inlineStr">
        <is>
          <t>Nifty Pharma</t>
        </is>
      </c>
      <c r="T129" s="32" t="n">
        <v>20.94</v>
      </c>
      <c r="U129" s="32" t="n">
        <v>47.69</v>
      </c>
      <c r="V129" s="32" t="n">
        <v>22.12</v>
      </c>
      <c r="W129" s="32" t="n">
        <v>31.85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IF(B130=0,"",RANK(B130,$B$2:$B$180,0))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SMSPHARMA</t>
        </is>
      </c>
      <c r="D130" s="31" t="inlineStr">
        <is>
          <t>Sms Pharmaceuticals Limited</t>
        </is>
      </c>
      <c r="E130" s="31" t="inlineStr">
        <is>
          <t>healthcare</t>
        </is>
      </c>
      <c r="F130" s="31" t="inlineStr">
        <is>
          <t>pharmaceuticals - indian - bulk drugs</t>
        </is>
      </c>
      <c r="G130" s="31" t="inlineStr">
        <is>
          <t>smallcap</t>
        </is>
      </c>
      <c r="H130" s="32" t="n">
        <v>4413.82</v>
      </c>
      <c r="I130" s="32" t="n">
        <v>471.3</v>
      </c>
      <c r="J130" s="32" t="n">
        <v>-1.11</v>
      </c>
      <c r="K130" s="32" t="n">
        <v>393944</v>
      </c>
      <c r="L130" s="31" t="n">
        <v>39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66.31</v>
      </c>
      <c r="P130" s="32" t="n">
        <v>35.73</v>
      </c>
      <c r="Q130" s="32" t="n">
        <v>356.5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20.94</v>
      </c>
      <c r="U130" s="32" t="n">
        <v>75.33</v>
      </c>
      <c r="V130" s="32" t="n">
        <v>44.97</v>
      </c>
      <c r="W130" s="32" t="n">
        <v>14.52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IF(B131=0,"",RANK(B131,$B$2:$B$180,0))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SHIVALIK</t>
        </is>
      </c>
      <c r="D131" s="31" t="inlineStr">
        <is>
          <t>Shivalik Rasayan Ltd</t>
        </is>
      </c>
      <c r="E131" s="31" t="inlineStr">
        <is>
          <t>chemicals</t>
        </is>
      </c>
      <c r="F131" s="31" t="inlineStr">
        <is>
          <t>pesticides / agrochemicals - indian</t>
        </is>
      </c>
      <c r="G131" s="31" t="inlineStr">
        <is>
          <t>smallcap</t>
        </is>
      </c>
      <c r="H131" s="32" t="n">
        <v>631.76</v>
      </c>
      <c r="I131" s="32" t="n">
        <v>394.05</v>
      </c>
      <c r="J131" s="32" t="n">
        <v>-2.33</v>
      </c>
      <c r="K131" s="32" t="n">
        <v>99182</v>
      </c>
      <c r="L131" s="31" t="n">
        <v>47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70.36</v>
      </c>
      <c r="P131" s="32" t="n">
        <v>31.08</v>
      </c>
      <c r="Q131" s="32" t="n">
        <v>280.86</v>
      </c>
      <c r="R131" s="31" t="inlineStr">
        <is>
          <t>Earnings / Momentum Support</t>
        </is>
      </c>
      <c r="S131" s="31" t="inlineStr">
        <is>
          <t>Nifty 50</t>
        </is>
      </c>
      <c r="T131" s="32" t="n">
        <v>-9.93</v>
      </c>
      <c r="U131" s="32" t="n">
        <v>-9.279999999999999</v>
      </c>
      <c r="V131" s="32" t="n">
        <v>0.72</v>
      </c>
      <c r="W131" s="32" t="n">
        <v>19.07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Monopoly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Shallow Cyclical (2 to 3 Years Growth)</t>
        </is>
      </c>
      <c r="AG131" s="31">
        <f>IF(AF131="Structural (10 Years Consistency)",10,IF(AF131="Shallow Cyclical (2 to 3 years growth)",5,0))</f>
        <v/>
      </c>
      <c r="AH131" s="31" t="inlineStr">
        <is>
          <t>Yes due to Product Mix change or Operating Leverage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Fully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Yes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IF(B132=0,"",RANK(B132,$B$2:$B$180,0))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STLTECH</t>
        </is>
      </c>
      <c r="D132" s="31" t="inlineStr">
        <is>
          <t>Sterlite Technologies Limited</t>
        </is>
      </c>
      <c r="E132" s="31" t="inlineStr">
        <is>
          <t>industrials</t>
        </is>
      </c>
      <c r="F132" s="31" t="inlineStr">
        <is>
          <t>cables - telephone</t>
        </is>
      </c>
      <c r="G132" s="31" t="inlineStr">
        <is>
          <t>largecap</t>
        </is>
      </c>
      <c r="H132" s="32" t="n">
        <v>49095.07</v>
      </c>
      <c r="I132" s="32" t="n">
        <v>955.35</v>
      </c>
      <c r="J132" s="32" t="n">
        <v>5</v>
      </c>
      <c r="K132" s="32" t="n">
        <v>5594054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78.16</v>
      </c>
      <c r="P132" s="32" t="n">
        <v>70.89</v>
      </c>
      <c r="Q132" s="32" t="n">
        <v>696.0700000000001</v>
      </c>
      <c r="R132" s="31" t="inlineStr">
        <is>
          <t>Volume Spike &amp; Near 52W High Breakout</t>
        </is>
      </c>
      <c r="S132" s="31" t="inlineStr">
        <is>
          <t>Nifty Infra</t>
        </is>
      </c>
      <c r="T132" s="32" t="inlineStr"/>
      <c r="U132" s="32" t="inlineStr"/>
      <c r="V132" s="32" t="inlineStr"/>
      <c r="W132" s="32" t="inlineStr"/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IF(B133=0,"",RANK(B133,$B$2:$B$180,0))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PRECWIRE</t>
        </is>
      </c>
      <c r="D133" s="31" t="inlineStr">
        <is>
          <t>Precision Wires India Limited</t>
        </is>
      </c>
      <c r="E133" s="31" t="inlineStr">
        <is>
          <t>metals &amp; mining</t>
        </is>
      </c>
      <c r="F133" s="31" t="inlineStr">
        <is>
          <t>mining / minerals / metals</t>
        </is>
      </c>
      <c r="G133" s="31" t="inlineStr">
        <is>
          <t>midcap</t>
        </is>
      </c>
      <c r="H133" s="32" t="n">
        <v>9165.99</v>
      </c>
      <c r="I133" s="32" t="n">
        <v>501.4</v>
      </c>
      <c r="J133" s="32" t="n">
        <v>1.82</v>
      </c>
      <c r="K133" s="32" t="n">
        <v>696872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66.36</v>
      </c>
      <c r="P133" s="32" t="n">
        <v>37.6</v>
      </c>
      <c r="Q133" s="32" t="n">
        <v>368.79</v>
      </c>
      <c r="R133" s="31" t="inlineStr">
        <is>
          <t>Near 52W High Breakout</t>
        </is>
      </c>
      <c r="S133" s="31" t="inlineStr">
        <is>
          <t>Nifty Metal</t>
        </is>
      </c>
      <c r="T133" s="32" t="inlineStr"/>
      <c r="U133" s="32" t="inlineStr"/>
      <c r="V133" s="32" t="inlineStr"/>
      <c r="W133" s="32" t="inlineStr"/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Cyclical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Volatile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IF(B134=0,"",RANK(B134,$B$2:$B$180,0))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MANINDS</t>
        </is>
      </c>
      <c r="D134" s="31" t="inlineStr">
        <is>
          <t>Man Industries (india) Limited</t>
        </is>
      </c>
      <c r="E134" s="31" t="inlineStr">
        <is>
          <t>metals &amp; mining</t>
        </is>
      </c>
      <c r="F134" s="31" t="inlineStr">
        <is>
          <t>steel - medium / small</t>
        </is>
      </c>
      <c r="G134" s="31" t="inlineStr">
        <is>
          <t>midcap</t>
        </is>
      </c>
      <c r="H134" s="32" t="n">
        <v>6912.51</v>
      </c>
      <c r="I134" s="32" t="n">
        <v>921.55</v>
      </c>
      <c r="J134" s="32" t="n">
        <v>1.57</v>
      </c>
      <c r="K134" s="32" t="n">
        <v>998005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71.44</v>
      </c>
      <c r="P134" s="32" t="n">
        <v>43.19</v>
      </c>
      <c r="Q134" s="32" t="n">
        <v>754.14</v>
      </c>
      <c r="R134" s="31" t="inlineStr">
        <is>
          <t>Earnings / Momentum Support</t>
        </is>
      </c>
      <c r="S134" s="31" t="inlineStr">
        <is>
          <t>Nifty Metal</t>
        </is>
      </c>
      <c r="T134" s="32" t="inlineStr"/>
      <c r="U134" s="32" t="inlineStr"/>
      <c r="V134" s="32" t="inlineStr"/>
      <c r="W134" s="32" t="inlineStr"/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Cyclical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IF(B135=0,"",RANK(B135,$B$2:$B$180,0))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HARSHA</t>
        </is>
      </c>
      <c r="D135" s="31" t="inlineStr">
        <is>
          <t>Harsha Engineers International Ltd</t>
        </is>
      </c>
      <c r="E135" s="31" t="inlineStr">
        <is>
          <t>industrials</t>
        </is>
      </c>
      <c r="F135" s="31" t="inlineStr">
        <is>
          <t>engineering</t>
        </is>
      </c>
      <c r="G135" s="31" t="inlineStr">
        <is>
          <t>smallcap</t>
        </is>
      </c>
      <c r="H135" s="32" t="n">
        <v>4320.04</v>
      </c>
      <c r="I135" s="32" t="n">
        <v>474.5</v>
      </c>
      <c r="J135" s="32" t="n">
        <v>0.89</v>
      </c>
      <c r="K135" s="32" t="n">
        <v>401993</v>
      </c>
      <c r="L135" s="31" t="n">
        <v>18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65.81999999999999</v>
      </c>
      <c r="P135" s="32" t="n">
        <v>34.6</v>
      </c>
      <c r="Q135" s="32" t="n">
        <v>378.85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-9.93</v>
      </c>
      <c r="U135" s="32" t="n">
        <v>19.52</v>
      </c>
      <c r="V135" s="32" t="n">
        <v>32.7</v>
      </c>
      <c r="W135" s="32" t="n">
        <v>7.33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IF(B136=0,"",RANK(B136,$B$2:$B$180,0))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RPEL</t>
        </is>
      </c>
      <c r="D136" s="31" t="inlineStr">
        <is>
          <t>Raghav Productivity Enhancers Ltd</t>
        </is>
      </c>
      <c r="E136" s="31" t="inlineStr">
        <is>
          <t>building materials</t>
        </is>
      </c>
      <c r="F136" s="31" t="inlineStr">
        <is>
          <t>refractories / intermediates</t>
        </is>
      </c>
      <c r="G136" s="31" t="inlineStr">
        <is>
          <t>midcap</t>
        </is>
      </c>
      <c r="H136" s="32" t="n">
        <v>8352.74</v>
      </c>
      <c r="I136" s="32" t="n">
        <v>1818.9</v>
      </c>
      <c r="J136" s="32" t="n">
        <v>0.55</v>
      </c>
      <c r="K136" s="32" t="n">
        <v>180052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73.97</v>
      </c>
      <c r="P136" s="32" t="n">
        <v>62.51</v>
      </c>
      <c r="Q136" s="32" t="n">
        <v>1356.05</v>
      </c>
      <c r="R136" s="31" t="inlineStr">
        <is>
          <t>Near 52W High Breakout</t>
        </is>
      </c>
      <c r="S136" s="31" t="inlineStr">
        <is>
          <t>Nifty Infra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Between 1.5 to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IF(B137=0,"",RANK(B137,$B$2:$B$180,0))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MTARTECH</t>
        </is>
      </c>
      <c r="D137" s="31" t="inlineStr">
        <is>
          <t>MTAR Technologies Ltd</t>
        </is>
      </c>
      <c r="E137" s="31" t="inlineStr">
        <is>
          <t>aerospace &amp; defence</t>
        </is>
      </c>
      <c r="F137" s="31" t="inlineStr">
        <is>
          <t>engineering</t>
        </is>
      </c>
      <c r="G137" s="31" t="inlineStr">
        <is>
          <t>largecap</t>
        </is>
      </c>
      <c r="H137" s="32" t="n">
        <v>23983.25</v>
      </c>
      <c r="I137" s="32" t="n">
        <v>7797</v>
      </c>
      <c r="J137" s="32" t="n">
        <v>0</v>
      </c>
      <c r="K137" s="32" t="n">
        <v>283715</v>
      </c>
      <c r="L137" s="31" t="n">
        <v>87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63.94</v>
      </c>
      <c r="P137" s="32" t="n">
        <v>18.42</v>
      </c>
      <c r="Q137" s="32" t="n">
        <v>5372.16</v>
      </c>
      <c r="R137" s="31" t="inlineStr">
        <is>
          <t>Volume Spike / Accumulation</t>
        </is>
      </c>
      <c r="S137" s="31" t="inlineStr">
        <is>
          <t>Nifty 50</t>
        </is>
      </c>
      <c r="T137" s="32" t="n">
        <v>-9.93</v>
      </c>
      <c r="U137" s="32" t="n">
        <v>301.37</v>
      </c>
      <c r="V137" s="32" t="n">
        <v>345.63</v>
      </c>
      <c r="W137" s="32" t="n">
        <v>38.18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IF(B138=0,"",RANK(B138,$B$2:$B$180,0))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PRIVISCL</t>
        </is>
      </c>
      <c r="D138" s="31" t="inlineStr">
        <is>
          <t>Privi Speciality Chemicals Ltd</t>
        </is>
      </c>
      <c r="E138" s="31" t="inlineStr">
        <is>
          <t>chemicals</t>
        </is>
      </c>
      <c r="F138" s="31" t="inlineStr">
        <is>
          <t>chemicals</t>
        </is>
      </c>
      <c r="G138" s="31" t="inlineStr">
        <is>
          <t>midcap</t>
        </is>
      </c>
      <c r="H138" s="32" t="n">
        <v>13957.1</v>
      </c>
      <c r="I138" s="32" t="n">
        <v>3573</v>
      </c>
      <c r="J138" s="32" t="n">
        <v>-0.38</v>
      </c>
      <c r="K138" s="32" t="n">
        <v>135556</v>
      </c>
      <c r="L138" s="31" t="n">
        <v>19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57.25</v>
      </c>
      <c r="P138" s="32" t="n">
        <v>17.91</v>
      </c>
      <c r="Q138" s="32" t="n">
        <v>3059.27</v>
      </c>
      <c r="R138" s="31" t="inlineStr">
        <is>
          <t>Volume Spike &amp; Near 52W High Breakout</t>
        </is>
      </c>
      <c r="S138" s="31" t="inlineStr">
        <is>
          <t>Nifty 50</t>
        </is>
      </c>
      <c r="T138" s="32" t="n">
        <v>-9.93</v>
      </c>
      <c r="U138" s="32" t="n">
        <v>47.81</v>
      </c>
      <c r="V138" s="32" t="n">
        <v>64.11</v>
      </c>
      <c r="W138" s="32" t="n">
        <v>7.98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IF(B139=0,"",RANK(B139,$B$2:$B$180,0))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ARIES</t>
        </is>
      </c>
      <c r="D139" s="31" t="inlineStr">
        <is>
          <t>Aries Agro Limited</t>
        </is>
      </c>
      <c r="E139" s="31" t="inlineStr">
        <is>
          <t>chemicals</t>
        </is>
      </c>
      <c r="F139" s="31" t="inlineStr">
        <is>
          <t>fertilizers</t>
        </is>
      </c>
      <c r="G139" s="31" t="inlineStr">
        <is>
          <t>smallcap</t>
        </is>
      </c>
      <c r="H139" s="32" t="n">
        <v>620.83</v>
      </c>
      <c r="I139" s="32" t="n">
        <v>477.4</v>
      </c>
      <c r="J139" s="32" t="n">
        <v>-0.66</v>
      </c>
      <c r="K139" s="32" t="n">
        <v>27860</v>
      </c>
      <c r="L139" s="31" t="n">
        <v>39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72.45</v>
      </c>
      <c r="P139" s="32" t="n">
        <v>39.46</v>
      </c>
      <c r="Q139" s="32" t="n">
        <v>383.66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-9.93</v>
      </c>
      <c r="U139" s="32" t="n">
        <v>30.99</v>
      </c>
      <c r="V139" s="32" t="n">
        <v>45.44</v>
      </c>
      <c r="W139" s="32" t="n">
        <v>15.11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IF(B140=0,"",RANK(B140,$B$2:$B$180,0))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QPOWER</t>
        </is>
      </c>
      <c r="D140" s="31" t="inlineStr">
        <is>
          <t>Quality Power Electrical Equipments Ltd</t>
        </is>
      </c>
      <c r="E140" s="31" t="inlineStr">
        <is>
          <t>industrials</t>
        </is>
      </c>
      <c r="F140" s="31" t="inlineStr">
        <is>
          <t>electric equipment</t>
        </is>
      </c>
      <c r="G140" s="31" t="inlineStr">
        <is>
          <t>midcap</t>
        </is>
      </c>
      <c r="H140" s="32" t="n">
        <v>12116.9</v>
      </c>
      <c r="I140" s="32" t="n">
        <v>1564.6</v>
      </c>
      <c r="J140" s="32" t="n">
        <v>-1.27</v>
      </c>
      <c r="K140" s="32" t="n">
        <v>317871</v>
      </c>
      <c r="L140" s="31" t="n">
        <v>45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67.18000000000001</v>
      </c>
      <c r="P140" s="32" t="n">
        <v>19.68</v>
      </c>
      <c r="Q140" s="32" t="n">
        <v>1128.36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-9.93</v>
      </c>
      <c r="U140" s="32" t="n">
        <v>49.81</v>
      </c>
      <c r="V140" s="32" t="n">
        <v>66.33</v>
      </c>
      <c r="W140" s="32" t="n">
        <v>17.94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Between 1.5 to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IF(B141=0,"",RANK(B141,$B$2:$B$180,0))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SATIA</t>
        </is>
      </c>
      <c r="D141" s="31" t="inlineStr">
        <is>
          <t>Satia Industries Ltd</t>
        </is>
      </c>
      <c r="E141" s="31" t="inlineStr">
        <is>
          <t>building materials</t>
        </is>
      </c>
      <c r="F141" s="31" t="inlineStr">
        <is>
          <t>paper</t>
        </is>
      </c>
      <c r="G141" s="31" t="inlineStr">
        <is>
          <t>smallcap</t>
        </is>
      </c>
      <c r="H141" s="32" t="n">
        <v>683.4</v>
      </c>
      <c r="I141" s="32" t="n">
        <v>68.34</v>
      </c>
      <c r="J141" s="32" t="n">
        <v>-1.95</v>
      </c>
      <c r="K141" s="32" t="n">
        <v>125480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59.55</v>
      </c>
      <c r="P141" s="32" t="n">
        <v>12.46</v>
      </c>
      <c r="Q141" s="32" t="n">
        <v>53.13</v>
      </c>
      <c r="R141" s="31" t="inlineStr">
        <is>
          <t>Earnings / Momentum Support</t>
        </is>
      </c>
      <c r="S141" s="31" t="inlineStr">
        <is>
          <t>Nifty Infra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IF(B142=0,"",RANK(B142,$B$2:$B$180,0))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KOPRAN</t>
        </is>
      </c>
      <c r="D142" s="31" t="inlineStr">
        <is>
          <t>Kopran Limited</t>
        </is>
      </c>
      <c r="E142" s="31" t="inlineStr">
        <is>
          <t>healthcare</t>
        </is>
      </c>
      <c r="F142" s="31" t="inlineStr">
        <is>
          <t>pharmaceuticals - indian - bulk drugs &amp; formln</t>
        </is>
      </c>
      <c r="G142" s="31" t="inlineStr">
        <is>
          <t>smallcap</t>
        </is>
      </c>
      <c r="H142" s="32" t="n">
        <v>1361.9</v>
      </c>
      <c r="I142" s="32" t="n">
        <v>282.05</v>
      </c>
      <c r="J142" s="32" t="n">
        <v>1.34</v>
      </c>
      <c r="K142" s="32" t="n">
        <v>714330</v>
      </c>
      <c r="L142" s="31" t="n">
        <v>60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78.61</v>
      </c>
      <c r="P142" s="32" t="n">
        <v>44.28</v>
      </c>
      <c r="Q142" s="32" t="n">
        <v>214.25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20.94</v>
      </c>
      <c r="U142" s="32" t="n">
        <v>57.66</v>
      </c>
      <c r="V142" s="32" t="n">
        <v>30.37</v>
      </c>
      <c r="W142" s="32" t="n">
        <v>24.22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IF(B143=0,"",RANK(B143,$B$2:$B$180,0))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CYIENT</t>
        </is>
      </c>
      <c r="D143" s="31" t="inlineStr">
        <is>
          <t>Cyient Limited</t>
        </is>
      </c>
      <c r="E143" s="31" t="inlineStr">
        <is>
          <t>i.t</t>
        </is>
      </c>
      <c r="F143" s="31" t="inlineStr">
        <is>
          <t>computers - software - medium / small</t>
        </is>
      </c>
      <c r="G143" s="31" t="inlineStr">
        <is>
          <t>midcap</t>
        </is>
      </c>
      <c r="H143" s="32" t="n">
        <v>11569.78</v>
      </c>
      <c r="I143" s="32" t="n">
        <v>1104.6</v>
      </c>
      <c r="J143" s="32" t="n">
        <v>0.35</v>
      </c>
      <c r="K143" s="32" t="n">
        <v>594962</v>
      </c>
      <c r="L143" s="31" t="n">
        <v>14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65.48999999999999</v>
      </c>
      <c r="P143" s="32" t="n">
        <v>23.78</v>
      </c>
      <c r="Q143" s="32" t="n">
        <v>877.8099999999999</v>
      </c>
      <c r="R143" s="31" t="inlineStr">
        <is>
          <t>Earnings / Momentum Support</t>
        </is>
      </c>
      <c r="S143" s="31" t="inlineStr">
        <is>
          <t>Nifty IT</t>
        </is>
      </c>
      <c r="T143" s="32" t="n">
        <v>-16.63</v>
      </c>
      <c r="U143" s="32" t="n">
        <v>-3.87</v>
      </c>
      <c r="V143" s="32" t="n">
        <v>15.31</v>
      </c>
      <c r="W143" s="32" t="n">
        <v>5.71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IF(B144=0,"",RANK(B144,$B$2:$B$180,0))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GREENPLY</t>
        </is>
      </c>
      <c r="D144" s="31" t="inlineStr">
        <is>
          <t>Greenply Industries Limited</t>
        </is>
      </c>
      <c r="E144" s="31" t="inlineStr">
        <is>
          <t>building materials</t>
        </is>
      </c>
      <c r="F144" s="31" t="inlineStr">
        <is>
          <t>miscellaneous</t>
        </is>
      </c>
      <c r="G144" s="31" t="inlineStr">
        <is>
          <t>smallcap</t>
        </is>
      </c>
      <c r="H144" s="32" t="n">
        <v>3793.28</v>
      </c>
      <c r="I144" s="32" t="n">
        <v>303.7</v>
      </c>
      <c r="J144" s="32" t="n">
        <v>1.25</v>
      </c>
      <c r="K144" s="32" t="n">
        <v>393933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58.17</v>
      </c>
      <c r="P144" s="32" t="n">
        <v>21.55</v>
      </c>
      <c r="Q144" s="32" t="n">
        <v>245.12</v>
      </c>
      <c r="R144" s="31" t="inlineStr">
        <is>
          <t>Volume Spike &amp; Near 52W High Breakout</t>
        </is>
      </c>
      <c r="S144" s="31" t="inlineStr">
        <is>
          <t>Nifty Infra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IF(B145=0,"",RANK(B145,$B$2:$B$180,0))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YUKEN</t>
        </is>
      </c>
      <c r="D145" s="31" t="inlineStr">
        <is>
          <t>Yuken India Ltd</t>
        </is>
      </c>
      <c r="E145" s="31" t="inlineStr">
        <is>
          <t>industrials</t>
        </is>
      </c>
      <c r="F145" s="31" t="inlineStr">
        <is>
          <t>engineering</t>
        </is>
      </c>
      <c r="G145" s="31" t="inlineStr">
        <is>
          <t>smallcap</t>
        </is>
      </c>
      <c r="H145" s="32" t="n">
        <v>1550.48</v>
      </c>
      <c r="I145" s="32" t="n">
        <v>1141.4</v>
      </c>
      <c r="J145" s="32" t="n">
        <v>0.91</v>
      </c>
      <c r="K145" s="32" t="n">
        <v>15046</v>
      </c>
      <c r="L145" s="31" t="n">
        <v>40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76.76000000000001</v>
      </c>
      <c r="P145" s="32" t="n">
        <v>35.47</v>
      </c>
      <c r="Q145" s="32" t="n">
        <v>896.97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-9.93</v>
      </c>
      <c r="U145" s="32" t="n">
        <v>16.56</v>
      </c>
      <c r="V145" s="32" t="n">
        <v>29.41</v>
      </c>
      <c r="W145" s="32" t="n">
        <v>15.39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IF(B146=0,"",RANK(B146,$B$2:$B$180,0))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ORIENTBELL</t>
        </is>
      </c>
      <c r="D146" s="31" t="inlineStr">
        <is>
          <t>Orient Bell Limited</t>
        </is>
      </c>
      <c r="E146" s="31" t="inlineStr">
        <is>
          <t>building materials</t>
        </is>
      </c>
      <c r="F146" s="31" t="inlineStr">
        <is>
          <t>ceramics - tiles / sanitaryware</t>
        </is>
      </c>
      <c r="G146" s="31" t="inlineStr">
        <is>
          <t>smallcap</t>
        </is>
      </c>
      <c r="H146" s="32" t="n">
        <v>586.29</v>
      </c>
      <c r="I146" s="32" t="n">
        <v>398.55</v>
      </c>
      <c r="J146" s="32" t="n">
        <v>0</v>
      </c>
      <c r="K146" s="32" t="n">
        <v>18312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63.33</v>
      </c>
      <c r="P146" s="32" t="n">
        <v>45.18</v>
      </c>
      <c r="Q146" s="32" t="n">
        <v>323.94</v>
      </c>
      <c r="R146" s="31" t="inlineStr">
        <is>
          <t>Earnings / Momentum Support</t>
        </is>
      </c>
      <c r="S146" s="31" t="inlineStr">
        <is>
          <t>Nifty Infra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IF(B147=0,"",RANK(B147,$B$2:$B$180,0))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TEGA</t>
        </is>
      </c>
      <c r="D147" s="31" t="inlineStr">
        <is>
          <t>Tega Industries Ltd</t>
        </is>
      </c>
      <c r="E147" s="31" t="inlineStr">
        <is>
          <t>industrials</t>
        </is>
      </c>
      <c r="F147" s="31" t="inlineStr">
        <is>
          <t>engineering</t>
        </is>
      </c>
      <c r="G147" s="31" t="inlineStr">
        <is>
          <t>midcap</t>
        </is>
      </c>
      <c r="H147" s="32" t="n">
        <v>15727.23</v>
      </c>
      <c r="I147" s="32" t="n">
        <v>2093.4</v>
      </c>
      <c r="J147" s="32" t="n">
        <v>-0.63</v>
      </c>
      <c r="K147" s="32" t="n">
        <v>408456</v>
      </c>
      <c r="L147" s="31" t="n">
        <v>19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65.48</v>
      </c>
      <c r="P147" s="32" t="n">
        <v>15.2</v>
      </c>
      <c r="Q147" s="32" t="n">
        <v>1598.79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-9.93</v>
      </c>
      <c r="U147" s="32" t="n">
        <v>6.35</v>
      </c>
      <c r="V147" s="32" t="n">
        <v>18.08</v>
      </c>
      <c r="W147" s="32" t="n">
        <v>7.59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IF(B148=0,"",RANK(B148,$B$2:$B$180,0))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EMIL</t>
        </is>
      </c>
      <c r="D148" s="31" t="inlineStr">
        <is>
          <t>Electronics Mart India Ltd</t>
        </is>
      </c>
      <c r="E148" s="31" t="inlineStr">
        <is>
          <t>consumer discretionary</t>
        </is>
      </c>
      <c r="F148" s="31" t="inlineStr">
        <is>
          <t>trading</t>
        </is>
      </c>
      <c r="G148" s="31" t="inlineStr">
        <is>
          <t>midcap</t>
        </is>
      </c>
      <c r="H148" s="32" t="n">
        <v>7850.8</v>
      </c>
      <c r="I148" s="32" t="n">
        <v>204.05</v>
      </c>
      <c r="J148" s="32" t="n">
        <v>-0.64</v>
      </c>
      <c r="K148" s="32" t="n">
        <v>4017614</v>
      </c>
      <c r="L148" s="31" t="n">
        <v>53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75.16</v>
      </c>
      <c r="P148" s="32" t="n">
        <v>44.52</v>
      </c>
      <c r="Q148" s="32" t="n">
        <v>154.13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-9.93</v>
      </c>
      <c r="U148" s="32" t="n">
        <v>42.37</v>
      </c>
      <c r="V148" s="32" t="n">
        <v>58.07</v>
      </c>
      <c r="W148" s="32" t="n">
        <v>20.4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More than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IF(B149=0,"",RANK(B149,$B$2:$B$180,0))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MOLDTECH</t>
        </is>
      </c>
      <c r="D149" s="31" t="inlineStr">
        <is>
          <t>Mold-tek Technologies Limited</t>
        </is>
      </c>
      <c r="E149" s="31" t="inlineStr">
        <is>
          <t>realty</t>
        </is>
      </c>
      <c r="F149" s="31" t="inlineStr">
        <is>
          <t>engineering - turnkey services</t>
        </is>
      </c>
      <c r="G149" s="31" t="inlineStr">
        <is>
          <t>smallcap</t>
        </is>
      </c>
      <c r="H149" s="32" t="n">
        <v>589.87</v>
      </c>
      <c r="I149" s="32" t="n">
        <v>204.78</v>
      </c>
      <c r="J149" s="32" t="n">
        <v>-0.67</v>
      </c>
      <c r="K149" s="32" t="n">
        <v>30948</v>
      </c>
      <c r="L149" s="31" t="inlineStr"/>
      <c r="M149" s="31" t="inlineStr"/>
      <c r="N149" s="32">
        <f>IF(M149="Underperforming",-5,IF(L149&gt;=95,15,IF(L149&gt;=90,10,IF(L149&gt;=80,5,0))))</f>
        <v/>
      </c>
      <c r="O149" s="32" t="n">
        <v>69.37</v>
      </c>
      <c r="P149" s="32" t="n">
        <v>45.42</v>
      </c>
      <c r="Q149" s="32" t="n">
        <v>147.73</v>
      </c>
      <c r="R149" s="31" t="inlineStr">
        <is>
          <t>Near 52W High Breakout</t>
        </is>
      </c>
      <c r="S149" s="31" t="inlineStr">
        <is>
          <t>Nifty Realty</t>
        </is>
      </c>
      <c r="T149" s="32" t="inlineStr"/>
      <c r="U149" s="32" t="inlineStr"/>
      <c r="V149" s="32" t="inlineStr"/>
      <c r="W149" s="32" t="inlineStr"/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IF(B150=0,"",RANK(B150,$B$2:$B$180,0))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IGPL</t>
        </is>
      </c>
      <c r="D150" s="31" t="inlineStr">
        <is>
          <t>Ig Petrochemicals Limited</t>
        </is>
      </c>
      <c r="E150" s="31" t="inlineStr">
        <is>
          <t>chemicals</t>
        </is>
      </c>
      <c r="F150" s="31" t="inlineStr">
        <is>
          <t>chemicals</t>
        </is>
      </c>
      <c r="G150" s="31" t="inlineStr">
        <is>
          <t>smallcap</t>
        </is>
      </c>
      <c r="H150" s="32" t="n">
        <v>1753.92</v>
      </c>
      <c r="I150" s="32" t="n">
        <v>569.55</v>
      </c>
      <c r="J150" s="32" t="n">
        <v>-1.76</v>
      </c>
      <c r="K150" s="32" t="n">
        <v>61516</v>
      </c>
      <c r="L150" s="31" t="n">
        <v>33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65.16</v>
      </c>
      <c r="P150" s="32" t="n">
        <v>35.4</v>
      </c>
      <c r="Q150" s="32" t="n">
        <v>462.7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-9.93</v>
      </c>
      <c r="U150" s="32" t="n">
        <v>33.98</v>
      </c>
      <c r="V150" s="32" t="n">
        <v>48.75</v>
      </c>
      <c r="W150" s="32" t="n">
        <v>12.47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IF(B151=0,"",RANK(B151,$B$2:$B$180,0))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RAYMONDREL</t>
        </is>
      </c>
      <c r="D151" s="31" t="inlineStr">
        <is>
          <t>Raymond Realty Ltd</t>
        </is>
      </c>
      <c r="E151" s="31" t="inlineStr">
        <is>
          <t>realty</t>
        </is>
      </c>
      <c r="F151" s="31" t="inlineStr">
        <is>
          <t>construction</t>
        </is>
      </c>
      <c r="G151" s="31" t="inlineStr">
        <is>
          <t>smallcap</t>
        </is>
      </c>
      <c r="H151" s="32" t="n">
        <v>4316.97</v>
      </c>
      <c r="I151" s="32" t="n">
        <v>648.45</v>
      </c>
      <c r="J151" s="32" t="n">
        <v>-3.21</v>
      </c>
      <c r="K151" s="32" t="n">
        <v>853435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54.34</v>
      </c>
      <c r="P151" s="32" t="n">
        <v>31.46</v>
      </c>
      <c r="Q151" s="32" t="n">
        <v>494.55</v>
      </c>
      <c r="R151" s="31" t="inlineStr">
        <is>
          <t>Earnings / Momentum Support</t>
        </is>
      </c>
      <c r="S151" s="31" t="inlineStr">
        <is>
          <t>Nifty Realty</t>
        </is>
      </c>
      <c r="T151" s="32" t="inlineStr"/>
      <c r="U151" s="32" t="inlineStr"/>
      <c r="V151" s="32" t="inlineStr"/>
      <c r="W151" s="32" t="inlineStr"/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IF(B152=0,"",RANK(B152,$B$2:$B$180,0))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INDOAMIN</t>
        </is>
      </c>
      <c r="D152" s="31" t="inlineStr">
        <is>
          <t>Indo Amines Ltd</t>
        </is>
      </c>
      <c r="E152" s="31" t="inlineStr">
        <is>
          <t>chemicals</t>
        </is>
      </c>
      <c r="F152" s="31" t="inlineStr">
        <is>
          <t>chemicals</t>
        </is>
      </c>
      <c r="G152" s="31" t="inlineStr">
        <is>
          <t>smallcap</t>
        </is>
      </c>
      <c r="H152" s="32" t="n">
        <v>990.97</v>
      </c>
      <c r="I152" s="32" t="n">
        <v>136.52</v>
      </c>
      <c r="J152" s="32" t="n">
        <v>-3.91</v>
      </c>
      <c r="K152" s="32" t="n">
        <v>293231</v>
      </c>
      <c r="L152" s="31" t="n">
        <v>5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59.17</v>
      </c>
      <c r="P152" s="32" t="n">
        <v>22.95</v>
      </c>
      <c r="Q152" s="32" t="n">
        <v>101.51</v>
      </c>
      <c r="R152" s="31" t="inlineStr">
        <is>
          <t>Volume Spike &amp; Near 52W High Breakout</t>
        </is>
      </c>
      <c r="S152" s="31" t="inlineStr">
        <is>
          <t>Nifty 50</t>
        </is>
      </c>
      <c r="T152" s="32" t="n">
        <v>-9.93</v>
      </c>
      <c r="U152" s="32" t="n">
        <v>-1.21</v>
      </c>
      <c r="V152" s="32" t="n">
        <v>9.69</v>
      </c>
      <c r="W152" s="32" t="n">
        <v>2.55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IF(B153=0,"",RANK(B153,$B$2:$B$180,0))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RBZJEWEL</t>
        </is>
      </c>
      <c r="D153" s="31" t="inlineStr">
        <is>
          <t>RBZ Jewellers Ltd</t>
        </is>
      </c>
      <c r="E153" s="31" t="inlineStr">
        <is>
          <t>consumer discretionary</t>
        </is>
      </c>
      <c r="F153" s="31" t="inlineStr">
        <is>
          <t>diamond cutting / jewellery</t>
        </is>
      </c>
      <c r="G153" s="31" t="inlineStr">
        <is>
          <t>smallcap</t>
        </is>
      </c>
      <c r="H153" s="32" t="n">
        <v>787.48</v>
      </c>
      <c r="I153" s="32" t="n">
        <v>196.87</v>
      </c>
      <c r="J153" s="32" t="n">
        <v>-5</v>
      </c>
      <c r="K153" s="32" t="n">
        <v>123782</v>
      </c>
      <c r="L153" s="31" t="n">
        <v>43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64.97</v>
      </c>
      <c r="P153" s="32" t="n">
        <v>35.43</v>
      </c>
      <c r="Q153" s="32" t="n">
        <v>142.66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-9.93</v>
      </c>
      <c r="U153" s="32" t="n">
        <v>45.18</v>
      </c>
      <c r="V153" s="32" t="n">
        <v>61.19</v>
      </c>
      <c r="W153" s="32" t="n">
        <v>16.38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IF(B154=0,"",RANK(B154,$B$2:$B$180,0))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RAMRAT</t>
        </is>
      </c>
      <c r="D154" s="31" t="inlineStr">
        <is>
          <t>Ram Ratna Wires Ltd</t>
        </is>
      </c>
      <c r="E154" s="31" t="inlineStr">
        <is>
          <t>metals &amp; mining</t>
        </is>
      </c>
      <c r="F154" s="31" t="inlineStr">
        <is>
          <t>mining / minerals / metals</t>
        </is>
      </c>
      <c r="G154" s="31" t="inlineStr">
        <is>
          <t>midcap</t>
        </is>
      </c>
      <c r="H154" s="32" t="n">
        <v>5755.44</v>
      </c>
      <c r="I154" s="32" t="n">
        <v>616.55</v>
      </c>
      <c r="J154" s="32" t="n">
        <v>5.86</v>
      </c>
      <c r="K154" s="32" t="n">
        <v>1005993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74.61</v>
      </c>
      <c r="P154" s="32" t="n">
        <v>49.09</v>
      </c>
      <c r="Q154" s="32" t="n">
        <v>468.22</v>
      </c>
      <c r="R154" s="31" t="inlineStr">
        <is>
          <t>Near 52W High Breakout</t>
        </is>
      </c>
      <c r="S154" s="31" t="inlineStr">
        <is>
          <t>Nifty Metal</t>
        </is>
      </c>
      <c r="T154" s="32" t="inlineStr"/>
      <c r="U154" s="32" t="inlineStr"/>
      <c r="V154" s="32" t="inlineStr"/>
      <c r="W154" s="32" t="inlineStr"/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Cyclical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IF(B155=0,"",RANK(B155,$B$2:$B$180,0))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GLOBAL</t>
        </is>
      </c>
      <c r="D155" s="31" t="inlineStr">
        <is>
          <t>Global Education Ltd</t>
        </is>
      </c>
      <c r="E155" s="31" t="inlineStr">
        <is>
          <t>services</t>
        </is>
      </c>
      <c r="F155" s="31" t="inlineStr">
        <is>
          <t>miscellaneous</t>
        </is>
      </c>
      <c r="G155" s="31" t="inlineStr">
        <is>
          <t>smallcap</t>
        </is>
      </c>
      <c r="H155" s="32" t="n">
        <v>694.86</v>
      </c>
      <c r="I155" s="32" t="n">
        <v>136.51</v>
      </c>
      <c r="J155" s="32" t="n">
        <v>2.79</v>
      </c>
      <c r="K155" s="32" t="n">
        <v>605881</v>
      </c>
      <c r="L155" s="31" t="n">
        <v>58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76.31</v>
      </c>
      <c r="P155" s="32" t="n">
        <v>33.43</v>
      </c>
      <c r="Q155" s="32" t="n">
        <v>105.55</v>
      </c>
      <c r="R155" s="31" t="inlineStr">
        <is>
          <t>Volume Spike &amp; Near 52W High Breakout</t>
        </is>
      </c>
      <c r="S155" s="31" t="inlineStr">
        <is>
          <t>Nifty 50</t>
        </is>
      </c>
      <c r="T155" s="32" t="n">
        <v>-9.93</v>
      </c>
      <c r="U155" s="32" t="n">
        <v>111.14</v>
      </c>
      <c r="V155" s="32" t="n">
        <v>134.42</v>
      </c>
      <c r="W155" s="32" t="n">
        <v>23.82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Less than 50%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IF(B156=0,"",RANK(B156,$B$2:$B$180,0))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PREMEXPLN</t>
        </is>
      </c>
      <c r="D156" s="31" t="inlineStr">
        <is>
          <t>Premier Explosives Limited</t>
        </is>
      </c>
      <c r="E156" s="31" t="inlineStr">
        <is>
          <t>aerospace &amp; defence</t>
        </is>
      </c>
      <c r="F156" s="31" t="inlineStr">
        <is>
          <t>chemicals</t>
        </is>
      </c>
      <c r="G156" s="31" t="inlineStr">
        <is>
          <t>smallcap</t>
        </is>
      </c>
      <c r="H156" s="32" t="n">
        <v>3666.78</v>
      </c>
      <c r="I156" s="32" t="n">
        <v>682.05</v>
      </c>
      <c r="J156" s="32" t="n">
        <v>-0.3</v>
      </c>
      <c r="K156" s="32" t="n">
        <v>165290</v>
      </c>
      <c r="L156" s="31" t="n">
        <v>11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58.04</v>
      </c>
      <c r="P156" s="32" t="n">
        <v>32.1</v>
      </c>
      <c r="Q156" s="32" t="n">
        <v>647.03</v>
      </c>
      <c r="R156" s="31" t="inlineStr">
        <is>
          <t>Earnings / Momentum Support</t>
        </is>
      </c>
      <c r="S156" s="31" t="inlineStr">
        <is>
          <t>Nifty 50</t>
        </is>
      </c>
      <c r="T156" s="32" t="n">
        <v>-9.93</v>
      </c>
      <c r="U156" s="32" t="n">
        <v>12.37</v>
      </c>
      <c r="V156" s="32" t="n">
        <v>24.76</v>
      </c>
      <c r="W156" s="32" t="n">
        <v>5.16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IF(B157=0,"",RANK(B157,$B$2:$B$180,0))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SANATHAN</t>
        </is>
      </c>
      <c r="D157" s="31" t="inlineStr">
        <is>
          <t>Sanathan Textiles Ltd</t>
        </is>
      </c>
      <c r="E157" s="31" t="inlineStr">
        <is>
          <t>textiles</t>
        </is>
      </c>
      <c r="F157" s="31" t="inlineStr">
        <is>
          <t>textiles - cotton/blended</t>
        </is>
      </c>
      <c r="G157" s="31" t="inlineStr">
        <is>
          <t>smallcap</t>
        </is>
      </c>
      <c r="H157" s="32" t="n">
        <v>4256.92</v>
      </c>
      <c r="I157" s="32" t="n">
        <v>504.35</v>
      </c>
      <c r="J157" s="32" t="n">
        <v>-0.75</v>
      </c>
      <c r="K157" s="32" t="n">
        <v>80531</v>
      </c>
      <c r="L157" s="31" t="n">
        <v>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61.21</v>
      </c>
      <c r="P157" s="32" t="n">
        <v>22.42</v>
      </c>
      <c r="Q157" s="32" t="n">
        <v>400.65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-9.93</v>
      </c>
      <c r="U157" s="32" t="n">
        <v>-0.2</v>
      </c>
      <c r="V157" s="32" t="n">
        <v>10.8</v>
      </c>
      <c r="W157" s="32" t="n">
        <v>2.81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IF(B158=0,"",RANK(B158,$B$2:$B$180,0))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MANAKSTEEL</t>
        </is>
      </c>
      <c r="D158" s="31" t="inlineStr">
        <is>
          <t>Manaksia Steels Limited</t>
        </is>
      </c>
      <c r="E158" s="31" t="inlineStr">
        <is>
          <t>metals &amp; mining</t>
        </is>
      </c>
      <c r="F158" s="31" t="inlineStr">
        <is>
          <t>steel - medium / small</t>
        </is>
      </c>
      <c r="G158" s="31" t="inlineStr">
        <is>
          <t>smallcap</t>
        </is>
      </c>
      <c r="H158" s="32" t="n">
        <v>713.6</v>
      </c>
      <c r="I158" s="32" t="n">
        <v>108.89</v>
      </c>
      <c r="J158" s="32" t="n">
        <v>-1.31</v>
      </c>
      <c r="K158" s="32" t="n">
        <v>23191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69.31</v>
      </c>
      <c r="P158" s="32" t="n">
        <v>49.14</v>
      </c>
      <c r="Q158" s="32" t="n">
        <v>86.53</v>
      </c>
      <c r="R158" s="31" t="inlineStr">
        <is>
          <t>Earnings / Momentum Support</t>
        </is>
      </c>
      <c r="S158" s="31" t="inlineStr">
        <is>
          <t>Nifty Metal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IF(B159=0,"",RANK(B159,$B$2:$B$180,0))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GMMPFAUDLR</t>
        </is>
      </c>
      <c r="D159" s="31" t="inlineStr">
        <is>
          <t>GMM Pfaudler Ltd</t>
        </is>
      </c>
      <c r="E159" s="31" t="inlineStr">
        <is>
          <t>industrials</t>
        </is>
      </c>
      <c r="F159" s="31" t="inlineStr">
        <is>
          <t>engineering</t>
        </is>
      </c>
      <c r="G159" s="31" t="inlineStr">
        <is>
          <t>midcap</t>
        </is>
      </c>
      <c r="H159" s="32" t="n">
        <v>6489.13</v>
      </c>
      <c r="I159" s="32" t="n">
        <v>1443.4</v>
      </c>
      <c r="J159" s="32" t="n">
        <v>-1.59</v>
      </c>
      <c r="K159" s="32" t="n">
        <v>328964</v>
      </c>
      <c r="L159" s="31" t="n">
        <v>70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76.43000000000001</v>
      </c>
      <c r="P159" s="32" t="n">
        <v>38.91</v>
      </c>
      <c r="Q159" s="32" t="n">
        <v>1216.67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-9.93</v>
      </c>
      <c r="U159" s="32" t="n">
        <v>38.88</v>
      </c>
      <c r="V159" s="32" t="n">
        <v>54.2</v>
      </c>
      <c r="W159" s="32" t="n">
        <v>29.43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IF(B160=0,"",RANK(B160,$B$2:$B$180,0))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LLOYDSENT</t>
        </is>
      </c>
      <c r="D160" s="31" t="inlineStr">
        <is>
          <t>Lloyds Enterprises Ltd</t>
        </is>
      </c>
      <c r="E160" s="31" t="inlineStr">
        <is>
          <t>services</t>
        </is>
      </c>
      <c r="F160" s="31" t="inlineStr">
        <is>
          <t>trading</t>
        </is>
      </c>
      <c r="G160" s="31" t="inlineStr">
        <is>
          <t>midcap</t>
        </is>
      </c>
      <c r="H160" s="32" t="n">
        <v>11899.47</v>
      </c>
      <c r="I160" s="32" t="n">
        <v>77.95</v>
      </c>
      <c r="J160" s="32" t="n">
        <v>-1.62</v>
      </c>
      <c r="K160" s="32" t="n">
        <v>3290009</v>
      </c>
      <c r="L160" s="31" t="n">
        <v>16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56.17</v>
      </c>
      <c r="P160" s="32" t="n">
        <v>31.46</v>
      </c>
      <c r="Q160" s="32" t="n">
        <v>62.43</v>
      </c>
      <c r="R160" s="31" t="inlineStr">
        <is>
          <t>Earnings / Momentum Support</t>
        </is>
      </c>
      <c r="S160" s="31" t="inlineStr">
        <is>
          <t>Nifty 50</t>
        </is>
      </c>
      <c r="T160" s="32" t="n">
        <v>-9.93</v>
      </c>
      <c r="U160" s="32" t="n">
        <v>12.31</v>
      </c>
      <c r="V160" s="32" t="n">
        <v>24.7</v>
      </c>
      <c r="W160" s="32" t="n">
        <v>6.95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IF(B161=0,"",RANK(B161,$B$2:$B$180,0))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PRIMO</t>
        </is>
      </c>
      <c r="D161" s="31" t="inlineStr">
        <is>
          <t>Primo Chemicals Ltd</t>
        </is>
      </c>
      <c r="E161" s="31" t="inlineStr">
        <is>
          <t>chemicals</t>
        </is>
      </c>
      <c r="F161" s="31" t="inlineStr">
        <is>
          <t>chlor alkali / soda ash</t>
        </is>
      </c>
      <c r="G161" s="31" t="inlineStr">
        <is>
          <t>smallcap</t>
        </is>
      </c>
      <c r="H161" s="32" t="n">
        <v>615.79</v>
      </c>
      <c r="I161" s="32" t="n">
        <v>25.41</v>
      </c>
      <c r="J161" s="32" t="n">
        <v>-4.62</v>
      </c>
      <c r="K161" s="32" t="n">
        <v>449481</v>
      </c>
      <c r="L161" s="31" t="n">
        <v>7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55.83</v>
      </c>
      <c r="P161" s="32" t="n">
        <v>19.18</v>
      </c>
      <c r="Q161" s="32" t="n">
        <v>16.14</v>
      </c>
      <c r="R161" s="31" t="inlineStr">
        <is>
          <t>Volume Spike &amp; Near 52W High Breakout</t>
        </is>
      </c>
      <c r="S161" s="31" t="inlineStr">
        <is>
          <t>Nifty 50</t>
        </is>
      </c>
      <c r="T161" s="32" t="n">
        <v>-9.93</v>
      </c>
      <c r="U161" s="32" t="n">
        <v>8.539999999999999</v>
      </c>
      <c r="V161" s="32" t="n">
        <v>20.51</v>
      </c>
      <c r="W161" s="32" t="n">
        <v>3.07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IF(B162=0,"",RANK(B162,$B$2:$B$180,0))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MANKIND</t>
        </is>
      </c>
      <c r="D162" s="33" t="inlineStr">
        <is>
          <t>Mankind Pharma Ltd</t>
        </is>
      </c>
      <c r="E162" s="31" t="inlineStr">
        <is>
          <t>healthcare</t>
        </is>
      </c>
      <c r="F162" s="31" t="inlineStr">
        <is>
          <t>pharmaceuticals - indian - bulk drugs &amp; formln</t>
        </is>
      </c>
      <c r="G162" s="31" t="inlineStr">
        <is>
          <t>largecap</t>
        </is>
      </c>
      <c r="H162" s="32" t="n">
        <v>104694.48</v>
      </c>
      <c r="I162" s="32" t="n">
        <v>2535</v>
      </c>
      <c r="J162" s="32" t="n">
        <v>1.25</v>
      </c>
      <c r="K162" s="32" t="n">
        <v>427905</v>
      </c>
      <c r="L162" s="31" t="n">
        <v>2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61.29</v>
      </c>
      <c r="P162" s="32" t="n">
        <v>22.29</v>
      </c>
      <c r="Q162" s="32" t="n">
        <v>2151.05</v>
      </c>
      <c r="R162" s="31" t="inlineStr">
        <is>
          <t>Volume Spike &amp; Near 52W High Breakout</t>
        </is>
      </c>
      <c r="S162" s="31" t="inlineStr">
        <is>
          <t>Nifty Pharma</t>
        </is>
      </c>
      <c r="T162" s="32" t="n">
        <v>20.94</v>
      </c>
      <c r="U162" s="32" t="n">
        <v>3.55</v>
      </c>
      <c r="V162" s="32" t="n">
        <v>-14.37</v>
      </c>
      <c r="W162" s="32" t="n">
        <v>1.55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1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IF(B163=0,"",RANK(B163,$B$2:$B$180,0))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SUNTV</t>
        </is>
      </c>
      <c r="D163" s="31" t="inlineStr">
        <is>
          <t>Sun Tv Network Limited</t>
        </is>
      </c>
      <c r="E163" s="31" t="inlineStr">
        <is>
          <t>media</t>
        </is>
      </c>
      <c r="F163" s="31" t="inlineStr">
        <is>
          <t>entertainment / electronic media software</t>
        </is>
      </c>
      <c r="G163" s="31" t="inlineStr">
        <is>
          <t>largecap</t>
        </is>
      </c>
      <c r="H163" s="32" t="n">
        <v>23641.14</v>
      </c>
      <c r="I163" s="32" t="n">
        <v>599.9</v>
      </c>
      <c r="J163" s="32" t="n">
        <v>-0.84</v>
      </c>
      <c r="K163" s="32" t="n">
        <v>6014245</v>
      </c>
      <c r="L163" s="31" t="n">
        <v>12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64.56999999999999</v>
      </c>
      <c r="P163" s="32" t="n">
        <v>17.73</v>
      </c>
      <c r="Q163" s="32" t="n">
        <v>465.63</v>
      </c>
      <c r="R163" s="31" t="inlineStr">
        <is>
          <t>Volume Spike / Accumulation</t>
        </is>
      </c>
      <c r="S163" s="31" t="inlineStr">
        <is>
          <t>Nifty IT</t>
        </is>
      </c>
      <c r="T163" s="32" t="n">
        <v>-16.63</v>
      </c>
      <c r="U163" s="32" t="n">
        <v>6.34</v>
      </c>
      <c r="V163" s="32" t="n">
        <v>27.55</v>
      </c>
      <c r="W163" s="32" t="n">
        <v>5.26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1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IF(B164=0,"",RANK(B164,$B$2:$B$180,0))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RATNAVEER</t>
        </is>
      </c>
      <c r="D164" s="31" t="inlineStr">
        <is>
          <t>Ratnaveer Precision Engineering Ltd</t>
        </is>
      </c>
      <c r="E164" s="31" t="inlineStr">
        <is>
          <t>metals &amp; mining</t>
        </is>
      </c>
      <c r="F164" s="31" t="inlineStr">
        <is>
          <t>steel - medium / small</t>
        </is>
      </c>
      <c r="G164" s="31" t="inlineStr">
        <is>
          <t>smallcap</t>
        </is>
      </c>
      <c r="H164" s="32" t="n">
        <v>2899.24</v>
      </c>
      <c r="I164" s="32" t="n">
        <v>345.45</v>
      </c>
      <c r="J164" s="32" t="n">
        <v>4.44</v>
      </c>
      <c r="K164" s="32" t="n">
        <v>11559546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82.08</v>
      </c>
      <c r="P164" s="32" t="n">
        <v>65.43000000000001</v>
      </c>
      <c r="Q164" s="32" t="n">
        <v>254.68</v>
      </c>
      <c r="R164" s="31" t="inlineStr">
        <is>
          <t>Near 52W High Breakout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IF(B165=0,"",RANK(B165,$B$2:$B$180,0))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ENRIN</t>
        </is>
      </c>
      <c r="D165" s="31" t="inlineStr">
        <is>
          <t>Siemens Energy India Ltd</t>
        </is>
      </c>
      <c r="E165" s="31" t="inlineStr">
        <is>
          <t>power &amp; utilities</t>
        </is>
      </c>
      <c r="F165" s="31" t="inlineStr">
        <is>
          <t>power generation and supply</t>
        </is>
      </c>
      <c r="G165" s="31" t="inlineStr">
        <is>
          <t>largecap</t>
        </is>
      </c>
      <c r="H165" s="32" t="n">
        <v>118730.58</v>
      </c>
      <c r="I165" s="32" t="n">
        <v>3334</v>
      </c>
      <c r="J165" s="32" t="n">
        <v>4.19</v>
      </c>
      <c r="K165" s="32" t="n">
        <v>1649842</v>
      </c>
      <c r="L165" s="31" t="n">
        <v>2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52.24</v>
      </c>
      <c r="P165" s="32" t="n">
        <v>9.15</v>
      </c>
      <c r="Q165" s="32" t="n">
        <v>2854.93</v>
      </c>
      <c r="R165" s="31" t="inlineStr">
        <is>
          <t>Volume Spike / Accumulation</t>
        </is>
      </c>
      <c r="S165" s="31" t="inlineStr">
        <is>
          <t>Nifty IT</t>
        </is>
      </c>
      <c r="T165" s="32" t="n">
        <v>-16.63</v>
      </c>
      <c r="U165" s="32" t="n">
        <v>-0.55</v>
      </c>
      <c r="V165" s="32" t="n">
        <v>19.29</v>
      </c>
      <c r="W165" s="32" t="n">
        <v>1.48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1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IF(B166=0,"",RANK(B166,$B$2:$B$180,0))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ROSSTECH</t>
        </is>
      </c>
      <c r="D166" s="31" t="inlineStr">
        <is>
          <t>Rossell Techsys Ltd</t>
        </is>
      </c>
      <c r="E166" s="31" t="inlineStr">
        <is>
          <t>aerospace &amp; defence</t>
        </is>
      </c>
      <c r="F166" s="31" t="inlineStr">
        <is>
          <t>engineering</t>
        </is>
      </c>
      <c r="G166" s="31" t="inlineStr">
        <is>
          <t>midcap</t>
        </is>
      </c>
      <c r="H166" s="32" t="n">
        <v>5738.53</v>
      </c>
      <c r="I166" s="32" t="n">
        <v>1522.3</v>
      </c>
      <c r="J166" s="32" t="n">
        <v>1.27</v>
      </c>
      <c r="K166" s="32" t="n">
        <v>247467</v>
      </c>
      <c r="L166" s="31" t="n">
        <v>72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80.86</v>
      </c>
      <c r="P166" s="32" t="n">
        <v>31.95</v>
      </c>
      <c r="Q166" s="32" t="n">
        <v>1139.83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-9.93</v>
      </c>
      <c r="U166" s="32" t="n">
        <v>111.15</v>
      </c>
      <c r="V166" s="32" t="n">
        <v>134.43</v>
      </c>
      <c r="W166" s="32" t="n">
        <v>29.84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More than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IF(B167=0,"",RANK(B167,$B$2:$B$180,0))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SBC</t>
        </is>
      </c>
      <c r="D167" s="31" t="inlineStr">
        <is>
          <t>SBC Exports Ltd</t>
        </is>
      </c>
      <c r="E167" s="31" t="inlineStr">
        <is>
          <t>textiles</t>
        </is>
      </c>
      <c r="F167" s="31" t="inlineStr">
        <is>
          <t>textiles - products</t>
        </is>
      </c>
      <c r="G167" s="31" t="inlineStr">
        <is>
          <t>smallcap</t>
        </is>
      </c>
      <c r="H167" s="32" t="n">
        <v>2787.62</v>
      </c>
      <c r="I167" s="32" t="n">
        <v>58.54</v>
      </c>
      <c r="J167" s="32" t="n">
        <v>0.43</v>
      </c>
      <c r="K167" s="32" t="n">
        <v>31458938</v>
      </c>
      <c r="L167" s="31" t="n">
        <v>74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84.59</v>
      </c>
      <c r="P167" s="32" t="n">
        <v>31.93</v>
      </c>
      <c r="Q167" s="32" t="n">
        <v>48.24</v>
      </c>
      <c r="R167" s="31" t="inlineStr">
        <is>
          <t>Volume Spike &amp; Near 52W High Breakout</t>
        </is>
      </c>
      <c r="S167" s="31" t="inlineStr">
        <is>
          <t>Nifty 50</t>
        </is>
      </c>
      <c r="T167" s="32" t="n">
        <v>-9.93</v>
      </c>
      <c r="U167" s="32" t="n">
        <v>163.85</v>
      </c>
      <c r="V167" s="32" t="n">
        <v>192.94</v>
      </c>
      <c r="W167" s="32" t="n">
        <v>30.3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IF(B168=0,"",RANK(B168,$B$2:$B$180,0))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GREAVESCOT</t>
        </is>
      </c>
      <c r="D168" s="31" t="inlineStr">
        <is>
          <t>Greaves Cotton Limited</t>
        </is>
      </c>
      <c r="E168" s="31" t="inlineStr">
        <is>
          <t>industrials</t>
        </is>
      </c>
      <c r="F168" s="31" t="inlineStr">
        <is>
          <t>engines</t>
        </is>
      </c>
      <c r="G168" s="31" t="inlineStr">
        <is>
          <t>midcap</t>
        </is>
      </c>
      <c r="H168" s="32" t="n">
        <v>5264.24</v>
      </c>
      <c r="I168" s="32" t="n">
        <v>225.98</v>
      </c>
      <c r="J168" s="32" t="n">
        <v>-1.87</v>
      </c>
      <c r="K168" s="32" t="n">
        <v>1763832</v>
      </c>
      <c r="L168" s="31" t="n">
        <v>13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58.32</v>
      </c>
      <c r="P168" s="32" t="n">
        <v>26.05</v>
      </c>
      <c r="Q168" s="32" t="n">
        <v>201.51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-9.93</v>
      </c>
      <c r="U168" s="32" t="n">
        <v>4.1</v>
      </c>
      <c r="V168" s="32" t="n">
        <v>15.58</v>
      </c>
      <c r="W168" s="32" t="n">
        <v>5.68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IF(B169=0,"",RANK(B169,$B$2:$B$180,0))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SUNFLAG</t>
        </is>
      </c>
      <c r="D169" s="31" t="inlineStr">
        <is>
          <t>Sunflag Iron And Steel Company Limited</t>
        </is>
      </c>
      <c r="E169" s="31" t="inlineStr">
        <is>
          <t>metals &amp; mining</t>
        </is>
      </c>
      <c r="F169" s="31" t="inlineStr">
        <is>
          <t>steel - medium / small</t>
        </is>
      </c>
      <c r="G169" s="31" t="inlineStr">
        <is>
          <t>midcap</t>
        </is>
      </c>
      <c r="H169" s="32" t="n">
        <v>7812.51</v>
      </c>
      <c r="I169" s="32" t="n">
        <v>433.5</v>
      </c>
      <c r="J169" s="32" t="n">
        <v>-4.94</v>
      </c>
      <c r="K169" s="32" t="n">
        <v>420955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70.53</v>
      </c>
      <c r="P169" s="32" t="n">
        <v>33.41</v>
      </c>
      <c r="Q169" s="32" t="n">
        <v>331.55</v>
      </c>
      <c r="R169" s="31" t="inlineStr">
        <is>
          <t>Volume Spike &amp; Near 52W High Breakout</t>
        </is>
      </c>
      <c r="S169" s="31" t="inlineStr">
        <is>
          <t>Nifty Metal</t>
        </is>
      </c>
      <c r="T169" s="32" t="inlineStr"/>
      <c r="U169" s="32" t="inlineStr"/>
      <c r="V169" s="32" t="inlineStr"/>
      <c r="W169" s="32" t="inlineStr"/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Cyclical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Volatile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IF(B170=0,"",RANK(B170,$B$2:$B$180,0))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INOXINDIA</t>
        </is>
      </c>
      <c r="D170" s="31" t="inlineStr">
        <is>
          <t>Inox India Ltd</t>
        </is>
      </c>
      <c r="E170" s="31" t="inlineStr">
        <is>
          <t>industrials</t>
        </is>
      </c>
      <c r="F170" s="31" t="inlineStr">
        <is>
          <t>packaging</t>
        </is>
      </c>
      <c r="G170" s="31" t="inlineStr">
        <is>
          <t>midcap</t>
        </is>
      </c>
      <c r="H170" s="32" t="n">
        <v>19680.25</v>
      </c>
      <c r="I170" s="32" t="n">
        <v>2168.3</v>
      </c>
      <c r="J170" s="32" t="n">
        <v>5.64</v>
      </c>
      <c r="K170" s="32" t="n">
        <v>629630</v>
      </c>
      <c r="L170" s="31" t="n">
        <v>43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70.03</v>
      </c>
      <c r="P170" s="32" t="n">
        <v>54.94</v>
      </c>
      <c r="Q170" s="32" t="n">
        <v>1698.8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-9.93</v>
      </c>
      <c r="U170" s="32" t="n">
        <v>77.64</v>
      </c>
      <c r="V170" s="32" t="n">
        <v>97.23</v>
      </c>
      <c r="W170" s="32" t="n">
        <v>16.84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IF(B171=0,"",RANK(B171,$B$2:$B$180,0))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VENUSPIPES</t>
        </is>
      </c>
      <c r="D171" s="31" t="inlineStr">
        <is>
          <t>Venus Pipes &amp; Tubes Ltd</t>
        </is>
      </c>
      <c r="E171" s="31" t="inlineStr">
        <is>
          <t>metals &amp; mining</t>
        </is>
      </c>
      <c r="F171" s="31" t="inlineStr">
        <is>
          <t>steel - medium / small</t>
        </is>
      </c>
      <c r="G171" s="31" t="inlineStr">
        <is>
          <t>smallcap</t>
        </is>
      </c>
      <c r="H171" s="32" t="n">
        <v>4567.7</v>
      </c>
      <c r="I171" s="32" t="n">
        <v>2204.9</v>
      </c>
      <c r="J171" s="32" t="n">
        <v>2.69</v>
      </c>
      <c r="K171" s="32" t="n">
        <v>161732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73.09999999999999</v>
      </c>
      <c r="P171" s="32" t="n">
        <v>39.77</v>
      </c>
      <c r="Q171" s="32" t="n">
        <v>1761.72</v>
      </c>
      <c r="R171" s="31" t="inlineStr">
        <is>
          <t>Near 52W High Breakout</t>
        </is>
      </c>
      <c r="S171" s="31" t="inlineStr">
        <is>
          <t>Nifty Metal</t>
        </is>
      </c>
      <c r="T171" s="32" t="inlineStr"/>
      <c r="U171" s="32" t="inlineStr"/>
      <c r="V171" s="32" t="inlineStr"/>
      <c r="W171" s="32" t="inlineStr"/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Cyclical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Volatile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IF(B172=0,"",RANK(B172,$B$2:$B$180,0))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SCHNEIDER</t>
        </is>
      </c>
      <c r="D172" s="31" t="inlineStr">
        <is>
          <t>Schneider Electric Infrastructure Limited</t>
        </is>
      </c>
      <c r="E172" s="31" t="inlineStr">
        <is>
          <t>industrials</t>
        </is>
      </c>
      <c r="F172" s="31" t="inlineStr">
        <is>
          <t>electric equipment</t>
        </is>
      </c>
      <c r="G172" s="31" t="inlineStr">
        <is>
          <t>largecap</t>
        </is>
      </c>
      <c r="H172" s="32" t="n">
        <v>30495.33</v>
      </c>
      <c r="I172" s="32" t="n">
        <v>1275.4</v>
      </c>
      <c r="J172" s="32" t="n">
        <v>5.98</v>
      </c>
      <c r="K172" s="32" t="n">
        <v>1444982</v>
      </c>
      <c r="L172" s="31" t="n">
        <v>25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55.68</v>
      </c>
      <c r="P172" s="32" t="n">
        <v>16.19</v>
      </c>
      <c r="Q172" s="32" t="n">
        <v>1147.13</v>
      </c>
      <c r="R172" s="31" t="inlineStr">
        <is>
          <t>Volume Spike / Accumulation</t>
        </is>
      </c>
      <c r="S172" s="31" t="inlineStr">
        <is>
          <t>Nifty 50</t>
        </is>
      </c>
      <c r="T172" s="32" t="n">
        <v>-9.93</v>
      </c>
      <c r="U172" s="32" t="n">
        <v>49.35</v>
      </c>
      <c r="V172" s="32" t="n">
        <v>65.81999999999999</v>
      </c>
      <c r="W172" s="32" t="n">
        <v>9.24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IF(B173=0,"",RANK(B173,$B$2:$B$180,0))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SOTL</t>
        </is>
      </c>
      <c r="D173" s="31" t="inlineStr">
        <is>
          <t>Savita Oil Technologies Limited</t>
        </is>
      </c>
      <c r="E173" s="31" t="inlineStr">
        <is>
          <t>energy</t>
        </is>
      </c>
      <c r="F173" s="31" t="inlineStr">
        <is>
          <t>petrochemicals</t>
        </is>
      </c>
      <c r="G173" s="31" t="inlineStr">
        <is>
          <t>midcap</t>
        </is>
      </c>
      <c r="H173" s="32" t="n">
        <v>5001.48</v>
      </c>
      <c r="I173" s="32" t="n">
        <v>729.5</v>
      </c>
      <c r="J173" s="32" t="n">
        <v>1.49</v>
      </c>
      <c r="K173" s="32" t="n">
        <v>296616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66.15000000000001</v>
      </c>
      <c r="P173" s="32" t="n">
        <v>61.95</v>
      </c>
      <c r="Q173" s="32" t="n">
        <v>508.76</v>
      </c>
      <c r="R173" s="31" t="inlineStr">
        <is>
          <t>Near 52W High Breakout</t>
        </is>
      </c>
      <c r="S173" s="31" t="inlineStr">
        <is>
          <t>Nifty Energy</t>
        </is>
      </c>
      <c r="T173" s="32" t="inlineStr"/>
      <c r="U173" s="32" t="inlineStr"/>
      <c r="V173" s="32" t="inlineStr"/>
      <c r="W173" s="32" t="inlineStr"/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Oligopoly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Cyclical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Volatile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IF(B174=0,"",RANK(B174,$B$2:$B$180,0))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SHRINGARMS</t>
        </is>
      </c>
      <c r="D174" s="31" t="inlineStr">
        <is>
          <t>Shringar House of Mangalsutra Ltd</t>
        </is>
      </c>
      <c r="E174" s="31" t="inlineStr">
        <is>
          <t>consumer discretionary</t>
        </is>
      </c>
      <c r="F174" s="31" t="inlineStr">
        <is>
          <t>diamond cutting / jewellery</t>
        </is>
      </c>
      <c r="G174" s="31" t="inlineStr">
        <is>
          <t>smallcap</t>
        </is>
      </c>
      <c r="H174" s="32" t="n">
        <v>2134.14</v>
      </c>
      <c r="I174" s="32" t="n">
        <v>221.31</v>
      </c>
      <c r="J174" s="32" t="n">
        <v>-1.46</v>
      </c>
      <c r="K174" s="32" t="n">
        <v>1103142</v>
      </c>
      <c r="L174" s="31" t="n">
        <v>9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50.96</v>
      </c>
      <c r="P174" s="32" t="n">
        <v>19.04</v>
      </c>
      <c r="Q174" s="32" t="n">
        <v>188.34</v>
      </c>
      <c r="R174" s="31" t="inlineStr">
        <is>
          <t>Volume Spike / Accumulation</t>
        </is>
      </c>
      <c r="S174" s="31" t="inlineStr">
        <is>
          <t>Nifty 50</t>
        </is>
      </c>
      <c r="T174" s="32" t="n">
        <v>-9.93</v>
      </c>
      <c r="U174" s="32" t="n">
        <v>16.77</v>
      </c>
      <c r="V174" s="32" t="n">
        <v>29.64</v>
      </c>
      <c r="W174" s="32" t="n">
        <v>4.49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1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IF(B175=0,"",RANK(B175,$B$2:$B$180,0))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INDIAGLYCO</t>
        </is>
      </c>
      <c r="D175" s="31" t="inlineStr">
        <is>
          <t>India Glycols Limited</t>
        </is>
      </c>
      <c r="E175" s="31" t="inlineStr">
        <is>
          <t>fmcg</t>
        </is>
      </c>
      <c r="F175" s="31" t="inlineStr">
        <is>
          <t>breweries &amp; distilleries</t>
        </is>
      </c>
      <c r="G175" s="31" t="inlineStr">
        <is>
          <t>smallcap</t>
        </is>
      </c>
      <c r="H175" s="32" t="n">
        <v>2002.76</v>
      </c>
      <c r="I175" s="32" t="n">
        <v>298.8</v>
      </c>
      <c r="J175" s="32" t="n">
        <v>-2.8</v>
      </c>
      <c r="K175" s="32" t="n">
        <v>273493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27.07</v>
      </c>
      <c r="P175" s="32" t="n">
        <v>39.7</v>
      </c>
      <c r="Q175" s="32" t="n">
        <v>808.39</v>
      </c>
      <c r="R175" s="31" t="inlineStr">
        <is>
          <t>Earnings / Momentum Support</t>
        </is>
      </c>
      <c r="S175" s="31" t="inlineStr">
        <is>
          <t>Nifty FMCG</t>
        </is>
      </c>
      <c r="T175" s="32" t="inlineStr"/>
      <c r="U175" s="32" t="inlineStr"/>
      <c r="V175" s="32" t="inlineStr"/>
      <c r="W175" s="32" t="inlineStr"/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B2C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Below 45</t>
        </is>
      </c>
      <c r="BA175" s="31">
        <f>IF(AZ175="Between 50 to 75",10,IF(AZ175="Above 75",0,0))</f>
        <v/>
      </c>
      <c r="BB175" s="31" t="inlineStr">
        <is>
          <t>Stage 4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No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IF(B176=0,"",RANK(B176,$B$2:$B$180,0))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SALSTEEL</t>
        </is>
      </c>
      <c r="D176" s="31" t="inlineStr">
        <is>
          <t>SAL Steel</t>
        </is>
      </c>
      <c r="E176" s="31" t="inlineStr">
        <is>
          <t>metals &amp; mining</t>
        </is>
      </c>
      <c r="F176" s="31" t="inlineStr">
        <is>
          <t>steel - sponge iron</t>
        </is>
      </c>
      <c r="G176" s="31" t="inlineStr">
        <is>
          <t>smallcap</t>
        </is>
      </c>
      <c r="H176" s="32" t="n">
        <v>1432.03</v>
      </c>
      <c r="I176" s="32" t="n">
        <v>98.92</v>
      </c>
      <c r="J176" s="32" t="n">
        <v>-0.14</v>
      </c>
      <c r="K176" s="32" t="n">
        <v>1173063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77.81999999999999</v>
      </c>
      <c r="P176" s="32" t="n">
        <v>32.93</v>
      </c>
      <c r="Q176" s="32" t="n">
        <v>71.56999999999999</v>
      </c>
      <c r="R176" s="31" t="inlineStr">
        <is>
          <t>Volume Spike &amp; Near 52W High Breakout</t>
        </is>
      </c>
      <c r="S176" s="31" t="inlineStr">
        <is>
          <t>Nifty Metal</t>
        </is>
      </c>
      <c r="T176" s="32" t="inlineStr"/>
      <c r="U176" s="32" t="inlineStr"/>
      <c r="V176" s="32" t="inlineStr"/>
      <c r="W176" s="32" t="inlineStr"/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IF(B177=0,"",RANK(B177,$B$2:$B$180,0))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ISGEC</t>
        </is>
      </c>
      <c r="D177" s="31" t="inlineStr">
        <is>
          <t>ISGEC Heavy Engineering  Ltd</t>
        </is>
      </c>
      <c r="E177" s="31" t="inlineStr">
        <is>
          <t>realty</t>
        </is>
      </c>
      <c r="F177" s="31" t="inlineStr">
        <is>
          <t>engineering - turnkey services</t>
        </is>
      </c>
      <c r="G177" s="31" t="inlineStr">
        <is>
          <t>midcap</t>
        </is>
      </c>
      <c r="H177" s="32" t="n">
        <v>6762.51</v>
      </c>
      <c r="I177" s="32" t="n">
        <v>919.7</v>
      </c>
      <c r="J177" s="32" t="n">
        <v>4.14</v>
      </c>
      <c r="K177" s="32" t="n">
        <v>203704</v>
      </c>
      <c r="L177" s="31" t="inlineStr"/>
      <c r="M177" s="31" t="inlineStr"/>
      <c r="N177" s="32">
        <f>IF(M177="Underperforming",-5,IF(L177&gt;=95,15,IF(L177&gt;=90,10,IF(L177&gt;=80,5,0))))</f>
        <v/>
      </c>
      <c r="O177" s="32" t="n">
        <v>56.64</v>
      </c>
      <c r="P177" s="32" t="n">
        <v>18.48</v>
      </c>
      <c r="Q177" s="32" t="n">
        <v>716.9299999999999</v>
      </c>
      <c r="R177" s="31" t="inlineStr">
        <is>
          <t>Earnings / Momentum Support</t>
        </is>
      </c>
      <c r="S177" s="31" t="inlineStr">
        <is>
          <t>Nifty Realty</t>
        </is>
      </c>
      <c r="T177" s="32" t="inlineStr"/>
      <c r="U177" s="32" t="inlineStr"/>
      <c r="V177" s="32" t="inlineStr"/>
      <c r="W177" s="32" t="inlineStr"/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1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IF(B178=0,"",RANK(B178,$B$2:$B$180,0))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GPPL</t>
        </is>
      </c>
      <c r="D178" s="31" t="inlineStr">
        <is>
          <t>Gujarat Pipavav Port Limited</t>
        </is>
      </c>
      <c r="E178" s="31" t="inlineStr">
        <is>
          <t>transportation</t>
        </is>
      </c>
      <c r="F178" s="31" t="inlineStr">
        <is>
          <t>miscellaneous</t>
        </is>
      </c>
      <c r="G178" s="31" t="inlineStr">
        <is>
          <t>midcap</t>
        </is>
      </c>
      <c r="H178" s="32" t="n">
        <v>8019.3</v>
      </c>
      <c r="I178" s="32" t="n">
        <v>165.88</v>
      </c>
      <c r="J178" s="32" t="n">
        <v>-0.52</v>
      </c>
      <c r="K178" s="32" t="n">
        <v>1997403</v>
      </c>
      <c r="L178" s="31" t="n">
        <v>10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62.73</v>
      </c>
      <c r="P178" s="32" t="n">
        <v>18.07</v>
      </c>
      <c r="Q178" s="32" t="n">
        <v>140.39</v>
      </c>
      <c r="R178" s="31" t="inlineStr">
        <is>
          <t>Earnings / Momentum Support</t>
        </is>
      </c>
      <c r="S178" s="31" t="inlineStr">
        <is>
          <t>Nifty 50</t>
        </is>
      </c>
      <c r="T178" s="32" t="n">
        <v>-9.93</v>
      </c>
      <c r="U178" s="32" t="n">
        <v>10.25</v>
      </c>
      <c r="V178" s="32" t="n">
        <v>22.41</v>
      </c>
      <c r="W178" s="32" t="n">
        <v>4.94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Shallow Cyclical (2 to 3 Years Growth)</t>
        </is>
      </c>
      <c r="AG178" s="31">
        <f>IF(AF178="Structural (10 Years Consistency)",10,IF(AF178="Shallow Cyclical (2 to 3 years growth)",5,0))</f>
        <v/>
      </c>
      <c r="AH178" s="31" t="inlineStr">
        <is>
          <t>Yes due to Product Mix change or Operating Leverage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Allocated capital in Non-core Areas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Sideways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Overhead supply in last 2 years in last 2 years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More than 15%</t>
        </is>
      </c>
      <c r="CC178" s="31">
        <f>IF(CB178="More than 15%",-10,IF(CB178="Less than 15%",10,0))</f>
        <v/>
      </c>
      <c r="CD178" s="31" t="inlineStr">
        <is>
          <t>Yes Upto 10%</t>
        </is>
      </c>
      <c r="CE178" s="31">
        <f>IF(CD178="Yes, more than 10%",-10,IF(CD178="No",10,0))</f>
        <v/>
      </c>
    </row>
    <row r="179">
      <c r="A179" s="31">
        <f>IF(B179=0,"",RANK(B179,$B$2:$B$180,0))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UNITEDPOLY</t>
        </is>
      </c>
      <c r="D179" s="31" t="inlineStr">
        <is>
          <t>United Polyfab Gujarat Ltd</t>
        </is>
      </c>
      <c r="E179" s="31" t="inlineStr">
        <is>
          <t>textiles</t>
        </is>
      </c>
      <c r="F179" s="31" t="inlineStr">
        <is>
          <t>textiles - products</t>
        </is>
      </c>
      <c r="G179" s="31" t="inlineStr">
        <is>
          <t>smallcap</t>
        </is>
      </c>
      <c r="H179" s="32" t="n">
        <v>1079.87</v>
      </c>
      <c r="I179" s="32" t="n">
        <v>47.05</v>
      </c>
      <c r="J179" s="32" t="n">
        <v>-0.88</v>
      </c>
      <c r="K179" s="32" t="n">
        <v>98775</v>
      </c>
      <c r="L179" s="31" t="n">
        <v>38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75.16</v>
      </c>
      <c r="P179" s="32" t="n">
        <v>25.86</v>
      </c>
      <c r="Q179" s="32" t="n">
        <v>34.77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-9.93</v>
      </c>
      <c r="U179" s="32" t="n">
        <v>2.04</v>
      </c>
      <c r="V179" s="32" t="n">
        <v>13.29</v>
      </c>
      <c r="W179" s="32" t="n">
        <v>14.28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Oligopoly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Shallow Cyclical (2 to 3 Years Growth)</t>
        </is>
      </c>
      <c r="AG179" s="31">
        <f>IF(AF179="Structural (10 Years Consistency)",10,IF(AF179="Shallow Cyclical (2 to 3 years growth)",5,0))</f>
        <v/>
      </c>
      <c r="AH179" s="31" t="inlineStr">
        <is>
          <t>Yes due to Product Mix change or Operating Leverage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Volatile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Allocated capital in Non-core Areas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Sideways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Overhead supply in last 2 years in last 2 years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More than 15%</t>
        </is>
      </c>
      <c r="CC179" s="31">
        <f>IF(CB179="More than 15%",-10,IF(CB179="Less than 15%",10,0))</f>
        <v/>
      </c>
      <c r="CD179" s="31" t="inlineStr">
        <is>
          <t>Yes Upto 10%</t>
        </is>
      </c>
      <c r="CE179" s="31">
        <f>IF(CD179="Yes, more than 10%",-10,IF(CD179="No",10,0))</f>
        <v/>
      </c>
    </row>
    <row r="180">
      <c r="A180" s="31">
        <f>IF(B180=0,"",RANK(B180,$B$2:$B$180,0))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HEG</t>
        </is>
      </c>
      <c r="D180" s="31" t="inlineStr">
        <is>
          <t>Heg Limited</t>
        </is>
      </c>
      <c r="E180" s="31" t="inlineStr">
        <is>
          <t>industrials</t>
        </is>
      </c>
      <c r="F180" s="31" t="inlineStr">
        <is>
          <t>electrodes - graphites</t>
        </is>
      </c>
      <c r="G180" s="31" t="inlineStr">
        <is>
          <t>midcap</t>
        </is>
      </c>
      <c r="H180" s="32" t="n">
        <v>8195.5</v>
      </c>
      <c r="I180" s="32" t="n">
        <v>248.5</v>
      </c>
      <c r="J180" s="32" t="n">
        <v>4.83</v>
      </c>
      <c r="K180" s="32" t="n">
        <v>16318026</v>
      </c>
      <c r="L180" s="31" t="inlineStr"/>
      <c r="M180" s="31" t="inlineStr"/>
      <c r="N180" s="32">
        <f>IF(M180="Underperforming",-5,IF(L180&gt;=95,15,IF(L180&gt;=90,10,IF(L180&gt;=80,5,0))))</f>
        <v/>
      </c>
      <c r="O180" s="32" t="inlineStr"/>
      <c r="P180" s="32" t="inlineStr"/>
      <c r="Q180" s="32" t="inlineStr"/>
      <c r="R180" s="31" t="inlineStr"/>
      <c r="S180" s="31" t="inlineStr"/>
      <c r="T180" s="32" t="inlineStr"/>
      <c r="U180" s="32" t="inlineStr"/>
      <c r="V180" s="32" t="inlineStr"/>
      <c r="W180" s="32" t="inlineStr"/>
      <c r="X180" s="31" t="n"/>
      <c r="Y180" s="31">
        <f>IF(X180="Growing Industry",10,IF(X180="Cyclical in an Upturn",5,0))</f>
        <v/>
      </c>
      <c r="Z180" s="31" t="n"/>
      <c r="AA180" s="31">
        <f>IF(Z180="Monopoly",10,IF(Z180="Oligopoly",5,IF(Z180="Duopoly that cooperate",10,IF(Z180="Duopoly that compete",5,IF(Z180="Too many players with High ROCE",5,0)))))</f>
        <v/>
      </c>
      <c r="AB180" s="31" t="n"/>
      <c r="AC180" s="31">
        <f>IF(AB180="No",5,0)</f>
        <v/>
      </c>
      <c r="AD180" s="31" t="n"/>
      <c r="AE180" s="31">
        <f>IF(AD180="Tailwind",10,0)</f>
        <v/>
      </c>
      <c r="AF180" s="31" t="n"/>
      <c r="AG180" s="31">
        <f>IF(AF180="Structural (10 Years Consistency)",10,IF(AF180="Shallow Cyclical (2 to 3 years growth)",5,0))</f>
        <v/>
      </c>
      <c r="AH180" s="31" t="n"/>
      <c r="AI180" s="31">
        <f>IF(AH180="Yes due to Product Mix change or Operating Leverage",10,IF(AH180="Yes, these are peak margins",-5,IF(AH180="No",5,0)))</f>
        <v/>
      </c>
      <c r="AJ180" s="31" t="n"/>
      <c r="AK180" s="31">
        <f>IF(AJ180="Stable",10,0)</f>
        <v/>
      </c>
      <c r="AL180" s="31" t="n"/>
      <c r="AM180" s="31">
        <f>IF(AL180="Yes",10,0)</f>
        <v/>
      </c>
      <c r="AN180" s="31" t="n"/>
      <c r="AO180" s="31">
        <f>IF(AN180="B2C",10,IF(AN180="B2B",5,0))</f>
        <v/>
      </c>
      <c r="AP180" s="31" t="n"/>
      <c r="AQ180" s="31">
        <f>IF(AP180="Yes",10,0)</f>
        <v/>
      </c>
      <c r="AR180" s="31" t="n"/>
      <c r="AS180" s="31">
        <f>IF(AR180="Fully Annuity",10,IF(AR180="Higher Annuity, Lower One Time",5,IF(AR180="Higher One Time, Lower Annuity",3,0)))</f>
        <v/>
      </c>
      <c r="AT180" s="31" t="n"/>
      <c r="AU180" s="31">
        <f>IF(AT180="Good",10,0)</f>
        <v/>
      </c>
      <c r="AV180" s="31" t="n"/>
      <c r="AW180" s="31">
        <f>IF(AV180="Yes for more than 2 years",10,IF(AV180="Yes only for next 1 to 2 years",5,0))</f>
        <v/>
      </c>
      <c r="AX180" s="31" t="n"/>
      <c r="AY180" s="31">
        <f>IF(AX180="Above 40",20,IF(AX180="20 to 40",10,IF(AX180="0 to 20",-5,0)))</f>
        <v/>
      </c>
      <c r="AZ180" s="31" t="n"/>
      <c r="BA180" s="31">
        <f>IF(AZ180="Between 50 to 75",10,IF(AZ180="Above 75",0,0))</f>
        <v/>
      </c>
      <c r="BB180" s="31" t="n"/>
      <c r="BC180" s="31">
        <f>IF(BB180="Stage 2",20,IF(BB180="Stage 1",0,IF(BB180="Stage 3",5,IF(BB180="Stage 4",-5,0))))</f>
        <v/>
      </c>
      <c r="BD180" s="31" t="n"/>
      <c r="BE180" s="31">
        <f>IF(BD180="Positive Trend",20,IF(BD180="Negative Trend",-10,0))</f>
        <v/>
      </c>
      <c r="BF180" s="31" t="n"/>
      <c r="BG180" s="31">
        <f>IF(BF180="Uptrend",10,IF(BF180="Sideways",5,0))</f>
        <v/>
      </c>
      <c r="BH180" s="31" t="n"/>
      <c r="BI180" s="31">
        <f>IF(BH180="Uptrend",10,IF(BH180="Sideways",5,0))</f>
        <v/>
      </c>
      <c r="BJ180" s="31" t="n"/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n"/>
      <c r="BM180" s="31">
        <f>IF(BL180="Yes",10,0)</f>
        <v/>
      </c>
      <c r="BN180" s="31" t="n"/>
      <c r="BO180" s="31">
        <f>IF(BN180="More than 20%",10,IF(BN180="Between 12 to 20%",5,IF(BN180="Less than 12%",0,0)))</f>
        <v/>
      </c>
      <c r="BP180" s="31" t="n"/>
      <c r="BQ180" s="31">
        <f>IF(BP180="No",10,0)</f>
        <v/>
      </c>
      <c r="BR180" s="31" t="n"/>
      <c r="BS180" s="31">
        <f>IF(BR180="NO",5,0)</f>
        <v/>
      </c>
      <c r="BT180" s="31" t="n"/>
      <c r="BU180" s="31">
        <f>IF(BT180="Above 2",0,IF(BT180="Between 1.5 to 2",5,IF(BT180="Less than 1.5",10,0)))</f>
        <v/>
      </c>
      <c r="BV180" s="31" t="n"/>
      <c r="BW180" s="31">
        <f>IF(BV180="Above 70%",10,IF(BV180="Between 50% to 70%",5,IF(BV180="Less than 50%",0,IF(BV180="Negative",-10,IF(BV180="Less than 50% and Borrowings are increasing",-5,0)))))</f>
        <v/>
      </c>
      <c r="BX180" s="31" t="n"/>
      <c r="BY180" s="31">
        <f>IF(BX180="More than 1.2",-10,IF(BX180="Between 0.7 to 1.2",0,IF(BX180="Less than 0.7",10,0)))</f>
        <v/>
      </c>
      <c r="BZ180" s="31" t="n"/>
      <c r="CA180" s="31">
        <f>IF(BZ180="Yes",-10,0)</f>
        <v/>
      </c>
      <c r="CB180" s="31" t="n"/>
      <c r="CC180" s="31">
        <f>IF(CB180="More than 15%",-10,IF(CB180="Less than 15%",10,0))</f>
        <v/>
      </c>
      <c r="CD180" s="31" t="n"/>
      <c r="CE180" s="31">
        <f>IF(CD180="Yes, more than 10%",-10,IF(CD180="No",10,0))</f>
        <v/>
      </c>
    </row>
  </sheetData>
  <autoFilter ref="A1:CE180"/>
  <conditionalFormatting sqref="B2:B18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8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8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80">
    <cfRule type="cellIs" priority="36" operator="equal" dxfId="3" stopIfTrue="1">
      <formula>"Underperforming"</formula>
    </cfRule>
  </conditionalFormatting>
  <conditionalFormatting sqref="N2:N180">
    <cfRule type="cellIs" priority="37" operator="equal" dxfId="3" stopIfTrue="1">
      <formula>-5</formula>
    </cfRule>
  </conditionalFormatting>
  <conditionalFormatting sqref="Q2:Q18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80" showDropDown="0" showInputMessage="0" showErrorMessage="0" allowBlank="1" type="list">
      <formula1>"Growing Industry,Stagnant Industry,Cyclical in an Upturn"</formula1>
    </dataValidation>
    <dataValidation sqref="Z2:Z18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80" showDropDown="0" showInputMessage="0" showErrorMessage="0" allowBlank="1" type="list">
      <formula1>"Yes,No"</formula1>
    </dataValidation>
    <dataValidation sqref="AD2:AD180" showDropDown="0" showInputMessage="0" showErrorMessage="0" allowBlank="1" type="list">
      <formula1>"Tailwind,Headwind"</formula1>
    </dataValidation>
    <dataValidation sqref="AF2:AF180" showDropDown="0" showInputMessage="0" showErrorMessage="0" allowBlank="1" type="list">
      <formula1>"Structural (10 Years Consistency),Shallow Cyclical (2 to 3 Years Growth),Cyclical"</formula1>
    </dataValidation>
    <dataValidation sqref="AH2:AH180" showDropDown="0" showInputMessage="0" showErrorMessage="0" allowBlank="1" type="list">
      <formula1>"Yes due to Product Mix change or Operating Leverage,Yes, these are peak margins,No"</formula1>
    </dataValidation>
    <dataValidation sqref="AJ2:AJ180" showDropDown="0" showInputMessage="0" showErrorMessage="0" allowBlank="1" type="list">
      <formula1>"Stable,Volatile"</formula1>
    </dataValidation>
    <dataValidation sqref="AL2:AL180" showDropDown="0" showInputMessage="0" showErrorMessage="0" allowBlank="1" type="list">
      <formula1>"Yes,No"</formula1>
    </dataValidation>
    <dataValidation sqref="AN2:AN180" showDropDown="0" showInputMessage="0" showErrorMessage="0" allowBlank="1" type="list">
      <formula1>"B2C,B2B,B2G"</formula1>
    </dataValidation>
    <dataValidation sqref="AP2:AP180" showDropDown="0" showInputMessage="0" showErrorMessage="0" allowBlank="1" type="list">
      <formula1>"Yes,No"</formula1>
    </dataValidation>
    <dataValidation sqref="AR2:AR180" showDropDown="0" showInputMessage="0" showErrorMessage="0" allowBlank="1" type="list">
      <formula1>"Fully Annuity,Higher Annuity, Lower One time,Higher One Time, Lower Annuity,Fully One Time"</formula1>
    </dataValidation>
    <dataValidation sqref="AT2:AT180" showDropDown="0" showInputMessage="0" showErrorMessage="0" allowBlank="1" type="list">
      <formula1>"Good,Allocated capital in Non-core Areas"</formula1>
    </dataValidation>
    <dataValidation sqref="AV2:AV180" showDropDown="0" showInputMessage="0" showErrorMessage="0" allowBlank="1" type="list">
      <formula1>"Yes for more than 2 years,Yes only for next 1 to 2 years,No"</formula1>
    </dataValidation>
    <dataValidation sqref="AX2:AX180" showDropDown="0" showInputMessage="0" showErrorMessage="0" allowBlank="1" type="list">
      <formula1>"Above 40,20 to 40,0 to 20"</formula1>
    </dataValidation>
    <dataValidation sqref="AZ2:AZ180" showDropDown="0" showInputMessage="0" showErrorMessage="0" allowBlank="1" type="list">
      <formula1>"Between 50 to 75,Above 75,Below 45"</formula1>
    </dataValidation>
    <dataValidation sqref="BB2:BB180" showDropDown="0" showInputMessage="0" showErrorMessage="0" allowBlank="1" type="list">
      <formula1>"Stage 1,Stage 2,Stage 3,Stage 4"</formula1>
    </dataValidation>
    <dataValidation sqref="BD2:BD180" showDropDown="0" showInputMessage="0" showErrorMessage="0" allowBlank="1" type="list">
      <formula1>"Positive Trend,Negative Trend"</formula1>
    </dataValidation>
    <dataValidation sqref="BF2:BF180" showDropDown="0" showInputMessage="0" showErrorMessage="0" allowBlank="1" type="list">
      <formula1>"Uptrend,Sideways,Downtrend"</formula1>
    </dataValidation>
    <dataValidation sqref="BH2:BH180" showDropDown="0" showInputMessage="0" showErrorMessage="0" allowBlank="1" type="list">
      <formula1>"Uptrend,Sideways,Downtrend"</formula1>
    </dataValidation>
    <dataValidation sqref="BJ2:BJ18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80" showDropDown="0" showInputMessage="0" showErrorMessage="0" allowBlank="1" type="list">
      <formula1>"Yes,No"</formula1>
    </dataValidation>
    <dataValidation sqref="BN2:BN180" showDropDown="0" showInputMessage="0" showErrorMessage="0" allowBlank="1" type="list">
      <formula1>"More than 20%,Between 12 to 20%,Less than 12%"</formula1>
    </dataValidation>
    <dataValidation sqref="BP2:BP180" showDropDown="0" showInputMessage="0" showErrorMessage="0" allowBlank="1" type="list">
      <formula1>"Yes,No"</formula1>
    </dataValidation>
    <dataValidation sqref="BR2:BR180" showDropDown="0" showInputMessage="0" showErrorMessage="0" allowBlank="1" type="list">
      <formula1>"Yes,No"</formula1>
    </dataValidation>
    <dataValidation sqref="BT2:BT180" showDropDown="0" showInputMessage="0" showErrorMessage="0" allowBlank="1" type="list">
      <formula1>"Above 2,Between 1.5 to 2,Less than 1.5"</formula1>
    </dataValidation>
    <dataValidation sqref="BV2:BV180" showDropDown="0" showInputMessage="0" showErrorMessage="0" allowBlank="1" type="list">
      <formula1>"Above 70%,Between 50% to 70%,Less than 50%,Less than 50% and Borrowings are increasing,Negative"</formula1>
    </dataValidation>
    <dataValidation sqref="BX2:BX180" showDropDown="0" showInputMessage="0" showErrorMessage="0" allowBlank="1" type="list">
      <formula1>"More than 1.2,Between 0.7 to 1.2,Less than 0.7"</formula1>
    </dataValidation>
    <dataValidation sqref="BZ2:BZ180" showDropDown="0" showInputMessage="0" showErrorMessage="0" allowBlank="1" type="list">
      <formula1>"Yes,No"</formula1>
    </dataValidation>
    <dataValidation sqref="CB2:CB180" showDropDown="0" showInputMessage="0" showErrorMessage="0" allowBlank="1" type="list">
      <formula1>"More than 15%,Less than 15%"</formula1>
    </dataValidation>
    <dataValidation sqref="CD2:CD18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IF(B2=0,"",RANK(B2,$B$2:$B$11,0))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2074.32</v>
      </c>
      <c r="I2" s="32" t="n">
        <v>99.06</v>
      </c>
      <c r="J2" s="32" t="n">
        <v>4.85</v>
      </c>
      <c r="K2" s="32" t="n">
        <v>9500246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70.26000000000001</v>
      </c>
      <c r="P2" s="32" t="n">
        <v>33.37</v>
      </c>
      <c r="Q2" s="32" t="n">
        <v>75.44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-2.05</v>
      </c>
      <c r="U2" s="32" t="n">
        <v>44.51</v>
      </c>
      <c r="V2" s="32" t="n">
        <v>47.53</v>
      </c>
      <c r="W2" s="32" t="n">
        <v>19.91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IF(B3=0,"",RANK(B3,$B$2:$B$11,0))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905.58</v>
      </c>
      <c r="I3" s="32" t="n">
        <v>2478</v>
      </c>
      <c r="J3" s="32" t="n">
        <v>-0.16</v>
      </c>
      <c r="K3" s="32" t="n">
        <v>54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83.44</v>
      </c>
      <c r="P3" s="32" t="n">
        <v>60.66</v>
      </c>
      <c r="Q3" s="32" t="n">
        <v>1998.9</v>
      </c>
      <c r="R3" s="31" t="inlineStr">
        <is>
          <t>Near 52W High Breakout</t>
        </is>
      </c>
      <c r="S3" s="31" t="inlineStr">
        <is>
          <t>Nifty Bank</t>
        </is>
      </c>
      <c r="T3" s="32" t="n">
        <v>-2.05</v>
      </c>
      <c r="U3" s="32" t="n">
        <v>141.76</v>
      </c>
      <c r="V3" s="32" t="n">
        <v>146.81</v>
      </c>
      <c r="W3" s="32" t="n">
        <v>28.31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IF(B4=0,"",RANK(B4,$B$2:$B$11,0))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698.38</v>
      </c>
      <c r="I4" s="32" t="n">
        <v>139.01</v>
      </c>
      <c r="J4" s="32" t="n">
        <v>1.59</v>
      </c>
      <c r="K4" s="32" t="n">
        <v>229896</v>
      </c>
      <c r="L4" s="31" t="n">
        <v>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63.14</v>
      </c>
      <c r="P4" s="32" t="n">
        <v>38.39</v>
      </c>
      <c r="Q4" s="32" t="n">
        <v>111.28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-2.05</v>
      </c>
      <c r="U4" s="32" t="n">
        <v>3.79</v>
      </c>
      <c r="V4" s="32" t="n">
        <v>5.96</v>
      </c>
      <c r="W4" s="32" t="n">
        <v>2.52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IF(B5=0,"",RANK(B5,$B$2:$B$11,0))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SHAREINDIA</t>
        </is>
      </c>
      <c r="D5" s="31" t="inlineStr">
        <is>
          <t>Share India Securities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4487.89</v>
      </c>
      <c r="I5" s="32" t="n">
        <v>205.09</v>
      </c>
      <c r="J5" s="32" t="n">
        <v>0.04</v>
      </c>
      <c r="K5" s="32" t="n">
        <v>1139127</v>
      </c>
      <c r="L5" s="31" t="n">
        <v>55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63.36</v>
      </c>
      <c r="P5" s="32" t="n">
        <v>40.82</v>
      </c>
      <c r="Q5" s="32" t="n">
        <v>171.88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-2.05</v>
      </c>
      <c r="U5" s="32" t="n">
        <v>50.34</v>
      </c>
      <c r="V5" s="32" t="n">
        <v>53.48</v>
      </c>
      <c r="W5" s="32" t="n">
        <v>20.95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IF(B6=0,"",RANK(B6,$B$2:$B$11,0))</f>
        <v/>
      </c>
      <c r="B6" s="32">
        <f>SUM(N6,Y6,AA6,AC6,AE6,AG6,AI6,AK6,AM6,AO6,AQ6,AS6,AU6,AW6,AY6,BA6,BC6,BE6,BG6,BI6,BK6,BM6,BO6,BQ6,BS6,BU6,BW6,BY6,CA6)</f>
        <v/>
      </c>
      <c r="C6" s="31" t="inlineStr">
        <is>
          <t>ESAFSFB</t>
        </is>
      </c>
      <c r="D6" s="31" t="inlineStr">
        <is>
          <t>ESAF Small Finance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2239.23</v>
      </c>
      <c r="I6" s="32" t="n">
        <v>43.4</v>
      </c>
      <c r="J6" s="32" t="n">
        <v>-2.52</v>
      </c>
      <c r="K6" s="32" t="n">
        <v>438635</v>
      </c>
      <c r="L6" s="31" t="n">
        <v>41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64.53</v>
      </c>
      <c r="P6" s="32" t="n">
        <v>38.84</v>
      </c>
      <c r="Q6" s="32" t="n">
        <v>33.32</v>
      </c>
      <c r="R6" s="31" t="inlineStr">
        <is>
          <t>Near 52W High Breakout</t>
        </is>
      </c>
      <c r="S6" s="31" t="inlineStr">
        <is>
          <t>Nifty Bank</t>
        </is>
      </c>
      <c r="T6" s="32" t="n">
        <v>-2.05</v>
      </c>
      <c r="U6" s="32" t="n">
        <v>45.82</v>
      </c>
      <c r="V6" s="32" t="n">
        <v>48.87</v>
      </c>
      <c r="W6" s="32" t="n">
        <v>15.62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IF(B7=0,"",RANK(B7,$B$2:$B$11,0))</f>
        <v/>
      </c>
      <c r="B7" s="32">
        <f>SUM(N7,Y7,AA7,AC7,AE7,AG7,AI7,AK7,AM7,AO7,AQ7,AS7,AU7,AW7,AY7,BA7,BC7,BE7,BG7,BI7,BK7,BM7,BO7,BQ7,BS7,BU7,BW7,BY7,CA7)</f>
        <v/>
      </c>
      <c r="C7" s="31" t="inlineStr">
        <is>
          <t>EDELWEISS</t>
        </is>
      </c>
      <c r="D7" s="31" t="inlineStr">
        <is>
          <t>Edelweiss Financial Services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13052.67</v>
      </c>
      <c r="I7" s="32" t="n">
        <v>137.9</v>
      </c>
      <c r="J7" s="32" t="n">
        <v>-3.38</v>
      </c>
      <c r="K7" s="32" t="n">
        <v>6165446</v>
      </c>
      <c r="L7" s="31" t="n">
        <v>18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65.12</v>
      </c>
      <c r="P7" s="32" t="n">
        <v>22.15</v>
      </c>
      <c r="Q7" s="32" t="n">
        <v>104.77</v>
      </c>
      <c r="R7" s="31" t="inlineStr">
        <is>
          <t>Near 52W High Breakout</t>
        </is>
      </c>
      <c r="S7" s="31" t="inlineStr">
        <is>
          <t>Nifty Bank</t>
        </is>
      </c>
      <c r="T7" s="32" t="n">
        <v>-2.05</v>
      </c>
      <c r="U7" s="32" t="n">
        <v>24.62</v>
      </c>
      <c r="V7" s="32" t="n">
        <v>27.22</v>
      </c>
      <c r="W7" s="32" t="n">
        <v>7.19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IF(B8=0,"",RANK(B8,$B$2:$B$11,0))</f>
        <v/>
      </c>
      <c r="B8" s="32">
        <f>SUM(N8,Y8,AA8,AC8,AE8,AG8,AI8,AK8,AM8,AO8,AQ8,AS8,AU8,AW8,AY8,BA8,BC8,BE8,BG8,BI8,BK8,BM8,BO8,BQ8,BS8,BU8,BW8,BY8,CA8)</f>
        <v/>
      </c>
      <c r="C8" s="31" t="inlineStr">
        <is>
          <t>PRIMESECU</t>
        </is>
      </c>
      <c r="D8" s="31" t="inlineStr">
        <is>
          <t>Prime Securities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1023.3</v>
      </c>
      <c r="I8" s="32" t="n">
        <v>301.5</v>
      </c>
      <c r="J8" s="32" t="n">
        <v>1.02</v>
      </c>
      <c r="K8" s="32" t="n">
        <v>43023</v>
      </c>
      <c r="L8" s="31" t="n">
        <v>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58.84</v>
      </c>
      <c r="P8" s="32" t="n">
        <v>34.2</v>
      </c>
      <c r="Q8" s="32" t="n">
        <v>241.1</v>
      </c>
      <c r="R8" s="31" t="inlineStr">
        <is>
          <t>Near 52W High Breakout</t>
        </is>
      </c>
      <c r="S8" s="31" t="inlineStr">
        <is>
          <t>Nifty Bank</t>
        </is>
      </c>
      <c r="T8" s="32" t="n">
        <v>-2.05</v>
      </c>
      <c r="U8" s="32" t="n">
        <v>9.550000000000001</v>
      </c>
      <c r="V8" s="32" t="n">
        <v>11.84</v>
      </c>
      <c r="W8" s="32" t="n">
        <v>3.03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IF(B9=0,"",RANK(B9,$B$2:$B$11,0))</f>
        <v/>
      </c>
      <c r="B9" s="32">
        <f>SUM(N9,Y9,AA9,AC9,AE9,AG9,AI9,AK9,AM9,AO9,AQ9,AS9,AU9,AW9,AY9,BA9,BC9,BE9,BG9,BI9,BK9,BM9,BO9,BQ9,BS9,BU9,BW9,BY9,CA9)</f>
        <v/>
      </c>
      <c r="C9" s="31" t="inlineStr">
        <is>
          <t>GCSL</t>
        </is>
      </c>
      <c r="D9" s="31" t="inlineStr">
        <is>
          <t>Gretex Corporate Services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1700.12</v>
      </c>
      <c r="I9" s="32" t="n">
        <v>679.9</v>
      </c>
      <c r="J9" s="32" t="n">
        <v>0.6</v>
      </c>
      <c r="K9" s="32" t="n">
        <v>321775</v>
      </c>
      <c r="L9" s="31" t="n">
        <v>79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80.51000000000001</v>
      </c>
      <c r="P9" s="32" t="n">
        <v>34.69</v>
      </c>
      <c r="Q9" s="32" t="n">
        <v>547.15</v>
      </c>
      <c r="R9" s="31" t="inlineStr">
        <is>
          <t>Near 52W High Breakout</t>
        </is>
      </c>
      <c r="S9" s="31" t="inlineStr">
        <is>
          <t>Nifty Bank</t>
        </is>
      </c>
      <c r="T9" s="32" t="n">
        <v>-2.05</v>
      </c>
      <c r="U9" s="32" t="n">
        <v>175.66</v>
      </c>
      <c r="V9" s="32" t="n">
        <v>181.43</v>
      </c>
      <c r="W9" s="32" t="n">
        <v>32.05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IF(B10=0,"",RANK(B10,$B$2:$B$11,0))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IIFLCAPS</t>
        </is>
      </c>
      <c r="D10" s="31" t="inlineStr">
        <is>
          <t>IIFL Capital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10832.85</v>
      </c>
      <c r="I10" s="32" t="n">
        <v>345.6</v>
      </c>
      <c r="J10" s="32" t="n">
        <v>-0.12</v>
      </c>
      <c r="K10" s="32" t="n">
        <v>654711</v>
      </c>
      <c r="L10" s="31" t="n">
        <v>16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57.22</v>
      </c>
      <c r="P10" s="32" t="n">
        <v>19.08</v>
      </c>
      <c r="Q10" s="32" t="n">
        <v>304.23</v>
      </c>
      <c r="R10" s="31" t="inlineStr">
        <is>
          <t>Volume Spike / Accumulation</t>
        </is>
      </c>
      <c r="S10" s="31" t="inlineStr">
        <is>
          <t>Nifty Bank</t>
        </is>
      </c>
      <c r="T10" s="32" t="n">
        <v>-2.05</v>
      </c>
      <c r="U10" s="32" t="n">
        <v>18.18</v>
      </c>
      <c r="V10" s="32" t="n">
        <v>20.65</v>
      </c>
      <c r="W10" s="32" t="n">
        <v>6.22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IF(B11=0,"",RANK(B11,$B$2:$B$11,0))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KOTAKBANK</t>
        </is>
      </c>
      <c r="D11" s="31" t="inlineStr">
        <is>
          <t>Kotak Mahindra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416120.58</v>
      </c>
      <c r="I11" s="32" t="n">
        <v>418.35</v>
      </c>
      <c r="J11" s="32" t="n">
        <v>0.32</v>
      </c>
      <c r="K11" s="32" t="n">
        <v>76637247</v>
      </c>
      <c r="L11" s="31" t="n">
        <v>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57.53</v>
      </c>
      <c r="P11" s="32" t="n">
        <v>12.65</v>
      </c>
      <c r="Q11" s="32" t="n">
        <v>367.99</v>
      </c>
      <c r="R11" s="31" t="inlineStr">
        <is>
          <t>Volume Spike / Accumulation</t>
        </is>
      </c>
      <c r="S11" s="31" t="inlineStr">
        <is>
          <t>Nifty Bank</t>
        </is>
      </c>
      <c r="T11" s="32" t="n">
        <v>-2.05</v>
      </c>
      <c r="U11" s="32" t="n">
        <v>-0.24</v>
      </c>
      <c r="V11" s="32" t="n">
        <v>1.84</v>
      </c>
      <c r="W11" s="32" t="n">
        <v>1.63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</sheetData>
  <autoFilter ref="A1:CA11"/>
  <conditionalFormatting sqref="B2:B1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1">
    <cfRule type="cellIs" priority="34" operator="equal" dxfId="3" stopIfTrue="1">
      <formula>"Underperforming"</formula>
    </cfRule>
  </conditionalFormatting>
  <conditionalFormatting sqref="N2:N11">
    <cfRule type="cellIs" priority="35" operator="equal" dxfId="3" stopIfTrue="1">
      <formula>-5</formula>
    </cfRule>
  </conditionalFormatting>
  <conditionalFormatting sqref="Q2:Q1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1" showDropDown="0" showInputMessage="0" showErrorMessage="0" allowBlank="1" type="list">
      <formula1>"Growing Industry,Stagnant Industry,Cyclical in an Upturn"</formula1>
    </dataValidation>
    <dataValidation sqref="Z2:Z11" showDropDown="0" showInputMessage="0" showErrorMessage="0" allowBlank="1" type="list">
      <formula1>"Fragmented with Low ROE,Fragmented with High ROE,Highly Cyclical"</formula1>
    </dataValidation>
    <dataValidation sqref="AB2:AB11" showDropDown="0" showInputMessage="0" showErrorMessage="0" allowBlank="1" type="list">
      <formula1>"Yes,No"</formula1>
    </dataValidation>
    <dataValidation sqref="AD2:AD11" showDropDown="0" showInputMessage="0" showErrorMessage="0" allowBlank="1" type="list">
      <formula1>"Tailwind,Headwind"</formula1>
    </dataValidation>
    <dataValidation sqref="AF2:AF1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1" showDropDown="0" showInputMessage="0" showErrorMessage="0" allowBlank="1" type="list">
      <formula1>"Yes,No"</formula1>
    </dataValidation>
    <dataValidation sqref="AJ2:AJ11" showDropDown="0" showInputMessage="0" showErrorMessage="0" allowBlank="1" type="list">
      <formula1>"Yes,No,Not Applicable"</formula1>
    </dataValidation>
    <dataValidation sqref="AL2:AL11" showDropDown="0" showInputMessage="0" showErrorMessage="0" allowBlank="1" type="list">
      <formula1>"Yes,No"</formula1>
    </dataValidation>
    <dataValidation sqref="AN2:AN11" showDropDown="0" showInputMessage="0" showErrorMessage="0" allowBlank="1" type="list">
      <formula1>"Yes,No"</formula1>
    </dataValidation>
    <dataValidation sqref="AP2:AP11" showDropDown="0" showInputMessage="0" showErrorMessage="0" allowBlank="1" type="list">
      <formula1>"Yes,No"</formula1>
    </dataValidation>
    <dataValidation sqref="AR2:AR11" showDropDown="0" showInputMessage="0" showErrorMessage="0" allowBlank="1" type="list">
      <formula1>"Yes,No"</formula1>
    </dataValidation>
    <dataValidation sqref="AT2:AT11" showDropDown="0" showInputMessage="0" showErrorMessage="0" allowBlank="1" type="list">
      <formula1>"No,Yes"</formula1>
    </dataValidation>
    <dataValidation sqref="AV2:AV11" showDropDown="0" showInputMessage="0" showErrorMessage="0" allowBlank="1" type="list">
      <formula1>"No,Yes"</formula1>
    </dataValidation>
    <dataValidation sqref="AX2:AX11" showDropDown="0" showInputMessage="0" showErrorMessage="0" allowBlank="1" type="list">
      <formula1>"No,Yes CEO Resignation,Yes CEO Retirement"</formula1>
    </dataValidation>
    <dataValidation sqref="AZ2:AZ11" showDropDown="0" showInputMessage="0" showErrorMessage="0" allowBlank="1" type="list">
      <formula1>"No,Yes"</formula1>
    </dataValidation>
    <dataValidation sqref="BB2:BB11" showDropDown="0" showInputMessage="0" showErrorMessage="0" allowBlank="1" type="list">
      <formula1>"No,Yes"</formula1>
    </dataValidation>
    <dataValidation sqref="BD2:BD11" showDropDown="0" showInputMessage="0" showErrorMessage="0" allowBlank="1" type="list">
      <formula1>"Yes,No"</formula1>
    </dataValidation>
    <dataValidation sqref="BF2:BF11" showDropDown="0" showInputMessage="0" showErrorMessage="0" allowBlank="1" type="list">
      <formula1>"Yes,No"</formula1>
    </dataValidation>
    <dataValidation sqref="BH2:BH11" showDropDown="0" showInputMessage="0" showErrorMessage="0" allowBlank="1" type="list">
      <formula1>"Yes,No"</formula1>
    </dataValidation>
    <dataValidation sqref="BJ2:BJ1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1" showDropDown="0" showInputMessage="0" showErrorMessage="0" allowBlank="1" type="list">
      <formula1>"Above 40,20 to 40,0 to 20"</formula1>
    </dataValidation>
    <dataValidation sqref="BN2:BN11" showDropDown="0" showInputMessage="0" showErrorMessage="0" allowBlank="1" type="list">
      <formula1>"Between 50 to 75,Above 75,Below 45"</formula1>
    </dataValidation>
    <dataValidation sqref="BP2:BP11" showDropDown="0" showInputMessage="0" showErrorMessage="0" allowBlank="1" type="list">
      <formula1>"Stage 1,Stage 2,Stage 3,Stage 4"</formula1>
    </dataValidation>
    <dataValidation sqref="BR2:BR11" showDropDown="0" showInputMessage="0" showErrorMessage="0" allowBlank="1" type="list">
      <formula1>"Positive Trend,Negative Trend"</formula1>
    </dataValidation>
    <dataValidation sqref="BT2:BT11" showDropDown="0" showInputMessage="0" showErrorMessage="0" allowBlank="1" type="list">
      <formula1>"Uptrend,Sideways,Downtrend"</formula1>
    </dataValidation>
    <dataValidation sqref="BV2:BV11" showDropDown="0" showInputMessage="0" showErrorMessage="0" allowBlank="1" type="list">
      <formula1>"Uptrend,Sideways,Downtrend"</formula1>
    </dataValidation>
    <dataValidation sqref="BX2:BX1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7</v>
      </c>
      <c r="H2" s="31" t="inlineStr">
        <is>
          <t>KINGFA</t>
        </is>
      </c>
      <c r="I2" s="31" t="inlineStr">
        <is>
          <t>Kingfa Science &amp; Technology (india) Limited</t>
        </is>
      </c>
      <c r="J2" s="31" t="inlineStr">
        <is>
          <t>plastic products</t>
        </is>
      </c>
      <c r="K2" s="31" t="inlineStr">
        <is>
          <t>plastics products</t>
        </is>
      </c>
      <c r="L2" s="31" t="inlineStr">
        <is>
          <t>midcap</t>
        </is>
      </c>
      <c r="M2" s="32" t="n">
        <v>8925.620000000001</v>
      </c>
      <c r="N2" s="32" t="n">
        <v>6586.5</v>
      </c>
      <c r="O2" s="32" t="n">
        <v>1.6</v>
      </c>
      <c r="P2" s="32" t="n">
        <v>16414</v>
      </c>
      <c r="Q2" s="31" t="n">
        <v>38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71.51000000000001</v>
      </c>
      <c r="U2" s="32" t="n">
        <v>41.97</v>
      </c>
      <c r="V2" s="32" t="n">
        <v>5246.09</v>
      </c>
      <c r="W2" s="31" t="inlineStr">
        <is>
          <t>Near 52W High Breakout</t>
        </is>
      </c>
      <c r="X2" s="31" t="inlineStr">
        <is>
          <t>Nifty 50</t>
        </is>
      </c>
      <c r="Y2" s="32" t="n">
        <v>-9.93</v>
      </c>
      <c r="Z2" s="32" t="n">
        <v>44.26</v>
      </c>
      <c r="AA2" s="32" t="n">
        <v>60.17</v>
      </c>
      <c r="AB2" s="32" t="n">
        <v>14.21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</v>
      </c>
      <c r="E3" s="32" t="inlineStr">
        <is>
          <t>5%</t>
        </is>
      </c>
      <c r="F3" s="32" t="n">
        <v>50000</v>
      </c>
      <c r="G3" s="32" t="n">
        <v>258</v>
      </c>
      <c r="H3" s="31" t="inlineStr">
        <is>
          <t>OCCLLTD</t>
        </is>
      </c>
      <c r="I3" s="31" t="inlineStr">
        <is>
          <t>OCCL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966.49</v>
      </c>
      <c r="N3" s="32" t="n">
        <v>193.49</v>
      </c>
      <c r="O3" s="32" t="n">
        <v>3.23</v>
      </c>
      <c r="P3" s="32" t="n">
        <v>182487</v>
      </c>
      <c r="Q3" s="31" t="n">
        <v>59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76.87</v>
      </c>
      <c r="U3" s="32" t="n">
        <v>48.34</v>
      </c>
      <c r="V3" s="32" t="n">
        <v>146.04</v>
      </c>
      <c r="W3" s="31" t="inlineStr">
        <is>
          <t>Volume Spike &amp; Near 52W High Breakout</t>
        </is>
      </c>
      <c r="X3" s="31" t="inlineStr">
        <is>
          <t>Nifty 50</t>
        </is>
      </c>
      <c r="Y3" s="32" t="n">
        <v>-9.93</v>
      </c>
      <c r="Z3" s="32" t="n">
        <v>51.79</v>
      </c>
      <c r="AA3" s="32" t="n">
        <v>68.53</v>
      </c>
      <c r="AB3" s="32" t="n">
        <v>23.91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137.2</v>
      </c>
      <c r="E4" s="32" t="inlineStr">
        <is>
          <t>5%</t>
        </is>
      </c>
      <c r="F4" s="32" t="n">
        <v>50000</v>
      </c>
      <c r="G4" s="32" t="n">
        <v>26</v>
      </c>
      <c r="H4" s="31" t="inlineStr">
        <is>
          <t>DPABHUSHAN</t>
        </is>
      </c>
      <c r="I4" s="31" t="inlineStr">
        <is>
          <t>D.P. Abhushan Ltd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smallcap</t>
        </is>
      </c>
      <c r="M4" s="32" t="n">
        <v>4277.95</v>
      </c>
      <c r="N4" s="32" t="n">
        <v>1874</v>
      </c>
      <c r="O4" s="32" t="n">
        <v>4.76</v>
      </c>
      <c r="P4" s="32" t="n">
        <v>784999</v>
      </c>
      <c r="Q4" s="31" t="n">
        <v>77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74.56</v>
      </c>
      <c r="U4" s="32" t="n">
        <v>36.23</v>
      </c>
      <c r="V4" s="32" t="n">
        <v>1376.2</v>
      </c>
      <c r="W4" s="31" t="inlineStr">
        <is>
          <t>Volume Spike &amp; Near 52W High Breakout</t>
        </is>
      </c>
      <c r="X4" s="31" t="inlineStr">
        <is>
          <t>Nifty 50</t>
        </is>
      </c>
      <c r="Y4" s="32" t="n">
        <v>-9.93</v>
      </c>
      <c r="Z4" s="32" t="n">
        <v>30.25</v>
      </c>
      <c r="AA4" s="32" t="n">
        <v>44.61</v>
      </c>
      <c r="AB4" s="32" t="n">
        <v>30.82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373</v>
      </c>
      <c r="H5" s="31" t="inlineStr">
        <is>
          <t>MOREPENLAB</t>
        </is>
      </c>
      <c r="I5" s="31" t="inlineStr">
        <is>
          <t>Morepen Laboratories Limited</t>
        </is>
      </c>
      <c r="J5" s="31" t="inlineStr">
        <is>
          <t>healthcare</t>
        </is>
      </c>
      <c r="K5" s="31" t="inlineStr">
        <is>
          <t>pharmaceuticals - indian - bulk drugs &amp; formln</t>
        </is>
      </c>
      <c r="L5" s="31" t="inlineStr">
        <is>
          <t>midcap</t>
        </is>
      </c>
      <c r="M5" s="32" t="n">
        <v>7327.24</v>
      </c>
      <c r="N5" s="32" t="n">
        <v>133.72</v>
      </c>
      <c r="O5" s="32" t="n">
        <v>6.14</v>
      </c>
      <c r="P5" s="32" t="n">
        <v>37973409</v>
      </c>
      <c r="Q5" s="31" t="n">
        <v>97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90.11</v>
      </c>
      <c r="U5" s="32" t="n">
        <v>56.84</v>
      </c>
      <c r="V5" s="32" t="n">
        <v>100.61</v>
      </c>
      <c r="W5" s="31" t="inlineStr">
        <is>
          <t>Near 52W High Breakout</t>
        </is>
      </c>
      <c r="X5" s="31" t="inlineStr">
        <is>
          <t>Nifty Pharma</t>
        </is>
      </c>
      <c r="Y5" s="32" t="n">
        <v>20.94</v>
      </c>
      <c r="Z5" s="32" t="n">
        <v>171.83</v>
      </c>
      <c r="AA5" s="32" t="n">
        <v>124.77</v>
      </c>
      <c r="AB5" s="32" t="n">
        <v>56.93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137.7</v>
      </c>
      <c r="E6" s="32" t="inlineStr">
        <is>
          <t>5%</t>
        </is>
      </c>
      <c r="F6" s="32" t="n">
        <v>50000</v>
      </c>
      <c r="G6" s="32" t="n">
        <v>209</v>
      </c>
      <c r="H6" s="31" t="inlineStr">
        <is>
          <t>WELSPUNLIV</t>
        </is>
      </c>
      <c r="I6" s="31" t="inlineStr">
        <is>
          <t>Welspun Living Ltd</t>
        </is>
      </c>
      <c r="J6" s="31" t="inlineStr">
        <is>
          <t>textiles</t>
        </is>
      </c>
      <c r="K6" s="31" t="inlineStr">
        <is>
          <t>textiles - products</t>
        </is>
      </c>
      <c r="L6" s="31" t="inlineStr">
        <is>
          <t>largecap</t>
        </is>
      </c>
      <c r="M6" s="32" t="n">
        <v>22595.65</v>
      </c>
      <c r="N6" s="32" t="n">
        <v>239.17</v>
      </c>
      <c r="O6" s="32" t="n">
        <v>5.21</v>
      </c>
      <c r="P6" s="32" t="n">
        <v>22516675</v>
      </c>
      <c r="Q6" s="31" t="n">
        <v>63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84.48</v>
      </c>
      <c r="U6" s="32" t="n">
        <v>45.31</v>
      </c>
      <c r="V6" s="32" t="n">
        <v>193.09</v>
      </c>
      <c r="W6" s="31" t="inlineStr">
        <is>
          <t>Volume Spike &amp; Near 52W High Breakout</t>
        </is>
      </c>
      <c r="X6" s="31" t="inlineStr">
        <is>
          <t>Nifty 50</t>
        </is>
      </c>
      <c r="Y6" s="32" t="n">
        <v>-9.93</v>
      </c>
      <c r="Z6" s="32" t="n">
        <v>104.03</v>
      </c>
      <c r="AA6" s="32" t="n">
        <v>126.53</v>
      </c>
      <c r="AB6" s="32" t="n">
        <v>25.55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137.6</v>
      </c>
      <c r="E7" s="32" t="inlineStr">
        <is>
          <t>5%</t>
        </is>
      </c>
      <c r="F7" s="32" t="n">
        <v>50000</v>
      </c>
      <c r="G7" s="32" t="n">
        <v>217</v>
      </c>
      <c r="H7" s="31" t="inlineStr">
        <is>
          <t>LOTUSDEV</t>
        </is>
      </c>
      <c r="I7" s="31" t="inlineStr">
        <is>
          <t>Sri Lotus Developers &amp; Realty Ltd</t>
        </is>
      </c>
      <c r="J7" s="31" t="inlineStr">
        <is>
          <t>realty</t>
        </is>
      </c>
      <c r="K7" s="31" t="inlineStr">
        <is>
          <t>construction</t>
        </is>
      </c>
      <c r="L7" s="31" t="inlineStr">
        <is>
          <t>midcap</t>
        </is>
      </c>
      <c r="M7" s="32" t="n">
        <v>11244.07</v>
      </c>
      <c r="N7" s="32" t="n">
        <v>230.07</v>
      </c>
      <c r="O7" s="32" t="n">
        <v>2.47</v>
      </c>
      <c r="P7" s="32" t="n">
        <v>1685413</v>
      </c>
      <c r="Q7" s="31" t="inlineStr"/>
      <c r="R7" s="31" t="inlineStr"/>
      <c r="S7" s="32">
        <f>IF(R7="Underperforming",-5,IF(Q7&gt;=95,15,IF(Q7&gt;=90,10,IF(Q7&gt;=80,5,0))))</f>
        <v/>
      </c>
      <c r="T7" s="32" t="n">
        <v>70.98999999999999</v>
      </c>
      <c r="U7" s="32" t="n">
        <v>29.65</v>
      </c>
      <c r="V7" s="32" t="n">
        <v>176.61</v>
      </c>
      <c r="W7" s="31" t="inlineStr">
        <is>
          <t>Near 52W High Breakout</t>
        </is>
      </c>
      <c r="X7" s="31" t="inlineStr">
        <is>
          <t>Nifty Realty</t>
        </is>
      </c>
      <c r="Y7" s="32" t="inlineStr"/>
      <c r="Z7" s="32" t="inlineStr"/>
      <c r="AA7" s="32" t="inlineStr"/>
      <c r="AB7" s="32" t="inlineStr"/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139.4</v>
      </c>
      <c r="E8" s="32" t="inlineStr">
        <is>
          <t>5%</t>
        </is>
      </c>
      <c r="F8" s="32" t="n">
        <v>50000</v>
      </c>
      <c r="G8" s="32" t="n">
        <v>160</v>
      </c>
      <c r="H8" s="31" t="inlineStr">
        <is>
          <t>CUPID</t>
        </is>
      </c>
      <c r="I8" s="31" t="inlineStr">
        <is>
          <t>Cupid Limited</t>
        </is>
      </c>
      <c r="J8" s="31" t="inlineStr">
        <is>
          <t>fmcg</t>
        </is>
      </c>
      <c r="K8" s="31" t="inlineStr">
        <is>
          <t>personal care - indian</t>
        </is>
      </c>
      <c r="L8" s="31" t="inlineStr">
        <is>
          <t>largecap</t>
        </is>
      </c>
      <c r="M8" s="32" t="n">
        <v>42020.65</v>
      </c>
      <c r="N8" s="32" t="n">
        <v>312.5</v>
      </c>
      <c r="O8" s="32" t="n">
        <v>0.27</v>
      </c>
      <c r="P8" s="32" t="n">
        <v>25539188</v>
      </c>
      <c r="Q8" s="31" t="inlineStr"/>
      <c r="R8" s="31" t="inlineStr"/>
      <c r="S8" s="32">
        <f>IF(R8="Underperforming",-5,IF(Q8&gt;=95,15,IF(Q8&gt;=90,10,IF(Q8&gt;=80,5,0))))</f>
        <v/>
      </c>
      <c r="T8" s="32" t="n">
        <v>82.45999999999999</v>
      </c>
      <c r="U8" s="32" t="n">
        <v>67.44</v>
      </c>
      <c r="V8" s="32" t="n">
        <v>234.99</v>
      </c>
      <c r="W8" s="31" t="inlineStr">
        <is>
          <t>Near 52W High Breakout</t>
        </is>
      </c>
      <c r="X8" s="31" t="inlineStr">
        <is>
          <t>Nifty FMCG</t>
        </is>
      </c>
      <c r="Y8" s="32" t="inlineStr"/>
      <c r="Z8" s="32" t="inlineStr"/>
      <c r="AA8" s="32" t="inlineStr"/>
      <c r="AB8" s="32" t="inlineStr"/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B2C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138.4</v>
      </c>
      <c r="E9" s="32" t="inlineStr">
        <is>
          <t>5%</t>
        </is>
      </c>
      <c r="F9" s="32" t="n">
        <v>50000</v>
      </c>
      <c r="G9" s="32" t="n">
        <v>24</v>
      </c>
      <c r="H9" s="31" t="inlineStr">
        <is>
          <t>LALPATHLAB</t>
        </is>
      </c>
      <c r="I9" s="31" t="inlineStr">
        <is>
          <t>Dr. Lal Path Labs Ltd.</t>
        </is>
      </c>
      <c r="J9" s="31" t="inlineStr">
        <is>
          <t>healthcare</t>
        </is>
      </c>
      <c r="K9" s="31" t="inlineStr">
        <is>
          <t>healthcare</t>
        </is>
      </c>
      <c r="L9" s="31" t="inlineStr">
        <is>
          <t>largecap</t>
        </is>
      </c>
      <c r="M9" s="32" t="n">
        <v>33613.05</v>
      </c>
      <c r="N9" s="32" t="n">
        <v>2005.1</v>
      </c>
      <c r="O9" s="32" t="n">
        <v>0.91</v>
      </c>
      <c r="P9" s="32" t="n">
        <v>542969</v>
      </c>
      <c r="Q9" s="31" t="n">
        <v>31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71.73</v>
      </c>
      <c r="U9" s="32" t="n">
        <v>47.47</v>
      </c>
      <c r="V9" s="32" t="n">
        <v>1663.59</v>
      </c>
      <c r="W9" s="31" t="inlineStr">
        <is>
          <t>Near 52W High Breakout</t>
        </is>
      </c>
      <c r="X9" s="31" t="inlineStr">
        <is>
          <t>Nifty Pharma</t>
        </is>
      </c>
      <c r="Y9" s="32" t="n">
        <v>20.94</v>
      </c>
      <c r="Z9" s="32" t="n">
        <v>28.83</v>
      </c>
      <c r="AA9" s="32" t="n">
        <v>6.52</v>
      </c>
      <c r="AB9" s="32" t="n">
        <v>10.42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136.8</v>
      </c>
      <c r="E10" s="32" t="inlineStr">
        <is>
          <t>5%</t>
        </is>
      </c>
      <c r="F10" s="32" t="n">
        <v>50000</v>
      </c>
      <c r="G10" s="32" t="n">
        <v>12</v>
      </c>
      <c r="H10" s="31" t="inlineStr">
        <is>
          <t>SPECTRUM</t>
        </is>
      </c>
      <c r="I10" s="31" t="inlineStr">
        <is>
          <t>Spectrum Electrical Industries Ltd</t>
        </is>
      </c>
      <c r="J10" s="31" t="inlineStr">
        <is>
          <t>industrials</t>
        </is>
      </c>
      <c r="K10" s="31" t="inlineStr">
        <is>
          <t>electric equipment</t>
        </is>
      </c>
      <c r="L10" s="31" t="inlineStr">
        <is>
          <t>midcap</t>
        </is>
      </c>
      <c r="M10" s="32" t="n">
        <v>6584.48</v>
      </c>
      <c r="N10" s="32" t="n">
        <v>3853.4</v>
      </c>
      <c r="O10" s="32" t="n">
        <v>0.19</v>
      </c>
      <c r="P10" s="32" t="n">
        <v>8519</v>
      </c>
      <c r="Q10" s="31" t="n">
        <v>95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84.95</v>
      </c>
      <c r="U10" s="32" t="n">
        <v>64.61</v>
      </c>
      <c r="V10" s="32" t="n">
        <v>2929.05</v>
      </c>
      <c r="W10" s="31" t="inlineStr">
        <is>
          <t>Near 52W High Breakout</t>
        </is>
      </c>
      <c r="X10" s="31" t="inlineStr">
        <is>
          <t>Nifty 50</t>
        </is>
      </c>
      <c r="Y10" s="32" t="n">
        <v>-9.93</v>
      </c>
      <c r="Z10" s="32" t="n">
        <v>188.3</v>
      </c>
      <c r="AA10" s="32" t="n">
        <v>220.09</v>
      </c>
      <c r="AB10" s="32" t="n">
        <v>51.08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Between 0.7 to 1.2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134.9</v>
      </c>
      <c r="E11" s="32" t="inlineStr">
        <is>
          <t>5%</t>
        </is>
      </c>
      <c r="F11" s="32" t="n">
        <v>50000</v>
      </c>
      <c r="G11" s="32" t="n">
        <v>28</v>
      </c>
      <c r="H11" s="31" t="inlineStr">
        <is>
          <t>UNIMECH</t>
        </is>
      </c>
      <c r="I11" s="31" t="inlineStr">
        <is>
          <t>Unimech Aerospace and Manufacturing Ltd</t>
        </is>
      </c>
      <c r="J11" s="31" t="inlineStr">
        <is>
          <t>aerospace &amp; defence</t>
        </is>
      </c>
      <c r="K11" s="31" t="inlineStr">
        <is>
          <t>engineering</t>
        </is>
      </c>
      <c r="L11" s="31" t="inlineStr">
        <is>
          <t>midcap</t>
        </is>
      </c>
      <c r="M11" s="32" t="n">
        <v>9016.93</v>
      </c>
      <c r="N11" s="32" t="n">
        <v>1773</v>
      </c>
      <c r="O11" s="32" t="n">
        <v>2.84</v>
      </c>
      <c r="P11" s="32" t="n">
        <v>403902</v>
      </c>
      <c r="Q11" s="31" t="n">
        <v>66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80.37</v>
      </c>
      <c r="U11" s="32" t="n">
        <v>47.53</v>
      </c>
      <c r="V11" s="32" t="n">
        <v>1342.07</v>
      </c>
      <c r="W11" s="31" t="inlineStr">
        <is>
          <t>Near 52W High Breakout</t>
        </is>
      </c>
      <c r="X11" s="31" t="inlineStr">
        <is>
          <t>Nifty 50</t>
        </is>
      </c>
      <c r="Y11" s="32" t="n">
        <v>-9.93</v>
      </c>
      <c r="Z11" s="32" t="n">
        <v>78.70999999999999</v>
      </c>
      <c r="AA11" s="32" t="n">
        <v>98.42</v>
      </c>
      <c r="AB11" s="32" t="n">
        <v>27.28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132</v>
      </c>
      <c r="H12" s="31" t="inlineStr">
        <is>
          <t>BAFNAPH</t>
        </is>
      </c>
      <c r="I12" s="31" t="inlineStr">
        <is>
          <t>Bafna Pharmaceuticals Ltd</t>
        </is>
      </c>
      <c r="J12" s="31" t="inlineStr">
        <is>
          <t>healthcare</t>
        </is>
      </c>
      <c r="K12" s="31" t="inlineStr">
        <is>
          <t>pharmaceuticals - indian - formulations</t>
        </is>
      </c>
      <c r="L12" s="31" t="inlineStr">
        <is>
          <t>smallcap</t>
        </is>
      </c>
      <c r="M12" s="32" t="n">
        <v>895.98</v>
      </c>
      <c r="N12" s="32" t="n">
        <v>378.75</v>
      </c>
      <c r="O12" s="32" t="n">
        <v>1.99</v>
      </c>
      <c r="P12" s="32" t="n">
        <v>500</v>
      </c>
      <c r="Q12" s="31" t="n">
        <v>90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80.3</v>
      </c>
      <c r="U12" s="32" t="n">
        <v>62.43</v>
      </c>
      <c r="V12" s="32" t="n">
        <v>305.06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20.94</v>
      </c>
      <c r="Z12" s="32" t="n">
        <v>123.77</v>
      </c>
      <c r="AA12" s="32" t="n">
        <v>85.03</v>
      </c>
      <c r="AB12" s="32" t="n">
        <v>41.47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139.8</v>
      </c>
      <c r="E13" s="32" t="inlineStr">
        <is>
          <t>5%</t>
        </is>
      </c>
      <c r="F13" s="32" t="n">
        <v>50000</v>
      </c>
      <c r="G13" s="32" t="n">
        <v>672</v>
      </c>
      <c r="H13" s="31" t="inlineStr">
        <is>
          <t>ONEPOINT</t>
        </is>
      </c>
      <c r="I13" s="31" t="inlineStr">
        <is>
          <t>One Point One Solutions Ltd</t>
        </is>
      </c>
      <c r="J13" s="31" t="inlineStr">
        <is>
          <t>i.t</t>
        </is>
      </c>
      <c r="K13" s="31" t="inlineStr">
        <is>
          <t>computers - software - medium / small</t>
        </is>
      </c>
      <c r="L13" s="31" t="inlineStr">
        <is>
          <t>smallcap</t>
        </is>
      </c>
      <c r="M13" s="32" t="n">
        <v>1955.46</v>
      </c>
      <c r="N13" s="32" t="n">
        <v>74.37</v>
      </c>
      <c r="O13" s="32" t="n">
        <v>1.34</v>
      </c>
      <c r="P13" s="32" t="n">
        <v>6251994</v>
      </c>
      <c r="Q13" s="31" t="n">
        <v>41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72.48</v>
      </c>
      <c r="U13" s="32" t="n">
        <v>16.07</v>
      </c>
      <c r="V13" s="32" t="n">
        <v>57.86</v>
      </c>
      <c r="W13" s="31" t="inlineStr">
        <is>
          <t>Volume Spike &amp; Near 52W High Breakout</t>
        </is>
      </c>
      <c r="X13" s="31" t="inlineStr">
        <is>
          <t>Nifty IT</t>
        </is>
      </c>
      <c r="Y13" s="32" t="n">
        <v>-16.63</v>
      </c>
      <c r="Z13" s="32" t="n">
        <v>54.07</v>
      </c>
      <c r="AA13" s="32" t="n">
        <v>84.8</v>
      </c>
      <c r="AB13" s="32" t="n">
        <v>15.55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0 to 20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Less than 1.5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140</v>
      </c>
      <c r="E14" s="32" t="inlineStr">
        <is>
          <t>5%</t>
        </is>
      </c>
      <c r="F14" s="32" t="n">
        <v>50000</v>
      </c>
      <c r="G14" s="32" t="n">
        <v>46</v>
      </c>
      <c r="H14" s="31" t="inlineStr">
        <is>
          <t>SIGMAADV</t>
        </is>
      </c>
      <c r="I14" s="31" t="inlineStr">
        <is>
          <t>Sigma Advanced System Ltd</t>
        </is>
      </c>
      <c r="J14" s="31" t="inlineStr">
        <is>
          <t>aerospace &amp; defence</t>
        </is>
      </c>
      <c r="K14" s="31" t="inlineStr">
        <is>
          <t>electronics - components</t>
        </is>
      </c>
      <c r="L14" s="31" t="inlineStr">
        <is>
          <t>largecap</t>
        </is>
      </c>
      <c r="M14" s="32" t="n">
        <v>20406.84</v>
      </c>
      <c r="N14" s="32" t="n">
        <v>1076.9</v>
      </c>
      <c r="O14" s="32" t="n">
        <v>4.99</v>
      </c>
      <c r="P14" s="32" t="n">
        <v>542861</v>
      </c>
      <c r="Q14" s="31" t="n">
        <v>98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85.68000000000001</v>
      </c>
      <c r="U14" s="32" t="n">
        <v>63.17</v>
      </c>
      <c r="V14" s="32" t="n">
        <v>817.98</v>
      </c>
      <c r="W14" s="31" t="inlineStr">
        <is>
          <t>Near 52W High Breakout</t>
        </is>
      </c>
      <c r="X14" s="31" t="inlineStr">
        <is>
          <t>Nifty 50</t>
        </is>
      </c>
      <c r="Y14" s="32" t="n">
        <v>-9.93</v>
      </c>
      <c r="Z14" s="32" t="n">
        <v>594.37</v>
      </c>
      <c r="AA14" s="32" t="n">
        <v>670.9299999999999</v>
      </c>
      <c r="AB14" s="32" t="n">
        <v>90.06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139.4</v>
      </c>
      <c r="E15" s="32" t="inlineStr">
        <is>
          <t>5%</t>
        </is>
      </c>
      <c r="F15" s="32" t="n">
        <v>50000</v>
      </c>
      <c r="G15" s="32" t="n">
        <v>64</v>
      </c>
      <c r="H15" s="31" t="inlineStr">
        <is>
          <t>SHREEJISPG</t>
        </is>
      </c>
      <c r="I15" s="31" t="inlineStr">
        <is>
          <t>Shreeji Shipping Global Ltd</t>
        </is>
      </c>
      <c r="J15" s="31" t="inlineStr">
        <is>
          <t>transportation</t>
        </is>
      </c>
      <c r="K15" s="31" t="inlineStr">
        <is>
          <t>shipping</t>
        </is>
      </c>
      <c r="L15" s="31" t="inlineStr">
        <is>
          <t>midcap</t>
        </is>
      </c>
      <c r="M15" s="32" t="n">
        <v>12631.87</v>
      </c>
      <c r="N15" s="32" t="n">
        <v>775.35</v>
      </c>
      <c r="O15" s="32" t="n">
        <v>0.64</v>
      </c>
      <c r="P15" s="32" t="n">
        <v>1026808</v>
      </c>
      <c r="Q15" s="31" t="n">
        <v>89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83.45</v>
      </c>
      <c r="U15" s="32" t="n">
        <v>56.61</v>
      </c>
      <c r="V15" s="32" t="n">
        <v>645.39</v>
      </c>
      <c r="W15" s="31" t="inlineStr">
        <is>
          <t>Near 52W High Breakout</t>
        </is>
      </c>
      <c r="X15" s="31" t="inlineStr">
        <is>
          <t>Nifty 50</t>
        </is>
      </c>
      <c r="Y15" s="32" t="n">
        <v>-9.93</v>
      </c>
      <c r="Z15" s="32" t="n">
        <v>222.06</v>
      </c>
      <c r="AA15" s="32" t="n">
        <v>257.58</v>
      </c>
      <c r="AB15" s="32" t="n">
        <v>39.49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138.3</v>
      </c>
      <c r="E16" s="32" t="inlineStr">
        <is>
          <t>5%</t>
        </is>
      </c>
      <c r="F16" s="32" t="n">
        <v>50000</v>
      </c>
      <c r="G16" s="32" t="n">
        <v>3</v>
      </c>
      <c r="H16" s="31" t="inlineStr">
        <is>
          <t>DYNAMATECH</t>
        </is>
      </c>
      <c r="I16" s="31" t="inlineStr">
        <is>
          <t>Dynamatic Technologies Limited</t>
        </is>
      </c>
      <c r="J16" s="31" t="inlineStr">
        <is>
          <t>aerospace &amp; defence</t>
        </is>
      </c>
      <c r="K16" s="31" t="inlineStr">
        <is>
          <t>engineering</t>
        </is>
      </c>
      <c r="L16" s="31" t="inlineStr">
        <is>
          <t>midcap</t>
        </is>
      </c>
      <c r="M16" s="32" t="n">
        <v>9342.309999999999</v>
      </c>
      <c r="N16" s="32" t="n">
        <v>13756</v>
      </c>
      <c r="O16" s="32" t="n">
        <v>1.07</v>
      </c>
      <c r="P16" s="32" t="n">
        <v>42592</v>
      </c>
      <c r="Q16" s="31" t="n">
        <v>55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71.03</v>
      </c>
      <c r="U16" s="32" t="n">
        <v>29.22</v>
      </c>
      <c r="V16" s="32" t="n">
        <v>10602.05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-9.93</v>
      </c>
      <c r="Z16" s="32" t="n">
        <v>96.81</v>
      </c>
      <c r="AA16" s="32" t="n">
        <v>118.51</v>
      </c>
      <c r="AB16" s="32" t="n">
        <v>22.45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129.5</v>
      </c>
      <c r="E17" s="32" t="inlineStr">
        <is>
          <t>5%</t>
        </is>
      </c>
      <c r="F17" s="32" t="n">
        <v>50000</v>
      </c>
      <c r="G17" s="32" t="n">
        <v>124</v>
      </c>
      <c r="H17" s="31" t="inlineStr">
        <is>
          <t>LOKESHMACH</t>
        </is>
      </c>
      <c r="I17" s="31" t="inlineStr">
        <is>
          <t>Lokesh Machines Limited</t>
        </is>
      </c>
      <c r="J17" s="31" t="inlineStr">
        <is>
          <t>industrials</t>
        </is>
      </c>
      <c r="K17" s="31" t="inlineStr">
        <is>
          <t>engineering</t>
        </is>
      </c>
      <c r="L17" s="31" t="inlineStr">
        <is>
          <t>smallcap</t>
        </is>
      </c>
      <c r="M17" s="32" t="n">
        <v>873.61</v>
      </c>
      <c r="N17" s="32" t="n">
        <v>400.8</v>
      </c>
      <c r="O17" s="32" t="n">
        <v>9.539999999999999</v>
      </c>
      <c r="P17" s="32" t="n">
        <v>991506</v>
      </c>
      <c r="Q17" s="31" t="n">
        <v>57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72.09</v>
      </c>
      <c r="U17" s="32" t="n">
        <v>40.32</v>
      </c>
      <c r="V17" s="32" t="n">
        <v>293.29</v>
      </c>
      <c r="W17" s="31" t="inlineStr">
        <is>
          <t>Volume Spike &amp; Near 52W High Breakout</t>
        </is>
      </c>
      <c r="X17" s="31" t="inlineStr">
        <is>
          <t>Nifty 50</t>
        </is>
      </c>
      <c r="Y17" s="32" t="n">
        <v>-9.93</v>
      </c>
      <c r="Z17" s="32" t="n">
        <v>107.01</v>
      </c>
      <c r="AA17" s="32" t="n">
        <v>129.84</v>
      </c>
      <c r="AB17" s="32" t="n">
        <v>22.87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138.2</v>
      </c>
      <c r="E18" s="32" t="inlineStr">
        <is>
          <t>5%</t>
        </is>
      </c>
      <c r="F18" s="32" t="n">
        <v>50000</v>
      </c>
      <c r="G18" s="32" t="n">
        <v>21</v>
      </c>
      <c r="H18" s="31" t="inlineStr">
        <is>
          <t>AXISCADES</t>
        </is>
      </c>
      <c r="I18" s="31" t="inlineStr">
        <is>
          <t>AXISCADES Technologies Ltd</t>
        </is>
      </c>
      <c r="J18" s="31" t="inlineStr">
        <is>
          <t>aerospace &amp; defence</t>
        </is>
      </c>
      <c r="K18" s="31" t="inlineStr">
        <is>
          <t>computers - software - medium / small</t>
        </is>
      </c>
      <c r="L18" s="31" t="inlineStr">
        <is>
          <t>midcap</t>
        </is>
      </c>
      <c r="M18" s="32" t="n">
        <v>9813.18</v>
      </c>
      <c r="N18" s="32" t="n">
        <v>2307.3</v>
      </c>
      <c r="O18" s="32" t="n">
        <v>3.41</v>
      </c>
      <c r="P18" s="32" t="n">
        <v>681040</v>
      </c>
      <c r="Q18" s="31" t="n">
        <v>42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71.45999999999999</v>
      </c>
      <c r="U18" s="32" t="n">
        <v>12.86</v>
      </c>
      <c r="V18" s="32" t="n">
        <v>1707</v>
      </c>
      <c r="W18" s="31" t="inlineStr">
        <is>
          <t>Volume Spike &amp; Near 52W High Breakout</t>
        </is>
      </c>
      <c r="X18" s="31" t="inlineStr">
        <is>
          <t>Nifty IT</t>
        </is>
      </c>
      <c r="Y18" s="32" t="n">
        <v>-16.63</v>
      </c>
      <c r="Z18" s="32" t="n">
        <v>35.5</v>
      </c>
      <c r="AA18" s="32" t="n">
        <v>62.52</v>
      </c>
      <c r="AB18" s="32" t="n">
        <v>16.15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132.3</v>
      </c>
      <c r="E19" s="32" t="inlineStr">
        <is>
          <t>5%</t>
        </is>
      </c>
      <c r="F19" s="32" t="n">
        <v>50000</v>
      </c>
      <c r="G19" s="32" t="n">
        <v>43</v>
      </c>
      <c r="H19" s="31" t="inlineStr">
        <is>
          <t>YUKEN</t>
        </is>
      </c>
      <c r="I19" s="31" t="inlineStr">
        <is>
          <t>Yuken India Ltd</t>
        </is>
      </c>
      <c r="J19" s="31" t="inlineStr">
        <is>
          <t>industrials</t>
        </is>
      </c>
      <c r="K19" s="31" t="inlineStr">
        <is>
          <t>engineering</t>
        </is>
      </c>
      <c r="L19" s="31" t="inlineStr">
        <is>
          <t>smallcap</t>
        </is>
      </c>
      <c r="M19" s="32" t="n">
        <v>1550.48</v>
      </c>
      <c r="N19" s="32" t="n">
        <v>1141.4</v>
      </c>
      <c r="O19" s="32" t="n">
        <v>0.91</v>
      </c>
      <c r="P19" s="32" t="n">
        <v>15046</v>
      </c>
      <c r="Q19" s="31" t="n">
        <v>40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76.76000000000001</v>
      </c>
      <c r="U19" s="32" t="n">
        <v>35.47</v>
      </c>
      <c r="V19" s="32" t="n">
        <v>896.97</v>
      </c>
      <c r="W19" s="31" t="inlineStr">
        <is>
          <t>Near 52W High Breakout</t>
        </is>
      </c>
      <c r="X19" s="31" t="inlineStr">
        <is>
          <t>Nifty 50</t>
        </is>
      </c>
      <c r="Y19" s="32" t="n">
        <v>-9.93</v>
      </c>
      <c r="Z19" s="32" t="n">
        <v>16.56</v>
      </c>
      <c r="AA19" s="32" t="n">
        <v>29.41</v>
      </c>
      <c r="AB19" s="32" t="n">
        <v>15.39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139.1</v>
      </c>
      <c r="E20" s="32" t="inlineStr">
        <is>
          <t>5%</t>
        </is>
      </c>
      <c r="F20" s="32" t="n">
        <v>50000</v>
      </c>
      <c r="G20" s="32" t="n">
        <v>32</v>
      </c>
      <c r="H20" s="31" t="inlineStr">
        <is>
          <t>ROSSTECH</t>
        </is>
      </c>
      <c r="I20" s="31" t="inlineStr">
        <is>
          <t>Rossell Techsys Ltd</t>
        </is>
      </c>
      <c r="J20" s="31" t="inlineStr">
        <is>
          <t>aerospace &amp; defence</t>
        </is>
      </c>
      <c r="K20" s="31" t="inlineStr">
        <is>
          <t>engineering</t>
        </is>
      </c>
      <c r="L20" s="31" t="inlineStr">
        <is>
          <t>midcap</t>
        </is>
      </c>
      <c r="M20" s="32" t="n">
        <v>5738.53</v>
      </c>
      <c r="N20" s="32" t="n">
        <v>1522.3</v>
      </c>
      <c r="O20" s="32" t="n">
        <v>1.27</v>
      </c>
      <c r="P20" s="32" t="n">
        <v>247467</v>
      </c>
      <c r="Q20" s="31" t="n">
        <v>72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80.86</v>
      </c>
      <c r="U20" s="32" t="n">
        <v>31.95</v>
      </c>
      <c r="V20" s="32" t="n">
        <v>1139.83</v>
      </c>
      <c r="W20" s="31" t="inlineStr">
        <is>
          <t>Near 52W High Breakout</t>
        </is>
      </c>
      <c r="X20" s="31" t="inlineStr">
        <is>
          <t>Nifty 50</t>
        </is>
      </c>
      <c r="Y20" s="32" t="n">
        <v>-9.93</v>
      </c>
      <c r="Z20" s="32" t="n">
        <v>111.15</v>
      </c>
      <c r="AA20" s="32" t="n">
        <v>134.43</v>
      </c>
      <c r="AB20" s="32" t="n">
        <v>29.84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138.4</v>
      </c>
      <c r="E21" s="32" t="inlineStr">
        <is>
          <t>5%</t>
        </is>
      </c>
      <c r="F21" s="32" t="n">
        <v>50000</v>
      </c>
      <c r="G21" s="32" t="n">
        <v>854</v>
      </c>
      <c r="H21" s="31" t="inlineStr">
        <is>
          <t>SBC</t>
        </is>
      </c>
      <c r="I21" s="31" t="inlineStr">
        <is>
          <t>SBC Exports Ltd</t>
        </is>
      </c>
      <c r="J21" s="31" t="inlineStr">
        <is>
          <t>textiles</t>
        </is>
      </c>
      <c r="K21" s="31" t="inlineStr">
        <is>
          <t>textiles - products</t>
        </is>
      </c>
      <c r="L21" s="31" t="inlineStr">
        <is>
          <t>smallcap</t>
        </is>
      </c>
      <c r="M21" s="32" t="n">
        <v>2787.62</v>
      </c>
      <c r="N21" s="32" t="n">
        <v>58.54</v>
      </c>
      <c r="O21" s="32" t="n">
        <v>0.43</v>
      </c>
      <c r="P21" s="32" t="n">
        <v>31458938</v>
      </c>
      <c r="Q21" s="31" t="n">
        <v>74</v>
      </c>
      <c r="R21" s="31" t="inlineStr">
        <is>
          <t>Outperforming</t>
        </is>
      </c>
      <c r="S21" s="32">
        <f>IF(R21="Underperforming",-5,IF(Q21&gt;=95,15,IF(Q21&gt;=90,10,IF(Q21&gt;=80,5,0))))</f>
        <v/>
      </c>
      <c r="T21" s="32" t="n">
        <v>84.59</v>
      </c>
      <c r="U21" s="32" t="n">
        <v>31.93</v>
      </c>
      <c r="V21" s="32" t="n">
        <v>48.24</v>
      </c>
      <c r="W21" s="31" t="inlineStr">
        <is>
          <t>Volume Spike &amp; Near 52W High Breakout</t>
        </is>
      </c>
      <c r="X21" s="31" t="inlineStr">
        <is>
          <t>Nifty 50</t>
        </is>
      </c>
      <c r="Y21" s="32" t="n">
        <v>-9.93</v>
      </c>
      <c r="Z21" s="32" t="n">
        <v>163.85</v>
      </c>
      <c r="AA21" s="32" t="n">
        <v>192.94</v>
      </c>
      <c r="AB21" s="32" t="n">
        <v>30.3</v>
      </c>
      <c r="AC21" s="31" t="inlineStr">
        <is>
          <t>Growing Industry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Structural (10 Years Consistency)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Stable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Yes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More than 1.2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137.4</v>
      </c>
      <c r="E22" s="32" t="inlineStr">
        <is>
          <t>5%</t>
        </is>
      </c>
      <c r="F22" s="32" t="n">
        <v>50000</v>
      </c>
      <c r="G22" s="32" t="n">
        <v>144</v>
      </c>
      <c r="H22" s="31" t="inlineStr">
        <is>
          <t>RATNAVEER</t>
        </is>
      </c>
      <c r="I22" s="31" t="inlineStr">
        <is>
          <t>Ratnaveer Precision Engineering Ltd</t>
        </is>
      </c>
      <c r="J22" s="31" t="inlineStr">
        <is>
          <t>metals &amp; mining</t>
        </is>
      </c>
      <c r="K22" s="31" t="inlineStr">
        <is>
          <t>steel - medium / small</t>
        </is>
      </c>
      <c r="L22" s="31" t="inlineStr">
        <is>
          <t>smallcap</t>
        </is>
      </c>
      <c r="M22" s="32" t="n">
        <v>2899.24</v>
      </c>
      <c r="N22" s="32" t="n">
        <v>345.45</v>
      </c>
      <c r="O22" s="32" t="n">
        <v>4.44</v>
      </c>
      <c r="P22" s="32" t="n">
        <v>11559546</v>
      </c>
      <c r="Q22" s="31" t="inlineStr"/>
      <c r="R22" s="31" t="inlineStr"/>
      <c r="S22" s="32">
        <f>IF(R22="Underperforming",-5,IF(Q22&gt;=95,15,IF(Q22&gt;=90,10,IF(Q22&gt;=80,5,0))))</f>
        <v/>
      </c>
      <c r="T22" s="32" t="n">
        <v>82.08</v>
      </c>
      <c r="U22" s="32" t="n">
        <v>65.43000000000001</v>
      </c>
      <c r="V22" s="32" t="n">
        <v>254.68</v>
      </c>
      <c r="W22" s="31" t="inlineStr">
        <is>
          <t>Near 52W High Breakout</t>
        </is>
      </c>
      <c r="X22" s="31" t="inlineStr">
        <is>
          <t>Nifty Metal</t>
        </is>
      </c>
      <c r="Y22" s="32" t="inlineStr"/>
      <c r="Z22" s="32" t="inlineStr"/>
      <c r="AA22" s="32" t="inlineStr"/>
      <c r="AB22" s="32" t="inlineStr"/>
      <c r="AC22" s="31" t="inlineStr">
        <is>
          <t>Cyclical in an Upturn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Cyclical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Volatile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Above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Less than 12%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No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Less than 0.7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132.6</v>
      </c>
      <c r="E2" s="32" t="inlineStr">
        <is>
          <t>5%</t>
        </is>
      </c>
      <c r="F2" s="32" t="n">
        <v>50000</v>
      </c>
      <c r="G2" s="32" t="n">
        <v>504</v>
      </c>
      <c r="H2" s="31" t="inlineStr">
        <is>
          <t>SMCGLOBAL</t>
        </is>
      </c>
      <c r="I2" s="31" t="inlineStr">
        <is>
          <t>SMC Global Securities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2074.32</v>
      </c>
      <c r="N2" s="32" t="n">
        <v>99.06</v>
      </c>
      <c r="O2" s="32" t="n">
        <v>4.85</v>
      </c>
      <c r="P2" s="32" t="n">
        <v>9500246</v>
      </c>
      <c r="Q2" s="31" t="n">
        <v>50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70.26000000000001</v>
      </c>
      <c r="U2" s="32" t="n">
        <v>33.37</v>
      </c>
      <c r="V2" s="32" t="n">
        <v>75.44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-2.05</v>
      </c>
      <c r="Z2" s="32" t="n">
        <v>44.51</v>
      </c>
      <c r="AA2" s="32" t="n">
        <v>47.53</v>
      </c>
      <c r="AB2" s="32" t="n">
        <v>19.91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5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6329.46</v>
      </c>
      <c r="I2" s="32" t="n">
        <v>953.15</v>
      </c>
      <c r="J2" s="32" t="n">
        <v>-0.04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74.11</v>
      </c>
      <c r="P2" s="32" t="n">
        <v>69.61</v>
      </c>
      <c r="Q2" s="32" t="n">
        <v>704.54</v>
      </c>
      <c r="R2" s="31" t="inlineStr">
        <is>
          <t>Near 52W High Breakout</t>
        </is>
      </c>
      <c r="S2" s="31" t="inlineStr">
        <is>
          <t>Nifty IT</t>
        </is>
      </c>
      <c r="T2" s="32" t="n">
        <v>-16.63</v>
      </c>
      <c r="U2" s="32" t="n">
        <v>202.31</v>
      </c>
      <c r="V2" s="32" t="n">
        <v>262.6</v>
      </c>
      <c r="W2" s="32" t="n">
        <v>35.02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AIMTRON</t>
        </is>
      </c>
      <c r="D3" s="31" t="inlineStr">
        <is>
          <t>Aimtron Electronics Ltd</t>
        </is>
      </c>
      <c r="E3" s="31" t="inlineStr">
        <is>
          <t>unknown</t>
        </is>
      </c>
      <c r="F3" s="31" t="inlineStr">
        <is>
          <t>EMS</t>
        </is>
      </c>
      <c r="G3" s="31" t="inlineStr">
        <is>
          <t>smallcap</t>
        </is>
      </c>
      <c r="H3" s="32" t="n">
        <v>4039.7</v>
      </c>
      <c r="I3" s="32" t="n">
        <v>1898.85</v>
      </c>
      <c r="J3" s="32" t="n">
        <v>-2.64</v>
      </c>
      <c r="K3" s="32" t="n">
        <v>0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</v>
      </c>
      <c r="P3" s="32" t="n">
        <v>65.15000000000001</v>
      </c>
      <c r="Q3" s="32" t="n">
        <v>1404.58</v>
      </c>
      <c r="R3" s="31" t="inlineStr">
        <is>
          <t>Near 52W High Breakout</t>
        </is>
      </c>
      <c r="S3" s="31" t="inlineStr">
        <is>
          <t>Nifty 50</t>
        </is>
      </c>
      <c r="T3" s="32" t="n">
        <v>-9.93</v>
      </c>
      <c r="U3" s="32" t="n">
        <v>170.18</v>
      </c>
      <c r="V3" s="32" t="n">
        <v>199.97</v>
      </c>
      <c r="W3" s="32" t="n">
        <v>32.99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TIMEX</t>
        </is>
      </c>
      <c r="D4" s="31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midcap</t>
        </is>
      </c>
      <c r="H4" s="32" t="n">
        <v>7376.42</v>
      </c>
      <c r="I4" s="32" t="n">
        <v>730.7</v>
      </c>
      <c r="J4" s="32" t="n">
        <v>1.42</v>
      </c>
      <c r="K4" s="32" t="n">
        <v>0</v>
      </c>
      <c r="L4" s="31" t="n">
        <v>76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73.45</v>
      </c>
      <c r="P4" s="32" t="n">
        <v>60.92</v>
      </c>
      <c r="Q4" s="32" t="n">
        <v>552.5599999999999</v>
      </c>
      <c r="R4" s="31" t="inlineStr">
        <is>
          <t>Near 52W High Breakout</t>
        </is>
      </c>
      <c r="S4" s="31" t="inlineStr">
        <is>
          <t>Nifty 50</t>
        </is>
      </c>
      <c r="T4" s="32" t="n">
        <v>-9.93</v>
      </c>
      <c r="U4" s="32" t="n">
        <v>103.02</v>
      </c>
      <c r="V4" s="32" t="n">
        <v>125.41</v>
      </c>
      <c r="W4" s="32" t="n">
        <v>30.52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PGIL</t>
        </is>
      </c>
      <c r="D5" s="34" t="inlineStr">
        <is>
          <t>Pearl Global Industries Ltd</t>
        </is>
      </c>
      <c r="E5" s="31" t="inlineStr">
        <is>
          <t>readymade garments/apparels</t>
        </is>
      </c>
      <c r="F5" s="31" t="inlineStr">
        <is>
          <t>Textiles Readymade Apparel</t>
        </is>
      </c>
      <c r="G5" s="31" t="inlineStr">
        <is>
          <t>midcap</t>
        </is>
      </c>
      <c r="H5" s="32" t="n">
        <v>11667.73</v>
      </c>
      <c r="I5" s="32" t="n">
        <v>1263</v>
      </c>
      <c r="J5" s="32" t="n">
        <v>-1.49</v>
      </c>
      <c r="K5" s="32" t="n">
        <v>0</v>
      </c>
      <c r="L5" s="31" t="n">
        <v>56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</v>
      </c>
      <c r="P5" s="32" t="n">
        <v>59.25</v>
      </c>
      <c r="Q5" s="32" t="n">
        <v>1010.78</v>
      </c>
      <c r="R5" s="31" t="inlineStr">
        <is>
          <t>Near 52W High Breakout</t>
        </is>
      </c>
      <c r="S5" s="31" t="inlineStr">
        <is>
          <t>Nifty 50</t>
        </is>
      </c>
      <c r="T5" s="32" t="n">
        <v>-9.93</v>
      </c>
      <c r="U5" s="32" t="n">
        <v>106.27</v>
      </c>
      <c r="V5" s="32" t="n">
        <v>129.01</v>
      </c>
      <c r="W5" s="32" t="n">
        <v>22.47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18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KINGFA</t>
        </is>
      </c>
      <c r="D6" s="31" t="inlineStr">
        <is>
          <t>Kingfa Science &amp; Technology (India) Ltd</t>
        </is>
      </c>
      <c r="E6" s="31" t="inlineStr">
        <is>
          <t>plastic products</t>
        </is>
      </c>
      <c r="F6" s="31" t="inlineStr">
        <is>
          <t>Plastics Plastic and Plastic Products</t>
        </is>
      </c>
      <c r="G6" s="31" t="inlineStr">
        <is>
          <t>midcap</t>
        </is>
      </c>
      <c r="H6" s="32" t="n">
        <v>8925.620000000001</v>
      </c>
      <c r="I6" s="32" t="n">
        <v>6586.5</v>
      </c>
      <c r="J6" s="32" t="n">
        <v>1.6</v>
      </c>
      <c r="K6" s="32" t="n">
        <v>0</v>
      </c>
      <c r="L6" s="31" t="n">
        <v>38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71.51000000000001</v>
      </c>
      <c r="P6" s="32" t="n">
        <v>41.97</v>
      </c>
      <c r="Q6" s="32" t="n">
        <v>5246.09</v>
      </c>
      <c r="R6" s="31" t="inlineStr">
        <is>
          <t>Near 52W High Breakout</t>
        </is>
      </c>
      <c r="S6" s="31" t="inlineStr">
        <is>
          <t>Nifty 50</t>
        </is>
      </c>
      <c r="T6" s="32" t="n">
        <v>-9.93</v>
      </c>
      <c r="U6" s="32" t="n">
        <v>44.26</v>
      </c>
      <c r="V6" s="32" t="n">
        <v>60.17</v>
      </c>
      <c r="W6" s="32" t="n">
        <v>14.21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17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MODISONLTD</t>
        </is>
      </c>
      <c r="D7" s="34" t="inlineStr">
        <is>
          <t>Modison Ltd</t>
        </is>
      </c>
      <c r="E7" s="31" t="inlineStr">
        <is>
          <t>industrials</t>
        </is>
      </c>
      <c r="F7" s="31" t="inlineStr">
        <is>
          <t>Capital Goods Electric General</t>
        </is>
      </c>
      <c r="G7" s="31" t="inlineStr">
        <is>
          <t>smallcap</t>
        </is>
      </c>
      <c r="H7" s="32" t="n">
        <v>1577.23</v>
      </c>
      <c r="I7" s="32" t="n">
        <v>486.05</v>
      </c>
      <c r="J7" s="32" t="n">
        <v>4.99</v>
      </c>
      <c r="K7" s="32" t="n">
        <v>0</v>
      </c>
      <c r="L7" s="31" t="n">
        <v>94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73.02</v>
      </c>
      <c r="P7" s="32" t="n">
        <v>56.48</v>
      </c>
      <c r="Q7" s="32" t="n">
        <v>359.46</v>
      </c>
      <c r="R7" s="31" t="inlineStr">
        <is>
          <t>Near 52W High Breakout</t>
        </is>
      </c>
      <c r="S7" s="31" t="inlineStr">
        <is>
          <t>Nifty 50</t>
        </is>
      </c>
      <c r="T7" s="32" t="n">
        <v>-9.93</v>
      </c>
      <c r="U7" s="32" t="n">
        <v>204.75</v>
      </c>
      <c r="V7" s="32" t="n">
        <v>238.35</v>
      </c>
      <c r="W7" s="32" t="n">
        <v>48.74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17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TBZ</t>
        </is>
      </c>
      <c r="D8" s="31" t="inlineStr">
        <is>
          <t>Tribhovandas Bhimji Zaveri Ltd</t>
        </is>
      </c>
      <c r="E8" s="31" t="inlineStr">
        <is>
          <t>consumer discretionary</t>
        </is>
      </c>
      <c r="F8" s="31" t="inlineStr">
        <is>
          <t>Diamond Gems and Jewellery</t>
        </is>
      </c>
      <c r="G8" s="31" t="inlineStr">
        <is>
          <t>smallcap</t>
        </is>
      </c>
      <c r="H8" s="32" t="n">
        <v>4160.32</v>
      </c>
      <c r="I8" s="32" t="n">
        <v>623.45</v>
      </c>
      <c r="J8" s="32" t="n">
        <v>-1.83</v>
      </c>
      <c r="K8" s="32" t="n">
        <v>0</v>
      </c>
      <c r="L8" s="31" t="n">
        <v>99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87.5</v>
      </c>
      <c r="P8" s="32" t="n">
        <v>63.54</v>
      </c>
      <c r="Q8" s="32" t="n">
        <v>495.64</v>
      </c>
      <c r="R8" s="31" t="inlineStr">
        <is>
          <t>Near 52W High Breakout</t>
        </is>
      </c>
      <c r="S8" s="31" t="inlineStr">
        <is>
          <t>Nifty 50</t>
        </is>
      </c>
      <c r="T8" s="32" t="n">
        <v>-9.93</v>
      </c>
      <c r="U8" s="32" t="n">
        <v>236.92</v>
      </c>
      <c r="V8" s="32" t="n">
        <v>274.07</v>
      </c>
      <c r="W8" s="32" t="n">
        <v>95.01000000000001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15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KPL</t>
        </is>
      </c>
      <c r="D9" s="31" t="inlineStr">
        <is>
          <t>Kwality Pharmaceuticals Ltd</t>
        </is>
      </c>
      <c r="E9" s="31" t="inlineStr">
        <is>
          <t>Healthcare</t>
        </is>
      </c>
      <c r="F9" s="31" t="inlineStr">
        <is>
          <t>Pharma Formulations</t>
        </is>
      </c>
      <c r="G9" s="31" t="inlineStr">
        <is>
          <t>smallcap</t>
        </is>
      </c>
      <c r="H9" s="32" t="n">
        <v>3706.74</v>
      </c>
      <c r="I9" s="32" t="n">
        <v>3572.35</v>
      </c>
      <c r="J9" s="32" t="n">
        <v>-1.76</v>
      </c>
      <c r="K9" s="32" t="n">
        <v>0</v>
      </c>
      <c r="L9" s="31" t="n">
        <v>90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72.73</v>
      </c>
      <c r="P9" s="32" t="n">
        <v>69.34</v>
      </c>
      <c r="Q9" s="32" t="n">
        <v>2669.68</v>
      </c>
      <c r="R9" s="31" t="inlineStr">
        <is>
          <t>Near 52W High Breakout</t>
        </is>
      </c>
      <c r="S9" s="31" t="inlineStr">
        <is>
          <t>Nifty Pharma</t>
        </is>
      </c>
      <c r="T9" s="32" t="n">
        <v>20.94</v>
      </c>
      <c r="U9" s="32" t="n">
        <v>293.74</v>
      </c>
      <c r="V9" s="32" t="n">
        <v>225.57</v>
      </c>
      <c r="W9" s="32" t="n">
        <v>41.36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DPABHUSHAN</t>
        </is>
      </c>
      <c r="D10" s="34" t="inlineStr">
        <is>
          <t>DP Abhushan Ltd</t>
        </is>
      </c>
      <c r="E10" s="31" t="inlineStr">
        <is>
          <t>consumer discretionary</t>
        </is>
      </c>
      <c r="F10" s="31" t="inlineStr">
        <is>
          <t>Diamond Gems and Jewellery</t>
        </is>
      </c>
      <c r="G10" s="31" t="inlineStr">
        <is>
          <t>smallcap</t>
        </is>
      </c>
      <c r="H10" s="32" t="n">
        <v>4277.95</v>
      </c>
      <c r="I10" s="32" t="n">
        <v>1874</v>
      </c>
      <c r="J10" s="32" t="n">
        <v>4.76</v>
      </c>
      <c r="K10" s="32" t="n">
        <v>0</v>
      </c>
      <c r="L10" s="31" t="n">
        <v>77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74.56</v>
      </c>
      <c r="P10" s="32" t="n">
        <v>36.23</v>
      </c>
      <c r="Q10" s="32" t="n">
        <v>1376.2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-9.93</v>
      </c>
      <c r="U10" s="32" t="n">
        <v>30.25</v>
      </c>
      <c r="V10" s="32" t="n">
        <v>44.61</v>
      </c>
      <c r="W10" s="32" t="n">
        <v>30.82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28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AEGISLOG</t>
        </is>
      </c>
      <c r="D11" s="31" t="inlineStr">
        <is>
          <t>Aegis Logistics Ltd</t>
        </is>
      </c>
      <c r="E11" s="31" t="inlineStr">
        <is>
          <t>services</t>
        </is>
      </c>
      <c r="F11" s="31" t="inlineStr">
        <is>
          <t>Logistics</t>
        </is>
      </c>
      <c r="G11" s="31" t="inlineStr">
        <is>
          <t>largecap</t>
        </is>
      </c>
      <c r="H11" s="32" t="n">
        <v>49178.61</v>
      </c>
      <c r="I11" s="32" t="n">
        <v>1401.1</v>
      </c>
      <c r="J11" s="32" t="n">
        <v>1.52</v>
      </c>
      <c r="K11" s="32" t="n">
        <v>0</v>
      </c>
      <c r="L11" s="31" t="n">
        <v>52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65.23999999999999</v>
      </c>
      <c r="P11" s="32" t="n">
        <v>58.76</v>
      </c>
      <c r="Q11" s="32" t="n">
        <v>1015.63</v>
      </c>
      <c r="R11" s="31" t="inlineStr">
        <is>
          <t>Near 52W High Breakout</t>
        </is>
      </c>
      <c r="S11" s="31" t="inlineStr">
        <is>
          <t>Nifty 50</t>
        </is>
      </c>
      <c r="T11" s="32" t="n">
        <v>-9.93</v>
      </c>
      <c r="U11" s="32" t="n">
        <v>59.91</v>
      </c>
      <c r="V11" s="32" t="n">
        <v>77.54000000000001</v>
      </c>
      <c r="W11" s="32" t="n">
        <v>20.22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19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MBECL</t>
        </is>
      </c>
      <c r="D12" s="31" t="inlineStr">
        <is>
          <t>McNally Bharat Engineering Company Ltd</t>
        </is>
      </c>
      <c r="E12" s="31" t="inlineStr">
        <is>
          <t>realty</t>
        </is>
      </c>
      <c r="F12" s="31" t="inlineStr">
        <is>
          <t>Engineering Turnkey Services</t>
        </is>
      </c>
      <c r="G12" s="31" t="inlineStr">
        <is>
          <t>smallcap</t>
        </is>
      </c>
      <c r="H12" s="32" t="n">
        <v>1646.67</v>
      </c>
      <c r="I12" s="32" t="n">
        <v>494</v>
      </c>
      <c r="J12" s="32" t="n">
        <v>2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99.95999999999999</v>
      </c>
      <c r="P12" s="32" t="n">
        <v>73.13</v>
      </c>
      <c r="Q12" s="32" t="n">
        <v>418.59</v>
      </c>
      <c r="R12" s="31" t="inlineStr">
        <is>
          <t>Volume Spike &amp; Near 52W High Breakout</t>
        </is>
      </c>
      <c r="S12" s="31" t="inlineStr">
        <is>
          <t>Nifty Realty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19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VALIANTORG</t>
        </is>
      </c>
      <c r="D13" s="34" t="inlineStr">
        <is>
          <t>Valiant Organics Ltd</t>
        </is>
      </c>
      <c r="E13" s="31" t="inlineStr">
        <is>
          <t>chemicals</t>
        </is>
      </c>
      <c r="F13" s="31" t="inlineStr">
        <is>
          <t>Chemicals Organic</t>
        </is>
      </c>
      <c r="G13" s="31" t="inlineStr">
        <is>
          <t>smallcap</t>
        </is>
      </c>
      <c r="H13" s="32" t="n">
        <v>1337.67</v>
      </c>
      <c r="I13" s="32" t="n">
        <v>477.15</v>
      </c>
      <c r="J13" s="32" t="n">
        <v>4.85</v>
      </c>
      <c r="K13" s="32" t="n">
        <v>0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74.76000000000001</v>
      </c>
      <c r="P13" s="32" t="n">
        <v>44.31</v>
      </c>
      <c r="Q13" s="32" t="n">
        <v>344.14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-9.93</v>
      </c>
      <c r="U13" s="32" t="n">
        <v>39.09</v>
      </c>
      <c r="V13" s="32" t="n">
        <v>54.42</v>
      </c>
      <c r="W13" s="32" t="n">
        <v>24.68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CASTROLIND</t>
        </is>
      </c>
      <c r="D14" s="31" t="inlineStr">
        <is>
          <t>Castrol India Ltd</t>
        </is>
      </c>
      <c r="E14" s="31" t="inlineStr">
        <is>
          <t>chemicals</t>
        </is>
      </c>
      <c r="F14" s="31" t="inlineStr">
        <is>
          <t>Lubricants</t>
        </is>
      </c>
      <c r="G14" s="31" t="inlineStr">
        <is>
          <t>midcap</t>
        </is>
      </c>
      <c r="H14" s="32" t="n">
        <v>19687.49</v>
      </c>
      <c r="I14" s="32" t="n">
        <v>199.04</v>
      </c>
      <c r="J14" s="32" t="n">
        <v>-0.74</v>
      </c>
      <c r="K14" s="32" t="n">
        <v>0</v>
      </c>
      <c r="L14" s="31" t="n">
        <v>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68.68000000000001</v>
      </c>
      <c r="P14" s="32" t="n">
        <v>41.92</v>
      </c>
      <c r="Q14" s="32" t="n">
        <v>183.77</v>
      </c>
      <c r="R14" s="31" t="inlineStr">
        <is>
          <t>Near 52W High Breakout</t>
        </is>
      </c>
      <c r="S14" s="31" t="inlineStr">
        <is>
          <t>Nifty 50</t>
        </is>
      </c>
      <c r="T14" s="32" t="n">
        <v>-9.93</v>
      </c>
      <c r="U14" s="32" t="n">
        <v>3.98</v>
      </c>
      <c r="V14" s="32" t="n">
        <v>15.45</v>
      </c>
      <c r="W14" s="32" t="n">
        <v>3.18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GNA</t>
        </is>
      </c>
      <c r="D15" s="31" t="inlineStr">
        <is>
          <t>GNA Axles Ltd</t>
        </is>
      </c>
      <c r="E15" s="31" t="inlineStr">
        <is>
          <t>Consumer Cyclical</t>
        </is>
      </c>
      <c r="F15" s="31" t="inlineStr">
        <is>
          <t>Auto Axles</t>
        </is>
      </c>
      <c r="G15" s="31" t="inlineStr">
        <is>
          <t>smallcap</t>
        </is>
      </c>
      <c r="H15" s="32" t="n">
        <v>2492.99</v>
      </c>
      <c r="I15" s="32" t="n">
        <v>580.7</v>
      </c>
      <c r="J15" s="32" t="n">
        <v>-2.95</v>
      </c>
      <c r="K15" s="32" t="n">
        <v>0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64.42</v>
      </c>
      <c r="P15" s="32" t="n">
        <v>50.86</v>
      </c>
      <c r="Q15" s="32" t="n">
        <v>459.79</v>
      </c>
      <c r="R15" s="31" t="inlineStr">
        <is>
          <t>Earnings / Momentum Support</t>
        </is>
      </c>
      <c r="S15" s="31" t="inlineStr">
        <is>
          <t>Nifty Auto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15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FILATEX</t>
        </is>
      </c>
      <c r="D16" s="31" t="inlineStr">
        <is>
          <t>Filatex India Ltd</t>
        </is>
      </c>
      <c r="E16" s="31" t="inlineStr">
        <is>
          <t>textiles</t>
        </is>
      </c>
      <c r="F16" s="31" t="inlineStr">
        <is>
          <t>Textiles Manmade PFY and PSF</t>
        </is>
      </c>
      <c r="G16" s="31" t="inlineStr">
        <is>
          <t>smallcap</t>
        </is>
      </c>
      <c r="H16" s="32" t="n">
        <v>4711.46</v>
      </c>
      <c r="I16" s="32" t="n">
        <v>106.1</v>
      </c>
      <c r="J16" s="32" t="n">
        <v>-1.54</v>
      </c>
      <c r="K16" s="32" t="n">
        <v>0</v>
      </c>
      <c r="L16" s="31" t="n">
        <v>88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81.38</v>
      </c>
      <c r="P16" s="32" t="n">
        <v>50.62</v>
      </c>
      <c r="Q16" s="32" t="n">
        <v>79.29000000000001</v>
      </c>
      <c r="R16" s="31" t="inlineStr">
        <is>
          <t>Near 52W High Breakout</t>
        </is>
      </c>
      <c r="S16" s="31" t="inlineStr">
        <is>
          <t>Nifty 50</t>
        </is>
      </c>
      <c r="T16" s="32" t="n">
        <v>-9.93</v>
      </c>
      <c r="U16" s="32" t="n">
        <v>104.56</v>
      </c>
      <c r="V16" s="32" t="n">
        <v>127.11</v>
      </c>
      <c r="W16" s="32" t="n">
        <v>38.91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Between 12 to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15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NRL</t>
        </is>
      </c>
      <c r="D17" s="31" t="inlineStr">
        <is>
          <t>Nupur Recyclers Ltd</t>
        </is>
      </c>
      <c r="E17" s="31" t="inlineStr">
        <is>
          <t>services</t>
        </is>
      </c>
      <c r="F17" s="31" t="inlineStr">
        <is>
          <t>Trading</t>
        </is>
      </c>
      <c r="G17" s="31" t="inlineStr">
        <is>
          <t>smallcap</t>
        </is>
      </c>
      <c r="H17" s="32" t="n">
        <v>1081.69</v>
      </c>
      <c r="I17" s="32" t="n">
        <v>156.61</v>
      </c>
      <c r="J17" s="32" t="n">
        <v>-2</v>
      </c>
      <c r="K17" s="32" t="n">
        <v>0</v>
      </c>
      <c r="L17" s="31" t="n">
        <v>87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86.73</v>
      </c>
      <c r="P17" s="32" t="n">
        <v>76.48</v>
      </c>
      <c r="Q17" s="32" t="n">
        <v>133.96</v>
      </c>
      <c r="R17" s="31" t="inlineStr">
        <is>
          <t>Near 52W High Breakout</t>
        </is>
      </c>
      <c r="S17" s="31" t="inlineStr">
        <is>
          <t>Nifty 50</t>
        </is>
      </c>
      <c r="T17" s="32" t="n">
        <v>-9.93</v>
      </c>
      <c r="U17" s="32" t="n">
        <v>117.79</v>
      </c>
      <c r="V17" s="32" t="n">
        <v>141.8</v>
      </c>
      <c r="W17" s="32" t="n">
        <v>38.76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15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SANGAMIND</t>
        </is>
      </c>
      <c r="D18" s="34" t="inlineStr">
        <is>
          <t>Sangam (India) Ltd</t>
        </is>
      </c>
      <c r="E18" s="31" t="inlineStr">
        <is>
          <t>textiles</t>
        </is>
      </c>
      <c r="F18" s="31" t="inlineStr">
        <is>
          <t>Textiles Spinning</t>
        </is>
      </c>
      <c r="G18" s="31" t="inlineStr">
        <is>
          <t>smallcap</t>
        </is>
      </c>
      <c r="H18" s="32" t="n">
        <v>3188.4</v>
      </c>
      <c r="I18" s="32" t="n">
        <v>634.55</v>
      </c>
      <c r="J18" s="32" t="n">
        <v>1.22</v>
      </c>
      <c r="K18" s="32" t="n">
        <v>0</v>
      </c>
      <c r="L18" s="31" t="n">
        <v>33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67.41</v>
      </c>
      <c r="P18" s="32" t="n">
        <v>45.79</v>
      </c>
      <c r="Q18" s="32" t="n">
        <v>501.55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-9.93</v>
      </c>
      <c r="U18" s="32" t="n">
        <v>51.17</v>
      </c>
      <c r="V18" s="32" t="n">
        <v>67.84</v>
      </c>
      <c r="W18" s="32" t="n">
        <v>12.58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15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IBULLSLTD</t>
        </is>
      </c>
      <c r="D19" s="31" t="inlineStr">
        <is>
          <t>Indiabulls Limited</t>
        </is>
      </c>
      <c r="E19" s="31" t="inlineStr">
        <is>
          <t>miscellaneous</t>
        </is>
      </c>
      <c r="F19" s="31" t="inlineStr">
        <is>
          <t>Diversified</t>
        </is>
      </c>
      <c r="G19" s="31" t="inlineStr">
        <is>
          <t>midcap</t>
        </is>
      </c>
      <c r="H19" s="32" t="n">
        <v>6863.68</v>
      </c>
      <c r="I19" s="32" t="n">
        <v>29.43</v>
      </c>
      <c r="J19" s="32" t="n">
        <v>-0.61</v>
      </c>
      <c r="K19" s="32" t="n">
        <v>0</v>
      </c>
      <c r="L19" s="31" t="n">
        <v>67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63.59</v>
      </c>
      <c r="P19" s="32" t="n">
        <v>39.66</v>
      </c>
      <c r="Q19" s="32" t="n">
        <v>21.16</v>
      </c>
      <c r="R19" s="31" t="inlineStr">
        <is>
          <t>Near 52W High Breakout</t>
        </is>
      </c>
      <c r="S19" s="31" t="inlineStr">
        <is>
          <t>Nifty 50</t>
        </is>
      </c>
      <c r="T19" s="32" t="n">
        <v>-9.93</v>
      </c>
      <c r="U19" s="32" t="n">
        <v>66.09</v>
      </c>
      <c r="V19" s="32" t="n">
        <v>84.40000000000001</v>
      </c>
      <c r="W19" s="32" t="n">
        <v>27.31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INDSWFTLAB</t>
        </is>
      </c>
      <c r="D20" s="31" t="inlineStr">
        <is>
          <t>Ind-Swift Laboratories Ltd</t>
        </is>
      </c>
      <c r="E20" s="31" t="inlineStr">
        <is>
          <t>healthcare</t>
        </is>
      </c>
      <c r="F20" s="31" t="inlineStr">
        <is>
          <t>Pharma Formulations</t>
        </is>
      </c>
      <c r="G20" s="31" t="inlineStr">
        <is>
          <t>smallcap</t>
        </is>
      </c>
      <c r="H20" s="32" t="n">
        <v>3436.29</v>
      </c>
      <c r="I20" s="32" t="n">
        <v>395.15</v>
      </c>
      <c r="J20" s="32" t="n">
        <v>1.65</v>
      </c>
      <c r="K20" s="32" t="n">
        <v>0</v>
      </c>
      <c r="L20" s="31" t="n">
        <v>96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81.55</v>
      </c>
      <c r="P20" s="32" t="n">
        <v>76.16</v>
      </c>
      <c r="Q20" s="32" t="n">
        <v>295.89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20.94</v>
      </c>
      <c r="U20" s="32" t="n">
        <v>305.18</v>
      </c>
      <c r="V20" s="32" t="n">
        <v>235.04</v>
      </c>
      <c r="W20" s="32" t="n">
        <v>53.6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15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BHAGERIA</t>
        </is>
      </c>
      <c r="D21" s="31" t="inlineStr">
        <is>
          <t>Bhageria Industries Ltd</t>
        </is>
      </c>
      <c r="E21" s="31" t="inlineStr">
        <is>
          <t>chemicals</t>
        </is>
      </c>
      <c r="F21" s="31" t="inlineStr">
        <is>
          <t>Dyes and Pigments</t>
        </is>
      </c>
      <c r="G21" s="31" t="inlineStr">
        <is>
          <t>smallcap</t>
        </is>
      </c>
      <c r="H21" s="32" t="n">
        <v>1667.43</v>
      </c>
      <c r="I21" s="32" t="n">
        <v>382.05</v>
      </c>
      <c r="J21" s="32" t="n">
        <v>-6</v>
      </c>
      <c r="K21" s="32" t="n">
        <v>0</v>
      </c>
      <c r="L21" s="31" t="n">
        <v>86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79.17</v>
      </c>
      <c r="P21" s="32" t="n">
        <v>43.2</v>
      </c>
      <c r="Q21" s="32" t="n">
        <v>301.37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-9.93</v>
      </c>
      <c r="U21" s="32" t="n">
        <v>117.81</v>
      </c>
      <c r="V21" s="32" t="n">
        <v>141.83</v>
      </c>
      <c r="W21" s="32" t="n">
        <v>36.74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MACPOWER</t>
        </is>
      </c>
      <c r="D22" s="31" t="inlineStr">
        <is>
          <t>Macpower CNC Machines Ltd</t>
        </is>
      </c>
      <c r="E22" s="31" t="inlineStr">
        <is>
          <t>industrials</t>
        </is>
      </c>
      <c r="F22" s="31" t="inlineStr">
        <is>
          <t>CNC Machines</t>
        </is>
      </c>
      <c r="G22" s="31" t="inlineStr">
        <is>
          <t>smallcap</t>
        </is>
      </c>
      <c r="H22" s="32" t="n">
        <v>2145.69</v>
      </c>
      <c r="I22" s="32" t="n">
        <v>2144.8</v>
      </c>
      <c r="J22" s="32" t="n">
        <v>2.33</v>
      </c>
      <c r="K22" s="32" t="n">
        <v>0</v>
      </c>
      <c r="L22" s="31" t="n">
        <v>83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74.53</v>
      </c>
      <c r="P22" s="32" t="n">
        <v>55.1</v>
      </c>
      <c r="Q22" s="32" t="n">
        <v>1518.34</v>
      </c>
      <c r="R22" s="31" t="inlineStr">
        <is>
          <t>Near 52W High Breakout</t>
        </is>
      </c>
      <c r="S22" s="31" t="inlineStr">
        <is>
          <t>Nifty 50</t>
        </is>
      </c>
      <c r="T22" s="32" t="n">
        <v>-9.93</v>
      </c>
      <c r="U22" s="32" t="n">
        <v>160.25</v>
      </c>
      <c r="V22" s="32" t="n">
        <v>188.94</v>
      </c>
      <c r="W22" s="32" t="n">
        <v>34.8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MOTISONS</t>
        </is>
      </c>
      <c r="D23" s="31" t="inlineStr">
        <is>
          <t>Motisons Jewellers Ltd</t>
        </is>
      </c>
      <c r="E23" s="31" t="inlineStr">
        <is>
          <t>consumer discretionary</t>
        </is>
      </c>
      <c r="F23" s="31" t="inlineStr">
        <is>
          <t>Diamond Gems and Jewellery</t>
        </is>
      </c>
      <c r="G23" s="31" t="inlineStr">
        <is>
          <t>smallcap</t>
        </is>
      </c>
      <c r="H23" s="32" t="n">
        <v>2033.86</v>
      </c>
      <c r="I23" s="32" t="n">
        <v>17.88</v>
      </c>
      <c r="J23" s="32" t="n">
        <v>-0.67</v>
      </c>
      <c r="K23" s="32" t="n">
        <v>0</v>
      </c>
      <c r="L23" s="31" t="n">
        <v>15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63.57</v>
      </c>
      <c r="P23" s="32" t="n">
        <v>26.29</v>
      </c>
      <c r="Q23" s="32" t="n">
        <v>12.63</v>
      </c>
      <c r="R23" s="31" t="inlineStr">
        <is>
          <t>Near 52W High Breakout</t>
        </is>
      </c>
      <c r="S23" s="31" t="inlineStr">
        <is>
          <t>Nifty 50</t>
        </is>
      </c>
      <c r="T23" s="32" t="n">
        <v>-9.93</v>
      </c>
      <c r="U23" s="32" t="n">
        <v>-3.2</v>
      </c>
      <c r="V23" s="32" t="n">
        <v>7.48</v>
      </c>
      <c r="W23" s="32" t="n">
        <v>6.06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MARINE</t>
        </is>
      </c>
      <c r="D24" s="31" t="inlineStr">
        <is>
          <t>Marine Electricals (India) Ltd</t>
        </is>
      </c>
      <c r="E24" s="31" t="inlineStr">
        <is>
          <t>industrials</t>
        </is>
      </c>
      <c r="F24" s="31" t="inlineStr">
        <is>
          <t>Shipping Proxy</t>
        </is>
      </c>
      <c r="G24" s="31" t="inlineStr">
        <is>
          <t>midcap</t>
        </is>
      </c>
      <c r="H24" s="32" t="n">
        <v>6109.27</v>
      </c>
      <c r="I24" s="32" t="n">
        <v>436.55</v>
      </c>
      <c r="J24" s="32" t="n">
        <v>1.63</v>
      </c>
      <c r="K24" s="32" t="n">
        <v>0</v>
      </c>
      <c r="L24" s="31" t="n">
        <v>72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72.01000000000001</v>
      </c>
      <c r="P24" s="32" t="n">
        <v>49</v>
      </c>
      <c r="Q24" s="32" t="n">
        <v>310.47</v>
      </c>
      <c r="R24" s="31" t="inlineStr">
        <is>
          <t>Near 52W High Breakout</t>
        </is>
      </c>
      <c r="S24" s="31" t="inlineStr">
        <is>
          <t>Nifty 50</t>
        </is>
      </c>
      <c r="T24" s="32" t="n">
        <v>-9.93</v>
      </c>
      <c r="U24" s="32" t="n">
        <v>93.56</v>
      </c>
      <c r="V24" s="32" t="n">
        <v>114.91</v>
      </c>
      <c r="W24" s="32" t="n">
        <v>29.69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Between 1.5 to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SKYGOLD</t>
        </is>
      </c>
      <c r="D25" s="31" t="inlineStr">
        <is>
          <t>Sky Gold &amp; Diamonds Ltd</t>
        </is>
      </c>
      <c r="E25" s="31" t="inlineStr">
        <is>
          <t>consumer discretionary</t>
        </is>
      </c>
      <c r="F25" s="31" t="inlineStr">
        <is>
          <t>Diamond Gems and Jewellery</t>
        </is>
      </c>
      <c r="G25" s="31" t="inlineStr">
        <is>
          <t>midcap</t>
        </is>
      </c>
      <c r="H25" s="32" t="n">
        <v>12554.85</v>
      </c>
      <c r="I25" s="32" t="n">
        <v>810.65</v>
      </c>
      <c r="J25" s="32" t="n">
        <v>-0.01</v>
      </c>
      <c r="K25" s="32" t="n">
        <v>0</v>
      </c>
      <c r="L25" s="31" t="n">
        <v>82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72.56</v>
      </c>
      <c r="P25" s="32" t="n">
        <v>67.92</v>
      </c>
      <c r="Q25" s="32" t="n">
        <v>626.17</v>
      </c>
      <c r="R25" s="31" t="inlineStr">
        <is>
          <t>Near 52W High Breakout</t>
        </is>
      </c>
      <c r="S25" s="31" t="inlineStr">
        <is>
          <t>Nifty 50</t>
        </is>
      </c>
      <c r="T25" s="32" t="n">
        <v>-9.93</v>
      </c>
      <c r="U25" s="32" t="n">
        <v>183.71</v>
      </c>
      <c r="V25" s="32" t="n">
        <v>214.99</v>
      </c>
      <c r="W25" s="32" t="n">
        <v>34.41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18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LOTUSDEV</t>
        </is>
      </c>
      <c r="D26" s="31" t="inlineStr">
        <is>
          <t>Sri Lotus Developers &amp; Realty Ltd</t>
        </is>
      </c>
      <c r="E26" s="31" t="inlineStr">
        <is>
          <t>realty</t>
        </is>
      </c>
      <c r="F26" s="31" t="inlineStr">
        <is>
          <t>Construction Factories and Offices and Commercial</t>
        </is>
      </c>
      <c r="G26" s="31" t="inlineStr">
        <is>
          <t>midcap</t>
        </is>
      </c>
      <c r="H26" s="32" t="n">
        <v>11244.07</v>
      </c>
      <c r="I26" s="32" t="n">
        <v>230.07</v>
      </c>
      <c r="J26" s="32" t="n">
        <v>2.47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70.98999999999999</v>
      </c>
      <c r="P26" s="32" t="n">
        <v>29.65</v>
      </c>
      <c r="Q26" s="32" t="n">
        <v>176.61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WELSPUNLIV</t>
        </is>
      </c>
      <c r="D27" s="31" t="inlineStr">
        <is>
          <t>Welspun Living Ltd</t>
        </is>
      </c>
      <c r="E27" s="31" t="inlineStr">
        <is>
          <t>textiles</t>
        </is>
      </c>
      <c r="F27" s="31" t="inlineStr">
        <is>
          <t>Textiles Home Textile</t>
        </is>
      </c>
      <c r="G27" s="31" t="inlineStr">
        <is>
          <t>largecap</t>
        </is>
      </c>
      <c r="H27" s="32" t="n">
        <v>22595.65</v>
      </c>
      <c r="I27" s="32" t="n">
        <v>239.17</v>
      </c>
      <c r="J27" s="32" t="n">
        <v>5.21</v>
      </c>
      <c r="K27" s="32" t="n">
        <v>0</v>
      </c>
      <c r="L27" s="31" t="n">
        <v>63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84.48</v>
      </c>
      <c r="P27" s="32" t="n">
        <v>45.31</v>
      </c>
      <c r="Q27" s="32" t="n">
        <v>193.09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-9.93</v>
      </c>
      <c r="U27" s="32" t="n">
        <v>104.03</v>
      </c>
      <c r="V27" s="32" t="n">
        <v>126.53</v>
      </c>
      <c r="W27" s="32" t="n">
        <v>25.55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SANSERA</t>
        </is>
      </c>
      <c r="D28" s="31" t="inlineStr">
        <is>
          <t>Sansera Engineering Ltd</t>
        </is>
      </c>
      <c r="E28" s="31" t="inlineStr">
        <is>
          <t>Consumer Cyclical</t>
        </is>
      </c>
      <c r="F28" s="31" t="inlineStr">
        <is>
          <t>Diversified Auto Components</t>
        </is>
      </c>
      <c r="G28" s="31" t="inlineStr">
        <is>
          <t>largecap</t>
        </is>
      </c>
      <c r="H28" s="32" t="n">
        <v>26693.58</v>
      </c>
      <c r="I28" s="32" t="n">
        <v>4276.6</v>
      </c>
      <c r="J28" s="32" t="n">
        <v>-5.75</v>
      </c>
      <c r="K28" s="32" t="n">
        <v>0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70.8</v>
      </c>
      <c r="P28" s="32" t="n">
        <v>69.22</v>
      </c>
      <c r="Q28" s="32" t="n">
        <v>3704.37</v>
      </c>
      <c r="R28" s="31" t="inlineStr">
        <is>
          <t>Volume Spike / Accumulation</t>
        </is>
      </c>
      <c r="S28" s="31" t="inlineStr">
        <is>
          <t>Nifty Auto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SHANTIGOLD</t>
        </is>
      </c>
      <c r="D29" s="31" t="inlineStr">
        <is>
          <t>Shanti Gold International Ltd</t>
        </is>
      </c>
      <c r="E29" s="31" t="inlineStr">
        <is>
          <t>consumer discretionary</t>
        </is>
      </c>
      <c r="F29" s="31" t="inlineStr">
        <is>
          <t>Diamond Gems and Jewellery</t>
        </is>
      </c>
      <c r="G29" s="31" t="inlineStr">
        <is>
          <t>smallcap</t>
        </is>
      </c>
      <c r="H29" s="32" t="n">
        <v>2329.43</v>
      </c>
      <c r="I29" s="32" t="n">
        <v>303.55</v>
      </c>
      <c r="J29" s="32" t="n">
        <v>-1.64</v>
      </c>
      <c r="K29" s="32" t="n">
        <v>0</v>
      </c>
      <c r="L29" s="31" t="n">
        <v>44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67.45999999999999</v>
      </c>
      <c r="P29" s="32" t="n">
        <v>41.32</v>
      </c>
      <c r="Q29" s="32" t="n">
        <v>240.12</v>
      </c>
      <c r="R29" s="31" t="inlineStr">
        <is>
          <t>Earnings / Momentum Support</t>
        </is>
      </c>
      <c r="S29" s="31" t="inlineStr">
        <is>
          <t>Nifty 50</t>
        </is>
      </c>
      <c r="T29" s="32" t="n">
        <v>-9.93</v>
      </c>
      <c r="U29" s="32" t="n">
        <v>43.51</v>
      </c>
      <c r="V29" s="32" t="n">
        <v>59.34</v>
      </c>
      <c r="W29" s="32" t="n">
        <v>17.07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17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SYRMA</t>
        </is>
      </c>
      <c r="D30" s="31" t="inlineStr">
        <is>
          <t>Syrma SGS Technology Ltd</t>
        </is>
      </c>
      <c r="E30" s="31" t="inlineStr">
        <is>
          <t>consumer discretionary</t>
        </is>
      </c>
      <c r="F30" s="31" t="inlineStr">
        <is>
          <t>EMS</t>
        </is>
      </c>
      <c r="G30" s="31" t="inlineStr">
        <is>
          <t>largecap</t>
        </is>
      </c>
      <c r="H30" s="32" t="n">
        <v>33126.35</v>
      </c>
      <c r="I30" s="32" t="n">
        <v>1717.9</v>
      </c>
      <c r="J30" s="32" t="n">
        <v>-3.65</v>
      </c>
      <c r="K30" s="32" t="n">
        <v>0</v>
      </c>
      <c r="L30" s="31" t="n">
        <v>60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75.48</v>
      </c>
      <c r="P30" s="32" t="n">
        <v>60.34</v>
      </c>
      <c r="Q30" s="32" t="n">
        <v>1336.96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-9.93</v>
      </c>
      <c r="U30" s="32" t="n">
        <v>107.82</v>
      </c>
      <c r="V30" s="32" t="n">
        <v>130.73</v>
      </c>
      <c r="W30" s="32" t="n">
        <v>23.99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16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AZAD</t>
        </is>
      </c>
      <c r="D31" s="34" t="inlineStr">
        <is>
          <t>Azad Engineering Ltd</t>
        </is>
      </c>
      <c r="E31" s="31" t="inlineStr">
        <is>
          <t>aerospace &amp; defence</t>
        </is>
      </c>
      <c r="F31" s="31" t="inlineStr">
        <is>
          <t>Aerospace and Defence Equipment</t>
        </is>
      </c>
      <c r="G31" s="31" t="inlineStr">
        <is>
          <t>midcap</t>
        </is>
      </c>
      <c r="H31" s="32" t="n">
        <v>18476.19</v>
      </c>
      <c r="I31" s="32" t="n">
        <v>2860.9</v>
      </c>
      <c r="J31" s="32" t="n">
        <v>-3.45</v>
      </c>
      <c r="K31" s="32" t="n">
        <v>0</v>
      </c>
      <c r="L31" s="31" t="n">
        <v>46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66.75</v>
      </c>
      <c r="P31" s="32" t="n">
        <v>43.01</v>
      </c>
      <c r="Q31" s="32" t="n">
        <v>2142.11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-9.93</v>
      </c>
      <c r="U31" s="32" t="n">
        <v>65.06999999999999</v>
      </c>
      <c r="V31" s="32" t="n">
        <v>83.27</v>
      </c>
      <c r="W31" s="32" t="n">
        <v>18.74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CENTUM</t>
        </is>
      </c>
      <c r="D32" s="34" t="inlineStr">
        <is>
          <t>Centum Electronics Ltd</t>
        </is>
      </c>
      <c r="E32" s="31" t="inlineStr">
        <is>
          <t>aerospace &amp; defence</t>
        </is>
      </c>
      <c r="F32" s="31" t="inlineStr">
        <is>
          <t>EMS</t>
        </is>
      </c>
      <c r="G32" s="31" t="inlineStr">
        <is>
          <t>midcap</t>
        </is>
      </c>
      <c r="H32" s="32" t="n">
        <v>6940.66</v>
      </c>
      <c r="I32" s="32" t="n">
        <v>4701.7</v>
      </c>
      <c r="J32" s="32" t="n">
        <v>-2.01</v>
      </c>
      <c r="K32" s="32" t="n">
        <v>0</v>
      </c>
      <c r="L32" s="31" t="n">
        <v>54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73.3</v>
      </c>
      <c r="P32" s="32" t="n">
        <v>53.07</v>
      </c>
      <c r="Q32" s="32" t="n">
        <v>3631.97</v>
      </c>
      <c r="R32" s="31" t="inlineStr">
        <is>
          <t>Volume Spike &amp; Near 52W High Breakout</t>
        </is>
      </c>
      <c r="S32" s="31" t="inlineStr">
        <is>
          <t>Nifty 50</t>
        </is>
      </c>
      <c r="T32" s="32" t="n">
        <v>-9.93</v>
      </c>
      <c r="U32" s="32" t="n">
        <v>90.83</v>
      </c>
      <c r="V32" s="32" t="n">
        <v>111.87</v>
      </c>
      <c r="W32" s="32" t="n">
        <v>20.79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15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ARROWGREEN</t>
        </is>
      </c>
      <c r="D33" s="31" t="inlineStr">
        <is>
          <t>Arrow Greentech Ltd</t>
        </is>
      </c>
      <c r="E33" s="31" t="inlineStr">
        <is>
          <t>plastic products</t>
        </is>
      </c>
      <c r="F33" s="31" t="inlineStr">
        <is>
          <t>Plastics Plastic and Plastic Products</t>
        </is>
      </c>
      <c r="G33" s="31" t="inlineStr">
        <is>
          <t>smallcap</t>
        </is>
      </c>
      <c r="H33" s="32" t="n">
        <v>1305.41</v>
      </c>
      <c r="I33" s="32" t="n">
        <v>865.2</v>
      </c>
      <c r="J33" s="32" t="n">
        <v>1.07</v>
      </c>
      <c r="K33" s="32" t="n">
        <v>0</v>
      </c>
      <c r="L33" s="31" t="n">
        <v>44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66.48999999999999</v>
      </c>
      <c r="P33" s="32" t="n">
        <v>49</v>
      </c>
      <c r="Q33" s="32" t="n">
        <v>671.74</v>
      </c>
      <c r="R33" s="31" t="inlineStr">
        <is>
          <t>Near 52W High Breakout</t>
        </is>
      </c>
      <c r="S33" s="31" t="inlineStr">
        <is>
          <t>Nifty 50</t>
        </is>
      </c>
      <c r="T33" s="32" t="n">
        <v>-9.93</v>
      </c>
      <c r="U33" s="32" t="n">
        <v>50.79</v>
      </c>
      <c r="V33" s="32" t="n">
        <v>67.42</v>
      </c>
      <c r="W33" s="32" t="n">
        <v>17.74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15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CUPID</t>
        </is>
      </c>
      <c r="D34" s="31" t="inlineStr">
        <is>
          <t>Cupid Ltd</t>
        </is>
      </c>
      <c r="E34" s="31" t="inlineStr">
        <is>
          <t>fmcg</t>
        </is>
      </c>
      <c r="F34" s="31" t="inlineStr">
        <is>
          <t>Contraceptives and Protectives</t>
        </is>
      </c>
      <c r="G34" s="31" t="inlineStr">
        <is>
          <t>largecap</t>
        </is>
      </c>
      <c r="H34" s="32" t="n">
        <v>42020.65</v>
      </c>
      <c r="I34" s="32" t="n">
        <v>312.5</v>
      </c>
      <c r="J34" s="32" t="n">
        <v>0.27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82.45999999999999</v>
      </c>
      <c r="P34" s="32" t="n">
        <v>67.44</v>
      </c>
      <c r="Q34" s="32" t="n">
        <v>234.99</v>
      </c>
      <c r="R34" s="31" t="inlineStr">
        <is>
          <t>Near 52W High Breakout</t>
        </is>
      </c>
      <c r="S34" s="31" t="inlineStr">
        <is>
          <t>Nifty FMCG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SHILPAMED</t>
        </is>
      </c>
      <c r="D35" s="31" t="inlineStr">
        <is>
          <t>Shilpa Medicare Ltd</t>
        </is>
      </c>
      <c r="E35" s="31" t="inlineStr">
        <is>
          <t>healthcare</t>
        </is>
      </c>
      <c r="F35" s="31" t="inlineStr">
        <is>
          <t>Pharma API</t>
        </is>
      </c>
      <c r="G35" s="31" t="inlineStr">
        <is>
          <t>largecap</t>
        </is>
      </c>
      <c r="H35" s="32" t="n">
        <v>20811.86</v>
      </c>
      <c r="I35" s="32" t="n">
        <v>1064.1</v>
      </c>
      <c r="J35" s="32" t="n">
        <v>1.61</v>
      </c>
      <c r="K35" s="32" t="n">
        <v>0</v>
      </c>
      <c r="L35" s="31" t="n">
        <v>91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91.48999999999999</v>
      </c>
      <c r="P35" s="32" t="n">
        <v>82.68000000000001</v>
      </c>
      <c r="Q35" s="32" t="n">
        <v>854.36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20.94</v>
      </c>
      <c r="U35" s="32" t="n">
        <v>176.57</v>
      </c>
      <c r="V35" s="32" t="n">
        <v>128.69</v>
      </c>
      <c r="W35" s="32" t="n">
        <v>42.19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ENGINERSIN</t>
        </is>
      </c>
      <c r="D36" s="31" t="inlineStr">
        <is>
          <t>Engineers India Ltd</t>
        </is>
      </c>
      <c r="E36" s="31" t="inlineStr">
        <is>
          <t>realty</t>
        </is>
      </c>
      <c r="F36" s="31" t="inlineStr">
        <is>
          <t>Infra Engineering General</t>
        </is>
      </c>
      <c r="G36" s="31" t="inlineStr">
        <is>
          <t>midcap</t>
        </is>
      </c>
      <c r="H36" s="32" t="n">
        <v>17577.88</v>
      </c>
      <c r="I36" s="32" t="n">
        <v>312.75</v>
      </c>
      <c r="J36" s="32" t="n">
        <v>1.02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71.54000000000001</v>
      </c>
      <c r="P36" s="32" t="n">
        <v>20.1</v>
      </c>
      <c r="Q36" s="32" t="n">
        <v>251.51</v>
      </c>
      <c r="R36" s="31" t="inlineStr">
        <is>
          <t>Near 52W High Breakout</t>
        </is>
      </c>
      <c r="S36" s="31" t="inlineStr">
        <is>
          <t>Nifty Realty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ACCENTMIC</t>
        </is>
      </c>
      <c r="D37" s="31" t="inlineStr">
        <is>
          <t>Accent Microcell Ltd</t>
        </is>
      </c>
      <c r="E37" s="31" t="inlineStr">
        <is>
          <t>unknown</t>
        </is>
      </c>
      <c r="F37" s="31" t="inlineStr">
        <is>
          <t>Pharma Formulations</t>
        </is>
      </c>
      <c r="G37" s="31" t="inlineStr">
        <is>
          <t>smallcap</t>
        </is>
      </c>
      <c r="H37" s="32" t="n">
        <v>1607.02</v>
      </c>
      <c r="I37" s="32" t="n">
        <v>669.9</v>
      </c>
      <c r="J37" s="32" t="n">
        <v>-0.7</v>
      </c>
      <c r="K37" s="32" t="n">
        <v>0</v>
      </c>
      <c r="L37" s="31" t="n">
        <v>75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73.45</v>
      </c>
      <c r="P37" s="32" t="n">
        <v>68.5</v>
      </c>
      <c r="Q37" s="32" t="n">
        <v>586.42</v>
      </c>
      <c r="R37" s="31" t="inlineStr">
        <is>
          <t>Earnings / Momentum Support</t>
        </is>
      </c>
      <c r="S37" s="31" t="inlineStr">
        <is>
          <t>Nifty 50</t>
        </is>
      </c>
      <c r="T37" s="32" t="n">
        <v>-9.93</v>
      </c>
      <c r="U37" s="32" t="n">
        <v>175.6</v>
      </c>
      <c r="V37" s="32" t="n">
        <v>205.99</v>
      </c>
      <c r="W37" s="32" t="n">
        <v>30.48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17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FINCABLES</t>
        </is>
      </c>
      <c r="D38" s="31" t="inlineStr">
        <is>
          <t>Finolex Cables Ltd</t>
        </is>
      </c>
      <c r="E38" s="31" t="inlineStr">
        <is>
          <t>industrials</t>
        </is>
      </c>
      <c r="F38" s="31" t="inlineStr">
        <is>
          <t>Cables Telecom</t>
        </is>
      </c>
      <c r="G38" s="31" t="inlineStr">
        <is>
          <t>largecap</t>
        </is>
      </c>
      <c r="H38" s="32" t="n">
        <v>22310.79</v>
      </c>
      <c r="I38" s="32" t="n">
        <v>1458.8</v>
      </c>
      <c r="J38" s="32" t="n">
        <v>0.59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70.26000000000001</v>
      </c>
      <c r="P38" s="32" t="n">
        <v>39.08</v>
      </c>
      <c r="Q38" s="32" t="n">
        <v>1117.19</v>
      </c>
      <c r="R38" s="31" t="inlineStr">
        <is>
          <t>Near 52W High Breakout</t>
        </is>
      </c>
      <c r="S38" s="31" t="inlineStr">
        <is>
          <t>Nifty Energy</t>
        </is>
      </c>
      <c r="T38" s="32" t="inlineStr"/>
      <c r="U38" s="32" t="inlineStr"/>
      <c r="V38" s="32" t="inlineStr"/>
      <c r="W38" s="32" t="inlineStr"/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Oligopoly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EBGNG</t>
        </is>
      </c>
      <c r="D39" s="31" t="inlineStr">
        <is>
          <t>GNG Electronics Ltd</t>
        </is>
      </c>
      <c r="E39" s="31" t="inlineStr">
        <is>
          <t>services</t>
        </is>
      </c>
      <c r="F39" s="31" t="inlineStr">
        <is>
          <t>New age Platform E Retail</t>
        </is>
      </c>
      <c r="G39" s="31" t="inlineStr">
        <is>
          <t>midcap</t>
        </is>
      </c>
      <c r="H39" s="32" t="n">
        <v>8034.39</v>
      </c>
      <c r="I39" s="32" t="n">
        <v>704.7</v>
      </c>
      <c r="J39" s="32" t="n">
        <v>2.61</v>
      </c>
      <c r="K39" s="32" t="n">
        <v>0</v>
      </c>
      <c r="L39" s="31" t="n">
        <v>51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67.63</v>
      </c>
      <c r="P39" s="32" t="n">
        <v>39.04</v>
      </c>
      <c r="Q39" s="32" t="n">
        <v>500.04</v>
      </c>
      <c r="R39" s="31" t="inlineStr">
        <is>
          <t>Near 52W High Breakout</t>
        </is>
      </c>
      <c r="S39" s="31" t="inlineStr">
        <is>
          <t>Nifty 50</t>
        </is>
      </c>
      <c r="T39" s="32" t="n">
        <v>-9.93</v>
      </c>
      <c r="U39" s="32" t="n">
        <v>99.26000000000001</v>
      </c>
      <c r="V39" s="32" t="n">
        <v>121.24</v>
      </c>
      <c r="W39" s="32" t="n">
        <v>20.04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VIKRAMTH</t>
        </is>
      </c>
      <c r="D40" s="31" t="inlineStr">
        <is>
          <t>Vikram Thermo (India) Ltd</t>
        </is>
      </c>
      <c r="E40" s="31" t="inlineStr">
        <is>
          <t>Healthcare</t>
        </is>
      </c>
      <c r="F40" s="31" t="inlineStr">
        <is>
          <t>Specialty Chemicals</t>
        </is>
      </c>
      <c r="G40" s="31" t="inlineStr">
        <is>
          <t>smallcap</t>
        </is>
      </c>
      <c r="H40" s="32" t="n">
        <v>1272.82</v>
      </c>
      <c r="I40" s="32" t="n">
        <v>405.9</v>
      </c>
      <c r="J40" s="32" t="n">
        <v>-6.95</v>
      </c>
      <c r="K40" s="32" t="n">
        <v>0</v>
      </c>
      <c r="L40" s="31" t="n">
        <v>89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83.66</v>
      </c>
      <c r="P40" s="32" t="n">
        <v>70.13</v>
      </c>
      <c r="Q40" s="32" t="n">
        <v>326.34</v>
      </c>
      <c r="R40" s="31" t="inlineStr">
        <is>
          <t>Earnings / Momentum Support</t>
        </is>
      </c>
      <c r="S40" s="31" t="inlineStr">
        <is>
          <t>Nifty Pharma</t>
        </is>
      </c>
      <c r="T40" s="32" t="n">
        <v>20.94</v>
      </c>
      <c r="U40" s="32" t="n">
        <v>146.78</v>
      </c>
      <c r="V40" s="32" t="n">
        <v>104.06</v>
      </c>
      <c r="W40" s="32" t="n">
        <v>39.32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3" t="inlineStr">
        <is>
          <t>AARTIPHARM</t>
        </is>
      </c>
      <c r="D41" s="33" t="inlineStr">
        <is>
          <t>Aarti Pharmalabs Ltd</t>
        </is>
      </c>
      <c r="E41" s="31" t="inlineStr">
        <is>
          <t>healthcare</t>
        </is>
      </c>
      <c r="F41" s="31" t="inlineStr">
        <is>
          <t>Pharma API</t>
        </is>
      </c>
      <c r="G41" s="31" t="inlineStr">
        <is>
          <t>midcap</t>
        </is>
      </c>
      <c r="H41" s="32" t="n">
        <v>8782.34</v>
      </c>
      <c r="I41" s="32" t="n">
        <v>968.5</v>
      </c>
      <c r="J41" s="32" t="n">
        <v>1.55</v>
      </c>
      <c r="K41" s="32" t="n">
        <v>0</v>
      </c>
      <c r="L41" s="31" t="n">
        <v>34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71.56999999999999</v>
      </c>
      <c r="P41" s="32" t="n">
        <v>25.45</v>
      </c>
      <c r="Q41" s="32" t="n">
        <v>749.9400000000001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20.94</v>
      </c>
      <c r="U41" s="32" t="n">
        <v>19.05</v>
      </c>
      <c r="V41" s="32" t="n">
        <v>-1.56</v>
      </c>
      <c r="W41" s="32" t="n">
        <v>12.9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SYNCOMF</t>
        </is>
      </c>
      <c r="D42" s="31" t="inlineStr">
        <is>
          <t>Syncom Formulations (India) Ltd</t>
        </is>
      </c>
      <c r="E42" s="31" t="inlineStr">
        <is>
          <t>healthcare</t>
        </is>
      </c>
      <c r="F42" s="31" t="inlineStr">
        <is>
          <t>Pharma Others</t>
        </is>
      </c>
      <c r="G42" s="31" t="inlineStr">
        <is>
          <t>smallcap</t>
        </is>
      </c>
      <c r="H42" s="32" t="n">
        <v>2252.24</v>
      </c>
      <c r="I42" s="32" t="n">
        <v>23.96</v>
      </c>
      <c r="J42" s="32" t="n">
        <v>-4.47</v>
      </c>
      <c r="K42" s="32" t="n">
        <v>0</v>
      </c>
      <c r="L42" s="31" t="n">
        <v>64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79.47</v>
      </c>
      <c r="P42" s="32" t="n">
        <v>34.33</v>
      </c>
      <c r="Q42" s="32" t="n">
        <v>17.18</v>
      </c>
      <c r="R42" s="31" t="inlineStr">
        <is>
          <t>Volume Spike &amp; Near 52W High Breakout</t>
        </is>
      </c>
      <c r="S42" s="31" t="inlineStr">
        <is>
          <t>Nifty Pharma</t>
        </is>
      </c>
      <c r="T42" s="32" t="n">
        <v>20.94</v>
      </c>
      <c r="U42" s="32" t="n">
        <v>42.74</v>
      </c>
      <c r="V42" s="32" t="n">
        <v>18.03</v>
      </c>
      <c r="W42" s="32" t="n">
        <v>25.68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AKUMS</t>
        </is>
      </c>
      <c r="D43" s="34" t="inlineStr">
        <is>
          <t>Akums Drugs &amp; Pharmaceuticals Ltd</t>
        </is>
      </c>
      <c r="E43" s="31" t="inlineStr">
        <is>
          <t>healthcare</t>
        </is>
      </c>
      <c r="F43" s="31" t="inlineStr">
        <is>
          <t>Pharma Formulations</t>
        </is>
      </c>
      <c r="G43" s="31" t="inlineStr">
        <is>
          <t>midcap</t>
        </is>
      </c>
      <c r="H43" s="32" t="n">
        <v>12797.71</v>
      </c>
      <c r="I43" s="32" t="n">
        <v>813.1</v>
      </c>
      <c r="J43" s="32" t="n">
        <v>-0.66</v>
      </c>
      <c r="K43" s="32" t="n">
        <v>0</v>
      </c>
      <c r="L43" s="31" t="n">
        <v>48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76.53</v>
      </c>
      <c r="P43" s="32" t="n">
        <v>65.23999999999999</v>
      </c>
      <c r="Q43" s="32" t="n">
        <v>675.05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20.94</v>
      </c>
      <c r="U43" s="32" t="n">
        <v>83.7</v>
      </c>
      <c r="V43" s="32" t="n">
        <v>51.89</v>
      </c>
      <c r="W43" s="32" t="n">
        <v>19.64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SUNDROP</t>
        </is>
      </c>
      <c r="D44" s="34" t="inlineStr">
        <is>
          <t>Sundrop Brands Ltd</t>
        </is>
      </c>
      <c r="E44" s="31" t="inlineStr">
        <is>
          <t>fmcg</t>
        </is>
      </c>
      <c r="F44" s="31" t="inlineStr">
        <is>
          <t>FMCG Foods</t>
        </is>
      </c>
      <c r="G44" s="31" t="inlineStr">
        <is>
          <t>smallcap</t>
        </is>
      </c>
      <c r="H44" s="32" t="n">
        <v>2839.14</v>
      </c>
      <c r="I44" s="32" t="n">
        <v>753.15</v>
      </c>
      <c r="J44" s="32" t="n">
        <v>1.07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65.54000000000001</v>
      </c>
      <c r="P44" s="32" t="n">
        <v>20.6</v>
      </c>
      <c r="Q44" s="32" t="n">
        <v>620.37</v>
      </c>
      <c r="R44" s="31" t="inlineStr">
        <is>
          <t>Near 52W High Breakout</t>
        </is>
      </c>
      <c r="S44" s="31" t="inlineStr">
        <is>
          <t>Nifty FMCG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16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RPGLIFE</t>
        </is>
      </c>
      <c r="D45" s="34" t="inlineStr">
        <is>
          <t>RPG Life Sciences Ltd</t>
        </is>
      </c>
      <c r="E45" s="31" t="inlineStr">
        <is>
          <t>healthcare</t>
        </is>
      </c>
      <c r="F45" s="31" t="inlineStr">
        <is>
          <t>Pharma Formulations</t>
        </is>
      </c>
      <c r="G45" s="31" t="inlineStr">
        <is>
          <t>smallcap</t>
        </is>
      </c>
      <c r="H45" s="32" t="n">
        <v>4847.09</v>
      </c>
      <c r="I45" s="32" t="n">
        <v>2930.7</v>
      </c>
      <c r="J45" s="32" t="n">
        <v>-3.5</v>
      </c>
      <c r="K45" s="32" t="n">
        <v>0</v>
      </c>
      <c r="L45" s="31" t="n">
        <v>32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63.62</v>
      </c>
      <c r="P45" s="32" t="n">
        <v>43.82</v>
      </c>
      <c r="Q45" s="32" t="n">
        <v>2342.67</v>
      </c>
      <c r="R45" s="31" t="inlineStr">
        <is>
          <t>Volume Spike &amp; Near 52W High Breakout</t>
        </is>
      </c>
      <c r="S45" s="31" t="inlineStr">
        <is>
          <t>Nifty Pharma</t>
        </is>
      </c>
      <c r="T45" s="32" t="n">
        <v>20.94</v>
      </c>
      <c r="U45" s="32" t="n">
        <v>31.25</v>
      </c>
      <c r="V45" s="32" t="n">
        <v>8.529999999999999</v>
      </c>
      <c r="W45" s="32" t="n">
        <v>11.47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Between 12 to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15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BLISSGVS</t>
        </is>
      </c>
      <c r="D46" s="31" t="inlineStr">
        <is>
          <t>Bliss GVS Pharma Ltd</t>
        </is>
      </c>
      <c r="E46" s="31" t="inlineStr">
        <is>
          <t>Healthcare</t>
        </is>
      </c>
      <c r="F46" s="31" t="inlineStr">
        <is>
          <t>Pharma Formulations</t>
        </is>
      </c>
      <c r="G46" s="31" t="inlineStr">
        <is>
          <t>midcap</t>
        </is>
      </c>
      <c r="H46" s="32" t="n">
        <v>7268.75</v>
      </c>
      <c r="I46" s="32" t="n">
        <v>683.6</v>
      </c>
      <c r="J46" s="32" t="n">
        <v>-1.56</v>
      </c>
      <c r="K46" s="32" t="n">
        <v>0</v>
      </c>
      <c r="L46" s="31" t="n">
        <v>94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77.76000000000001</v>
      </c>
      <c r="P46" s="32" t="n">
        <v>72.03</v>
      </c>
      <c r="Q46" s="32" t="n">
        <v>553.96</v>
      </c>
      <c r="R46" s="31" t="inlineStr">
        <is>
          <t>Volume Spike &amp; Near 52W High Breakout</t>
        </is>
      </c>
      <c r="S46" s="31" t="inlineStr">
        <is>
          <t>Nifty Pharma</t>
        </is>
      </c>
      <c r="T46" s="32" t="n">
        <v>20.94</v>
      </c>
      <c r="U46" s="32" t="n">
        <v>357.36</v>
      </c>
      <c r="V46" s="32" t="n">
        <v>278.18</v>
      </c>
      <c r="W46" s="32" t="n">
        <v>48.17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15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BIRLACABLE</t>
        </is>
      </c>
      <c r="D47" s="31" t="inlineStr">
        <is>
          <t>Birla Cable Ltd</t>
        </is>
      </c>
      <c r="E47" s="31" t="inlineStr">
        <is>
          <t>industrials</t>
        </is>
      </c>
      <c r="F47" s="31" t="inlineStr">
        <is>
          <t>Cables Telecom</t>
        </is>
      </c>
      <c r="G47" s="31" t="inlineStr">
        <is>
          <t>smallcap</t>
        </is>
      </c>
      <c r="H47" s="32" t="n">
        <v>1149</v>
      </c>
      <c r="I47" s="32" t="n">
        <v>383</v>
      </c>
      <c r="J47" s="32" t="n">
        <v>0.49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71.48</v>
      </c>
      <c r="P47" s="32" t="n">
        <v>53.26</v>
      </c>
      <c r="Q47" s="32" t="n">
        <v>289.89</v>
      </c>
      <c r="R47" s="31" t="inlineStr">
        <is>
          <t>Earnings / Momentum Support</t>
        </is>
      </c>
      <c r="S47" s="31" t="inlineStr">
        <is>
          <t>Nifty Infra</t>
        </is>
      </c>
      <c r="T47" s="32" t="inlineStr"/>
      <c r="U47" s="32" t="inlineStr"/>
      <c r="V47" s="32" t="inlineStr"/>
      <c r="W47" s="32" t="inlineStr"/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23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SPECTRUM</t>
        </is>
      </c>
      <c r="D48" s="31" t="inlineStr">
        <is>
          <t>Spectrum Electrical Industries Ltd</t>
        </is>
      </c>
      <c r="E48" s="31" t="inlineStr">
        <is>
          <t>industrials</t>
        </is>
      </c>
      <c r="F48" s="31" t="inlineStr">
        <is>
          <t>Capital Goods Electric General</t>
        </is>
      </c>
      <c r="G48" s="31" t="inlineStr">
        <is>
          <t>midcap</t>
        </is>
      </c>
      <c r="H48" s="32" t="n">
        <v>6584.48</v>
      </c>
      <c r="I48" s="32" t="n">
        <v>3853.4</v>
      </c>
      <c r="J48" s="32" t="n">
        <v>0.19</v>
      </c>
      <c r="K48" s="32" t="n">
        <v>0</v>
      </c>
      <c r="L48" s="31" t="n">
        <v>95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84.95</v>
      </c>
      <c r="P48" s="32" t="n">
        <v>64.61</v>
      </c>
      <c r="Q48" s="32" t="n">
        <v>2929.05</v>
      </c>
      <c r="R48" s="31" t="inlineStr">
        <is>
          <t>Near 52W High Breakout</t>
        </is>
      </c>
      <c r="S48" s="31" t="inlineStr">
        <is>
          <t>Nifty 50</t>
        </is>
      </c>
      <c r="T48" s="32" t="n">
        <v>-9.93</v>
      </c>
      <c r="U48" s="32" t="n">
        <v>188.3</v>
      </c>
      <c r="V48" s="32" t="n">
        <v>220.09</v>
      </c>
      <c r="W48" s="32" t="n">
        <v>51.08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15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ACMESOLAR</t>
        </is>
      </c>
      <c r="D49" s="31" t="inlineStr">
        <is>
          <t>ACME Solar Holdings Ltd</t>
        </is>
      </c>
      <c r="E49" s="31" t="inlineStr">
        <is>
          <t>realty</t>
        </is>
      </c>
      <c r="F49" s="31" t="inlineStr">
        <is>
          <t>Power Generation and Distribution</t>
        </is>
      </c>
      <c r="G49" s="31" t="inlineStr">
        <is>
          <t>largecap</t>
        </is>
      </c>
      <c r="H49" s="32" t="n">
        <v>30575.85</v>
      </c>
      <c r="I49" s="32" t="n">
        <v>432.55</v>
      </c>
      <c r="J49" s="32" t="n">
        <v>-1.47</v>
      </c>
      <c r="K49" s="32" t="n">
        <v>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68.66</v>
      </c>
      <c r="P49" s="32" t="n">
        <v>53.81</v>
      </c>
      <c r="Q49" s="32" t="n">
        <v>346.26</v>
      </c>
      <c r="R49" s="31" t="inlineStr">
        <is>
          <t>Near 52W High Breakout</t>
        </is>
      </c>
      <c r="S49" s="31" t="inlineStr">
        <is>
          <t>Nifty Realty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More than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15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VALIANT</t>
        </is>
      </c>
      <c r="D50" s="31" t="inlineStr">
        <is>
          <t>Valiant Communications Ltd</t>
        </is>
      </c>
      <c r="E50" s="31" t="inlineStr">
        <is>
          <t>Technology</t>
        </is>
      </c>
      <c r="F50" s="31" t="inlineStr">
        <is>
          <t>Telecommunications Equipment</t>
        </is>
      </c>
      <c r="G50" s="31" t="inlineStr">
        <is>
          <t>smallcap</t>
        </is>
      </c>
      <c r="H50" s="32" t="n">
        <v>1971.7</v>
      </c>
      <c r="I50" s="32" t="n">
        <v>1686.35</v>
      </c>
      <c r="J50" s="32" t="n">
        <v>-2.75</v>
      </c>
      <c r="K50" s="32" t="n">
        <v>0</v>
      </c>
      <c r="L50" s="31" t="n">
        <v>78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77.75</v>
      </c>
      <c r="P50" s="32" t="n">
        <v>27.83</v>
      </c>
      <c r="Q50" s="32" t="n">
        <v>1182.65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-9.93</v>
      </c>
      <c r="U50" s="32" t="n">
        <v>129.92</v>
      </c>
      <c r="V50" s="32" t="n">
        <v>155.27</v>
      </c>
      <c r="W50" s="32" t="n">
        <v>31.01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16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KMCSHIL</t>
        </is>
      </c>
      <c r="D51" s="31" t="inlineStr">
        <is>
          <t>KMC Speciality Hospitals (India) Ltd</t>
        </is>
      </c>
      <c r="E51" s="31" t="inlineStr">
        <is>
          <t>Healthcare</t>
        </is>
      </c>
      <c r="F51" s="31" t="inlineStr">
        <is>
          <t>Hospitals</t>
        </is>
      </c>
      <c r="G51" s="31" t="inlineStr">
        <is>
          <t>smallcap</t>
        </is>
      </c>
      <c r="H51" s="32" t="n">
        <v>2804.25</v>
      </c>
      <c r="I51" s="32" t="n">
        <v>171.95</v>
      </c>
      <c r="J51" s="32" t="n">
        <v>0.29</v>
      </c>
      <c r="K51" s="32" t="n">
        <v>0</v>
      </c>
      <c r="L51" s="31" t="n">
        <v>67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81.92</v>
      </c>
      <c r="P51" s="32" t="n">
        <v>53.05</v>
      </c>
      <c r="Q51" s="32" t="n">
        <v>132.22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20.94</v>
      </c>
      <c r="U51" s="32" t="n">
        <v>154.71</v>
      </c>
      <c r="V51" s="32" t="n">
        <v>110.61</v>
      </c>
      <c r="W51" s="32" t="n">
        <v>28.29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16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AVALON</t>
        </is>
      </c>
      <c r="D52" s="31" t="inlineStr">
        <is>
          <t>Avalon Technologies Ltd</t>
        </is>
      </c>
      <c r="E52" s="31" t="inlineStr">
        <is>
          <t>Technology</t>
        </is>
      </c>
      <c r="F52" s="31" t="inlineStr">
        <is>
          <t>EMS</t>
        </is>
      </c>
      <c r="G52" s="31" t="inlineStr">
        <is>
          <t>midcap</t>
        </is>
      </c>
      <c r="H52" s="32" t="n">
        <v>15250.5</v>
      </c>
      <c r="I52" s="32" t="n">
        <v>2280.2</v>
      </c>
      <c r="J52" s="32" t="n">
        <v>-0.72</v>
      </c>
      <c r="K52" s="32" t="n">
        <v>0</v>
      </c>
      <c r="L52" s="31" t="n">
        <v>66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69.23999999999999</v>
      </c>
      <c r="P52" s="32" t="n">
        <v>52.49</v>
      </c>
      <c r="Q52" s="32" t="n">
        <v>1877.07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-9.93</v>
      </c>
      <c r="U52" s="32" t="n">
        <v>115.31</v>
      </c>
      <c r="V52" s="32" t="n">
        <v>139.06</v>
      </c>
      <c r="W52" s="32" t="n">
        <v>26.89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16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PIXTRANS</t>
        </is>
      </c>
      <c r="D53" s="34" t="inlineStr">
        <is>
          <t>Pix Transmission Ltd</t>
        </is>
      </c>
      <c r="E53" s="31" t="inlineStr">
        <is>
          <t>fmcg</t>
        </is>
      </c>
      <c r="F53" s="31" t="inlineStr">
        <is>
          <t>Rubber Processing and Rubber Products</t>
        </is>
      </c>
      <c r="G53" s="31" t="inlineStr">
        <is>
          <t>smallcap</t>
        </is>
      </c>
      <c r="H53" s="32" t="n">
        <v>2465.21</v>
      </c>
      <c r="I53" s="32" t="n">
        <v>1809.3</v>
      </c>
      <c r="J53" s="32" t="n">
        <v>4.77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57</v>
      </c>
      <c r="P53" s="32" t="n">
        <v>43.57</v>
      </c>
      <c r="Q53" s="32" t="n">
        <v>1500.63</v>
      </c>
      <c r="R53" s="31" t="inlineStr">
        <is>
          <t>Volume Spike / Accumulation</t>
        </is>
      </c>
      <c r="S53" s="31" t="inlineStr">
        <is>
          <t>Nifty FMCG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15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LAURUSLABS</t>
        </is>
      </c>
      <c r="D54" s="31" t="inlineStr">
        <is>
          <t>Laurus Labs Ltd</t>
        </is>
      </c>
      <c r="E54" s="31" t="inlineStr">
        <is>
          <t>healthcare</t>
        </is>
      </c>
      <c r="F54" s="31" t="inlineStr">
        <is>
          <t>Pharma API</t>
        </is>
      </c>
      <c r="G54" s="31" t="inlineStr">
        <is>
          <t>largecap</t>
        </is>
      </c>
      <c r="H54" s="32" t="n">
        <v>107197.94</v>
      </c>
      <c r="I54" s="32" t="n">
        <v>1984</v>
      </c>
      <c r="J54" s="32" t="n">
        <v>0.2</v>
      </c>
      <c r="K54" s="32" t="n">
        <v>0</v>
      </c>
      <c r="L54" s="31" t="n">
        <v>63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75.31999999999999</v>
      </c>
      <c r="P54" s="32" t="n">
        <v>76.23999999999999</v>
      </c>
      <c r="Q54" s="32" t="n">
        <v>1713.85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20.94</v>
      </c>
      <c r="U54" s="32" t="n">
        <v>129.94</v>
      </c>
      <c r="V54" s="32" t="n">
        <v>90.13</v>
      </c>
      <c r="W54" s="32" t="n">
        <v>25.54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15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BODALCHEM</t>
        </is>
      </c>
      <c r="D55" s="31" t="inlineStr">
        <is>
          <t>Bodal Chemicals Ltd</t>
        </is>
      </c>
      <c r="E55" s="31" t="inlineStr">
        <is>
          <t>chemicals</t>
        </is>
      </c>
      <c r="F55" s="31" t="inlineStr">
        <is>
          <t>Dyes and Pigments</t>
        </is>
      </c>
      <c r="G55" s="31" t="inlineStr">
        <is>
          <t>smallcap</t>
        </is>
      </c>
      <c r="H55" s="32" t="n">
        <v>2389.79</v>
      </c>
      <c r="I55" s="32" t="n">
        <v>189.75</v>
      </c>
      <c r="J55" s="32" t="n">
        <v>-4.34</v>
      </c>
      <c r="K55" s="32" t="n">
        <v>0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83.29000000000001</v>
      </c>
      <c r="P55" s="32" t="n">
        <v>48.06</v>
      </c>
      <c r="Q55" s="32" t="n">
        <v>156.98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-9.93</v>
      </c>
      <c r="U55" s="32" t="n">
        <v>202.45</v>
      </c>
      <c r="V55" s="32" t="n">
        <v>235.8</v>
      </c>
      <c r="W55" s="32" t="n">
        <v>81.33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22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ONEPOINT</t>
        </is>
      </c>
      <c r="D56" s="31" t="inlineStr">
        <is>
          <t>One Point One Solutions Ltd</t>
        </is>
      </c>
      <c r="E56" s="31" t="inlineStr">
        <is>
          <t>i.t</t>
        </is>
      </c>
      <c r="F56" s="31" t="inlineStr">
        <is>
          <t>IT Enabled Services</t>
        </is>
      </c>
      <c r="G56" s="31" t="inlineStr">
        <is>
          <t>smallcap</t>
        </is>
      </c>
      <c r="H56" s="32" t="n">
        <v>1955.46</v>
      </c>
      <c r="I56" s="32" t="n">
        <v>74.37</v>
      </c>
      <c r="J56" s="32" t="n">
        <v>1.34</v>
      </c>
      <c r="K56" s="32" t="n">
        <v>0</v>
      </c>
      <c r="L56" s="31" t="n">
        <v>41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72.48</v>
      </c>
      <c r="P56" s="32" t="n">
        <v>16.07</v>
      </c>
      <c r="Q56" s="32" t="n">
        <v>57.86</v>
      </c>
      <c r="R56" s="31" t="inlineStr">
        <is>
          <t>Volume Spike &amp; Near 52W High Breakout</t>
        </is>
      </c>
      <c r="S56" s="31" t="inlineStr">
        <is>
          <t>Nifty IT</t>
        </is>
      </c>
      <c r="T56" s="32" t="n">
        <v>-16.63</v>
      </c>
      <c r="U56" s="32" t="n">
        <v>54.07</v>
      </c>
      <c r="V56" s="32" t="n">
        <v>84.8</v>
      </c>
      <c r="W56" s="32" t="n">
        <v>15.55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0 to 20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GANDHAR</t>
        </is>
      </c>
      <c r="D57" s="31" t="inlineStr">
        <is>
          <t>Gandhar Oil Refinery (India) Ltd</t>
        </is>
      </c>
      <c r="E57" s="31" t="inlineStr">
        <is>
          <t>energy</t>
        </is>
      </c>
      <c r="F57" s="31" t="inlineStr">
        <is>
          <t>Refineries</t>
        </is>
      </c>
      <c r="G57" s="31" t="inlineStr">
        <is>
          <t>smallcap</t>
        </is>
      </c>
      <c r="H57" s="32" t="n">
        <v>2766.08</v>
      </c>
      <c r="I57" s="32" t="n">
        <v>282.6</v>
      </c>
      <c r="J57" s="32" t="n">
        <v>1.34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69.36</v>
      </c>
      <c r="P57" s="32" t="n">
        <v>77.19</v>
      </c>
      <c r="Q57" s="32" t="n">
        <v>214.89</v>
      </c>
      <c r="R57" s="31" t="inlineStr">
        <is>
          <t>Near 52W High Breakout</t>
        </is>
      </c>
      <c r="S57" s="31" t="inlineStr">
        <is>
          <t>Nifty Energy</t>
        </is>
      </c>
      <c r="T57" s="32" t="inlineStr"/>
      <c r="U57" s="32" t="inlineStr"/>
      <c r="V57" s="32" t="inlineStr"/>
      <c r="W57" s="32" t="inlineStr"/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Oligopoly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Cyclical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Volatile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NRBBEARING</t>
        </is>
      </c>
      <c r="D58" s="31" t="inlineStr">
        <is>
          <t>NRB Bearings Ltd</t>
        </is>
      </c>
      <c r="E58" s="31" t="inlineStr">
        <is>
          <t>industrials</t>
        </is>
      </c>
      <c r="F58" s="31" t="inlineStr">
        <is>
          <t>Bearings</t>
        </is>
      </c>
      <c r="G58" s="31" t="inlineStr">
        <is>
          <t>midcap</t>
        </is>
      </c>
      <c r="H58" s="32" t="n">
        <v>5259.02</v>
      </c>
      <c r="I58" s="32" t="n">
        <v>542.6</v>
      </c>
      <c r="J58" s="32" t="n">
        <v>1.6</v>
      </c>
      <c r="K58" s="32" t="n">
        <v>0</v>
      </c>
      <c r="L58" s="31" t="n">
        <v>61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76.34</v>
      </c>
      <c r="P58" s="32" t="n">
        <v>51.06</v>
      </c>
      <c r="Q58" s="32" t="n">
        <v>426.08</v>
      </c>
      <c r="R58" s="31" t="inlineStr">
        <is>
          <t>Near 52W High Breakout</t>
        </is>
      </c>
      <c r="S58" s="31" t="inlineStr">
        <is>
          <t>Nifty 50</t>
        </is>
      </c>
      <c r="T58" s="32" t="n">
        <v>-9.93</v>
      </c>
      <c r="U58" s="32" t="n">
        <v>92.13</v>
      </c>
      <c r="V58" s="32" t="n">
        <v>113.31</v>
      </c>
      <c r="W58" s="32" t="n">
        <v>24.37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Between 12 to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OPTIEMUS</t>
        </is>
      </c>
      <c r="D59" s="31" t="inlineStr">
        <is>
          <t>Optiemus Infracom Ltd</t>
        </is>
      </c>
      <c r="E59" s="31" t="inlineStr">
        <is>
          <t>telecom</t>
        </is>
      </c>
      <c r="F59" s="31" t="inlineStr">
        <is>
          <t>EMS</t>
        </is>
      </c>
      <c r="G59" s="31" t="inlineStr">
        <is>
          <t>midcap</t>
        </is>
      </c>
      <c r="H59" s="32" t="n">
        <v>7246.68</v>
      </c>
      <c r="I59" s="32" t="n">
        <v>803.7</v>
      </c>
      <c r="J59" s="32" t="n">
        <v>4.68</v>
      </c>
      <c r="K59" s="32" t="n">
        <v>0</v>
      </c>
      <c r="L59" s="31" t="n">
        <v>56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76.31999999999999</v>
      </c>
      <c r="P59" s="32" t="n">
        <v>43.09</v>
      </c>
      <c r="Q59" s="32" t="n">
        <v>604.14</v>
      </c>
      <c r="R59" s="31" t="inlineStr">
        <is>
          <t>Volume Spike &amp; Near 52W High Breakout</t>
        </is>
      </c>
      <c r="S59" s="31" t="inlineStr">
        <is>
          <t>Nifty 50</t>
        </is>
      </c>
      <c r="T59" s="32" t="n">
        <v>-9.93</v>
      </c>
      <c r="U59" s="32" t="n">
        <v>18.72</v>
      </c>
      <c r="V59" s="32" t="n">
        <v>31.81</v>
      </c>
      <c r="W59" s="32" t="n">
        <v>22.56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YASHHV</t>
        </is>
      </c>
      <c r="D60" s="34" t="inlineStr">
        <is>
          <t>Yash Highvoltage Ltd</t>
        </is>
      </c>
      <c r="E60" s="31" t="inlineStr">
        <is>
          <t>Industrials</t>
        </is>
      </c>
      <c r="F60" s="31" t="inlineStr">
        <is>
          <t>Electric Equipment General</t>
        </is>
      </c>
      <c r="G60" s="31" t="inlineStr">
        <is>
          <t>smallcap</t>
        </is>
      </c>
      <c r="H60" s="32" t="n">
        <v>3304.83</v>
      </c>
      <c r="I60" s="32" t="n">
        <v>1105.75</v>
      </c>
      <c r="J60" s="32" t="n">
        <v>2.7</v>
      </c>
      <c r="K60" s="32" t="n">
        <v>0</v>
      </c>
      <c r="L60" s="31" t="n">
        <v>69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74.31</v>
      </c>
      <c r="P60" s="32" t="n">
        <v>62.77</v>
      </c>
      <c r="Q60" s="32" t="n">
        <v>812.84</v>
      </c>
      <c r="R60" s="31" t="inlineStr">
        <is>
          <t>Near 52W High Breakout</t>
        </is>
      </c>
      <c r="S60" s="31" t="inlineStr">
        <is>
          <t>Nifty 50</t>
        </is>
      </c>
      <c r="T60" s="32" t="n">
        <v>-9.93</v>
      </c>
      <c r="U60" s="32" t="n">
        <v>137.35</v>
      </c>
      <c r="V60" s="32" t="n">
        <v>163.52</v>
      </c>
      <c r="W60" s="32" t="n">
        <v>29.26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RAYMOND</t>
        </is>
      </c>
      <c r="D61" s="34" t="inlineStr">
        <is>
          <t>Raymond Ltd</t>
        </is>
      </c>
      <c r="E61" s="31" t="inlineStr">
        <is>
          <t>transportation</t>
        </is>
      </c>
      <c r="F61" s="31" t="inlineStr">
        <is>
          <t>Realty Construction and Contracting</t>
        </is>
      </c>
      <c r="G61" s="31" t="inlineStr">
        <is>
          <t>midcap</t>
        </is>
      </c>
      <c r="H61" s="32" t="n">
        <v>7970.21</v>
      </c>
      <c r="I61" s="32" t="n">
        <v>1197.2</v>
      </c>
      <c r="J61" s="32" t="n">
        <v>-1.31</v>
      </c>
      <c r="K61" s="32" t="n">
        <v>0</v>
      </c>
      <c r="L61" s="31" t="n">
        <v>92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84.95</v>
      </c>
      <c r="P61" s="32" t="n">
        <v>55.74</v>
      </c>
      <c r="Q61" s="32" t="n">
        <v>918.74</v>
      </c>
      <c r="R61" s="31" t="inlineStr">
        <is>
          <t>Near 52W High Breakout</t>
        </is>
      </c>
      <c r="S61" s="31" t="inlineStr">
        <is>
          <t>Nifty 50</t>
        </is>
      </c>
      <c r="T61" s="32" t="n">
        <v>-9.93</v>
      </c>
      <c r="U61" s="32" t="n">
        <v>103.13</v>
      </c>
      <c r="V61" s="32" t="n">
        <v>125.53</v>
      </c>
      <c r="W61" s="32" t="n">
        <v>44.19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16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SIGMAADV</t>
        </is>
      </c>
      <c r="D62" s="34" t="inlineStr">
        <is>
          <t>Sigma Advanced System Ltd</t>
        </is>
      </c>
      <c r="E62" s="31" t="inlineStr">
        <is>
          <t>aerospace &amp; defence</t>
        </is>
      </c>
      <c r="F62" s="31" t="inlineStr">
        <is>
          <t>Aerospace and Defence Equipment</t>
        </is>
      </c>
      <c r="G62" s="31" t="inlineStr">
        <is>
          <t>largecap</t>
        </is>
      </c>
      <c r="H62" s="32" t="n">
        <v>20453.45</v>
      </c>
      <c r="I62" s="32" t="n">
        <v>1076.9</v>
      </c>
      <c r="J62" s="32" t="n">
        <v>4.99</v>
      </c>
      <c r="K62" s="32" t="n">
        <v>0</v>
      </c>
      <c r="L62" s="31" t="n">
        <v>98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85.68000000000001</v>
      </c>
      <c r="P62" s="32" t="n">
        <v>63.17</v>
      </c>
      <c r="Q62" s="32" t="n">
        <v>817.98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-9.93</v>
      </c>
      <c r="U62" s="32" t="n">
        <v>594.37</v>
      </c>
      <c r="V62" s="32" t="n">
        <v>670.9299999999999</v>
      </c>
      <c r="W62" s="32" t="n">
        <v>90.06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Less than 12%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15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STEELCAS</t>
        </is>
      </c>
      <c r="D63" s="34" t="inlineStr">
        <is>
          <t>Steelcast Ltd</t>
        </is>
      </c>
      <c r="E63" s="31" t="inlineStr">
        <is>
          <t>castings, forgings &amp; fasteners</t>
        </is>
      </c>
      <c r="F63" s="31" t="inlineStr">
        <is>
          <t>Castings Forgings and Fasteners</t>
        </is>
      </c>
      <c r="G63" s="31" t="inlineStr">
        <is>
          <t>smallcap</t>
        </is>
      </c>
      <c r="H63" s="32" t="n">
        <v>3607.27</v>
      </c>
      <c r="I63" s="32" t="n">
        <v>356.45</v>
      </c>
      <c r="J63" s="32" t="n">
        <v>-5.5</v>
      </c>
      <c r="K63" s="32" t="n">
        <v>0</v>
      </c>
      <c r="L63" s="31" t="n">
        <v>36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64.18000000000001</v>
      </c>
      <c r="P63" s="32" t="n">
        <v>42.51</v>
      </c>
      <c r="Q63" s="32" t="n">
        <v>279.26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-9.93</v>
      </c>
      <c r="U63" s="32" t="n">
        <v>60.31</v>
      </c>
      <c r="V63" s="32" t="n">
        <v>77.98</v>
      </c>
      <c r="W63" s="32" t="n">
        <v>13.61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15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BOSCH-HCIL</t>
        </is>
      </c>
      <c r="D64" s="34" t="inlineStr">
        <is>
          <t>Bosch Home Comfort India Ltd</t>
        </is>
      </c>
      <c r="E64" s="31" t="inlineStr">
        <is>
          <t>consumer discretionary</t>
        </is>
      </c>
      <c r="F64" s="31" t="inlineStr">
        <is>
          <t>Consumer Electronics</t>
        </is>
      </c>
      <c r="G64" s="31" t="inlineStr">
        <is>
          <t>midcap</t>
        </is>
      </c>
      <c r="H64" s="32" t="n">
        <v>5348.99</v>
      </c>
      <c r="I64" s="32" t="n">
        <v>1967.2</v>
      </c>
      <c r="J64" s="32" t="n">
        <v>4.82</v>
      </c>
      <c r="K64" s="32" t="n">
        <v>0</v>
      </c>
      <c r="L64" s="31" t="n">
        <v>37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71.51000000000001</v>
      </c>
      <c r="P64" s="32" t="n">
        <v>36.66</v>
      </c>
      <c r="Q64" s="32" t="n">
        <v>1554.18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-9.93</v>
      </c>
      <c r="U64" s="32" t="n">
        <v>12.69</v>
      </c>
      <c r="V64" s="32" t="n">
        <v>25.12</v>
      </c>
      <c r="W64" s="32" t="n">
        <v>13.94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15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MINDSPACE</t>
        </is>
      </c>
      <c r="D65" s="34" t="inlineStr">
        <is>
          <t>Mindspace Business Parks REIT</t>
        </is>
      </c>
      <c r="E65" s="31" t="inlineStr">
        <is>
          <t>unknown</t>
        </is>
      </c>
      <c r="F65" s="31" t="inlineStr">
        <is>
          <t>Real Estate Investment Trusts</t>
        </is>
      </c>
      <c r="G65" s="31" t="inlineStr">
        <is>
          <t>largecap</t>
        </is>
      </c>
      <c r="H65" s="32" t="n">
        <v>32997.73</v>
      </c>
      <c r="I65" s="32" t="n">
        <v>498.46</v>
      </c>
      <c r="J65" s="32" t="n">
        <v>-0.44</v>
      </c>
      <c r="K65" s="32" t="n">
        <v>0</v>
      </c>
      <c r="L65" s="31" t="n">
        <v>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61.57</v>
      </c>
      <c r="P65" s="32" t="n">
        <v>48.5</v>
      </c>
      <c r="Q65" s="32" t="n">
        <v>461.51</v>
      </c>
      <c r="R65" s="31" t="inlineStr">
        <is>
          <t>Near 52W High Breakout</t>
        </is>
      </c>
      <c r="S65" s="31" t="inlineStr">
        <is>
          <t>Nifty 50</t>
        </is>
      </c>
      <c r="T65" s="32" t="n">
        <v>-9.93</v>
      </c>
      <c r="U65" s="32" t="n">
        <v>14.85</v>
      </c>
      <c r="V65" s="32" t="n">
        <v>27.52</v>
      </c>
      <c r="W65" s="32" t="n">
        <v>3.67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15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ELPROINTL</t>
        </is>
      </c>
      <c r="D66" s="34" t="inlineStr">
        <is>
          <t>Elpro International Ltd</t>
        </is>
      </c>
      <c r="E66" s="31" t="inlineStr">
        <is>
          <t>Real Estate</t>
        </is>
      </c>
      <c r="F66" s="31" t="inlineStr">
        <is>
          <t>Electronics Equipment and Components</t>
        </is>
      </c>
      <c r="G66" s="31" t="inlineStr">
        <is>
          <t>smallcap</t>
        </is>
      </c>
      <c r="H66" s="32" t="n">
        <v>2953.17</v>
      </c>
      <c r="I66" s="32" t="n">
        <v>174.25</v>
      </c>
      <c r="J66" s="32" t="n">
        <v>0.14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74.39</v>
      </c>
      <c r="P66" s="32" t="n">
        <v>60.59</v>
      </c>
      <c r="Q66" s="32" t="n">
        <v>156.97</v>
      </c>
      <c r="R66" s="31" t="inlineStr">
        <is>
          <t>Volume Spike &amp; Near 52W High Breakout</t>
        </is>
      </c>
      <c r="S66" s="31" t="inlineStr">
        <is>
          <t>Nifty Realty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14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ASMTEC</t>
        </is>
      </c>
      <c r="D67" s="31" t="inlineStr">
        <is>
          <t>ASM Technologies Ltd</t>
        </is>
      </c>
      <c r="E67" s="31" t="inlineStr">
        <is>
          <t>Technology</t>
        </is>
      </c>
      <c r="F67" s="31" t="inlineStr">
        <is>
          <t>IT Services</t>
        </is>
      </c>
      <c r="G67" s="31" t="inlineStr">
        <is>
          <t>midcap</t>
        </is>
      </c>
      <c r="H67" s="32" t="n">
        <v>9632.52</v>
      </c>
      <c r="I67" s="32" t="n">
        <v>6603.65</v>
      </c>
      <c r="J67" s="32" t="n">
        <v>-2.31</v>
      </c>
      <c r="K67" s="32" t="n">
        <v>0</v>
      </c>
      <c r="L67" s="31" t="n">
        <v>70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75.05</v>
      </c>
      <c r="P67" s="32" t="n">
        <v>58.82</v>
      </c>
      <c r="Q67" s="32" t="n">
        <v>5212.41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-9.93</v>
      </c>
      <c r="U67" s="32" t="n">
        <v>59.65</v>
      </c>
      <c r="V67" s="32" t="n">
        <v>77.26000000000001</v>
      </c>
      <c r="W67" s="32" t="n">
        <v>29.46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SAMBHV</t>
        </is>
      </c>
      <c r="D68" s="31" t="inlineStr">
        <is>
          <t>Sambhv Steel Tubes Ltd</t>
        </is>
      </c>
      <c r="E68" s="31" t="inlineStr">
        <is>
          <t>metals &amp; mining</t>
        </is>
      </c>
      <c r="F68" s="31" t="inlineStr">
        <is>
          <t>Steel Tubes and Pipes</t>
        </is>
      </c>
      <c r="G68" s="31" t="inlineStr">
        <is>
          <t>smallcap</t>
        </is>
      </c>
      <c r="H68" s="32" t="n">
        <v>4757.47</v>
      </c>
      <c r="I68" s="32" t="n">
        <v>161.45</v>
      </c>
      <c r="J68" s="32" t="n">
        <v>-2.09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78.98999999999999</v>
      </c>
      <c r="P68" s="32" t="n">
        <v>45.76</v>
      </c>
      <c r="Q68" s="32" t="n">
        <v>126.12</v>
      </c>
      <c r="R68" s="31" t="inlineStr">
        <is>
          <t>Near 52W High Breakout</t>
        </is>
      </c>
      <c r="S68" s="31" t="inlineStr">
        <is>
          <t>Nifty Metal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23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MUKANDLTD</t>
        </is>
      </c>
      <c r="D69" s="31" t="inlineStr">
        <is>
          <t>Mukand Ltd</t>
        </is>
      </c>
      <c r="E69" s="31" t="inlineStr">
        <is>
          <t>metals &amp; mining</t>
        </is>
      </c>
      <c r="F69" s="31" t="inlineStr">
        <is>
          <t>Steel</t>
        </is>
      </c>
      <c r="G69" s="31" t="inlineStr">
        <is>
          <t>smallcap</t>
        </is>
      </c>
      <c r="H69" s="32" t="n">
        <v>2494.86</v>
      </c>
      <c r="I69" s="32" t="n">
        <v>172.66</v>
      </c>
      <c r="J69" s="32" t="n">
        <v>-4.15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71.23999999999999</v>
      </c>
      <c r="P69" s="32" t="n">
        <v>40.03</v>
      </c>
      <c r="Q69" s="32" t="n">
        <v>135.57</v>
      </c>
      <c r="R69" s="31" t="inlineStr">
        <is>
          <t>Volume Spike &amp; 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18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DYNAMATECH</t>
        </is>
      </c>
      <c r="D70" s="34" t="inlineStr">
        <is>
          <t>Dynamatic Technologies Ltd</t>
        </is>
      </c>
      <c r="E70" s="31" t="inlineStr">
        <is>
          <t>aerospace &amp; defence</t>
        </is>
      </c>
      <c r="F70" s="31" t="inlineStr">
        <is>
          <t>Aerospace and Defence Equipment</t>
        </is>
      </c>
      <c r="G70" s="31" t="inlineStr">
        <is>
          <t>midcap</t>
        </is>
      </c>
      <c r="H70" s="32" t="n">
        <v>9342.309999999999</v>
      </c>
      <c r="I70" s="32" t="n">
        <v>13756</v>
      </c>
      <c r="J70" s="32" t="n">
        <v>1.07</v>
      </c>
      <c r="K70" s="32" t="n">
        <v>0</v>
      </c>
      <c r="L70" s="31" t="n">
        <v>55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71.03</v>
      </c>
      <c r="P70" s="32" t="n">
        <v>29.22</v>
      </c>
      <c r="Q70" s="32" t="n">
        <v>10602.05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-9.93</v>
      </c>
      <c r="U70" s="32" t="n">
        <v>96.81</v>
      </c>
      <c r="V70" s="32" t="n">
        <v>118.51</v>
      </c>
      <c r="W70" s="32" t="n">
        <v>22.45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18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JASH</t>
        </is>
      </c>
      <c r="D71" s="31" t="inlineStr">
        <is>
          <t>Jash Engineering Ltd</t>
        </is>
      </c>
      <c r="E71" s="31" t="inlineStr">
        <is>
          <t>industrials</t>
        </is>
      </c>
      <c r="F71" s="31" t="inlineStr">
        <is>
          <t>Water Treatment</t>
        </is>
      </c>
      <c r="G71" s="31" t="inlineStr">
        <is>
          <t>smallcap</t>
        </is>
      </c>
      <c r="H71" s="32" t="n">
        <v>3641.85</v>
      </c>
      <c r="I71" s="32" t="n">
        <v>576.3</v>
      </c>
      <c r="J71" s="32" t="n">
        <v>-2.59</v>
      </c>
      <c r="K71" s="32" t="n">
        <v>0</v>
      </c>
      <c r="L71" s="31" t="n">
        <v>24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66.5</v>
      </c>
      <c r="P71" s="32" t="n">
        <v>21.12</v>
      </c>
      <c r="Q71" s="32" t="n">
        <v>459.03</v>
      </c>
      <c r="R71" s="31" t="inlineStr">
        <is>
          <t>Near 52W High Breakout</t>
        </is>
      </c>
      <c r="S71" s="31" t="inlineStr">
        <is>
          <t>Nifty 50</t>
        </is>
      </c>
      <c r="T71" s="32" t="n">
        <v>-9.93</v>
      </c>
      <c r="U71" s="32" t="n">
        <v>22.16</v>
      </c>
      <c r="V71" s="32" t="n">
        <v>35.63</v>
      </c>
      <c r="W71" s="32" t="n">
        <v>9.15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16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MMP</t>
        </is>
      </c>
      <c r="D72" s="31" t="inlineStr">
        <is>
          <t>MMP Industries Ltd</t>
        </is>
      </c>
      <c r="E72" s="31" t="inlineStr">
        <is>
          <t>Basic Materials</t>
        </is>
      </c>
      <c r="F72" s="31" t="inlineStr">
        <is>
          <t>Aluminium Products</t>
        </is>
      </c>
      <c r="G72" s="31" t="inlineStr">
        <is>
          <t>smallcap</t>
        </is>
      </c>
      <c r="H72" s="32" t="n">
        <v>1142.1</v>
      </c>
      <c r="I72" s="32" t="n">
        <v>449.6</v>
      </c>
      <c r="J72" s="32" t="n">
        <v>-5.32</v>
      </c>
      <c r="K72" s="32" t="n">
        <v>0</v>
      </c>
      <c r="L72" s="31" t="n">
        <v>64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77.84</v>
      </c>
      <c r="P72" s="32" t="n">
        <v>59.14</v>
      </c>
      <c r="Q72" s="32" t="n">
        <v>348.63</v>
      </c>
      <c r="R72" s="31" t="inlineStr">
        <is>
          <t>Near 52W High Breakout</t>
        </is>
      </c>
      <c r="S72" s="31" t="inlineStr">
        <is>
          <t>Nifty 50</t>
        </is>
      </c>
      <c r="T72" s="32" t="n">
        <v>-9.93</v>
      </c>
      <c r="U72" s="32" t="n">
        <v>60.41</v>
      </c>
      <c r="V72" s="32" t="n">
        <v>78.09</v>
      </c>
      <c r="W72" s="32" t="n">
        <v>26.22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15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SMSPHARMA</t>
        </is>
      </c>
      <c r="D73" s="34" t="inlineStr">
        <is>
          <t>SMS Pharmaceuticals Ltd</t>
        </is>
      </c>
      <c r="E73" s="31" t="inlineStr">
        <is>
          <t>healthcare</t>
        </is>
      </c>
      <c r="F73" s="31" t="inlineStr">
        <is>
          <t>Pharma API</t>
        </is>
      </c>
      <c r="G73" s="31" t="inlineStr">
        <is>
          <t>smallcap</t>
        </is>
      </c>
      <c r="H73" s="32" t="n">
        <v>4413.82</v>
      </c>
      <c r="I73" s="32" t="n">
        <v>471.3</v>
      </c>
      <c r="J73" s="32" t="n">
        <v>-1.11</v>
      </c>
      <c r="K73" s="32" t="n">
        <v>0</v>
      </c>
      <c r="L73" s="31" t="n">
        <v>39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66.31</v>
      </c>
      <c r="P73" s="32" t="n">
        <v>35.73</v>
      </c>
      <c r="Q73" s="32" t="n">
        <v>356.5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20.94</v>
      </c>
      <c r="U73" s="32" t="n">
        <v>75.33</v>
      </c>
      <c r="V73" s="32" t="n">
        <v>44.97</v>
      </c>
      <c r="W73" s="32" t="n">
        <v>14.52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15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AXISCADES</t>
        </is>
      </c>
      <c r="D74" s="34" t="inlineStr">
        <is>
          <t>AXISCADES Technologies Ltd</t>
        </is>
      </c>
      <c r="E74" s="31" t="inlineStr">
        <is>
          <t>aerospace &amp; defence</t>
        </is>
      </c>
      <c r="F74" s="31" t="inlineStr">
        <is>
          <t>Aerospace and Defence Equipment</t>
        </is>
      </c>
      <c r="G74" s="31" t="inlineStr">
        <is>
          <t>midcap</t>
        </is>
      </c>
      <c r="H74" s="32" t="n">
        <v>9813.75</v>
      </c>
      <c r="I74" s="32" t="n">
        <v>2307.3</v>
      </c>
      <c r="J74" s="32" t="n">
        <v>3.41</v>
      </c>
      <c r="K74" s="32" t="n">
        <v>0</v>
      </c>
      <c r="L74" s="31" t="n">
        <v>42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71.45999999999999</v>
      </c>
      <c r="P74" s="32" t="n">
        <v>12.86</v>
      </c>
      <c r="Q74" s="32" t="n">
        <v>1707</v>
      </c>
      <c r="R74" s="31" t="inlineStr">
        <is>
          <t>Volume Spike &amp; Near 52W High Breakout</t>
        </is>
      </c>
      <c r="S74" s="31" t="inlineStr">
        <is>
          <t>Nifty IT</t>
        </is>
      </c>
      <c r="T74" s="32" t="n">
        <v>-16.63</v>
      </c>
      <c r="U74" s="32" t="n">
        <v>35.5</v>
      </c>
      <c r="V74" s="32" t="n">
        <v>62.52</v>
      </c>
      <c r="W74" s="32" t="n">
        <v>16.15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SAPL</t>
        </is>
      </c>
      <c r="D75" s="31" t="inlineStr">
        <is>
          <t>Sar Auto Products Ltd</t>
        </is>
      </c>
      <c r="E75" s="31" t="inlineStr">
        <is>
          <t>Consumer Cyclical</t>
        </is>
      </c>
      <c r="F75" s="31" t="inlineStr">
        <is>
          <t>Auto Gears</t>
        </is>
      </c>
      <c r="G75" s="31" t="inlineStr">
        <is>
          <t>smallcap</t>
        </is>
      </c>
      <c r="H75" s="32" t="n">
        <v>3882.83</v>
      </c>
      <c r="I75" s="32" t="n">
        <v>8149.1</v>
      </c>
      <c r="J75" s="32" t="n">
        <v>-5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91.83</v>
      </c>
      <c r="P75" s="32" t="n">
        <v>52.33</v>
      </c>
      <c r="Q75" s="32" t="n">
        <v>6280.42</v>
      </c>
      <c r="R75" s="31" t="inlineStr">
        <is>
          <t>Near 52W High Breakout</t>
        </is>
      </c>
      <c r="S75" s="31" t="inlineStr">
        <is>
          <t>Nifty Auto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MANINDS</t>
        </is>
      </c>
      <c r="D76" s="31" t="inlineStr">
        <is>
          <t>Man Industries (India) Ltd</t>
        </is>
      </c>
      <c r="E76" s="31" t="inlineStr">
        <is>
          <t>metals &amp; mining</t>
        </is>
      </c>
      <c r="F76" s="31" t="inlineStr">
        <is>
          <t>Steel Tubes and Pipes</t>
        </is>
      </c>
      <c r="G76" s="31" t="inlineStr">
        <is>
          <t>midcap</t>
        </is>
      </c>
      <c r="H76" s="32" t="n">
        <v>6912.51</v>
      </c>
      <c r="I76" s="32" t="n">
        <v>921.55</v>
      </c>
      <c r="J76" s="32" t="n">
        <v>1.56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71.44</v>
      </c>
      <c r="P76" s="32" t="n">
        <v>43.19</v>
      </c>
      <c r="Q76" s="32" t="n">
        <v>754.14</v>
      </c>
      <c r="R76" s="31" t="inlineStr">
        <is>
          <t>Earnings / Momentum Support</t>
        </is>
      </c>
      <c r="S76" s="31" t="inlineStr">
        <is>
          <t>Nifty Metal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EMIL</t>
        </is>
      </c>
      <c r="D77" s="34" t="inlineStr">
        <is>
          <t>Electronics Mart India Ltd</t>
        </is>
      </c>
      <c r="E77" s="31" t="inlineStr">
        <is>
          <t>consumer discretionary</t>
        </is>
      </c>
      <c r="F77" s="31" t="inlineStr">
        <is>
          <t>Retail Electronics</t>
        </is>
      </c>
      <c r="G77" s="31" t="inlineStr">
        <is>
          <t>midcap</t>
        </is>
      </c>
      <c r="H77" s="32" t="n">
        <v>7850.8</v>
      </c>
      <c r="I77" s="32" t="n">
        <v>204.05</v>
      </c>
      <c r="J77" s="32" t="n">
        <v>-0.64</v>
      </c>
      <c r="K77" s="32" t="n">
        <v>0</v>
      </c>
      <c r="L77" s="31" t="n">
        <v>53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75.16</v>
      </c>
      <c r="P77" s="32" t="n">
        <v>44.52</v>
      </c>
      <c r="Q77" s="32" t="n">
        <v>154.13</v>
      </c>
      <c r="R77" s="31" t="inlineStr">
        <is>
          <t>Near 52W High Breakout</t>
        </is>
      </c>
      <c r="S77" s="31" t="inlineStr">
        <is>
          <t>Nifty 50</t>
        </is>
      </c>
      <c r="T77" s="32" t="n">
        <v>-9.93</v>
      </c>
      <c r="U77" s="32" t="n">
        <v>42.37</v>
      </c>
      <c r="V77" s="32" t="n">
        <v>58.07</v>
      </c>
      <c r="W77" s="32" t="n">
        <v>20.4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MENONBE</t>
        </is>
      </c>
      <c r="D78" s="31" t="inlineStr">
        <is>
          <t>Menon Bearings Ltd</t>
        </is>
      </c>
      <c r="E78" s="31" t="inlineStr">
        <is>
          <t>Consumer Cyclical</t>
        </is>
      </c>
      <c r="F78" s="31" t="inlineStr">
        <is>
          <t>Bearings</t>
        </is>
      </c>
      <c r="G78" s="31" t="inlineStr">
        <is>
          <t>smallcap</t>
        </is>
      </c>
      <c r="H78" s="32" t="n">
        <v>1616.19</v>
      </c>
      <c r="I78" s="32" t="n">
        <v>288.4</v>
      </c>
      <c r="J78" s="32" t="n">
        <v>-2.63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66.73</v>
      </c>
      <c r="P78" s="32" t="n">
        <v>68.62</v>
      </c>
      <c r="Q78" s="32" t="n">
        <v>232.93</v>
      </c>
      <c r="R78" s="31" t="inlineStr">
        <is>
          <t>Earnings / Momentum Support</t>
        </is>
      </c>
      <c r="S78" s="31" t="inlineStr">
        <is>
          <t>Nifty Auto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15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STLTECH</t>
        </is>
      </c>
      <c r="D79" s="31" t="inlineStr">
        <is>
          <t>Sterlite Technologies Ltd</t>
        </is>
      </c>
      <c r="E79" s="31" t="inlineStr">
        <is>
          <t>industrials</t>
        </is>
      </c>
      <c r="F79" s="31" t="inlineStr">
        <is>
          <t>Cables Telecom</t>
        </is>
      </c>
      <c r="G79" s="31" t="inlineStr">
        <is>
          <t>largecap</t>
        </is>
      </c>
      <c r="H79" s="32" t="n">
        <v>49110.48</v>
      </c>
      <c r="I79" s="32" t="n">
        <v>955.35</v>
      </c>
      <c r="J79" s="32" t="n">
        <v>5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78.16</v>
      </c>
      <c r="P79" s="32" t="n">
        <v>70.89</v>
      </c>
      <c r="Q79" s="32" t="n">
        <v>696.0700000000001</v>
      </c>
      <c r="R79" s="31" t="inlineStr">
        <is>
          <t>Volume Spike &amp; Near 52W High Breakout</t>
        </is>
      </c>
      <c r="S79" s="31" t="inlineStr">
        <is>
          <t>Nifty Infra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21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TEGA</t>
        </is>
      </c>
      <c r="D80" s="34" t="inlineStr">
        <is>
          <t>Tega Industries Ltd</t>
        </is>
      </c>
      <c r="E80" s="31" t="inlineStr">
        <is>
          <t>industrials</t>
        </is>
      </c>
      <c r="F80" s="31" t="inlineStr">
        <is>
          <t>Capital Goods Mining Equipment</t>
        </is>
      </c>
      <c r="G80" s="31" t="inlineStr">
        <is>
          <t>midcap</t>
        </is>
      </c>
      <c r="H80" s="32" t="n">
        <v>15727.23</v>
      </c>
      <c r="I80" s="32" t="n">
        <v>2093.4</v>
      </c>
      <c r="J80" s="32" t="n">
        <v>-0.63</v>
      </c>
      <c r="K80" s="32" t="n">
        <v>0</v>
      </c>
      <c r="L80" s="31" t="n">
        <v>19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65.48</v>
      </c>
      <c r="P80" s="32" t="n">
        <v>15.2</v>
      </c>
      <c r="Q80" s="32" t="n">
        <v>1598.79</v>
      </c>
      <c r="R80" s="31" t="inlineStr">
        <is>
          <t>Near 52W High Breakout</t>
        </is>
      </c>
      <c r="S80" s="31" t="inlineStr">
        <is>
          <t>Nifty 50</t>
        </is>
      </c>
      <c r="T80" s="32" t="n">
        <v>-9.93</v>
      </c>
      <c r="U80" s="32" t="n">
        <v>6.35</v>
      </c>
      <c r="V80" s="32" t="n">
        <v>18.08</v>
      </c>
      <c r="W80" s="32" t="n">
        <v>7.59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INOVSYNTH</t>
        </is>
      </c>
      <c r="D81" s="31" t="inlineStr">
        <is>
          <t>Innovassynth Technologies (India) Ltd</t>
        </is>
      </c>
      <c r="E81" s="31" t="inlineStr">
        <is>
          <t>Basic Materials</t>
        </is>
      </c>
      <c r="F81" s="31" t="inlineStr">
        <is>
          <t>Specialty Chemicals</t>
        </is>
      </c>
      <c r="G81" s="31" t="inlineStr">
        <is>
          <t>smallcap</t>
        </is>
      </c>
      <c r="H81" s="32" t="n">
        <v>1461.16</v>
      </c>
      <c r="I81" s="32" t="n">
        <v>157.35</v>
      </c>
      <c r="J81" s="32" t="n">
        <v>1.98</v>
      </c>
      <c r="K81" s="32" t="n">
        <v>0</v>
      </c>
      <c r="L81" s="31" t="n">
        <v>49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84.58</v>
      </c>
      <c r="P81" s="32" t="n">
        <v>56.7</v>
      </c>
      <c r="Q81" s="32" t="n">
        <v>138.93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-9.93</v>
      </c>
      <c r="U81" s="32" t="n">
        <v>69.92</v>
      </c>
      <c r="V81" s="32" t="n">
        <v>88.66</v>
      </c>
      <c r="W81" s="32" t="n">
        <v>19.85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15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RAMRAT</t>
        </is>
      </c>
      <c r="D82" s="31" t="inlineStr">
        <is>
          <t>Ram Ratna Wires Ltd</t>
        </is>
      </c>
      <c r="E82" s="31" t="inlineStr">
        <is>
          <t>metals &amp; mining</t>
        </is>
      </c>
      <c r="F82" s="31" t="inlineStr">
        <is>
          <t>Copper Wires</t>
        </is>
      </c>
      <c r="G82" s="31" t="inlineStr">
        <is>
          <t>midcap</t>
        </is>
      </c>
      <c r="H82" s="32" t="n">
        <v>5755.44</v>
      </c>
      <c r="I82" s="32" t="n">
        <v>616.55</v>
      </c>
      <c r="J82" s="32" t="n">
        <v>5.86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74.61</v>
      </c>
      <c r="P82" s="32" t="n">
        <v>49.09</v>
      </c>
      <c r="Q82" s="32" t="n">
        <v>468.22</v>
      </c>
      <c r="R82" s="31" t="inlineStr">
        <is>
          <t>Near 52W High Breakout</t>
        </is>
      </c>
      <c r="S82" s="31" t="inlineStr">
        <is>
          <t>Nifty Metal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KMEW</t>
        </is>
      </c>
      <c r="D83" s="31" t="inlineStr">
        <is>
          <t>Knowledge Marine &amp; Engineering Works Ltd</t>
        </is>
      </c>
      <c r="E83" s="31" t="inlineStr">
        <is>
          <t>Industrials</t>
        </is>
      </c>
      <c r="F83" s="31" t="inlineStr">
        <is>
          <t>Shipping</t>
        </is>
      </c>
      <c r="G83" s="31" t="inlineStr">
        <is>
          <t>midcap</t>
        </is>
      </c>
      <c r="H83" s="32" t="n">
        <v>7477.65</v>
      </c>
      <c r="I83" s="32" t="n">
        <v>2948.1</v>
      </c>
      <c r="J83" s="32" t="n">
        <v>-3.15</v>
      </c>
      <c r="K83" s="32" t="n">
        <v>0</v>
      </c>
      <c r="L83" s="31" t="n">
        <v>71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72.81999999999999</v>
      </c>
      <c r="P83" s="32" t="n">
        <v>58.35</v>
      </c>
      <c r="Q83" s="32" t="n">
        <v>2209.36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-9.93</v>
      </c>
      <c r="U83" s="32" t="n">
        <v>150.61</v>
      </c>
      <c r="V83" s="32" t="n">
        <v>178.24</v>
      </c>
      <c r="W83" s="32" t="n">
        <v>29.59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16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SVRL</t>
        </is>
      </c>
      <c r="D84" s="34" t="inlineStr">
        <is>
          <t>Shri Venkatesh Refineries Ltd</t>
        </is>
      </c>
      <c r="E84" s="31" t="inlineStr">
        <is>
          <t>Consumer Defensive</t>
        </is>
      </c>
      <c r="F84" s="31" t="inlineStr">
        <is>
          <t>Solvent Extraction</t>
        </is>
      </c>
      <c r="G84" s="31" t="inlineStr">
        <is>
          <t>smallcap</t>
        </is>
      </c>
      <c r="H84" s="32" t="n">
        <v>1501.9</v>
      </c>
      <c r="I84" s="32" t="n">
        <v>679</v>
      </c>
      <c r="J84" s="32" t="n">
        <v>4.15</v>
      </c>
      <c r="K84" s="32" t="n">
        <v>0</v>
      </c>
      <c r="L84" s="31" t="n">
        <v>93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82.7</v>
      </c>
      <c r="P84" s="32" t="n">
        <v>58.81</v>
      </c>
      <c r="Q84" s="32" t="n">
        <v>524.91</v>
      </c>
      <c r="R84" s="31" t="inlineStr">
        <is>
          <t>Near 52W High Breakout</t>
        </is>
      </c>
      <c r="S84" s="31" t="inlineStr">
        <is>
          <t>Nifty 50</t>
        </is>
      </c>
      <c r="T84" s="32" t="n">
        <v>-9.93</v>
      </c>
      <c r="U84" s="32" t="n">
        <v>142.16</v>
      </c>
      <c r="V84" s="32" t="n">
        <v>168.86</v>
      </c>
      <c r="W84" s="32" t="n">
        <v>47.26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15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ANTELOPUS</t>
        </is>
      </c>
      <c r="D85" s="31" t="inlineStr">
        <is>
          <t>Antelopus Selan Energy Ltd</t>
        </is>
      </c>
      <c r="E85" s="31" t="inlineStr">
        <is>
          <t>Energy</t>
        </is>
      </c>
      <c r="F85" s="31" t="inlineStr">
        <is>
          <t>Oil Drilling and Exploration</t>
        </is>
      </c>
      <c r="G85" s="31" t="inlineStr">
        <is>
          <t>smallcap</t>
        </is>
      </c>
      <c r="H85" s="32" t="n">
        <v>3904.6</v>
      </c>
      <c r="I85" s="32" t="n">
        <v>1106.5</v>
      </c>
      <c r="J85" s="32" t="n">
        <v>-1.72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63.73</v>
      </c>
      <c r="P85" s="32" t="n">
        <v>49.3</v>
      </c>
      <c r="Q85" s="32" t="n">
        <v>863.9400000000001</v>
      </c>
      <c r="R85" s="31" t="inlineStr">
        <is>
          <t>Earnings / Momentum Support</t>
        </is>
      </c>
      <c r="S85" s="31" t="inlineStr">
        <is>
          <t>Nifty Energy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SBC</t>
        </is>
      </c>
      <c r="D86" s="31" t="inlineStr">
        <is>
          <t>SBC Exports Ltd</t>
        </is>
      </c>
      <c r="E86" s="31" t="inlineStr">
        <is>
          <t>textiles</t>
        </is>
      </c>
      <c r="F86" s="31" t="inlineStr">
        <is>
          <t>Textiles Readymade Apparel</t>
        </is>
      </c>
      <c r="G86" s="31" t="inlineStr">
        <is>
          <t>smallcap</t>
        </is>
      </c>
      <c r="H86" s="32" t="n">
        <v>2787.62</v>
      </c>
      <c r="I86" s="32" t="n">
        <v>58.54</v>
      </c>
      <c r="J86" s="32" t="n">
        <v>0.43</v>
      </c>
      <c r="K86" s="32" t="n">
        <v>0</v>
      </c>
      <c r="L86" s="31" t="n">
        <v>74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84.59</v>
      </c>
      <c r="P86" s="32" t="n">
        <v>31.93</v>
      </c>
      <c r="Q86" s="32" t="n">
        <v>48.24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-9.93</v>
      </c>
      <c r="U86" s="32" t="n">
        <v>163.85</v>
      </c>
      <c r="V86" s="32" t="n">
        <v>192.94</v>
      </c>
      <c r="W86" s="32" t="n">
        <v>30.3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18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RATNAVEER</t>
        </is>
      </c>
      <c r="D87" s="31" t="inlineStr">
        <is>
          <t>Ratnaveer Precision Engineering Ltd</t>
        </is>
      </c>
      <c r="E87" s="31" t="inlineStr">
        <is>
          <t>metals &amp; mining</t>
        </is>
      </c>
      <c r="F87" s="31" t="inlineStr">
        <is>
          <t>Stainless Steel</t>
        </is>
      </c>
      <c r="G87" s="31" t="inlineStr">
        <is>
          <t>smallcap</t>
        </is>
      </c>
      <c r="H87" s="32" t="n">
        <v>2899.24</v>
      </c>
      <c r="I87" s="32" t="n">
        <v>345.45</v>
      </c>
      <c r="J87" s="32" t="n">
        <v>4.44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82.08</v>
      </c>
      <c r="P87" s="32" t="n">
        <v>65.43000000000001</v>
      </c>
      <c r="Q87" s="32" t="n">
        <v>254.68</v>
      </c>
      <c r="R87" s="31" t="inlineStr">
        <is>
          <t>Near 52W High Breakout</t>
        </is>
      </c>
      <c r="S87" s="31" t="inlineStr">
        <is>
          <t>Nifty Metal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17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FCL</t>
        </is>
      </c>
      <c r="D88" s="31" t="inlineStr">
        <is>
          <t>Fineotex Chemical Ltd</t>
        </is>
      </c>
      <c r="E88" s="31" t="inlineStr">
        <is>
          <t>Basic Materials</t>
        </is>
      </c>
      <c r="F88" s="31" t="inlineStr">
        <is>
          <t>Specialty Chemicals</t>
        </is>
      </c>
      <c r="G88" s="31" t="inlineStr">
        <is>
          <t>midcap</t>
        </is>
      </c>
      <c r="H88" s="32" t="n">
        <v>6488.6</v>
      </c>
      <c r="I88" s="32" t="n">
        <v>55.72</v>
      </c>
      <c r="J88" s="32" t="n">
        <v>-3.01</v>
      </c>
      <c r="K88" s="32" t="n">
        <v>0</v>
      </c>
      <c r="L88" s="31" t="n">
        <v>77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70.78</v>
      </c>
      <c r="P88" s="32" t="n">
        <v>48.48</v>
      </c>
      <c r="Q88" s="32" t="n">
        <v>44.71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-9.93</v>
      </c>
      <c r="U88" s="32" t="n">
        <v>123.07</v>
      </c>
      <c r="V88" s="32" t="n">
        <v>147.67</v>
      </c>
      <c r="W88" s="32" t="n">
        <v>30.92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17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SUNFLAG</t>
        </is>
      </c>
      <c r="D89" s="34" t="inlineStr">
        <is>
          <t>Sunflag Iron &amp; Steel Company Ltd</t>
        </is>
      </c>
      <c r="E89" s="31" t="inlineStr">
        <is>
          <t>metals &amp; mining</t>
        </is>
      </c>
      <c r="F89" s="31" t="inlineStr">
        <is>
          <t>Steel Products</t>
        </is>
      </c>
      <c r="G89" s="31" t="inlineStr">
        <is>
          <t>midcap</t>
        </is>
      </c>
      <c r="H89" s="32" t="n">
        <v>7812.51</v>
      </c>
      <c r="I89" s="32" t="n">
        <v>433.5</v>
      </c>
      <c r="J89" s="32" t="n">
        <v>-4.94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70.53</v>
      </c>
      <c r="P89" s="32" t="n">
        <v>33.41</v>
      </c>
      <c r="Q89" s="32" t="n">
        <v>331.55</v>
      </c>
      <c r="R89" s="31" t="inlineStr">
        <is>
          <t>Volume Spike &amp; Near 52W High Breakout</t>
        </is>
      </c>
      <c r="S89" s="31" t="inlineStr">
        <is>
          <t>Nifty Metal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16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DEEPINDS</t>
        </is>
      </c>
      <c r="D90" s="31" t="inlineStr">
        <is>
          <t>Deep Industries Ltd</t>
        </is>
      </c>
      <c r="E90" s="31" t="inlineStr">
        <is>
          <t>Energy</t>
        </is>
      </c>
      <c r="F90" s="31" t="inlineStr">
        <is>
          <t>Oil Drilling and Exploration</t>
        </is>
      </c>
      <c r="G90" s="31" t="inlineStr">
        <is>
          <t>smallcap</t>
        </is>
      </c>
      <c r="H90" s="32" t="n">
        <v>4793.6</v>
      </c>
      <c r="I90" s="32" t="n">
        <v>749</v>
      </c>
      <c r="J90" s="32" t="n">
        <v>-0.92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69.94</v>
      </c>
      <c r="P90" s="32" t="n">
        <v>37.1</v>
      </c>
      <c r="Q90" s="32" t="n">
        <v>596.9</v>
      </c>
      <c r="R90" s="31" t="inlineStr">
        <is>
          <t>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15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AVTNPL</t>
        </is>
      </c>
      <c r="D91" s="31" t="inlineStr">
        <is>
          <t>AVT Natural Products Ltd</t>
        </is>
      </c>
      <c r="E91" s="31" t="inlineStr">
        <is>
          <t>Basic Materials</t>
        </is>
      </c>
      <c r="F91" s="31" t="inlineStr">
        <is>
          <t>Natural Extracts and Food Ingredients</t>
        </is>
      </c>
      <c r="G91" s="31" t="inlineStr">
        <is>
          <t>smallcap</t>
        </is>
      </c>
      <c r="H91" s="32" t="n">
        <v>1337.81</v>
      </c>
      <c r="I91" s="32" t="n">
        <v>87.84999999999999</v>
      </c>
      <c r="J91" s="32" t="n">
        <v>-3.77</v>
      </c>
      <c r="K91" s="32" t="n">
        <v>0</v>
      </c>
      <c r="L91" s="31" t="n">
        <v>26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62.04</v>
      </c>
      <c r="P91" s="32" t="n">
        <v>48.91</v>
      </c>
      <c r="Q91" s="32" t="n">
        <v>71.33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-9.93</v>
      </c>
      <c r="U91" s="32" t="n">
        <v>23.01</v>
      </c>
      <c r="V91" s="32" t="n">
        <v>36.57</v>
      </c>
      <c r="W91" s="32" t="n">
        <v>9.67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15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SALSTEEL</t>
        </is>
      </c>
      <c r="D92" s="34" t="inlineStr">
        <is>
          <t>SAL Steel Ltd</t>
        </is>
      </c>
      <c r="E92" s="31" t="inlineStr">
        <is>
          <t>metals &amp; mining</t>
        </is>
      </c>
      <c r="F92" s="31" t="inlineStr">
        <is>
          <t>Steel Sponge Iron</t>
        </is>
      </c>
      <c r="G92" s="31" t="inlineStr">
        <is>
          <t>smallcap</t>
        </is>
      </c>
      <c r="H92" s="32" t="n">
        <v>1432.03</v>
      </c>
      <c r="I92" s="32" t="n">
        <v>98.92</v>
      </c>
      <c r="J92" s="32" t="n">
        <v>-0.14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77.81999999999999</v>
      </c>
      <c r="P92" s="32" t="n">
        <v>32.93</v>
      </c>
      <c r="Q92" s="32" t="n">
        <v>71.56999999999999</v>
      </c>
      <c r="R92" s="31" t="inlineStr">
        <is>
          <t>Volume Spike &amp; Near 52W High Breakout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More than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15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UNITEDPOLY</t>
        </is>
      </c>
      <c r="D93" s="34" t="inlineStr">
        <is>
          <t>United Polyfab Gujarat Ltd</t>
        </is>
      </c>
      <c r="E93" s="31" t="inlineStr">
        <is>
          <t>textiles</t>
        </is>
      </c>
      <c r="F93" s="31" t="inlineStr">
        <is>
          <t>Textiles Others</t>
        </is>
      </c>
      <c r="G93" s="31" t="inlineStr">
        <is>
          <t>smallcap</t>
        </is>
      </c>
      <c r="H93" s="32" t="n">
        <v>1079.87</v>
      </c>
      <c r="I93" s="32" t="n">
        <v>47.05</v>
      </c>
      <c r="J93" s="32" t="n">
        <v>-0.88</v>
      </c>
      <c r="K93" s="32" t="n">
        <v>0</v>
      </c>
      <c r="L93" s="31" t="n">
        <v>38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75.16</v>
      </c>
      <c r="P93" s="32" t="n">
        <v>25.86</v>
      </c>
      <c r="Q93" s="32" t="n">
        <v>34.77</v>
      </c>
      <c r="R93" s="31" t="inlineStr">
        <is>
          <t>Near 52W High Breakout</t>
        </is>
      </c>
      <c r="S93" s="31" t="inlineStr">
        <is>
          <t>Nifty 50</t>
        </is>
      </c>
      <c r="T93" s="32" t="n">
        <v>-9.93</v>
      </c>
      <c r="U93" s="32" t="n">
        <v>2.04</v>
      </c>
      <c r="V93" s="32" t="n">
        <v>13.29</v>
      </c>
      <c r="W93" s="32" t="n">
        <v>14.28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18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GNFC</t>
        </is>
      </c>
      <c r="D94" s="31" t="inlineStr">
        <is>
          <t>Gujarat Narmada Valley Fertilizers &amp; Chemicals Ltd</t>
        </is>
      </c>
      <c r="E94" s="31" t="inlineStr">
        <is>
          <t>Basic Materials</t>
        </is>
      </c>
      <c r="F94" s="31" t="inlineStr">
        <is>
          <t>Fertilisers</t>
        </is>
      </c>
      <c r="G94" s="31" t="inlineStr">
        <is>
          <t>midcap</t>
        </is>
      </c>
      <c r="H94" s="32" t="n">
        <v>8657.01</v>
      </c>
      <c r="I94" s="32" t="n">
        <v>589.15</v>
      </c>
      <c r="J94" s="32" t="n">
        <v>-2.52</v>
      </c>
      <c r="K94" s="32" t="n">
        <v>0</v>
      </c>
      <c r="L94" s="31" t="n">
        <v>21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62.19</v>
      </c>
      <c r="P94" s="32" t="n">
        <v>39.65</v>
      </c>
      <c r="Q94" s="32" t="n">
        <v>508.18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-9.93</v>
      </c>
      <c r="U94" s="32" t="n">
        <v>21.02</v>
      </c>
      <c r="V94" s="32" t="n">
        <v>34.36</v>
      </c>
      <c r="W94" s="32" t="n">
        <v>8.300000000000001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15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UTSSAV</t>
        </is>
      </c>
      <c r="D95" s="31" t="inlineStr">
        <is>
          <t>Utssav CZ Gold Jewels Ltd</t>
        </is>
      </c>
      <c r="E95" s="31" t="inlineStr">
        <is>
          <t>unknown</t>
        </is>
      </c>
      <c r="F95" s="31" t="inlineStr">
        <is>
          <t>Diamond Gems and Jewellery</t>
        </is>
      </c>
      <c r="G95" s="31" t="inlineStr">
        <is>
          <t>smallcap</t>
        </is>
      </c>
      <c r="H95" s="32" t="n">
        <v>1851.67</v>
      </c>
      <c r="I95" s="32" t="n">
        <v>766.8</v>
      </c>
      <c r="J95" s="32" t="n">
        <v>2.21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4" t="inlineStr">
        <is>
          <t>SACHEEROME</t>
        </is>
      </c>
      <c r="D96" s="34" t="inlineStr">
        <is>
          <t>Sacheerome Ltd</t>
        </is>
      </c>
      <c r="E96" s="31" t="inlineStr">
        <is>
          <t>unknown</t>
        </is>
      </c>
      <c r="F96" s="31" t="inlineStr">
        <is>
          <t>Chemicals Organic</t>
        </is>
      </c>
      <c r="G96" s="31" t="inlineStr">
        <is>
          <t>smallcap</t>
        </is>
      </c>
      <c r="H96" s="32" t="n">
        <v>1117.86</v>
      </c>
      <c r="I96" s="32" t="n">
        <v>499.65</v>
      </c>
      <c r="J96" s="32" t="n">
        <v>7.45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4" t="inlineStr">
        <is>
          <t>SAHASRA</t>
        </is>
      </c>
      <c r="D97" s="34" t="inlineStr">
        <is>
          <t>Sahasra Electronic Solutions Ltd</t>
        </is>
      </c>
      <c r="E97" s="31" t="inlineStr">
        <is>
          <t>unknown</t>
        </is>
      </c>
      <c r="F97" s="31" t="inlineStr">
        <is>
          <t>Electronics Others</t>
        </is>
      </c>
      <c r="G97" s="31" t="inlineStr">
        <is>
          <t>smallcap</t>
        </is>
      </c>
      <c r="H97" s="32" t="n">
        <v>1192.28</v>
      </c>
      <c r="I97" s="32" t="n">
        <v>477.05</v>
      </c>
      <c r="J97" s="32" t="n">
        <v>5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4" t="inlineStr">
        <is>
          <t>ETL</t>
        </is>
      </c>
      <c r="D98" s="34" t="inlineStr">
        <is>
          <t>Emkay Tools Ltd</t>
        </is>
      </c>
      <c r="E98" s="31" t="inlineStr">
        <is>
          <t>unknown</t>
        </is>
      </c>
      <c r="F98" s="31" t="inlineStr">
        <is>
          <t>Machine Tools Others</t>
        </is>
      </c>
      <c r="G98" s="31" t="inlineStr">
        <is>
          <t>smallcap</t>
        </is>
      </c>
      <c r="H98" s="32" t="n">
        <v>1256.55</v>
      </c>
      <c r="I98" s="32" t="n">
        <v>1177.5</v>
      </c>
      <c r="J98" s="32" t="n">
        <v>-3.88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102">
      <c r="A102" s="25" t="inlineStr">
        <is>
          <t>❌ REMOVED SCAN MATCH STOCKS (THIS WEEK)</t>
        </is>
      </c>
    </row>
    <row r="103">
      <c r="A103" s="35" t="inlineStr">
        <is>
          <t>Symbol</t>
        </is>
      </c>
      <c r="B103" s="35" t="inlineStr">
        <is>
          <t>Company Name</t>
        </is>
      </c>
      <c r="C103" s="35" t="inlineStr">
        <is>
          <t>Sector</t>
        </is>
      </c>
      <c r="D103" s="35" t="inlineStr">
        <is>
          <t>Date of Removal</t>
        </is>
      </c>
    </row>
    <row r="104">
      <c r="A104" s="36" t="inlineStr">
        <is>
          <t>AETHER</t>
        </is>
      </c>
      <c r="B104" s="37" t="inlineStr">
        <is>
          <t>AETHER</t>
        </is>
      </c>
      <c r="C104" s="37" t="inlineStr">
        <is>
          <t>unknown</t>
        </is>
      </c>
      <c r="D104" s="38" t="inlineStr">
        <is>
          <t>2026-09-30</t>
        </is>
      </c>
    </row>
    <row r="105">
      <c r="A105" s="36" t="inlineStr">
        <is>
          <t>AFCOM</t>
        </is>
      </c>
      <c r="B105" s="37" t="inlineStr">
        <is>
          <t>AFCOM</t>
        </is>
      </c>
      <c r="C105" s="37" t="inlineStr">
        <is>
          <t>unknown</t>
        </is>
      </c>
      <c r="D105" s="38" t="inlineStr">
        <is>
          <t>2026-10-02</t>
        </is>
      </c>
    </row>
    <row r="106">
      <c r="A106" s="36" t="inlineStr">
        <is>
          <t>AHCL</t>
        </is>
      </c>
      <c r="B106" s="37" t="inlineStr">
        <is>
          <t>Anlon Healthcare Limited</t>
        </is>
      </c>
      <c r="C106" s="37" t="inlineStr">
        <is>
          <t>Healthcare</t>
        </is>
      </c>
      <c r="D106" s="38" t="inlineStr">
        <is>
          <t>2026-10-01</t>
        </is>
      </c>
    </row>
    <row r="107">
      <c r="A107" s="36" t="inlineStr">
        <is>
          <t>ALGOQUANT</t>
        </is>
      </c>
      <c r="B107" s="37" t="inlineStr">
        <is>
          <t>ALGOQUANT</t>
        </is>
      </c>
      <c r="C107" s="37" t="inlineStr">
        <is>
          <t>unknown</t>
        </is>
      </c>
      <c r="D107" s="38" t="inlineStr">
        <is>
          <t>2026-10-02</t>
        </is>
      </c>
    </row>
    <row r="108">
      <c r="A108" s="36" t="inlineStr">
        <is>
          <t>ARTEMISMED</t>
        </is>
      </c>
      <c r="B108" s="37" t="inlineStr">
        <is>
          <t>ARTEMISMED</t>
        </is>
      </c>
      <c r="C108" s="37" t="inlineStr">
        <is>
          <t>unknown</t>
        </is>
      </c>
      <c r="D108" s="38" t="inlineStr">
        <is>
          <t>2026-09-30</t>
        </is>
      </c>
    </row>
    <row r="109">
      <c r="A109" s="36" t="inlineStr">
        <is>
          <t>AXISOL</t>
        </is>
      </c>
      <c r="B109" s="37" t="inlineStr">
        <is>
          <t>AXISOL</t>
        </is>
      </c>
      <c r="C109" s="37" t="inlineStr">
        <is>
          <t>unknown</t>
        </is>
      </c>
      <c r="D109" s="38" t="inlineStr">
        <is>
          <t>2026-10-02</t>
        </is>
      </c>
    </row>
    <row r="110">
      <c r="A110" s="36" t="inlineStr">
        <is>
          <t>BHAGYANGR</t>
        </is>
      </c>
      <c r="B110" s="37" t="inlineStr">
        <is>
          <t>BHAGYANGR</t>
        </is>
      </c>
      <c r="C110" s="37" t="inlineStr">
        <is>
          <t>unknown</t>
        </is>
      </c>
      <c r="D110" s="38" t="inlineStr">
        <is>
          <t>2026-10-02</t>
        </is>
      </c>
    </row>
    <row r="111">
      <c r="A111" s="36" t="inlineStr">
        <is>
          <t>BHEL</t>
        </is>
      </c>
      <c r="B111" s="37" t="inlineStr">
        <is>
          <t>BHEL</t>
        </is>
      </c>
      <c r="C111" s="37" t="inlineStr">
        <is>
          <t>unknown</t>
        </is>
      </c>
      <c r="D111" s="38" t="inlineStr">
        <is>
          <t>2026-10-02</t>
        </is>
      </c>
    </row>
    <row r="112">
      <c r="A112" s="36" t="inlineStr">
        <is>
          <t>CAPINVIT</t>
        </is>
      </c>
      <c r="B112" s="37" t="inlineStr">
        <is>
          <t>CAPINVIT</t>
        </is>
      </c>
      <c r="C112" s="37" t="inlineStr">
        <is>
          <t>unknown</t>
        </is>
      </c>
      <c r="D112" s="38" t="inlineStr">
        <is>
          <t>2026-10-02</t>
        </is>
      </c>
    </row>
    <row r="113">
      <c r="A113" s="36" t="inlineStr">
        <is>
          <t>CFF</t>
        </is>
      </c>
      <c r="B113" s="37" t="inlineStr">
        <is>
          <t>CFF</t>
        </is>
      </c>
      <c r="C113" s="37" t="inlineStr">
        <is>
          <t>unknown</t>
        </is>
      </c>
      <c r="D113" s="38" t="inlineStr">
        <is>
          <t>2026-09-30</t>
        </is>
      </c>
    </row>
    <row r="114">
      <c r="A114" s="36" t="inlineStr">
        <is>
          <t>CGCL</t>
        </is>
      </c>
      <c r="B114" s="37" t="inlineStr">
        <is>
          <t>CGCL</t>
        </is>
      </c>
      <c r="C114" s="37" t="inlineStr">
        <is>
          <t>unknown</t>
        </is>
      </c>
      <c r="D114" s="38" t="inlineStr">
        <is>
          <t>2026-10-02</t>
        </is>
      </c>
    </row>
    <row r="115">
      <c r="A115" s="36" t="inlineStr">
        <is>
          <t>CHENNPETRO</t>
        </is>
      </c>
      <c r="B115" s="37" t="inlineStr">
        <is>
          <t>CHENNPETRO</t>
        </is>
      </c>
      <c r="C115" s="37" t="inlineStr">
        <is>
          <t>unknown</t>
        </is>
      </c>
      <c r="D115" s="38" t="inlineStr">
        <is>
          <t>2026-10-01</t>
        </is>
      </c>
    </row>
    <row r="116">
      <c r="A116" s="36" t="inlineStr">
        <is>
          <t>DIVISLAB</t>
        </is>
      </c>
      <c r="B116" s="37" t="inlineStr">
        <is>
          <t>DIVISLAB</t>
        </is>
      </c>
      <c r="C116" s="37" t="inlineStr">
        <is>
          <t>unknown</t>
        </is>
      </c>
      <c r="D116" s="38" t="inlineStr">
        <is>
          <t>2026-09-30</t>
        </is>
      </c>
    </row>
    <row r="117">
      <c r="A117" s="36" t="inlineStr">
        <is>
          <t>EMUDHRA</t>
        </is>
      </c>
      <c r="B117" s="37" t="inlineStr">
        <is>
          <t>EMUDHRA</t>
        </is>
      </c>
      <c r="C117" s="37" t="inlineStr">
        <is>
          <t>unknown</t>
        </is>
      </c>
      <c r="D117" s="38" t="inlineStr">
        <is>
          <t>2026-09-30</t>
        </is>
      </c>
    </row>
    <row r="118">
      <c r="A118" s="36" t="inlineStr">
        <is>
          <t>ENTERO</t>
        </is>
      </c>
      <c r="B118" s="37" t="inlineStr">
        <is>
          <t>ENTERO</t>
        </is>
      </c>
      <c r="C118" s="37" t="inlineStr">
        <is>
          <t>unknown</t>
        </is>
      </c>
      <c r="D118" s="38" t="inlineStr">
        <is>
          <t>2026-09-30</t>
        </is>
      </c>
    </row>
    <row r="119">
      <c r="A119" s="36" t="inlineStr">
        <is>
          <t>GAYAPROJ</t>
        </is>
      </c>
      <c r="B119" s="37" t="inlineStr">
        <is>
          <t>GAYAPROJ</t>
        </is>
      </c>
      <c r="C119" s="37" t="inlineStr">
        <is>
          <t>unknown</t>
        </is>
      </c>
      <c r="D119" s="38" t="inlineStr">
        <is>
          <t>2026-10-02</t>
        </is>
      </c>
    </row>
    <row r="120">
      <c r="A120" s="36" t="inlineStr">
        <is>
          <t>GESHIP</t>
        </is>
      </c>
      <c r="B120" s="37" t="inlineStr">
        <is>
          <t>The Great Eastern Shipping Company Limited</t>
        </is>
      </c>
      <c r="C120" s="37" t="inlineStr">
        <is>
          <t>Industrials</t>
        </is>
      </c>
      <c r="D120" s="38" t="inlineStr">
        <is>
          <t>2026-10-02</t>
        </is>
      </c>
    </row>
    <row r="121">
      <c r="A121" s="36" t="inlineStr">
        <is>
          <t>GHCLTEXTIL</t>
        </is>
      </c>
      <c r="B121" s="37" t="inlineStr">
        <is>
          <t>GHCLTEXTIL</t>
        </is>
      </c>
      <c r="C121" s="37" t="inlineStr">
        <is>
          <t>unknown</t>
        </is>
      </c>
      <c r="D121" s="38" t="inlineStr">
        <is>
          <t>2026-10-01</t>
        </is>
      </c>
    </row>
    <row r="122">
      <c r="A122" s="36" t="inlineStr">
        <is>
          <t>HFCL</t>
        </is>
      </c>
      <c r="B122" s="37" t="inlineStr">
        <is>
          <t>HFCL Limited</t>
        </is>
      </c>
      <c r="C122" s="37" t="inlineStr">
        <is>
          <t>Technology</t>
        </is>
      </c>
      <c r="D122" s="38" t="inlineStr">
        <is>
          <t>2026-10-02</t>
        </is>
      </c>
    </row>
    <row r="123">
      <c r="A123" s="36" t="inlineStr">
        <is>
          <t>IGPL</t>
        </is>
      </c>
      <c r="B123" s="37" t="inlineStr">
        <is>
          <t>I G Petrochemicals Limited</t>
        </is>
      </c>
      <c r="C123" s="37" t="inlineStr">
        <is>
          <t>Basic Materials</t>
        </is>
      </c>
      <c r="D123" s="38" t="inlineStr">
        <is>
          <t>2026-09-30</t>
        </is>
      </c>
    </row>
    <row r="124">
      <c r="A124" s="36" t="inlineStr">
        <is>
          <t>INDOBORAX</t>
        </is>
      </c>
      <c r="B124" s="37" t="inlineStr">
        <is>
          <t>INDOBORAX</t>
        </is>
      </c>
      <c r="C124" s="37" t="inlineStr">
        <is>
          <t>unknown</t>
        </is>
      </c>
      <c r="D124" s="38" t="inlineStr">
        <is>
          <t>2026-10-01</t>
        </is>
      </c>
    </row>
    <row r="125">
      <c r="A125" s="36" t="inlineStr">
        <is>
          <t>INNOVACAP</t>
        </is>
      </c>
      <c r="B125" s="37" t="inlineStr">
        <is>
          <t>INNOVACAP</t>
        </is>
      </c>
      <c r="C125" s="37" t="inlineStr">
        <is>
          <t>unknown</t>
        </is>
      </c>
      <c r="D125" s="38" t="inlineStr">
        <is>
          <t>2026-09-30</t>
        </is>
      </c>
    </row>
    <row r="126">
      <c r="A126" s="36" t="inlineStr">
        <is>
          <t>IOLCP</t>
        </is>
      </c>
      <c r="B126" s="37" t="inlineStr">
        <is>
          <t>IOL Chemicals and Pharmaceuticals Limited</t>
        </is>
      </c>
      <c r="C126" s="37" t="inlineStr">
        <is>
          <t>Healthcare</t>
        </is>
      </c>
      <c r="D126" s="38" t="inlineStr">
        <is>
          <t>2026-10-02</t>
        </is>
      </c>
    </row>
    <row r="127">
      <c r="A127" s="36" t="inlineStr">
        <is>
          <t>JGCHEM</t>
        </is>
      </c>
      <c r="B127" s="37" t="inlineStr">
        <is>
          <t>JGCHEM</t>
        </is>
      </c>
      <c r="C127" s="37" t="inlineStr">
        <is>
          <t>unknown</t>
        </is>
      </c>
      <c r="D127" s="38" t="inlineStr">
        <is>
          <t>2026-10-01</t>
        </is>
      </c>
    </row>
    <row r="128">
      <c r="A128" s="36" t="inlineStr">
        <is>
          <t>KABRAEXTRU</t>
        </is>
      </c>
      <c r="B128" s="37" t="inlineStr">
        <is>
          <t>Kabra Extrusiontechnik Limited</t>
        </is>
      </c>
      <c r="C128" s="37" t="inlineStr">
        <is>
          <t>Industrials</t>
        </is>
      </c>
      <c r="D128" s="38" t="inlineStr">
        <is>
          <t>2026-10-01</t>
        </is>
      </c>
    </row>
    <row r="129">
      <c r="A129" s="36" t="inlineStr">
        <is>
          <t>KRISHANA</t>
        </is>
      </c>
      <c r="B129" s="37" t="inlineStr">
        <is>
          <t>KRISHANA</t>
        </is>
      </c>
      <c r="C129" s="37" t="inlineStr">
        <is>
          <t>unknown</t>
        </is>
      </c>
      <c r="D129" s="38" t="inlineStr">
        <is>
          <t>2026-10-01</t>
        </is>
      </c>
    </row>
    <row r="130">
      <c r="A130" s="36" t="inlineStr">
        <is>
          <t>LENSKART</t>
        </is>
      </c>
      <c r="B130" s="37" t="inlineStr">
        <is>
          <t>LENSKART</t>
        </is>
      </c>
      <c r="C130" s="37" t="inlineStr">
        <is>
          <t>unknown</t>
        </is>
      </c>
      <c r="D130" s="38" t="inlineStr">
        <is>
          <t>2026-10-02</t>
        </is>
      </c>
    </row>
    <row r="131">
      <c r="A131" s="36" t="inlineStr">
        <is>
          <t>LLOYDSENGG</t>
        </is>
      </c>
      <c r="B131" s="37" t="inlineStr">
        <is>
          <t>Lloyds Engineering Works Limited</t>
        </is>
      </c>
      <c r="C131" s="37" t="inlineStr">
        <is>
          <t>Industrials</t>
        </is>
      </c>
      <c r="D131" s="38" t="inlineStr">
        <is>
          <t>2026-09-30</t>
        </is>
      </c>
    </row>
    <row r="132">
      <c r="A132" s="36" t="inlineStr">
        <is>
          <t>LUMAXTECH</t>
        </is>
      </c>
      <c r="B132" s="37" t="inlineStr">
        <is>
          <t>LUMAXTECH</t>
        </is>
      </c>
      <c r="C132" s="37" t="inlineStr">
        <is>
          <t>unknown</t>
        </is>
      </c>
      <c r="D132" s="38" t="inlineStr">
        <is>
          <t>2026-10-01</t>
        </is>
      </c>
    </row>
    <row r="133">
      <c r="A133" s="36" t="inlineStr">
        <is>
          <t>MARKSANS</t>
        </is>
      </c>
      <c r="B133" s="37" t="inlineStr">
        <is>
          <t>MARKSANS</t>
        </is>
      </c>
      <c r="C133" s="37" t="inlineStr">
        <is>
          <t>unknown</t>
        </is>
      </c>
      <c r="D133" s="38" t="inlineStr">
        <is>
          <t>2026-10-02</t>
        </is>
      </c>
    </row>
    <row r="134">
      <c r="A134" s="36" t="inlineStr">
        <is>
          <t>MOREPENLAB</t>
        </is>
      </c>
      <c r="B134" s="37" t="inlineStr">
        <is>
          <t>Morepen Laboratories Limited</t>
        </is>
      </c>
      <c r="C134" s="37" t="inlineStr">
        <is>
          <t>Healthcare</t>
        </is>
      </c>
      <c r="D134" s="38" t="inlineStr">
        <is>
          <t>2026-10-02</t>
        </is>
      </c>
    </row>
    <row r="135">
      <c r="A135" s="36" t="inlineStr">
        <is>
          <t>MTARTECH</t>
        </is>
      </c>
      <c r="B135" s="37" t="inlineStr">
        <is>
          <t>MTAR Technologies Limited</t>
        </is>
      </c>
      <c r="C135" s="37" t="inlineStr">
        <is>
          <t>Industrials</t>
        </is>
      </c>
      <c r="D135" s="38" t="inlineStr">
        <is>
          <t>2026-10-01</t>
        </is>
      </c>
    </row>
    <row r="136">
      <c r="A136" s="36" t="inlineStr">
        <is>
          <t>MVGJL</t>
        </is>
      </c>
      <c r="B136" s="37" t="inlineStr">
        <is>
          <t>Manoj Vaibhav Gems 'N' Jewellers Limited</t>
        </is>
      </c>
      <c r="C136" s="37" t="inlineStr">
        <is>
          <t>Consumer Cyclical</t>
        </is>
      </c>
      <c r="D136" s="38" t="inlineStr">
        <is>
          <t>2026-09-29</t>
        </is>
      </c>
    </row>
    <row r="137">
      <c r="A137" s="36" t="inlineStr">
        <is>
          <t>NEOGEN</t>
        </is>
      </c>
      <c r="B137" s="37" t="inlineStr">
        <is>
          <t>Neogen Chemicals Limited</t>
        </is>
      </c>
      <c r="C137" s="37" t="inlineStr">
        <is>
          <t>Basic Materials</t>
        </is>
      </c>
      <c r="D137" s="38" t="inlineStr">
        <is>
          <t>2026-10-02</t>
        </is>
      </c>
    </row>
    <row r="138">
      <c r="A138" s="36" t="inlineStr">
        <is>
          <t>NRAIL</t>
        </is>
      </c>
      <c r="B138" s="37" t="inlineStr">
        <is>
          <t>N R Agarwal Industries Limited</t>
        </is>
      </c>
      <c r="C138" s="37" t="inlineStr">
        <is>
          <t>Basic Materials</t>
        </is>
      </c>
      <c r="D138" s="38" t="inlineStr">
        <is>
          <t>2026-09-29</t>
        </is>
      </c>
    </row>
    <row r="139">
      <c r="A139" s="36" t="inlineStr">
        <is>
          <t>PANORAMA</t>
        </is>
      </c>
      <c r="B139" s="37" t="inlineStr">
        <is>
          <t>PANORAMA</t>
        </is>
      </c>
      <c r="C139" s="37" t="inlineStr">
        <is>
          <t>unknown</t>
        </is>
      </c>
      <c r="D139" s="38" t="inlineStr">
        <is>
          <t>2026-10-02</t>
        </is>
      </c>
    </row>
    <row r="140">
      <c r="A140" s="36" t="inlineStr">
        <is>
          <t>PCJEWELLER</t>
        </is>
      </c>
      <c r="B140" s="37" t="inlineStr">
        <is>
          <t>PCJEWELLER</t>
        </is>
      </c>
      <c r="C140" s="37" t="inlineStr">
        <is>
          <t>unknown</t>
        </is>
      </c>
      <c r="D140" s="38" t="inlineStr">
        <is>
          <t>2026-10-02</t>
        </is>
      </c>
    </row>
    <row r="141">
      <c r="A141" s="36" t="inlineStr">
        <is>
          <t>PREMIERPOL</t>
        </is>
      </c>
      <c r="B141" s="37" t="inlineStr">
        <is>
          <t>PREMIERPOL</t>
        </is>
      </c>
      <c r="C141" s="37" t="inlineStr">
        <is>
          <t>unknown</t>
        </is>
      </c>
      <c r="D141" s="38" t="inlineStr">
        <is>
          <t>2026-09-30</t>
        </is>
      </c>
    </row>
    <row r="142">
      <c r="A142" s="36" t="inlineStr">
        <is>
          <t>QUADFUTURE</t>
        </is>
      </c>
      <c r="B142" s="37" t="inlineStr">
        <is>
          <t>Quadrant Future Tek Limited</t>
        </is>
      </c>
      <c r="C142" s="37" t="inlineStr">
        <is>
          <t>Industrials</t>
        </is>
      </c>
      <c r="D142" s="38" t="inlineStr">
        <is>
          <t>2026-10-01</t>
        </is>
      </c>
    </row>
    <row r="143">
      <c r="A143" s="36" t="inlineStr">
        <is>
          <t>RGL</t>
        </is>
      </c>
      <c r="B143" s="37" t="inlineStr">
        <is>
          <t>Renaissance Global Limited</t>
        </is>
      </c>
      <c r="C143" s="37" t="inlineStr">
        <is>
          <t>Consumer Cyclical</t>
        </is>
      </c>
      <c r="D143" s="38" t="inlineStr">
        <is>
          <t>2026-10-02</t>
        </is>
      </c>
    </row>
    <row r="144">
      <c r="A144" s="36" t="inlineStr">
        <is>
          <t>ROSSTECH</t>
        </is>
      </c>
      <c r="B144" s="37" t="inlineStr">
        <is>
          <t>Rossell Techsys Limited</t>
        </is>
      </c>
      <c r="C144" s="37" t="inlineStr">
        <is>
          <t>Industrials</t>
        </is>
      </c>
      <c r="D144" s="38" t="inlineStr">
        <is>
          <t>2026-10-01</t>
        </is>
      </c>
    </row>
    <row r="145">
      <c r="A145" s="36" t="inlineStr">
        <is>
          <t>RPEL</t>
        </is>
      </c>
      <c r="B145" s="37" t="inlineStr">
        <is>
          <t>Raghav Productivity Enhancers Limited</t>
        </is>
      </c>
      <c r="C145" s="37" t="inlineStr">
        <is>
          <t>Basic Materials</t>
        </is>
      </c>
      <c r="D145" s="38" t="inlineStr">
        <is>
          <t>2026-10-01</t>
        </is>
      </c>
    </row>
    <row r="146">
      <c r="A146" s="36" t="inlineStr">
        <is>
          <t>SAKAR</t>
        </is>
      </c>
      <c r="B146" s="37" t="inlineStr">
        <is>
          <t>SAKAR</t>
        </is>
      </c>
      <c r="C146" s="37" t="inlineStr">
        <is>
          <t>unknown</t>
        </is>
      </c>
      <c r="D146" s="38" t="inlineStr">
        <is>
          <t>2026-09-30</t>
        </is>
      </c>
    </row>
    <row r="147">
      <c r="A147" s="36" t="inlineStr">
        <is>
          <t>SHUKRAPHAR</t>
        </is>
      </c>
      <c r="B147" s="37" t="inlineStr">
        <is>
          <t>SHUKRAPHAR</t>
        </is>
      </c>
      <c r="C147" s="37" t="inlineStr">
        <is>
          <t>unknown</t>
        </is>
      </c>
      <c r="D147" s="38" t="inlineStr">
        <is>
          <t>2026-10-01</t>
        </is>
      </c>
    </row>
    <row r="148">
      <c r="A148" s="36" t="inlineStr">
        <is>
          <t>SOMANYCERA</t>
        </is>
      </c>
      <c r="B148" s="37" t="inlineStr">
        <is>
          <t>Somany Ceramics Limited</t>
        </is>
      </c>
      <c r="C148" s="37" t="inlineStr">
        <is>
          <t>Industrials</t>
        </is>
      </c>
      <c r="D148" s="38" t="inlineStr">
        <is>
          <t>2026-09-30</t>
        </is>
      </c>
    </row>
    <row r="149">
      <c r="A149" s="36" t="inlineStr">
        <is>
          <t>SOTL</t>
        </is>
      </c>
      <c r="B149" s="37" t="inlineStr">
        <is>
          <t>Savita Oil Technologies Limited</t>
        </is>
      </c>
      <c r="C149" s="37" t="inlineStr">
        <is>
          <t>Basic Materials</t>
        </is>
      </c>
      <c r="D149" s="38" t="inlineStr">
        <is>
          <t>2026-10-02</t>
        </is>
      </c>
    </row>
    <row r="150">
      <c r="A150" s="36" t="inlineStr">
        <is>
          <t>SSWL</t>
        </is>
      </c>
      <c r="B150" s="37" t="inlineStr">
        <is>
          <t>Steel Strips Wheels Limited</t>
        </is>
      </c>
      <c r="C150" s="37" t="inlineStr">
        <is>
          <t>Consumer Cyclical</t>
        </is>
      </c>
      <c r="D150" s="38" t="inlineStr">
        <is>
          <t>2026-10-02</t>
        </is>
      </c>
    </row>
    <row r="151">
      <c r="A151" s="36" t="inlineStr">
        <is>
          <t>SWARAJ</t>
        </is>
      </c>
      <c r="B151" s="37" t="inlineStr">
        <is>
          <t>SWARAJ</t>
        </is>
      </c>
      <c r="C151" s="37" t="inlineStr">
        <is>
          <t>unknown</t>
        </is>
      </c>
      <c r="D151" s="38" t="inlineStr">
        <is>
          <t>2026-10-01</t>
        </is>
      </c>
    </row>
    <row r="152">
      <c r="A152" s="36" t="inlineStr">
        <is>
          <t>TATVA</t>
        </is>
      </c>
      <c r="B152" s="37" t="inlineStr">
        <is>
          <t>TATVA</t>
        </is>
      </c>
      <c r="C152" s="37" t="inlineStr">
        <is>
          <t>unknown</t>
        </is>
      </c>
      <c r="D152" s="38" t="inlineStr">
        <is>
          <t>2026-10-02</t>
        </is>
      </c>
    </row>
    <row r="153">
      <c r="A153" s="36" t="inlineStr">
        <is>
          <t>THELEELA</t>
        </is>
      </c>
      <c r="B153" s="37" t="inlineStr">
        <is>
          <t>Leela Palaces Hotels &amp; Resorts Limited</t>
        </is>
      </c>
      <c r="C153" s="37" t="inlineStr">
        <is>
          <t>Consumer Cyclical</t>
        </is>
      </c>
      <c r="D153" s="38" t="inlineStr">
        <is>
          <t>2026-10-01</t>
        </is>
      </c>
    </row>
    <row r="154">
      <c r="A154" s="36" t="inlineStr">
        <is>
          <t>UNIFIED</t>
        </is>
      </c>
      <c r="B154" s="37" t="inlineStr">
        <is>
          <t>UNIFIED</t>
        </is>
      </c>
      <c r="C154" s="37" t="inlineStr">
        <is>
          <t>unknown</t>
        </is>
      </c>
      <c r="D154" s="38" t="inlineStr">
        <is>
          <t>2026-10-02</t>
        </is>
      </c>
    </row>
    <row r="155">
      <c r="A155" s="36" t="inlineStr">
        <is>
          <t>VINCOFE</t>
        </is>
      </c>
      <c r="B155" s="37" t="inlineStr">
        <is>
          <t>Vintage Coffee and Beverages Limited</t>
        </is>
      </c>
      <c r="C155" s="37" t="inlineStr">
        <is>
          <t>Consumer Defensive</t>
        </is>
      </c>
      <c r="D155" s="38" t="inlineStr">
        <is>
          <t>2026-09-30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2074.32</v>
      </c>
      <c r="I2" s="32" t="n">
        <v>99.06</v>
      </c>
      <c r="J2" s="32" t="n">
        <v>4.85</v>
      </c>
      <c r="K2" s="32" t="n">
        <v>0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70.26000000000001</v>
      </c>
      <c r="P2" s="32" t="n">
        <v>33.37</v>
      </c>
      <c r="Q2" s="32" t="n">
        <v>75.44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-2.05</v>
      </c>
      <c r="U2" s="32" t="n">
        <v>44.51</v>
      </c>
      <c r="V2" s="32" t="n">
        <v>47.53</v>
      </c>
      <c r="W2" s="32" t="n">
        <v>19.91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17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GCSL</t>
        </is>
      </c>
      <c r="D3" s="31" t="inlineStr">
        <is>
          <t>Gretex Corporate Services Ltd</t>
        </is>
      </c>
      <c r="E3" s="31" t="inlineStr">
        <is>
          <t>financials</t>
        </is>
      </c>
      <c r="F3" s="31" t="inlineStr">
        <is>
          <t>Finance and Investments Others</t>
        </is>
      </c>
      <c r="G3" s="31" t="inlineStr">
        <is>
          <t>smallcap</t>
        </is>
      </c>
      <c r="H3" s="32" t="n">
        <v>1699.12</v>
      </c>
      <c r="I3" s="32" t="n">
        <v>679.5</v>
      </c>
      <c r="J3" s="32" t="n">
        <v>0.44</v>
      </c>
      <c r="K3" s="32" t="n">
        <v>0</v>
      </c>
      <c r="L3" s="31" t="n">
        <v>79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80.51000000000001</v>
      </c>
      <c r="P3" s="32" t="n">
        <v>34.69</v>
      </c>
      <c r="Q3" s="32" t="n">
        <v>547.15</v>
      </c>
      <c r="R3" s="31" t="inlineStr">
        <is>
          <t>Near 52W High Breakout</t>
        </is>
      </c>
      <c r="S3" s="31" t="inlineStr">
        <is>
          <t>Nifty Bank</t>
        </is>
      </c>
      <c r="T3" s="32" t="n">
        <v>-2.05</v>
      </c>
      <c r="U3" s="32" t="n">
        <v>175.66</v>
      </c>
      <c r="V3" s="32" t="n">
        <v>181.43</v>
      </c>
      <c r="W3" s="32" t="n">
        <v>32.05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above 5x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 Services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6425.66</v>
      </c>
      <c r="I4" s="32" t="n">
        <v>138.79</v>
      </c>
      <c r="J4" s="32" t="n">
        <v>-2.2</v>
      </c>
      <c r="K4" s="32" t="n">
        <v>0</v>
      </c>
      <c r="L4" s="31" t="n">
        <v>81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80.17</v>
      </c>
      <c r="P4" s="32" t="n">
        <v>72.3</v>
      </c>
      <c r="Q4" s="32" t="n">
        <v>114.3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-2.05</v>
      </c>
      <c r="U4" s="32" t="n">
        <v>88.66</v>
      </c>
      <c r="V4" s="32" t="n">
        <v>92.61</v>
      </c>
      <c r="W4" s="32" t="n">
        <v>33.3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15</t>
        </is>
      </c>
      <c r="CC4" s="31">
        <f>IF(CB4&gt;20,10,IF(CB4&gt;=10,5,2))</f>
        <v/>
      </c>
    </row>
    <row r="8">
      <c r="A8" s="25" t="inlineStr">
        <is>
          <t>❌ REMOVED SCAN MATCH STOCKS (THIS WEEK)</t>
        </is>
      </c>
    </row>
    <row r="9">
      <c r="A9" s="35" t="inlineStr">
        <is>
          <t>Symbol</t>
        </is>
      </c>
      <c r="B9" s="35" t="inlineStr">
        <is>
          <t>Company Name</t>
        </is>
      </c>
      <c r="C9" s="35" t="inlineStr">
        <is>
          <t>Sector</t>
        </is>
      </c>
      <c r="D9" s="35" t="inlineStr">
        <is>
          <t>Date of Removal</t>
        </is>
      </c>
    </row>
    <row r="10">
      <c r="A10" s="36" t="inlineStr">
        <is>
          <t>SHAREINDIA</t>
        </is>
      </c>
      <c r="B10" s="37" t="inlineStr">
        <is>
          <t>Share India Securities Limited</t>
        </is>
      </c>
      <c r="C10" s="37" t="inlineStr">
        <is>
          <t>Financial Services</t>
        </is>
      </c>
      <c r="D10" s="38" t="inlineStr">
        <is>
          <t>2026-10-01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2026-10-02T16:18:55Z</dcterms:created>
  <dcterms:modified xmlns:dcterms="http://purl.org/dc/terms/" xmlns:xsi="http://www.w3.org/2001/XMLSchema-instance" xsi:type="dcterms:W3CDTF">2026-10-02T16:20:36Z</dcterms:modified>
</cp:coreProperties>
</file>