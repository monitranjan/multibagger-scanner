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Universe'!$A$1:$J$327</definedName>
    <definedName name="_xlnm._FilterDatabase" localSheetId="3" hidden="1">'Confluence Overlap'!$A$1:$K$93</definedName>
    <definedName name="_xlnm._FilterDatabase" localSheetId="4" hidden="1">'Monit Non Financial'!$A$1:$CE$284</definedName>
    <definedName name="_xlnm._FilterDatabase" localSheetId="5" hidden="1">'Monit Banks NBFC'!$A$1:$CA$44</definedName>
    <definedName name="_xlnm._FilterDatabase" localSheetId="6" hidden="1">'Scanner Non Financial'!$A$1:$CJ$18</definedName>
    <definedName name="_xlnm._FilterDatabase" localSheetId="7" hidden="1">'Scanner Banks NBFC'!$A$1:$CF$6</definedName>
    <definedName name="_xlnm._FilterDatabase" localSheetId="8" hidden="1">'Scan Match Non Financial'!$A$1:$CG$84</definedName>
    <definedName name="_xlnm._FilterDatabase" localSheetId="9" hidden="1">'Scan Match Banks NBFC'!$A$1:$CC$18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31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37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540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75</v>
      </c>
      <c r="G6" s="19" t="n">
        <v>43657.35</v>
      </c>
      <c r="H6" s="18" t="inlineStr">
        <is>
          <t>Potential Leader</t>
        </is>
      </c>
      <c r="J6" s="18" t="inlineStr">
        <is>
          <t>media</t>
        </is>
      </c>
      <c r="K6" s="16" t="n">
        <v>18</v>
      </c>
      <c r="L6" s="16" t="n">
        <v>12</v>
      </c>
      <c r="M6" s="20" t="inlineStr">
        <is>
          <t>50.0%</t>
        </is>
      </c>
    </row>
    <row r="7">
      <c r="A7" s="16" t="n">
        <v>2</v>
      </c>
      <c r="B7" s="17" t="n">
        <v>432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57</v>
      </c>
      <c r="G7" s="19" t="n">
        <v>2677.72</v>
      </c>
      <c r="H7" s="18" t="inlineStr">
        <is>
          <t>Potential Leader</t>
        </is>
      </c>
      <c r="J7" s="18" t="inlineStr">
        <is>
          <t>plastic products</t>
        </is>
      </c>
      <c r="K7" s="16" t="n">
        <v>28</v>
      </c>
      <c r="L7" s="16" t="n">
        <v>19</v>
      </c>
      <c r="M7" s="20" t="inlineStr">
        <is>
          <t>47.4%</t>
        </is>
      </c>
    </row>
    <row r="8">
      <c r="A8" s="16" t="n">
        <v>3</v>
      </c>
      <c r="B8" s="17" t="n">
        <v>426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56</v>
      </c>
      <c r="G8" s="19" t="n">
        <v>96234.66</v>
      </c>
      <c r="H8" s="18" t="inlineStr">
        <is>
          <t>Potential Leader</t>
        </is>
      </c>
      <c r="J8" s="18" t="inlineStr">
        <is>
          <t>i.t</t>
        </is>
      </c>
      <c r="K8" s="16" t="n">
        <v>77</v>
      </c>
      <c r="L8" s="16" t="n">
        <v>75</v>
      </c>
      <c r="M8" s="20" t="inlineStr">
        <is>
          <t>2.7%</t>
        </is>
      </c>
    </row>
    <row r="9">
      <c r="A9" s="16" t="n">
        <v>4</v>
      </c>
      <c r="B9" s="17" t="n">
        <v>378</v>
      </c>
      <c r="C9" s="17" t="inlineStr">
        <is>
          <t>PAISALO</t>
        </is>
      </c>
      <c r="D9" s="18" t="inlineStr">
        <is>
          <t>Paisalo Digital Ltd</t>
        </is>
      </c>
      <c r="E9" s="18" t="inlineStr">
        <is>
          <t>financials</t>
        </is>
      </c>
      <c r="F9" s="16" t="n">
        <v>48</v>
      </c>
      <c r="G9" s="19" t="n">
        <v>6463.06</v>
      </c>
      <c r="H9" s="18" t="inlineStr">
        <is>
          <t>Potential Leader</t>
        </is>
      </c>
      <c r="J9" s="18" t="inlineStr">
        <is>
          <t>auto</t>
        </is>
      </c>
      <c r="K9" s="16" t="n">
        <v>149</v>
      </c>
      <c r="L9" s="16" t="n">
        <v>150</v>
      </c>
      <c r="M9" s="21" t="inlineStr">
        <is>
          <t>-0.7%</t>
        </is>
      </c>
    </row>
    <row r="10">
      <c r="A10" s="16" t="n">
        <v>5</v>
      </c>
      <c r="B10" s="17" t="n">
        <v>360</v>
      </c>
      <c r="C10" s="17" t="inlineStr">
        <is>
          <t>YASHO</t>
        </is>
      </c>
      <c r="D10" s="18" t="inlineStr">
        <is>
          <t>Yasho Industries Ltd</t>
        </is>
      </c>
      <c r="E10" s="18" t="inlineStr">
        <is>
          <t>chemicals</t>
        </is>
      </c>
      <c r="F10" s="16" t="n">
        <v>45</v>
      </c>
      <c r="G10" s="19" t="n">
        <v>3875.5</v>
      </c>
      <c r="H10" s="18" t="inlineStr">
        <is>
          <t>Potential Leader</t>
        </is>
      </c>
      <c r="J10" s="18" t="inlineStr">
        <is>
          <t>transportation</t>
        </is>
      </c>
      <c r="K10" s="16" t="n">
        <v>39</v>
      </c>
      <c r="L10" s="16" t="n">
        <v>40</v>
      </c>
      <c r="M10" s="21" t="inlineStr">
        <is>
          <t>-2.5%</t>
        </is>
      </c>
    </row>
    <row r="11">
      <c r="A11" s="16" t="n">
        <v>6</v>
      </c>
      <c r="B11" s="17" t="n">
        <v>354</v>
      </c>
      <c r="C11" s="17" t="inlineStr">
        <is>
          <t>CUPID</t>
        </is>
      </c>
      <c r="D11" s="18" t="inlineStr">
        <is>
          <t>Cupid Limited</t>
        </is>
      </c>
      <c r="E11" s="18" t="inlineStr">
        <is>
          <t>fmcg</t>
        </is>
      </c>
      <c r="F11" s="16" t="n">
        <v>44</v>
      </c>
      <c r="G11" s="19" t="n">
        <v>30784.66</v>
      </c>
      <c r="H11" s="18" t="inlineStr">
        <is>
          <t>Potential Leader</t>
        </is>
      </c>
      <c r="J11" s="18" t="inlineStr">
        <is>
          <t>chemicals</t>
        </is>
      </c>
      <c r="K11" s="16" t="n">
        <v>114</v>
      </c>
      <c r="L11" s="16" t="n">
        <v>122</v>
      </c>
      <c r="M11" s="21" t="inlineStr">
        <is>
          <t>-6.6%</t>
        </is>
      </c>
    </row>
    <row r="12">
      <c r="A12" s="16" t="n">
        <v>7</v>
      </c>
      <c r="B12" s="17" t="n">
        <v>336</v>
      </c>
      <c r="C12" s="17" t="inlineStr">
        <is>
          <t>HESTERBIO</t>
        </is>
      </c>
      <c r="D12" s="18" t="inlineStr">
        <is>
          <t>Hester Biosciences Limited</t>
        </is>
      </c>
      <c r="E12" s="18" t="inlineStr">
        <is>
          <t>healthcare</t>
        </is>
      </c>
      <c r="F12" s="16" t="n">
        <v>41</v>
      </c>
      <c r="G12" s="19" t="n">
        <v>2108.17</v>
      </c>
      <c r="H12" s="18" t="inlineStr">
        <is>
          <t>Potential Leader</t>
        </is>
      </c>
      <c r="J12" s="18" t="inlineStr">
        <is>
          <t>textiles</t>
        </is>
      </c>
      <c r="K12" s="16" t="n">
        <v>68</v>
      </c>
      <c r="L12" s="16" t="n">
        <v>75</v>
      </c>
      <c r="M12" s="21" t="inlineStr">
        <is>
          <t>-9.3%</t>
        </is>
      </c>
    </row>
    <row r="13">
      <c r="A13" s="16" t="n">
        <v>8</v>
      </c>
      <c r="B13" s="17" t="n">
        <v>324</v>
      </c>
      <c r="C13" s="17" t="inlineStr">
        <is>
          <t>SPECTRUM</t>
        </is>
      </c>
      <c r="D13" s="18" t="inlineStr">
        <is>
          <t>Spectrum Electrical Industries Ltd</t>
        </is>
      </c>
      <c r="E13" s="18" t="inlineStr">
        <is>
          <t>industrials</t>
        </is>
      </c>
      <c r="F13" s="16" t="n">
        <v>39</v>
      </c>
      <c r="G13" s="19" t="n">
        <v>3834.18</v>
      </c>
      <c r="H13" s="18" t="inlineStr">
        <is>
          <t>Potential Leader</t>
        </is>
      </c>
      <c r="J13" s="18" t="inlineStr">
        <is>
          <t>metals &amp; mining</t>
        </is>
      </c>
      <c r="K13" s="16" t="n">
        <v>56</v>
      </c>
      <c r="L13" s="16" t="n">
        <v>64</v>
      </c>
      <c r="M13" s="21" t="inlineStr">
        <is>
          <t>-12.5%</t>
        </is>
      </c>
    </row>
    <row r="14">
      <c r="A14" s="16" t="n">
        <v>9</v>
      </c>
      <c r="B14" s="17" t="n">
        <v>294</v>
      </c>
      <c r="C14" s="17" t="inlineStr">
        <is>
          <t>VADILALIND</t>
        </is>
      </c>
      <c r="D14" s="18" t="inlineStr">
        <is>
          <t>Vadilal Industries Limited</t>
        </is>
      </c>
      <c r="E14" s="18" t="inlineStr">
        <is>
          <t>fmcg</t>
        </is>
      </c>
      <c r="F14" s="16" t="n">
        <v>34</v>
      </c>
      <c r="G14" s="19" t="n">
        <v>5220.88</v>
      </c>
      <c r="H14" s="18" t="inlineStr">
        <is>
          <t>Potential Leader</t>
        </is>
      </c>
      <c r="J14" s="18" t="inlineStr">
        <is>
          <t>miscellaneous</t>
        </is>
      </c>
      <c r="K14" s="16" t="n">
        <v>40</v>
      </c>
      <c r="L14" s="16" t="n">
        <v>47</v>
      </c>
      <c r="M14" s="21" t="inlineStr">
        <is>
          <t>-14.9%</t>
        </is>
      </c>
    </row>
    <row r="15">
      <c r="A15" s="16" t="n">
        <v>10</v>
      </c>
      <c r="B15" s="17" t="n">
        <v>288</v>
      </c>
      <c r="C15" s="17" t="inlineStr">
        <is>
          <t>FEDERALBNK</t>
        </is>
      </c>
      <c r="D15" s="18" t="inlineStr">
        <is>
          <t>The Federal Bank  Limited</t>
        </is>
      </c>
      <c r="E15" s="18" t="inlineStr">
        <is>
          <t>bank</t>
        </is>
      </c>
      <c r="F15" s="16" t="n">
        <v>33</v>
      </c>
      <c r="G15" s="19" t="n">
        <v>87405.60000000001</v>
      </c>
      <c r="H15" s="18" t="inlineStr">
        <is>
          <t>Potential Leader</t>
        </is>
      </c>
      <c r="J15" s="18" t="inlineStr">
        <is>
          <t>consumer discretionary</t>
        </is>
      </c>
      <c r="K15" s="16" t="n">
        <v>114</v>
      </c>
      <c r="L15" s="16" t="n">
        <v>137</v>
      </c>
      <c r="M15" s="21" t="inlineStr">
        <is>
          <t>-16.8%</t>
        </is>
      </c>
    </row>
    <row r="16">
      <c r="A16" s="16" t="n">
        <v>11</v>
      </c>
      <c r="B16" s="17" t="n">
        <v>276</v>
      </c>
      <c r="C16" s="17" t="inlineStr">
        <is>
          <t>HITECHCORP</t>
        </is>
      </c>
      <c r="D16" s="18" t="inlineStr">
        <is>
          <t>Hitech Corporation</t>
        </is>
      </c>
      <c r="E16" s="18" t="inlineStr">
        <is>
          <t>industrials</t>
        </is>
      </c>
      <c r="F16" s="16" t="n">
        <v>31</v>
      </c>
      <c r="G16" s="19" t="n">
        <v>553.0599999999999</v>
      </c>
      <c r="H16" s="18" t="inlineStr">
        <is>
          <t>Potential Leader</t>
        </is>
      </c>
      <c r="J16" s="18" t="inlineStr">
        <is>
          <t>industrials</t>
        </is>
      </c>
      <c r="K16" s="16" t="n">
        <v>169</v>
      </c>
      <c r="L16" s="16" t="n">
        <v>204</v>
      </c>
      <c r="M16" s="21" t="inlineStr">
        <is>
          <t>-17.2%</t>
        </is>
      </c>
    </row>
    <row r="17">
      <c r="A17" s="16" t="n">
        <v>12</v>
      </c>
      <c r="B17" s="17" t="n">
        <v>243</v>
      </c>
      <c r="C17" s="17" t="inlineStr">
        <is>
          <t>SSWL</t>
        </is>
      </c>
      <c r="D17" s="18" t="inlineStr">
        <is>
          <t>Steel Strips Wheels Limited</t>
        </is>
      </c>
      <c r="E17" s="18" t="inlineStr">
        <is>
          <t>auto</t>
        </is>
      </c>
      <c r="F17" s="16" t="n">
        <v>26</v>
      </c>
      <c r="G17" s="19" t="n">
        <v>4671.25</v>
      </c>
      <c r="H17" s="18" t="inlineStr">
        <is>
          <t>Potential Leader</t>
        </is>
      </c>
      <c r="J17" s="18" t="inlineStr">
        <is>
          <t>telecom</t>
        </is>
      </c>
      <c r="K17" s="16" t="n">
        <v>12</v>
      </c>
      <c r="L17" s="16" t="n">
        <v>15</v>
      </c>
      <c r="M17" s="21" t="inlineStr">
        <is>
          <t>-20.0%</t>
        </is>
      </c>
    </row>
    <row r="18">
      <c r="A18" s="16" t="n">
        <v>13</v>
      </c>
      <c r="B18" s="17" t="n">
        <v>228</v>
      </c>
      <c r="C18" s="17" t="inlineStr">
        <is>
          <t>SBC</t>
        </is>
      </c>
      <c r="D18" s="18" t="inlineStr">
        <is>
          <t>SBC Exports Ltd</t>
        </is>
      </c>
      <c r="E18" s="18" t="inlineStr">
        <is>
          <t>textiles</t>
        </is>
      </c>
      <c r="F18" s="16" t="n">
        <v>24</v>
      </c>
      <c r="G18" s="19" t="n">
        <v>2005.71</v>
      </c>
      <c r="H18" s="18" t="inlineStr">
        <is>
          <t>Potential Leader</t>
        </is>
      </c>
      <c r="J18" s="18" t="inlineStr">
        <is>
          <t>financials</t>
        </is>
      </c>
      <c r="K18" s="16" t="n">
        <v>140</v>
      </c>
      <c r="L18" s="16" t="n">
        <v>176</v>
      </c>
      <c r="M18" s="21" t="inlineStr">
        <is>
          <t>-20.5%</t>
        </is>
      </c>
    </row>
    <row r="19">
      <c r="A19" s="16" t="n">
        <v>14</v>
      </c>
      <c r="B19" s="17" t="n">
        <v>225</v>
      </c>
      <c r="C19" s="17" t="inlineStr">
        <is>
          <t>ADOR</t>
        </is>
      </c>
      <c r="D19" s="18" t="inlineStr">
        <is>
          <t>Ador Welding Ltd</t>
        </is>
      </c>
      <c r="E19" s="18" t="inlineStr">
        <is>
          <t>industrials</t>
        </is>
      </c>
      <c r="F19" s="16" t="n">
        <v>23</v>
      </c>
      <c r="G19" s="19" t="n">
        <v>2575.96</v>
      </c>
      <c r="H19" s="18" t="inlineStr">
        <is>
          <t>Potential Leader</t>
        </is>
      </c>
      <c r="J19" s="18" t="inlineStr">
        <is>
          <t>fmcg</t>
        </is>
      </c>
      <c r="K19" s="16" t="n">
        <v>81</v>
      </c>
      <c r="L19" s="16" t="n">
        <v>102</v>
      </c>
      <c r="M19" s="21" t="inlineStr">
        <is>
          <t>-20.6%</t>
        </is>
      </c>
    </row>
    <row r="20">
      <c r="A20" s="16" t="n">
        <v>15</v>
      </c>
      <c r="B20" s="17" t="n">
        <v>225</v>
      </c>
      <c r="C20" s="17" t="inlineStr">
        <is>
          <t>BHARATFORG</t>
        </is>
      </c>
      <c r="D20" s="18" t="inlineStr">
        <is>
          <t>Bharat Forge Limited</t>
        </is>
      </c>
      <c r="E20" s="18" t="inlineStr">
        <is>
          <t>industrials</t>
        </is>
      </c>
      <c r="F20" s="16" t="n">
        <v>25</v>
      </c>
      <c r="G20" s="19" t="n">
        <v>103491.85</v>
      </c>
      <c r="H20" s="18" t="inlineStr">
        <is>
          <t>Potential Leader</t>
        </is>
      </c>
      <c r="J20" s="18" t="inlineStr">
        <is>
          <t>building materials</t>
        </is>
      </c>
      <c r="K20" s="16" t="n">
        <v>52</v>
      </c>
      <c r="L20" s="16" t="n">
        <v>66</v>
      </c>
      <c r="M20" s="21" t="inlineStr">
        <is>
          <t>-21.2%</t>
        </is>
      </c>
    </row>
    <row r="21">
      <c r="A21" s="16" t="n">
        <v>16</v>
      </c>
      <c r="B21" s="17" t="n">
        <v>225</v>
      </c>
      <c r="C21" s="17" t="inlineStr">
        <is>
          <t>CENTENKA</t>
        </is>
      </c>
      <c r="D21" s="18" t="inlineStr">
        <is>
          <t>Century Enka Limited</t>
        </is>
      </c>
      <c r="E21" s="18" t="inlineStr">
        <is>
          <t>textiles</t>
        </is>
      </c>
      <c r="F21" s="16" t="n">
        <v>23</v>
      </c>
      <c r="G21" s="19" t="n">
        <v>1324.15</v>
      </c>
      <c r="H21" s="18" t="inlineStr">
        <is>
          <t>Potential Leader</t>
        </is>
      </c>
    </row>
    <row r="22">
      <c r="A22" s="16" t="n">
        <v>17</v>
      </c>
      <c r="B22" s="17" t="n">
        <v>225</v>
      </c>
      <c r="C22" s="17" t="inlineStr">
        <is>
          <t>CYIENTDLM</t>
        </is>
      </c>
      <c r="D22" s="18" t="inlineStr">
        <is>
          <t>Cyient DLM Ltd</t>
        </is>
      </c>
      <c r="E22" s="18" t="inlineStr">
        <is>
          <t>consumer discretionary</t>
        </is>
      </c>
      <c r="F22" s="16" t="n">
        <v>23</v>
      </c>
      <c r="G22" s="19" t="n">
        <v>5382.99</v>
      </c>
      <c r="H22" s="18" t="inlineStr">
        <is>
          <t>Potential Leader</t>
        </is>
      </c>
    </row>
    <row r="23">
      <c r="A23" s="16" t="n">
        <v>18</v>
      </c>
      <c r="B23" s="17" t="n">
        <v>222</v>
      </c>
      <c r="C23" s="17" t="inlineStr">
        <is>
          <t>INDNIPPON</t>
        </is>
      </c>
      <c r="D23" s="18" t="inlineStr">
        <is>
          <t>India Nippon Electricals Limited</t>
        </is>
      </c>
      <c r="E23" s="18" t="inlineStr">
        <is>
          <t>auto</t>
        </is>
      </c>
      <c r="F23" s="16" t="n">
        <v>23</v>
      </c>
      <c r="G23" s="19" t="n">
        <v>2625.44</v>
      </c>
      <c r="H23" s="18" t="inlineStr">
        <is>
          <t>Potential Leader</t>
        </is>
      </c>
    </row>
    <row r="24">
      <c r="A24" s="16" t="n">
        <v>19</v>
      </c>
      <c r="B24" s="17" t="n">
        <v>222</v>
      </c>
      <c r="C24" s="17" t="inlineStr">
        <is>
          <t>RADICO</t>
        </is>
      </c>
      <c r="D24" s="18" t="inlineStr">
        <is>
          <t>Radico Khaitan Limited</t>
        </is>
      </c>
      <c r="E24" s="18" t="inlineStr">
        <is>
          <t>fmcg</t>
        </is>
      </c>
      <c r="F24" s="16" t="n">
        <v>23</v>
      </c>
      <c r="G24" s="19" t="n">
        <v>58482.46</v>
      </c>
      <c r="H24" s="18" t="inlineStr">
        <is>
          <t>Potential Leader</t>
        </is>
      </c>
    </row>
    <row r="25">
      <c r="A25" s="16" t="n">
        <v>20</v>
      </c>
      <c r="B25" s="17" t="n">
        <v>222</v>
      </c>
      <c r="C25" s="17" t="inlineStr">
        <is>
          <t>RPTECH</t>
        </is>
      </c>
      <c r="D25" s="18" t="inlineStr">
        <is>
          <t>Rashi Peripherals Ltd</t>
        </is>
      </c>
      <c r="E25" s="18" t="inlineStr">
        <is>
          <t>services</t>
        </is>
      </c>
      <c r="F25" s="16" t="n">
        <v>23</v>
      </c>
      <c r="G25" s="19" t="n">
        <v>5357.64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QUESS</t>
        </is>
      </c>
      <c r="B30" s="18" t="inlineStr">
        <is>
          <t>Quess Corp Limited</t>
        </is>
      </c>
      <c r="C30" s="18" t="inlineStr">
        <is>
          <t>miscellaneous</t>
        </is>
      </c>
      <c r="D30" s="16" t="n">
        <v>10</v>
      </c>
      <c r="E30" s="16" t="n">
        <v>1</v>
      </c>
      <c r="F30" s="19" t="n">
        <v>4625.67</v>
      </c>
      <c r="J30" s="17" t="inlineStr">
        <is>
          <t>SCPL</t>
        </is>
      </c>
      <c r="K30" s="18" t="inlineStr">
        <is>
          <t>fmcg</t>
        </is>
      </c>
      <c r="L30" s="19" t="n">
        <v>310</v>
      </c>
      <c r="M30" s="19" t="n">
        <v>578.71</v>
      </c>
      <c r="N30" s="16" t="n">
        <v>18</v>
      </c>
    </row>
    <row r="31">
      <c r="A31" s="17" t="inlineStr">
        <is>
          <t>NELCO</t>
        </is>
      </c>
      <c r="B31" s="18" t="inlineStr">
        <is>
          <t>Nelco Limited</t>
        </is>
      </c>
      <c r="C31" s="18" t="inlineStr">
        <is>
          <t>telecom</t>
        </is>
      </c>
      <c r="D31" s="16" t="n">
        <v>10</v>
      </c>
      <c r="E31" s="16" t="n">
        <v>2</v>
      </c>
      <c r="F31" s="19" t="n">
        <v>2121.54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10996.26</v>
      </c>
      <c r="N31" s="16" t="n">
        <v>18</v>
      </c>
    </row>
    <row r="32">
      <c r="A32" s="17" t="inlineStr">
        <is>
          <t>KABRAEXTRU</t>
        </is>
      </c>
      <c r="B32" s="18" t="inlineStr">
        <is>
          <t>Kabra Extrusion Technik Limited</t>
        </is>
      </c>
      <c r="C32" s="18" t="inlineStr">
        <is>
          <t>industrials</t>
        </is>
      </c>
      <c r="D32" s="16" t="n">
        <v>10</v>
      </c>
      <c r="E32" s="16" t="n">
        <v>1</v>
      </c>
      <c r="F32" s="19" t="n">
        <v>1277.21</v>
      </c>
      <c r="J32" s="17" t="inlineStr">
        <is>
          <t>TFCILTD</t>
        </is>
      </c>
      <c r="K32" s="18" t="inlineStr">
        <is>
          <t>financials</t>
        </is>
      </c>
      <c r="L32" s="19" t="n">
        <v>292</v>
      </c>
      <c r="M32" s="19" t="n">
        <v>4676.07</v>
      </c>
      <c r="N32" s="16" t="n">
        <v>16</v>
      </c>
    </row>
    <row r="33">
      <c r="A33" s="17" t="inlineStr">
        <is>
          <t>HUHTAMAKI</t>
        </is>
      </c>
      <c r="B33" s="18" t="inlineStr">
        <is>
          <t>Huhtamaki India Ltd</t>
        </is>
      </c>
      <c r="C33" s="18" t="inlineStr">
        <is>
          <t>industrials</t>
        </is>
      </c>
      <c r="D33" s="16" t="n">
        <v>9</v>
      </c>
      <c r="E33" s="16" t="n">
        <v>0</v>
      </c>
      <c r="F33" s="19" t="n">
        <v>2254.93</v>
      </c>
      <c r="J33" s="17" t="inlineStr">
        <is>
          <t>MENONBE</t>
        </is>
      </c>
      <c r="K33" s="18" t="inlineStr">
        <is>
          <t>auto</t>
        </is>
      </c>
      <c r="L33" s="19" t="n">
        <v>290</v>
      </c>
      <c r="M33" s="19" t="n">
        <v>1204.69</v>
      </c>
      <c r="N33" s="16" t="n">
        <v>23</v>
      </c>
    </row>
    <row r="34">
      <c r="A34" s="17" t="inlineStr">
        <is>
          <t>POLYPLEX</t>
        </is>
      </c>
      <c r="B34" s="18" t="inlineStr">
        <is>
          <t>Polyplex Corporation Limited</t>
        </is>
      </c>
      <c r="C34" s="18" t="inlineStr">
        <is>
          <t>industrials</t>
        </is>
      </c>
      <c r="D34" s="16" t="n">
        <v>9</v>
      </c>
      <c r="E34" s="16" t="n">
        <v>1</v>
      </c>
      <c r="F34" s="19" t="n">
        <v>3464</v>
      </c>
      <c r="J34" s="17" t="inlineStr">
        <is>
          <t>E2E</t>
        </is>
      </c>
      <c r="K34" s="18" t="inlineStr">
        <is>
          <t>i.t</t>
        </is>
      </c>
      <c r="L34" s="19" t="n">
        <v>290</v>
      </c>
      <c r="M34" s="19" t="n">
        <v>10125.1</v>
      </c>
      <c r="N34" s="16" t="n">
        <v>9</v>
      </c>
    </row>
    <row r="35">
      <c r="A35" s="17" t="inlineStr">
        <is>
          <t>TIMETECHNO</t>
        </is>
      </c>
      <c r="B35" s="18" t="inlineStr">
        <is>
          <t>Time Technoplast Limited</t>
        </is>
      </c>
      <c r="C35" s="18" t="inlineStr">
        <is>
          <t>plastic products</t>
        </is>
      </c>
      <c r="D35" s="16" t="n">
        <v>9</v>
      </c>
      <c r="E35" s="16" t="n">
        <v>0</v>
      </c>
      <c r="F35" s="19" t="n">
        <v>10285.39</v>
      </c>
      <c r="J35" s="17" t="inlineStr">
        <is>
          <t>CONFIPET</t>
        </is>
      </c>
      <c r="K35" s="18" t="inlineStr">
        <is>
          <t>miscellaneous</t>
        </is>
      </c>
      <c r="L35" s="19" t="n">
        <v>288</v>
      </c>
      <c r="M35" s="19" t="n">
        <v>2600.45</v>
      </c>
      <c r="N35" s="16" t="n">
        <v>24</v>
      </c>
    </row>
    <row r="36">
      <c r="A36" s="17" t="inlineStr">
        <is>
          <t>JGCHEM</t>
        </is>
      </c>
      <c r="B36" s="18" t="inlineStr">
        <is>
          <t>J.G.Chemicals Ltd</t>
        </is>
      </c>
      <c r="C36" s="18" t="inlineStr">
        <is>
          <t>chemicals</t>
        </is>
      </c>
      <c r="D36" s="16" t="n">
        <v>9</v>
      </c>
      <c r="E36" s="16" t="n">
        <v>0</v>
      </c>
      <c r="F36" s="19" t="n">
        <v>1926.58</v>
      </c>
      <c r="J36" s="17" t="inlineStr">
        <is>
          <t>ESAFSFB</t>
        </is>
      </c>
      <c r="K36" s="18" t="inlineStr">
        <is>
          <t>bank</t>
        </is>
      </c>
      <c r="L36" s="19" t="n">
        <v>287</v>
      </c>
      <c r="M36" s="19" t="n">
        <v>1882.19</v>
      </c>
      <c r="N36" s="16" t="n">
        <v>22</v>
      </c>
    </row>
    <row r="37">
      <c r="A37" s="17" t="inlineStr">
        <is>
          <t>AEGISVOPAK</t>
        </is>
      </c>
      <c r="B37" s="18" t="inlineStr">
        <is>
          <t>Aegis Vopak Terminals Ltd</t>
        </is>
      </c>
      <c r="C37" s="18" t="inlineStr">
        <is>
          <t>transportation</t>
        </is>
      </c>
      <c r="D37" s="16" t="n">
        <v>9</v>
      </c>
      <c r="E37" s="16" t="n">
        <v>2</v>
      </c>
      <c r="F37" s="19" t="n">
        <v>32386.59</v>
      </c>
      <c r="J37" s="17" t="inlineStr">
        <is>
          <t>TMB</t>
        </is>
      </c>
      <c r="K37" s="18" t="inlineStr">
        <is>
          <t>bank</t>
        </is>
      </c>
      <c r="L37" s="19" t="n">
        <v>287</v>
      </c>
      <c r="M37" s="19" t="n">
        <v>13487.59</v>
      </c>
      <c r="N37" s="16" t="n">
        <v>25</v>
      </c>
    </row>
    <row r="38">
      <c r="A38" s="17" t="inlineStr">
        <is>
          <t>OPTIEMUS</t>
        </is>
      </c>
      <c r="B38" s="18" t="inlineStr">
        <is>
          <t>Optiemus Infracom Ltd</t>
        </is>
      </c>
      <c r="C38" s="18" t="inlineStr">
        <is>
          <t>telecom</t>
        </is>
      </c>
      <c r="D38" s="16" t="n">
        <v>9</v>
      </c>
      <c r="E38" s="16" t="n">
        <v>0</v>
      </c>
      <c r="F38" s="19" t="n">
        <v>5523.92</v>
      </c>
      <c r="J38" s="17" t="inlineStr">
        <is>
          <t>UJJIVANSFB</t>
        </is>
      </c>
      <c r="K38" s="18" t="inlineStr">
        <is>
          <t>bank</t>
        </is>
      </c>
      <c r="L38" s="19" t="n">
        <v>287</v>
      </c>
      <c r="M38" s="19" t="n">
        <v>13680.98</v>
      </c>
      <c r="N38" s="16" t="n">
        <v>17</v>
      </c>
    </row>
    <row r="39">
      <c r="A39" s="17" t="inlineStr">
        <is>
          <t>PICCADIL</t>
        </is>
      </c>
      <c r="B39" s="18" t="inlineStr">
        <is>
          <t>Piccadily Agro Industries Ltd</t>
        </is>
      </c>
      <c r="C39" s="18" t="inlineStr">
        <is>
          <t>fmcg</t>
        </is>
      </c>
      <c r="D39" s="16" t="n">
        <v>9</v>
      </c>
      <c r="E39" s="16" t="n">
        <v>0</v>
      </c>
      <c r="F39" s="19" t="n">
        <v>7091.77</v>
      </c>
      <c r="J39" s="17" t="inlineStr">
        <is>
          <t>TINNARUBR</t>
        </is>
      </c>
      <c r="K39" s="18" t="inlineStr">
        <is>
          <t>fmcg</t>
        </is>
      </c>
      <c r="L39" s="19" t="n">
        <v>287</v>
      </c>
      <c r="M39" s="19" t="n">
        <v>1877.51</v>
      </c>
      <c r="N39" s="16" t="n">
        <v>27</v>
      </c>
    </row>
    <row r="40">
      <c r="A40" s="17" t="inlineStr">
        <is>
          <t>ARROWGREEN</t>
        </is>
      </c>
      <c r="B40" s="18" t="inlineStr">
        <is>
          <t>Arrow Greentech Limited</t>
        </is>
      </c>
      <c r="C40" s="18" t="inlineStr">
        <is>
          <t>plastic products</t>
        </is>
      </c>
      <c r="D40" s="16" t="n">
        <v>9</v>
      </c>
      <c r="E40" s="16" t="n">
        <v>0</v>
      </c>
      <c r="F40" s="19" t="n">
        <v>1094.33</v>
      </c>
      <c r="J40" s="17" t="inlineStr">
        <is>
          <t>HUHTAMAKI</t>
        </is>
      </c>
      <c r="K40" s="18" t="inlineStr">
        <is>
          <t>industrials</t>
        </is>
      </c>
      <c r="L40" s="19" t="n">
        <v>287</v>
      </c>
      <c r="M40" s="19" t="n">
        <v>2254.93</v>
      </c>
      <c r="N40" s="16" t="n">
        <v>9</v>
      </c>
    </row>
    <row r="41">
      <c r="A41" s="17" t="inlineStr">
        <is>
          <t>KALYANKJIL</t>
        </is>
      </c>
      <c r="B41" s="18" t="inlineStr">
        <is>
          <t>Kalyan Jewellers India Ltd</t>
        </is>
      </c>
      <c r="C41" s="18" t="inlineStr">
        <is>
          <t>consumer discretionary</t>
        </is>
      </c>
      <c r="D41" s="16" t="n">
        <v>9</v>
      </c>
      <c r="E41" s="16" t="n">
        <v>0</v>
      </c>
      <c r="F41" s="19" t="n">
        <v>65537.69</v>
      </c>
      <c r="J41" s="17" t="inlineStr">
        <is>
          <t>RPTECH</t>
        </is>
      </c>
      <c r="K41" s="18" t="inlineStr">
        <is>
          <t>services</t>
        </is>
      </c>
      <c r="L41" s="19" t="n">
        <v>285</v>
      </c>
      <c r="M41" s="19" t="n">
        <v>5357.64</v>
      </c>
      <c r="N41" s="16" t="n">
        <v>28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75.62</v>
      </c>
      <c r="D47" s="28" t="n">
        <v>277</v>
      </c>
      <c r="E47" s="17" t="inlineStr">
        <is>
          <t>CUPID</t>
        </is>
      </c>
      <c r="F47" s="18" t="inlineStr">
        <is>
          <t>Cupid Limited</t>
        </is>
      </c>
      <c r="G47" s="18" t="inlineStr">
        <is>
          <t>fmcg</t>
        </is>
      </c>
      <c r="H47" s="19" t="n">
        <v>30784.66</v>
      </c>
    </row>
    <row r="48">
      <c r="A48" s="16" t="n">
        <v>2</v>
      </c>
      <c r="B48" s="27" t="n">
        <v>99</v>
      </c>
      <c r="C48" s="28" t="n">
        <v>73.23</v>
      </c>
      <c r="D48" s="28" t="n">
        <v>270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11358.4</v>
      </c>
    </row>
    <row r="49">
      <c r="A49" s="16" t="n">
        <v>3</v>
      </c>
      <c r="B49" s="27" t="n">
        <v>98</v>
      </c>
      <c r="C49" s="28" t="n">
        <v>69.25</v>
      </c>
      <c r="D49" s="28" t="n">
        <v>263</v>
      </c>
      <c r="E49" s="17" t="inlineStr">
        <is>
          <t>SWANDEF</t>
        </is>
      </c>
      <c r="F49" s="18" t="inlineStr">
        <is>
          <t>Swan Defence and Heavy Industries Ltd</t>
        </is>
      </c>
      <c r="G49" s="18" t="inlineStr">
        <is>
          <t>transportation</t>
        </is>
      </c>
      <c r="H49" s="19" t="n">
        <v>12828.1</v>
      </c>
    </row>
    <row r="50">
      <c r="A50" s="16" t="n">
        <v>4</v>
      </c>
      <c r="B50" s="27" t="n">
        <v>98</v>
      </c>
      <c r="C50" s="28" t="n">
        <v>60.48</v>
      </c>
      <c r="D50" s="28" t="n">
        <v>260</v>
      </c>
      <c r="E50" s="17" t="inlineStr">
        <is>
          <t>YASHO</t>
        </is>
      </c>
      <c r="F50" s="18" t="inlineStr">
        <is>
          <t>Yasho Industries Ltd</t>
        </is>
      </c>
      <c r="G50" s="18" t="inlineStr">
        <is>
          <t>chemicals</t>
        </is>
      </c>
      <c r="H50" s="19" t="n">
        <v>3875.5</v>
      </c>
    </row>
    <row r="51">
      <c r="A51" s="16" t="n">
        <v>5</v>
      </c>
      <c r="B51" s="27" t="n">
        <v>98</v>
      </c>
      <c r="C51" s="28" t="n">
        <v>51.23</v>
      </c>
      <c r="D51" s="28" t="n">
        <v>0</v>
      </c>
      <c r="E51" s="17" t="inlineStr">
        <is>
          <t>BAFNAPH</t>
        </is>
      </c>
      <c r="F51" s="18" t="inlineStr">
        <is>
          <t>Bafna Pharmaceuticals Limited</t>
        </is>
      </c>
      <c r="G51" s="18" t="inlineStr">
        <is>
          <t>Healthcare</t>
        </is>
      </c>
      <c r="H51" s="19" t="n">
        <v>621.95</v>
      </c>
    </row>
    <row r="52">
      <c r="A52" s="16" t="n">
        <v>6</v>
      </c>
      <c r="B52" s="27" t="n">
        <v>98</v>
      </c>
      <c r="C52" s="28" t="n">
        <v>48.51</v>
      </c>
      <c r="D52" s="28" t="n">
        <v>228</v>
      </c>
      <c r="E52" s="17" t="inlineStr">
        <is>
          <t>UFBL</t>
        </is>
      </c>
      <c r="F52" s="18" t="inlineStr">
        <is>
          <t>United Foodbrands Ltd</t>
        </is>
      </c>
      <c r="G52" s="18" t="inlineStr">
        <is>
          <t>consumer discretionary</t>
        </is>
      </c>
      <c r="H52" s="19" t="n">
        <v>2642.83</v>
      </c>
    </row>
    <row r="53">
      <c r="A53" s="16" t="n">
        <v>7</v>
      </c>
      <c r="B53" s="27" t="n">
        <v>97</v>
      </c>
      <c r="C53" s="28" t="n">
        <v>46.42</v>
      </c>
      <c r="D53" s="28" t="n">
        <v>273</v>
      </c>
      <c r="E53" s="17" t="inlineStr">
        <is>
          <t>HITECHCORP</t>
        </is>
      </c>
      <c r="F53" s="18" t="inlineStr">
        <is>
          <t>Hitech Corporation</t>
        </is>
      </c>
      <c r="G53" s="18" t="inlineStr">
        <is>
          <t>industrials</t>
        </is>
      </c>
      <c r="H53" s="19" t="n">
        <v>553.0599999999999</v>
      </c>
    </row>
    <row r="54">
      <c r="A54" s="16" t="n">
        <v>8</v>
      </c>
      <c r="B54" s="27" t="n">
        <v>97</v>
      </c>
      <c r="C54" s="28" t="n">
        <v>45.37</v>
      </c>
      <c r="D54" s="28" t="n">
        <v>283</v>
      </c>
      <c r="E54" s="17" t="inlineStr">
        <is>
          <t>ATHERENERG</t>
        </is>
      </c>
      <c r="F54" s="18" t="inlineStr">
        <is>
          <t>Ather Energy Ltd</t>
        </is>
      </c>
      <c r="G54" s="18" t="inlineStr">
        <is>
          <t>auto</t>
        </is>
      </c>
      <c r="H54" s="19" t="n">
        <v>48907.01</v>
      </c>
    </row>
    <row r="55">
      <c r="A55" s="16" t="n">
        <v>9</v>
      </c>
      <c r="B55" s="27" t="n">
        <v>97</v>
      </c>
      <c r="C55" s="28" t="n">
        <v>42.97</v>
      </c>
      <c r="D55" s="28" t="n">
        <v>285</v>
      </c>
      <c r="E55" s="17" t="inlineStr">
        <is>
          <t>RPTECH</t>
        </is>
      </c>
      <c r="F55" s="18" t="inlineStr">
        <is>
          <t>Rashi Peripherals Ltd</t>
        </is>
      </c>
      <c r="G55" s="18" t="inlineStr">
        <is>
          <t>services</t>
        </is>
      </c>
      <c r="H55" s="19" t="n">
        <v>5357.64</v>
      </c>
    </row>
    <row r="56">
      <c r="A56" s="16" t="n">
        <v>10</v>
      </c>
      <c r="B56" s="27" t="n">
        <v>97</v>
      </c>
      <c r="C56" s="28" t="n">
        <v>41.64</v>
      </c>
      <c r="D56" s="28" t="n">
        <v>290</v>
      </c>
      <c r="E56" s="17" t="inlineStr">
        <is>
          <t>E2E</t>
        </is>
      </c>
      <c r="F56" s="18" t="inlineStr">
        <is>
          <t>E2E Networks Ltd</t>
        </is>
      </c>
      <c r="G56" s="18" t="inlineStr">
        <is>
          <t>i.t</t>
        </is>
      </c>
      <c r="H56" s="19" t="n">
        <v>10125.1</v>
      </c>
    </row>
    <row r="57">
      <c r="A57" s="16" t="n">
        <v>11</v>
      </c>
      <c r="B57" s="27" t="n">
        <v>96</v>
      </c>
      <c r="C57" s="28" t="n">
        <v>41.16</v>
      </c>
      <c r="D57" s="28" t="n">
        <v>255</v>
      </c>
      <c r="E57" s="17" t="inlineStr">
        <is>
          <t>DIACABS</t>
        </is>
      </c>
      <c r="F57" s="18" t="inlineStr">
        <is>
          <t>Diamond Power Infrastructure Ltd</t>
        </is>
      </c>
      <c r="G57" s="18" t="inlineStr">
        <is>
          <t>industrials</t>
        </is>
      </c>
      <c r="H57" s="19" t="n">
        <v>17311</v>
      </c>
    </row>
    <row r="58">
      <c r="A58" s="16" t="n">
        <v>12</v>
      </c>
      <c r="B58" s="27" t="n">
        <v>96</v>
      </c>
      <c r="C58" s="28" t="n">
        <v>40.16</v>
      </c>
      <c r="D58" s="28" t="n">
        <v>0</v>
      </c>
      <c r="E58" s="17" t="inlineStr">
        <is>
          <t>IZMO</t>
        </is>
      </c>
      <c r="F58" s="18" t="inlineStr">
        <is>
          <t>IZMO Limited</t>
        </is>
      </c>
      <c r="G58" s="18" t="inlineStr">
        <is>
          <t>Technology</t>
        </is>
      </c>
      <c r="H58" s="19" t="n">
        <v>1485.63</v>
      </c>
    </row>
    <row r="59">
      <c r="A59" s="16" t="n">
        <v>13</v>
      </c>
      <c r="B59" s="27" t="n">
        <v>96</v>
      </c>
      <c r="C59" s="28" t="n">
        <v>40.11</v>
      </c>
      <c r="D59" s="28" t="n">
        <v>242</v>
      </c>
      <c r="E59" s="17" t="inlineStr">
        <is>
          <t>HFCL</t>
        </is>
      </c>
      <c r="F59" s="18" t="inlineStr">
        <is>
          <t>HFCL Limited</t>
        </is>
      </c>
      <c r="G59" s="18" t="inlineStr">
        <is>
          <t>Technology</t>
        </is>
      </c>
      <c r="H59" s="19" t="n">
        <v>29674.87</v>
      </c>
    </row>
    <row r="60">
      <c r="A60" s="16" t="n">
        <v>14</v>
      </c>
      <c r="B60" s="27" t="n">
        <v>95</v>
      </c>
      <c r="C60" s="28" t="n">
        <v>38.98</v>
      </c>
      <c r="D60" s="28" t="n">
        <v>310</v>
      </c>
      <c r="E60" s="17" t="inlineStr">
        <is>
          <t>SCPL</t>
        </is>
      </c>
      <c r="F60" s="18" t="inlineStr">
        <is>
          <t>Sheetal Cool Products Ltd</t>
        </is>
      </c>
      <c r="G60" s="18" t="inlineStr">
        <is>
          <t>fmcg</t>
        </is>
      </c>
      <c r="H60" s="19" t="n">
        <v>578.71</v>
      </c>
    </row>
    <row r="61">
      <c r="A61" s="16" t="n">
        <v>15</v>
      </c>
      <c r="B61" s="27" t="n">
        <v>95</v>
      </c>
      <c r="C61" s="28" t="n">
        <v>36.52</v>
      </c>
      <c r="D61" s="28" t="n">
        <v>278</v>
      </c>
      <c r="E61" s="17" t="inlineStr">
        <is>
          <t>GRWRHITECH</t>
        </is>
      </c>
      <c r="F61" s="18" t="inlineStr">
        <is>
          <t>Garware Hi Tech Films Ltd</t>
        </is>
      </c>
      <c r="G61" s="18" t="inlineStr">
        <is>
          <t>industrials</t>
        </is>
      </c>
      <c r="H61" s="19" t="n">
        <v>16023.38</v>
      </c>
    </row>
    <row r="62">
      <c r="A62" s="16" t="n">
        <v>16</v>
      </c>
      <c r="B62" s="27" t="n">
        <v>95</v>
      </c>
      <c r="C62" s="28" t="n">
        <v>36.47</v>
      </c>
      <c r="D62" s="28" t="n">
        <v>208</v>
      </c>
      <c r="E62" s="17" t="inlineStr">
        <is>
          <t>SETL</t>
        </is>
      </c>
      <c r="F62" s="18" t="inlineStr">
        <is>
          <t>Standard Enginnering Technology Ltd</t>
        </is>
      </c>
      <c r="G62" s="18" t="inlineStr">
        <is>
          <t>industrials</t>
        </is>
      </c>
      <c r="H62" s="19" t="n">
        <v>5391.26</v>
      </c>
    </row>
    <row r="63">
      <c r="A63" s="16" t="n">
        <v>17</v>
      </c>
      <c r="B63" s="27" t="n">
        <v>95</v>
      </c>
      <c r="C63" s="28" t="n">
        <v>35.13</v>
      </c>
      <c r="D63" s="28" t="n">
        <v>275</v>
      </c>
      <c r="E63" s="17" t="inlineStr">
        <is>
          <t>AVALON</t>
        </is>
      </c>
      <c r="F63" s="18" t="inlineStr">
        <is>
          <t>Avalon Technologies Ltd</t>
        </is>
      </c>
      <c r="G63" s="18" t="inlineStr">
        <is>
          <t>consumer discretionary</t>
        </is>
      </c>
      <c r="H63" s="19" t="n">
        <v>11755.53</v>
      </c>
    </row>
    <row r="64">
      <c r="A64" s="16" t="n">
        <v>18</v>
      </c>
      <c r="B64" s="29" t="n">
        <v>94</v>
      </c>
      <c r="C64" s="28" t="n">
        <v>34.88</v>
      </c>
      <c r="D64" s="28" t="n">
        <v>242</v>
      </c>
      <c r="E64" s="17" t="inlineStr">
        <is>
          <t>KPL</t>
        </is>
      </c>
      <c r="F64" s="18" t="inlineStr">
        <is>
          <t>Kwality Pharmaceuticals Limited</t>
        </is>
      </c>
      <c r="G64" s="18" t="inlineStr">
        <is>
          <t>Healthcare</t>
        </is>
      </c>
      <c r="H64" s="19" t="n">
        <v>2683.28</v>
      </c>
    </row>
    <row r="65">
      <c r="A65" s="16" t="n">
        <v>19</v>
      </c>
      <c r="B65" s="29" t="n">
        <v>94</v>
      </c>
      <c r="C65" s="28" t="n">
        <v>34</v>
      </c>
      <c r="D65" s="28" t="n">
        <v>265</v>
      </c>
      <c r="E65" s="17" t="inlineStr">
        <is>
          <t>KMEW</t>
        </is>
      </c>
      <c r="F65" s="18" t="inlineStr">
        <is>
          <t>Knowledge Marine &amp; Engineering Works Ltd</t>
        </is>
      </c>
      <c r="G65" s="18" t="inlineStr">
        <is>
          <t>transportation</t>
        </is>
      </c>
      <c r="H65" s="19" t="n">
        <v>6181.91</v>
      </c>
    </row>
    <row r="66">
      <c r="A66" s="16" t="n">
        <v>20</v>
      </c>
      <c r="B66" s="29" t="n">
        <v>94</v>
      </c>
      <c r="C66" s="28" t="n">
        <v>33.31</v>
      </c>
      <c r="D66" s="28" t="n">
        <v>280</v>
      </c>
      <c r="E66" s="17" t="inlineStr">
        <is>
          <t>RRKABEL</t>
        </is>
      </c>
      <c r="F66" s="18" t="inlineStr">
        <is>
          <t>R R Kabel Ltd</t>
        </is>
      </c>
      <c r="G66" s="18" t="inlineStr">
        <is>
          <t>industrials</t>
        </is>
      </c>
      <c r="H66" s="19" t="n">
        <v>28979.89</v>
      </c>
    </row>
    <row r="67">
      <c r="A67" s="16" t="n">
        <v>21</v>
      </c>
      <c r="B67" s="29" t="n">
        <v>94</v>
      </c>
      <c r="C67" s="28" t="n">
        <v>33.05</v>
      </c>
      <c r="D67" s="28" t="n">
        <v>270</v>
      </c>
      <c r="E67" s="17" t="inlineStr">
        <is>
          <t>SPECTRUM</t>
        </is>
      </c>
      <c r="F67" s="18" t="inlineStr">
        <is>
          <t>Spectrum Electrical Industries Ltd</t>
        </is>
      </c>
      <c r="G67" s="18" t="inlineStr">
        <is>
          <t>industrials</t>
        </is>
      </c>
      <c r="H67" s="19" t="n">
        <v>3834.18</v>
      </c>
    </row>
    <row r="68">
      <c r="A68" s="16" t="n">
        <v>22</v>
      </c>
      <c r="B68" s="29" t="n">
        <v>93</v>
      </c>
      <c r="C68" s="28" t="n">
        <v>32.36</v>
      </c>
      <c r="D68" s="28" t="n">
        <v>235</v>
      </c>
      <c r="E68" s="17" t="inlineStr">
        <is>
          <t>KERNEX</t>
        </is>
      </c>
      <c r="F68" s="18" t="inlineStr">
        <is>
          <t>Kernex Microsystems (india) Limited</t>
        </is>
      </c>
      <c r="G68" s="18" t="inlineStr">
        <is>
          <t>consumer discretionary</t>
        </is>
      </c>
      <c r="H68" s="19" t="n">
        <v>3722.17</v>
      </c>
    </row>
    <row r="69">
      <c r="A69" s="16" t="n">
        <v>23</v>
      </c>
      <c r="B69" s="29" t="n">
        <v>93</v>
      </c>
      <c r="C69" s="28" t="n">
        <v>32.1</v>
      </c>
      <c r="D69" s="28" t="n">
        <v>285</v>
      </c>
      <c r="E69" s="17" t="inlineStr">
        <is>
          <t>TIMEX</t>
        </is>
      </c>
      <c r="F69" s="18" t="inlineStr">
        <is>
          <t>Timex Group India Limited</t>
        </is>
      </c>
      <c r="G69" s="18" t="inlineStr">
        <is>
          <t>Consumer Cyclical</t>
        </is>
      </c>
      <c r="H69" s="19" t="n">
        <v>5343.79</v>
      </c>
    </row>
    <row r="70">
      <c r="A70" s="16" t="n">
        <v>24</v>
      </c>
      <c r="B70" s="29" t="n">
        <v>93</v>
      </c>
      <c r="C70" s="28" t="n">
        <v>31.93</v>
      </c>
      <c r="D70" s="28" t="n">
        <v>220</v>
      </c>
      <c r="E70" s="17" t="inlineStr">
        <is>
          <t>AEGISLOG</t>
        </is>
      </c>
      <c r="F70" s="18" t="inlineStr">
        <is>
          <t>AEGISLOG</t>
        </is>
      </c>
      <c r="G70" s="18" t="inlineStr">
        <is>
          <t>Energy</t>
        </is>
      </c>
      <c r="H70" s="19" t="n">
        <v>44956.08</v>
      </c>
    </row>
    <row r="71">
      <c r="A71" s="16" t="n">
        <v>25</v>
      </c>
      <c r="B71" s="29" t="n">
        <v>92</v>
      </c>
      <c r="C71" s="28" t="n">
        <v>31.71</v>
      </c>
      <c r="D71" s="28" t="n">
        <v>272</v>
      </c>
      <c r="E71" s="17" t="inlineStr">
        <is>
          <t>LAURUSLABS</t>
        </is>
      </c>
      <c r="F71" s="18" t="inlineStr">
        <is>
          <t>Laurus Labs Limited</t>
        </is>
      </c>
      <c r="G71" s="18" t="inlineStr">
        <is>
          <t>healthcare</t>
        </is>
      </c>
      <c r="H71" s="19" t="n">
        <v>96234.66</v>
      </c>
    </row>
    <row r="72">
      <c r="A72" s="16" t="n">
        <v>26</v>
      </c>
      <c r="B72" s="29" t="n">
        <v>92</v>
      </c>
      <c r="C72" s="28" t="n">
        <v>31.4</v>
      </c>
      <c r="D72" s="28" t="n">
        <v>282</v>
      </c>
      <c r="E72" s="17" t="inlineStr">
        <is>
          <t>SAKAR</t>
        </is>
      </c>
      <c r="F72" s="18" t="inlineStr">
        <is>
          <t>Sakar Healthcare Ltd</t>
        </is>
      </c>
      <c r="G72" s="18" t="inlineStr">
        <is>
          <t>healthcare</t>
        </is>
      </c>
      <c r="H72" s="19" t="n">
        <v>1878.78</v>
      </c>
    </row>
    <row r="73">
      <c r="A73" s="16" t="n">
        <v>27</v>
      </c>
      <c r="B73" s="29" t="n">
        <v>92</v>
      </c>
      <c r="C73" s="28" t="n">
        <v>30.64</v>
      </c>
      <c r="D73" s="28" t="n">
        <v>250</v>
      </c>
      <c r="E73" s="17" t="inlineStr">
        <is>
          <t>TBZ</t>
        </is>
      </c>
      <c r="F73" s="18" t="inlineStr">
        <is>
          <t>Tribhovandas Bhimji Zaveri Limited</t>
        </is>
      </c>
      <c r="G73" s="18" t="inlineStr">
        <is>
          <t>consumer discretionary</t>
        </is>
      </c>
      <c r="H73" s="19" t="n">
        <v>1865.59</v>
      </c>
    </row>
    <row r="74">
      <c r="A74" s="16" t="n">
        <v>28</v>
      </c>
      <c r="B74" s="29" t="n">
        <v>92</v>
      </c>
      <c r="C74" s="28" t="n">
        <v>30.45</v>
      </c>
      <c r="D74" s="28" t="n">
        <v>267</v>
      </c>
      <c r="E74" s="17" t="inlineStr">
        <is>
          <t>NGLFINE</t>
        </is>
      </c>
      <c r="F74" s="18" t="inlineStr">
        <is>
          <t>NGL Fine Chem Ltd</t>
        </is>
      </c>
      <c r="G74" s="18" t="inlineStr">
        <is>
          <t>healthcare</t>
        </is>
      </c>
      <c r="H74" s="19" t="n">
        <v>2026.39</v>
      </c>
    </row>
    <row r="75">
      <c r="A75" s="16" t="n">
        <v>29</v>
      </c>
      <c r="B75" s="29" t="n">
        <v>91</v>
      </c>
      <c r="C75" s="28" t="n">
        <v>30.19</v>
      </c>
      <c r="D75" s="28" t="n">
        <v>268</v>
      </c>
      <c r="E75" s="17" t="inlineStr">
        <is>
          <t>ASTRAMICRO</t>
        </is>
      </c>
      <c r="F75" s="18" t="inlineStr">
        <is>
          <t>Astra Microwave Products Limited</t>
        </is>
      </c>
      <c r="G75" s="18" t="inlineStr">
        <is>
          <t>aerospace &amp; defence</t>
        </is>
      </c>
      <c r="H75" s="19" t="n">
        <v>16387.51</v>
      </c>
    </row>
    <row r="76">
      <c r="A76" s="16" t="n">
        <v>30</v>
      </c>
      <c r="B76" s="29" t="n">
        <v>91</v>
      </c>
      <c r="C76" s="28" t="n">
        <v>30.08</v>
      </c>
      <c r="D76" s="28" t="n">
        <v>290</v>
      </c>
      <c r="E76" s="17" t="inlineStr">
        <is>
          <t>MENONBE</t>
        </is>
      </c>
      <c r="F76" s="18" t="inlineStr">
        <is>
          <t>Menon Bearings Limited</t>
        </is>
      </c>
      <c r="G76" s="18" t="inlineStr">
        <is>
          <t>auto</t>
        </is>
      </c>
      <c r="H76" s="19" t="n">
        <v>1204.69</v>
      </c>
    </row>
    <row r="77">
      <c r="A77" s="16" t="n">
        <v>31</v>
      </c>
      <c r="B77" s="29" t="n">
        <v>91</v>
      </c>
      <c r="C77" s="28" t="n">
        <v>29.4</v>
      </c>
      <c r="D77" s="28" t="n">
        <v>260</v>
      </c>
      <c r="E77" s="17" t="inlineStr">
        <is>
          <t>SKYGOLD</t>
        </is>
      </c>
      <c r="F77" s="18" t="inlineStr">
        <is>
          <t>Sky Gold Ltd</t>
        </is>
      </c>
      <c r="G77" s="18" t="inlineStr">
        <is>
          <t>consumer discretionary</t>
        </is>
      </c>
      <c r="H77" s="19" t="n">
        <v>9884.83</v>
      </c>
    </row>
    <row r="78">
      <c r="A78" s="16" t="n">
        <v>32</v>
      </c>
      <c r="B78" s="29" t="n">
        <v>91</v>
      </c>
      <c r="C78" s="28" t="n">
        <v>29.32</v>
      </c>
      <c r="D78" s="28" t="n">
        <v>260</v>
      </c>
      <c r="E78" s="17" t="inlineStr">
        <is>
          <t>INDOTECH</t>
        </is>
      </c>
      <c r="F78" s="18" t="inlineStr">
        <is>
          <t>Indo Tech Transformers Limited</t>
        </is>
      </c>
      <c r="G78" s="18" t="inlineStr">
        <is>
          <t>industrials</t>
        </is>
      </c>
      <c r="H78" s="19" t="n">
        <v>3597.84</v>
      </c>
    </row>
    <row r="79">
      <c r="A79" s="16" t="n">
        <v>33</v>
      </c>
      <c r="B79" s="29" t="n">
        <v>90</v>
      </c>
      <c r="C79" s="28" t="n">
        <v>29.19</v>
      </c>
      <c r="D79" s="28" t="n">
        <v>255</v>
      </c>
      <c r="E79" s="17" t="inlineStr">
        <is>
          <t>PAISALO</t>
        </is>
      </c>
      <c r="F79" s="18" t="inlineStr">
        <is>
          <t>Paisalo Digital Ltd</t>
        </is>
      </c>
      <c r="G79" s="18" t="inlineStr">
        <is>
          <t>financials</t>
        </is>
      </c>
      <c r="H79" s="19" t="n">
        <v>6463.06</v>
      </c>
    </row>
    <row r="80">
      <c r="A80" s="16" t="n">
        <v>34</v>
      </c>
      <c r="B80" s="29" t="n">
        <v>90</v>
      </c>
      <c r="C80" s="28" t="n">
        <v>29.06</v>
      </c>
      <c r="D80" s="28" t="n">
        <v>263</v>
      </c>
      <c r="E80" s="17" t="inlineStr">
        <is>
          <t>UNIVCABLES</t>
        </is>
      </c>
      <c r="F80" s="18" t="inlineStr">
        <is>
          <t>Universal Cables Limited</t>
        </is>
      </c>
      <c r="G80" s="18" t="inlineStr">
        <is>
          <t>industrials</t>
        </is>
      </c>
      <c r="H80" s="19" t="n">
        <v>4619</v>
      </c>
    </row>
    <row r="81">
      <c r="A81" s="16" t="n">
        <v>35</v>
      </c>
      <c r="B81" s="29" t="n">
        <v>90</v>
      </c>
      <c r="C81" s="28" t="n">
        <v>28.46</v>
      </c>
      <c r="D81" s="28" t="n">
        <v>233</v>
      </c>
      <c r="E81" s="17" t="inlineStr">
        <is>
          <t>PARAS</t>
        </is>
      </c>
      <c r="F81" s="18" t="inlineStr">
        <is>
          <t>Paras Defence and Space Technologies Ltd</t>
        </is>
      </c>
      <c r="G81" s="18" t="inlineStr">
        <is>
          <t>aerospace &amp; defence</t>
        </is>
      </c>
      <c r="H81" s="19" t="n">
        <v>9770.41</v>
      </c>
    </row>
    <row r="8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YASHO</t>
        </is>
      </c>
      <c r="B2" s="31" t="inlineStr">
        <is>
          <t>Yasho Industries Ltd</t>
        </is>
      </c>
      <c r="C2" s="31" t="inlineStr">
        <is>
          <t>chemicals</t>
        </is>
      </c>
      <c r="D2" s="31" t="inlineStr">
        <is>
          <t>chemicals</t>
        </is>
      </c>
      <c r="E2" s="31" t="inlineStr">
        <is>
          <t>smallcap</t>
        </is>
      </c>
      <c r="F2" s="31" t="n">
        <v>3875.5</v>
      </c>
      <c r="G2" s="31" t="n">
        <v>3858.7</v>
      </c>
      <c r="H2" s="31" t="n">
        <v>20</v>
      </c>
      <c r="I2" s="31" t="n">
        <v>273048</v>
      </c>
      <c r="J2" s="31" t="inlineStr">
        <is>
          <t>541167</t>
        </is>
      </c>
    </row>
    <row r="3">
      <c r="A3" s="31" t="inlineStr">
        <is>
          <t>ESAFSFB</t>
        </is>
      </c>
      <c r="B3" s="31" t="inlineStr">
        <is>
          <t>ESAF Small Finance Bank Ltd</t>
        </is>
      </c>
      <c r="C3" s="31" t="inlineStr">
        <is>
          <t>bank</t>
        </is>
      </c>
      <c r="D3" s="31" t="inlineStr">
        <is>
          <t>banks - private sector</t>
        </is>
      </c>
      <c r="E3" s="31" t="inlineStr">
        <is>
          <t>smallcap</t>
        </is>
      </c>
      <c r="F3" s="31" t="n">
        <v>1882.19</v>
      </c>
      <c r="G3" s="31" t="n">
        <v>42.05</v>
      </c>
      <c r="H3" s="31" t="n">
        <v>15.27</v>
      </c>
      <c r="I3" s="31" t="n">
        <v>43578126</v>
      </c>
      <c r="J3" s="31" t="inlineStr">
        <is>
          <t>544020</t>
        </is>
      </c>
    </row>
    <row r="4">
      <c r="A4" s="31" t="inlineStr">
        <is>
          <t>VERANDA</t>
        </is>
      </c>
      <c r="B4" s="31" t="inlineStr">
        <is>
          <t>Veranda Learning Solutions Ltd</t>
        </is>
      </c>
      <c r="C4" s="31" t="inlineStr">
        <is>
          <t>services</t>
        </is>
      </c>
      <c r="D4" s="31" t="inlineStr">
        <is>
          <t>miscellaneous</t>
        </is>
      </c>
      <c r="E4" s="31" t="inlineStr">
        <is>
          <t>smallcap</t>
        </is>
      </c>
      <c r="F4" s="31" t="n">
        <v>2234.35</v>
      </c>
      <c r="G4" s="31" t="n">
        <v>259.09</v>
      </c>
      <c r="H4" s="31" t="n">
        <v>11.69</v>
      </c>
      <c r="I4" s="31" t="n">
        <v>3373967</v>
      </c>
      <c r="J4" s="31" t="inlineStr">
        <is>
          <t>543514</t>
        </is>
      </c>
    </row>
    <row r="5">
      <c r="A5" s="31" t="inlineStr">
        <is>
          <t>SCPL</t>
        </is>
      </c>
      <c r="B5" s="31" t="inlineStr">
        <is>
          <t>Sheetal Cool Products Ltd</t>
        </is>
      </c>
      <c r="C5" s="31" t="inlineStr">
        <is>
          <t>fmcg</t>
        </is>
      </c>
      <c r="D5" s="31" t="inlineStr">
        <is>
          <t>food - processing - indian</t>
        </is>
      </c>
      <c r="E5" s="31" t="inlineStr">
        <is>
          <t>smallcap</t>
        </is>
      </c>
      <c r="F5" s="31" t="n">
        <v>578.71</v>
      </c>
      <c r="G5" s="31" t="n">
        <v>615</v>
      </c>
      <c r="H5" s="31" t="n">
        <v>11.58</v>
      </c>
      <c r="I5" s="31" t="n">
        <v>550846</v>
      </c>
      <c r="J5" s="31" t="inlineStr">
        <is>
          <t>540757</t>
        </is>
      </c>
    </row>
    <row r="6">
      <c r="A6" s="31" t="inlineStr">
        <is>
          <t>THEJO</t>
        </is>
      </c>
      <c r="B6" s="31" t="inlineStr">
        <is>
          <t>Thejo Engineering Ltd</t>
        </is>
      </c>
      <c r="C6" s="31" t="inlineStr">
        <is>
          <t>industrials</t>
        </is>
      </c>
      <c r="D6" s="31" t="inlineStr">
        <is>
          <t>engineering</t>
        </is>
      </c>
      <c r="E6" s="31" t="inlineStr">
        <is>
          <t>smallcap</t>
        </is>
      </c>
      <c r="F6" s="31" t="n">
        <v>2061.67</v>
      </c>
      <c r="G6" s="31" t="n">
        <v>2108.7</v>
      </c>
      <c r="H6" s="31" t="n">
        <v>10.95</v>
      </c>
      <c r="I6" s="31" t="n">
        <v>75482</v>
      </c>
      <c r="J6" s="31" t="inlineStr">
        <is>
          <t>500492</t>
        </is>
      </c>
    </row>
    <row r="7">
      <c r="A7" s="31" t="inlineStr">
        <is>
          <t>NAZARA</t>
        </is>
      </c>
      <c r="B7" s="31" t="inlineStr">
        <is>
          <t>Nazara Technologies Ltd</t>
        </is>
      </c>
      <c r="C7" s="31" t="inlineStr">
        <is>
          <t>i.t</t>
        </is>
      </c>
      <c r="D7" s="31" t="inlineStr">
        <is>
          <t>telecommunications - service provider</t>
        </is>
      </c>
      <c r="E7" s="31" t="inlineStr">
        <is>
          <t>midcap</t>
        </is>
      </c>
      <c r="F7" s="31" t="n">
        <v>11412.18</v>
      </c>
      <c r="G7" s="31" t="n">
        <v>339</v>
      </c>
      <c r="H7" s="31" t="n">
        <v>10.05</v>
      </c>
      <c r="I7" s="31" t="n">
        <v>19465399</v>
      </c>
      <c r="J7" s="31" t="inlineStr">
        <is>
          <t>543280</t>
        </is>
      </c>
    </row>
    <row r="8">
      <c r="A8" s="31" t="inlineStr">
        <is>
          <t>63MOONS</t>
        </is>
      </c>
      <c r="B8" s="31" t="inlineStr">
        <is>
          <t>63 Moons Technologies Ltd</t>
        </is>
      </c>
      <c r="C8" s="31" t="inlineStr">
        <is>
          <t>i.t</t>
        </is>
      </c>
      <c r="D8" s="31" t="inlineStr">
        <is>
          <t>computers - software - medium / small</t>
        </is>
      </c>
      <c r="E8" s="31" t="inlineStr">
        <is>
          <t>smallcap</t>
        </is>
      </c>
      <c r="F8" s="31" t="n">
        <v>3904.46</v>
      </c>
      <c r="G8" s="31" t="n">
        <v>931.4</v>
      </c>
      <c r="H8" s="31" t="n">
        <v>9.92</v>
      </c>
      <c r="I8" s="31" t="n">
        <v>13988219</v>
      </c>
      <c r="J8" s="31" t="inlineStr">
        <is>
          <t>526881</t>
        </is>
      </c>
    </row>
    <row r="9">
      <c r="A9" s="31" t="inlineStr">
        <is>
          <t>NELCO</t>
        </is>
      </c>
      <c r="B9" s="31" t="inlineStr">
        <is>
          <t>Nelco Limited</t>
        </is>
      </c>
      <c r="C9" s="31" t="inlineStr">
        <is>
          <t>telecom</t>
        </is>
      </c>
      <c r="D9" s="31" t="inlineStr">
        <is>
          <t>telecommunications - service provider</t>
        </is>
      </c>
      <c r="E9" s="31" t="inlineStr">
        <is>
          <t>smallcap</t>
        </is>
      </c>
      <c r="F9" s="31" t="n">
        <v>2121.54</v>
      </c>
      <c r="G9" s="31" t="n">
        <v>1015.65</v>
      </c>
      <c r="H9" s="31" t="n">
        <v>9.24</v>
      </c>
      <c r="I9" s="31" t="n">
        <v>2015863</v>
      </c>
      <c r="J9" s="31" t="inlineStr">
        <is>
          <t>504112</t>
        </is>
      </c>
    </row>
    <row r="10">
      <c r="A10" s="31" t="inlineStr">
        <is>
          <t>DEEPINDS</t>
        </is>
      </c>
      <c r="B10" s="31" t="inlineStr">
        <is>
          <t>Deep Industries Ltd</t>
        </is>
      </c>
      <c r="C10" s="31" t="inlineStr">
        <is>
          <t>energy</t>
        </is>
      </c>
      <c r="D10" s="31" t="inlineStr">
        <is>
          <t>oil drilling / allied services</t>
        </is>
      </c>
      <c r="E10" s="31" t="inlineStr">
        <is>
          <t>smallcap</t>
        </is>
      </c>
      <c r="F10" s="31" t="n">
        <v>3512.32</v>
      </c>
      <c r="G10" s="31" t="n">
        <v>596.9</v>
      </c>
      <c r="H10" s="31" t="n">
        <v>8.76</v>
      </c>
      <c r="I10" s="31" t="n">
        <v>2246833</v>
      </c>
      <c r="J10" s="31" t="inlineStr">
        <is>
          <t>543288</t>
        </is>
      </c>
    </row>
    <row r="11">
      <c r="A11" s="31" t="inlineStr">
        <is>
          <t>BAJFINANCE</t>
        </is>
      </c>
      <c r="B11" s="31" t="inlineStr">
        <is>
          <t>Bajaj Finance Limited</t>
        </is>
      </c>
      <c r="C11" s="31" t="inlineStr">
        <is>
          <t>financials</t>
        </is>
      </c>
      <c r="D11" s="31" t="inlineStr">
        <is>
          <t>finance &amp; investments</t>
        </is>
      </c>
      <c r="E11" s="31" t="inlineStr">
        <is>
          <t>largecap</t>
        </is>
      </c>
      <c r="F11" s="31" t="n">
        <v>655904.29</v>
      </c>
      <c r="G11" s="31" t="n">
        <v>1141.2</v>
      </c>
      <c r="H11" s="31" t="n">
        <v>8.32</v>
      </c>
      <c r="I11" s="31" t="n">
        <v>40814590</v>
      </c>
      <c r="J11" s="31" t="inlineStr">
        <is>
          <t>500034</t>
        </is>
      </c>
    </row>
    <row r="12">
      <c r="A12" s="31" t="inlineStr">
        <is>
          <t>KABRAEXTRU</t>
        </is>
      </c>
      <c r="B12" s="31" t="inlineStr">
        <is>
          <t>Kabra Extrusion Technik Limited</t>
        </is>
      </c>
      <c r="C12" s="31" t="inlineStr">
        <is>
          <t>industrials</t>
        </is>
      </c>
      <c r="D12" s="31" t="inlineStr">
        <is>
          <t>engineering</t>
        </is>
      </c>
      <c r="E12" s="31" t="inlineStr">
        <is>
          <t>smallcap</t>
        </is>
      </c>
      <c r="F12" s="31" t="n">
        <v>1277.21</v>
      </c>
      <c r="G12" s="31" t="n">
        <v>394.95</v>
      </c>
      <c r="H12" s="31" t="n">
        <v>8.15</v>
      </c>
      <c r="I12" s="31" t="n">
        <v>370351</v>
      </c>
      <c r="J12" s="31" t="inlineStr">
        <is>
          <t>524109</t>
        </is>
      </c>
    </row>
    <row r="13">
      <c r="A13" s="31" t="inlineStr">
        <is>
          <t>ASTRAMICRO</t>
        </is>
      </c>
      <c r="B13" s="31" t="inlineStr">
        <is>
          <t>Astra Microwave Products Limited</t>
        </is>
      </c>
      <c r="C13" s="31" t="inlineStr">
        <is>
          <t>aerospace &amp; defence</t>
        </is>
      </c>
      <c r="D13" s="31" t="inlineStr">
        <is>
          <t>telecommunications - equipment</t>
        </is>
      </c>
      <c r="E13" s="31" t="inlineStr">
        <is>
          <t>midcap</t>
        </is>
      </c>
      <c r="F13" s="31" t="n">
        <v>16387.51</v>
      </c>
      <c r="G13" s="31" t="n">
        <v>1861.6</v>
      </c>
      <c r="H13" s="31" t="n">
        <v>7.86</v>
      </c>
      <c r="I13" s="31" t="n">
        <v>4927531</v>
      </c>
      <c r="J13" s="31" t="inlineStr">
        <is>
          <t>532493</t>
        </is>
      </c>
    </row>
    <row r="14">
      <c r="A14" s="31" t="inlineStr">
        <is>
          <t>NETWEB</t>
        </is>
      </c>
      <c r="B14" s="31" t="inlineStr">
        <is>
          <t>Netweb Technologies India Ltd</t>
        </is>
      </c>
      <c r="C14" s="31" t="inlineStr">
        <is>
          <t>i.t</t>
        </is>
      </c>
      <c r="D14" s="31" t="inlineStr">
        <is>
          <t>computers - hardware</t>
        </is>
      </c>
      <c r="E14" s="31" t="inlineStr">
        <is>
          <t>largecap</t>
        </is>
      </c>
      <c r="F14" s="31" t="n">
        <v>23887.76</v>
      </c>
      <c r="G14" s="31" t="n">
        <v>4524</v>
      </c>
      <c r="H14" s="31" t="n">
        <v>7.84</v>
      </c>
      <c r="I14" s="31" t="n">
        <v>4511310</v>
      </c>
      <c r="J14" s="31" t="inlineStr">
        <is>
          <t>543945</t>
        </is>
      </c>
    </row>
    <row r="15">
      <c r="A15" s="31" t="inlineStr">
        <is>
          <t>DMCC</t>
        </is>
      </c>
      <c r="B15" s="31" t="inlineStr">
        <is>
          <t>DMCC Speciality Chemicals Ltd</t>
        </is>
      </c>
      <c r="C15" s="31" t="inlineStr">
        <is>
          <t>chemicals</t>
        </is>
      </c>
      <c r="D15" s="31" t="inlineStr">
        <is>
          <t>chemicals</t>
        </is>
      </c>
      <c r="E15" s="31" t="inlineStr">
        <is>
          <t>smallcap</t>
        </is>
      </c>
      <c r="F15" s="31" t="n">
        <v>655.42</v>
      </c>
      <c r="G15" s="31" t="n">
        <v>282.75</v>
      </c>
      <c r="H15" s="31" t="n">
        <v>7.59</v>
      </c>
      <c r="I15" s="31" t="n">
        <v>111833</v>
      </c>
      <c r="J15" s="31" t="inlineStr">
        <is>
          <t>506405</t>
        </is>
      </c>
    </row>
    <row r="16">
      <c r="A16" s="31" t="inlineStr">
        <is>
          <t>FILATEX</t>
        </is>
      </c>
      <c r="B16" s="31" t="inlineStr">
        <is>
          <t>Filatex India Limited</t>
        </is>
      </c>
      <c r="C16" s="31" t="inlineStr">
        <is>
          <t>textiles</t>
        </is>
      </c>
      <c r="D16" s="31" t="inlineStr">
        <is>
          <t>textiles - manmade</t>
        </is>
      </c>
      <c r="E16" s="31" t="inlineStr">
        <is>
          <t>smallcap</t>
        </is>
      </c>
      <c r="F16" s="31" t="n">
        <v>3034.69</v>
      </c>
      <c r="G16" s="31" t="n">
        <v>73.52</v>
      </c>
      <c r="H16" s="31" t="n">
        <v>7.58</v>
      </c>
      <c r="I16" s="31" t="n">
        <v>9057046</v>
      </c>
      <c r="J16" s="31" t="inlineStr">
        <is>
          <t>526227</t>
        </is>
      </c>
    </row>
    <row r="17">
      <c r="A17" s="31" t="inlineStr">
        <is>
          <t>XPROINDIA</t>
        </is>
      </c>
      <c r="B17" s="31" t="inlineStr">
        <is>
          <t>Xpro India Limited</t>
        </is>
      </c>
      <c r="C17" s="31" t="inlineStr">
        <is>
          <t>industrials</t>
        </is>
      </c>
      <c r="D17" s="31" t="inlineStr">
        <is>
          <t>packaging</t>
        </is>
      </c>
      <c r="E17" s="31" t="inlineStr">
        <is>
          <t>smallcap</t>
        </is>
      </c>
      <c r="F17" s="31" t="n">
        <v>3273.42</v>
      </c>
      <c r="G17" s="31" t="n">
        <v>1500.4</v>
      </c>
      <c r="H17" s="31" t="n">
        <v>7.58</v>
      </c>
      <c r="I17" s="31" t="n">
        <v>141119</v>
      </c>
      <c r="J17" s="31" t="inlineStr">
        <is>
          <t>590013</t>
        </is>
      </c>
    </row>
    <row r="18">
      <c r="A18" s="31" t="inlineStr">
        <is>
          <t>BHAGCHEM</t>
        </is>
      </c>
      <c r="B18" s="31" t="inlineStr">
        <is>
          <t>Bhagiradha Chemicals &amp; Industries Ltd</t>
        </is>
      </c>
      <c r="C18" s="31" t="inlineStr">
        <is>
          <t>chemicals</t>
        </is>
      </c>
      <c r="D18" s="31" t="inlineStr">
        <is>
          <t>pesticides / agrochemicals - indian</t>
        </is>
      </c>
      <c r="E18" s="31" t="inlineStr">
        <is>
          <t>smallcap</t>
        </is>
      </c>
      <c r="F18" s="31" t="n">
        <v>3489.39</v>
      </c>
      <c r="G18" s="31" t="n">
        <v>289</v>
      </c>
      <c r="H18" s="31" t="n">
        <v>7.4</v>
      </c>
      <c r="I18" s="31" t="n">
        <v>433762</v>
      </c>
      <c r="J18" s="31" t="inlineStr">
        <is>
          <t>531719</t>
        </is>
      </c>
    </row>
    <row r="19">
      <c r="A19" s="31" t="inlineStr">
        <is>
          <t>QUESS</t>
        </is>
      </c>
      <c r="B19" s="31" t="inlineStr">
        <is>
          <t>Quess Corp Limited</t>
        </is>
      </c>
      <c r="C19" s="31" t="inlineStr">
        <is>
          <t>miscellaneous</t>
        </is>
      </c>
      <c r="D19" s="31" t="inlineStr">
        <is>
          <t>diversified - large</t>
        </is>
      </c>
      <c r="E19" s="31" t="inlineStr">
        <is>
          <t>smallcap</t>
        </is>
      </c>
      <c r="F19" s="31" t="n">
        <v>4625.67</v>
      </c>
      <c r="G19" s="31" t="n">
        <v>332.55</v>
      </c>
      <c r="H19" s="31" t="n">
        <v>7.38</v>
      </c>
      <c r="I19" s="31" t="n">
        <v>17361857</v>
      </c>
      <c r="J19" s="31" t="inlineStr">
        <is>
          <t>539978</t>
        </is>
      </c>
    </row>
    <row r="20">
      <c r="A20" s="31" t="inlineStr">
        <is>
          <t>BALKRISIND</t>
        </is>
      </c>
      <c r="B20" s="31" t="inlineStr">
        <is>
          <t>Balkrishna Industries Limited</t>
        </is>
      </c>
      <c r="C20" s="31" t="inlineStr">
        <is>
          <t>auto</t>
        </is>
      </c>
      <c r="D20" s="31" t="inlineStr">
        <is>
          <t>tyres</t>
        </is>
      </c>
      <c r="E20" s="31" t="inlineStr">
        <is>
          <t>largecap</t>
        </is>
      </c>
      <c r="F20" s="31" t="n">
        <v>44596.34</v>
      </c>
      <c r="G20" s="31" t="n">
        <v>2473.5</v>
      </c>
      <c r="H20" s="31" t="n">
        <v>7.22</v>
      </c>
      <c r="I20" s="31" t="n">
        <v>3395027</v>
      </c>
      <c r="J20" s="31" t="inlineStr">
        <is>
          <t>502355</t>
        </is>
      </c>
    </row>
    <row r="21">
      <c r="A21" s="31" t="inlineStr">
        <is>
          <t>TINNARUBR</t>
        </is>
      </c>
      <c r="B21" s="31" t="inlineStr">
        <is>
          <t>Tinna Rubber &amp; Infrastructure Ltd</t>
        </is>
      </c>
      <c r="C21" s="31" t="inlineStr">
        <is>
          <t>fmcg</t>
        </is>
      </c>
      <c r="D21" s="31" t="inlineStr">
        <is>
          <t>miscellaneous</t>
        </is>
      </c>
      <c r="E21" s="31" t="inlineStr">
        <is>
          <t>smallcap</t>
        </is>
      </c>
      <c r="F21" s="31" t="n">
        <v>1877.51</v>
      </c>
      <c r="G21" s="31" t="n">
        <v>1114.4</v>
      </c>
      <c r="H21" s="31" t="n">
        <v>6.93</v>
      </c>
      <c r="I21" s="31" t="n">
        <v>136354</v>
      </c>
      <c r="J21" s="31" t="inlineStr">
        <is>
          <t>530475</t>
        </is>
      </c>
    </row>
    <row r="22">
      <c r="A22" s="31" t="inlineStr">
        <is>
          <t>RBZJEWEL</t>
        </is>
      </c>
      <c r="B22" s="31" t="inlineStr">
        <is>
          <t>RBZ Jewellers Ltd</t>
        </is>
      </c>
      <c r="C22" s="31" t="inlineStr">
        <is>
          <t>consumer discretionary</t>
        </is>
      </c>
      <c r="D22" s="31" t="inlineStr">
        <is>
          <t>diamond cutting / jewellery</t>
        </is>
      </c>
      <c r="E22" s="31" t="inlineStr">
        <is>
          <t>smallcap</t>
        </is>
      </c>
      <c r="F22" s="31" t="n">
        <v>566</v>
      </c>
      <c r="G22" s="31" t="n">
        <v>151</v>
      </c>
      <c r="H22" s="31" t="n">
        <v>6.71</v>
      </c>
      <c r="I22" s="31" t="n">
        <v>89412</v>
      </c>
      <c r="J22" s="31" t="inlineStr">
        <is>
          <t>544060</t>
        </is>
      </c>
    </row>
    <row r="23">
      <c r="A23" s="31" t="inlineStr">
        <is>
          <t>IRISDOREME</t>
        </is>
      </c>
      <c r="B23" s="31" t="inlineStr">
        <is>
          <t>Iris Clothings Ltd</t>
        </is>
      </c>
      <c r="C23" s="31" t="inlineStr">
        <is>
          <t>consumer discretionary</t>
        </is>
      </c>
      <c r="D23" s="31" t="inlineStr">
        <is>
          <t>textiles - products</t>
        </is>
      </c>
      <c r="E23" s="31" t="inlineStr">
        <is>
          <t>smallcap</t>
        </is>
      </c>
      <c r="F23" s="31" t="n">
        <v>944.62</v>
      </c>
      <c r="G23" s="31" t="n">
        <v>52.96</v>
      </c>
      <c r="H23" s="31" t="n">
        <v>6.71</v>
      </c>
      <c r="I23" s="31" t="n">
        <v>2631584</v>
      </c>
      <c r="J23" s="31" t="inlineStr">
        <is>
          <t>535123</t>
        </is>
      </c>
    </row>
    <row r="24">
      <c r="A24" s="31" t="inlineStr">
        <is>
          <t>TATVA</t>
        </is>
      </c>
      <c r="B24" s="31" t="inlineStr">
        <is>
          <t>Tatva Chintan Pharma Chem Ltd</t>
        </is>
      </c>
      <c r="C24" s="31" t="inlineStr">
        <is>
          <t>chemicals</t>
        </is>
      </c>
      <c r="D24" s="31" t="inlineStr">
        <is>
          <t>chemicals</t>
        </is>
      </c>
      <c r="E24" s="31" t="inlineStr">
        <is>
          <t>smallcap</t>
        </is>
      </c>
      <c r="F24" s="31" t="n">
        <v>3930.33</v>
      </c>
      <c r="G24" s="31" t="n">
        <v>1788.2</v>
      </c>
      <c r="H24" s="31" t="n">
        <v>6.43</v>
      </c>
      <c r="I24" s="31" t="n">
        <v>179388</v>
      </c>
      <c r="J24" s="31" t="inlineStr">
        <is>
          <t>543321</t>
        </is>
      </c>
    </row>
    <row r="25">
      <c r="A25" s="31" t="inlineStr">
        <is>
          <t>BAJAJFINSV</t>
        </is>
      </c>
      <c r="B25" s="31" t="inlineStr">
        <is>
          <t>Bajaj Finserv Limited</t>
        </is>
      </c>
      <c r="C25" s="31" t="inlineStr">
        <is>
          <t>financials</t>
        </is>
      </c>
      <c r="D25" s="31" t="inlineStr">
        <is>
          <t>finance &amp; investments</t>
        </is>
      </c>
      <c r="E25" s="31" t="inlineStr">
        <is>
          <t>largecap</t>
        </is>
      </c>
      <c r="F25" s="31" t="n">
        <v>305609.01</v>
      </c>
      <c r="G25" s="31" t="n">
        <v>2029.1</v>
      </c>
      <c r="H25" s="31" t="n">
        <v>6.27</v>
      </c>
      <c r="I25" s="31" t="n">
        <v>3731886</v>
      </c>
      <c r="J25" s="31" t="inlineStr">
        <is>
          <t>532978</t>
        </is>
      </c>
    </row>
    <row r="26">
      <c r="A26" s="31" t="inlineStr">
        <is>
          <t>ALIVUS</t>
        </is>
      </c>
      <c r="B26" s="31" t="inlineStr">
        <is>
          <t>Alivus Life Sciences Ltd</t>
        </is>
      </c>
      <c r="C26" s="31" t="inlineStr">
        <is>
          <t>healthcare</t>
        </is>
      </c>
      <c r="D26" s="31" t="inlineStr">
        <is>
          <t>pharmaceuticals - indian - bulk drugs &amp; formln</t>
        </is>
      </c>
      <c r="E26" s="31" t="inlineStr">
        <is>
          <t>midcap</t>
        </is>
      </c>
      <c r="F26" s="31" t="n">
        <v>13448.22</v>
      </c>
      <c r="G26" s="31" t="n">
        <v>1160</v>
      </c>
      <c r="H26" s="31" t="n">
        <v>5.87</v>
      </c>
      <c r="I26" s="31" t="n">
        <v>237292</v>
      </c>
      <c r="J26" s="31" t="inlineStr">
        <is>
          <t>543322</t>
        </is>
      </c>
    </row>
    <row r="27">
      <c r="A27" s="31" t="inlineStr">
        <is>
          <t>THELEELA</t>
        </is>
      </c>
      <c r="B27" s="31" t="inlineStr">
        <is>
          <t>Leela Palaces Hotels &amp; Resorts Ltd</t>
        </is>
      </c>
      <c r="C27" s="31" t="inlineStr">
        <is>
          <t>services</t>
        </is>
      </c>
      <c r="D27" s="31" t="inlineStr">
        <is>
          <t>hotels</t>
        </is>
      </c>
      <c r="E27" s="31" t="inlineStr">
        <is>
          <t>midcap</t>
        </is>
      </c>
      <c r="F27" s="31" t="n">
        <v>15632.57</v>
      </c>
      <c r="G27" s="31" t="n">
        <v>494.6</v>
      </c>
      <c r="H27" s="31" t="n">
        <v>5.66</v>
      </c>
      <c r="I27" s="31" t="n">
        <v>2201023</v>
      </c>
      <c r="J27" s="31" t="inlineStr">
        <is>
          <t>544408</t>
        </is>
      </c>
    </row>
    <row r="28">
      <c r="A28" s="31" t="inlineStr">
        <is>
          <t>PDSL</t>
        </is>
      </c>
      <c r="B28" s="31" t="inlineStr">
        <is>
          <t>PDS Ltd</t>
        </is>
      </c>
      <c r="C28" s="31" t="inlineStr">
        <is>
          <t>textiles</t>
        </is>
      </c>
      <c r="D28" s="31" t="inlineStr">
        <is>
          <t>trading</t>
        </is>
      </c>
      <c r="E28" s="31" t="inlineStr">
        <is>
          <t>smallcap</t>
        </is>
      </c>
      <c r="F28" s="31" t="n">
        <v>4880.46</v>
      </c>
      <c r="G28" s="31" t="n">
        <v>363.95</v>
      </c>
      <c r="H28" s="31" t="n">
        <v>5.48</v>
      </c>
      <c r="I28" s="31" t="n">
        <v>324651</v>
      </c>
      <c r="J28" s="31" t="inlineStr">
        <is>
          <t>538730</t>
        </is>
      </c>
    </row>
    <row r="29">
      <c r="A29" s="31" t="inlineStr">
        <is>
          <t>UNIMECH</t>
        </is>
      </c>
      <c r="B29" s="31" t="inlineStr">
        <is>
          <t>Unimech Aerospace and Manufacturing Ltd</t>
        </is>
      </c>
      <c r="C29" s="31" t="inlineStr">
        <is>
          <t>aerospace &amp; defence</t>
        </is>
      </c>
      <c r="D29" s="31" t="inlineStr">
        <is>
          <t>engineering</t>
        </is>
      </c>
      <c r="E29" s="31" t="inlineStr">
        <is>
          <t>midcap</t>
        </is>
      </c>
      <c r="F29" s="31" t="n">
        <v>5967.55</v>
      </c>
      <c r="G29" s="31" t="n">
        <v>1235.9</v>
      </c>
      <c r="H29" s="31" t="n">
        <v>5.33</v>
      </c>
      <c r="I29" s="31" t="n">
        <v>118289</v>
      </c>
      <c r="J29" s="31" t="inlineStr">
        <is>
          <t>544322</t>
        </is>
      </c>
    </row>
    <row r="30">
      <c r="A30" s="31" t="inlineStr">
        <is>
          <t>TORNTPHARM</t>
        </is>
      </c>
      <c r="B30" s="31" t="inlineStr">
        <is>
          <t>Torrent Pharmaceuticals Limited</t>
        </is>
      </c>
      <c r="C30" s="31" t="inlineStr">
        <is>
          <t>healthcare</t>
        </is>
      </c>
      <c r="D30" s="31" t="inlineStr">
        <is>
          <t>pharmaceuticals - indian - formulations</t>
        </is>
      </c>
      <c r="E30" s="31" t="inlineStr">
        <is>
          <t>largecap</t>
        </is>
      </c>
      <c r="F30" s="31" t="n">
        <v>185319.02</v>
      </c>
      <c r="G30" s="31" t="n">
        <v>5122.8</v>
      </c>
      <c r="H30" s="31" t="n">
        <v>5.15</v>
      </c>
      <c r="I30" s="31" t="n">
        <v>1427856</v>
      </c>
      <c r="J30" s="31" t="inlineStr">
        <is>
          <t>500420</t>
        </is>
      </c>
    </row>
    <row r="31">
      <c r="A31" s="31" t="inlineStr">
        <is>
          <t>ARIHANT</t>
        </is>
      </c>
      <c r="B31" s="31" t="inlineStr">
        <is>
          <t>Arihant Foundations &amp; Housing Limited</t>
        </is>
      </c>
      <c r="C31" s="31" t="inlineStr">
        <is>
          <t>realty</t>
        </is>
      </c>
      <c r="D31" s="31" t="inlineStr">
        <is>
          <t>construction</t>
        </is>
      </c>
      <c r="E31" s="31" t="inlineStr">
        <is>
          <t>smallcap</t>
        </is>
      </c>
      <c r="F31" s="31" t="n">
        <v>1083.26</v>
      </c>
      <c r="G31" s="31" t="n">
        <v>1142.75</v>
      </c>
      <c r="H31" s="31" t="n">
        <v>5.13</v>
      </c>
      <c r="I31" s="31" t="n">
        <v>12707</v>
      </c>
      <c r="J31" s="31" t="inlineStr">
        <is>
          <t>531381</t>
        </is>
      </c>
    </row>
    <row r="32">
      <c r="A32" s="31" t="inlineStr">
        <is>
          <t>BIRLACABLE</t>
        </is>
      </c>
      <c r="B32" s="31" t="inlineStr">
        <is>
          <t>Birla Cable Limited</t>
        </is>
      </c>
      <c r="C32" s="31" t="inlineStr">
        <is>
          <t>industrials</t>
        </is>
      </c>
      <c r="D32" s="31" t="inlineStr">
        <is>
          <t>cables - telephone</t>
        </is>
      </c>
      <c r="E32" s="31" t="inlineStr">
        <is>
          <t>smallcap</t>
        </is>
      </c>
      <c r="F32" s="31" t="n">
        <v>582.33</v>
      </c>
      <c r="G32" s="31" t="n">
        <v>203.81</v>
      </c>
      <c r="H32" s="31" t="n">
        <v>5</v>
      </c>
      <c r="I32" s="31" t="n">
        <v>52010</v>
      </c>
      <c r="J32" s="31" t="inlineStr">
        <is>
          <t>500060</t>
        </is>
      </c>
    </row>
    <row r="33">
      <c r="A33" s="31" t="inlineStr">
        <is>
          <t>OCCLLTD</t>
        </is>
      </c>
      <c r="B33" s="31" t="inlineStr">
        <is>
          <t>OCCL Ltd</t>
        </is>
      </c>
      <c r="C33" s="31" t="inlineStr">
        <is>
          <t>chemicals</t>
        </is>
      </c>
      <c r="D33" s="31" t="inlineStr">
        <is>
          <t>chemicals</t>
        </is>
      </c>
      <c r="E33" s="31" t="inlineStr">
        <is>
          <t>smallcap</t>
        </is>
      </c>
      <c r="F33" s="31" t="n">
        <v>789.8200000000001</v>
      </c>
      <c r="G33" s="31" t="n">
        <v>166.02</v>
      </c>
      <c r="H33" s="31" t="n">
        <v>5</v>
      </c>
      <c r="I33" s="31" t="n">
        <v>50271</v>
      </c>
      <c r="J33" s="31" t="inlineStr">
        <is>
          <t>544278</t>
        </is>
      </c>
    </row>
    <row r="34">
      <c r="A34" s="31" t="inlineStr">
        <is>
          <t>E2E</t>
        </is>
      </c>
      <c r="B34" s="31" t="inlineStr">
        <is>
          <t>E2E Networks Ltd</t>
        </is>
      </c>
      <c r="C34" s="31" t="inlineStr">
        <is>
          <t>i.t</t>
        </is>
      </c>
      <c r="D34" s="31" t="inlineStr">
        <is>
          <t>computers - software - medium / small</t>
        </is>
      </c>
      <c r="E34" s="31" t="inlineStr">
        <is>
          <t>midcap</t>
        </is>
      </c>
      <c r="F34" s="31" t="n">
        <v>10125.1</v>
      </c>
      <c r="G34" s="31" t="n">
        <v>517.15</v>
      </c>
      <c r="H34" s="31" t="n">
        <v>4.99</v>
      </c>
      <c r="I34" s="31" t="n">
        <v>217316</v>
      </c>
      <c r="J34" s="31" t="inlineStr">
        <is>
          <t>535080</t>
        </is>
      </c>
    </row>
    <row r="35">
      <c r="A35" s="31" t="inlineStr">
        <is>
          <t>EMAMIPAP</t>
        </is>
      </c>
      <c r="B35" s="31" t="inlineStr">
        <is>
          <t>Emami Paper Mills Ltd</t>
        </is>
      </c>
      <c r="C35" s="31" t="inlineStr">
        <is>
          <t>building materials</t>
        </is>
      </c>
      <c r="D35" s="31" t="inlineStr">
        <is>
          <t>paper</t>
        </is>
      </c>
      <c r="E35" s="31" t="inlineStr">
        <is>
          <t>smallcap</t>
        </is>
      </c>
      <c r="F35" s="31" t="n">
        <v>631.49</v>
      </c>
      <c r="G35" s="31" t="n">
        <v>109.59</v>
      </c>
      <c r="H35" s="31" t="n">
        <v>4.99</v>
      </c>
      <c r="I35" s="31" t="n">
        <v>39657</v>
      </c>
      <c r="J35" s="31" t="inlineStr">
        <is>
          <t>533208</t>
        </is>
      </c>
    </row>
    <row r="36">
      <c r="A36" s="31" t="inlineStr">
        <is>
          <t>SAKAR</t>
        </is>
      </c>
      <c r="B36" s="31" t="inlineStr">
        <is>
          <t>Sakar Healthcare Ltd</t>
        </is>
      </c>
      <c r="C36" s="31" t="inlineStr">
        <is>
          <t>healthcare</t>
        </is>
      </c>
      <c r="D36" s="31" t="inlineStr">
        <is>
          <t>pharmaceuticals - indian - bulk drugs &amp; formln</t>
        </is>
      </c>
      <c r="E36" s="31" t="inlineStr">
        <is>
          <t>smallcap</t>
        </is>
      </c>
      <c r="F36" s="31" t="n">
        <v>1878.78</v>
      </c>
      <c r="G36" s="31" t="n">
        <v>885.25</v>
      </c>
      <c r="H36" s="31" t="n">
        <v>4.84</v>
      </c>
      <c r="I36" s="31" t="n">
        <v>201127</v>
      </c>
      <c r="J36" s="31" t="inlineStr">
        <is>
          <t>538377</t>
        </is>
      </c>
    </row>
    <row r="37">
      <c r="A37" s="31" t="inlineStr">
        <is>
          <t>KIRLOSIND</t>
        </is>
      </c>
      <c r="B37" s="31" t="inlineStr">
        <is>
          <t>Kirloskar Industries Limited</t>
        </is>
      </c>
      <c r="C37" s="31" t="inlineStr">
        <is>
          <t>financials</t>
        </is>
      </c>
      <c r="D37" s="31" t="inlineStr">
        <is>
          <t>finance &amp; investments</t>
        </is>
      </c>
      <c r="E37" s="31" t="inlineStr">
        <is>
          <t>smallcap</t>
        </is>
      </c>
      <c r="F37" s="31" t="n">
        <v>3950.79</v>
      </c>
      <c r="G37" s="31" t="n">
        <v>3940.8</v>
      </c>
      <c r="H37" s="31" t="n">
        <v>4.83</v>
      </c>
      <c r="I37" s="31" t="n">
        <v>22037</v>
      </c>
      <c r="J37" s="31" t="inlineStr">
        <is>
          <t>500243</t>
        </is>
      </c>
    </row>
    <row r="38">
      <c r="A38" s="31" t="inlineStr">
        <is>
          <t>IMFA</t>
        </is>
      </c>
      <c r="B38" s="31" t="inlineStr">
        <is>
          <t>Indian Metals &amp; Ferro Alloys Limited</t>
        </is>
      </c>
      <c r="C38" s="31" t="inlineStr">
        <is>
          <t>metals &amp; mining</t>
        </is>
      </c>
      <c r="D38" s="31" t="inlineStr">
        <is>
          <t>mining / minerals / metals</t>
        </is>
      </c>
      <c r="E38" s="31" t="inlineStr">
        <is>
          <t>midcap</t>
        </is>
      </c>
      <c r="F38" s="31" t="n">
        <v>7460.23</v>
      </c>
      <c r="G38" s="31" t="n">
        <v>1448.6</v>
      </c>
      <c r="H38" s="31" t="n">
        <v>4.77</v>
      </c>
      <c r="I38" s="31" t="n">
        <v>345925</v>
      </c>
      <c r="J38" s="31" t="inlineStr">
        <is>
          <t>533047</t>
        </is>
      </c>
    </row>
    <row r="39">
      <c r="A39" s="31" t="inlineStr">
        <is>
          <t>VISAKAIND</t>
        </is>
      </c>
      <c r="B39" s="31" t="inlineStr">
        <is>
          <t>Visaka Industries Limited</t>
        </is>
      </c>
      <c r="C39" s="31" t="inlineStr">
        <is>
          <t>building materials</t>
        </is>
      </c>
      <c r="D39" s="31" t="inlineStr">
        <is>
          <t>cement products</t>
        </is>
      </c>
      <c r="E39" s="31" t="inlineStr">
        <is>
          <t>smallcap</t>
        </is>
      </c>
      <c r="F39" s="31" t="n">
        <v>705.15</v>
      </c>
      <c r="G39" s="31" t="n">
        <v>85.34</v>
      </c>
      <c r="H39" s="31" t="n">
        <v>4.57</v>
      </c>
      <c r="I39" s="31" t="n">
        <v>471812</v>
      </c>
      <c r="J39" s="31" t="inlineStr">
        <is>
          <t>509055</t>
        </is>
      </c>
    </row>
    <row r="40">
      <c r="A40" s="31" t="inlineStr">
        <is>
          <t>GAIL</t>
        </is>
      </c>
      <c r="B40" s="31" t="inlineStr">
        <is>
          <t>Gail (india) Limited</t>
        </is>
      </c>
      <c r="C40" s="31" t="inlineStr">
        <is>
          <t>energy</t>
        </is>
      </c>
      <c r="D40" s="31" t="inlineStr">
        <is>
          <t>miscellaneous</t>
        </is>
      </c>
      <c r="E40" s="31" t="inlineStr">
        <is>
          <t>largecap</t>
        </is>
      </c>
      <c r="F40" s="31" t="n">
        <v>114170.03</v>
      </c>
      <c r="G40" s="31" t="n">
        <v>181.44</v>
      </c>
      <c r="H40" s="31" t="n">
        <v>4.49</v>
      </c>
      <c r="I40" s="31" t="n">
        <v>38893443</v>
      </c>
      <c r="J40" s="31" t="inlineStr">
        <is>
          <t>532155</t>
        </is>
      </c>
    </row>
    <row r="41">
      <c r="A41" s="31" t="inlineStr">
        <is>
          <t>SSWL</t>
        </is>
      </c>
      <c r="B41" s="31" t="inlineStr">
        <is>
          <t>Steel Strips Wheels Limited</t>
        </is>
      </c>
      <c r="C41" s="31" t="inlineStr">
        <is>
          <t>auto</t>
        </is>
      </c>
      <c r="D41" s="31" t="inlineStr">
        <is>
          <t>auto ancillaries</t>
        </is>
      </c>
      <c r="E41" s="31" t="inlineStr">
        <is>
          <t>smallcap</t>
        </is>
      </c>
      <c r="F41" s="31" t="n">
        <v>4671.25</v>
      </c>
      <c r="G41" s="31" t="n">
        <v>310.36</v>
      </c>
      <c r="H41" s="31" t="n">
        <v>4.43</v>
      </c>
      <c r="I41" s="31" t="n">
        <v>1499072</v>
      </c>
      <c r="J41" s="31" t="inlineStr">
        <is>
          <t>513262</t>
        </is>
      </c>
    </row>
    <row r="42">
      <c r="A42" s="31" t="inlineStr">
        <is>
          <t>JAYAGROGN</t>
        </is>
      </c>
      <c r="B42" s="31" t="inlineStr">
        <is>
          <t>Jayant Agro Organics Limited</t>
        </is>
      </c>
      <c r="C42" s="31" t="inlineStr">
        <is>
          <t>chemicals</t>
        </is>
      </c>
      <c r="D42" s="31" t="inlineStr">
        <is>
          <t>chemicals</t>
        </is>
      </c>
      <c r="E42" s="31" t="inlineStr">
        <is>
          <t>smallcap</t>
        </is>
      </c>
      <c r="F42" s="31" t="n">
        <v>661.17</v>
      </c>
      <c r="G42" s="31" t="n">
        <v>230</v>
      </c>
      <c r="H42" s="31" t="n">
        <v>4.36</v>
      </c>
      <c r="I42" s="31" t="n">
        <v>15047</v>
      </c>
      <c r="J42" s="31" t="inlineStr">
        <is>
          <t>524330</t>
        </is>
      </c>
    </row>
    <row r="43">
      <c r="A43" s="31" t="inlineStr">
        <is>
          <t>CHOLAFIN</t>
        </is>
      </c>
      <c r="B43" s="31" t="inlineStr">
        <is>
          <t>Cholamandalam Investment And Finance Company Limited</t>
        </is>
      </c>
      <c r="C43" s="31" t="inlineStr">
        <is>
          <t>financials</t>
        </is>
      </c>
      <c r="D43" s="31" t="inlineStr">
        <is>
          <t>finance &amp; investments</t>
        </is>
      </c>
      <c r="E43" s="31" t="inlineStr">
        <is>
          <t>largecap</t>
        </is>
      </c>
      <c r="F43" s="31" t="n">
        <v>151231.82</v>
      </c>
      <c r="G43" s="31" t="n">
        <v>1849.9</v>
      </c>
      <c r="H43" s="31" t="n">
        <v>4.29</v>
      </c>
      <c r="I43" s="31" t="n">
        <v>2944386</v>
      </c>
      <c r="J43" s="31" t="inlineStr">
        <is>
          <t>511243</t>
        </is>
      </c>
    </row>
    <row r="44">
      <c r="A44" s="31" t="inlineStr">
        <is>
          <t>KOTHARIPET</t>
        </is>
      </c>
      <c r="B44" s="31" t="inlineStr">
        <is>
          <t>Kothari Petrochemicals Limited</t>
        </is>
      </c>
      <c r="C44" s="31" t="inlineStr">
        <is>
          <t>energy</t>
        </is>
      </c>
      <c r="D44" s="31" t="inlineStr">
        <is>
          <t>petrochemicals</t>
        </is>
      </c>
      <c r="E44" s="31" t="inlineStr">
        <is>
          <t>smallcap</t>
        </is>
      </c>
      <c r="F44" s="31" t="n">
        <v>790.01</v>
      </c>
      <c r="G44" s="31" t="n">
        <v>139.86</v>
      </c>
      <c r="H44" s="31" t="n">
        <v>4.18</v>
      </c>
      <c r="I44" s="31" t="n">
        <v>203944</v>
      </c>
      <c r="J44" s="31" t="inlineStr">
        <is>
          <t>532096</t>
        </is>
      </c>
    </row>
    <row r="45">
      <c r="A45" s="31" t="inlineStr">
        <is>
          <t>SIGMAADV</t>
        </is>
      </c>
      <c r="B45" s="31" t="inlineStr">
        <is>
          <t>Sigma Advanced System Ltd</t>
        </is>
      </c>
      <c r="C45" s="31" t="inlineStr">
        <is>
          <t>aerospace &amp; defence</t>
        </is>
      </c>
      <c r="D45" s="31" t="inlineStr">
        <is>
          <t>electronics - components</t>
        </is>
      </c>
      <c r="E45" s="31" t="inlineStr">
        <is>
          <t>midcap</t>
        </is>
      </c>
      <c r="F45" s="31" t="n">
        <v>11358.4</v>
      </c>
      <c r="G45" s="31" t="n">
        <v>623.55</v>
      </c>
      <c r="H45" s="31" t="n">
        <v>4.03</v>
      </c>
      <c r="I45" s="31" t="n">
        <v>288486</v>
      </c>
      <c r="J45" s="31" t="inlineStr">
        <is>
          <t>532408</t>
        </is>
      </c>
    </row>
    <row r="46">
      <c r="A46" s="31" t="inlineStr">
        <is>
          <t>APOLLOPIPE</t>
        </is>
      </c>
      <c r="B46" s="31" t="inlineStr">
        <is>
          <t>Apollo Pipes Ltd</t>
        </is>
      </c>
      <c r="C46" s="31" t="inlineStr">
        <is>
          <t>plastic products</t>
        </is>
      </c>
      <c r="D46" s="31" t="inlineStr">
        <is>
          <t>plastics products</t>
        </is>
      </c>
      <c r="E46" s="31" t="inlineStr">
        <is>
          <t>smallcap</t>
        </is>
      </c>
      <c r="F46" s="31" t="n">
        <v>2184.13</v>
      </c>
      <c r="G46" s="31" t="n">
        <v>515.6</v>
      </c>
      <c r="H46" s="31" t="n">
        <v>3.98</v>
      </c>
      <c r="I46" s="31" t="n">
        <v>416415</v>
      </c>
      <c r="J46" s="31" t="inlineStr">
        <is>
          <t>531761</t>
        </is>
      </c>
    </row>
    <row r="47">
      <c r="A47" s="31" t="inlineStr">
        <is>
          <t>SHAREINDIA</t>
        </is>
      </c>
      <c r="B47" s="31" t="inlineStr">
        <is>
          <t>Share India Securities Ltd</t>
        </is>
      </c>
      <c r="C47" s="31" t="inlineStr">
        <is>
          <t>financials</t>
        </is>
      </c>
      <c r="D47" s="31" t="inlineStr">
        <is>
          <t>finance &amp; investments</t>
        </is>
      </c>
      <c r="E47" s="31" t="inlineStr">
        <is>
          <t>smallcap</t>
        </is>
      </c>
      <c r="F47" s="31" t="n">
        <v>3756.58</v>
      </c>
      <c r="G47" s="31" t="n">
        <v>178.48</v>
      </c>
      <c r="H47" s="31" t="n">
        <v>3.97</v>
      </c>
      <c r="I47" s="31" t="n">
        <v>629740</v>
      </c>
      <c r="J47" s="31" t="inlineStr">
        <is>
          <t>540725</t>
        </is>
      </c>
    </row>
    <row r="48">
      <c r="A48" s="31" t="inlineStr">
        <is>
          <t>UFBL</t>
        </is>
      </c>
      <c r="B48" s="31" t="inlineStr">
        <is>
          <t>United Foodbrands Ltd</t>
        </is>
      </c>
      <c r="C48" s="31" t="inlineStr">
        <is>
          <t>consumer discretionary</t>
        </is>
      </c>
      <c r="D48" s="31" t="inlineStr">
        <is>
          <t>hotels</t>
        </is>
      </c>
      <c r="E48" s="31" t="inlineStr">
        <is>
          <t>smallcap</t>
        </is>
      </c>
      <c r="F48" s="31" t="n">
        <v>2642.83</v>
      </c>
      <c r="G48" s="31" t="n">
        <v>702.95</v>
      </c>
      <c r="H48" s="31" t="n">
        <v>3.96</v>
      </c>
      <c r="I48" s="31" t="n">
        <v>64000</v>
      </c>
      <c r="J48" s="31" t="inlineStr">
        <is>
          <t>543283</t>
        </is>
      </c>
    </row>
    <row r="49">
      <c r="A49" s="31" t="inlineStr">
        <is>
          <t>ASKAUTOLTD</t>
        </is>
      </c>
      <c r="B49" s="31" t="inlineStr">
        <is>
          <t>ASK Automotive Ltd</t>
        </is>
      </c>
      <c r="C49" s="31" t="inlineStr">
        <is>
          <t>auto</t>
        </is>
      </c>
      <c r="D49" s="31" t="inlineStr">
        <is>
          <t>auto ancillaries</t>
        </is>
      </c>
      <c r="E49" s="31" t="inlineStr">
        <is>
          <t>midcap</t>
        </is>
      </c>
      <c r="F49" s="31" t="n">
        <v>10014.84</v>
      </c>
      <c r="G49" s="31" t="n">
        <v>528.05</v>
      </c>
      <c r="H49" s="31" t="n">
        <v>3.95</v>
      </c>
      <c r="I49" s="31" t="n">
        <v>306260</v>
      </c>
      <c r="J49" s="31" t="inlineStr">
        <is>
          <t>544022</t>
        </is>
      </c>
    </row>
    <row r="50">
      <c r="A50" s="31" t="inlineStr">
        <is>
          <t>RKFORGE</t>
        </is>
      </c>
      <c r="B50" s="31" t="inlineStr">
        <is>
          <t>Ramkrishna Forgings Limited</t>
        </is>
      </c>
      <c r="C50" s="31" t="inlineStr">
        <is>
          <t>industrials</t>
        </is>
      </c>
      <c r="D50" s="31" t="inlineStr">
        <is>
          <t>castings &amp; forgings</t>
        </is>
      </c>
      <c r="E50" s="31" t="inlineStr">
        <is>
          <t>midcap</t>
        </is>
      </c>
      <c r="F50" s="31" t="n">
        <v>11411.13</v>
      </c>
      <c r="G50" s="31" t="n">
        <v>651.15</v>
      </c>
      <c r="H50" s="31" t="n">
        <v>3.95</v>
      </c>
      <c r="I50" s="31" t="n">
        <v>2447631</v>
      </c>
      <c r="J50" s="31" t="inlineStr">
        <is>
          <t>532527</t>
        </is>
      </c>
    </row>
    <row r="51">
      <c r="A51" s="31" t="inlineStr">
        <is>
          <t>SAMBHV</t>
        </is>
      </c>
      <c r="B51" s="31" t="inlineStr">
        <is>
          <t>Sambhv Steel Tubes Ltd</t>
        </is>
      </c>
      <c r="C51" s="31" t="inlineStr">
        <is>
          <t>metals &amp; mining</t>
        </is>
      </c>
      <c r="D51" s="31" t="inlineStr">
        <is>
          <t>steel - medium / small</t>
        </is>
      </c>
      <c r="E51" s="31" t="inlineStr">
        <is>
          <t>smallcap</t>
        </is>
      </c>
      <c r="F51" s="31" t="n">
        <v>3407.58</v>
      </c>
      <c r="G51" s="31" t="n">
        <v>120.11</v>
      </c>
      <c r="H51" s="31" t="n">
        <v>3.87</v>
      </c>
      <c r="I51" s="31" t="n">
        <v>1064116</v>
      </c>
      <c r="J51" s="31" t="inlineStr">
        <is>
          <t>544430</t>
        </is>
      </c>
    </row>
    <row r="52">
      <c r="A52" s="31" t="inlineStr">
        <is>
          <t>MMP</t>
        </is>
      </c>
      <c r="B52" s="31" t="inlineStr">
        <is>
          <t>MMP Industries Ltd</t>
        </is>
      </c>
      <c r="C52" s="31" t="inlineStr">
        <is>
          <t>metals &amp; mining</t>
        </is>
      </c>
      <c r="D52" s="31" t="inlineStr">
        <is>
          <t>aluminium and aluminium products</t>
        </is>
      </c>
      <c r="E52" s="31" t="inlineStr">
        <is>
          <t>smallcap</t>
        </is>
      </c>
      <c r="F52" s="31" t="n">
        <v>531.58</v>
      </c>
      <c r="G52" s="31" t="n">
        <v>291.6</v>
      </c>
      <c r="H52" s="31" t="n">
        <v>3.79</v>
      </c>
      <c r="I52" s="31" t="n">
        <v>154859</v>
      </c>
      <c r="J52" s="31" t="inlineStr">
        <is>
          <t>535071</t>
        </is>
      </c>
    </row>
    <row r="53">
      <c r="A53" s="31" t="inlineStr">
        <is>
          <t>SMLMAH</t>
        </is>
      </c>
      <c r="B53" s="31" t="inlineStr">
        <is>
          <t>SML Mahindra Ltd</t>
        </is>
      </c>
      <c r="C53" s="31" t="inlineStr">
        <is>
          <t>auto</t>
        </is>
      </c>
      <c r="D53" s="31" t="inlineStr">
        <is>
          <t>automobiles - lcvs / hcvs</t>
        </is>
      </c>
      <c r="E53" s="31" t="inlineStr">
        <is>
          <t>midcap</t>
        </is>
      </c>
      <c r="F53" s="31" t="n">
        <v>7929.3</v>
      </c>
      <c r="G53" s="31" t="n">
        <v>5685.6</v>
      </c>
      <c r="H53" s="31" t="n">
        <v>3.77</v>
      </c>
      <c r="I53" s="31" t="n">
        <v>1799714</v>
      </c>
      <c r="J53" s="31" t="inlineStr">
        <is>
          <t>505192</t>
        </is>
      </c>
    </row>
    <row r="54">
      <c r="A54" s="31" t="inlineStr">
        <is>
          <t>BEPL</t>
        </is>
      </c>
      <c r="B54" s="31" t="inlineStr">
        <is>
          <t>Bhansali Engineering Polymers Limited</t>
        </is>
      </c>
      <c r="C54" s="31" t="inlineStr">
        <is>
          <t>energy</t>
        </is>
      </c>
      <c r="D54" s="31" t="inlineStr">
        <is>
          <t>petrochemicals</t>
        </is>
      </c>
      <c r="E54" s="31" t="inlineStr">
        <is>
          <t>smallcap</t>
        </is>
      </c>
      <c r="F54" s="31" t="n">
        <v>2782.49</v>
      </c>
      <c r="G54" s="31" t="n">
        <v>116.02</v>
      </c>
      <c r="H54" s="31" t="n">
        <v>3.77</v>
      </c>
      <c r="I54" s="31" t="n">
        <v>2215046</v>
      </c>
      <c r="J54" s="31" t="inlineStr">
        <is>
          <t>500052</t>
        </is>
      </c>
    </row>
    <row r="55">
      <c r="A55" s="31" t="inlineStr">
        <is>
          <t>GRWRHITECH</t>
        </is>
      </c>
      <c r="B55" s="31" t="inlineStr">
        <is>
          <t>Garware Hi Tech Films Ltd</t>
        </is>
      </c>
      <c r="C55" s="31" t="inlineStr">
        <is>
          <t>industrials</t>
        </is>
      </c>
      <c r="D55" s="31" t="inlineStr">
        <is>
          <t>packaging</t>
        </is>
      </c>
      <c r="E55" s="31" t="inlineStr">
        <is>
          <t>midcap</t>
        </is>
      </c>
      <c r="F55" s="31" t="n">
        <v>16023.38</v>
      </c>
      <c r="G55" s="31" t="n">
        <v>7151.5</v>
      </c>
      <c r="H55" s="31" t="n">
        <v>3.69</v>
      </c>
      <c r="I55" s="31" t="n">
        <v>42582</v>
      </c>
      <c r="J55" s="31" t="inlineStr">
        <is>
          <t>500655</t>
        </is>
      </c>
    </row>
    <row r="56">
      <c r="A56" s="31" t="inlineStr">
        <is>
          <t>PARAS</t>
        </is>
      </c>
      <c r="B56" s="31" t="inlineStr">
        <is>
          <t>Paras Defence and Space Technologies Ltd</t>
        </is>
      </c>
      <c r="C56" s="31" t="inlineStr">
        <is>
          <t>aerospace &amp; defence</t>
        </is>
      </c>
      <c r="D56" s="31" t="inlineStr">
        <is>
          <t>engineering</t>
        </is>
      </c>
      <c r="E56" s="31" t="inlineStr">
        <is>
          <t>midcap</t>
        </is>
      </c>
      <c r="F56" s="31" t="n">
        <v>9770.41</v>
      </c>
      <c r="G56" s="31" t="n">
        <v>1256.5</v>
      </c>
      <c r="H56" s="31" t="n">
        <v>3.64</v>
      </c>
      <c r="I56" s="31" t="n">
        <v>1669367</v>
      </c>
      <c r="J56" s="31" t="inlineStr">
        <is>
          <t>543367</t>
        </is>
      </c>
    </row>
    <row r="57">
      <c r="A57" s="31" t="inlineStr">
        <is>
          <t>GABRIEL</t>
        </is>
      </c>
      <c r="B57" s="31" t="inlineStr">
        <is>
          <t>Gabriel India Limited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largecap</t>
        </is>
      </c>
      <c r="F57" s="31" t="n">
        <v>24670.42</v>
      </c>
      <c r="G57" s="31" t="n">
        <v>1441.8</v>
      </c>
      <c r="H57" s="31" t="n">
        <v>3.58</v>
      </c>
      <c r="I57" s="31" t="n">
        <v>286955</v>
      </c>
      <c r="J57" s="31" t="inlineStr">
        <is>
          <t>505714</t>
        </is>
      </c>
    </row>
    <row r="58">
      <c r="A58" s="31" t="inlineStr">
        <is>
          <t>M&amp;M</t>
        </is>
      </c>
      <c r="B58" s="31" t="inlineStr">
        <is>
          <t>Mahindra &amp; Mahindra Limited</t>
        </is>
      </c>
      <c r="C58" s="31" t="inlineStr">
        <is>
          <t>auto</t>
        </is>
      </c>
      <c r="D58" s="31" t="inlineStr">
        <is>
          <t>automobiles - passenger cars</t>
        </is>
      </c>
      <c r="E58" s="31" t="inlineStr">
        <is>
          <t>largecap</t>
        </is>
      </c>
      <c r="F58" s="31" t="n">
        <v>408337.56</v>
      </c>
      <c r="G58" s="31" t="n">
        <v>3398.5</v>
      </c>
      <c r="H58" s="31" t="n">
        <v>3.5</v>
      </c>
      <c r="I58" s="31" t="n">
        <v>6131873</v>
      </c>
      <c r="J58" s="31" t="inlineStr">
        <is>
          <t>500520</t>
        </is>
      </c>
    </row>
    <row r="59">
      <c r="A59" s="31" t="inlineStr">
        <is>
          <t>KDDL</t>
        </is>
      </c>
      <c r="B59" s="31" t="inlineStr">
        <is>
          <t>Kddl Limited</t>
        </is>
      </c>
      <c r="C59" s="31" t="inlineStr">
        <is>
          <t>consumer discretionary</t>
        </is>
      </c>
      <c r="D59" s="31" t="inlineStr">
        <is>
          <t>miscellaneous</t>
        </is>
      </c>
      <c r="E59" s="31" t="inlineStr">
        <is>
          <t>smallcap</t>
        </is>
      </c>
      <c r="F59" s="31" t="n">
        <v>3925.68</v>
      </c>
      <c r="G59" s="31" t="n">
        <v>3302</v>
      </c>
      <c r="H59" s="31" t="n">
        <v>3.45</v>
      </c>
      <c r="I59" s="31" t="n">
        <v>29055</v>
      </c>
      <c r="J59" s="31" t="inlineStr">
        <is>
          <t>532054</t>
        </is>
      </c>
    </row>
    <row r="60">
      <c r="A60" s="31" t="inlineStr">
        <is>
          <t>SANSERA</t>
        </is>
      </c>
      <c r="B60" s="31" t="inlineStr">
        <is>
          <t>Sansera Engineering Ltd</t>
        </is>
      </c>
      <c r="C60" s="31" t="inlineStr">
        <is>
          <t>auto</t>
        </is>
      </c>
      <c r="D60" s="31" t="inlineStr">
        <is>
          <t>auto ancillaries</t>
        </is>
      </c>
      <c r="E60" s="31" t="inlineStr">
        <is>
          <t>largecap</t>
        </is>
      </c>
      <c r="F60" s="31" t="n">
        <v>20188.8</v>
      </c>
      <c r="G60" s="31" t="n">
        <v>3346.9</v>
      </c>
      <c r="H60" s="31" t="n">
        <v>3.45</v>
      </c>
      <c r="I60" s="31" t="n">
        <v>209640</v>
      </c>
      <c r="J60" s="31" t="inlineStr">
        <is>
          <t>543358</t>
        </is>
      </c>
    </row>
    <row r="61">
      <c r="A61" s="31" t="inlineStr">
        <is>
          <t>REDINGTON</t>
        </is>
      </c>
      <c r="B61" s="31" t="inlineStr">
        <is>
          <t>Redington (india) Limited</t>
        </is>
      </c>
      <c r="C61" s="31" t="inlineStr">
        <is>
          <t>services</t>
        </is>
      </c>
      <c r="D61" s="31" t="inlineStr">
        <is>
          <t>trading</t>
        </is>
      </c>
      <c r="E61" s="31" t="inlineStr">
        <is>
          <t>largecap</t>
        </is>
      </c>
      <c r="F61" s="31" t="n">
        <v>24309.28</v>
      </c>
      <c r="G61" s="31" t="n">
        <v>321.65</v>
      </c>
      <c r="H61" s="31" t="n">
        <v>3.44</v>
      </c>
      <c r="I61" s="31" t="n">
        <v>23658843</v>
      </c>
      <c r="J61" s="31" t="inlineStr">
        <is>
          <t>532805</t>
        </is>
      </c>
    </row>
    <row r="62">
      <c r="A62" s="31" t="inlineStr">
        <is>
          <t>LUMAXTECH</t>
        </is>
      </c>
      <c r="B62" s="31" t="inlineStr">
        <is>
          <t>Lumax Auto Technologies Limited</t>
        </is>
      </c>
      <c r="C62" s="31" t="inlineStr">
        <is>
          <t>auto</t>
        </is>
      </c>
      <c r="D62" s="31" t="inlineStr">
        <is>
          <t>auto ancillaries</t>
        </is>
      </c>
      <c r="E62" s="31" t="inlineStr">
        <is>
          <t>midcap</t>
        </is>
      </c>
      <c r="F62" s="31" t="n">
        <v>10336.12</v>
      </c>
      <c r="G62" s="31" t="n">
        <v>1568.3</v>
      </c>
      <c r="H62" s="31" t="n">
        <v>3.42</v>
      </c>
      <c r="I62" s="31" t="n">
        <v>246823</v>
      </c>
      <c r="J62" s="31" t="inlineStr">
        <is>
          <t>532796</t>
        </is>
      </c>
    </row>
    <row r="63">
      <c r="A63" s="31" t="inlineStr">
        <is>
          <t>VHLTD</t>
        </is>
      </c>
      <c r="B63" s="31" t="inlineStr">
        <is>
          <t>Viceroy Hotels Ltd</t>
        </is>
      </c>
      <c r="C63" s="31" t="inlineStr">
        <is>
          <t>services</t>
        </is>
      </c>
      <c r="D63" s="31" t="inlineStr">
        <is>
          <t>hotels</t>
        </is>
      </c>
      <c r="E63" s="31" t="inlineStr">
        <is>
          <t>smallcap</t>
        </is>
      </c>
      <c r="F63" s="31" t="n">
        <v>879.13</v>
      </c>
      <c r="G63" s="31" t="n">
        <v>134.44</v>
      </c>
      <c r="H63" s="31" t="n">
        <v>3.34</v>
      </c>
      <c r="I63" s="31" t="n">
        <v>19927</v>
      </c>
      <c r="J63" s="31" t="inlineStr">
        <is>
          <t>523796</t>
        </is>
      </c>
    </row>
    <row r="64">
      <c r="A64" s="31" t="inlineStr">
        <is>
          <t>LTFOODS</t>
        </is>
      </c>
      <c r="B64" s="31" t="inlineStr">
        <is>
          <t>L T Foods Ltd</t>
        </is>
      </c>
      <c r="C64" s="31" t="inlineStr">
        <is>
          <t>fmcg</t>
        </is>
      </c>
      <c r="D64" s="31" t="inlineStr">
        <is>
          <t>food - processing - indian</t>
        </is>
      </c>
      <c r="E64" s="31" t="inlineStr">
        <is>
          <t>midcap</t>
        </is>
      </c>
      <c r="F64" s="31" t="n">
        <v>13789.41</v>
      </c>
      <c r="G64" s="31" t="n">
        <v>410.35</v>
      </c>
      <c r="H64" s="31" t="n">
        <v>3.34</v>
      </c>
      <c r="I64" s="31" t="n">
        <v>2405621</v>
      </c>
      <c r="J64" s="31" t="inlineStr">
        <is>
          <t>532783</t>
        </is>
      </c>
    </row>
    <row r="65">
      <c r="A65" s="31" t="inlineStr">
        <is>
          <t>AETHER</t>
        </is>
      </c>
      <c r="B65" s="31" t="inlineStr">
        <is>
          <t>Aether Industries Ltd</t>
        </is>
      </c>
      <c r="C65" s="31" t="inlineStr">
        <is>
          <t>chemicals</t>
        </is>
      </c>
      <c r="D65" s="31" t="inlineStr">
        <is>
          <t>chemicals</t>
        </is>
      </c>
      <c r="E65" s="31" t="inlineStr">
        <is>
          <t>midcap</t>
        </is>
      </c>
      <c r="F65" s="31" t="n">
        <v>19784.79</v>
      </c>
      <c r="G65" s="31" t="n">
        <v>1539.6</v>
      </c>
      <c r="H65" s="31" t="n">
        <v>3.27</v>
      </c>
      <c r="I65" s="31" t="n">
        <v>2452731</v>
      </c>
      <c r="J65" s="31" t="inlineStr">
        <is>
          <t>543534</t>
        </is>
      </c>
    </row>
    <row r="66">
      <c r="A66" s="31" t="inlineStr">
        <is>
          <t>JKPAPER</t>
        </is>
      </c>
      <c r="B66" s="31" t="inlineStr">
        <is>
          <t>Jk Paper Limited</t>
        </is>
      </c>
      <c r="C66" s="31" t="inlineStr">
        <is>
          <t>building materials</t>
        </is>
      </c>
      <c r="D66" s="31" t="inlineStr">
        <is>
          <t>paper</t>
        </is>
      </c>
      <c r="E66" s="31" t="inlineStr">
        <is>
          <t>midcap</t>
        </is>
      </c>
      <c r="F66" s="31" t="n">
        <v>6860.2</v>
      </c>
      <c r="G66" s="31" t="n">
        <v>390.55</v>
      </c>
      <c r="H66" s="31" t="n">
        <v>3.22</v>
      </c>
      <c r="I66" s="31" t="n">
        <v>519739</v>
      </c>
      <c r="J66" s="31" t="inlineStr">
        <is>
          <t>532162</t>
        </is>
      </c>
    </row>
    <row r="67">
      <c r="A67" s="31" t="inlineStr">
        <is>
          <t>ANTHEM</t>
        </is>
      </c>
      <c r="B67" s="31" t="inlineStr">
        <is>
          <t>Anthem Biosciences Ltd</t>
        </is>
      </c>
      <c r="C67" s="31" t="inlineStr">
        <is>
          <t>healthcare</t>
        </is>
      </c>
      <c r="D67" s="31" t="inlineStr">
        <is>
          <t>pharmaceuticals - indian - bulk drugs &amp; formln</t>
        </is>
      </c>
      <c r="E67" s="31" t="inlineStr">
        <is>
          <t>largecap</t>
        </is>
      </c>
      <c r="F67" s="31" t="n">
        <v>44191.9</v>
      </c>
      <c r="G67" s="31" t="n">
        <v>809.2</v>
      </c>
      <c r="H67" s="31" t="n">
        <v>3.16</v>
      </c>
      <c r="I67" s="31" t="n">
        <v>981997</v>
      </c>
      <c r="J67" s="31" t="inlineStr">
        <is>
          <t>544449</t>
        </is>
      </c>
    </row>
    <row r="68">
      <c r="A68" s="31" t="inlineStr">
        <is>
          <t>INDIGOPNTS</t>
        </is>
      </c>
      <c r="B68" s="31" t="inlineStr">
        <is>
          <t>Indigo Paints Ltd</t>
        </is>
      </c>
      <c r="C68" s="31" t="inlineStr">
        <is>
          <t>building materials</t>
        </is>
      </c>
      <c r="D68" s="31" t="inlineStr">
        <is>
          <t>paints / varnishes</t>
        </is>
      </c>
      <c r="E68" s="31" t="inlineStr">
        <is>
          <t>midcap</t>
        </is>
      </c>
      <c r="F68" s="31" t="n">
        <v>5153.26</v>
      </c>
      <c r="G68" s="31" t="n">
        <v>1114.9</v>
      </c>
      <c r="H68" s="31" t="n">
        <v>3.15</v>
      </c>
      <c r="I68" s="31" t="n">
        <v>103387</v>
      </c>
      <c r="J68" s="31" t="inlineStr">
        <is>
          <t>543258</t>
        </is>
      </c>
    </row>
    <row r="69">
      <c r="A69" s="31" t="inlineStr">
        <is>
          <t>KERNEX</t>
        </is>
      </c>
      <c r="B69" s="31" t="inlineStr">
        <is>
          <t>Kernex Microsystems (india) Limited</t>
        </is>
      </c>
      <c r="C69" s="31" t="inlineStr">
        <is>
          <t>consumer discretionary</t>
        </is>
      </c>
      <c r="D69" s="31" t="inlineStr">
        <is>
          <t>electronics - components</t>
        </is>
      </c>
      <c r="E69" s="31" t="inlineStr">
        <is>
          <t>smallcap</t>
        </is>
      </c>
      <c r="F69" s="31" t="n">
        <v>3722.17</v>
      </c>
      <c r="G69" s="31" t="n">
        <v>2283</v>
      </c>
      <c r="H69" s="31" t="n">
        <v>3.07</v>
      </c>
      <c r="I69" s="31" t="n">
        <v>78321</v>
      </c>
      <c r="J69" s="31" t="inlineStr">
        <is>
          <t>532686</t>
        </is>
      </c>
    </row>
    <row r="70">
      <c r="A70" s="31" t="inlineStr">
        <is>
          <t>CHOICEIN</t>
        </is>
      </c>
      <c r="B70" s="31" t="inlineStr">
        <is>
          <t>Choice International Ltd</t>
        </is>
      </c>
      <c r="C70" s="31" t="inlineStr">
        <is>
          <t>financials</t>
        </is>
      </c>
      <c r="D70" s="31" t="inlineStr">
        <is>
          <t>finance &amp; investments</t>
        </is>
      </c>
      <c r="E70" s="31" t="inlineStr">
        <is>
          <t>midcap</t>
        </is>
      </c>
      <c r="F70" s="31" t="n">
        <v>17793.16</v>
      </c>
      <c r="G70" s="31" t="n">
        <v>822.95</v>
      </c>
      <c r="H70" s="31" t="n">
        <v>3.04</v>
      </c>
      <c r="I70" s="31" t="n">
        <v>1390441</v>
      </c>
      <c r="J70" s="31" t="inlineStr">
        <is>
          <t>531358</t>
        </is>
      </c>
    </row>
    <row r="71">
      <c r="A71" s="31" t="inlineStr">
        <is>
          <t>OPTIEMUS</t>
        </is>
      </c>
      <c r="B71" s="31" t="inlineStr">
        <is>
          <t>Optiemus Infracom Ltd</t>
        </is>
      </c>
      <c r="C71" s="31" t="inlineStr">
        <is>
          <t>telecom</t>
        </is>
      </c>
      <c r="D71" s="31" t="inlineStr">
        <is>
          <t>trading</t>
        </is>
      </c>
      <c r="E71" s="31" t="inlineStr">
        <is>
          <t>midcap</t>
        </is>
      </c>
      <c r="F71" s="31" t="n">
        <v>5523.92</v>
      </c>
      <c r="G71" s="31" t="n">
        <v>637.65</v>
      </c>
      <c r="H71" s="31" t="n">
        <v>3.04</v>
      </c>
      <c r="I71" s="31" t="n">
        <v>282210</v>
      </c>
      <c r="J71" s="31" t="inlineStr">
        <is>
          <t>530135</t>
        </is>
      </c>
    </row>
    <row r="72">
      <c r="A72" s="31" t="inlineStr">
        <is>
          <t>WOCKPHARMA</t>
        </is>
      </c>
      <c r="B72" s="31" t="inlineStr">
        <is>
          <t>Wockhardt Limited</t>
        </is>
      </c>
      <c r="C72" s="31" t="inlineStr">
        <is>
          <t>healthcare</t>
        </is>
      </c>
      <c r="D72" s="31" t="inlineStr">
        <is>
          <t>pharmaceuticals - indian - bulk drugs &amp; formln</t>
        </is>
      </c>
      <c r="E72" s="31" t="inlineStr">
        <is>
          <t>largecap</t>
        </is>
      </c>
      <c r="F72" s="31" t="n">
        <v>30938.51</v>
      </c>
      <c r="G72" s="31" t="n">
        <v>1959.7</v>
      </c>
      <c r="H72" s="31" t="n">
        <v>2.93</v>
      </c>
      <c r="I72" s="31" t="n">
        <v>650722</v>
      </c>
      <c r="J72" s="31" t="inlineStr">
        <is>
          <t>532300</t>
        </is>
      </c>
    </row>
    <row r="73">
      <c r="A73" s="31" t="inlineStr">
        <is>
          <t>HIRECT</t>
        </is>
      </c>
      <c r="B73" s="31" t="inlineStr">
        <is>
          <t>Hind Rectifiers Limited</t>
        </is>
      </c>
      <c r="C73" s="31" t="inlineStr">
        <is>
          <t>consumer discretionary</t>
        </is>
      </c>
      <c r="D73" s="31" t="inlineStr">
        <is>
          <t>electronics - components</t>
        </is>
      </c>
      <c r="E73" s="31" t="inlineStr">
        <is>
          <t>smallcap</t>
        </is>
      </c>
      <c r="F73" s="31" t="n">
        <v>4469.77</v>
      </c>
      <c r="G73" s="31" t="n">
        <v>1338.3</v>
      </c>
      <c r="H73" s="31" t="n">
        <v>2.91</v>
      </c>
      <c r="I73" s="31" t="n">
        <v>164878</v>
      </c>
      <c r="J73" s="31" t="inlineStr">
        <is>
          <t>504036</t>
        </is>
      </c>
    </row>
    <row r="74">
      <c r="A74" s="31" t="inlineStr">
        <is>
          <t>KINGFA</t>
        </is>
      </c>
      <c r="B74" s="31" t="inlineStr">
        <is>
          <t>Kingfa Science &amp; Technology (india) Limited</t>
        </is>
      </c>
      <c r="C74" s="31" t="inlineStr">
        <is>
          <t>plastic products</t>
        </is>
      </c>
      <c r="D74" s="31" t="inlineStr">
        <is>
          <t>plastics products</t>
        </is>
      </c>
      <c r="E74" s="31" t="inlineStr">
        <is>
          <t>midcap</t>
        </is>
      </c>
      <c r="F74" s="31" t="n">
        <v>6912.56</v>
      </c>
      <c r="G74" s="31" t="n">
        <v>5248.5</v>
      </c>
      <c r="H74" s="31" t="n">
        <v>2.89</v>
      </c>
      <c r="I74" s="31" t="n">
        <v>9251</v>
      </c>
      <c r="J74" s="31" t="inlineStr">
        <is>
          <t>524019</t>
        </is>
      </c>
    </row>
    <row r="75">
      <c r="A75" s="31" t="inlineStr">
        <is>
          <t>DIVISLAB</t>
        </is>
      </c>
      <c r="B75" s="31" t="inlineStr">
        <is>
          <t>Divi's Laboratories Limited</t>
        </is>
      </c>
      <c r="C75" s="31" t="inlineStr">
        <is>
          <t>healthcare</t>
        </is>
      </c>
      <c r="D75" s="31" t="inlineStr">
        <is>
          <t>pharmaceuticals - indian - bulk drugs</t>
        </is>
      </c>
      <c r="E75" s="31" t="inlineStr">
        <is>
          <t>largecap</t>
        </is>
      </c>
      <c r="F75" s="31" t="n">
        <v>207994.63</v>
      </c>
      <c r="G75" s="31" t="n">
        <v>8056</v>
      </c>
      <c r="H75" s="31" t="n">
        <v>2.82</v>
      </c>
      <c r="I75" s="31" t="n">
        <v>793919</v>
      </c>
      <c r="J75" s="31" t="inlineStr">
        <is>
          <t>532488</t>
        </is>
      </c>
    </row>
    <row r="76">
      <c r="A76" s="31" t="inlineStr">
        <is>
          <t>MMFL</t>
        </is>
      </c>
      <c r="B76" s="31" t="inlineStr">
        <is>
          <t>Mm Forgings Limited</t>
        </is>
      </c>
      <c r="C76" s="31" t="inlineStr">
        <is>
          <t>industrials</t>
        </is>
      </c>
      <c r="D76" s="31" t="inlineStr">
        <is>
          <t>castings &amp; forgings</t>
        </is>
      </c>
      <c r="E76" s="31" t="inlineStr">
        <is>
          <t>smallcap</t>
        </is>
      </c>
      <c r="F76" s="31" t="n">
        <v>2583.07</v>
      </c>
      <c r="G76" s="31" t="n">
        <v>550</v>
      </c>
      <c r="H76" s="31" t="n">
        <v>2.8</v>
      </c>
      <c r="I76" s="31" t="n">
        <v>30364</v>
      </c>
      <c r="J76" s="31" t="inlineStr">
        <is>
          <t>522241</t>
        </is>
      </c>
    </row>
    <row r="77">
      <c r="A77" s="31" t="inlineStr">
        <is>
          <t>GRPLTD</t>
        </is>
      </c>
      <c r="B77" s="31" t="inlineStr">
        <is>
          <t>Grp Limited</t>
        </is>
      </c>
      <c r="C77" s="31" t="inlineStr">
        <is>
          <t>fmcg</t>
        </is>
      </c>
      <c r="D77" s="31" t="inlineStr">
        <is>
          <t>miscellaneous</t>
        </is>
      </c>
      <c r="E77" s="31" t="inlineStr">
        <is>
          <t>smallcap</t>
        </is>
      </c>
      <c r="F77" s="31" t="n">
        <v>1098.88</v>
      </c>
      <c r="G77" s="31" t="n">
        <v>2118</v>
      </c>
      <c r="H77" s="31" t="n">
        <v>2.8</v>
      </c>
      <c r="I77" s="31" t="n">
        <v>2546</v>
      </c>
      <c r="J77" s="31" t="inlineStr">
        <is>
          <t>509152</t>
        </is>
      </c>
    </row>
    <row r="78">
      <c r="A78" s="31" t="inlineStr">
        <is>
          <t>SIEMENS</t>
        </is>
      </c>
      <c r="B78" s="31" t="inlineStr">
        <is>
          <t>Siemens Limited</t>
        </is>
      </c>
      <c r="C78" s="31" t="inlineStr">
        <is>
          <t>industrials</t>
        </is>
      </c>
      <c r="D78" s="31" t="inlineStr">
        <is>
          <t>electric equipment</t>
        </is>
      </c>
      <c r="E78" s="31" t="inlineStr">
        <is>
          <t>largecap</t>
        </is>
      </c>
      <c r="F78" s="31" t="n">
        <v>130297.37</v>
      </c>
      <c r="G78" s="31" t="n">
        <v>3760</v>
      </c>
      <c r="H78" s="31" t="n">
        <v>2.77</v>
      </c>
      <c r="I78" s="31" t="n">
        <v>565322</v>
      </c>
      <c r="J78" s="31" t="inlineStr">
        <is>
          <t>500550</t>
        </is>
      </c>
    </row>
    <row r="79">
      <c r="A79" s="31" t="inlineStr">
        <is>
          <t>GEECEE</t>
        </is>
      </c>
      <c r="B79" s="31" t="inlineStr">
        <is>
          <t>Geecee Ventures Limited</t>
        </is>
      </c>
      <c r="C79" s="31" t="inlineStr">
        <is>
          <t>financials</t>
        </is>
      </c>
      <c r="D79" s="31" t="inlineStr">
        <is>
          <t>finance &amp; investments</t>
        </is>
      </c>
      <c r="E79" s="31" t="inlineStr">
        <is>
          <t>smallcap</t>
        </is>
      </c>
      <c r="F79" s="31" t="n">
        <v>720.3</v>
      </c>
      <c r="G79" s="31" t="n">
        <v>354</v>
      </c>
      <c r="H79" s="31" t="n">
        <v>2.77</v>
      </c>
      <c r="I79" s="31" t="n">
        <v>6185</v>
      </c>
      <c r="J79" s="31" t="inlineStr">
        <is>
          <t>532764</t>
        </is>
      </c>
    </row>
    <row r="80">
      <c r="A80" s="31" t="inlineStr">
        <is>
          <t>IGIL</t>
        </is>
      </c>
      <c r="B80" s="31" t="inlineStr">
        <is>
          <t>International Gemmological Institute (India) Ltd</t>
        </is>
      </c>
      <c r="C80" s="31" t="inlineStr">
        <is>
          <t>miscellaneous</t>
        </is>
      </c>
      <c r="D80" s="31" t="inlineStr">
        <is>
          <t>miscellaneous</t>
        </is>
      </c>
      <c r="E80" s="31" t="inlineStr">
        <is>
          <t>midcap</t>
        </is>
      </c>
      <c r="F80" s="31" t="n">
        <v>14928.96</v>
      </c>
      <c r="G80" s="31" t="n">
        <v>355</v>
      </c>
      <c r="H80" s="31" t="n">
        <v>2.76</v>
      </c>
      <c r="I80" s="31" t="n">
        <v>1416720</v>
      </c>
      <c r="J80" s="31" t="inlineStr">
        <is>
          <t>544311</t>
        </is>
      </c>
    </row>
    <row r="81">
      <c r="A81" s="31" t="inlineStr">
        <is>
          <t>MOTHERSON</t>
        </is>
      </c>
      <c r="B81" s="31" t="inlineStr">
        <is>
          <t>Samvardhana Motherson International Ltd</t>
        </is>
      </c>
      <c r="C81" s="31" t="inlineStr">
        <is>
          <t>auto</t>
        </is>
      </c>
      <c r="D81" s="31" t="inlineStr">
        <is>
          <t>auto ancillaries</t>
        </is>
      </c>
      <c r="E81" s="31" t="inlineStr">
        <is>
          <t>largecap</t>
        </is>
      </c>
      <c r="F81" s="31" t="n">
        <v>154854.78</v>
      </c>
      <c r="G81" s="31" t="n">
        <v>150.75</v>
      </c>
      <c r="H81" s="31" t="n">
        <v>2.75</v>
      </c>
      <c r="I81" s="31" t="n">
        <v>23484061</v>
      </c>
      <c r="J81" s="31" t="inlineStr">
        <is>
          <t>517334</t>
        </is>
      </c>
    </row>
    <row r="82">
      <c r="A82" s="31" t="inlineStr">
        <is>
          <t>AVALON</t>
        </is>
      </c>
      <c r="B82" s="31" t="inlineStr">
        <is>
          <t>Avalon Technologies Ltd</t>
        </is>
      </c>
      <c r="C82" s="31" t="inlineStr">
        <is>
          <t>consumer discretionary</t>
        </is>
      </c>
      <c r="D82" s="31" t="inlineStr">
        <is>
          <t>electronics - components</t>
        </is>
      </c>
      <c r="E82" s="31" t="inlineStr">
        <is>
          <t>midcap</t>
        </is>
      </c>
      <c r="F82" s="31" t="n">
        <v>11755.53</v>
      </c>
      <c r="G82" s="31" t="n">
        <v>1807.9</v>
      </c>
      <c r="H82" s="31" t="n">
        <v>2.75</v>
      </c>
      <c r="I82" s="31" t="n">
        <v>731670</v>
      </c>
      <c r="J82" s="31" t="inlineStr">
        <is>
          <t>543896</t>
        </is>
      </c>
    </row>
    <row r="83">
      <c r="A83" s="31" t="inlineStr">
        <is>
          <t>RAJRATAN</t>
        </is>
      </c>
      <c r="B83" s="31" t="inlineStr">
        <is>
          <t>Rajratan Global Wire Ltd</t>
        </is>
      </c>
      <c r="C83" s="31" t="inlineStr">
        <is>
          <t>metals &amp; mining</t>
        </is>
      </c>
      <c r="D83" s="31" t="inlineStr">
        <is>
          <t>steel - medium / small</t>
        </is>
      </c>
      <c r="E83" s="31" t="inlineStr">
        <is>
          <t>smallcap</t>
        </is>
      </c>
      <c r="F83" s="31" t="n">
        <v>2447.42</v>
      </c>
      <c r="G83" s="31" t="n">
        <v>495</v>
      </c>
      <c r="H83" s="31" t="n">
        <v>2.69</v>
      </c>
      <c r="I83" s="31" t="n">
        <v>114254</v>
      </c>
      <c r="J83" s="31" t="inlineStr">
        <is>
          <t>517522</t>
        </is>
      </c>
    </row>
    <row r="84">
      <c r="A84" s="31" t="inlineStr">
        <is>
          <t>ORBTEXP</t>
        </is>
      </c>
      <c r="B84" s="31" t="inlineStr">
        <is>
          <t>Orbit Exports Limited</t>
        </is>
      </c>
      <c r="C84" s="31" t="inlineStr">
        <is>
          <t>textiles</t>
        </is>
      </c>
      <c r="D84" s="31" t="inlineStr">
        <is>
          <t>textiles - processing</t>
        </is>
      </c>
      <c r="E84" s="31" t="inlineStr">
        <is>
          <t>smallcap</t>
        </is>
      </c>
      <c r="F84" s="31" t="n">
        <v>622.22</v>
      </c>
      <c r="G84" s="31" t="n">
        <v>241</v>
      </c>
      <c r="H84" s="31" t="n">
        <v>2.68</v>
      </c>
      <c r="I84" s="31" t="n">
        <v>3927</v>
      </c>
      <c r="J84" s="31" t="inlineStr">
        <is>
          <t>512626</t>
        </is>
      </c>
    </row>
    <row r="85">
      <c r="A85" s="31" t="inlineStr">
        <is>
          <t>GPTHEALTH</t>
        </is>
      </c>
      <c r="B85" s="31" t="inlineStr">
        <is>
          <t>GPT Healthcare Ltd</t>
        </is>
      </c>
      <c r="C85" s="31" t="inlineStr">
        <is>
          <t>healthcare</t>
        </is>
      </c>
      <c r="D85" s="31" t="inlineStr">
        <is>
          <t>healthcare</t>
        </is>
      </c>
      <c r="E85" s="31" t="inlineStr">
        <is>
          <t>smallcap</t>
        </is>
      </c>
      <c r="F85" s="31" t="n">
        <v>1362.44</v>
      </c>
      <c r="G85" s="31" t="n">
        <v>170.49</v>
      </c>
      <c r="H85" s="31" t="n">
        <v>2.68</v>
      </c>
      <c r="I85" s="31" t="n">
        <v>710930</v>
      </c>
      <c r="J85" s="31" t="inlineStr">
        <is>
          <t>544131</t>
        </is>
      </c>
    </row>
    <row r="86">
      <c r="A86" s="31" t="inlineStr">
        <is>
          <t>JINDRILL</t>
        </is>
      </c>
      <c r="B86" s="31" t="inlineStr">
        <is>
          <t>Jindal Drilling And Industries Limited</t>
        </is>
      </c>
      <c r="C86" s="31" t="inlineStr">
        <is>
          <t>energy</t>
        </is>
      </c>
      <c r="D86" s="31" t="inlineStr">
        <is>
          <t>oil drilling / allied services</t>
        </is>
      </c>
      <c r="E86" s="31" t="inlineStr">
        <is>
          <t>smallcap</t>
        </is>
      </c>
      <c r="F86" s="31" t="n">
        <v>1740.46</v>
      </c>
      <c r="G86" s="31" t="n">
        <v>616.2</v>
      </c>
      <c r="H86" s="31" t="n">
        <v>2.61</v>
      </c>
      <c r="I86" s="31" t="n">
        <v>834132</v>
      </c>
      <c r="J86" s="31" t="inlineStr">
        <is>
          <t>511034</t>
        </is>
      </c>
    </row>
    <row r="87">
      <c r="A87" s="31" t="inlineStr">
        <is>
          <t>ABCAPITAL</t>
        </is>
      </c>
      <c r="B87" s="31" t="inlineStr">
        <is>
          <t>Aditya Birla Capital Ltd</t>
        </is>
      </c>
      <c r="C87" s="31" t="inlineStr">
        <is>
          <t>financials</t>
        </is>
      </c>
      <c r="D87" s="31" t="inlineStr">
        <is>
          <t>finance &amp; investments</t>
        </is>
      </c>
      <c r="E87" s="31" t="inlineStr">
        <is>
          <t>largecap</t>
        </is>
      </c>
      <c r="F87" s="31" t="n">
        <v>107741.4</v>
      </c>
      <c r="G87" s="31" t="n">
        <v>404.3</v>
      </c>
      <c r="H87" s="31" t="n">
        <v>2.6</v>
      </c>
      <c r="I87" s="31" t="n">
        <v>10948192</v>
      </c>
      <c r="J87" s="31" t="inlineStr">
        <is>
          <t>540691</t>
        </is>
      </c>
    </row>
    <row r="88">
      <c r="A88" s="31" t="inlineStr">
        <is>
          <t>EMCURE</t>
        </is>
      </c>
      <c r="B88" s="31" t="inlineStr">
        <is>
          <t>Emcure Pharmaceuticals Ltd</t>
        </is>
      </c>
      <c r="C88" s="31" t="inlineStr">
        <is>
          <t>healthcare</t>
        </is>
      </c>
      <c r="D88" s="31" t="inlineStr">
        <is>
          <t>pharmaceuticals - indian - bulk drugs &amp; formln</t>
        </is>
      </c>
      <c r="E88" s="31" t="inlineStr">
        <is>
          <t>largecap</t>
        </is>
      </c>
      <c r="F88" s="31" t="n">
        <v>36245.98</v>
      </c>
      <c r="G88" s="31" t="n">
        <v>1960.1</v>
      </c>
      <c r="H88" s="31" t="n">
        <v>2.57</v>
      </c>
      <c r="I88" s="31" t="n">
        <v>267249</v>
      </c>
      <c r="J88" s="31" t="inlineStr">
        <is>
          <t>544210</t>
        </is>
      </c>
    </row>
    <row r="89">
      <c r="A89" s="31" t="inlineStr">
        <is>
          <t>NRAIL</t>
        </is>
      </c>
      <c r="B89" s="31" t="inlineStr">
        <is>
          <t>N R Agarwal Industries Ltd</t>
        </is>
      </c>
      <c r="C89" s="31" t="inlineStr">
        <is>
          <t>building materials</t>
        </is>
      </c>
      <c r="D89" s="31" t="inlineStr">
        <is>
          <t>paper</t>
        </is>
      </c>
      <c r="E89" s="31" t="inlineStr">
        <is>
          <t>smallcap</t>
        </is>
      </c>
      <c r="F89" s="31" t="n">
        <v>785.52</v>
      </c>
      <c r="G89" s="31" t="n">
        <v>473.4</v>
      </c>
      <c r="H89" s="31" t="n">
        <v>2.57</v>
      </c>
      <c r="I89" s="31" t="n">
        <v>5455</v>
      </c>
      <c r="J89" s="31" t="inlineStr">
        <is>
          <t>516082</t>
        </is>
      </c>
    </row>
    <row r="90">
      <c r="A90" s="31" t="inlineStr">
        <is>
          <t>VRLLOG</t>
        </is>
      </c>
      <c r="B90" s="31" t="inlineStr">
        <is>
          <t>Vrl Logistics Limited</t>
        </is>
      </c>
      <c r="C90" s="31" t="inlineStr">
        <is>
          <t>transportation</t>
        </is>
      </c>
      <c r="D90" s="31" t="inlineStr">
        <is>
          <t>miscellaneous</t>
        </is>
      </c>
      <c r="E90" s="31" t="inlineStr">
        <is>
          <t>smallcap</t>
        </is>
      </c>
      <c r="F90" s="31" t="n">
        <v>4532.62</v>
      </c>
      <c r="G90" s="31" t="n">
        <v>265.65</v>
      </c>
      <c r="H90" s="31" t="n">
        <v>2.53</v>
      </c>
      <c r="I90" s="31" t="n">
        <v>483734</v>
      </c>
      <c r="J90" s="31" t="inlineStr">
        <is>
          <t>539118</t>
        </is>
      </c>
    </row>
    <row r="91">
      <c r="A91" s="31" t="inlineStr">
        <is>
          <t>RPTECH</t>
        </is>
      </c>
      <c r="B91" s="31" t="inlineStr">
        <is>
          <t>Rashi Peripherals Ltd</t>
        </is>
      </c>
      <c r="C91" s="31" t="inlineStr">
        <is>
          <t>services</t>
        </is>
      </c>
      <c r="D91" s="31" t="inlineStr">
        <is>
          <t>trading</t>
        </is>
      </c>
      <c r="E91" s="31" t="inlineStr">
        <is>
          <t>midcap</t>
        </is>
      </c>
      <c r="F91" s="31" t="n">
        <v>5357.64</v>
      </c>
      <c r="G91" s="31" t="n">
        <v>833.55</v>
      </c>
      <c r="H91" s="31" t="n">
        <v>2.53</v>
      </c>
      <c r="I91" s="31" t="n">
        <v>388865</v>
      </c>
      <c r="J91" s="31" t="n"/>
    </row>
    <row r="92">
      <c r="A92" s="31" t="inlineStr">
        <is>
          <t>NILKAMAL</t>
        </is>
      </c>
      <c r="B92" s="31" t="inlineStr">
        <is>
          <t>Nilkamal Limited</t>
        </is>
      </c>
      <c r="C92" s="31" t="inlineStr">
        <is>
          <t>plastic products</t>
        </is>
      </c>
      <c r="D92" s="31" t="inlineStr">
        <is>
          <t>plastics products</t>
        </is>
      </c>
      <c r="E92" s="31" t="inlineStr">
        <is>
          <t>smallcap</t>
        </is>
      </c>
      <c r="F92" s="31" t="n">
        <v>2616.52</v>
      </c>
      <c r="G92" s="31" t="n">
        <v>1797.8</v>
      </c>
      <c r="H92" s="31" t="n">
        <v>2.53</v>
      </c>
      <c r="I92" s="31" t="n">
        <v>106837</v>
      </c>
      <c r="J92" s="31" t="inlineStr">
        <is>
          <t>523385</t>
        </is>
      </c>
    </row>
    <row r="93">
      <c r="A93" s="31" t="inlineStr">
        <is>
          <t>SPORTKING</t>
        </is>
      </c>
      <c r="B93" s="31" t="inlineStr">
        <is>
          <t>Sportking India Ltd</t>
        </is>
      </c>
      <c r="C93" s="31" t="inlineStr">
        <is>
          <t>textiles</t>
        </is>
      </c>
      <c r="D93" s="31" t="inlineStr">
        <is>
          <t>textiles - spinning - synthetic / blended</t>
        </is>
      </c>
      <c r="E93" s="31" t="inlineStr">
        <is>
          <t>smallcap</t>
        </is>
      </c>
      <c r="F93" s="31" t="n">
        <v>2495.19</v>
      </c>
      <c r="G93" s="31" t="n">
        <v>201.26</v>
      </c>
      <c r="H93" s="31" t="n">
        <v>2.5</v>
      </c>
      <c r="I93" s="31" t="n">
        <v>898229</v>
      </c>
      <c r="J93" s="31" t="inlineStr">
        <is>
          <t>539221</t>
        </is>
      </c>
    </row>
    <row r="94">
      <c r="A94" s="31" t="inlineStr">
        <is>
          <t>TVSMOTOR</t>
        </is>
      </c>
      <c r="B94" s="31" t="inlineStr">
        <is>
          <t>Tvs Motor Company Limited</t>
        </is>
      </c>
      <c r="C94" s="31" t="inlineStr">
        <is>
          <t>auto</t>
        </is>
      </c>
      <c r="D94" s="31" t="inlineStr">
        <is>
          <t>automobiles - motorcycles / mopeds</t>
        </is>
      </c>
      <c r="E94" s="31" t="inlineStr">
        <is>
          <t>largecap</t>
        </is>
      </c>
      <c r="F94" s="31" t="n">
        <v>199935.66</v>
      </c>
      <c r="G94" s="31" t="n">
        <v>4313.1</v>
      </c>
      <c r="H94" s="31" t="n">
        <v>2.49</v>
      </c>
      <c r="I94" s="31" t="n">
        <v>2991859</v>
      </c>
      <c r="J94" s="31" t="inlineStr">
        <is>
          <t>532343</t>
        </is>
      </c>
    </row>
    <row r="95">
      <c r="A95" s="31" t="inlineStr">
        <is>
          <t>JGCHEM</t>
        </is>
      </c>
      <c r="B95" s="31" t="inlineStr">
        <is>
          <t>J.G.Chemicals Ltd</t>
        </is>
      </c>
      <c r="C95" s="31" t="inlineStr">
        <is>
          <t>chemicals</t>
        </is>
      </c>
      <c r="D95" s="31" t="inlineStr">
        <is>
          <t>chemicals</t>
        </is>
      </c>
      <c r="E95" s="31" t="inlineStr">
        <is>
          <t>smallcap</t>
        </is>
      </c>
      <c r="F95" s="31" t="n">
        <v>1926.58</v>
      </c>
      <c r="G95" s="31" t="n">
        <v>503.8</v>
      </c>
      <c r="H95" s="31" t="n">
        <v>2.47</v>
      </c>
      <c r="I95" s="31" t="n">
        <v>86050</v>
      </c>
      <c r="J95" s="31" t="n"/>
    </row>
    <row r="96">
      <c r="A96" s="31" t="inlineStr">
        <is>
          <t>ANANTRAJ</t>
        </is>
      </c>
      <c r="B96" s="31" t="inlineStr">
        <is>
          <t>Anant Raj Limited</t>
        </is>
      </c>
      <c r="C96" s="31" t="inlineStr">
        <is>
          <t>realty</t>
        </is>
      </c>
      <c r="D96" s="31" t="inlineStr">
        <is>
          <t>construction</t>
        </is>
      </c>
      <c r="E96" s="31" t="inlineStr">
        <is>
          <t>largecap</t>
        </is>
      </c>
      <c r="F96" s="31" t="n">
        <v>21938.1</v>
      </c>
      <c r="G96" s="31" t="n">
        <v>624.5</v>
      </c>
      <c r="H96" s="31" t="n">
        <v>2.44</v>
      </c>
      <c r="I96" s="31" t="n">
        <v>4085433</v>
      </c>
      <c r="J96" s="31" t="inlineStr">
        <is>
          <t>515055</t>
        </is>
      </c>
    </row>
    <row r="97">
      <c r="A97" s="31" t="inlineStr">
        <is>
          <t>SEAMECLTD</t>
        </is>
      </c>
      <c r="B97" s="31" t="inlineStr">
        <is>
          <t>Seamec Limited</t>
        </is>
      </c>
      <c r="C97" s="31" t="inlineStr">
        <is>
          <t>miscellaneous</t>
        </is>
      </c>
      <c r="D97" s="31" t="inlineStr">
        <is>
          <t>miscellaneous</t>
        </is>
      </c>
      <c r="E97" s="31" t="inlineStr">
        <is>
          <t>smallcap</t>
        </is>
      </c>
      <c r="F97" s="31" t="n">
        <v>3629.67</v>
      </c>
      <c r="G97" s="31" t="n">
        <v>1462.3</v>
      </c>
      <c r="H97" s="31" t="n">
        <v>2.43</v>
      </c>
      <c r="I97" s="31" t="n">
        <v>38341</v>
      </c>
      <c r="J97" s="31" t="inlineStr">
        <is>
          <t>526807</t>
        </is>
      </c>
    </row>
    <row r="98">
      <c r="A98" s="31" t="inlineStr">
        <is>
          <t>RICOAUTO</t>
        </is>
      </c>
      <c r="B98" s="31" t="inlineStr">
        <is>
          <t>Rico Auto Industries Limited</t>
        </is>
      </c>
      <c r="C98" s="31" t="inlineStr">
        <is>
          <t>auto</t>
        </is>
      </c>
      <c r="D98" s="31" t="inlineStr">
        <is>
          <t>auto ancillaries</t>
        </is>
      </c>
      <c r="E98" s="31" t="inlineStr">
        <is>
          <t>smallcap</t>
        </is>
      </c>
      <c r="F98" s="31" t="n">
        <v>1872.89</v>
      </c>
      <c r="G98" s="31" t="n">
        <v>141.77</v>
      </c>
      <c r="H98" s="31" t="n">
        <v>2.41</v>
      </c>
      <c r="I98" s="31" t="n">
        <v>1744862</v>
      </c>
      <c r="J98" s="31" t="inlineStr">
        <is>
          <t>520008</t>
        </is>
      </c>
    </row>
    <row r="99">
      <c r="A99" s="31" t="inlineStr">
        <is>
          <t>KAPSTON</t>
        </is>
      </c>
      <c r="B99" s="31" t="inlineStr">
        <is>
          <t>Kapston Services Ltd</t>
        </is>
      </c>
      <c r="C99" s="31" t="inlineStr">
        <is>
          <t>miscellaneous</t>
        </is>
      </c>
      <c r="D99" s="31" t="inlineStr">
        <is>
          <t>miscellaneous</t>
        </is>
      </c>
      <c r="E99" s="31" t="inlineStr">
        <is>
          <t>smallcap</t>
        </is>
      </c>
      <c r="F99" s="31" t="n">
        <v>1412.05</v>
      </c>
      <c r="G99" s="31" t="n">
        <v>474.9</v>
      </c>
      <c r="H99" s="31" t="n">
        <v>2.35</v>
      </c>
      <c r="I99" s="31" t="n">
        <v>48425</v>
      </c>
      <c r="J99" s="31" t="inlineStr">
        <is>
          <t>535064</t>
        </is>
      </c>
    </row>
    <row r="100">
      <c r="A100" s="31" t="inlineStr">
        <is>
          <t>ARMANFIN</t>
        </is>
      </c>
      <c r="B100" s="31" t="inlineStr">
        <is>
          <t>Arman Financial Services Limited</t>
        </is>
      </c>
      <c r="C100" s="31" t="inlineStr">
        <is>
          <t>financials</t>
        </is>
      </c>
      <c r="D100" s="31" t="inlineStr">
        <is>
          <t>finance &amp; investments</t>
        </is>
      </c>
      <c r="E100" s="31" t="inlineStr">
        <is>
          <t>smallcap</t>
        </is>
      </c>
      <c r="F100" s="31" t="n">
        <v>1993.81</v>
      </c>
      <c r="G100" s="31" t="n">
        <v>1940</v>
      </c>
      <c r="H100" s="31" t="n">
        <v>2.31</v>
      </c>
      <c r="I100" s="31" t="n">
        <v>25498</v>
      </c>
      <c r="J100" s="31" t="inlineStr">
        <is>
          <t>531179</t>
        </is>
      </c>
    </row>
    <row r="101">
      <c r="A101" s="31" t="inlineStr">
        <is>
          <t>STEL</t>
        </is>
      </c>
      <c r="B101" s="31" t="inlineStr">
        <is>
          <t>Stel Holdings Limited</t>
        </is>
      </c>
      <c r="C101" s="31" t="inlineStr">
        <is>
          <t>financials</t>
        </is>
      </c>
      <c r="D101" s="31" t="inlineStr">
        <is>
          <t>finance &amp; investments</t>
        </is>
      </c>
      <c r="E101" s="31" t="inlineStr">
        <is>
          <t>smallcap</t>
        </is>
      </c>
      <c r="F101" s="31" t="n">
        <v>1033.6</v>
      </c>
      <c r="G101" s="31" t="n">
        <v>573</v>
      </c>
      <c r="H101" s="31" t="n">
        <v>2.31</v>
      </c>
      <c r="I101" s="31" t="n">
        <v>2844</v>
      </c>
      <c r="J101" s="31" t="n"/>
    </row>
    <row r="102">
      <c r="A102" s="31" t="inlineStr">
        <is>
          <t>SANATHAN</t>
        </is>
      </c>
      <c r="B102" s="31" t="inlineStr">
        <is>
          <t>Sanathan Textiles Ltd</t>
        </is>
      </c>
      <c r="C102" s="31" t="inlineStr">
        <is>
          <t>textiles</t>
        </is>
      </c>
      <c r="D102" s="31" t="inlineStr">
        <is>
          <t>textiles - cotton/blended</t>
        </is>
      </c>
      <c r="E102" s="31" t="inlineStr">
        <is>
          <t>smallcap</t>
        </is>
      </c>
      <c r="F102" s="31" t="n">
        <v>3919.3</v>
      </c>
      <c r="G102" s="31" t="n">
        <v>475</v>
      </c>
      <c r="H102" s="31" t="n">
        <v>2.29</v>
      </c>
      <c r="I102" s="31" t="n">
        <v>74917</v>
      </c>
      <c r="J102" s="31" t="inlineStr">
        <is>
          <t>544314</t>
        </is>
      </c>
    </row>
    <row r="103">
      <c r="A103" s="31" t="inlineStr">
        <is>
          <t>PRICOLLTD</t>
        </is>
      </c>
      <c r="B103" s="31" t="inlineStr">
        <is>
          <t>Pricol Ltd.</t>
        </is>
      </c>
      <c r="C103" s="31" t="inlineStr">
        <is>
          <t>auto</t>
        </is>
      </c>
      <c r="D103" s="31" t="inlineStr">
        <is>
          <t>auto ancillaries</t>
        </is>
      </c>
      <c r="E103" s="31" t="inlineStr">
        <is>
          <t>midcap</t>
        </is>
      </c>
      <c r="F103" s="31" t="n">
        <v>8300.74</v>
      </c>
      <c r="G103" s="31" t="n">
        <v>696.65</v>
      </c>
      <c r="H103" s="31" t="n">
        <v>2.29</v>
      </c>
      <c r="I103" s="31" t="n">
        <v>1935291</v>
      </c>
      <c r="J103" s="31" t="inlineStr">
        <is>
          <t>540293</t>
        </is>
      </c>
    </row>
    <row r="104">
      <c r="A104" s="31" t="inlineStr">
        <is>
          <t>AYMSYNTEX</t>
        </is>
      </c>
      <c r="B104" s="31" t="inlineStr">
        <is>
          <t>Aym Syntex Limited</t>
        </is>
      </c>
      <c r="C104" s="31" t="inlineStr">
        <is>
          <t>textiles</t>
        </is>
      </c>
      <c r="D104" s="31" t="inlineStr">
        <is>
          <t>textiles - processing</t>
        </is>
      </c>
      <c r="E104" s="31" t="inlineStr">
        <is>
          <t>smallcap</t>
        </is>
      </c>
      <c r="F104" s="31" t="n">
        <v>1441.69</v>
      </c>
      <c r="G104" s="31" t="n">
        <v>251</v>
      </c>
      <c r="H104" s="31" t="n">
        <v>2.26</v>
      </c>
      <c r="I104" s="31" t="n">
        <v>72542</v>
      </c>
      <c r="J104" s="31" t="inlineStr">
        <is>
          <t>508933</t>
        </is>
      </c>
    </row>
    <row r="105">
      <c r="A105" s="31" t="inlineStr">
        <is>
          <t>VARROC</t>
        </is>
      </c>
      <c r="B105" s="31" t="inlineStr">
        <is>
          <t>Varroc Engineering Ltd</t>
        </is>
      </c>
      <c r="C105" s="31" t="inlineStr">
        <is>
          <t>auto</t>
        </is>
      </c>
      <c r="D105" s="31" t="inlineStr">
        <is>
          <t>auto ancillaries</t>
        </is>
      </c>
      <c r="E105" s="31" t="inlineStr">
        <is>
          <t>midcap</t>
        </is>
      </c>
      <c r="F105" s="31" t="n">
        <v>10154.18</v>
      </c>
      <c r="G105" s="31" t="n">
        <v>679.2</v>
      </c>
      <c r="H105" s="31" t="n">
        <v>2.2</v>
      </c>
      <c r="I105" s="31" t="n">
        <v>284959</v>
      </c>
      <c r="J105" s="31" t="inlineStr">
        <is>
          <t>541578</t>
        </is>
      </c>
    </row>
    <row r="106">
      <c r="A106" s="31" t="inlineStr">
        <is>
          <t>TALBROAUTO</t>
        </is>
      </c>
      <c r="B106" s="31" t="inlineStr">
        <is>
          <t>Talbros Automotive Components Limited</t>
        </is>
      </c>
      <c r="C106" s="31" t="inlineStr">
        <is>
          <t>auto</t>
        </is>
      </c>
      <c r="D106" s="31" t="inlineStr">
        <is>
          <t>auto ancillaries</t>
        </is>
      </c>
      <c r="E106" s="31" t="inlineStr">
        <is>
          <t>smallcap</t>
        </is>
      </c>
      <c r="F106" s="31" t="n">
        <v>2463.26</v>
      </c>
      <c r="G106" s="31" t="n">
        <v>407.75</v>
      </c>
      <c r="H106" s="31" t="n">
        <v>2.18</v>
      </c>
      <c r="I106" s="31" t="n">
        <v>109687</v>
      </c>
      <c r="J106" s="31" t="inlineStr">
        <is>
          <t>505160</t>
        </is>
      </c>
    </row>
    <row r="107">
      <c r="A107" s="31" t="inlineStr">
        <is>
          <t>TBOTEK</t>
        </is>
      </c>
      <c r="B107" s="31" t="inlineStr">
        <is>
          <t>TBO Tek Ltd</t>
        </is>
      </c>
      <c r="C107" s="31" t="inlineStr">
        <is>
          <t>i.t</t>
        </is>
      </c>
      <c r="D107" s="31" t="inlineStr">
        <is>
          <t>travel agencies</t>
        </is>
      </c>
      <c r="E107" s="31" t="inlineStr">
        <is>
          <t>midcap</t>
        </is>
      </c>
      <c r="F107" s="31" t="n">
        <v>16271.88</v>
      </c>
      <c r="G107" s="31" t="n">
        <v>1531.2</v>
      </c>
      <c r="H107" s="31" t="n">
        <v>2.18</v>
      </c>
      <c r="I107" s="31" t="n">
        <v>683316</v>
      </c>
      <c r="J107" s="31" t="inlineStr">
        <is>
          <t>544174</t>
        </is>
      </c>
    </row>
    <row r="108">
      <c r="A108" s="31" t="inlineStr">
        <is>
          <t>PICCADIL</t>
        </is>
      </c>
      <c r="B108" s="31" t="inlineStr">
        <is>
          <t>Piccadily Agro Industries Ltd</t>
        </is>
      </c>
      <c r="C108" s="31" t="inlineStr">
        <is>
          <t>fmcg</t>
        </is>
      </c>
      <c r="D108" s="31" t="inlineStr">
        <is>
          <t>breweries &amp; distilleries</t>
        </is>
      </c>
      <c r="E108" s="31" t="inlineStr">
        <is>
          <t>midcap</t>
        </is>
      </c>
      <c r="F108" s="31" t="n">
        <v>7091.77</v>
      </c>
      <c r="G108" s="31" t="n">
        <v>735</v>
      </c>
      <c r="H108" s="31" t="n">
        <v>2.16</v>
      </c>
      <c r="I108" s="31" t="n">
        <v>128630</v>
      </c>
      <c r="J108" s="31" t="inlineStr">
        <is>
          <t>530305</t>
        </is>
      </c>
    </row>
    <row r="109">
      <c r="A109" s="31" t="inlineStr">
        <is>
          <t>SUNFLAG</t>
        </is>
      </c>
      <c r="B109" s="31" t="inlineStr">
        <is>
          <t>Sunflag Iron And Steel Company Limited</t>
        </is>
      </c>
      <c r="C109" s="31" t="inlineStr">
        <is>
          <t>metals &amp; mining</t>
        </is>
      </c>
      <c r="D109" s="31" t="inlineStr">
        <is>
          <t>steel - medium / small</t>
        </is>
      </c>
      <c r="E109" s="31" t="inlineStr">
        <is>
          <t>midcap</t>
        </is>
      </c>
      <c r="F109" s="31" t="n">
        <v>6448.25</v>
      </c>
      <c r="G109" s="31" t="n">
        <v>365.3</v>
      </c>
      <c r="H109" s="31" t="n">
        <v>2.1</v>
      </c>
      <c r="I109" s="31" t="n">
        <v>199878</v>
      </c>
      <c r="J109" s="31" t="inlineStr">
        <is>
          <t>500404</t>
        </is>
      </c>
    </row>
    <row r="110">
      <c r="A110" s="31" t="inlineStr">
        <is>
          <t>ZEEL</t>
        </is>
      </c>
      <c r="B110" s="31" t="inlineStr">
        <is>
          <t>Zee Entertainment Enterprises Limited</t>
        </is>
      </c>
      <c r="C110" s="31" t="inlineStr">
        <is>
          <t>media</t>
        </is>
      </c>
      <c r="D110" s="31" t="inlineStr">
        <is>
          <t>entertainment / electronic media software</t>
        </is>
      </c>
      <c r="E110" s="31" t="inlineStr">
        <is>
          <t>midcap</t>
        </is>
      </c>
      <c r="F110" s="31" t="n">
        <v>10777.99</v>
      </c>
      <c r="G110" s="31" t="n">
        <v>114.55</v>
      </c>
      <c r="H110" s="31" t="n">
        <v>2.09</v>
      </c>
      <c r="I110" s="31" t="n">
        <v>61736966</v>
      </c>
      <c r="J110" s="31" t="inlineStr">
        <is>
          <t>505537</t>
        </is>
      </c>
    </row>
    <row r="111">
      <c r="A111" s="31" t="inlineStr">
        <is>
          <t>JSFB</t>
        </is>
      </c>
      <c r="B111" s="31" t="inlineStr">
        <is>
          <t>Jana Small Finance Bank Ltd</t>
        </is>
      </c>
      <c r="C111" s="31" t="inlineStr">
        <is>
          <t>bank</t>
        </is>
      </c>
      <c r="D111" s="31" t="inlineStr">
        <is>
          <t>banks - private sector</t>
        </is>
      </c>
      <c r="E111" s="31" t="inlineStr">
        <is>
          <t>midcap</t>
        </is>
      </c>
      <c r="F111" s="31" t="n">
        <v>5934.39</v>
      </c>
      <c r="G111" s="31" t="n">
        <v>575</v>
      </c>
      <c r="H111" s="31" t="n">
        <v>2.07</v>
      </c>
      <c r="I111" s="31" t="n">
        <v>840188</v>
      </c>
      <c r="J111" s="31" t="n"/>
    </row>
    <row r="112">
      <c r="A112" s="31" t="inlineStr">
        <is>
          <t>MUFIN</t>
        </is>
      </c>
      <c r="B112" s="31" t="inlineStr">
        <is>
          <t>Mufin Green Finance Ltd</t>
        </is>
      </c>
      <c r="C112" s="31" t="inlineStr">
        <is>
          <t>financials</t>
        </is>
      </c>
      <c r="D112" s="31" t="inlineStr">
        <is>
          <t>finance &amp; investments</t>
        </is>
      </c>
      <c r="E112" s="31" t="inlineStr">
        <is>
          <t>smallcap</t>
        </is>
      </c>
      <c r="F112" s="31" t="n">
        <v>2557.68</v>
      </c>
      <c r="G112" s="31" t="n">
        <v>131.74</v>
      </c>
      <c r="H112" s="31" t="n">
        <v>2.07</v>
      </c>
      <c r="I112" s="31" t="n">
        <v>1872730</v>
      </c>
      <c r="J112" s="31" t="inlineStr">
        <is>
          <t>542774</t>
        </is>
      </c>
    </row>
    <row r="113">
      <c r="A113" s="31" t="inlineStr">
        <is>
          <t>UNIVCABLES</t>
        </is>
      </c>
      <c r="B113" s="31" t="inlineStr">
        <is>
          <t>Universal Cables Limited</t>
        </is>
      </c>
      <c r="C113" s="31" t="inlineStr">
        <is>
          <t>industrials</t>
        </is>
      </c>
      <c r="D113" s="31" t="inlineStr">
        <is>
          <t>cables - power</t>
        </is>
      </c>
      <c r="E113" s="31" t="inlineStr">
        <is>
          <t>smallcap</t>
        </is>
      </c>
      <c r="F113" s="31" t="n">
        <v>4619</v>
      </c>
      <c r="G113" s="31" t="n">
        <v>1358.4</v>
      </c>
      <c r="H113" s="31" t="n">
        <v>2.04</v>
      </c>
      <c r="I113" s="31" t="n">
        <v>139945</v>
      </c>
      <c r="J113" s="31" t="inlineStr">
        <is>
          <t>504212</t>
        </is>
      </c>
    </row>
    <row r="114">
      <c r="A114" s="31" t="inlineStr">
        <is>
          <t>AVL</t>
        </is>
      </c>
      <c r="B114" s="31" t="inlineStr">
        <is>
          <t>Aditya Vision Ltd</t>
        </is>
      </c>
      <c r="C114" s="31" t="inlineStr">
        <is>
          <t>consumer discretionary</t>
        </is>
      </c>
      <c r="D114" s="31" t="inlineStr">
        <is>
          <t>trading</t>
        </is>
      </c>
      <c r="E114" s="31" t="inlineStr">
        <is>
          <t>midcap</t>
        </is>
      </c>
      <c r="F114" s="31" t="n">
        <v>8075.65</v>
      </c>
      <c r="G114" s="31" t="n">
        <v>638.05</v>
      </c>
      <c r="H114" s="31" t="n">
        <v>2.03</v>
      </c>
      <c r="I114" s="31" t="n">
        <v>646595</v>
      </c>
      <c r="J114" s="31" t="inlineStr">
        <is>
          <t>540205</t>
        </is>
      </c>
    </row>
    <row r="115">
      <c r="A115" s="31" t="inlineStr">
        <is>
          <t>UJJIVANSFB</t>
        </is>
      </c>
      <c r="B115" s="31" t="inlineStr">
        <is>
          <t>Ujjivan Small Finance Bank Ltd</t>
        </is>
      </c>
      <c r="C115" s="31" t="inlineStr">
        <is>
          <t>bank</t>
        </is>
      </c>
      <c r="D115" s="31" t="inlineStr">
        <is>
          <t>banks - private sector</t>
        </is>
      </c>
      <c r="E115" s="31" t="inlineStr">
        <is>
          <t>midcap</t>
        </is>
      </c>
      <c r="F115" s="31" t="n">
        <v>13680.98</v>
      </c>
      <c r="G115" s="31" t="n">
        <v>71.75</v>
      </c>
      <c r="H115" s="31" t="n">
        <v>2.02</v>
      </c>
      <c r="I115" s="31" t="n">
        <v>18164025</v>
      </c>
      <c r="J115" s="31" t="inlineStr">
        <is>
          <t>542904</t>
        </is>
      </c>
    </row>
    <row r="116">
      <c r="A116" s="31" t="inlineStr">
        <is>
          <t>BLSE</t>
        </is>
      </c>
      <c r="B116" s="31" t="inlineStr">
        <is>
          <t>BLS E-Services Ltd</t>
        </is>
      </c>
      <c r="C116" s="31" t="inlineStr">
        <is>
          <t>i.t</t>
        </is>
      </c>
      <c r="D116" s="31" t="inlineStr">
        <is>
          <t>computers - software - medium / small</t>
        </is>
      </c>
      <c r="E116" s="31" t="inlineStr">
        <is>
          <t>smallcap</t>
        </is>
      </c>
      <c r="F116" s="31" t="n">
        <v>2677.72</v>
      </c>
      <c r="G116" s="31" t="n">
        <v>300.66</v>
      </c>
      <c r="H116" s="31" t="n">
        <v>2.02</v>
      </c>
      <c r="I116" s="31" t="n">
        <v>640755</v>
      </c>
      <c r="J116" s="31" t="inlineStr">
        <is>
          <t>544107</t>
        </is>
      </c>
    </row>
    <row r="117">
      <c r="A117" s="31" t="inlineStr">
        <is>
          <t>LAURUSLABS</t>
        </is>
      </c>
      <c r="B117" s="31" t="inlineStr">
        <is>
          <t>Laurus Labs Limited</t>
        </is>
      </c>
      <c r="C117" s="31" t="inlineStr">
        <is>
          <t>healthcare</t>
        </is>
      </c>
      <c r="D117" s="31" t="inlineStr">
        <is>
          <t>pharmaceuticals - indian - bulk drugs &amp; formln</t>
        </is>
      </c>
      <c r="E117" s="31" t="inlineStr">
        <is>
          <t>largecap</t>
        </is>
      </c>
      <c r="F117" s="31" t="n">
        <v>96234.66</v>
      </c>
      <c r="G117" s="31" t="n">
        <v>1816.2</v>
      </c>
      <c r="H117" s="31" t="n">
        <v>1.96</v>
      </c>
      <c r="I117" s="31" t="n">
        <v>2502848</v>
      </c>
      <c r="J117" s="31" t="inlineStr">
        <is>
          <t>540222</t>
        </is>
      </c>
    </row>
    <row r="118">
      <c r="A118" s="31" t="inlineStr">
        <is>
          <t>AVTNPL</t>
        </is>
      </c>
      <c r="B118" s="31" t="inlineStr">
        <is>
          <t>Avt Natural Products Limited</t>
        </is>
      </c>
      <c r="C118" s="31" t="inlineStr">
        <is>
          <t>fmcg</t>
        </is>
      </c>
      <c r="D118" s="31" t="inlineStr">
        <is>
          <t>solvent extraction</t>
        </is>
      </c>
      <c r="E118" s="31" t="inlineStr">
        <is>
          <t>smallcap</t>
        </is>
      </c>
      <c r="F118" s="31" t="n">
        <v>1072.38</v>
      </c>
      <c r="G118" s="31" t="n">
        <v>71.79000000000001</v>
      </c>
      <c r="H118" s="31" t="n">
        <v>1.95</v>
      </c>
      <c r="I118" s="31" t="n">
        <v>31090</v>
      </c>
      <c r="J118" s="31" t="inlineStr">
        <is>
          <t>519105</t>
        </is>
      </c>
    </row>
    <row r="119">
      <c r="A119" s="31" t="inlineStr">
        <is>
          <t>VMART</t>
        </is>
      </c>
      <c r="B119" s="31" t="inlineStr">
        <is>
          <t>V-mart Retail Limited</t>
        </is>
      </c>
      <c r="C119" s="31" t="inlineStr">
        <is>
          <t>consumer discretionary</t>
        </is>
      </c>
      <c r="D119" s="31" t="inlineStr">
        <is>
          <t>trading</t>
        </is>
      </c>
      <c r="E119" s="31" t="inlineStr">
        <is>
          <t>midcap</t>
        </is>
      </c>
      <c r="F119" s="31" t="n">
        <v>6079.06</v>
      </c>
      <c r="G119" s="31" t="n">
        <v>779.1</v>
      </c>
      <c r="H119" s="31" t="n">
        <v>1.95</v>
      </c>
      <c r="I119" s="31" t="n">
        <v>100485</v>
      </c>
      <c r="J119" s="31" t="inlineStr">
        <is>
          <t>534976</t>
        </is>
      </c>
    </row>
    <row r="120">
      <c r="A120" s="31" t="inlineStr">
        <is>
          <t>PRUDENT</t>
        </is>
      </c>
      <c r="B120" s="31" t="inlineStr">
        <is>
          <t>Prudent Corporate Advisory Services Ltd</t>
        </is>
      </c>
      <c r="C120" s="31" t="inlineStr">
        <is>
          <t>financials</t>
        </is>
      </c>
      <c r="D120" s="31" t="inlineStr">
        <is>
          <t>finance &amp; investments</t>
        </is>
      </c>
      <c r="E120" s="31" t="inlineStr">
        <is>
          <t>midcap</t>
        </is>
      </c>
      <c r="F120" s="31" t="n">
        <v>13338.75</v>
      </c>
      <c r="G120" s="31" t="n">
        <v>3283.2</v>
      </c>
      <c r="H120" s="31" t="n">
        <v>1.92</v>
      </c>
      <c r="I120" s="31" t="n">
        <v>50525</v>
      </c>
      <c r="J120" s="31" t="inlineStr">
        <is>
          <t>543527</t>
        </is>
      </c>
    </row>
    <row r="121">
      <c r="A121" s="31" t="inlineStr">
        <is>
          <t>RSWM</t>
        </is>
      </c>
      <c r="B121" s="31" t="inlineStr">
        <is>
          <t>Rswm Limited</t>
        </is>
      </c>
      <c r="C121" s="31" t="inlineStr">
        <is>
          <t>textiles</t>
        </is>
      </c>
      <c r="D121" s="31" t="inlineStr">
        <is>
          <t>textiles - cotton/blended</t>
        </is>
      </c>
      <c r="E121" s="31" t="inlineStr">
        <is>
          <t>smallcap</t>
        </is>
      </c>
      <c r="F121" s="31" t="n">
        <v>991.6799999999999</v>
      </c>
      <c r="G121" s="31" t="n">
        <v>214.5</v>
      </c>
      <c r="H121" s="31" t="n">
        <v>1.88</v>
      </c>
      <c r="I121" s="31" t="n">
        <v>31290</v>
      </c>
      <c r="J121" s="31" t="inlineStr">
        <is>
          <t>500350</t>
        </is>
      </c>
    </row>
    <row r="122">
      <c r="A122" s="31" t="inlineStr">
        <is>
          <t>MAHLIFE</t>
        </is>
      </c>
      <c r="B122" s="31" t="inlineStr">
        <is>
          <t>Mahindra Lifespace Developers Limited</t>
        </is>
      </c>
      <c r="C122" s="31" t="inlineStr">
        <is>
          <t>realty</t>
        </is>
      </c>
      <c r="D122" s="31" t="inlineStr">
        <is>
          <t>construction</t>
        </is>
      </c>
      <c r="E122" s="31" t="inlineStr">
        <is>
          <t>midcap</t>
        </is>
      </c>
      <c r="F122" s="31" t="n">
        <v>8222.23</v>
      </c>
      <c r="G122" s="31" t="n">
        <v>392.65</v>
      </c>
      <c r="H122" s="31" t="n">
        <v>1.88</v>
      </c>
      <c r="I122" s="31" t="n">
        <v>178565</v>
      </c>
      <c r="J122" s="31" t="inlineStr">
        <is>
          <t>532313</t>
        </is>
      </c>
    </row>
    <row r="123">
      <c r="A123" s="31" t="inlineStr">
        <is>
          <t>MRPL</t>
        </is>
      </c>
      <c r="B123" s="31" t="inlineStr">
        <is>
          <t>Mangalore Refinery And Petrochemicals Limited</t>
        </is>
      </c>
      <c r="C123" s="31" t="inlineStr">
        <is>
          <t>energy</t>
        </is>
      </c>
      <c r="D123" s="31" t="inlineStr">
        <is>
          <t>refineries</t>
        </is>
      </c>
      <c r="E123" s="31" t="inlineStr">
        <is>
          <t>largecap</t>
        </is>
      </c>
      <c r="F123" s="31" t="n">
        <v>29240.36</v>
      </c>
      <c r="G123" s="31" t="n">
        <v>169.94</v>
      </c>
      <c r="H123" s="31" t="n">
        <v>1.86</v>
      </c>
      <c r="I123" s="31" t="n">
        <v>7629327</v>
      </c>
      <c r="J123" s="31" t="inlineStr">
        <is>
          <t>500109</t>
        </is>
      </c>
    </row>
    <row r="124">
      <c r="A124" s="31" t="inlineStr">
        <is>
          <t>CHENNPETRO</t>
        </is>
      </c>
      <c r="B124" s="31" t="inlineStr">
        <is>
          <t>Chennai Petroleum Corporation Limited</t>
        </is>
      </c>
      <c r="C124" s="31" t="inlineStr">
        <is>
          <t>energy</t>
        </is>
      </c>
      <c r="D124" s="31" t="inlineStr">
        <is>
          <t>refineries</t>
        </is>
      </c>
      <c r="E124" s="31" t="inlineStr">
        <is>
          <t>midcap</t>
        </is>
      </c>
      <c r="F124" s="31" t="n">
        <v>18438.21</v>
      </c>
      <c r="G124" s="31" t="n">
        <v>1260.6</v>
      </c>
      <c r="H124" s="31" t="n">
        <v>1.81</v>
      </c>
      <c r="I124" s="31" t="n">
        <v>1502543</v>
      </c>
      <c r="J124" s="31" t="inlineStr">
        <is>
          <t>500110</t>
        </is>
      </c>
    </row>
    <row r="125">
      <c r="A125" s="31" t="inlineStr">
        <is>
          <t>PGIL</t>
        </is>
      </c>
      <c r="B125" s="31" t="inlineStr">
        <is>
          <t>Pearl Global Industries Limited</t>
        </is>
      </c>
      <c r="C125" s="31" t="inlineStr">
        <is>
          <t>consumer discretionary</t>
        </is>
      </c>
      <c r="D125" s="31" t="inlineStr">
        <is>
          <t>textiles - products</t>
        </is>
      </c>
      <c r="E125" s="31" t="inlineStr">
        <is>
          <t>midcap</t>
        </is>
      </c>
      <c r="F125" s="31" t="n">
        <v>9366.139999999999</v>
      </c>
      <c r="G125" s="31" t="n">
        <v>2064.5</v>
      </c>
      <c r="H125" s="31" t="n">
        <v>1.8</v>
      </c>
      <c r="I125" s="31" t="n">
        <v>36678</v>
      </c>
      <c r="J125" s="31" t="inlineStr">
        <is>
          <t>532808</t>
        </is>
      </c>
    </row>
    <row r="126">
      <c r="A126" s="31" t="inlineStr">
        <is>
          <t>SETL</t>
        </is>
      </c>
      <c r="B126" s="31" t="inlineStr">
        <is>
          <t>Standard Enginnering Technology Ltd</t>
        </is>
      </c>
      <c r="C126" s="31" t="inlineStr">
        <is>
          <t>industrials</t>
        </is>
      </c>
      <c r="D126" s="31" t="inlineStr">
        <is>
          <t>engineering</t>
        </is>
      </c>
      <c r="E126" s="31" t="inlineStr">
        <is>
          <t>midcap</t>
        </is>
      </c>
      <c r="F126" s="31" t="n">
        <v>5391.26</v>
      </c>
      <c r="G126" s="31" t="n">
        <v>275.1</v>
      </c>
      <c r="H126" s="31" t="n">
        <v>1.79</v>
      </c>
      <c r="I126" s="31" t="n">
        <v>411038</v>
      </c>
      <c r="J126" s="31" t="inlineStr">
        <is>
          <t>544333</t>
        </is>
      </c>
    </row>
    <row r="127">
      <c r="A127" s="31" t="inlineStr">
        <is>
          <t>CONFIPET</t>
        </is>
      </c>
      <c r="B127" s="31" t="inlineStr">
        <is>
          <t>Confidence Petroleum India Ltd</t>
        </is>
      </c>
      <c r="C127" s="31" t="inlineStr">
        <is>
          <t>miscellaneous</t>
        </is>
      </c>
      <c r="D127" s="31" t="inlineStr">
        <is>
          <t>miscellaneous</t>
        </is>
      </c>
      <c r="E127" s="31" t="inlineStr">
        <is>
          <t>smallcap</t>
        </is>
      </c>
      <c r="F127" s="31" t="n">
        <v>2600.45</v>
      </c>
      <c r="G127" s="31" t="n">
        <v>79.66</v>
      </c>
      <c r="H127" s="31" t="n">
        <v>1.78</v>
      </c>
      <c r="I127" s="31" t="n">
        <v>3040473</v>
      </c>
      <c r="J127" s="31" t="inlineStr">
        <is>
          <t>526829</t>
        </is>
      </c>
    </row>
    <row r="128">
      <c r="A128" s="31" t="inlineStr">
        <is>
          <t>ANANDRATHI</t>
        </is>
      </c>
      <c r="B128" s="31" t="inlineStr">
        <is>
          <t>Anand Rathi Wealth Ltd</t>
        </is>
      </c>
      <c r="C128" s="31" t="inlineStr">
        <is>
          <t>financials</t>
        </is>
      </c>
      <c r="D128" s="31" t="inlineStr">
        <is>
          <t>finance &amp; investments</t>
        </is>
      </c>
      <c r="E128" s="31" t="inlineStr">
        <is>
          <t>largecap</t>
        </is>
      </c>
      <c r="F128" s="31" t="n">
        <v>33860.8</v>
      </c>
      <c r="G128" s="31" t="n">
        <v>2075</v>
      </c>
      <c r="H128" s="31" t="n">
        <v>1.75</v>
      </c>
      <c r="I128" s="31" t="n">
        <v>153717</v>
      </c>
      <c r="J128" s="31" t="inlineStr">
        <is>
          <t>543415</t>
        </is>
      </c>
    </row>
    <row r="129">
      <c r="A129" s="31" t="inlineStr">
        <is>
          <t>DREDGECORP</t>
        </is>
      </c>
      <c r="B129" s="31" t="inlineStr">
        <is>
          <t>Dredging Corporation Of India Limited</t>
        </is>
      </c>
      <c r="C129" s="31" t="inlineStr">
        <is>
          <t>miscellaneous</t>
        </is>
      </c>
      <c r="D129" s="31" t="inlineStr">
        <is>
          <t>miscellaneous</t>
        </is>
      </c>
      <c r="E129" s="31" t="inlineStr">
        <is>
          <t>smallcap</t>
        </is>
      </c>
      <c r="F129" s="31" t="n">
        <v>3136</v>
      </c>
      <c r="G129" s="31" t="n">
        <v>1139.4</v>
      </c>
      <c r="H129" s="31" t="n">
        <v>1.73</v>
      </c>
      <c r="I129" s="31" t="n">
        <v>223108</v>
      </c>
      <c r="J129" s="31" t="inlineStr">
        <is>
          <t>523618</t>
        </is>
      </c>
    </row>
    <row r="130">
      <c r="A130" s="31" t="inlineStr">
        <is>
          <t>GLAXO</t>
        </is>
      </c>
      <c r="B130" s="31" t="inlineStr">
        <is>
          <t>Glaxosmithkline Pharmaceuticals Limited</t>
        </is>
      </c>
      <c r="C130" s="31" t="inlineStr">
        <is>
          <t>healthcare</t>
        </is>
      </c>
      <c r="D130" s="31" t="inlineStr">
        <is>
          <t>pharmaceuticals - multinational</t>
        </is>
      </c>
      <c r="E130" s="31" t="inlineStr">
        <is>
          <t>largecap</t>
        </is>
      </c>
      <c r="F130" s="31" t="n">
        <v>44226.83</v>
      </c>
      <c r="G130" s="31" t="n">
        <v>2655.4</v>
      </c>
      <c r="H130" s="31" t="n">
        <v>1.71</v>
      </c>
      <c r="I130" s="31" t="n">
        <v>118469</v>
      </c>
      <c r="J130" s="31" t="inlineStr">
        <is>
          <t>500660</t>
        </is>
      </c>
    </row>
    <row r="131">
      <c r="A131" s="31" t="inlineStr">
        <is>
          <t>MAHLOG</t>
        </is>
      </c>
      <c r="B131" s="31" t="inlineStr">
        <is>
          <t>Mahindra Logistics Ltd</t>
        </is>
      </c>
      <c r="C131" s="31" t="inlineStr">
        <is>
          <t>transportation</t>
        </is>
      </c>
      <c r="D131" s="31" t="inlineStr">
        <is>
          <t>miscellaneous</t>
        </is>
      </c>
      <c r="E131" s="31" t="inlineStr">
        <is>
          <t>smallcap</t>
        </is>
      </c>
      <c r="F131" s="31" t="n">
        <v>3995.19</v>
      </c>
      <c r="G131" s="31" t="n">
        <v>409.5</v>
      </c>
      <c r="H131" s="31" t="n">
        <v>1.7</v>
      </c>
      <c r="I131" s="31" t="n">
        <v>302881</v>
      </c>
      <c r="J131" s="31" t="inlineStr">
        <is>
          <t>540768</t>
        </is>
      </c>
    </row>
    <row r="132">
      <c r="A132" s="31" t="inlineStr">
        <is>
          <t>BELRISE</t>
        </is>
      </c>
      <c r="B132" s="31" t="inlineStr">
        <is>
          <t>Belrise Industries Ltd</t>
        </is>
      </c>
      <c r="C132" s="31" t="inlineStr">
        <is>
          <t>auto</t>
        </is>
      </c>
      <c r="D132" s="31" t="inlineStr">
        <is>
          <t>auto ancillaries</t>
        </is>
      </c>
      <c r="E132" s="31" t="inlineStr">
        <is>
          <t>largecap</t>
        </is>
      </c>
      <c r="F132" s="31" t="n">
        <v>22514.33</v>
      </c>
      <c r="G132" s="31" t="n">
        <v>236.73</v>
      </c>
      <c r="H132" s="31" t="n">
        <v>1.69</v>
      </c>
      <c r="I132" s="31" t="n">
        <v>9508653</v>
      </c>
      <c r="J132" s="31" t="n"/>
    </row>
    <row r="133">
      <c r="A133" s="31" t="inlineStr">
        <is>
          <t>INDIAGLYCO</t>
        </is>
      </c>
      <c r="B133" s="31" t="inlineStr">
        <is>
          <t>India Glycols Limited</t>
        </is>
      </c>
      <c r="C133" s="31" t="inlineStr">
        <is>
          <t>fmcg</t>
        </is>
      </c>
      <c r="D133" s="31" t="inlineStr">
        <is>
          <t>breweries &amp; distilleries</t>
        </is>
      </c>
      <c r="E133" s="31" t="inlineStr">
        <is>
          <t>midcap</t>
        </is>
      </c>
      <c r="F133" s="31" t="n">
        <v>7562.97</v>
      </c>
      <c r="G133" s="31" t="n">
        <v>1147.45</v>
      </c>
      <c r="H133" s="31" t="n">
        <v>1.69</v>
      </c>
      <c r="I133" s="31" t="n">
        <v>72759</v>
      </c>
      <c r="J133" s="31" t="inlineStr">
        <is>
          <t>500201</t>
        </is>
      </c>
    </row>
    <row r="134">
      <c r="A134" s="31" t="inlineStr">
        <is>
          <t>INDIANHUME</t>
        </is>
      </c>
      <c r="B134" s="31" t="inlineStr">
        <is>
          <t>Indian Hume Pipe Company Limited</t>
        </is>
      </c>
      <c r="C134" s="31" t="inlineStr">
        <is>
          <t>realty</t>
        </is>
      </c>
      <c r="D134" s="31" t="inlineStr">
        <is>
          <t>construction</t>
        </is>
      </c>
      <c r="E134" s="31" t="inlineStr">
        <is>
          <t>smallcap</t>
        </is>
      </c>
      <c r="F134" s="31" t="n">
        <v>2036.94</v>
      </c>
      <c r="G134" s="31" t="n">
        <v>393.05</v>
      </c>
      <c r="H134" s="31" t="n">
        <v>1.66</v>
      </c>
      <c r="I134" s="31" t="n">
        <v>60990</v>
      </c>
      <c r="J134" s="31" t="inlineStr">
        <is>
          <t>504741</t>
        </is>
      </c>
    </row>
    <row r="135">
      <c r="A135" s="31" t="inlineStr">
        <is>
          <t>KECL</t>
        </is>
      </c>
      <c r="B135" s="31" t="inlineStr">
        <is>
          <t>Kirloskar Electric Company Limited</t>
        </is>
      </c>
      <c r="C135" s="31" t="inlineStr">
        <is>
          <t>industrials</t>
        </is>
      </c>
      <c r="D135" s="31" t="inlineStr">
        <is>
          <t>electric equipment</t>
        </is>
      </c>
      <c r="E135" s="31" t="inlineStr">
        <is>
          <t>smallcap</t>
        </is>
      </c>
      <c r="F135" s="31" t="n">
        <v>904.36</v>
      </c>
      <c r="G135" s="31" t="n">
        <v>138.38</v>
      </c>
      <c r="H135" s="31" t="n">
        <v>1.62</v>
      </c>
      <c r="I135" s="31" t="n">
        <v>103166</v>
      </c>
      <c r="J135" s="31" t="inlineStr">
        <is>
          <t>533193</t>
        </is>
      </c>
    </row>
    <row r="136">
      <c r="A136" s="31" t="inlineStr">
        <is>
          <t>BHARATFORG</t>
        </is>
      </c>
      <c r="B136" s="31" t="inlineStr">
        <is>
          <t>Bharat Forge Limited</t>
        </is>
      </c>
      <c r="C136" s="31" t="inlineStr">
        <is>
          <t>industrials</t>
        </is>
      </c>
      <c r="D136" s="31" t="inlineStr">
        <is>
          <t>castings &amp; forgings</t>
        </is>
      </c>
      <c r="E136" s="31" t="inlineStr">
        <is>
          <t>largecap</t>
        </is>
      </c>
      <c r="F136" s="31" t="n">
        <v>103491.85</v>
      </c>
      <c r="G136" s="31" t="n">
        <v>2199.8</v>
      </c>
      <c r="H136" s="31" t="n">
        <v>1.62</v>
      </c>
      <c r="I136" s="31" t="n">
        <v>952129</v>
      </c>
      <c r="J136" s="31" t="inlineStr">
        <is>
          <t>500493</t>
        </is>
      </c>
    </row>
    <row r="137">
      <c r="A137" s="31" t="inlineStr">
        <is>
          <t>ASIANENE</t>
        </is>
      </c>
      <c r="B137" s="31" t="inlineStr">
        <is>
          <t>Asian Energy Services Ltd</t>
        </is>
      </c>
      <c r="C137" s="31" t="inlineStr">
        <is>
          <t>energy</t>
        </is>
      </c>
      <c r="D137" s="31" t="inlineStr">
        <is>
          <t>oil drilling / allied services</t>
        </is>
      </c>
      <c r="E137" s="31" t="inlineStr">
        <is>
          <t>smallcap</t>
        </is>
      </c>
      <c r="F137" s="31" t="n">
        <v>1907.5</v>
      </c>
      <c r="G137" s="31" t="n">
        <v>398.55</v>
      </c>
      <c r="H137" s="31" t="n">
        <v>1.61</v>
      </c>
      <c r="I137" s="31" t="n">
        <v>371122</v>
      </c>
      <c r="J137" s="31" t="inlineStr">
        <is>
          <t>530355</t>
        </is>
      </c>
    </row>
    <row r="138">
      <c r="A138" s="31" t="inlineStr">
        <is>
          <t>KRISHANA</t>
        </is>
      </c>
      <c r="B138" s="31" t="inlineStr">
        <is>
          <t>Krishana Phoschem Ltd</t>
        </is>
      </c>
      <c r="C138" s="31" t="inlineStr">
        <is>
          <t>chemicals</t>
        </is>
      </c>
      <c r="D138" s="31" t="inlineStr">
        <is>
          <t>fertilizers</t>
        </is>
      </c>
      <c r="E138" s="31" t="inlineStr">
        <is>
          <t>smallcap</t>
        </is>
      </c>
      <c r="F138" s="31" t="n">
        <v>1113.21</v>
      </c>
      <c r="G138" s="31" t="n">
        <v>182.95</v>
      </c>
      <c r="H138" s="31" t="n">
        <v>1.61</v>
      </c>
      <c r="I138" s="31" t="n">
        <v>6122349</v>
      </c>
      <c r="J138" s="31" t="inlineStr">
        <is>
          <t>538405</t>
        </is>
      </c>
    </row>
    <row r="139">
      <c r="A139" s="31" t="inlineStr">
        <is>
          <t>LLOYDSME</t>
        </is>
      </c>
      <c r="B139" s="31" t="inlineStr">
        <is>
          <t>Lloyds Metals &amp; Energy Ltd</t>
        </is>
      </c>
      <c r="C139" s="31" t="inlineStr">
        <is>
          <t>metals &amp; mining</t>
        </is>
      </c>
      <c r="D139" s="31" t="inlineStr">
        <is>
          <t>mining / minerals / metals</t>
        </is>
      </c>
      <c r="E139" s="31" t="inlineStr">
        <is>
          <t>largecap</t>
        </is>
      </c>
      <c r="F139" s="31" t="n">
        <v>113431.38</v>
      </c>
      <c r="G139" s="31" t="n">
        <v>2047</v>
      </c>
      <c r="H139" s="31" t="n">
        <v>1.58</v>
      </c>
      <c r="I139" s="31" t="n">
        <v>874408</v>
      </c>
      <c r="J139" s="31" t="inlineStr">
        <is>
          <t>512455</t>
        </is>
      </c>
    </row>
    <row r="140">
      <c r="A140" s="31" t="inlineStr">
        <is>
          <t>RRKABEL</t>
        </is>
      </c>
      <c r="B140" s="31" t="inlineStr">
        <is>
          <t>R R Kabel Ltd</t>
        </is>
      </c>
      <c r="C140" s="31" t="inlineStr">
        <is>
          <t>industrials</t>
        </is>
      </c>
      <c r="D140" s="31" t="inlineStr">
        <is>
          <t>cables - power</t>
        </is>
      </c>
      <c r="E140" s="31" t="inlineStr">
        <is>
          <t>largecap</t>
        </is>
      </c>
      <c r="F140" s="31" t="n">
        <v>28979.89</v>
      </c>
      <c r="G140" s="31" t="n">
        <v>2602.8</v>
      </c>
      <c r="H140" s="31" t="n">
        <v>1.58</v>
      </c>
      <c r="I140" s="31" t="n">
        <v>527311</v>
      </c>
      <c r="J140" s="31" t="inlineStr">
        <is>
          <t>543981</t>
        </is>
      </c>
    </row>
    <row r="141">
      <c r="A141" s="31" t="inlineStr">
        <is>
          <t>ATHERENERG</t>
        </is>
      </c>
      <c r="B141" s="31" t="inlineStr">
        <is>
          <t>Ather Energy Ltd</t>
        </is>
      </c>
      <c r="C141" s="31" t="inlineStr">
        <is>
          <t>auto</t>
        </is>
      </c>
      <c r="D141" s="31" t="inlineStr">
        <is>
          <t>automobiles - scooters and 3 - wheelers</t>
        </is>
      </c>
      <c r="E141" s="31" t="inlineStr">
        <is>
          <t>largecap</t>
        </is>
      </c>
      <c r="F141" s="31" t="n">
        <v>48907.01</v>
      </c>
      <c r="G141" s="31" t="n">
        <v>1260.3</v>
      </c>
      <c r="H141" s="31" t="n">
        <v>1.56</v>
      </c>
      <c r="I141" s="31" t="n">
        <v>3182495</v>
      </c>
      <c r="J141" s="31" t="inlineStr">
        <is>
          <t>544397</t>
        </is>
      </c>
    </row>
    <row r="142">
      <c r="A142" s="31" t="inlineStr">
        <is>
          <t>GUFICBIO</t>
        </is>
      </c>
      <c r="B142" s="31" t="inlineStr">
        <is>
          <t>Gufic Biosciences Limited</t>
        </is>
      </c>
      <c r="C142" s="31" t="inlineStr">
        <is>
          <t>healthcare</t>
        </is>
      </c>
      <c r="D142" s="31" t="inlineStr">
        <is>
          <t>pharmaceuticals - indian - bulk drugs &amp; formln</t>
        </is>
      </c>
      <c r="E142" s="31" t="inlineStr">
        <is>
          <t>smallcap</t>
        </is>
      </c>
      <c r="F142" s="31" t="n">
        <v>3850.35</v>
      </c>
      <c r="G142" s="31" t="n">
        <v>389.85</v>
      </c>
      <c r="H142" s="31" t="n">
        <v>1.54</v>
      </c>
      <c r="I142" s="31" t="n">
        <v>38677</v>
      </c>
      <c r="J142" s="31" t="inlineStr">
        <is>
          <t>509079</t>
        </is>
      </c>
    </row>
    <row r="143">
      <c r="A143" s="31" t="inlineStr">
        <is>
          <t>INDOTECH</t>
        </is>
      </c>
      <c r="B143" s="31" t="inlineStr">
        <is>
          <t>Indo Tech Transformers Limited</t>
        </is>
      </c>
      <c r="C143" s="31" t="inlineStr">
        <is>
          <t>industrials</t>
        </is>
      </c>
      <c r="D143" s="31" t="inlineStr">
        <is>
          <t>electric equipment</t>
        </is>
      </c>
      <c r="E143" s="31" t="inlineStr">
        <is>
          <t>smallcap</t>
        </is>
      </c>
      <c r="F143" s="31" t="n">
        <v>3597.84</v>
      </c>
      <c r="G143" s="31" t="n">
        <v>3438</v>
      </c>
      <c r="H143" s="31" t="n">
        <v>1.48</v>
      </c>
      <c r="I143" s="31" t="n">
        <v>6939</v>
      </c>
      <c r="J143" s="31" t="inlineStr">
        <is>
          <t>532717</t>
        </is>
      </c>
    </row>
    <row r="144">
      <c r="A144" s="31" t="inlineStr">
        <is>
          <t>SGIL</t>
        </is>
      </c>
      <c r="B144" s="31" t="inlineStr">
        <is>
          <t>Synergy Green Industries Ltd</t>
        </is>
      </c>
      <c r="C144" s="31" t="inlineStr">
        <is>
          <t>industrials</t>
        </is>
      </c>
      <c r="D144" s="31" t="inlineStr">
        <is>
          <t>castings &amp; forgings</t>
        </is>
      </c>
      <c r="E144" s="31" t="inlineStr">
        <is>
          <t>smallcap</t>
        </is>
      </c>
      <c r="F144" s="31" t="n">
        <v>926.67</v>
      </c>
      <c r="G144" s="31" t="n">
        <v>605</v>
      </c>
      <c r="H144" s="31" t="n">
        <v>1.48</v>
      </c>
      <c r="I144" s="31" t="n">
        <v>8758</v>
      </c>
      <c r="J144" s="31" t="inlineStr">
        <is>
          <t>541929</t>
        </is>
      </c>
    </row>
    <row r="145">
      <c r="A145" s="31" t="inlineStr">
        <is>
          <t>IGPL</t>
        </is>
      </c>
      <c r="B145" s="31" t="inlineStr">
        <is>
          <t>Ig Petrochemicals Limited</t>
        </is>
      </c>
      <c r="C145" s="31" t="inlineStr">
        <is>
          <t>chemicals</t>
        </is>
      </c>
      <c r="D145" s="31" t="inlineStr">
        <is>
          <t>chemicals</t>
        </is>
      </c>
      <c r="E145" s="31" t="inlineStr">
        <is>
          <t>smallcap</t>
        </is>
      </c>
      <c r="F145" s="31" t="n">
        <v>1441.66</v>
      </c>
      <c r="G145" s="31" t="n">
        <v>475</v>
      </c>
      <c r="H145" s="31" t="n">
        <v>1.46</v>
      </c>
      <c r="I145" s="31" t="n">
        <v>16176</v>
      </c>
      <c r="J145" s="31" t="inlineStr">
        <is>
          <t>500199</t>
        </is>
      </c>
    </row>
    <row r="146">
      <c r="A146" s="31" t="inlineStr">
        <is>
          <t>KAMDHENU</t>
        </is>
      </c>
      <c r="B146" s="31" t="inlineStr">
        <is>
          <t>Kamdhenu Limited</t>
        </is>
      </c>
      <c r="C146" s="31" t="inlineStr">
        <is>
          <t>metals &amp; mining</t>
        </is>
      </c>
      <c r="D146" s="31" t="inlineStr">
        <is>
          <t>steel - medium / small</t>
        </is>
      </c>
      <c r="E146" s="31" t="inlineStr">
        <is>
          <t>smallcap</t>
        </is>
      </c>
      <c r="F146" s="31" t="n">
        <v>960.09</v>
      </c>
      <c r="G146" s="31" t="n">
        <v>34.55</v>
      </c>
      <c r="H146" s="31" t="n">
        <v>1.44</v>
      </c>
      <c r="I146" s="31" t="n">
        <v>484805</v>
      </c>
      <c r="J146" s="31" t="inlineStr">
        <is>
          <t>532741</t>
        </is>
      </c>
    </row>
    <row r="147">
      <c r="A147" s="31" t="inlineStr">
        <is>
          <t>GULFOILLUB</t>
        </is>
      </c>
      <c r="B147" s="31" t="inlineStr">
        <is>
          <t>Gulf Oil Lubricants India Limited</t>
        </is>
      </c>
      <c r="C147" s="31" t="inlineStr">
        <is>
          <t>chemicals</t>
        </is>
      </c>
      <c r="D147" s="31" t="inlineStr">
        <is>
          <t>chemicals</t>
        </is>
      </c>
      <c r="E147" s="31" t="inlineStr">
        <is>
          <t>midcap</t>
        </is>
      </c>
      <c r="F147" s="31" t="n">
        <v>5220.55</v>
      </c>
      <c r="G147" s="31" t="n">
        <v>1069.3</v>
      </c>
      <c r="H147" s="31" t="n">
        <v>1.42</v>
      </c>
      <c r="I147" s="31" t="n">
        <v>91040</v>
      </c>
      <c r="J147" s="31" t="inlineStr">
        <is>
          <t>538567</t>
        </is>
      </c>
    </row>
    <row r="148">
      <c r="A148" s="31" t="inlineStr">
        <is>
          <t>HAL</t>
        </is>
      </c>
      <c r="B148" s="31" t="inlineStr">
        <is>
          <t>Hindustan Aeronautics Ltd</t>
        </is>
      </c>
      <c r="C148" s="31" t="inlineStr">
        <is>
          <t>aerospace &amp; defence</t>
        </is>
      </c>
      <c r="D148" s="31" t="inlineStr">
        <is>
          <t>engineering</t>
        </is>
      </c>
      <c r="E148" s="31" t="inlineStr">
        <is>
          <t>largecap</t>
        </is>
      </c>
      <c r="F148" s="31" t="n">
        <v>306392.58</v>
      </c>
      <c r="G148" s="31" t="n">
        <v>4646.5</v>
      </c>
      <c r="H148" s="31" t="n">
        <v>1.42</v>
      </c>
      <c r="I148" s="31" t="n">
        <v>747864</v>
      </c>
      <c r="J148" s="31" t="inlineStr">
        <is>
          <t>541154</t>
        </is>
      </c>
    </row>
    <row r="149">
      <c r="A149" s="31" t="inlineStr">
        <is>
          <t>LALPATHLAB</t>
        </is>
      </c>
      <c r="B149" s="31" t="inlineStr">
        <is>
          <t>Dr. Lal Path Labs Ltd.</t>
        </is>
      </c>
      <c r="C149" s="31" t="inlineStr">
        <is>
          <t>healthcare</t>
        </is>
      </c>
      <c r="D149" s="31" t="inlineStr">
        <is>
          <t>healthcare</t>
        </is>
      </c>
      <c r="E149" s="31" t="inlineStr">
        <is>
          <t>largecap</t>
        </is>
      </c>
      <c r="F149" s="31" t="n">
        <v>31495.78</v>
      </c>
      <c r="G149" s="31" t="n">
        <v>1905.2</v>
      </c>
      <c r="H149" s="31" t="n">
        <v>1.41</v>
      </c>
      <c r="I149" s="31" t="n">
        <v>355875</v>
      </c>
      <c r="J149" s="31" t="inlineStr">
        <is>
          <t>539524</t>
        </is>
      </c>
    </row>
    <row r="150">
      <c r="A150" s="31" t="inlineStr">
        <is>
          <t>ASHIANA</t>
        </is>
      </c>
      <c r="B150" s="31" t="inlineStr">
        <is>
          <t>Ashiana Housing Limited</t>
        </is>
      </c>
      <c r="C150" s="31" t="inlineStr">
        <is>
          <t>realty</t>
        </is>
      </c>
      <c r="D150" s="31" t="inlineStr">
        <is>
          <t>construction</t>
        </is>
      </c>
      <c r="E150" s="31" t="inlineStr">
        <is>
          <t>smallcap</t>
        </is>
      </c>
      <c r="F150" s="31" t="n">
        <v>3885.79</v>
      </c>
      <c r="G150" s="31" t="n">
        <v>392</v>
      </c>
      <c r="H150" s="31" t="n">
        <v>1.41</v>
      </c>
      <c r="I150" s="31" t="n">
        <v>77628</v>
      </c>
      <c r="J150" s="31" t="inlineStr">
        <is>
          <t>523716</t>
        </is>
      </c>
    </row>
    <row r="151">
      <c r="A151" s="31" t="inlineStr">
        <is>
          <t>BODALCHEM</t>
        </is>
      </c>
      <c r="B151" s="31" t="inlineStr">
        <is>
          <t>Bodal Chemicals Limited</t>
        </is>
      </c>
      <c r="C151" s="31" t="inlineStr">
        <is>
          <t>chemicals</t>
        </is>
      </c>
      <c r="D151" s="31" t="inlineStr">
        <is>
          <t>dyes and pigments</t>
        </is>
      </c>
      <c r="E151" s="31" t="inlineStr">
        <is>
          <t>smallcap</t>
        </is>
      </c>
      <c r="F151" s="31" t="n">
        <v>879.22</v>
      </c>
      <c r="G151" s="31" t="n">
        <v>70.79000000000001</v>
      </c>
      <c r="H151" s="31" t="n">
        <v>1.4</v>
      </c>
      <c r="I151" s="31" t="n">
        <v>73329</v>
      </c>
      <c r="J151" s="31" t="inlineStr">
        <is>
          <t>524370</t>
        </is>
      </c>
    </row>
    <row r="152">
      <c r="A152" s="31" t="inlineStr">
        <is>
          <t>SJS</t>
        </is>
      </c>
      <c r="B152" s="31" t="inlineStr">
        <is>
          <t>S J S Enterprises Ltd</t>
        </is>
      </c>
      <c r="C152" s="31" t="inlineStr">
        <is>
          <t>auto</t>
        </is>
      </c>
      <c r="D152" s="31" t="inlineStr">
        <is>
          <t>plastics products</t>
        </is>
      </c>
      <c r="E152" s="31" t="inlineStr">
        <is>
          <t>midcap</t>
        </is>
      </c>
      <c r="F152" s="31" t="n">
        <v>7550.02</v>
      </c>
      <c r="G152" s="31" t="n">
        <v>2391.7</v>
      </c>
      <c r="H152" s="31" t="n">
        <v>1.39</v>
      </c>
      <c r="I152" s="31" t="n">
        <v>77586</v>
      </c>
      <c r="J152" s="31" t="inlineStr">
        <is>
          <t>543387</t>
        </is>
      </c>
    </row>
    <row r="153">
      <c r="A153" s="31" t="inlineStr">
        <is>
          <t>SFL</t>
        </is>
      </c>
      <c r="B153" s="31" t="inlineStr">
        <is>
          <t>Sheela Foam Limited</t>
        </is>
      </c>
      <c r="C153" s="31" t="inlineStr">
        <is>
          <t>consumer discretionary</t>
        </is>
      </c>
      <c r="D153" s="31" t="inlineStr">
        <is>
          <t>miscellaneous</t>
        </is>
      </c>
      <c r="E153" s="31" t="inlineStr">
        <is>
          <t>midcap</t>
        </is>
      </c>
      <c r="F153" s="31" t="n">
        <v>8477.450000000001</v>
      </c>
      <c r="G153" s="31" t="n">
        <v>787</v>
      </c>
      <c r="H153" s="31" t="n">
        <v>1.38</v>
      </c>
      <c r="I153" s="31" t="n">
        <v>97186</v>
      </c>
      <c r="J153" s="31" t="inlineStr">
        <is>
          <t>540203</t>
        </is>
      </c>
    </row>
    <row r="154">
      <c r="A154" s="31" t="inlineStr">
        <is>
          <t>MPSLTD</t>
        </is>
      </c>
      <c r="B154" s="31" t="inlineStr">
        <is>
          <t>Mps Limited</t>
        </is>
      </c>
      <c r="C154" s="31" t="inlineStr">
        <is>
          <t>i.t</t>
        </is>
      </c>
      <c r="D154" s="31" t="inlineStr">
        <is>
          <t>computers - software - medium / small</t>
        </is>
      </c>
      <c r="E154" s="31" t="inlineStr">
        <is>
          <t>smallcap</t>
        </is>
      </c>
      <c r="F154" s="31" t="n">
        <v>4533.38</v>
      </c>
      <c r="G154" s="31" t="n">
        <v>2686.8</v>
      </c>
      <c r="H154" s="31" t="n">
        <v>1.38</v>
      </c>
      <c r="I154" s="31" t="n">
        <v>23317</v>
      </c>
      <c r="J154" s="31" t="inlineStr">
        <is>
          <t>532440</t>
        </is>
      </c>
    </row>
    <row r="155">
      <c r="A155" s="31" t="inlineStr">
        <is>
          <t>FEDERALBNK</t>
        </is>
      </c>
      <c r="B155" s="31" t="inlineStr">
        <is>
          <t>The Federal Bank  Limited</t>
        </is>
      </c>
      <c r="C155" s="31" t="inlineStr">
        <is>
          <t>bank</t>
        </is>
      </c>
      <c r="D155" s="31" t="inlineStr">
        <is>
          <t>banks - private sector</t>
        </is>
      </c>
      <c r="E155" s="31" t="inlineStr">
        <is>
          <t>largecap</t>
        </is>
      </c>
      <c r="F155" s="31" t="n">
        <v>87405.60000000001</v>
      </c>
      <c r="G155" s="31" t="n">
        <v>358.85</v>
      </c>
      <c r="H155" s="31" t="n">
        <v>1.33</v>
      </c>
      <c r="I155" s="31" t="n">
        <v>3907564</v>
      </c>
      <c r="J155" s="31" t="inlineStr">
        <is>
          <t>500469</t>
        </is>
      </c>
    </row>
    <row r="156">
      <c r="A156" s="31" t="inlineStr">
        <is>
          <t>VSSL</t>
        </is>
      </c>
      <c r="B156" s="31" t="inlineStr">
        <is>
          <t>Vardhman Special Steels Limited</t>
        </is>
      </c>
      <c r="C156" s="31" t="inlineStr">
        <is>
          <t>metals &amp; mining</t>
        </is>
      </c>
      <c r="D156" s="31" t="inlineStr">
        <is>
          <t>steel - medium / small</t>
        </is>
      </c>
      <c r="E156" s="31" t="inlineStr">
        <is>
          <t>smallcap</t>
        </is>
      </c>
      <c r="F156" s="31" t="n">
        <v>2901.54</v>
      </c>
      <c r="G156" s="31" t="n">
        <v>304.05</v>
      </c>
      <c r="H156" s="31" t="n">
        <v>1.32</v>
      </c>
      <c r="I156" s="31" t="n">
        <v>86352</v>
      </c>
      <c r="J156" s="31" t="inlineStr">
        <is>
          <t>534392</t>
        </is>
      </c>
    </row>
    <row r="157">
      <c r="A157" s="31" t="inlineStr">
        <is>
          <t>SUPRAJIT</t>
        </is>
      </c>
      <c r="B157" s="31" t="inlineStr">
        <is>
          <t>Suprajit Engineering Limited</t>
        </is>
      </c>
      <c r="C157" s="31" t="inlineStr">
        <is>
          <t>auto</t>
        </is>
      </c>
      <c r="D157" s="31" t="inlineStr">
        <is>
          <t>auto ancillaries</t>
        </is>
      </c>
      <c r="E157" s="31" t="inlineStr">
        <is>
          <t>midcap</t>
        </is>
      </c>
      <c r="F157" s="31" t="n">
        <v>6851.01</v>
      </c>
      <c r="G157" s="31" t="n">
        <v>506</v>
      </c>
      <c r="H157" s="31" t="n">
        <v>1.31</v>
      </c>
      <c r="I157" s="31" t="n">
        <v>106118</v>
      </c>
      <c r="J157" s="31" t="inlineStr">
        <is>
          <t>532509</t>
        </is>
      </c>
    </row>
    <row r="158">
      <c r="A158" s="31" t="inlineStr">
        <is>
          <t>PANACHE</t>
        </is>
      </c>
      <c r="B158" s="31" t="inlineStr">
        <is>
          <t>Panache Digilife Ltd</t>
        </is>
      </c>
      <c r="C158" s="31" t="inlineStr">
        <is>
          <t>i.t</t>
        </is>
      </c>
      <c r="D158" s="31" t="inlineStr">
        <is>
          <t>computers - hardware</t>
        </is>
      </c>
      <c r="E158" s="31" t="inlineStr">
        <is>
          <t>smallcap</t>
        </is>
      </c>
      <c r="F158" s="31" t="n">
        <v>684.52</v>
      </c>
      <c r="G158" s="31" t="n">
        <v>432.95</v>
      </c>
      <c r="H158" s="31" t="n">
        <v>1.29</v>
      </c>
      <c r="I158" s="31" t="n">
        <v>5825</v>
      </c>
      <c r="J158" s="31" t="inlineStr">
        <is>
          <t>538424</t>
        </is>
      </c>
    </row>
    <row r="159">
      <c r="A159" s="31" t="inlineStr">
        <is>
          <t>SHRIPISTON</t>
        </is>
      </c>
      <c r="B159" s="31" t="inlineStr">
        <is>
          <t>Shriram Pistons &amp; Rings Limited</t>
        </is>
      </c>
      <c r="C159" s="31" t="inlineStr">
        <is>
          <t>auto</t>
        </is>
      </c>
      <c r="D159" s="31" t="inlineStr">
        <is>
          <t>auto ancillaries</t>
        </is>
      </c>
      <c r="E159" s="31" t="inlineStr">
        <is>
          <t>midcap</t>
        </is>
      </c>
      <c r="F159" s="31" t="n">
        <v>19115.42</v>
      </c>
      <c r="G159" s="31" t="n">
        <v>4395.2</v>
      </c>
      <c r="H159" s="31" t="n">
        <v>1.28</v>
      </c>
      <c r="I159" s="31" t="n">
        <v>39865</v>
      </c>
      <c r="J159" s="31" t="n"/>
    </row>
    <row r="160">
      <c r="A160" s="31" t="inlineStr">
        <is>
          <t>NIVABUPA</t>
        </is>
      </c>
      <c r="B160" s="31" t="inlineStr">
        <is>
          <t>Niva Bupa Health Insurance Company Ltd</t>
        </is>
      </c>
      <c r="C160" s="31" t="inlineStr">
        <is>
          <t>financials</t>
        </is>
      </c>
      <c r="D160" s="31" t="inlineStr">
        <is>
          <t>finance &amp; investments</t>
        </is>
      </c>
      <c r="E160" s="31" t="inlineStr">
        <is>
          <t>midcap</t>
        </is>
      </c>
      <c r="F160" s="31" t="n">
        <v>15888.62</v>
      </c>
      <c r="G160" s="31" t="n">
        <v>87.01000000000001</v>
      </c>
      <c r="H160" s="31" t="n">
        <v>1.27</v>
      </c>
      <c r="I160" s="31" t="n">
        <v>18636639</v>
      </c>
      <c r="J160" s="31" t="n"/>
    </row>
    <row r="161">
      <c r="A161" s="31" t="inlineStr">
        <is>
          <t>WSTCSTPAPR</t>
        </is>
      </c>
      <c r="B161" s="31" t="inlineStr">
        <is>
          <t>West Coast Paper Mills Limited</t>
        </is>
      </c>
      <c r="C161" s="31" t="inlineStr">
        <is>
          <t>building materials</t>
        </is>
      </c>
      <c r="D161" s="31" t="inlineStr">
        <is>
          <t>paper</t>
        </is>
      </c>
      <c r="E161" s="31" t="inlineStr">
        <is>
          <t>smallcap</t>
        </is>
      </c>
      <c r="F161" s="31" t="n">
        <v>3715.25</v>
      </c>
      <c r="G161" s="31" t="n">
        <v>569.5</v>
      </c>
      <c r="H161" s="31" t="n">
        <v>1.24</v>
      </c>
      <c r="I161" s="31" t="n">
        <v>127072</v>
      </c>
      <c r="J161" s="31" t="inlineStr">
        <is>
          <t>500444</t>
        </is>
      </c>
    </row>
    <row r="162">
      <c r="A162" s="31" t="inlineStr">
        <is>
          <t>ACE</t>
        </is>
      </c>
      <c r="B162" s="31" t="inlineStr">
        <is>
          <t>Action Construction Equipment Limited</t>
        </is>
      </c>
      <c r="C162" s="31" t="inlineStr">
        <is>
          <t>industrials</t>
        </is>
      </c>
      <c r="D162" s="31" t="inlineStr">
        <is>
          <t>engineering</t>
        </is>
      </c>
      <c r="E162" s="31" t="inlineStr">
        <is>
          <t>midcap</t>
        </is>
      </c>
      <c r="F162" s="31" t="n">
        <v>12589.48</v>
      </c>
      <c r="G162" s="31" t="n">
        <v>1070.3</v>
      </c>
      <c r="H162" s="31" t="n">
        <v>1.24</v>
      </c>
      <c r="I162" s="31" t="n">
        <v>297297</v>
      </c>
      <c r="J162" s="31" t="inlineStr">
        <is>
          <t>532762</t>
        </is>
      </c>
    </row>
    <row r="163">
      <c r="A163" s="31" t="inlineStr">
        <is>
          <t>SUNDRMFAST</t>
        </is>
      </c>
      <c r="B163" s="31" t="inlineStr">
        <is>
          <t>Sundram Fasteners Limited</t>
        </is>
      </c>
      <c r="C163" s="31" t="inlineStr">
        <is>
          <t>auto</t>
        </is>
      </c>
      <c r="D163" s="31" t="inlineStr">
        <is>
          <t>auto ancillaries</t>
        </is>
      </c>
      <c r="E163" s="31" t="inlineStr">
        <is>
          <t>largecap</t>
        </is>
      </c>
      <c r="F163" s="31" t="n">
        <v>20301.55</v>
      </c>
      <c r="G163" s="31" t="n">
        <v>977.45</v>
      </c>
      <c r="H163" s="31" t="n">
        <v>1.17</v>
      </c>
      <c r="I163" s="31" t="n">
        <v>53340</v>
      </c>
      <c r="J163" s="31" t="inlineStr">
        <is>
          <t>500403</t>
        </is>
      </c>
    </row>
    <row r="164">
      <c r="A164" s="31" t="inlineStr">
        <is>
          <t>LLOYDSENT</t>
        </is>
      </c>
      <c r="B164" s="31" t="inlineStr">
        <is>
          <t>Lloyds Enterprises Ltd</t>
        </is>
      </c>
      <c r="C164" s="31" t="inlineStr">
        <is>
          <t>services</t>
        </is>
      </c>
      <c r="D164" s="31" t="inlineStr">
        <is>
          <t>trading</t>
        </is>
      </c>
      <c r="E164" s="31" t="inlineStr">
        <is>
          <t>midcap</t>
        </is>
      </c>
      <c r="F164" s="31" t="n">
        <v>12065.87</v>
      </c>
      <c r="G164" s="31" t="n">
        <v>79.95999999999999</v>
      </c>
      <c r="H164" s="31" t="n">
        <v>1.16</v>
      </c>
      <c r="I164" s="31" t="n">
        <v>2258685</v>
      </c>
      <c r="J164" s="31" t="inlineStr">
        <is>
          <t>512463</t>
        </is>
      </c>
    </row>
    <row r="165">
      <c r="A165" s="31" t="inlineStr">
        <is>
          <t>HEROMOTOCO</t>
        </is>
      </c>
      <c r="B165" s="31" t="inlineStr">
        <is>
          <t>Hero Motocorp Limited</t>
        </is>
      </c>
      <c r="C165" s="31" t="inlineStr">
        <is>
          <t>auto</t>
        </is>
      </c>
      <c r="D165" s="31" t="inlineStr">
        <is>
          <t>automobiles - motorcycles / mopeds</t>
        </is>
      </c>
      <c r="E165" s="31" t="inlineStr">
        <is>
          <t>largecap</t>
        </is>
      </c>
      <c r="F165" s="31" t="n">
        <v>106549.49</v>
      </c>
      <c r="G165" s="31" t="n">
        <v>5386</v>
      </c>
      <c r="H165" s="31" t="n">
        <v>1.15</v>
      </c>
      <c r="I165" s="31" t="n">
        <v>769470</v>
      </c>
      <c r="J165" s="31" t="inlineStr">
        <is>
          <t>500182</t>
        </is>
      </c>
    </row>
    <row r="166">
      <c r="A166" s="31" t="inlineStr">
        <is>
          <t>TARSONS</t>
        </is>
      </c>
      <c r="B166" s="31" t="inlineStr">
        <is>
          <t>Tarsons Products Ltd</t>
        </is>
      </c>
      <c r="C166" s="31" t="inlineStr">
        <is>
          <t>healthcare</t>
        </is>
      </c>
      <c r="D166" s="31" t="inlineStr">
        <is>
          <t>miscellaneous</t>
        </is>
      </c>
      <c r="E166" s="31" t="inlineStr">
        <is>
          <t>smallcap</t>
        </is>
      </c>
      <c r="F166" s="31" t="n">
        <v>1683.71</v>
      </c>
      <c r="G166" s="31" t="n">
        <v>320</v>
      </c>
      <c r="H166" s="31" t="n">
        <v>1.12</v>
      </c>
      <c r="I166" s="31" t="n">
        <v>122337</v>
      </c>
      <c r="J166" s="31" t="inlineStr">
        <is>
          <t>543399</t>
        </is>
      </c>
    </row>
    <row r="167">
      <c r="A167" s="31" t="inlineStr">
        <is>
          <t>MUKANDLTD</t>
        </is>
      </c>
      <c r="B167" s="31" t="inlineStr">
        <is>
          <t>Mukand Limited</t>
        </is>
      </c>
      <c r="C167" s="31" t="inlineStr">
        <is>
          <t>metals &amp; mining</t>
        </is>
      </c>
      <c r="D167" s="31" t="inlineStr">
        <is>
          <t>steel - medium / small</t>
        </is>
      </c>
      <c r="E167" s="31" t="inlineStr">
        <is>
          <t>smallcap</t>
        </is>
      </c>
      <c r="F167" s="31" t="n">
        <v>2021.64</v>
      </c>
      <c r="G167" s="31" t="n">
        <v>141.42</v>
      </c>
      <c r="H167" s="31" t="n">
        <v>1.08</v>
      </c>
      <c r="I167" s="31" t="n">
        <v>60392</v>
      </c>
      <c r="J167" s="31" t="inlineStr">
        <is>
          <t>500460</t>
        </is>
      </c>
    </row>
    <row r="168">
      <c r="A168" s="31" t="inlineStr">
        <is>
          <t>SHAILY</t>
        </is>
      </c>
      <c r="B168" s="31" t="inlineStr">
        <is>
          <t>Shaily Engineering Plastics Ltd</t>
        </is>
      </c>
      <c r="C168" s="31" t="inlineStr">
        <is>
          <t>plastic products</t>
        </is>
      </c>
      <c r="D168" s="31" t="inlineStr">
        <is>
          <t>plastics products</t>
        </is>
      </c>
      <c r="E168" s="31" t="inlineStr">
        <is>
          <t>midcap</t>
        </is>
      </c>
      <c r="F168" s="31" t="n">
        <v>13932.42</v>
      </c>
      <c r="G168" s="31" t="n">
        <v>3061.4</v>
      </c>
      <c r="H168" s="31" t="n">
        <v>1.07</v>
      </c>
      <c r="I168" s="31" t="n">
        <v>140795</v>
      </c>
      <c r="J168" s="31" t="inlineStr">
        <is>
          <t>501423</t>
        </is>
      </c>
    </row>
    <row r="169">
      <c r="A169" s="31" t="inlineStr">
        <is>
          <t>VAIBHAVGBL</t>
        </is>
      </c>
      <c r="B169" s="31" t="inlineStr">
        <is>
          <t>Vaibhav Global Limited</t>
        </is>
      </c>
      <c r="C169" s="31" t="inlineStr">
        <is>
          <t>consumer discretionary</t>
        </is>
      </c>
      <c r="D169" s="31" t="inlineStr">
        <is>
          <t>diamond cutting / jewellery</t>
        </is>
      </c>
      <c r="E169" s="31" t="inlineStr">
        <is>
          <t>smallcap</t>
        </is>
      </c>
      <c r="F169" s="31" t="n">
        <v>4411.4</v>
      </c>
      <c r="G169" s="31" t="n">
        <v>266.36</v>
      </c>
      <c r="H169" s="31" t="n">
        <v>1.05</v>
      </c>
      <c r="I169" s="31" t="n">
        <v>309753</v>
      </c>
      <c r="J169" s="31" t="inlineStr">
        <is>
          <t>532156</t>
        </is>
      </c>
    </row>
    <row r="170">
      <c r="A170" s="31" t="inlineStr">
        <is>
          <t>SWANDEF</t>
        </is>
      </c>
      <c r="B170" s="31" t="inlineStr">
        <is>
          <t>Swan Defence and Heavy Industries Ltd</t>
        </is>
      </c>
      <c r="C170" s="31" t="inlineStr">
        <is>
          <t>transportation</t>
        </is>
      </c>
      <c r="D170" s="31" t="inlineStr">
        <is>
          <t>miscellaneous</t>
        </is>
      </c>
      <c r="E170" s="31" t="inlineStr">
        <is>
          <t>midcap</t>
        </is>
      </c>
      <c r="F170" s="31" t="n">
        <v>12828.1</v>
      </c>
      <c r="G170" s="31" t="n">
        <v>2460.3</v>
      </c>
      <c r="H170" s="31" t="n">
        <v>1.04</v>
      </c>
      <c r="I170" s="31" t="n">
        <v>43253</v>
      </c>
      <c r="J170" s="31" t="inlineStr">
        <is>
          <t>533107</t>
        </is>
      </c>
    </row>
    <row r="171">
      <c r="A171" s="31" t="inlineStr">
        <is>
          <t>MONARCH</t>
        </is>
      </c>
      <c r="B171" s="31" t="inlineStr">
        <is>
          <t>Monarch Networth Capital Ltd</t>
        </is>
      </c>
      <c r="C171" s="31" t="inlineStr">
        <is>
          <t>financials</t>
        </is>
      </c>
      <c r="D171" s="31" t="inlineStr">
        <is>
          <t>finance &amp; investments</t>
        </is>
      </c>
      <c r="E171" s="31" t="inlineStr">
        <is>
          <t>smallcap</t>
        </is>
      </c>
      <c r="F171" s="31" t="n">
        <v>3062.89</v>
      </c>
      <c r="G171" s="31" t="n">
        <v>390.15</v>
      </c>
      <c r="H171" s="31" t="n">
        <v>1.02</v>
      </c>
      <c r="I171" s="31" t="n">
        <v>58054</v>
      </c>
      <c r="J171" s="31" t="inlineStr">
        <is>
          <t>511551</t>
        </is>
      </c>
    </row>
    <row r="172">
      <c r="A172" s="31" t="inlineStr">
        <is>
          <t>ASTERDM</t>
        </is>
      </c>
      <c r="B172" s="31" t="inlineStr">
        <is>
          <t>Aster DM Healthcare Ltd</t>
        </is>
      </c>
      <c r="C172" s="31" t="inlineStr">
        <is>
          <t>healthcare</t>
        </is>
      </c>
      <c r="D172" s="31" t="inlineStr">
        <is>
          <t>healthcare</t>
        </is>
      </c>
      <c r="E172" s="31" t="inlineStr">
        <is>
          <t>largecap</t>
        </is>
      </c>
      <c r="F172" s="31" t="n">
        <v>70954.14</v>
      </c>
      <c r="G172" s="31" t="n">
        <v>822.15</v>
      </c>
      <c r="H172" s="31" t="n">
        <v>1</v>
      </c>
      <c r="I172" s="31" t="n">
        <v>411546</v>
      </c>
      <c r="J172" s="31" t="inlineStr">
        <is>
          <t>540975</t>
        </is>
      </c>
    </row>
    <row r="173">
      <c r="A173" s="31" t="inlineStr">
        <is>
          <t>JUBLINGREA</t>
        </is>
      </c>
      <c r="B173" s="31" t="inlineStr">
        <is>
          <t>Jubilant Ingrevia Ltd</t>
        </is>
      </c>
      <c r="C173" s="31" t="inlineStr">
        <is>
          <t>chemicals</t>
        </is>
      </c>
      <c r="D173" s="31" t="inlineStr">
        <is>
          <t>chemicals</t>
        </is>
      </c>
      <c r="E173" s="31" t="inlineStr">
        <is>
          <t>midcap</t>
        </is>
      </c>
      <c r="F173" s="31" t="n">
        <v>11602.83</v>
      </c>
      <c r="G173" s="31" t="n">
        <v>735.7</v>
      </c>
      <c r="H173" s="31" t="n">
        <v>1</v>
      </c>
      <c r="I173" s="31" t="n">
        <v>131842</v>
      </c>
      <c r="J173" s="31" t="inlineStr">
        <is>
          <t>543271</t>
        </is>
      </c>
    </row>
    <row r="174">
      <c r="A174" s="31" t="inlineStr">
        <is>
          <t>MANAPPURAM</t>
        </is>
      </c>
      <c r="B174" s="31" t="inlineStr">
        <is>
          <t>Manappuram Finance Limited</t>
        </is>
      </c>
      <c r="C174" s="31" t="inlineStr">
        <is>
          <t>financials</t>
        </is>
      </c>
      <c r="D174" s="31" t="inlineStr">
        <is>
          <t>finance &amp; investments</t>
        </is>
      </c>
      <c r="E174" s="31" t="inlineStr">
        <is>
          <t>largecap</t>
        </is>
      </c>
      <c r="F174" s="31" t="n">
        <v>34600.45</v>
      </c>
      <c r="G174" s="31" t="n">
        <v>371.9</v>
      </c>
      <c r="H174" s="31" t="n">
        <v>0.96</v>
      </c>
      <c r="I174" s="31" t="n">
        <v>6553842</v>
      </c>
      <c r="J174" s="31" t="inlineStr">
        <is>
          <t>531213</t>
        </is>
      </c>
    </row>
    <row r="175">
      <c r="A175" s="31" t="inlineStr">
        <is>
          <t>PNB</t>
        </is>
      </c>
      <c r="B175" s="31" t="inlineStr">
        <is>
          <t>Punjab National Bank Ltd</t>
        </is>
      </c>
      <c r="C175" s="31" t="inlineStr">
        <is>
          <t>bank</t>
        </is>
      </c>
      <c r="D175" s="31" t="inlineStr">
        <is>
          <t>banks - public sector</t>
        </is>
      </c>
      <c r="E175" s="31" t="inlineStr">
        <is>
          <t>largecap</t>
        </is>
      </c>
      <c r="F175" s="31" t="n">
        <v>128307.22</v>
      </c>
      <c r="G175" s="31" t="n">
        <v>112.71</v>
      </c>
      <c r="H175" s="31" t="n">
        <v>0.96</v>
      </c>
      <c r="I175" s="31" t="n">
        <v>11559723</v>
      </c>
      <c r="J175" s="31" t="inlineStr">
        <is>
          <t>532461</t>
        </is>
      </c>
    </row>
    <row r="176">
      <c r="A176" s="31" t="inlineStr">
        <is>
          <t>GNA</t>
        </is>
      </c>
      <c r="B176" s="31" t="inlineStr">
        <is>
          <t>Gna Axles Limited</t>
        </is>
      </c>
      <c r="C176" s="31" t="inlineStr">
        <is>
          <t>auto</t>
        </is>
      </c>
      <c r="D176" s="31" t="inlineStr">
        <is>
          <t>auto ancillaries</t>
        </is>
      </c>
      <c r="E176" s="31" t="inlineStr">
        <is>
          <t>smallcap</t>
        </is>
      </c>
      <c r="F176" s="31" t="n">
        <v>2278.77</v>
      </c>
      <c r="G176" s="31" t="n">
        <v>535.75</v>
      </c>
      <c r="H176" s="31" t="n">
        <v>0.93</v>
      </c>
      <c r="I176" s="31" t="n">
        <v>228018</v>
      </c>
      <c r="J176" s="31" t="inlineStr">
        <is>
          <t>540124</t>
        </is>
      </c>
    </row>
    <row r="177">
      <c r="A177" s="31" t="inlineStr">
        <is>
          <t>SHYAMMETL</t>
        </is>
      </c>
      <c r="B177" s="31" t="inlineStr">
        <is>
          <t>Shyam Metalics &amp; Energy Ltd</t>
        </is>
      </c>
      <c r="C177" s="31" t="inlineStr">
        <is>
          <t>metals &amp; mining</t>
        </is>
      </c>
      <c r="D177" s="31" t="inlineStr">
        <is>
          <t>steel - large</t>
        </is>
      </c>
      <c r="E177" s="31" t="inlineStr">
        <is>
          <t>largecap</t>
        </is>
      </c>
      <c r="F177" s="31" t="n">
        <v>28535.65</v>
      </c>
      <c r="G177" s="31" t="n">
        <v>1031.3</v>
      </c>
      <c r="H177" s="31" t="n">
        <v>0.88</v>
      </c>
      <c r="I177" s="31" t="n">
        <v>415132</v>
      </c>
      <c r="J177" s="31" t="inlineStr">
        <is>
          <t>543299</t>
        </is>
      </c>
    </row>
    <row r="178">
      <c r="A178" s="31" t="inlineStr">
        <is>
          <t>MUNJALSHOW</t>
        </is>
      </c>
      <c r="B178" s="31" t="inlineStr">
        <is>
          <t>Munjal Showa Limited</t>
        </is>
      </c>
      <c r="C178" s="31" t="inlineStr">
        <is>
          <t>auto</t>
        </is>
      </c>
      <c r="D178" s="31" t="inlineStr">
        <is>
          <t>auto ancillaries</t>
        </is>
      </c>
      <c r="E178" s="31" t="inlineStr">
        <is>
          <t>smallcap</t>
        </is>
      </c>
      <c r="F178" s="31" t="n">
        <v>544.5700000000001</v>
      </c>
      <c r="G178" s="31" t="n">
        <v>137.35</v>
      </c>
      <c r="H178" s="31" t="n">
        <v>0.87</v>
      </c>
      <c r="I178" s="31" t="n">
        <v>60240</v>
      </c>
      <c r="J178" s="31" t="inlineStr">
        <is>
          <t>520043</t>
        </is>
      </c>
    </row>
    <row r="179">
      <c r="A179" s="31" t="inlineStr">
        <is>
          <t>TFCILTD</t>
        </is>
      </c>
      <c r="B179" s="31" t="inlineStr">
        <is>
          <t>Tourism Finance Corporation Of India Limited</t>
        </is>
      </c>
      <c r="C179" s="31" t="inlineStr">
        <is>
          <t>financials</t>
        </is>
      </c>
      <c r="D179" s="31" t="inlineStr">
        <is>
          <t>finance - term-lending institutions</t>
        </is>
      </c>
      <c r="E179" s="31" t="inlineStr">
        <is>
          <t>smallcap</t>
        </is>
      </c>
      <c r="F179" s="31" t="n">
        <v>4676.07</v>
      </c>
      <c r="G179" s="31" t="n">
        <v>101.87</v>
      </c>
      <c r="H179" s="31" t="n">
        <v>0.86</v>
      </c>
      <c r="I179" s="31" t="n">
        <v>14183735</v>
      </c>
      <c r="J179" s="31" t="inlineStr">
        <is>
          <t>526650</t>
        </is>
      </c>
    </row>
    <row r="180">
      <c r="A180" s="31" t="inlineStr">
        <is>
          <t>ONEPOINT</t>
        </is>
      </c>
      <c r="B180" s="31" t="inlineStr">
        <is>
          <t>One Point One Solutions Ltd</t>
        </is>
      </c>
      <c r="C180" s="31" t="inlineStr">
        <is>
          <t>i.t</t>
        </is>
      </c>
      <c r="D180" s="31" t="inlineStr">
        <is>
          <t>computers - software - medium / small</t>
        </is>
      </c>
      <c r="E180" s="31" t="inlineStr">
        <is>
          <t>smallcap</t>
        </is>
      </c>
      <c r="F180" s="31" t="n">
        <v>1500.84</v>
      </c>
      <c r="G180" s="31" t="n">
        <v>57.57</v>
      </c>
      <c r="H180" s="31" t="n">
        <v>0.86</v>
      </c>
      <c r="I180" s="31" t="n">
        <v>998061</v>
      </c>
      <c r="J180" s="31" t="inlineStr">
        <is>
          <t>535039</t>
        </is>
      </c>
    </row>
    <row r="181">
      <c r="A181" s="31" t="inlineStr">
        <is>
          <t>SKYGOLD</t>
        </is>
      </c>
      <c r="B181" s="31" t="inlineStr">
        <is>
          <t>Sky Gold Ltd</t>
        </is>
      </c>
      <c r="C181" s="31" t="inlineStr">
        <is>
          <t>consumer discretionary</t>
        </is>
      </c>
      <c r="D181" s="31" t="inlineStr">
        <is>
          <t>diamond cutting / jewellery</t>
        </is>
      </c>
      <c r="E181" s="31" t="inlineStr">
        <is>
          <t>midcap</t>
        </is>
      </c>
      <c r="F181" s="31" t="n">
        <v>9884.83</v>
      </c>
      <c r="G181" s="31" t="n">
        <v>643.7</v>
      </c>
      <c r="H181" s="31" t="n">
        <v>0.85</v>
      </c>
      <c r="I181" s="31" t="n">
        <v>853648</v>
      </c>
      <c r="J181" s="31" t="inlineStr">
        <is>
          <t>541967</t>
        </is>
      </c>
    </row>
    <row r="182">
      <c r="A182" s="31" t="inlineStr">
        <is>
          <t>AJANTPHARM</t>
        </is>
      </c>
      <c r="B182" s="31" t="inlineStr">
        <is>
          <t>Ajanta Pharma Limited</t>
        </is>
      </c>
      <c r="C182" s="31" t="inlineStr">
        <is>
          <t>healthcare</t>
        </is>
      </c>
      <c r="D182" s="31" t="inlineStr">
        <is>
          <t>pharmaceuticals - indian - formulations</t>
        </is>
      </c>
      <c r="E182" s="31" t="inlineStr">
        <is>
          <t>largecap</t>
        </is>
      </c>
      <c r="F182" s="31" t="n">
        <v>42932.88</v>
      </c>
      <c r="G182" s="31" t="n">
        <v>3465.2</v>
      </c>
      <c r="H182" s="31" t="n">
        <v>0.84</v>
      </c>
      <c r="I182" s="31" t="n">
        <v>212015</v>
      </c>
      <c r="J182" s="31" t="inlineStr">
        <is>
          <t>532331</t>
        </is>
      </c>
    </row>
    <row r="183">
      <c r="A183" s="31" t="inlineStr">
        <is>
          <t>INDNIPPON</t>
        </is>
      </c>
      <c r="B183" s="31" t="inlineStr">
        <is>
          <t>India Nippon Electricals Limited</t>
        </is>
      </c>
      <c r="C183" s="31" t="inlineStr">
        <is>
          <t>auto</t>
        </is>
      </c>
      <c r="D183" s="31" t="inlineStr">
        <is>
          <t>auto ancillaries</t>
        </is>
      </c>
      <c r="E183" s="31" t="inlineStr">
        <is>
          <t>smallcap</t>
        </is>
      </c>
      <c r="F183" s="31" t="n">
        <v>2625.44</v>
      </c>
      <c r="G183" s="31" t="n">
        <v>1170.4</v>
      </c>
      <c r="H183" s="31" t="n">
        <v>0.84</v>
      </c>
      <c r="I183" s="31" t="n">
        <v>25069</v>
      </c>
      <c r="J183" s="31" t="inlineStr">
        <is>
          <t>532240</t>
        </is>
      </c>
    </row>
    <row r="184">
      <c r="A184" s="31" t="inlineStr">
        <is>
          <t>TNPL</t>
        </is>
      </c>
      <c r="B184" s="31" t="inlineStr">
        <is>
          <t>Tamil Nadu Newsprint &amp; Papers Limited</t>
        </is>
      </c>
      <c r="C184" s="31" t="inlineStr">
        <is>
          <t>building materials</t>
        </is>
      </c>
      <c r="D184" s="31" t="inlineStr">
        <is>
          <t>paper</t>
        </is>
      </c>
      <c r="E184" s="31" t="inlineStr">
        <is>
          <t>smallcap</t>
        </is>
      </c>
      <c r="F184" s="31" t="n">
        <v>1034.42</v>
      </c>
      <c r="G184" s="31" t="n">
        <v>150.68</v>
      </c>
      <c r="H184" s="31" t="n">
        <v>0.82</v>
      </c>
      <c r="I184" s="31" t="n">
        <v>141539</v>
      </c>
      <c r="J184" s="31" t="inlineStr">
        <is>
          <t>531426</t>
        </is>
      </c>
    </row>
    <row r="185">
      <c r="A185" s="31" t="inlineStr">
        <is>
          <t>HCG</t>
        </is>
      </c>
      <c r="B185" s="31" t="inlineStr">
        <is>
          <t>Healthcare Global Enterprises Limited</t>
        </is>
      </c>
      <c r="C185" s="31" t="inlineStr">
        <is>
          <t>healthcare</t>
        </is>
      </c>
      <c r="D185" s="31" t="inlineStr">
        <is>
          <t>healthcare</t>
        </is>
      </c>
      <c r="E185" s="31" t="inlineStr">
        <is>
          <t>midcap</t>
        </is>
      </c>
      <c r="F185" s="31" t="n">
        <v>9998.02</v>
      </c>
      <c r="G185" s="31" t="n">
        <v>675</v>
      </c>
      <c r="H185" s="31" t="n">
        <v>0.8</v>
      </c>
      <c r="I185" s="31" t="n">
        <v>88558</v>
      </c>
      <c r="J185" s="31" t="inlineStr">
        <is>
          <t>539787</t>
        </is>
      </c>
    </row>
    <row r="186">
      <c r="A186" s="31" t="inlineStr">
        <is>
          <t>PAYTM</t>
        </is>
      </c>
      <c r="B186" s="31" t="inlineStr">
        <is>
          <t>One 97 Communications Ltd</t>
        </is>
      </c>
      <c r="C186" s="31" t="inlineStr">
        <is>
          <t>i.t</t>
        </is>
      </c>
      <c r="D186" s="31" t="inlineStr">
        <is>
          <t>miscellaneous</t>
        </is>
      </c>
      <c r="E186" s="31" t="inlineStr">
        <is>
          <t>largecap</t>
        </is>
      </c>
      <c r="F186" s="31" t="n">
        <v>85324.91</v>
      </c>
      <c r="G186" s="31" t="n">
        <v>1343</v>
      </c>
      <c r="H186" s="31" t="n">
        <v>0.79</v>
      </c>
      <c r="I186" s="31" t="n">
        <v>2303094</v>
      </c>
      <c r="J186" s="31" t="inlineStr">
        <is>
          <t>543396</t>
        </is>
      </c>
    </row>
    <row r="187">
      <c r="A187" s="31" t="inlineStr">
        <is>
          <t>BLUSPRING</t>
        </is>
      </c>
      <c r="B187" s="31" t="inlineStr">
        <is>
          <t>Bluspring Enterprises Ltd</t>
        </is>
      </c>
      <c r="C187" s="31" t="inlineStr">
        <is>
          <t>miscellaneous</t>
        </is>
      </c>
      <c r="D187" s="31" t="inlineStr">
        <is>
          <t>diversified - large</t>
        </is>
      </c>
      <c r="E187" s="31" t="inlineStr">
        <is>
          <t>smallcap</t>
        </is>
      </c>
      <c r="F187" s="31" t="n">
        <v>1705.27</v>
      </c>
      <c r="G187" s="31" t="n">
        <v>115</v>
      </c>
      <c r="H187" s="31" t="n">
        <v>0.78</v>
      </c>
      <c r="I187" s="31" t="n">
        <v>439811</v>
      </c>
      <c r="J187" s="31" t="inlineStr">
        <is>
          <t>544414</t>
        </is>
      </c>
    </row>
    <row r="188">
      <c r="A188" s="31" t="inlineStr">
        <is>
          <t>BHARTIARTL</t>
        </is>
      </c>
      <c r="B188" s="31" t="inlineStr">
        <is>
          <t>Bharti Airtel Limited</t>
        </is>
      </c>
      <c r="C188" s="31" t="inlineStr">
        <is>
          <t>telecom-service</t>
        </is>
      </c>
      <c r="D188" s="31" t="inlineStr">
        <is>
          <t>telecommunications - service provider</t>
        </is>
      </c>
      <c r="E188" s="31" t="inlineStr">
        <is>
          <t>largecap</t>
        </is>
      </c>
      <c r="F188" s="31" t="n">
        <v>1221269.08</v>
      </c>
      <c r="G188" s="31" t="n">
        <v>1972</v>
      </c>
      <c r="H188" s="31" t="n">
        <v>0.78</v>
      </c>
      <c r="I188" s="31" t="n">
        <v>6529385</v>
      </c>
      <c r="J188" s="31" t="inlineStr">
        <is>
          <t>532454</t>
        </is>
      </c>
    </row>
    <row r="189">
      <c r="A189" s="31" t="inlineStr">
        <is>
          <t>BAJAJ-AUTO</t>
        </is>
      </c>
      <c r="B189" s="31" t="inlineStr">
        <is>
          <t>Bajaj Auto Limited</t>
        </is>
      </c>
      <c r="C189" s="31" t="inlineStr">
        <is>
          <t>auto</t>
        </is>
      </c>
      <c r="D189" s="31" t="inlineStr">
        <is>
          <t>automobiles - scooters and 3 - wheelers</t>
        </is>
      </c>
      <c r="E189" s="31" t="inlineStr">
        <is>
          <t>largecap</t>
        </is>
      </c>
      <c r="F189" s="31" t="n">
        <v>319521.93</v>
      </c>
      <c r="G189" s="31" t="n">
        <v>11520.5</v>
      </c>
      <c r="H189" s="31" t="n">
        <v>0.77</v>
      </c>
      <c r="I189" s="31" t="n">
        <v>214380</v>
      </c>
      <c r="J189" s="31" t="inlineStr">
        <is>
          <t>532977</t>
        </is>
      </c>
    </row>
    <row r="190">
      <c r="A190" s="31" t="inlineStr">
        <is>
          <t>SONACOMS</t>
        </is>
      </c>
      <c r="B190" s="31" t="inlineStr">
        <is>
          <t>Sona BLW Precision Forgings Ltd</t>
        </is>
      </c>
      <c r="C190" s="31" t="inlineStr">
        <is>
          <t>auto</t>
        </is>
      </c>
      <c r="D190" s="31" t="inlineStr">
        <is>
          <t>auto ancillaries</t>
        </is>
      </c>
      <c r="E190" s="31" t="inlineStr">
        <is>
          <t>largecap</t>
        </is>
      </c>
      <c r="F190" s="31" t="n">
        <v>47507.91</v>
      </c>
      <c r="G190" s="31" t="n">
        <v>769.4</v>
      </c>
      <c r="H190" s="31" t="n">
        <v>0.74</v>
      </c>
      <c r="I190" s="31" t="n">
        <v>2881505</v>
      </c>
      <c r="J190" s="31" t="inlineStr">
        <is>
          <t>543300</t>
        </is>
      </c>
    </row>
    <row r="191">
      <c r="A191" s="31" t="inlineStr">
        <is>
          <t>CUPID</t>
        </is>
      </c>
      <c r="B191" s="31" t="inlineStr">
        <is>
          <t>Cupid Limited</t>
        </is>
      </c>
      <c r="C191" s="31" t="inlineStr">
        <is>
          <t>fmcg</t>
        </is>
      </c>
      <c r="D191" s="31" t="inlineStr">
        <is>
          <t>personal care - indian</t>
        </is>
      </c>
      <c r="E191" s="31" t="inlineStr">
        <is>
          <t>largecap</t>
        </is>
      </c>
      <c r="F191" s="31" t="n">
        <v>30784.66</v>
      </c>
      <c r="G191" s="31" t="n">
        <v>230.62</v>
      </c>
      <c r="H191" s="31" t="n">
        <v>0.73</v>
      </c>
      <c r="I191" s="31" t="n">
        <v>12459095</v>
      </c>
      <c r="J191" s="31" t="inlineStr">
        <is>
          <t>530843</t>
        </is>
      </c>
    </row>
    <row r="192">
      <c r="A192" s="31" t="inlineStr">
        <is>
          <t>STYLAMIND</t>
        </is>
      </c>
      <c r="B192" s="31" t="inlineStr">
        <is>
          <t>Stylam Industries Ltd</t>
        </is>
      </c>
      <c r="C192" s="31" t="inlineStr">
        <is>
          <t>building materials</t>
        </is>
      </c>
      <c r="D192" s="31" t="inlineStr">
        <is>
          <t>miscellaneous</t>
        </is>
      </c>
      <c r="E192" s="31" t="inlineStr">
        <is>
          <t>midcap</t>
        </is>
      </c>
      <c r="F192" s="31" t="n">
        <v>5693.53</v>
      </c>
      <c r="G192" s="31" t="n">
        <v>3384</v>
      </c>
      <c r="H192" s="31" t="n">
        <v>0.73</v>
      </c>
      <c r="I192" s="31" t="n">
        <v>22210</v>
      </c>
      <c r="J192" s="31" t="inlineStr">
        <is>
          <t>526951</t>
        </is>
      </c>
    </row>
    <row r="193">
      <c r="A193" s="31" t="inlineStr">
        <is>
          <t>CENTURYPLY</t>
        </is>
      </c>
      <c r="B193" s="31" t="inlineStr">
        <is>
          <t>Century Plyboards (india) Limited</t>
        </is>
      </c>
      <c r="C193" s="31" t="inlineStr">
        <is>
          <t>building materials</t>
        </is>
      </c>
      <c r="D193" s="31" t="inlineStr">
        <is>
          <t>miscellaneous</t>
        </is>
      </c>
      <c r="E193" s="31" t="inlineStr">
        <is>
          <t>midcap</t>
        </is>
      </c>
      <c r="F193" s="31" t="n">
        <v>17634.98</v>
      </c>
      <c r="G193" s="31" t="n">
        <v>799.5</v>
      </c>
      <c r="H193" s="31" t="n">
        <v>0.72</v>
      </c>
      <c r="I193" s="31" t="n">
        <v>764788</v>
      </c>
      <c r="J193" s="31" t="inlineStr">
        <is>
          <t>532548</t>
        </is>
      </c>
    </row>
    <row r="194">
      <c r="A194" s="31" t="inlineStr">
        <is>
          <t>SBILIFE</t>
        </is>
      </c>
      <c r="B194" s="31" t="inlineStr">
        <is>
          <t>SBI Life Insurance Company Ltd</t>
        </is>
      </c>
      <c r="C194" s="31" t="inlineStr">
        <is>
          <t>financials</t>
        </is>
      </c>
      <c r="D194" s="31" t="inlineStr">
        <is>
          <t>finance &amp; investments</t>
        </is>
      </c>
      <c r="E194" s="31" t="inlineStr">
        <is>
          <t>largecap</t>
        </is>
      </c>
      <c r="F194" s="31" t="n">
        <v>188358.41</v>
      </c>
      <c r="G194" s="31" t="n">
        <v>1890.5</v>
      </c>
      <c r="H194" s="31" t="n">
        <v>0.6899999999999999</v>
      </c>
      <c r="I194" s="31" t="n">
        <v>723852</v>
      </c>
      <c r="J194" s="31" t="inlineStr">
        <is>
          <t>540719</t>
        </is>
      </c>
    </row>
    <row r="195">
      <c r="A195" s="31" t="inlineStr">
        <is>
          <t>PRIMO</t>
        </is>
      </c>
      <c r="B195" s="31" t="inlineStr">
        <is>
          <t>Primo Chemicals Ltd</t>
        </is>
      </c>
      <c r="C195" s="31" t="inlineStr">
        <is>
          <t>chemicals</t>
        </is>
      </c>
      <c r="D195" s="31" t="inlineStr">
        <is>
          <t>chlor alkali / soda ash</t>
        </is>
      </c>
      <c r="E195" s="31" t="inlineStr">
        <is>
          <t>smallcap</t>
        </is>
      </c>
      <c r="F195" s="31" t="n">
        <v>607.55</v>
      </c>
      <c r="G195" s="31" t="n">
        <v>25.24</v>
      </c>
      <c r="H195" s="31" t="n">
        <v>0.68</v>
      </c>
      <c r="I195" s="31" t="n">
        <v>287446</v>
      </c>
      <c r="J195" s="31" t="inlineStr">
        <is>
          <t>506852</t>
        </is>
      </c>
    </row>
    <row r="196">
      <c r="A196" s="31" t="inlineStr">
        <is>
          <t>RITCO</t>
        </is>
      </c>
      <c r="B196" s="31" t="inlineStr">
        <is>
          <t>Ritco Logistics Ltd</t>
        </is>
      </c>
      <c r="C196" s="31" t="inlineStr">
        <is>
          <t>transportation</t>
        </is>
      </c>
      <c r="D196" s="31" t="inlineStr">
        <is>
          <t>miscellaneous</t>
        </is>
      </c>
      <c r="E196" s="31" t="inlineStr">
        <is>
          <t>smallcap</t>
        </is>
      </c>
      <c r="F196" s="31" t="n">
        <v>838.79</v>
      </c>
      <c r="G196" s="31" t="n">
        <v>295</v>
      </c>
      <c r="H196" s="31" t="n">
        <v>0.67</v>
      </c>
      <c r="I196" s="31" t="n">
        <v>124191</v>
      </c>
      <c r="J196" s="31" t="inlineStr">
        <is>
          <t>542383</t>
        </is>
      </c>
    </row>
    <row r="197">
      <c r="A197" s="31" t="inlineStr">
        <is>
          <t>UNOMINDA</t>
        </is>
      </c>
      <c r="B197" s="31" t="inlineStr">
        <is>
          <t>Uno Minda Ltd</t>
        </is>
      </c>
      <c r="C197" s="31" t="inlineStr">
        <is>
          <t>auto</t>
        </is>
      </c>
      <c r="D197" s="31" t="inlineStr">
        <is>
          <t>auto ancillaries</t>
        </is>
      </c>
      <c r="E197" s="31" t="inlineStr">
        <is>
          <t>largecap</t>
        </is>
      </c>
      <c r="F197" s="31" t="n">
        <v>67725.35000000001</v>
      </c>
      <c r="G197" s="31" t="n">
        <v>1180.5</v>
      </c>
      <c r="H197" s="31" t="n">
        <v>0.66</v>
      </c>
      <c r="I197" s="31" t="n">
        <v>777120</v>
      </c>
      <c r="J197" s="31" t="inlineStr">
        <is>
          <t>532539</t>
        </is>
      </c>
    </row>
    <row r="198">
      <c r="A198" s="31" t="inlineStr">
        <is>
          <t>ARROWGREEN</t>
        </is>
      </c>
      <c r="B198" s="31" t="inlineStr">
        <is>
          <t>Arrow Greentech Limited</t>
        </is>
      </c>
      <c r="C198" s="31" t="inlineStr">
        <is>
          <t>plastic products</t>
        </is>
      </c>
      <c r="D198" s="31" t="inlineStr">
        <is>
          <t>plastics products</t>
        </is>
      </c>
      <c r="E198" s="31" t="inlineStr">
        <is>
          <t>smallcap</t>
        </is>
      </c>
      <c r="F198" s="31" t="n">
        <v>1094.33</v>
      </c>
      <c r="G198" s="31" t="n">
        <v>730</v>
      </c>
      <c r="H198" s="31" t="n">
        <v>0.65</v>
      </c>
      <c r="I198" s="31" t="n">
        <v>11464</v>
      </c>
      <c r="J198" s="31" t="inlineStr">
        <is>
          <t>516064</t>
        </is>
      </c>
    </row>
    <row r="199">
      <c r="A199" s="31" t="inlineStr">
        <is>
          <t>ENTERO</t>
        </is>
      </c>
      <c r="B199" s="31" t="inlineStr">
        <is>
          <t>Entero Healthcare Solutions Ltd</t>
        </is>
      </c>
      <c r="C199" s="31" t="inlineStr">
        <is>
          <t>healthcare</t>
        </is>
      </c>
      <c r="D199" s="31" t="inlineStr">
        <is>
          <t>trading</t>
        </is>
      </c>
      <c r="E199" s="31" t="inlineStr">
        <is>
          <t>midcap</t>
        </is>
      </c>
      <c r="F199" s="31" t="n">
        <v>5409.92</v>
      </c>
      <c r="G199" s="31" t="n">
        <v>1251</v>
      </c>
      <c r="H199" s="31" t="n">
        <v>0.64</v>
      </c>
      <c r="I199" s="31" t="n">
        <v>43592</v>
      </c>
      <c r="J199" s="31" t="inlineStr">
        <is>
          <t>544122</t>
        </is>
      </c>
    </row>
    <row r="200">
      <c r="A200" s="31" t="inlineStr">
        <is>
          <t>KARURVYSYA</t>
        </is>
      </c>
      <c r="B200" s="31" t="inlineStr">
        <is>
          <t>Karur Vysya Bank Limited</t>
        </is>
      </c>
      <c r="C200" s="31" t="inlineStr">
        <is>
          <t>bank</t>
        </is>
      </c>
      <c r="D200" s="31" t="inlineStr">
        <is>
          <t>banks - private sector</t>
        </is>
      </c>
      <c r="E200" s="31" t="inlineStr">
        <is>
          <t>largecap</t>
        </is>
      </c>
      <c r="F200" s="31" t="n">
        <v>32895.74</v>
      </c>
      <c r="G200" s="31" t="n">
        <v>342.45</v>
      </c>
      <c r="H200" s="31" t="n">
        <v>0.63</v>
      </c>
      <c r="I200" s="31" t="n">
        <v>2390168</v>
      </c>
      <c r="J200" s="31" t="inlineStr">
        <is>
          <t>590003</t>
        </is>
      </c>
    </row>
    <row r="201">
      <c r="A201" s="31" t="inlineStr">
        <is>
          <t>GODREJIND</t>
        </is>
      </c>
      <c r="B201" s="31" t="inlineStr">
        <is>
          <t>Godrej Industries Limited</t>
        </is>
      </c>
      <c r="C201" s="31" t="inlineStr">
        <is>
          <t>chemicals</t>
        </is>
      </c>
      <c r="D201" s="31" t="inlineStr">
        <is>
          <t>chemicals</t>
        </is>
      </c>
      <c r="E201" s="31" t="inlineStr">
        <is>
          <t>largecap</t>
        </is>
      </c>
      <c r="F201" s="31" t="n">
        <v>44101.23</v>
      </c>
      <c r="G201" s="31" t="n">
        <v>1317.6</v>
      </c>
      <c r="H201" s="31" t="n">
        <v>0.63</v>
      </c>
      <c r="I201" s="31" t="n">
        <v>48778</v>
      </c>
      <c r="J201" s="31" t="inlineStr">
        <is>
          <t>500164</t>
        </is>
      </c>
    </row>
    <row r="202">
      <c r="A202" s="31" t="inlineStr">
        <is>
          <t>PNGJL</t>
        </is>
      </c>
      <c r="B202" s="31" t="inlineStr">
        <is>
          <t>P N Gadgil Jewellers Ltd</t>
        </is>
      </c>
      <c r="C202" s="31" t="inlineStr">
        <is>
          <t>consumer discretionary</t>
        </is>
      </c>
      <c r="D202" s="31" t="inlineStr">
        <is>
          <t>diamond cutting / jewellery</t>
        </is>
      </c>
      <c r="E202" s="31" t="inlineStr">
        <is>
          <t>midcap</t>
        </is>
      </c>
      <c r="F202" s="31" t="n">
        <v>9040.209999999999</v>
      </c>
      <c r="G202" s="31" t="n">
        <v>670.3</v>
      </c>
      <c r="H202" s="31" t="n">
        <v>0.62</v>
      </c>
      <c r="I202" s="31" t="n">
        <v>838071</v>
      </c>
      <c r="J202" s="31" t="n"/>
    </row>
    <row r="203">
      <c r="A203" s="31" t="inlineStr">
        <is>
          <t>DIVGIITTS</t>
        </is>
      </c>
      <c r="B203" s="31" t="inlineStr">
        <is>
          <t>Divgi Torqtransfer Systems Ltd</t>
        </is>
      </c>
      <c r="C203" s="31" t="inlineStr">
        <is>
          <t>auto</t>
        </is>
      </c>
      <c r="D203" s="31" t="inlineStr">
        <is>
          <t>auto ancillaries</t>
        </is>
      </c>
      <c r="E203" s="31" t="inlineStr">
        <is>
          <t>smallcap</t>
        </is>
      </c>
      <c r="F203" s="31" t="n">
        <v>2917.92</v>
      </c>
      <c r="G203" s="31" t="n">
        <v>960</v>
      </c>
      <c r="H203" s="31" t="n">
        <v>0.62</v>
      </c>
      <c r="I203" s="31" t="n">
        <v>46454</v>
      </c>
      <c r="J203" s="31" t="inlineStr">
        <is>
          <t>543812</t>
        </is>
      </c>
    </row>
    <row r="204">
      <c r="A204" s="31" t="inlineStr">
        <is>
          <t>PERSISTENT</t>
        </is>
      </c>
      <c r="B204" s="31" t="inlineStr">
        <is>
          <t>Persistent Systems Limited</t>
        </is>
      </c>
      <c r="C204" s="31" t="inlineStr">
        <is>
          <t>i.t</t>
        </is>
      </c>
      <c r="D204" s="31" t="inlineStr">
        <is>
          <t>computers - software - large</t>
        </is>
      </c>
      <c r="E204" s="31" t="inlineStr">
        <is>
          <t>largecap</t>
        </is>
      </c>
      <c r="F204" s="31" t="n">
        <v>86994.39</v>
      </c>
      <c r="G204" s="31" t="n">
        <v>5549</v>
      </c>
      <c r="H204" s="31" t="n">
        <v>0.62</v>
      </c>
      <c r="I204" s="31" t="n">
        <v>1471276</v>
      </c>
      <c r="J204" s="31" t="inlineStr">
        <is>
          <t>533179</t>
        </is>
      </c>
    </row>
    <row r="205">
      <c r="A205" s="31" t="inlineStr">
        <is>
          <t>RAIN</t>
        </is>
      </c>
      <c r="B205" s="31" t="inlineStr">
        <is>
          <t>Rain Industries Limited</t>
        </is>
      </c>
      <c r="C205" s="31" t="inlineStr">
        <is>
          <t>miscellaneous</t>
        </is>
      </c>
      <c r="D205" s="31" t="inlineStr">
        <is>
          <t>miscellaneous</t>
        </is>
      </c>
      <c r="E205" s="31" t="inlineStr">
        <is>
          <t>midcap</t>
        </is>
      </c>
      <c r="F205" s="31" t="n">
        <v>7455.77</v>
      </c>
      <c r="G205" s="31" t="n">
        <v>222.95</v>
      </c>
      <c r="H205" s="31" t="n">
        <v>0.58</v>
      </c>
      <c r="I205" s="31" t="n">
        <v>3089916</v>
      </c>
      <c r="J205" s="31" t="inlineStr">
        <is>
          <t>500339</t>
        </is>
      </c>
    </row>
    <row r="206">
      <c r="A206" s="31" t="inlineStr">
        <is>
          <t>KANORICHEM</t>
        </is>
      </c>
      <c r="B206" s="31" t="inlineStr">
        <is>
          <t>Kanoria Chemicals &amp; Industries Limited</t>
        </is>
      </c>
      <c r="C206" s="31" t="inlineStr">
        <is>
          <t>chemicals</t>
        </is>
      </c>
      <c r="D206" s="31" t="inlineStr">
        <is>
          <t>chemicals</t>
        </is>
      </c>
      <c r="E206" s="31" t="inlineStr">
        <is>
          <t>smallcap</t>
        </is>
      </c>
      <c r="F206" s="31" t="n">
        <v>625.6</v>
      </c>
      <c r="G206" s="31" t="n">
        <v>143.98</v>
      </c>
      <c r="H206" s="31" t="n">
        <v>0.5600000000000001</v>
      </c>
      <c r="I206" s="31" t="n">
        <v>41169</v>
      </c>
      <c r="J206" s="31" t="inlineStr">
        <is>
          <t>506525</t>
        </is>
      </c>
    </row>
    <row r="207">
      <c r="A207" s="31" t="inlineStr">
        <is>
          <t>GANDHITUBE</t>
        </is>
      </c>
      <c r="B207" s="31" t="inlineStr">
        <is>
          <t>Gandhi Special Tubes Limited</t>
        </is>
      </c>
      <c r="C207" s="31" t="inlineStr">
        <is>
          <t>metals &amp; mining</t>
        </is>
      </c>
      <c r="D207" s="31" t="inlineStr">
        <is>
          <t>steel - medium / small</t>
        </is>
      </c>
      <c r="E207" s="31" t="inlineStr">
        <is>
          <t>smallcap</t>
        </is>
      </c>
      <c r="F207" s="31" t="n">
        <v>1062.33</v>
      </c>
      <c r="G207" s="31" t="n">
        <v>879</v>
      </c>
      <c r="H207" s="31" t="n">
        <v>0.55</v>
      </c>
      <c r="I207" s="31" t="n">
        <v>5099</v>
      </c>
      <c r="J207" s="31" t="inlineStr">
        <is>
          <t>513108</t>
        </is>
      </c>
    </row>
    <row r="208">
      <c r="A208" s="31" t="inlineStr">
        <is>
          <t>CONSOFINVT</t>
        </is>
      </c>
      <c r="B208" s="31" t="inlineStr">
        <is>
          <t>Consolidated Finvest &amp; Holdings Limited</t>
        </is>
      </c>
      <c r="C208" s="31" t="inlineStr">
        <is>
          <t>financials</t>
        </is>
      </c>
      <c r="D208" s="31" t="inlineStr">
        <is>
          <t>finance &amp; investments</t>
        </is>
      </c>
      <c r="E208" s="31" t="inlineStr">
        <is>
          <t>smallcap</t>
        </is>
      </c>
      <c r="F208" s="31" t="n">
        <v>964.62</v>
      </c>
      <c r="G208" s="31" t="n">
        <v>300</v>
      </c>
      <c r="H208" s="31" t="n">
        <v>0.54</v>
      </c>
      <c r="I208" s="31" t="n">
        <v>11161</v>
      </c>
      <c r="J208" s="31" t="inlineStr">
        <is>
          <t>500226</t>
        </is>
      </c>
    </row>
    <row r="209">
      <c r="A209" s="31" t="inlineStr">
        <is>
          <t>PFIZER</t>
        </is>
      </c>
      <c r="B209" s="31" t="inlineStr">
        <is>
          <t>Pfizer Limited</t>
        </is>
      </c>
      <c r="C209" s="31" t="inlineStr">
        <is>
          <t>healthcare</t>
        </is>
      </c>
      <c r="D209" s="31" t="inlineStr">
        <is>
          <t>pharmaceuticals - multinational</t>
        </is>
      </c>
      <c r="E209" s="31" t="inlineStr">
        <is>
          <t>largecap</t>
        </is>
      </c>
      <c r="F209" s="31" t="n">
        <v>21964.86</v>
      </c>
      <c r="G209" s="31" t="n">
        <v>4826.8</v>
      </c>
      <c r="H209" s="31" t="n">
        <v>0.53</v>
      </c>
      <c r="I209" s="31" t="n">
        <v>26661</v>
      </c>
      <c r="J209" s="31" t="inlineStr">
        <is>
          <t>500680</t>
        </is>
      </c>
    </row>
    <row r="210">
      <c r="A210" s="31" t="inlineStr">
        <is>
          <t>TITAN</t>
        </is>
      </c>
      <c r="B210" s="31" t="inlineStr">
        <is>
          <t>Titan Company Limited</t>
        </is>
      </c>
      <c r="C210" s="31" t="inlineStr">
        <is>
          <t>consumer discretionary</t>
        </is>
      </c>
      <c r="D210" s="31" t="inlineStr">
        <is>
          <t>diamond cutting / jewellery</t>
        </is>
      </c>
      <c r="E210" s="31" t="inlineStr">
        <is>
          <t>largecap</t>
        </is>
      </c>
      <c r="F210" s="31" t="n">
        <v>430576.29</v>
      </c>
      <c r="G210" s="31" t="n">
        <v>4875.2</v>
      </c>
      <c r="H210" s="31" t="n">
        <v>0.52</v>
      </c>
      <c r="I210" s="31" t="n">
        <v>1003394</v>
      </c>
      <c r="J210" s="31" t="inlineStr">
        <is>
          <t>500114</t>
        </is>
      </c>
    </row>
    <row r="211">
      <c r="A211" s="31" t="inlineStr">
        <is>
          <t>HAPPYFORGE</t>
        </is>
      </c>
      <c r="B211" s="31" t="inlineStr">
        <is>
          <t>Happy Forgings Ltd</t>
        </is>
      </c>
      <c r="C211" s="31" t="inlineStr">
        <is>
          <t>industrials</t>
        </is>
      </c>
      <c r="D211" s="31" t="inlineStr">
        <is>
          <t>castings &amp; forgings</t>
        </is>
      </c>
      <c r="E211" s="31" t="inlineStr">
        <is>
          <t>midcap</t>
        </is>
      </c>
      <c r="F211" s="31" t="n">
        <v>15681.97</v>
      </c>
      <c r="G211" s="31" t="n">
        <v>1669.8</v>
      </c>
      <c r="H211" s="31" t="n">
        <v>0.49</v>
      </c>
      <c r="I211" s="31" t="n">
        <v>43598</v>
      </c>
      <c r="J211" s="31" t="inlineStr">
        <is>
          <t>544057</t>
        </is>
      </c>
    </row>
    <row r="212">
      <c r="A212" s="31" t="inlineStr">
        <is>
          <t>ULTRACEMCO</t>
        </is>
      </c>
      <c r="B212" s="31" t="inlineStr">
        <is>
          <t>Ultratech Cement Limited</t>
        </is>
      </c>
      <c r="C212" s="31" t="inlineStr">
        <is>
          <t>building materials</t>
        </is>
      </c>
      <c r="D212" s="31" t="inlineStr">
        <is>
          <t>cement - north india</t>
        </is>
      </c>
      <c r="E212" s="31" t="inlineStr">
        <is>
          <t>largecap</t>
        </is>
      </c>
      <c r="F212" s="31" t="n">
        <v>349106.41</v>
      </c>
      <c r="G212" s="31" t="n">
        <v>11903</v>
      </c>
      <c r="H212" s="31" t="n">
        <v>0.47</v>
      </c>
      <c r="I212" s="31" t="n">
        <v>390473</v>
      </c>
      <c r="J212" s="31" t="inlineStr">
        <is>
          <t>532538</t>
        </is>
      </c>
    </row>
    <row r="213">
      <c r="A213" s="31" t="inlineStr">
        <is>
          <t>CIPLA</t>
        </is>
      </c>
      <c r="B213" s="31" t="inlineStr">
        <is>
          <t>Cipla Limited</t>
        </is>
      </c>
      <c r="C213" s="31" t="inlineStr">
        <is>
          <t>healthcare</t>
        </is>
      </c>
      <c r="D213" s="31" t="inlineStr">
        <is>
          <t>pharmaceuticals - indian - bulk drugs &amp; formln</t>
        </is>
      </c>
      <c r="E213" s="31" t="inlineStr">
        <is>
          <t>largecap</t>
        </is>
      </c>
      <c r="F213" s="31" t="n">
        <v>118462.44</v>
      </c>
      <c r="G213" s="31" t="n">
        <v>1473.2</v>
      </c>
      <c r="H213" s="31" t="n">
        <v>0.46</v>
      </c>
      <c r="I213" s="31" t="n">
        <v>1223405</v>
      </c>
      <c r="J213" s="31" t="inlineStr">
        <is>
          <t>500087</t>
        </is>
      </c>
    </row>
    <row r="214">
      <c r="A214" s="31" t="inlineStr">
        <is>
          <t>NAHARSPING</t>
        </is>
      </c>
      <c r="B214" s="31" t="inlineStr">
        <is>
          <t>Nahar Spinning Mills Limited</t>
        </is>
      </c>
      <c r="C214" s="31" t="inlineStr">
        <is>
          <t>textiles</t>
        </is>
      </c>
      <c r="D214" s="31" t="inlineStr">
        <is>
          <t>textiles - cotton/blended</t>
        </is>
      </c>
      <c r="E214" s="31" t="inlineStr">
        <is>
          <t>smallcap</t>
        </is>
      </c>
      <c r="F214" s="31" t="n">
        <v>1001.71</v>
      </c>
      <c r="G214" s="31" t="n">
        <v>279</v>
      </c>
      <c r="H214" s="31" t="n">
        <v>0.45</v>
      </c>
      <c r="I214" s="31" t="n">
        <v>7021</v>
      </c>
      <c r="J214" s="31" t="inlineStr">
        <is>
          <t>500296</t>
        </is>
      </c>
    </row>
    <row r="215">
      <c r="A215" s="31" t="inlineStr">
        <is>
          <t>ARE&amp;M</t>
        </is>
      </c>
      <c r="B215" s="31" t="inlineStr">
        <is>
          <t>Amara Raja Energy &amp; Mobility Ltd</t>
        </is>
      </c>
      <c r="C215" s="31" t="inlineStr">
        <is>
          <t>auto</t>
        </is>
      </c>
      <c r="D215" s="31" t="inlineStr">
        <is>
          <t>auto ancillaries</t>
        </is>
      </c>
      <c r="E215" s="31" t="inlineStr">
        <is>
          <t>midcap</t>
        </is>
      </c>
      <c r="F215" s="31" t="n">
        <v>16597.66</v>
      </c>
      <c r="G215" s="31" t="n">
        <v>910.45</v>
      </c>
      <c r="H215" s="31" t="n">
        <v>0.4</v>
      </c>
      <c r="I215" s="31" t="n">
        <v>1595035</v>
      </c>
      <c r="J215" s="31" t="inlineStr">
        <is>
          <t>500008</t>
        </is>
      </c>
    </row>
    <row r="216">
      <c r="A216" s="31" t="inlineStr">
        <is>
          <t>CAMS</t>
        </is>
      </c>
      <c r="B216" s="31" t="inlineStr">
        <is>
          <t>Computer Age Management Services Ltd</t>
        </is>
      </c>
      <c r="C216" s="31" t="inlineStr">
        <is>
          <t>financials</t>
        </is>
      </c>
      <c r="D216" s="31" t="inlineStr">
        <is>
          <t>miscellaneous</t>
        </is>
      </c>
      <c r="E216" s="31" t="inlineStr">
        <is>
          <t>midcap</t>
        </is>
      </c>
      <c r="F216" s="31" t="n">
        <v>19686.36</v>
      </c>
      <c r="G216" s="31" t="n">
        <v>796.15</v>
      </c>
      <c r="H216" s="31" t="n">
        <v>0.38</v>
      </c>
      <c r="I216" s="31" t="n">
        <v>928854</v>
      </c>
      <c r="J216" s="31" t="inlineStr">
        <is>
          <t>543232</t>
        </is>
      </c>
    </row>
    <row r="217">
      <c r="A217" s="31" t="inlineStr">
        <is>
          <t>GUJALKALI</t>
        </is>
      </c>
      <c r="B217" s="31" t="inlineStr">
        <is>
          <t>Gujarat Alkalies And Chemicals Limited</t>
        </is>
      </c>
      <c r="C217" s="31" t="inlineStr">
        <is>
          <t>chemicals</t>
        </is>
      </c>
      <c r="D217" s="31" t="inlineStr">
        <is>
          <t>chemicals</t>
        </is>
      </c>
      <c r="E217" s="31" t="inlineStr">
        <is>
          <t>smallcap</t>
        </is>
      </c>
      <c r="F217" s="31" t="n">
        <v>4907.79</v>
      </c>
      <c r="G217" s="31" t="n">
        <v>670.8</v>
      </c>
      <c r="H217" s="31" t="n">
        <v>0.37</v>
      </c>
      <c r="I217" s="31" t="n">
        <v>67204</v>
      </c>
      <c r="J217" s="31" t="inlineStr">
        <is>
          <t>530001</t>
        </is>
      </c>
    </row>
    <row r="218">
      <c r="A218" s="31" t="inlineStr">
        <is>
          <t>OIL</t>
        </is>
      </c>
      <c r="B218" s="31" t="inlineStr">
        <is>
          <t>Oil India Limited</t>
        </is>
      </c>
      <c r="C218" s="31" t="inlineStr">
        <is>
          <t>energy</t>
        </is>
      </c>
      <c r="D218" s="31" t="inlineStr">
        <is>
          <t>oil drilling / allied services</t>
        </is>
      </c>
      <c r="E218" s="31" t="inlineStr">
        <is>
          <t>largecap</t>
        </is>
      </c>
      <c r="F218" s="31" t="n">
        <v>74319.71000000001</v>
      </c>
      <c r="G218" s="31" t="n">
        <v>458.6</v>
      </c>
      <c r="H218" s="31" t="n">
        <v>0.37</v>
      </c>
      <c r="I218" s="31" t="n">
        <v>1629594</v>
      </c>
      <c r="J218" s="31" t="inlineStr">
        <is>
          <t>533106</t>
        </is>
      </c>
    </row>
    <row r="219">
      <c r="A219" s="31" t="inlineStr">
        <is>
          <t>MARUTI</t>
        </is>
      </c>
      <c r="B219" s="31" t="inlineStr">
        <is>
          <t>Maruti Suzuki India Limited</t>
        </is>
      </c>
      <c r="C219" s="31" t="inlineStr">
        <is>
          <t>auto</t>
        </is>
      </c>
      <c r="D219" s="31" t="inlineStr">
        <is>
          <t>automobiles - passenger cars</t>
        </is>
      </c>
      <c r="E219" s="31" t="inlineStr">
        <is>
          <t>largecap</t>
        </is>
      </c>
      <c r="F219" s="31" t="n">
        <v>446074.37</v>
      </c>
      <c r="G219" s="31" t="n">
        <v>14234</v>
      </c>
      <c r="H219" s="31" t="n">
        <v>0.32</v>
      </c>
      <c r="I219" s="31" t="n">
        <v>535417</v>
      </c>
      <c r="J219" s="31" t="inlineStr">
        <is>
          <t>532500</t>
        </is>
      </c>
    </row>
    <row r="220">
      <c r="A220" s="31" t="inlineStr">
        <is>
          <t>RAINBOW</t>
        </is>
      </c>
      <c r="B220" s="31" t="inlineStr">
        <is>
          <t>Rainbow Childrens Medicare Ltd</t>
        </is>
      </c>
      <c r="C220" s="31" t="inlineStr">
        <is>
          <t>healthcare</t>
        </is>
      </c>
      <c r="D220" s="31" t="inlineStr">
        <is>
          <t>healthcare</t>
        </is>
      </c>
      <c r="E220" s="31" t="inlineStr">
        <is>
          <t>midcap</t>
        </is>
      </c>
      <c r="F220" s="31" t="n">
        <v>15443.09</v>
      </c>
      <c r="G220" s="31" t="n">
        <v>1525</v>
      </c>
      <c r="H220" s="31" t="n">
        <v>0.29</v>
      </c>
      <c r="I220" s="31" t="n">
        <v>179707</v>
      </c>
      <c r="J220" s="31" t="inlineStr">
        <is>
          <t>543524</t>
        </is>
      </c>
    </row>
    <row r="221">
      <c r="A221" s="31" t="inlineStr">
        <is>
          <t>AUROPHARMA</t>
        </is>
      </c>
      <c r="B221" s="31" t="inlineStr">
        <is>
          <t>Aurobindo Pharma Limited</t>
        </is>
      </c>
      <c r="C221" s="31" t="inlineStr">
        <is>
          <t>healthcare</t>
        </is>
      </c>
      <c r="D221" s="31" t="inlineStr">
        <is>
          <t>pharmaceuticals - indian - bulk drugs &amp; formln</t>
        </is>
      </c>
      <c r="E221" s="31" t="inlineStr">
        <is>
          <t>largecap</t>
        </is>
      </c>
      <c r="F221" s="31" t="n">
        <v>90696.82000000001</v>
      </c>
      <c r="G221" s="31" t="n">
        <v>1580.2</v>
      </c>
      <c r="H221" s="31" t="n">
        <v>0.25</v>
      </c>
      <c r="I221" s="31" t="n">
        <v>440501</v>
      </c>
      <c r="J221" s="31" t="inlineStr">
        <is>
          <t>524804</t>
        </is>
      </c>
    </row>
    <row r="222">
      <c r="A222" s="31" t="inlineStr">
        <is>
          <t>CENTENKA</t>
        </is>
      </c>
      <c r="B222" s="31" t="inlineStr">
        <is>
          <t>Century Enka Limited</t>
        </is>
      </c>
      <c r="C222" s="31" t="inlineStr">
        <is>
          <t>textiles</t>
        </is>
      </c>
      <c r="D222" s="31" t="inlineStr">
        <is>
          <t>textiles - manmade</t>
        </is>
      </c>
      <c r="E222" s="31" t="inlineStr">
        <is>
          <t>smallcap</t>
        </is>
      </c>
      <c r="F222" s="31" t="n">
        <v>1324.15</v>
      </c>
      <c r="G222" s="31" t="n">
        <v>607.5</v>
      </c>
      <c r="H222" s="31" t="n">
        <v>0.25</v>
      </c>
      <c r="I222" s="31" t="n">
        <v>110047</v>
      </c>
      <c r="J222" s="31" t="inlineStr">
        <is>
          <t>500280</t>
        </is>
      </c>
    </row>
    <row r="223">
      <c r="A223" s="31" t="inlineStr">
        <is>
          <t>LANDMARK</t>
        </is>
      </c>
      <c r="B223" s="31" t="inlineStr">
        <is>
          <t>Landmark Cars Ltd</t>
        </is>
      </c>
      <c r="C223" s="31" t="inlineStr">
        <is>
          <t>consumer discretionary</t>
        </is>
      </c>
      <c r="D223" s="31" t="inlineStr">
        <is>
          <t>trading</t>
        </is>
      </c>
      <c r="E223" s="31" t="inlineStr">
        <is>
          <t>smallcap</t>
        </is>
      </c>
      <c r="F223" s="31" t="n">
        <v>2237.65</v>
      </c>
      <c r="G223" s="31" t="n">
        <v>540.75</v>
      </c>
      <c r="H223" s="31" t="n">
        <v>0.2</v>
      </c>
      <c r="I223" s="31" t="n">
        <v>180363</v>
      </c>
      <c r="J223" s="31" t="inlineStr">
        <is>
          <t>543714</t>
        </is>
      </c>
    </row>
    <row r="224">
      <c r="A224" s="31" t="inlineStr">
        <is>
          <t>POLYPLEX</t>
        </is>
      </c>
      <c r="B224" s="31" t="inlineStr">
        <is>
          <t>Polyplex Corporation Limited</t>
        </is>
      </c>
      <c r="C224" s="31" t="inlineStr">
        <is>
          <t>industrials</t>
        </is>
      </c>
      <c r="D224" s="31" t="inlineStr">
        <is>
          <t>packaging</t>
        </is>
      </c>
      <c r="E224" s="31" t="inlineStr">
        <is>
          <t>smallcap</t>
        </is>
      </c>
      <c r="F224" s="31" t="n">
        <v>3464</v>
      </c>
      <c r="G224" s="31" t="n">
        <v>1105.3</v>
      </c>
      <c r="H224" s="31" t="n">
        <v>0.17</v>
      </c>
      <c r="I224" s="31" t="n">
        <v>19060</v>
      </c>
      <c r="J224" s="31" t="inlineStr">
        <is>
          <t>524051</t>
        </is>
      </c>
    </row>
    <row r="225">
      <c r="A225" s="31" t="inlineStr">
        <is>
          <t>PYRAMID</t>
        </is>
      </c>
      <c r="B225" s="31" t="inlineStr">
        <is>
          <t>Pyramid Technoplast Ltd</t>
        </is>
      </c>
      <c r="C225" s="31" t="inlineStr">
        <is>
          <t>industrials</t>
        </is>
      </c>
      <c r="D225" s="31" t="inlineStr">
        <is>
          <t>packaging</t>
        </is>
      </c>
      <c r="E225" s="31" t="inlineStr">
        <is>
          <t>smallcap</t>
        </is>
      </c>
      <c r="F225" s="31" t="n">
        <v>665.25</v>
      </c>
      <c r="G225" s="31" t="n">
        <v>181.12</v>
      </c>
      <c r="H225" s="31" t="n">
        <v>0.15</v>
      </c>
      <c r="I225" s="31" t="n">
        <v>60858</v>
      </c>
      <c r="J225" s="31" t="inlineStr">
        <is>
          <t>543969</t>
        </is>
      </c>
    </row>
    <row r="226">
      <c r="A226" s="31" t="inlineStr">
        <is>
          <t>UNIVPHOTO</t>
        </is>
      </c>
      <c r="B226" s="31" t="inlineStr">
        <is>
          <t>Universus Photo Imagings Ltd</t>
        </is>
      </c>
      <c r="C226" s="31" t="inlineStr">
        <is>
          <t>consumer discretionary</t>
        </is>
      </c>
      <c r="D226" s="31" t="inlineStr">
        <is>
          <t>photographic and allied products</t>
        </is>
      </c>
      <c r="E226" s="31" t="inlineStr">
        <is>
          <t>smallcap</t>
        </is>
      </c>
      <c r="F226" s="31" t="n">
        <v>519.3099999999999</v>
      </c>
      <c r="G226" s="31" t="n">
        <v>475</v>
      </c>
      <c r="H226" s="31" t="n">
        <v>0.13</v>
      </c>
      <c r="I226" s="31" t="n">
        <v>1163</v>
      </c>
      <c r="J226" s="31" t="inlineStr">
        <is>
          <t>542933</t>
        </is>
      </c>
    </row>
    <row r="227">
      <c r="A227" s="31" t="inlineStr">
        <is>
          <t>IIFL</t>
        </is>
      </c>
      <c r="B227" s="31" t="inlineStr">
        <is>
          <t>IIFL Finance Ltd</t>
        </is>
      </c>
      <c r="C227" s="31" t="inlineStr">
        <is>
          <t>financials</t>
        </is>
      </c>
      <c r="D227" s="31" t="inlineStr">
        <is>
          <t>finance &amp; investments</t>
        </is>
      </c>
      <c r="E227" s="31" t="inlineStr">
        <is>
          <t>largecap</t>
        </is>
      </c>
      <c r="F227" s="31" t="n">
        <v>25853.38</v>
      </c>
      <c r="G227" s="31" t="n">
        <v>608.65</v>
      </c>
      <c r="H227" s="31" t="n">
        <v>0.13</v>
      </c>
      <c r="I227" s="31" t="n">
        <v>2476256</v>
      </c>
      <c r="J227" s="31" t="inlineStr">
        <is>
          <t>532636</t>
        </is>
      </c>
    </row>
    <row r="228">
      <c r="A228" s="31" t="inlineStr">
        <is>
          <t>CARERATING</t>
        </is>
      </c>
      <c r="B228" s="31" t="inlineStr">
        <is>
          <t>CARE Ratings Ltd</t>
        </is>
      </c>
      <c r="C228" s="31" t="inlineStr">
        <is>
          <t>financials</t>
        </is>
      </c>
      <c r="D228" s="31" t="inlineStr">
        <is>
          <t>miscellaneous</t>
        </is>
      </c>
      <c r="E228" s="31" t="inlineStr">
        <is>
          <t>midcap</t>
        </is>
      </c>
      <c r="F228" s="31" t="n">
        <v>5133.12</v>
      </c>
      <c r="G228" s="31" t="n">
        <v>1709.5</v>
      </c>
      <c r="H228" s="31" t="n">
        <v>0.11</v>
      </c>
      <c r="I228" s="31" t="n">
        <v>20124</v>
      </c>
      <c r="J228" s="31" t="inlineStr">
        <is>
          <t>534804</t>
        </is>
      </c>
    </row>
    <row r="229">
      <c r="A229" s="31" t="inlineStr">
        <is>
          <t>TPLPLASTEH</t>
        </is>
      </c>
      <c r="B229" s="31" t="inlineStr">
        <is>
          <t>Tpl Plastech Limited</t>
        </is>
      </c>
      <c r="C229" s="31" t="inlineStr">
        <is>
          <t>industrials</t>
        </is>
      </c>
      <c r="D229" s="31" t="inlineStr">
        <is>
          <t>packaging</t>
        </is>
      </c>
      <c r="E229" s="31" t="inlineStr">
        <is>
          <t>smallcap</t>
        </is>
      </c>
      <c r="F229" s="31" t="n">
        <v>619.42</v>
      </c>
      <c r="G229" s="31" t="n">
        <v>79.5</v>
      </c>
      <c r="H229" s="31" t="n">
        <v>0.11</v>
      </c>
      <c r="I229" s="31" t="n">
        <v>102134</v>
      </c>
      <c r="J229" s="31" t="inlineStr">
        <is>
          <t>526582</t>
        </is>
      </c>
    </row>
    <row r="230">
      <c r="A230" s="31" t="inlineStr">
        <is>
          <t>TIMETECHNO</t>
        </is>
      </c>
      <c r="B230" s="31" t="inlineStr">
        <is>
          <t>Time Technoplast Limited</t>
        </is>
      </c>
      <c r="C230" s="31" t="inlineStr">
        <is>
          <t>plastic products</t>
        </is>
      </c>
      <c r="D230" s="31" t="inlineStr">
        <is>
          <t>plastics products</t>
        </is>
      </c>
      <c r="E230" s="31" t="inlineStr">
        <is>
          <t>midcap</t>
        </is>
      </c>
      <c r="F230" s="31" t="n">
        <v>10285.39</v>
      </c>
      <c r="G230" s="31" t="n">
        <v>208.56</v>
      </c>
      <c r="H230" s="31" t="n">
        <v>0.1</v>
      </c>
      <c r="I230" s="31" t="n">
        <v>2952132</v>
      </c>
      <c r="J230" s="31" t="inlineStr">
        <is>
          <t>532856</t>
        </is>
      </c>
    </row>
    <row r="231">
      <c r="A231" s="31" t="inlineStr">
        <is>
          <t>ICICIBANK</t>
        </is>
      </c>
      <c r="B231" s="31" t="inlineStr">
        <is>
          <t>Icici Bank Limited</t>
        </is>
      </c>
      <c r="C231" s="31" t="inlineStr">
        <is>
          <t>bank</t>
        </is>
      </c>
      <c r="D231" s="31" t="inlineStr">
        <is>
          <t>banks - private sector</t>
        </is>
      </c>
      <c r="E231" s="31" t="inlineStr">
        <is>
          <t>largecap</t>
        </is>
      </c>
      <c r="F231" s="31" t="n">
        <v>1028624.76</v>
      </c>
      <c r="G231" s="31" t="n">
        <v>1435.4</v>
      </c>
      <c r="H231" s="31" t="n">
        <v>0.1</v>
      </c>
      <c r="I231" s="31" t="n">
        <v>8752845</v>
      </c>
      <c r="J231" s="31" t="inlineStr">
        <is>
          <t>532174</t>
        </is>
      </c>
    </row>
    <row r="232">
      <c r="A232" s="31" t="inlineStr">
        <is>
          <t>CONCOR</t>
        </is>
      </c>
      <c r="B232" s="31" t="inlineStr">
        <is>
          <t>Container Corporation Of India Limited</t>
        </is>
      </c>
      <c r="C232" s="31" t="inlineStr">
        <is>
          <t>transportation</t>
        </is>
      </c>
      <c r="D232" s="31" t="inlineStr">
        <is>
          <t>miscellaneous</t>
        </is>
      </c>
      <c r="E232" s="31" t="inlineStr">
        <is>
          <t>largecap</t>
        </is>
      </c>
      <c r="F232" s="31" t="n">
        <v>39996.37</v>
      </c>
      <c r="G232" s="31" t="n">
        <v>525.5</v>
      </c>
      <c r="H232" s="31" t="n">
        <v>0.07000000000000001</v>
      </c>
      <c r="I232" s="31" t="n">
        <v>1281585</v>
      </c>
      <c r="J232" s="31" t="inlineStr">
        <is>
          <t>531344</t>
        </is>
      </c>
    </row>
    <row r="233">
      <c r="A233" s="31" t="inlineStr">
        <is>
          <t>KIMS</t>
        </is>
      </c>
      <c r="B233" s="31" t="inlineStr">
        <is>
          <t>Krishna Institute of Medical Sciences Ltd</t>
        </is>
      </c>
      <c r="C233" s="31" t="inlineStr">
        <is>
          <t>healthcare</t>
        </is>
      </c>
      <c r="D233" s="31" t="inlineStr">
        <is>
          <t>healthcare</t>
        </is>
      </c>
      <c r="E233" s="31" t="inlineStr">
        <is>
          <t>largecap</t>
        </is>
      </c>
      <c r="F233" s="31" t="n">
        <v>33894.52</v>
      </c>
      <c r="G233" s="31" t="n">
        <v>807.55</v>
      </c>
      <c r="H233" s="31" t="n">
        <v>0.07000000000000001</v>
      </c>
      <c r="I233" s="31" t="n">
        <v>393857</v>
      </c>
      <c r="J233" s="31" t="inlineStr">
        <is>
          <t>543307</t>
        </is>
      </c>
    </row>
    <row r="234">
      <c r="A234" s="31" t="inlineStr">
        <is>
          <t>ASIANPAINT</t>
        </is>
      </c>
      <c r="B234" s="31" t="inlineStr">
        <is>
          <t>Asian Paints Limited</t>
        </is>
      </c>
      <c r="C234" s="31" t="inlineStr">
        <is>
          <t>building materials</t>
        </is>
      </c>
      <c r="D234" s="31" t="inlineStr">
        <is>
          <t>paints / varnishes</t>
        </is>
      </c>
      <c r="E234" s="31" t="inlineStr">
        <is>
          <t>largecap</t>
        </is>
      </c>
      <c r="F234" s="31" t="n">
        <v>263414.9</v>
      </c>
      <c r="G234" s="31" t="n">
        <v>2747.3</v>
      </c>
      <c r="H234" s="31" t="n">
        <v>0.04</v>
      </c>
      <c r="I234" s="31" t="n">
        <v>891738</v>
      </c>
      <c r="J234" s="31" t="inlineStr">
        <is>
          <t>500820</t>
        </is>
      </c>
    </row>
    <row r="235">
      <c r="A235" s="31" t="inlineStr">
        <is>
          <t>HNDFDS</t>
        </is>
      </c>
      <c r="B235" s="31" t="inlineStr">
        <is>
          <t>Hindustan Foods Ltd</t>
        </is>
      </c>
      <c r="C235" s="31" t="inlineStr">
        <is>
          <t>fmcg</t>
        </is>
      </c>
      <c r="D235" s="31" t="inlineStr">
        <is>
          <t>diversified - large</t>
        </is>
      </c>
      <c r="E235" s="31" t="inlineStr">
        <is>
          <t>midcap</t>
        </is>
      </c>
      <c r="F235" s="31" t="n">
        <v>6955.34</v>
      </c>
      <c r="G235" s="31" t="n">
        <v>574</v>
      </c>
      <c r="H235" s="31" t="n">
        <v>-0.01</v>
      </c>
      <c r="I235" s="31" t="n">
        <v>47200</v>
      </c>
      <c r="J235" s="31" t="inlineStr">
        <is>
          <t>519126</t>
        </is>
      </c>
    </row>
    <row r="236">
      <c r="A236" s="31" t="inlineStr">
        <is>
          <t>SAILIFE</t>
        </is>
      </c>
      <c r="B236" s="31" t="inlineStr">
        <is>
          <t>Sai Life Sciences Ltd</t>
        </is>
      </c>
      <c r="C236" s="31" t="inlineStr">
        <is>
          <t>healthcare</t>
        </is>
      </c>
      <c r="D236" s="31" t="inlineStr">
        <is>
          <t>pharmaceuticals - indian - bulk drugs &amp; formln</t>
        </is>
      </c>
      <c r="E236" s="31" t="inlineStr">
        <is>
          <t>largecap</t>
        </is>
      </c>
      <c r="F236" s="31" t="n">
        <v>27919.86</v>
      </c>
      <c r="G236" s="31" t="n">
        <v>1315.1</v>
      </c>
      <c r="H236" s="31" t="n">
        <v>-0.01</v>
      </c>
      <c r="I236" s="31" t="n">
        <v>301581</v>
      </c>
      <c r="J236" s="31" t="inlineStr">
        <is>
          <t>544306</t>
        </is>
      </c>
    </row>
    <row r="237">
      <c r="A237" s="31" t="inlineStr">
        <is>
          <t>TMB</t>
        </is>
      </c>
      <c r="B237" s="31" t="inlineStr">
        <is>
          <t>Tamilnad Mercantile Bank Ltd</t>
        </is>
      </c>
      <c r="C237" s="31" t="inlineStr">
        <is>
          <t>bank</t>
        </is>
      </c>
      <c r="D237" s="31" t="inlineStr">
        <is>
          <t>banks - private sector</t>
        </is>
      </c>
      <c r="E237" s="31" t="inlineStr">
        <is>
          <t>midcap</t>
        </is>
      </c>
      <c r="F237" s="31" t="n">
        <v>13487.59</v>
      </c>
      <c r="G237" s="31" t="n">
        <v>851.7</v>
      </c>
      <c r="H237" s="31" t="n">
        <v>-0.01</v>
      </c>
      <c r="I237" s="31" t="n">
        <v>477866</v>
      </c>
      <c r="J237" s="31" t="inlineStr">
        <is>
          <t>543596</t>
        </is>
      </c>
    </row>
    <row r="238">
      <c r="A238" s="31" t="inlineStr">
        <is>
          <t>GOKULAGRO</t>
        </is>
      </c>
      <c r="B238" s="31" t="inlineStr">
        <is>
          <t>Gokul Agro Resources Limited</t>
        </is>
      </c>
      <c r="C238" s="31" t="inlineStr">
        <is>
          <t>fmcg</t>
        </is>
      </c>
      <c r="D238" s="31" t="inlineStr">
        <is>
          <t>solvent extraction</t>
        </is>
      </c>
      <c r="E238" s="31" t="inlineStr">
        <is>
          <t>midcap</t>
        </is>
      </c>
      <c r="F238" s="31" t="n">
        <v>6643.88</v>
      </c>
      <c r="G238" s="31" t="n">
        <v>225.11</v>
      </c>
      <c r="H238" s="31" t="n">
        <v>-0.02</v>
      </c>
      <c r="I238" s="31" t="n">
        <v>465701</v>
      </c>
      <c r="J238" s="31" t="inlineStr">
        <is>
          <t>539725</t>
        </is>
      </c>
    </row>
    <row r="239">
      <c r="A239" s="31" t="inlineStr">
        <is>
          <t>JSWSTEEL</t>
        </is>
      </c>
      <c r="B239" s="31" t="inlineStr">
        <is>
          <t>Jsw Steel Limited</t>
        </is>
      </c>
      <c r="C239" s="31" t="inlineStr">
        <is>
          <t>metals &amp; mining</t>
        </is>
      </c>
      <c r="D239" s="31" t="inlineStr">
        <is>
          <t>steel - large</t>
        </is>
      </c>
      <c r="E239" s="31" t="inlineStr">
        <is>
          <t>largecap</t>
        </is>
      </c>
      <c r="F239" s="31" t="n">
        <v>310768.29</v>
      </c>
      <c r="G239" s="31" t="n">
        <v>1270</v>
      </c>
      <c r="H239" s="31" t="n">
        <v>-0.06</v>
      </c>
      <c r="I239" s="31" t="n">
        <v>1449872</v>
      </c>
      <c r="J239" s="31" t="inlineStr">
        <is>
          <t>500228</t>
        </is>
      </c>
    </row>
    <row r="240">
      <c r="A240" s="31" t="inlineStr">
        <is>
          <t>IDFCFIRSTB</t>
        </is>
      </c>
      <c r="B240" s="31" t="inlineStr">
        <is>
          <t>IDFC First Bank Ltd</t>
        </is>
      </c>
      <c r="C240" s="31" t="inlineStr">
        <is>
          <t>bank</t>
        </is>
      </c>
      <c r="D240" s="31" t="inlineStr">
        <is>
          <t>banks - private sector</t>
        </is>
      </c>
      <c r="E240" s="31" t="inlineStr">
        <is>
          <t>largecap</t>
        </is>
      </c>
      <c r="F240" s="31" t="n">
        <v>73018.5</v>
      </c>
      <c r="G240" s="31" t="n">
        <v>84.68000000000001</v>
      </c>
      <c r="H240" s="31" t="n">
        <v>-0.09</v>
      </c>
      <c r="I240" s="31" t="n">
        <v>13986110</v>
      </c>
      <c r="J240" s="31" t="inlineStr">
        <is>
          <t>539437</t>
        </is>
      </c>
    </row>
    <row r="241">
      <c r="A241" s="31" t="inlineStr">
        <is>
          <t>NYKAA</t>
        </is>
      </c>
      <c r="B241" s="31" t="inlineStr">
        <is>
          <t>FSN E-Commerce Ventures Ltd</t>
        </is>
      </c>
      <c r="C241" s="31" t="inlineStr">
        <is>
          <t>i.t</t>
        </is>
      </c>
      <c r="D241" s="31" t="inlineStr">
        <is>
          <t>trading</t>
        </is>
      </c>
      <c r="E241" s="31" t="inlineStr">
        <is>
          <t>largecap</t>
        </is>
      </c>
      <c r="F241" s="31" t="n">
        <v>95580.13</v>
      </c>
      <c r="G241" s="31" t="n">
        <v>333.4</v>
      </c>
      <c r="H241" s="31" t="n">
        <v>-0.1</v>
      </c>
      <c r="I241" s="31" t="n">
        <v>6380951</v>
      </c>
      <c r="J241" s="31" t="inlineStr">
        <is>
          <t>543384</t>
        </is>
      </c>
    </row>
    <row r="242">
      <c r="A242" s="31" t="inlineStr">
        <is>
          <t>ATULAUTO</t>
        </is>
      </c>
      <c r="B242" s="31" t="inlineStr">
        <is>
          <t>Atul Auto Limited</t>
        </is>
      </c>
      <c r="C242" s="31" t="inlineStr">
        <is>
          <t>auto</t>
        </is>
      </c>
      <c r="D242" s="31" t="inlineStr">
        <is>
          <t>automobiles - scooters and 3 - wheelers</t>
        </is>
      </c>
      <c r="E242" s="31" t="inlineStr">
        <is>
          <t>smallcap</t>
        </is>
      </c>
      <c r="F242" s="31" t="n">
        <v>1431.97</v>
      </c>
      <c r="G242" s="31" t="n">
        <v>515.45</v>
      </c>
      <c r="H242" s="31" t="n">
        <v>-0.11</v>
      </c>
      <c r="I242" s="31" t="n">
        <v>751080</v>
      </c>
      <c r="J242" s="31" t="inlineStr">
        <is>
          <t>531795</t>
        </is>
      </c>
    </row>
    <row r="243">
      <c r="A243" s="31" t="inlineStr">
        <is>
          <t>HUHTAMAKI</t>
        </is>
      </c>
      <c r="B243" s="31" t="inlineStr">
        <is>
          <t>Huhtamaki India Ltd</t>
        </is>
      </c>
      <c r="C243" s="31" t="inlineStr">
        <is>
          <t>industrials</t>
        </is>
      </c>
      <c r="D243" s="31" t="inlineStr">
        <is>
          <t>packaging</t>
        </is>
      </c>
      <c r="E243" s="31" t="inlineStr">
        <is>
          <t>smallcap</t>
        </is>
      </c>
      <c r="F243" s="31" t="n">
        <v>2254.93</v>
      </c>
      <c r="G243" s="31" t="n">
        <v>298.14</v>
      </c>
      <c r="H243" s="31" t="n">
        <v>-0.15</v>
      </c>
      <c r="I243" s="31" t="n">
        <v>440147</v>
      </c>
      <c r="J243" s="31" t="inlineStr">
        <is>
          <t>509820</t>
        </is>
      </c>
    </row>
    <row r="244">
      <c r="A244" s="31" t="inlineStr">
        <is>
          <t>BERGEPAINT</t>
        </is>
      </c>
      <c r="B244" s="31" t="inlineStr">
        <is>
          <t>Berger Paints (i) Limited</t>
        </is>
      </c>
      <c r="C244" s="31" t="inlineStr">
        <is>
          <t>building materials</t>
        </is>
      </c>
      <c r="D244" s="31" t="inlineStr">
        <is>
          <t>paints / varnishes</t>
        </is>
      </c>
      <c r="E244" s="31" t="inlineStr">
        <is>
          <t>largecap</t>
        </is>
      </c>
      <c r="F244" s="31" t="n">
        <v>60789.56</v>
      </c>
      <c r="G244" s="31" t="n">
        <v>520.45</v>
      </c>
      <c r="H244" s="31" t="n">
        <v>-0.17</v>
      </c>
      <c r="I244" s="31" t="n">
        <v>241222</v>
      </c>
      <c r="J244" s="31" t="inlineStr">
        <is>
          <t>509480</t>
        </is>
      </c>
    </row>
    <row r="245">
      <c r="A245" s="31" t="inlineStr">
        <is>
          <t>RANEHOLDIN</t>
        </is>
      </c>
      <c r="B245" s="31" t="inlineStr">
        <is>
          <t>Rane Holdings Limited</t>
        </is>
      </c>
      <c r="C245" s="31" t="inlineStr">
        <is>
          <t>financials</t>
        </is>
      </c>
      <c r="D245" s="31" t="inlineStr">
        <is>
          <t>finance &amp; investments</t>
        </is>
      </c>
      <c r="E245" s="31" t="inlineStr">
        <is>
          <t>smallcap</t>
        </is>
      </c>
      <c r="F245" s="31" t="n">
        <v>2489.48</v>
      </c>
      <c r="G245" s="31" t="n">
        <v>1740</v>
      </c>
      <c r="H245" s="31" t="n">
        <v>-0.21</v>
      </c>
      <c r="I245" s="31" t="n">
        <v>12967</v>
      </c>
      <c r="J245" s="31" t="inlineStr">
        <is>
          <t>505800</t>
        </is>
      </c>
    </row>
    <row r="246">
      <c r="A246" s="31" t="inlineStr">
        <is>
          <t>GODREJPROP</t>
        </is>
      </c>
      <c r="B246" s="31" t="inlineStr">
        <is>
          <t>Godrej Properties Limited</t>
        </is>
      </c>
      <c r="C246" s="31" t="inlineStr">
        <is>
          <t>realty</t>
        </is>
      </c>
      <c r="D246" s="31" t="inlineStr">
        <is>
          <t>construction</t>
        </is>
      </c>
      <c r="E246" s="31" t="inlineStr">
        <is>
          <t>largecap</t>
        </is>
      </c>
      <c r="F246" s="31" t="n">
        <v>63585.79</v>
      </c>
      <c r="G246" s="31" t="n">
        <v>2105.7</v>
      </c>
      <c r="H246" s="31" t="n">
        <v>-0.25</v>
      </c>
      <c r="I246" s="31" t="n">
        <v>585747</v>
      </c>
      <c r="J246" s="31" t="inlineStr">
        <is>
          <t>533150</t>
        </is>
      </c>
    </row>
    <row r="247">
      <c r="A247" s="31" t="inlineStr">
        <is>
          <t>SBC</t>
        </is>
      </c>
      <c r="B247" s="31" t="inlineStr">
        <is>
          <t>SBC Exports Ltd</t>
        </is>
      </c>
      <c r="C247" s="31" t="inlineStr">
        <is>
          <t>textiles</t>
        </is>
      </c>
      <c r="D247" s="31" t="inlineStr">
        <is>
          <t>textiles - products</t>
        </is>
      </c>
      <c r="E247" s="31" t="inlineStr">
        <is>
          <t>smallcap</t>
        </is>
      </c>
      <c r="F247" s="31" t="n">
        <v>2005.71</v>
      </c>
      <c r="G247" s="31" t="n">
        <v>42.01</v>
      </c>
      <c r="H247" s="31" t="n">
        <v>-0.26</v>
      </c>
      <c r="I247" s="31" t="n">
        <v>11939385</v>
      </c>
      <c r="J247" s="31" t="inlineStr">
        <is>
          <t>542725</t>
        </is>
      </c>
    </row>
    <row r="248">
      <c r="A248" s="31" t="inlineStr">
        <is>
          <t>WELCORP</t>
        </is>
      </c>
      <c r="B248" s="31" t="inlineStr">
        <is>
          <t>Welspun Corp Limited</t>
        </is>
      </c>
      <c r="C248" s="31" t="inlineStr">
        <is>
          <t>industrials</t>
        </is>
      </c>
      <c r="D248" s="31" t="inlineStr">
        <is>
          <t>steel - large</t>
        </is>
      </c>
      <c r="E248" s="31" t="inlineStr">
        <is>
          <t>largecap</t>
        </is>
      </c>
      <c r="F248" s="31" t="n">
        <v>43657.35</v>
      </c>
      <c r="G248" s="31" t="n">
        <v>1650.6</v>
      </c>
      <c r="H248" s="31" t="n">
        <v>-0.27</v>
      </c>
      <c r="I248" s="31" t="n">
        <v>382321</v>
      </c>
      <c r="J248" s="31" t="inlineStr">
        <is>
          <t>532144</t>
        </is>
      </c>
    </row>
    <row r="249">
      <c r="A249" s="31" t="inlineStr">
        <is>
          <t>SAREGAMA</t>
        </is>
      </c>
      <c r="B249" s="31" t="inlineStr">
        <is>
          <t>Saregama India Limited</t>
        </is>
      </c>
      <c r="C249" s="31" t="inlineStr">
        <is>
          <t>media</t>
        </is>
      </c>
      <c r="D249" s="31" t="inlineStr">
        <is>
          <t>entertainment / electronic media software</t>
        </is>
      </c>
      <c r="E249" s="31" t="inlineStr">
        <is>
          <t>midcap</t>
        </is>
      </c>
      <c r="F249" s="31" t="n">
        <v>10053.09</v>
      </c>
      <c r="G249" s="31" t="n">
        <v>520</v>
      </c>
      <c r="H249" s="31" t="n">
        <v>-0.27</v>
      </c>
      <c r="I249" s="31" t="n">
        <v>257417</v>
      </c>
      <c r="J249" s="31" t="inlineStr">
        <is>
          <t>532163</t>
        </is>
      </c>
    </row>
    <row r="250">
      <c r="A250" s="31" t="inlineStr">
        <is>
          <t>GAEL</t>
        </is>
      </c>
      <c r="B250" s="31" t="inlineStr">
        <is>
          <t>Gujarat Ambuja Exports Limited</t>
        </is>
      </c>
      <c r="C250" s="31" t="inlineStr">
        <is>
          <t>fmcg</t>
        </is>
      </c>
      <c r="D250" s="31" t="inlineStr">
        <is>
          <t>miscellaneous</t>
        </is>
      </c>
      <c r="E250" s="31" t="inlineStr">
        <is>
          <t>midcap</t>
        </is>
      </c>
      <c r="F250" s="31" t="n">
        <v>7916.2</v>
      </c>
      <c r="G250" s="31" t="n">
        <v>172.11</v>
      </c>
      <c r="H250" s="31" t="n">
        <v>-0.28</v>
      </c>
      <c r="I250" s="31" t="n">
        <v>3376047</v>
      </c>
      <c r="J250" s="31" t="inlineStr">
        <is>
          <t>524226</t>
        </is>
      </c>
    </row>
    <row r="251">
      <c r="A251" s="31" t="inlineStr">
        <is>
          <t>HEG</t>
        </is>
      </c>
      <c r="B251" s="31" t="inlineStr">
        <is>
          <t>Heg Limited</t>
        </is>
      </c>
      <c r="C251" s="31" t="inlineStr">
        <is>
          <t>industrials</t>
        </is>
      </c>
      <c r="D251" s="31" t="inlineStr">
        <is>
          <t>electrodes - graphites</t>
        </is>
      </c>
      <c r="E251" s="31" t="inlineStr">
        <is>
          <t>midcap</t>
        </is>
      </c>
      <c r="F251" s="31" t="n">
        <v>12722.04</v>
      </c>
      <c r="G251" s="31" t="n">
        <v>657.25</v>
      </c>
      <c r="H251" s="31" t="n">
        <v>-0.3</v>
      </c>
      <c r="I251" s="31" t="n">
        <v>1261032</v>
      </c>
      <c r="J251" s="31" t="inlineStr">
        <is>
          <t>509631</t>
        </is>
      </c>
    </row>
    <row r="252">
      <c r="A252" s="31" t="inlineStr">
        <is>
          <t>ONWARDTEC</t>
        </is>
      </c>
      <c r="B252" s="31" t="inlineStr">
        <is>
          <t>Onward Technologies Limited</t>
        </is>
      </c>
      <c r="C252" s="31" t="inlineStr">
        <is>
          <t>i.t</t>
        </is>
      </c>
      <c r="D252" s="31" t="inlineStr">
        <is>
          <t>computers - software - medium / small</t>
        </is>
      </c>
      <c r="E252" s="31" t="inlineStr">
        <is>
          <t>smallcap</t>
        </is>
      </c>
      <c r="F252" s="31" t="n">
        <v>653.83</v>
      </c>
      <c r="G252" s="31" t="n">
        <v>293</v>
      </c>
      <c r="H252" s="31" t="n">
        <v>-0.32</v>
      </c>
      <c r="I252" s="31" t="n">
        <v>41859</v>
      </c>
      <c r="J252" s="31" t="inlineStr">
        <is>
          <t>517536</t>
        </is>
      </c>
    </row>
    <row r="253">
      <c r="A253" s="31" t="inlineStr">
        <is>
          <t>COMSYN</t>
        </is>
      </c>
      <c r="B253" s="31" t="inlineStr">
        <is>
          <t>Commercial Syn Bags Ltd</t>
        </is>
      </c>
      <c r="C253" s="31" t="inlineStr">
        <is>
          <t>industrials</t>
        </is>
      </c>
      <c r="D253" s="31" t="inlineStr">
        <is>
          <t>packaging</t>
        </is>
      </c>
      <c r="E253" s="31" t="inlineStr">
        <is>
          <t>smallcap</t>
        </is>
      </c>
      <c r="F253" s="31" t="n">
        <v>862.09</v>
      </c>
      <c r="G253" s="31" t="n">
        <v>213</v>
      </c>
      <c r="H253" s="31" t="n">
        <v>-0.33</v>
      </c>
      <c r="I253" s="31" t="n">
        <v>1780074</v>
      </c>
      <c r="J253" s="31" t="inlineStr">
        <is>
          <t>539986</t>
        </is>
      </c>
    </row>
    <row r="254">
      <c r="A254" s="31" t="inlineStr">
        <is>
          <t>TI</t>
        </is>
      </c>
      <c r="B254" s="31" t="inlineStr">
        <is>
          <t>Tilaknagar Industries Limited</t>
        </is>
      </c>
      <c r="C254" s="31" t="inlineStr">
        <is>
          <t>fmcg</t>
        </is>
      </c>
      <c r="D254" s="31" t="inlineStr">
        <is>
          <t>breweries &amp; distilleries</t>
        </is>
      </c>
      <c r="E254" s="31" t="inlineStr">
        <is>
          <t>midcap</t>
        </is>
      </c>
      <c r="F254" s="31" t="n">
        <v>11559.5</v>
      </c>
      <c r="G254" s="31" t="n">
        <v>465.5</v>
      </c>
      <c r="H254" s="31" t="n">
        <v>-0.34</v>
      </c>
      <c r="I254" s="31" t="n">
        <v>469117</v>
      </c>
      <c r="J254" s="31" t="inlineStr">
        <is>
          <t>507205</t>
        </is>
      </c>
    </row>
    <row r="255">
      <c r="A255" s="31" t="inlineStr">
        <is>
          <t>PAISALO</t>
        </is>
      </c>
      <c r="B255" s="31" t="inlineStr">
        <is>
          <t>Paisalo Digital Ltd</t>
        </is>
      </c>
      <c r="C255" s="31" t="inlineStr">
        <is>
          <t>financials</t>
        </is>
      </c>
      <c r="D255" s="31" t="inlineStr">
        <is>
          <t>finance &amp; investments</t>
        </is>
      </c>
      <c r="E255" s="31" t="inlineStr">
        <is>
          <t>midcap</t>
        </is>
      </c>
      <c r="F255" s="31" t="n">
        <v>6463.06</v>
      </c>
      <c r="G255" s="31" t="n">
        <v>70.81999999999999</v>
      </c>
      <c r="H255" s="31" t="n">
        <v>-0.34</v>
      </c>
      <c r="I255" s="31" t="n">
        <v>4433575</v>
      </c>
      <c r="J255" s="31" t="inlineStr">
        <is>
          <t>532900</t>
        </is>
      </c>
    </row>
    <row r="256">
      <c r="A256" s="31" t="inlineStr">
        <is>
          <t>SENCO</t>
        </is>
      </c>
      <c r="B256" s="31" t="inlineStr">
        <is>
          <t>Senco Gold Ltd</t>
        </is>
      </c>
      <c r="C256" s="31" t="inlineStr">
        <is>
          <t>consumer discretionary</t>
        </is>
      </c>
      <c r="D256" s="31" t="inlineStr">
        <is>
          <t>diamond cutting / jewellery</t>
        </is>
      </c>
      <c r="E256" s="31" t="inlineStr">
        <is>
          <t>midcap</t>
        </is>
      </c>
      <c r="F256" s="31" t="n">
        <v>6633.01</v>
      </c>
      <c r="G256" s="31" t="n">
        <v>403.2</v>
      </c>
      <c r="H256" s="31" t="n">
        <v>-0.41</v>
      </c>
      <c r="I256" s="31" t="n">
        <v>782575</v>
      </c>
      <c r="J256" s="31" t="inlineStr">
        <is>
          <t>543936</t>
        </is>
      </c>
    </row>
    <row r="257">
      <c r="A257" s="31" t="inlineStr">
        <is>
          <t>MAHASTEEL</t>
        </is>
      </c>
      <c r="B257" s="31" t="inlineStr">
        <is>
          <t>Mahamaya Steel Industries Limited</t>
        </is>
      </c>
      <c r="C257" s="31" t="inlineStr">
        <is>
          <t>metals &amp; mining</t>
        </is>
      </c>
      <c r="D257" s="31" t="inlineStr">
        <is>
          <t>steel - medium / small</t>
        </is>
      </c>
      <c r="E257" s="31" t="inlineStr">
        <is>
          <t>smallcap</t>
        </is>
      </c>
      <c r="F257" s="31" t="n">
        <v>1587.97</v>
      </c>
      <c r="G257" s="31" t="n">
        <v>962.2</v>
      </c>
      <c r="H257" s="31" t="n">
        <v>-0.42</v>
      </c>
      <c r="I257" s="31" t="n">
        <v>37645</v>
      </c>
      <c r="J257" s="31" t="inlineStr">
        <is>
          <t>513554</t>
        </is>
      </c>
    </row>
    <row r="258">
      <c r="A258" s="31" t="inlineStr">
        <is>
          <t>JINDWORLD</t>
        </is>
      </c>
      <c r="B258" s="31" t="inlineStr">
        <is>
          <t>Jindal Worldwide Limited</t>
        </is>
      </c>
      <c r="C258" s="31" t="inlineStr">
        <is>
          <t>textiles</t>
        </is>
      </c>
      <c r="D258" s="31" t="inlineStr">
        <is>
          <t>textiles - products</t>
        </is>
      </c>
      <c r="E258" s="31" t="inlineStr">
        <is>
          <t>smallcap</t>
        </is>
      </c>
      <c r="F258" s="31" t="n">
        <v>3861.02</v>
      </c>
      <c r="G258" s="31" t="n">
        <v>38.34</v>
      </c>
      <c r="H258" s="31" t="n">
        <v>-0.44</v>
      </c>
      <c r="I258" s="31" t="n">
        <v>6117923</v>
      </c>
      <c r="J258" s="31" t="inlineStr">
        <is>
          <t>531543</t>
        </is>
      </c>
    </row>
    <row r="259">
      <c r="A259" s="31" t="inlineStr">
        <is>
          <t>GHCLTEXTIL</t>
        </is>
      </c>
      <c r="B259" s="31" t="inlineStr">
        <is>
          <t>GHCL Textiles Ltd</t>
        </is>
      </c>
      <c r="C259" s="31" t="inlineStr">
        <is>
          <t>textiles</t>
        </is>
      </c>
      <c r="D259" s="31" t="inlineStr">
        <is>
          <t>textiles - spinning - synthetic / blended</t>
        </is>
      </c>
      <c r="E259" s="31" t="inlineStr">
        <is>
          <t>smallcap</t>
        </is>
      </c>
      <c r="F259" s="31" t="n">
        <v>1090.83</v>
      </c>
      <c r="G259" s="31" t="n">
        <v>113.62</v>
      </c>
      <c r="H259" s="31" t="n">
        <v>-0.44</v>
      </c>
      <c r="I259" s="31" t="n">
        <v>1510546</v>
      </c>
      <c r="J259" s="31" t="inlineStr">
        <is>
          <t>543918</t>
        </is>
      </c>
    </row>
    <row r="260">
      <c r="A260" s="31" t="inlineStr">
        <is>
          <t>PFC</t>
        </is>
      </c>
      <c r="B260" s="31" t="inlineStr">
        <is>
          <t>Power Finance Corporation Limited</t>
        </is>
      </c>
      <c r="C260" s="31" t="inlineStr">
        <is>
          <t>financials</t>
        </is>
      </c>
      <c r="D260" s="31" t="inlineStr">
        <is>
          <t>finance - term-lending institutions</t>
        </is>
      </c>
      <c r="E260" s="31" t="inlineStr">
        <is>
          <t>largecap</t>
        </is>
      </c>
      <c r="F260" s="31" t="n">
        <v>140666.84</v>
      </c>
      <c r="G260" s="31" t="n">
        <v>424.35</v>
      </c>
      <c r="H260" s="31" t="n">
        <v>-0.45</v>
      </c>
      <c r="I260" s="31" t="n">
        <v>10382221</v>
      </c>
      <c r="J260" s="31" t="inlineStr">
        <is>
          <t>532810</t>
        </is>
      </c>
    </row>
    <row r="261">
      <c r="A261" s="31" t="inlineStr">
        <is>
          <t>TATATECH</t>
        </is>
      </c>
      <c r="B261" s="31" t="inlineStr">
        <is>
          <t>Tata Technologies Ltd</t>
        </is>
      </c>
      <c r="C261" s="31" t="inlineStr">
        <is>
          <t>i.t</t>
        </is>
      </c>
      <c r="D261" s="31" t="inlineStr">
        <is>
          <t>computers - software - medium / small</t>
        </is>
      </c>
      <c r="E261" s="31" t="inlineStr">
        <is>
          <t>largecap</t>
        </is>
      </c>
      <c r="F261" s="31" t="n">
        <v>30508.7</v>
      </c>
      <c r="G261" s="31" t="n">
        <v>747.65</v>
      </c>
      <c r="H261" s="31" t="n">
        <v>-0.49</v>
      </c>
      <c r="I261" s="31" t="n">
        <v>433698</v>
      </c>
      <c r="J261" s="31" t="inlineStr">
        <is>
          <t>544028</t>
        </is>
      </c>
    </row>
    <row r="262">
      <c r="A262" s="31" t="inlineStr">
        <is>
          <t>APOLLOHOSP</t>
        </is>
      </c>
      <c r="B262" s="31" t="inlineStr">
        <is>
          <t>Apollo Hospitals Enterprise Limited</t>
        </is>
      </c>
      <c r="C262" s="31" t="inlineStr">
        <is>
          <t>healthcare</t>
        </is>
      </c>
      <c r="D262" s="31" t="inlineStr">
        <is>
          <t>healthcare</t>
        </is>
      </c>
      <c r="E262" s="31" t="inlineStr">
        <is>
          <t>largecap</t>
        </is>
      </c>
      <c r="F262" s="31" t="n">
        <v>129233.65</v>
      </c>
      <c r="G262" s="31" t="n">
        <v>8941</v>
      </c>
      <c r="H262" s="31" t="n">
        <v>-0.52</v>
      </c>
      <c r="I262" s="31" t="n">
        <v>268253</v>
      </c>
      <c r="J262" s="31" t="inlineStr">
        <is>
          <t>508869</t>
        </is>
      </c>
    </row>
    <row r="263">
      <c r="A263" s="31" t="inlineStr">
        <is>
          <t>RECLTD</t>
        </is>
      </c>
      <c r="B263" s="31" t="inlineStr">
        <is>
          <t>REC Ltd</t>
        </is>
      </c>
      <c r="C263" s="31" t="inlineStr">
        <is>
          <t>financials</t>
        </is>
      </c>
      <c r="D263" s="31" t="inlineStr">
        <is>
          <t>finance - term-lending institutions</t>
        </is>
      </c>
      <c r="E263" s="31" t="inlineStr">
        <is>
          <t>largecap</t>
        </is>
      </c>
      <c r="F263" s="31" t="n">
        <v>98719.57000000001</v>
      </c>
      <c r="G263" s="31" t="n">
        <v>372.95</v>
      </c>
      <c r="H263" s="31" t="n">
        <v>-0.52</v>
      </c>
      <c r="I263" s="31" t="n">
        <v>3604398</v>
      </c>
      <c r="J263" s="31" t="inlineStr">
        <is>
          <t>532955</t>
        </is>
      </c>
    </row>
    <row r="264">
      <c r="A264" s="31" t="inlineStr">
        <is>
          <t>SUNPHARMA</t>
        </is>
      </c>
      <c r="B264" s="31" t="inlineStr">
        <is>
          <t>Sun Pharmaceuticals Industries Limited</t>
        </is>
      </c>
      <c r="C264" s="31" t="inlineStr">
        <is>
          <t>healthcare</t>
        </is>
      </c>
      <c r="D264" s="31" t="inlineStr">
        <is>
          <t>pharmaceuticals - indian - bulk drugs &amp; formln</t>
        </is>
      </c>
      <c r="E264" s="31" t="inlineStr">
        <is>
          <t>largecap</t>
        </is>
      </c>
      <c r="F264" s="31" t="n">
        <v>480130.92</v>
      </c>
      <c r="G264" s="31" t="n">
        <v>1990.5</v>
      </c>
      <c r="H264" s="31" t="n">
        <v>-0.53</v>
      </c>
      <c r="I264" s="31" t="n">
        <v>4954534</v>
      </c>
      <c r="J264" s="31" t="inlineStr">
        <is>
          <t>524715</t>
        </is>
      </c>
    </row>
    <row r="265">
      <c r="A265" s="31" t="inlineStr">
        <is>
          <t>PPLPHARMA</t>
        </is>
      </c>
      <c r="B265" s="31" t="inlineStr">
        <is>
          <t>Piramal Pharma Ltd</t>
        </is>
      </c>
      <c r="C265" s="31" t="inlineStr">
        <is>
          <t>healthcare</t>
        </is>
      </c>
      <c r="D265" s="31" t="inlineStr">
        <is>
          <t>pharmaceuticals - indian - bulk drugs &amp; formln</t>
        </is>
      </c>
      <c r="E265" s="31" t="inlineStr">
        <is>
          <t>largecap</t>
        </is>
      </c>
      <c r="F265" s="31" t="n">
        <v>26190.28</v>
      </c>
      <c r="G265" s="31" t="n">
        <v>195.61</v>
      </c>
      <c r="H265" s="31" t="n">
        <v>-0.5600000000000001</v>
      </c>
      <c r="I265" s="31" t="n">
        <v>6600393</v>
      </c>
      <c r="J265" s="31" t="inlineStr">
        <is>
          <t>543635</t>
        </is>
      </c>
    </row>
    <row r="266">
      <c r="A266" s="31" t="inlineStr">
        <is>
          <t>TEXINFRA</t>
        </is>
      </c>
      <c r="B266" s="31" t="inlineStr">
        <is>
          <t>Texmaco Infrastructure &amp; Holdings Limited</t>
        </is>
      </c>
      <c r="C266" s="31" t="inlineStr">
        <is>
          <t>realty</t>
        </is>
      </c>
      <c r="D266" s="31" t="inlineStr">
        <is>
          <t>construction</t>
        </is>
      </c>
      <c r="E266" s="31" t="inlineStr">
        <is>
          <t>smallcap</t>
        </is>
      </c>
      <c r="F266" s="31" t="n">
        <v>1462.09</v>
      </c>
      <c r="G266" s="31" t="n">
        <v>114.1</v>
      </c>
      <c r="H266" s="31" t="n">
        <v>-0.5600000000000001</v>
      </c>
      <c r="I266" s="31" t="n">
        <v>97789</v>
      </c>
      <c r="J266" s="31" t="inlineStr">
        <is>
          <t>505400</t>
        </is>
      </c>
    </row>
    <row r="267">
      <c r="A267" s="31" t="inlineStr">
        <is>
          <t>GLAND</t>
        </is>
      </c>
      <c r="B267" s="31" t="inlineStr">
        <is>
          <t>Gland Pharma Ltd</t>
        </is>
      </c>
      <c r="C267" s="31" t="inlineStr">
        <is>
          <t>healthcare</t>
        </is>
      </c>
      <c r="D267" s="31" t="inlineStr">
        <is>
          <t>pharmaceuticals - indian - formulations</t>
        </is>
      </c>
      <c r="E267" s="31" t="inlineStr">
        <is>
          <t>largecap</t>
        </is>
      </c>
      <c r="F267" s="31" t="n">
        <v>41520.35</v>
      </c>
      <c r="G267" s="31" t="n">
        <v>2502.9</v>
      </c>
      <c r="H267" s="31" t="n">
        <v>-0.5600000000000001</v>
      </c>
      <c r="I267" s="31" t="n">
        <v>266868</v>
      </c>
      <c r="J267" s="31" t="inlineStr">
        <is>
          <t>543245</t>
        </is>
      </c>
    </row>
    <row r="268">
      <c r="A268" s="31" t="inlineStr">
        <is>
          <t>SPECIALITY</t>
        </is>
      </c>
      <c r="B268" s="31" t="inlineStr">
        <is>
          <t>Speciality Restaurants Limited</t>
        </is>
      </c>
      <c r="C268" s="31" t="inlineStr">
        <is>
          <t>services</t>
        </is>
      </c>
      <c r="D268" s="31" t="inlineStr">
        <is>
          <t>hotels</t>
        </is>
      </c>
      <c r="E268" s="31" t="inlineStr">
        <is>
          <t>smallcap</t>
        </is>
      </c>
      <c r="F268" s="31" t="n">
        <v>646.02</v>
      </c>
      <c r="G268" s="31" t="n">
        <v>133.17</v>
      </c>
      <c r="H268" s="31" t="n">
        <v>-0.57</v>
      </c>
      <c r="I268" s="31" t="n">
        <v>20180</v>
      </c>
      <c r="J268" s="31" t="inlineStr">
        <is>
          <t>534425</t>
        </is>
      </c>
    </row>
    <row r="269">
      <c r="A269" s="31" t="inlineStr">
        <is>
          <t>MUTHOOTMF</t>
        </is>
      </c>
      <c r="B269" s="31" t="inlineStr">
        <is>
          <t>Muthoot Microfin Ltd</t>
        </is>
      </c>
      <c r="C269" s="31" t="inlineStr">
        <is>
          <t>financials</t>
        </is>
      </c>
      <c r="D269" s="31" t="inlineStr">
        <is>
          <t>finance &amp; investments</t>
        </is>
      </c>
      <c r="E269" s="31" t="inlineStr">
        <is>
          <t>smallcap</t>
        </is>
      </c>
      <c r="F269" s="31" t="n">
        <v>4209.11</v>
      </c>
      <c r="G269" s="31" t="n">
        <v>245.46</v>
      </c>
      <c r="H269" s="31" t="n">
        <v>-0.58</v>
      </c>
      <c r="I269" s="31" t="n">
        <v>571401</v>
      </c>
      <c r="J269" s="31" t="inlineStr">
        <is>
          <t>544055</t>
        </is>
      </c>
    </row>
    <row r="270">
      <c r="A270" s="31" t="inlineStr">
        <is>
          <t>RADICO</t>
        </is>
      </c>
      <c r="B270" s="31" t="inlineStr">
        <is>
          <t>Radico Khaitan Limited</t>
        </is>
      </c>
      <c r="C270" s="31" t="inlineStr">
        <is>
          <t>fmcg</t>
        </is>
      </c>
      <c r="D270" s="31" t="inlineStr">
        <is>
          <t>breweries &amp; distilleries</t>
        </is>
      </c>
      <c r="E270" s="31" t="inlineStr">
        <is>
          <t>largecap</t>
        </is>
      </c>
      <c r="F270" s="31" t="n">
        <v>58482.46</v>
      </c>
      <c r="G270" s="31" t="n">
        <v>4340.8</v>
      </c>
      <c r="H270" s="31" t="n">
        <v>-0.59</v>
      </c>
      <c r="I270" s="31" t="n">
        <v>366998</v>
      </c>
      <c r="J270" s="31" t="inlineStr">
        <is>
          <t>532497</t>
        </is>
      </c>
    </row>
    <row r="271">
      <c r="A271" s="31" t="inlineStr">
        <is>
          <t>VADILALIND</t>
        </is>
      </c>
      <c r="B271" s="31" t="inlineStr">
        <is>
          <t>Vadilal Industries Limited</t>
        </is>
      </c>
      <c r="C271" s="31" t="inlineStr">
        <is>
          <t>fmcg</t>
        </is>
      </c>
      <c r="D271" s="31" t="inlineStr">
        <is>
          <t>food - processing - indian</t>
        </is>
      </c>
      <c r="E271" s="31" t="inlineStr">
        <is>
          <t>midcap</t>
        </is>
      </c>
      <c r="F271" s="31" t="n">
        <v>5220.88</v>
      </c>
      <c r="G271" s="31" t="n">
        <v>7220</v>
      </c>
      <c r="H271" s="31" t="n">
        <v>-0.6</v>
      </c>
      <c r="I271" s="31" t="n">
        <v>15159</v>
      </c>
      <c r="J271" s="31" t="inlineStr">
        <is>
          <t>519156</t>
        </is>
      </c>
    </row>
    <row r="272">
      <c r="A272" s="31" t="inlineStr">
        <is>
          <t>HMVL</t>
        </is>
      </c>
      <c r="B272" s="31" t="inlineStr">
        <is>
          <t>Hindustan Media Ventures Limited</t>
        </is>
      </c>
      <c r="C272" s="31" t="inlineStr">
        <is>
          <t>media</t>
        </is>
      </c>
      <c r="D272" s="31" t="inlineStr">
        <is>
          <t>entertainment / electronic media software</t>
        </is>
      </c>
      <c r="E272" s="31" t="inlineStr">
        <is>
          <t>smallcap</t>
        </is>
      </c>
      <c r="F272" s="31" t="n">
        <v>700.47</v>
      </c>
      <c r="G272" s="31" t="n">
        <v>94.5</v>
      </c>
      <c r="H272" s="31" t="n">
        <v>-0.61</v>
      </c>
      <c r="I272" s="31" t="n">
        <v>43171</v>
      </c>
      <c r="J272" s="31" t="inlineStr">
        <is>
          <t>533217</t>
        </is>
      </c>
    </row>
    <row r="273">
      <c r="A273" s="31" t="inlineStr">
        <is>
          <t>KILITCH</t>
        </is>
      </c>
      <c r="B273" s="31" t="inlineStr">
        <is>
          <t>Kilitch Drugs (india) Limited</t>
        </is>
      </c>
      <c r="C273" s="31" t="inlineStr">
        <is>
          <t>healthcare</t>
        </is>
      </c>
      <c r="D273" s="31" t="inlineStr">
        <is>
          <t>pharmaceuticals - indian - formulations</t>
        </is>
      </c>
      <c r="E273" s="31" t="inlineStr">
        <is>
          <t>smallcap</t>
        </is>
      </c>
      <c r="F273" s="31" t="n">
        <v>666.3</v>
      </c>
      <c r="G273" s="31" t="n">
        <v>189.4</v>
      </c>
      <c r="H273" s="31" t="n">
        <v>-0.62</v>
      </c>
      <c r="I273" s="31" t="n">
        <v>19079</v>
      </c>
      <c r="J273" s="31" t="inlineStr">
        <is>
          <t>524500</t>
        </is>
      </c>
    </row>
    <row r="274">
      <c r="A274" s="31" t="inlineStr">
        <is>
          <t>EXIDEIND</t>
        </is>
      </c>
      <c r="B274" s="31" t="inlineStr">
        <is>
          <t>Exide Industries Limited</t>
        </is>
      </c>
      <c r="C274" s="31" t="inlineStr">
        <is>
          <t>auto</t>
        </is>
      </c>
      <c r="D274" s="31" t="inlineStr">
        <is>
          <t>auto ancillaries</t>
        </is>
      </c>
      <c r="E274" s="31" t="inlineStr">
        <is>
          <t>largecap</t>
        </is>
      </c>
      <c r="F274" s="31" t="n">
        <v>38479.5</v>
      </c>
      <c r="G274" s="31" t="n">
        <v>449.8</v>
      </c>
      <c r="H274" s="31" t="n">
        <v>-0.64</v>
      </c>
      <c r="I274" s="31" t="n">
        <v>6655466</v>
      </c>
      <c r="J274" s="31" t="inlineStr">
        <is>
          <t>500086</t>
        </is>
      </c>
    </row>
    <row r="275">
      <c r="A275" s="31" t="inlineStr">
        <is>
          <t>FLUOROCHEM</t>
        </is>
      </c>
      <c r="B275" s="31" t="inlineStr">
        <is>
          <t>Gujarat Fluorochemicals Ltd</t>
        </is>
      </c>
      <c r="C275" s="31" t="inlineStr">
        <is>
          <t>chemicals</t>
        </is>
      </c>
      <c r="D275" s="31" t="inlineStr">
        <is>
          <t>chemicals</t>
        </is>
      </c>
      <c r="E275" s="31" t="inlineStr">
        <is>
          <t>largecap</t>
        </is>
      </c>
      <c r="F275" s="31" t="n">
        <v>48279.08</v>
      </c>
      <c r="G275" s="31" t="n">
        <v>4366.8</v>
      </c>
      <c r="H275" s="31" t="n">
        <v>-0.64</v>
      </c>
      <c r="I275" s="31" t="n">
        <v>45331</v>
      </c>
      <c r="J275" s="31" t="inlineStr">
        <is>
          <t>542812</t>
        </is>
      </c>
    </row>
    <row r="276">
      <c r="A276" s="31" t="inlineStr">
        <is>
          <t>PVRINOX</t>
        </is>
      </c>
      <c r="B276" s="31" t="inlineStr">
        <is>
          <t>PVR Inox Ltd</t>
        </is>
      </c>
      <c r="C276" s="31" t="inlineStr">
        <is>
          <t>media</t>
        </is>
      </c>
      <c r="D276" s="31" t="inlineStr">
        <is>
          <t>entertainment / electronic media software</t>
        </is>
      </c>
      <c r="E276" s="31" t="inlineStr">
        <is>
          <t>midcap</t>
        </is>
      </c>
      <c r="F276" s="31" t="n">
        <v>11110.83</v>
      </c>
      <c r="G276" s="31" t="n">
        <v>1124.1</v>
      </c>
      <c r="H276" s="31" t="n">
        <v>-0.65</v>
      </c>
      <c r="I276" s="31" t="n">
        <v>178460</v>
      </c>
      <c r="J276" s="31" t="inlineStr">
        <is>
          <t>532689</t>
        </is>
      </c>
    </row>
    <row r="277">
      <c r="A277" s="31" t="inlineStr">
        <is>
          <t>HITECHCORP</t>
        </is>
      </c>
      <c r="B277" s="31" t="inlineStr">
        <is>
          <t>Hitech Corporation</t>
        </is>
      </c>
      <c r="C277" s="31" t="inlineStr">
        <is>
          <t>industrials</t>
        </is>
      </c>
      <c r="D277" s="31" t="inlineStr">
        <is>
          <t>packaging</t>
        </is>
      </c>
      <c r="E277" s="31" t="inlineStr">
        <is>
          <t>smallcap</t>
        </is>
      </c>
      <c r="F277" s="31" t="n">
        <v>553.0599999999999</v>
      </c>
      <c r="G277" s="31" t="n">
        <v>319.8</v>
      </c>
      <c r="H277" s="31" t="n">
        <v>-0.68</v>
      </c>
      <c r="I277" s="31" t="n">
        <v>8155</v>
      </c>
      <c r="J277" s="31" t="inlineStr">
        <is>
          <t>526217</t>
        </is>
      </c>
    </row>
    <row r="278">
      <c r="A278" s="31" t="inlineStr">
        <is>
          <t>NESTLEIND</t>
        </is>
      </c>
      <c r="B278" s="31" t="inlineStr">
        <is>
          <t>Nestle India Limited</t>
        </is>
      </c>
      <c r="C278" s="31" t="inlineStr">
        <is>
          <t>fmcg</t>
        </is>
      </c>
      <c r="D278" s="31" t="inlineStr">
        <is>
          <t>food - processing - mnc</t>
        </is>
      </c>
      <c r="E278" s="31" t="inlineStr">
        <is>
          <t>largecap</t>
        </is>
      </c>
      <c r="F278" s="31" t="n">
        <v>293238.76</v>
      </c>
      <c r="G278" s="31" t="n">
        <v>1509.6</v>
      </c>
      <c r="H278" s="31" t="n">
        <v>-0.73</v>
      </c>
      <c r="I278" s="31" t="n">
        <v>2501825</v>
      </c>
      <c r="J278" s="31" t="inlineStr">
        <is>
          <t>500790</t>
        </is>
      </c>
    </row>
    <row r="279">
      <c r="A279" s="31" t="inlineStr">
        <is>
          <t>AEGISVOPAK</t>
        </is>
      </c>
      <c r="B279" s="31" t="inlineStr">
        <is>
          <t>Aegis Vopak Terminals Ltd</t>
        </is>
      </c>
      <c r="C279" s="31" t="inlineStr">
        <is>
          <t>transportation</t>
        </is>
      </c>
      <c r="D279" s="31" t="inlineStr">
        <is>
          <t>miscellaneous</t>
        </is>
      </c>
      <c r="E279" s="31" t="inlineStr">
        <is>
          <t>largecap</t>
        </is>
      </c>
      <c r="F279" s="31" t="n">
        <v>32386.59</v>
      </c>
      <c r="G279" s="31" t="n">
        <v>290.16</v>
      </c>
      <c r="H279" s="31" t="n">
        <v>-0.73</v>
      </c>
      <c r="I279" s="31" t="n">
        <v>843953</v>
      </c>
      <c r="J279" s="31" t="inlineStr">
        <is>
          <t>544407</t>
        </is>
      </c>
    </row>
    <row r="280">
      <c r="A280" s="31" t="inlineStr">
        <is>
          <t>MEDANTA</t>
        </is>
      </c>
      <c r="B280" s="31" t="inlineStr">
        <is>
          <t>Global Health Ltd</t>
        </is>
      </c>
      <c r="C280" s="31" t="inlineStr">
        <is>
          <t>healthcare</t>
        </is>
      </c>
      <c r="D280" s="31" t="inlineStr">
        <is>
          <t>healthcare</t>
        </is>
      </c>
      <c r="E280" s="31" t="inlineStr">
        <is>
          <t>largecap</t>
        </is>
      </c>
      <c r="F280" s="31" t="n">
        <v>38083</v>
      </c>
      <c r="G280" s="31" t="n">
        <v>1405.6</v>
      </c>
      <c r="H280" s="31" t="n">
        <v>-0.76</v>
      </c>
      <c r="I280" s="31" t="n">
        <v>467366</v>
      </c>
      <c r="J280" s="31" t="inlineStr">
        <is>
          <t>543654</t>
        </is>
      </c>
    </row>
    <row r="281">
      <c r="A281" s="31" t="inlineStr">
        <is>
          <t>METROPOLIS</t>
        </is>
      </c>
      <c r="B281" s="31" t="inlineStr">
        <is>
          <t>Metropolis Healthcare Ltd</t>
        </is>
      </c>
      <c r="C281" s="31" t="inlineStr">
        <is>
          <t>healthcare</t>
        </is>
      </c>
      <c r="D281" s="31" t="inlineStr">
        <is>
          <t>healthcare</t>
        </is>
      </c>
      <c r="E281" s="31" t="inlineStr">
        <is>
          <t>midcap</t>
        </is>
      </c>
      <c r="F281" s="31" t="n">
        <v>12133.07</v>
      </c>
      <c r="G281" s="31" t="n">
        <v>580.7</v>
      </c>
      <c r="H281" s="31" t="n">
        <v>-0.77</v>
      </c>
      <c r="I281" s="31" t="n">
        <v>324208</v>
      </c>
      <c r="J281" s="31" t="inlineStr">
        <is>
          <t>542650</t>
        </is>
      </c>
    </row>
    <row r="282">
      <c r="A282" s="31" t="inlineStr">
        <is>
          <t>NEULANDLAB</t>
        </is>
      </c>
      <c r="B282" s="31" t="inlineStr">
        <is>
          <t>Neuland Laboratories Limited</t>
        </is>
      </c>
      <c r="C282" s="31" t="inlineStr">
        <is>
          <t>healthcare</t>
        </is>
      </c>
      <c r="D282" s="31" t="inlineStr">
        <is>
          <t>pharmaceuticals - indian - bulk drugs</t>
        </is>
      </c>
      <c r="E282" s="31" t="inlineStr">
        <is>
          <t>largecap</t>
        </is>
      </c>
      <c r="F282" s="31" t="n">
        <v>24635.95</v>
      </c>
      <c r="G282" s="31" t="n">
        <v>19050</v>
      </c>
      <c r="H282" s="31" t="n">
        <v>-0.79</v>
      </c>
      <c r="I282" s="31" t="n">
        <v>53991</v>
      </c>
      <c r="J282" s="31" t="inlineStr">
        <is>
          <t>524558</t>
        </is>
      </c>
    </row>
    <row r="283">
      <c r="A283" s="31" t="inlineStr">
        <is>
          <t>MINDACORP</t>
        </is>
      </c>
      <c r="B283" s="31" t="inlineStr">
        <is>
          <t>Minda Corporation Limited</t>
        </is>
      </c>
      <c r="C283" s="31" t="inlineStr">
        <is>
          <t>auto</t>
        </is>
      </c>
      <c r="D283" s="31" t="inlineStr">
        <is>
          <t>auto ancillaries</t>
        </is>
      </c>
      <c r="E283" s="31" t="inlineStr">
        <is>
          <t>midcap</t>
        </is>
      </c>
      <c r="F283" s="31" t="n">
        <v>16900.52</v>
      </c>
      <c r="G283" s="31" t="n">
        <v>700.95</v>
      </c>
      <c r="H283" s="31" t="n">
        <v>-0.84</v>
      </c>
      <c r="I283" s="31" t="n">
        <v>301254</v>
      </c>
      <c r="J283" s="31" t="inlineStr">
        <is>
          <t>538962</t>
        </is>
      </c>
    </row>
    <row r="284">
      <c r="A284" s="31" t="inlineStr">
        <is>
          <t>NGLFINE</t>
        </is>
      </c>
      <c r="B284" s="31" t="inlineStr">
        <is>
          <t>NGL Fine Chem Ltd</t>
        </is>
      </c>
      <c r="C284" s="31" t="inlineStr">
        <is>
          <t>healthcare</t>
        </is>
      </c>
      <c r="D284" s="31" t="inlineStr">
        <is>
          <t>pharmaceuticals - indian - bulk drugs</t>
        </is>
      </c>
      <c r="E284" s="31" t="inlineStr">
        <is>
          <t>smallcap</t>
        </is>
      </c>
      <c r="F284" s="31" t="n">
        <v>2026.39</v>
      </c>
      <c r="G284" s="31" t="n">
        <v>3250</v>
      </c>
      <c r="H284" s="31" t="n">
        <v>-0.91</v>
      </c>
      <c r="I284" s="31" t="n">
        <v>2442</v>
      </c>
      <c r="J284" s="31" t="inlineStr">
        <is>
          <t>524774</t>
        </is>
      </c>
    </row>
    <row r="285">
      <c r="A285" s="31" t="inlineStr">
        <is>
          <t>SANGAMIND</t>
        </is>
      </c>
      <c r="B285" s="31" t="inlineStr">
        <is>
          <t>Sangam (india) Limited</t>
        </is>
      </c>
      <c r="C285" s="31" t="inlineStr">
        <is>
          <t>textiles</t>
        </is>
      </c>
      <c r="D285" s="31" t="inlineStr">
        <is>
          <t>textiles - spinning - synthetic / blended</t>
        </is>
      </c>
      <c r="E285" s="31" t="inlineStr">
        <is>
          <t>smallcap</t>
        </is>
      </c>
      <c r="F285" s="31" t="n">
        <v>3093.43</v>
      </c>
      <c r="G285" s="31" t="n">
        <v>609.9</v>
      </c>
      <c r="H285" s="31" t="n">
        <v>-0.93</v>
      </c>
      <c r="I285" s="31" t="n">
        <v>16180</v>
      </c>
      <c r="J285" s="31" t="inlineStr">
        <is>
          <t>514234</t>
        </is>
      </c>
    </row>
    <row r="286">
      <c r="A286" s="31" t="inlineStr">
        <is>
          <t>ATUL</t>
        </is>
      </c>
      <c r="B286" s="31" t="inlineStr">
        <is>
          <t>Atul Limited</t>
        </is>
      </c>
      <c r="C286" s="31" t="inlineStr">
        <is>
          <t>chemicals</t>
        </is>
      </c>
      <c r="D286" s="31" t="inlineStr">
        <is>
          <t>chemicals</t>
        </is>
      </c>
      <c r="E286" s="31" t="inlineStr">
        <is>
          <t>largecap</t>
        </is>
      </c>
      <c r="F286" s="31" t="n">
        <v>20029.23</v>
      </c>
      <c r="G286" s="31" t="n">
        <v>6736.5</v>
      </c>
      <c r="H286" s="31" t="n">
        <v>-0.98</v>
      </c>
      <c r="I286" s="31" t="n">
        <v>48824</v>
      </c>
      <c r="J286" s="31" t="inlineStr">
        <is>
          <t>500027</t>
        </is>
      </c>
    </row>
    <row r="287">
      <c r="A287" s="31" t="inlineStr">
        <is>
          <t>EICHERMOT</t>
        </is>
      </c>
      <c r="B287" s="31" t="inlineStr">
        <is>
          <t>Eicher Motors Limited</t>
        </is>
      </c>
      <c r="C287" s="31" t="inlineStr">
        <is>
          <t>auto</t>
        </is>
      </c>
      <c r="D287" s="31" t="inlineStr">
        <is>
          <t>automobiles - motorcycles / mopeds</t>
        </is>
      </c>
      <c r="E287" s="31" t="inlineStr">
        <is>
          <t>largecap</t>
        </is>
      </c>
      <c r="F287" s="31" t="n">
        <v>217196.17</v>
      </c>
      <c r="G287" s="31" t="n">
        <v>7833.5</v>
      </c>
      <c r="H287" s="31" t="n">
        <v>-1</v>
      </c>
      <c r="I287" s="31" t="n">
        <v>720933</v>
      </c>
      <c r="J287" s="31" t="inlineStr">
        <is>
          <t>505200</t>
        </is>
      </c>
    </row>
    <row r="288">
      <c r="A288" s="31" t="inlineStr">
        <is>
          <t>UNITDSPR</t>
        </is>
      </c>
      <c r="B288" s="31" t="inlineStr">
        <is>
          <t>United Spirits Ltd</t>
        </is>
      </c>
      <c r="C288" s="31" t="inlineStr">
        <is>
          <t>fmcg</t>
        </is>
      </c>
      <c r="D288" s="31" t="inlineStr">
        <is>
          <t>breweries &amp; distilleries</t>
        </is>
      </c>
      <c r="E288" s="31" t="inlineStr">
        <is>
          <t>largecap</t>
        </is>
      </c>
      <c r="F288" s="31" t="n">
        <v>111422.88</v>
      </c>
      <c r="G288" s="31" t="n">
        <v>1515.9</v>
      </c>
      <c r="H288" s="31" t="n">
        <v>-1.04</v>
      </c>
      <c r="I288" s="31" t="n">
        <v>784006</v>
      </c>
      <c r="J288" s="31" t="inlineStr">
        <is>
          <t>532432</t>
        </is>
      </c>
    </row>
    <row r="289">
      <c r="A289" s="31" t="inlineStr">
        <is>
          <t>TECHM</t>
        </is>
      </c>
      <c r="B289" s="31" t="inlineStr">
        <is>
          <t>Tech Mahindra Limited</t>
        </is>
      </c>
      <c r="C289" s="31" t="inlineStr">
        <is>
          <t>i.t</t>
        </is>
      </c>
      <c r="D289" s="31" t="inlineStr">
        <is>
          <t>computers - software - large</t>
        </is>
      </c>
      <c r="E289" s="31" t="inlineStr">
        <is>
          <t>largecap</t>
        </is>
      </c>
      <c r="F289" s="31" t="n">
        <v>163571.67</v>
      </c>
      <c r="G289" s="31" t="n">
        <v>1651.3</v>
      </c>
      <c r="H289" s="31" t="n">
        <v>-1.06</v>
      </c>
      <c r="I289" s="31" t="n">
        <v>3355677</v>
      </c>
      <c r="J289" s="31" t="inlineStr">
        <is>
          <t>532755</t>
        </is>
      </c>
    </row>
    <row r="290">
      <c r="A290" s="31" t="inlineStr">
        <is>
          <t>HESTERBIO</t>
        </is>
      </c>
      <c r="B290" s="31" t="inlineStr">
        <is>
          <t>Hester Biosciences Limited</t>
        </is>
      </c>
      <c r="C290" s="31" t="inlineStr">
        <is>
          <t>healthcare</t>
        </is>
      </c>
      <c r="D290" s="31" t="inlineStr">
        <is>
          <t>pharmaceuticals - indian - formulations</t>
        </is>
      </c>
      <c r="E290" s="31" t="inlineStr">
        <is>
          <t>smallcap</t>
        </is>
      </c>
      <c r="F290" s="31" t="n">
        <v>2108.17</v>
      </c>
      <c r="G290" s="31" t="n">
        <v>2452</v>
      </c>
      <c r="H290" s="31" t="n">
        <v>-1.06</v>
      </c>
      <c r="I290" s="31" t="n">
        <v>13701</v>
      </c>
      <c r="J290" s="31" t="inlineStr">
        <is>
          <t>524669</t>
        </is>
      </c>
    </row>
    <row r="291">
      <c r="A291" s="31" t="inlineStr">
        <is>
          <t>ALKEM</t>
        </is>
      </c>
      <c r="B291" s="31" t="inlineStr">
        <is>
          <t>Alkem Laboratories Limited</t>
        </is>
      </c>
      <c r="C291" s="31" t="inlineStr">
        <is>
          <t>healthcare</t>
        </is>
      </c>
      <c r="D291" s="31" t="inlineStr">
        <is>
          <t>pharmaceuticals - indian - bulk drugs &amp; formln</t>
        </is>
      </c>
      <c r="E291" s="31" t="inlineStr">
        <is>
          <t>largecap</t>
        </is>
      </c>
      <c r="F291" s="31" t="n">
        <v>69544.98</v>
      </c>
      <c r="G291" s="31" t="n">
        <v>5751.5</v>
      </c>
      <c r="H291" s="31" t="n">
        <v>-1.12</v>
      </c>
      <c r="I291" s="31" t="n">
        <v>116595</v>
      </c>
      <c r="J291" s="31" t="inlineStr">
        <is>
          <t>539523</t>
        </is>
      </c>
    </row>
    <row r="292">
      <c r="A292" s="31" t="inlineStr">
        <is>
          <t>PIDILITIND</t>
        </is>
      </c>
      <c r="B292" s="31" t="inlineStr">
        <is>
          <t>Pidilite Industries Limited</t>
        </is>
      </c>
      <c r="C292" s="31" t="inlineStr">
        <is>
          <t>chemicals</t>
        </is>
      </c>
      <c r="D292" s="31" t="inlineStr">
        <is>
          <t>chemicals</t>
        </is>
      </c>
      <c r="E292" s="31" t="inlineStr">
        <is>
          <t>largecap</t>
        </is>
      </c>
      <c r="F292" s="31" t="n">
        <v>165887.2</v>
      </c>
      <c r="G292" s="31" t="n">
        <v>1611.4</v>
      </c>
      <c r="H292" s="31" t="n">
        <v>-1.14</v>
      </c>
      <c r="I292" s="31" t="n">
        <v>821463</v>
      </c>
      <c r="J292" s="31" t="inlineStr">
        <is>
          <t>500331</t>
        </is>
      </c>
    </row>
    <row r="293">
      <c r="A293" s="31" t="inlineStr">
        <is>
          <t>SMCGLOBAL</t>
        </is>
      </c>
      <c r="B293" s="31" t="inlineStr">
        <is>
          <t>SMC Global Securities Ltd</t>
        </is>
      </c>
      <c r="C293" s="31" t="inlineStr">
        <is>
          <t>financials</t>
        </is>
      </c>
      <c r="D293" s="31" t="inlineStr">
        <is>
          <t>finance &amp; investments</t>
        </is>
      </c>
      <c r="E293" s="31" t="inlineStr">
        <is>
          <t>smallcap</t>
        </is>
      </c>
      <c r="F293" s="31" t="n">
        <v>1707.45</v>
      </c>
      <c r="G293" s="31" t="n">
        <v>80.59999999999999</v>
      </c>
      <c r="H293" s="31" t="n">
        <v>-1.15</v>
      </c>
      <c r="I293" s="31" t="n">
        <v>1308019</v>
      </c>
      <c r="J293" s="31" t="inlineStr">
        <is>
          <t>543263</t>
        </is>
      </c>
    </row>
    <row r="294">
      <c r="A294" s="31" t="inlineStr">
        <is>
          <t>TBZ</t>
        </is>
      </c>
      <c r="B294" s="31" t="inlineStr">
        <is>
          <t>Tribhovandas Bhimji Zaveri Limited</t>
        </is>
      </c>
      <c r="C294" s="31" t="inlineStr">
        <is>
          <t>consumer discretionary</t>
        </is>
      </c>
      <c r="D294" s="31" t="inlineStr">
        <is>
          <t>diamond cutting / jewellery</t>
        </is>
      </c>
      <c r="E294" s="31" t="inlineStr">
        <is>
          <t>smallcap</t>
        </is>
      </c>
      <c r="F294" s="31" t="n">
        <v>1865.59</v>
      </c>
      <c r="G294" s="31" t="n">
        <v>276.34</v>
      </c>
      <c r="H294" s="31" t="n">
        <v>-1.16</v>
      </c>
      <c r="I294" s="31" t="n">
        <v>1065359</v>
      </c>
      <c r="J294" s="31" t="inlineStr">
        <is>
          <t>534369</t>
        </is>
      </c>
    </row>
    <row r="295">
      <c r="A295" s="31" t="inlineStr">
        <is>
          <t>CYIENTDLM</t>
        </is>
      </c>
      <c r="B295" s="31" t="inlineStr">
        <is>
          <t>Cyient DLM Ltd</t>
        </is>
      </c>
      <c r="C295" s="31" t="inlineStr">
        <is>
          <t>consumer discretionary</t>
        </is>
      </c>
      <c r="D295" s="31" t="inlineStr">
        <is>
          <t>electronics - components</t>
        </is>
      </c>
      <c r="E295" s="31" t="inlineStr">
        <is>
          <t>midcap</t>
        </is>
      </c>
      <c r="F295" s="31" t="n">
        <v>5382.99</v>
      </c>
      <c r="G295" s="31" t="n">
        <v>670.05</v>
      </c>
      <c r="H295" s="31" t="n">
        <v>-1.19</v>
      </c>
      <c r="I295" s="31" t="n">
        <v>445816</v>
      </c>
      <c r="J295" s="31" t="inlineStr">
        <is>
          <t>543933</t>
        </is>
      </c>
    </row>
    <row r="296">
      <c r="A296" s="31" t="inlineStr">
        <is>
          <t>RBLBANK</t>
        </is>
      </c>
      <c r="B296" s="31" t="inlineStr">
        <is>
          <t>Rbl Bank Limited</t>
        </is>
      </c>
      <c r="C296" s="31" t="inlineStr">
        <is>
          <t>bank</t>
        </is>
      </c>
      <c r="D296" s="31" t="inlineStr">
        <is>
          <t>banks - private sector</t>
        </is>
      </c>
      <c r="E296" s="31" t="inlineStr">
        <is>
          <t>largecap</t>
        </is>
      </c>
      <c r="F296" s="31" t="n">
        <v>58543.24</v>
      </c>
      <c r="G296" s="31" t="n">
        <v>373.55</v>
      </c>
      <c r="H296" s="31" t="n">
        <v>-1.19</v>
      </c>
      <c r="I296" s="31" t="n">
        <v>5846031</v>
      </c>
      <c r="J296" s="31" t="inlineStr">
        <is>
          <t>540065</t>
        </is>
      </c>
    </row>
    <row r="297">
      <c r="A297" s="31" t="inlineStr">
        <is>
          <t>ARTEMISMED</t>
        </is>
      </c>
      <c r="B297" s="31" t="inlineStr">
        <is>
          <t>Artemis Medicare Services Ltd</t>
        </is>
      </c>
      <c r="C297" s="31" t="inlineStr">
        <is>
          <t>healthcare</t>
        </is>
      </c>
      <c r="D297" s="31" t="inlineStr">
        <is>
          <t>healthcare</t>
        </is>
      </c>
      <c r="E297" s="31" t="inlineStr">
        <is>
          <t>smallcap</t>
        </is>
      </c>
      <c r="F297" s="31" t="n">
        <v>4783.22</v>
      </c>
      <c r="G297" s="31" t="n">
        <v>298.5</v>
      </c>
      <c r="H297" s="31" t="n">
        <v>-1.21</v>
      </c>
      <c r="I297" s="31" t="n">
        <v>314078</v>
      </c>
      <c r="J297" s="31" t="inlineStr">
        <is>
          <t>542919</t>
        </is>
      </c>
    </row>
    <row r="298">
      <c r="A298" s="31" t="inlineStr">
        <is>
          <t>HSCL</t>
        </is>
      </c>
      <c r="B298" s="31" t="inlineStr">
        <is>
          <t>Himadri Speciality Chemical Limited</t>
        </is>
      </c>
      <c r="C298" s="31" t="inlineStr">
        <is>
          <t>chemicals</t>
        </is>
      </c>
      <c r="D298" s="31" t="inlineStr">
        <is>
          <t>chemicals</t>
        </is>
      </c>
      <c r="E298" s="31" t="inlineStr">
        <is>
          <t>largecap</t>
        </is>
      </c>
      <c r="F298" s="31" t="n">
        <v>38370.39</v>
      </c>
      <c r="G298" s="31" t="n">
        <v>750.65</v>
      </c>
      <c r="H298" s="31" t="n">
        <v>-1.3</v>
      </c>
      <c r="I298" s="31" t="n">
        <v>4636162</v>
      </c>
      <c r="J298" s="31" t="inlineStr">
        <is>
          <t>500184</t>
        </is>
      </c>
    </row>
    <row r="299">
      <c r="A299" s="31" t="inlineStr">
        <is>
          <t>CREDITACC</t>
        </is>
      </c>
      <c r="B299" s="31" t="inlineStr">
        <is>
          <t>CreditAccess Grameen Ltd</t>
        </is>
      </c>
      <c r="C299" s="31" t="inlineStr">
        <is>
          <t>financials</t>
        </is>
      </c>
      <c r="D299" s="31" t="inlineStr">
        <is>
          <t>finance &amp; investments</t>
        </is>
      </c>
      <c r="E299" s="31" t="inlineStr">
        <is>
          <t>largecap</t>
        </is>
      </c>
      <c r="F299" s="31" t="n">
        <v>25865.89</v>
      </c>
      <c r="G299" s="31" t="n">
        <v>1592.8</v>
      </c>
      <c r="H299" s="31" t="n">
        <v>-1.31</v>
      </c>
      <c r="I299" s="31" t="n">
        <v>552038</v>
      </c>
      <c r="J299" s="31" t="inlineStr">
        <is>
          <t>541770</t>
        </is>
      </c>
    </row>
    <row r="300">
      <c r="A300" s="31" t="inlineStr">
        <is>
          <t>UNIPARTS</t>
        </is>
      </c>
      <c r="B300" s="31" t="inlineStr">
        <is>
          <t>Uniparts India Ltd</t>
        </is>
      </c>
      <c r="C300" s="31" t="inlineStr">
        <is>
          <t>industrials</t>
        </is>
      </c>
      <c r="D300" s="31" t="inlineStr">
        <is>
          <t>engineering</t>
        </is>
      </c>
      <c r="E300" s="31" t="inlineStr">
        <is>
          <t>smallcap</t>
        </is>
      </c>
      <c r="F300" s="31" t="n">
        <v>3332.46</v>
      </c>
      <c r="G300" s="31" t="n">
        <v>728</v>
      </c>
      <c r="H300" s="31" t="n">
        <v>-1.38</v>
      </c>
      <c r="I300" s="31" t="n">
        <v>202071</v>
      </c>
      <c r="J300" s="31" t="inlineStr">
        <is>
          <t>543689</t>
        </is>
      </c>
    </row>
    <row r="301">
      <c r="A301" s="31" t="inlineStr">
        <is>
          <t>DIACABS</t>
        </is>
      </c>
      <c r="B301" s="31" t="inlineStr">
        <is>
          <t>Diamond Power Infrastructure Ltd</t>
        </is>
      </c>
      <c r="C301" s="31" t="inlineStr">
        <is>
          <t>industrials</t>
        </is>
      </c>
      <c r="D301" s="31" t="inlineStr">
        <is>
          <t>cables - power</t>
        </is>
      </c>
      <c r="E301" s="31" t="inlineStr">
        <is>
          <t>midcap</t>
        </is>
      </c>
      <c r="F301" s="31" t="n">
        <v>17311</v>
      </c>
      <c r="G301" s="31" t="n">
        <v>323.97</v>
      </c>
      <c r="H301" s="31" t="n">
        <v>-1.38</v>
      </c>
      <c r="I301" s="31" t="n">
        <v>5772848</v>
      </c>
      <c r="J301" s="31" t="inlineStr">
        <is>
          <t>522163</t>
        </is>
      </c>
    </row>
    <row r="302">
      <c r="A302" s="31" t="inlineStr">
        <is>
          <t>INDHOTEL</t>
        </is>
      </c>
      <c r="B302" s="31" t="inlineStr">
        <is>
          <t>The Indian Hotels Company Limited</t>
        </is>
      </c>
      <c r="C302" s="31" t="inlineStr">
        <is>
          <t>services</t>
        </is>
      </c>
      <c r="D302" s="31" t="inlineStr">
        <is>
          <t>hotels</t>
        </is>
      </c>
      <c r="E302" s="31" t="inlineStr">
        <is>
          <t>largecap</t>
        </is>
      </c>
      <c r="F302" s="31" t="n">
        <v>106650.66</v>
      </c>
      <c r="G302" s="31" t="n">
        <v>738.55</v>
      </c>
      <c r="H302" s="31" t="n">
        <v>-1.43</v>
      </c>
      <c r="I302" s="31" t="n">
        <v>2772355</v>
      </c>
      <c r="J302" s="31" t="inlineStr">
        <is>
          <t>500850</t>
        </is>
      </c>
    </row>
    <row r="303">
      <c r="A303" s="31" t="inlineStr">
        <is>
          <t>NAUKRI</t>
        </is>
      </c>
      <c r="B303" s="31" t="inlineStr">
        <is>
          <t>Info Edge (india) Limited</t>
        </is>
      </c>
      <c r="C303" s="31" t="inlineStr">
        <is>
          <t>i.t</t>
        </is>
      </c>
      <c r="D303" s="31" t="inlineStr">
        <is>
          <t>miscellaneous</t>
        </is>
      </c>
      <c r="E303" s="31" t="inlineStr">
        <is>
          <t>largecap</t>
        </is>
      </c>
      <c r="F303" s="31" t="n">
        <v>80666.75999999999</v>
      </c>
      <c r="G303" s="31" t="n">
        <v>1226.25</v>
      </c>
      <c r="H303" s="31" t="n">
        <v>-1.43</v>
      </c>
      <c r="I303" s="31" t="n">
        <v>1990551</v>
      </c>
      <c r="J303" s="31" t="inlineStr">
        <is>
          <t>532777</t>
        </is>
      </c>
    </row>
    <row r="304">
      <c r="A304" s="31" t="inlineStr">
        <is>
          <t>COFORGE</t>
        </is>
      </c>
      <c r="B304" s="31" t="inlineStr">
        <is>
          <t>Coforge (Niit Tech) Ltd</t>
        </is>
      </c>
      <c r="C304" s="31" t="inlineStr">
        <is>
          <t>i.t</t>
        </is>
      </c>
      <c r="D304" s="31" t="inlineStr">
        <is>
          <t>computers - software - large</t>
        </is>
      </c>
      <c r="E304" s="31" t="inlineStr">
        <is>
          <t>largecap</t>
        </is>
      </c>
      <c r="F304" s="31" t="n">
        <v>77333.66</v>
      </c>
      <c r="G304" s="31" t="n">
        <v>1721</v>
      </c>
      <c r="H304" s="31" t="n">
        <v>-1.48</v>
      </c>
      <c r="I304" s="31" t="n">
        <v>3381316</v>
      </c>
      <c r="J304" s="31" t="inlineStr">
        <is>
          <t>532541</t>
        </is>
      </c>
    </row>
    <row r="305">
      <c r="A305" s="31" t="inlineStr">
        <is>
          <t>STARHEALTH</t>
        </is>
      </c>
      <c r="B305" s="31" t="inlineStr">
        <is>
          <t>Star Health &amp; Allied Insurance Company Ltd</t>
        </is>
      </c>
      <c r="C305" s="31" t="inlineStr">
        <is>
          <t>financials</t>
        </is>
      </c>
      <c r="D305" s="31" t="inlineStr">
        <is>
          <t>finance &amp; investments</t>
        </is>
      </c>
      <c r="E305" s="31" t="inlineStr">
        <is>
          <t>largecap</t>
        </is>
      </c>
      <c r="F305" s="31" t="n">
        <v>35926.73</v>
      </c>
      <c r="G305" s="31" t="n">
        <v>601</v>
      </c>
      <c r="H305" s="31" t="n">
        <v>-1.54</v>
      </c>
      <c r="I305" s="31" t="n">
        <v>604664</v>
      </c>
      <c r="J305" s="31" t="inlineStr">
        <is>
          <t>543412</t>
        </is>
      </c>
    </row>
    <row r="306">
      <c r="A306" s="31" t="inlineStr">
        <is>
          <t>MACPOWER</t>
        </is>
      </c>
      <c r="B306" s="31" t="inlineStr">
        <is>
          <t>Macpower CNC Machines Ltd</t>
        </is>
      </c>
      <c r="C306" s="31" t="inlineStr">
        <is>
          <t>industrials</t>
        </is>
      </c>
      <c r="D306" s="31" t="inlineStr">
        <is>
          <t>engineering</t>
        </is>
      </c>
      <c r="E306" s="31" t="inlineStr">
        <is>
          <t>smallcap</t>
        </is>
      </c>
      <c r="F306" s="31" t="n">
        <v>1481.82</v>
      </c>
      <c r="G306" s="31" t="n">
        <v>1458.2</v>
      </c>
      <c r="H306" s="31" t="n">
        <v>-1.55</v>
      </c>
      <c r="I306" s="31" t="n">
        <v>87319</v>
      </c>
      <c r="J306" s="31" t="inlineStr">
        <is>
          <t>535057</t>
        </is>
      </c>
    </row>
    <row r="307">
      <c r="A307" s="31" t="inlineStr">
        <is>
          <t>ENDURANCE</t>
        </is>
      </c>
      <c r="B307" s="31" t="inlineStr">
        <is>
          <t>Endurance Technologies Limited</t>
        </is>
      </c>
      <c r="C307" s="31" t="inlineStr">
        <is>
          <t>auto</t>
        </is>
      </c>
      <c r="D307" s="31" t="inlineStr">
        <is>
          <t>auto ancillaries</t>
        </is>
      </c>
      <c r="E307" s="31" t="inlineStr">
        <is>
          <t>largecap</t>
        </is>
      </c>
      <c r="F307" s="31" t="n">
        <v>39446.08</v>
      </c>
      <c r="G307" s="31" t="n">
        <v>2758.3</v>
      </c>
      <c r="H307" s="31" t="n">
        <v>-1.64</v>
      </c>
      <c r="I307" s="31" t="n">
        <v>165170</v>
      </c>
      <c r="J307" s="31" t="inlineStr">
        <is>
          <t>540153</t>
        </is>
      </c>
    </row>
    <row r="308">
      <c r="A308" s="31" t="inlineStr">
        <is>
          <t>MARICO</t>
        </is>
      </c>
      <c r="B308" s="31" t="inlineStr">
        <is>
          <t>Marico Limited</t>
        </is>
      </c>
      <c r="C308" s="31" t="inlineStr">
        <is>
          <t>fmcg</t>
        </is>
      </c>
      <c r="D308" s="31" t="inlineStr">
        <is>
          <t>solvent extraction</t>
        </is>
      </c>
      <c r="E308" s="31" t="inlineStr">
        <is>
          <t>largecap</t>
        </is>
      </c>
      <c r="F308" s="31" t="n">
        <v>114952.64</v>
      </c>
      <c r="G308" s="31" t="n">
        <v>870.65</v>
      </c>
      <c r="H308" s="31" t="n">
        <v>-1.66</v>
      </c>
      <c r="I308" s="31" t="n">
        <v>2540399</v>
      </c>
      <c r="J308" s="31" t="inlineStr">
        <is>
          <t>531642</t>
        </is>
      </c>
    </row>
    <row r="309">
      <c r="A309" s="31" t="inlineStr">
        <is>
          <t>CRAFTSMAN</t>
        </is>
      </c>
      <c r="B309" s="31" t="inlineStr">
        <is>
          <t>Craftsman Automation Ltd</t>
        </is>
      </c>
      <c r="C309" s="31" t="inlineStr">
        <is>
          <t>auto</t>
        </is>
      </c>
      <c r="D309" s="31" t="inlineStr">
        <is>
          <t>auto ancillaries</t>
        </is>
      </c>
      <c r="E309" s="31" t="inlineStr">
        <is>
          <t>largecap</t>
        </is>
      </c>
      <c r="F309" s="31" t="n">
        <v>26277.36</v>
      </c>
      <c r="G309" s="31" t="n">
        <v>9873.5</v>
      </c>
      <c r="H309" s="31" t="n">
        <v>-1.73</v>
      </c>
      <c r="I309" s="31" t="n">
        <v>104732</v>
      </c>
      <c r="J309" s="31" t="inlineStr">
        <is>
          <t>543276</t>
        </is>
      </c>
    </row>
    <row r="310">
      <c r="A310" s="31" t="inlineStr">
        <is>
          <t>M&amp;MFIN</t>
        </is>
      </c>
      <c r="B310" s="31" t="inlineStr">
        <is>
          <t>Mahindra &amp; Mahindra Financial Services Limited</t>
        </is>
      </c>
      <c r="C310" s="31" t="inlineStr">
        <is>
          <t>financials</t>
        </is>
      </c>
      <c r="D310" s="31" t="inlineStr">
        <is>
          <t>finance &amp; investments</t>
        </is>
      </c>
      <c r="E310" s="31" t="inlineStr">
        <is>
          <t>largecap</t>
        </is>
      </c>
      <c r="F310" s="31" t="n">
        <v>54563.32</v>
      </c>
      <c r="G310" s="31" t="n">
        <v>385.75</v>
      </c>
      <c r="H310" s="31" t="n">
        <v>-1.73</v>
      </c>
      <c r="I310" s="31" t="n">
        <v>3831202</v>
      </c>
      <c r="J310" s="31" t="inlineStr">
        <is>
          <t>532720</t>
        </is>
      </c>
    </row>
    <row r="311">
      <c r="A311" s="31" t="inlineStr">
        <is>
          <t>TVSHLTD</t>
        </is>
      </c>
      <c r="B311" s="31" t="inlineStr">
        <is>
          <t>TVS Holdings Ltd</t>
        </is>
      </c>
      <c r="C311" s="31" t="inlineStr">
        <is>
          <t>financials</t>
        </is>
      </c>
      <c r="D311" s="31" t="inlineStr">
        <is>
          <t>finance &amp; investments</t>
        </is>
      </c>
      <c r="E311" s="31" t="inlineStr">
        <is>
          <t>largecap</t>
        </is>
      </c>
      <c r="F311" s="31" t="n">
        <v>30321.85</v>
      </c>
      <c r="G311" s="31" t="n">
        <v>14701</v>
      </c>
      <c r="H311" s="31" t="n">
        <v>-1.91</v>
      </c>
      <c r="I311" s="31" t="n">
        <v>10940</v>
      </c>
      <c r="J311" s="31" t="inlineStr">
        <is>
          <t>520056</t>
        </is>
      </c>
    </row>
    <row r="312">
      <c r="A312" s="31" t="inlineStr">
        <is>
          <t>KTKBANK</t>
        </is>
      </c>
      <c r="B312" s="31" t="inlineStr">
        <is>
          <t>The Karnataka Bank Limited</t>
        </is>
      </c>
      <c r="C312" s="31" t="inlineStr">
        <is>
          <t>bank</t>
        </is>
      </c>
      <c r="D312" s="31" t="inlineStr">
        <is>
          <t>banks - private sector</t>
        </is>
      </c>
      <c r="E312" s="31" t="inlineStr">
        <is>
          <t>midcap</t>
        </is>
      </c>
      <c r="F312" s="31" t="n">
        <v>10996.26</v>
      </c>
      <c r="G312" s="31" t="n">
        <v>284.75</v>
      </c>
      <c r="H312" s="31" t="n">
        <v>-2.06</v>
      </c>
      <c r="I312" s="31" t="n">
        <v>4082393</v>
      </c>
      <c r="J312" s="31" t="inlineStr">
        <is>
          <t>532652</t>
        </is>
      </c>
    </row>
    <row r="313">
      <c r="A313" s="31" t="inlineStr">
        <is>
          <t>THYROCARE</t>
        </is>
      </c>
      <c r="B313" s="31" t="inlineStr">
        <is>
          <t>Thyrocare Technologies Limited</t>
        </is>
      </c>
      <c r="C313" s="31" t="inlineStr">
        <is>
          <t>healthcare</t>
        </is>
      </c>
      <c r="D313" s="31" t="inlineStr">
        <is>
          <t>healthcare</t>
        </is>
      </c>
      <c r="E313" s="31" t="inlineStr">
        <is>
          <t>midcap</t>
        </is>
      </c>
      <c r="F313" s="31" t="n">
        <v>9413.83</v>
      </c>
      <c r="G313" s="31" t="n">
        <v>579</v>
      </c>
      <c r="H313" s="31" t="n">
        <v>-2.11</v>
      </c>
      <c r="I313" s="31" t="n">
        <v>300343</v>
      </c>
      <c r="J313" s="31" t="inlineStr">
        <is>
          <t>539871</t>
        </is>
      </c>
    </row>
    <row r="314">
      <c r="A314" s="31" t="inlineStr">
        <is>
          <t>MENONBE</t>
        </is>
      </c>
      <c r="B314" s="31" t="inlineStr">
        <is>
          <t>Menon Bearings Limited</t>
        </is>
      </c>
      <c r="C314" s="31" t="inlineStr">
        <is>
          <t>auto</t>
        </is>
      </c>
      <c r="D314" s="31" t="inlineStr">
        <is>
          <t>auto ancillaries</t>
        </is>
      </c>
      <c r="E314" s="31" t="inlineStr">
        <is>
          <t>smallcap</t>
        </is>
      </c>
      <c r="F314" s="31" t="n">
        <v>1204.69</v>
      </c>
      <c r="G314" s="31" t="n">
        <v>210.05</v>
      </c>
      <c r="H314" s="31" t="n">
        <v>-2.29</v>
      </c>
      <c r="I314" s="31" t="n">
        <v>32793</v>
      </c>
      <c r="J314" s="31" t="inlineStr">
        <is>
          <t>523828</t>
        </is>
      </c>
    </row>
    <row r="315">
      <c r="A315" s="31" t="inlineStr">
        <is>
          <t>ADOR</t>
        </is>
      </c>
      <c r="B315" s="31" t="inlineStr">
        <is>
          <t>Ador Welding Ltd</t>
        </is>
      </c>
      <c r="C315" s="31" t="inlineStr">
        <is>
          <t>industrials</t>
        </is>
      </c>
      <c r="D315" s="31" t="inlineStr">
        <is>
          <t>electrodes - welding equipment</t>
        </is>
      </c>
      <c r="E315" s="31" t="inlineStr">
        <is>
          <t>smallcap</t>
        </is>
      </c>
      <c r="F315" s="31" t="n">
        <v>2575.96</v>
      </c>
      <c r="G315" s="31" t="n">
        <v>1445</v>
      </c>
      <c r="H315" s="31" t="n">
        <v>-2.38</v>
      </c>
      <c r="I315" s="31" t="n">
        <v>37403</v>
      </c>
      <c r="J315" s="31" t="inlineStr">
        <is>
          <t>517041</t>
        </is>
      </c>
    </row>
    <row r="316">
      <c r="A316" s="31" t="inlineStr">
        <is>
          <t>SILVERTUC</t>
        </is>
      </c>
      <c r="B316" s="31" t="inlineStr">
        <is>
          <t>Silver Touch Technologies Ltd</t>
        </is>
      </c>
      <c r="C316" s="31" t="inlineStr">
        <is>
          <t>i.t</t>
        </is>
      </c>
      <c r="D316" s="31" t="inlineStr">
        <is>
          <t>computers - software - medium / small</t>
        </is>
      </c>
      <c r="E316" s="31" t="inlineStr">
        <is>
          <t>smallcap</t>
        </is>
      </c>
      <c r="F316" s="31" t="n">
        <v>2622.43</v>
      </c>
      <c r="G316" s="31" t="n">
        <v>201.79</v>
      </c>
      <c r="H316" s="31" t="n">
        <v>-2.42</v>
      </c>
      <c r="I316" s="31" t="n">
        <v>1957308</v>
      </c>
      <c r="J316" s="31" t="inlineStr">
        <is>
          <t>535031</t>
        </is>
      </c>
    </row>
    <row r="317">
      <c r="A317" s="31" t="inlineStr">
        <is>
          <t>RAMRAT</t>
        </is>
      </c>
      <c r="B317" s="31" t="inlineStr">
        <is>
          <t>Ram Ratna Wires Ltd</t>
        </is>
      </c>
      <c r="C317" s="31" t="inlineStr">
        <is>
          <t>metals &amp; mining</t>
        </is>
      </c>
      <c r="D317" s="31" t="inlineStr">
        <is>
          <t>mining / minerals / metals</t>
        </is>
      </c>
      <c r="E317" s="31" t="inlineStr">
        <is>
          <t>smallcap</t>
        </is>
      </c>
      <c r="F317" s="31" t="n">
        <v>4296.39</v>
      </c>
      <c r="G317" s="31" t="n">
        <v>448.5</v>
      </c>
      <c r="H317" s="31" t="n">
        <v>-2.55</v>
      </c>
      <c r="I317" s="31" t="n">
        <v>559386</v>
      </c>
      <c r="J317" s="31" t="inlineStr">
        <is>
          <t>522281</t>
        </is>
      </c>
    </row>
    <row r="318">
      <c r="A318" s="31" t="inlineStr">
        <is>
          <t>KMEW</t>
        </is>
      </c>
      <c r="B318" s="31" t="inlineStr">
        <is>
          <t>Knowledge Marine &amp; Engineering Works Ltd</t>
        </is>
      </c>
      <c r="C318" s="31" t="inlineStr">
        <is>
          <t>transportation</t>
        </is>
      </c>
      <c r="D318" s="31" t="inlineStr">
        <is>
          <t>miscellaneous</t>
        </is>
      </c>
      <c r="E318" s="31" t="inlineStr">
        <is>
          <t>midcap</t>
        </is>
      </c>
      <c r="F318" s="31" t="n">
        <v>6181.91</v>
      </c>
      <c r="G318" s="31" t="n">
        <v>2463.3</v>
      </c>
      <c r="H318" s="31" t="n">
        <v>-2.6</v>
      </c>
      <c r="I318" s="31" t="n">
        <v>142461</v>
      </c>
      <c r="J318" s="31" t="inlineStr">
        <is>
          <t>543273</t>
        </is>
      </c>
    </row>
    <row r="319">
      <c r="A319" s="31" t="inlineStr">
        <is>
          <t>ETERNAL</t>
        </is>
      </c>
      <c r="B319" s="31" t="inlineStr">
        <is>
          <t>Eternal Ltd</t>
        </is>
      </c>
      <c r="C319" s="31" t="inlineStr">
        <is>
          <t>i.t</t>
        </is>
      </c>
      <c r="D319" s="31" t="inlineStr">
        <is>
          <t>miscellaneous</t>
        </is>
      </c>
      <c r="E319" s="31" t="inlineStr">
        <is>
          <t>largecap</t>
        </is>
      </c>
      <c r="F319" s="31" t="n">
        <v>299788.14</v>
      </c>
      <c r="G319" s="31" t="n">
        <v>302.45</v>
      </c>
      <c r="H319" s="31" t="n">
        <v>-2.64</v>
      </c>
      <c r="I319" s="31" t="n">
        <v>36780186</v>
      </c>
      <c r="J319" s="31" t="inlineStr">
        <is>
          <t>543320</t>
        </is>
      </c>
    </row>
    <row r="320">
      <c r="A320" s="31" t="inlineStr">
        <is>
          <t>STOVEKRAFT</t>
        </is>
      </c>
      <c r="B320" s="31" t="inlineStr">
        <is>
          <t>Stove Kraft Ltd</t>
        </is>
      </c>
      <c r="C320" s="31" t="inlineStr">
        <is>
          <t>consumer discretionary</t>
        </is>
      </c>
      <c r="D320" s="31" t="inlineStr">
        <is>
          <t>domestic appliances</t>
        </is>
      </c>
      <c r="E320" s="31" t="inlineStr">
        <is>
          <t>smallcap</t>
        </is>
      </c>
      <c r="F320" s="31" t="n">
        <v>2652.56</v>
      </c>
      <c r="G320" s="31" t="n">
        <v>778.4</v>
      </c>
      <c r="H320" s="31" t="n">
        <v>-2.85</v>
      </c>
      <c r="I320" s="31" t="n">
        <v>187817</v>
      </c>
      <c r="J320" s="31" t="inlineStr">
        <is>
          <t>543260</t>
        </is>
      </c>
    </row>
    <row r="321">
      <c r="A321" s="31" t="inlineStr">
        <is>
          <t>SPECTRUM</t>
        </is>
      </c>
      <c r="B321" s="31" t="inlineStr">
        <is>
          <t>Spectrum Electrical Industries Ltd</t>
        </is>
      </c>
      <c r="C321" s="31" t="inlineStr">
        <is>
          <t>industrials</t>
        </is>
      </c>
      <c r="D321" s="31" t="inlineStr">
        <is>
          <t>electric equipment</t>
        </is>
      </c>
      <c r="E321" s="31" t="inlineStr">
        <is>
          <t>smallcap</t>
        </is>
      </c>
      <c r="F321" s="31" t="n">
        <v>3834.18</v>
      </c>
      <c r="G321" s="31" t="n">
        <v>2363</v>
      </c>
      <c r="H321" s="31" t="n">
        <v>-3.16</v>
      </c>
      <c r="I321" s="31" t="n">
        <v>35861</v>
      </c>
      <c r="J321" s="31" t="inlineStr">
        <is>
          <t>535112</t>
        </is>
      </c>
    </row>
    <row r="322">
      <c r="A322" s="31" t="inlineStr">
        <is>
          <t>JUSTDIAL</t>
        </is>
      </c>
      <c r="B322" s="31" t="inlineStr">
        <is>
          <t>Just Dial Limited</t>
        </is>
      </c>
      <c r="C322" s="31" t="inlineStr">
        <is>
          <t>i.t</t>
        </is>
      </c>
      <c r="D322" s="31" t="inlineStr">
        <is>
          <t>miscellaneous</t>
        </is>
      </c>
      <c r="E322" s="31" t="inlineStr">
        <is>
          <t>midcap</t>
        </is>
      </c>
      <c r="F322" s="31" t="n">
        <v>6307.66</v>
      </c>
      <c r="G322" s="31" t="n">
        <v>716.7</v>
      </c>
      <c r="H322" s="31" t="n">
        <v>-3.36</v>
      </c>
      <c r="I322" s="31" t="n">
        <v>453222</v>
      </c>
      <c r="J322" s="31" t="inlineStr">
        <is>
          <t>535648</t>
        </is>
      </c>
    </row>
    <row r="323">
      <c r="A323" s="31" t="inlineStr">
        <is>
          <t>LODHA</t>
        </is>
      </c>
      <c r="B323" s="31" t="inlineStr">
        <is>
          <t>Lodha Developers Ltd</t>
        </is>
      </c>
      <c r="C323" s="31" t="inlineStr">
        <is>
          <t>realty</t>
        </is>
      </c>
      <c r="D323" s="31" t="inlineStr">
        <is>
          <t>construction</t>
        </is>
      </c>
      <c r="E323" s="31" t="inlineStr">
        <is>
          <t>largecap</t>
        </is>
      </c>
      <c r="F323" s="31" t="n">
        <v>128598.44</v>
      </c>
      <c r="G323" s="31" t="n">
        <v>1243.95</v>
      </c>
      <c r="H323" s="31" t="n">
        <v>-3.36</v>
      </c>
      <c r="I323" s="31" t="n">
        <v>3593997</v>
      </c>
      <c r="J323" s="31" t="inlineStr">
        <is>
          <t>543287</t>
        </is>
      </c>
    </row>
    <row r="324">
      <c r="A324" s="31" t="inlineStr">
        <is>
          <t>MBAPL</t>
        </is>
      </c>
      <c r="B324" s="31" t="inlineStr">
        <is>
          <t>Madhya Bharat Agro Products Ltd</t>
        </is>
      </c>
      <c r="C324" s="31" t="inlineStr">
        <is>
          <t>chemicals</t>
        </is>
      </c>
      <c r="D324" s="31" t="inlineStr">
        <is>
          <t>fertilizers</t>
        </is>
      </c>
      <c r="E324" s="31" t="inlineStr">
        <is>
          <t>smallcap</t>
        </is>
      </c>
      <c r="F324" s="31" t="n">
        <v>1453.29</v>
      </c>
      <c r="G324" s="31" t="n">
        <v>160.2</v>
      </c>
      <c r="H324" s="31" t="n">
        <v>-3.41</v>
      </c>
      <c r="I324" s="31" t="n">
        <v>914031</v>
      </c>
      <c r="J324" s="31" t="inlineStr">
        <is>
          <t>538370</t>
        </is>
      </c>
    </row>
    <row r="325">
      <c r="A325" s="31" t="inlineStr">
        <is>
          <t>KALYANKJIL</t>
        </is>
      </c>
      <c r="B325" s="31" t="inlineStr">
        <is>
          <t>Kalyan Jewellers India Ltd</t>
        </is>
      </c>
      <c r="C325" s="31" t="inlineStr">
        <is>
          <t>consumer discretionary</t>
        </is>
      </c>
      <c r="D325" s="31" t="inlineStr">
        <is>
          <t>diamond cutting / jewellery</t>
        </is>
      </c>
      <c r="E325" s="31" t="inlineStr">
        <is>
          <t>largecap</t>
        </is>
      </c>
      <c r="F325" s="31" t="n">
        <v>65537.69</v>
      </c>
      <c r="G325" s="31" t="n">
        <v>612.6</v>
      </c>
      <c r="H325" s="31" t="n">
        <v>-3.47</v>
      </c>
      <c r="I325" s="31" t="n">
        <v>23711127</v>
      </c>
      <c r="J325" s="31" t="inlineStr">
        <is>
          <t>543278</t>
        </is>
      </c>
    </row>
    <row r="326">
      <c r="A326" s="31" t="inlineStr">
        <is>
          <t>APCOTEXIND</t>
        </is>
      </c>
      <c r="B326" s="31" t="inlineStr">
        <is>
          <t>Apcotex Industries Limited</t>
        </is>
      </c>
      <c r="C326" s="31" t="inlineStr">
        <is>
          <t>chemicals</t>
        </is>
      </c>
      <c r="D326" s="31" t="inlineStr">
        <is>
          <t>miscellaneous</t>
        </is>
      </c>
      <c r="E326" s="31" t="inlineStr">
        <is>
          <t>smallcap</t>
        </is>
      </c>
      <c r="F326" s="31" t="n">
        <v>3304.86</v>
      </c>
      <c r="G326" s="31" t="n">
        <v>611.35</v>
      </c>
      <c r="H326" s="31" t="n">
        <v>-4.09</v>
      </c>
      <c r="I326" s="31" t="n">
        <v>856589</v>
      </c>
      <c r="J326" s="31" t="inlineStr">
        <is>
          <t>523694</t>
        </is>
      </c>
    </row>
    <row r="327">
      <c r="A327" s="31" t="inlineStr">
        <is>
          <t>SICALLOG</t>
        </is>
      </c>
      <c r="B327" s="31" t="inlineStr">
        <is>
          <t>Sical Logistics Ltd</t>
        </is>
      </c>
      <c r="C327" s="31" t="inlineStr">
        <is>
          <t>transportation</t>
        </is>
      </c>
      <c r="D327" s="31" t="inlineStr">
        <is>
          <t>miscellaneous</t>
        </is>
      </c>
      <c r="E327" s="31" t="inlineStr">
        <is>
          <t>smallcap</t>
        </is>
      </c>
      <c r="F327" s="31" t="n">
        <v>934.04</v>
      </c>
      <c r="G327" s="31" t="n">
        <v>111.22</v>
      </c>
      <c r="H327" s="31" t="n">
        <v>-5</v>
      </c>
      <c r="I327" s="31" t="n">
        <v>153232</v>
      </c>
      <c r="J327" s="31" t="inlineStr">
        <is>
          <t>520086</t>
        </is>
      </c>
    </row>
  </sheetData>
  <autoFilter ref="A1:J3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TFCILTD</t>
        </is>
      </c>
      <c r="E2" s="31" t="inlineStr">
        <is>
          <t>Tourism Finance Corporation Of India Limited</t>
        </is>
      </c>
      <c r="F2" s="31" t="inlineStr">
        <is>
          <t>Finance - PSU Lending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25</v>
      </c>
      <c r="K2" s="31" t="n">
        <v>16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UJJIVANSFB</t>
        </is>
      </c>
      <c r="E3" s="31" t="inlineStr">
        <is>
          <t>Ujjivan Small Finance Bank Ltd</t>
        </is>
      </c>
      <c r="F3" s="31" t="inlineStr">
        <is>
          <t>Banks - Small Finance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23</v>
      </c>
      <c r="K3" s="31" t="n">
        <v>17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RPTECH</t>
        </is>
      </c>
      <c r="E4" s="31" t="inlineStr">
        <is>
          <t>Rashi Peripherals Ltd</t>
        </is>
      </c>
      <c r="F4" s="31" t="inlineStr">
        <is>
          <t>Trading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20</v>
      </c>
      <c r="K4" s="31" t="n">
        <v>28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SONACOMS</t>
        </is>
      </c>
      <c r="E5" s="31" t="inlineStr">
        <is>
          <t>Sona BLW Precision Forgings Ltd</t>
        </is>
      </c>
      <c r="F5" s="31" t="inlineStr">
        <is>
          <t>Castings, Forgings &amp; Fastners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18</v>
      </c>
      <c r="K5" s="31" t="n">
        <v>22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KARURVYSYA</t>
        </is>
      </c>
      <c r="E6" s="31" t="inlineStr">
        <is>
          <t>Karur Vysya Bank Limited</t>
        </is>
      </c>
      <c r="F6" s="31" t="inlineStr">
        <is>
          <t>Banks - Private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22</v>
      </c>
      <c r="K6" s="31" t="n">
        <v>12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LAURUSLABS</t>
        </is>
      </c>
      <c r="E7" s="31" t="inlineStr">
        <is>
          <t>Laurus Labs Limited</t>
        </is>
      </c>
      <c r="F7" s="31" t="inlineStr">
        <is>
          <t>Pharma - API &amp; CRAMS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23</v>
      </c>
      <c r="K7" s="31" t="n">
        <v>30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SSWL</t>
        </is>
      </c>
      <c r="E8" s="31" t="inlineStr">
        <is>
          <t>Steel Strips Wheels Limited</t>
        </is>
      </c>
      <c r="F8" s="31" t="inlineStr">
        <is>
          <t>Auto Ancillaries - Wheels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20</v>
      </c>
      <c r="K8" s="31" t="n">
        <v>29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YASHO</t>
        </is>
      </c>
      <c r="E9" s="31" t="inlineStr">
        <is>
          <t>Yasho Industries Ltd</t>
        </is>
      </c>
      <c r="F9" s="31" t="inlineStr">
        <is>
          <t>Speciality Chemicals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24</v>
      </c>
      <c r="K9" s="31" t="n">
        <v>30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BLSE</t>
        </is>
      </c>
      <c r="E10" s="31" t="inlineStr">
        <is>
          <t>BLS E-Services Ltd</t>
        </is>
      </c>
      <c r="F10" s="31" t="inlineStr">
        <is>
          <t>IT - Software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19</v>
      </c>
      <c r="K10" s="31" t="n">
        <v>30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BAJFINANCE</t>
        </is>
      </c>
      <c r="E11" s="31" t="inlineStr">
        <is>
          <t>Bajaj Finance Limited</t>
        </is>
      </c>
      <c r="F11" s="31" t="inlineStr">
        <is>
          <t>Conglomerate Backed NBFC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18</v>
      </c>
      <c r="K11" s="31" t="n">
        <v>21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TVSMOTOR</t>
        </is>
      </c>
      <c r="E12" s="31" t="inlineStr">
        <is>
          <t>Tvs Motor Company Limited</t>
        </is>
      </c>
      <c r="F12" s="31" t="inlineStr">
        <is>
          <t>Auto - 2 &amp; 3 Wheelers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22</v>
      </c>
      <c r="K12" s="31" t="n">
        <v>11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SCPL</t>
        </is>
      </c>
      <c r="E13" s="31" t="inlineStr">
        <is>
          <t>Sheetal Cool Products Ltd</t>
        </is>
      </c>
      <c r="F13" s="31" t="inlineStr">
        <is>
          <t>Food &amp; Dairy Products</t>
        </is>
      </c>
      <c r="G13" s="31" t="n">
        <v>2</v>
      </c>
      <c r="H13" s="31" t="inlineStr">
        <is>
          <t>52W Breakout</t>
        </is>
      </c>
      <c r="I13" s="31" t="inlineStr">
        <is>
          <t>Yes</t>
        </is>
      </c>
      <c r="J13" s="31" t="n">
        <v>2</v>
      </c>
      <c r="K13" s="31" t="n">
        <v>18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MENONBE</t>
        </is>
      </c>
      <c r="E14" s="31" t="inlineStr">
        <is>
          <t>Menon Bearings Limited</t>
        </is>
      </c>
      <c r="F14" s="31" t="inlineStr">
        <is>
          <t>Auto Ancillaries - Bearings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18</v>
      </c>
      <c r="K14" s="31" t="n">
        <v>23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E2E</t>
        </is>
      </c>
      <c r="E15" s="31" t="inlineStr">
        <is>
          <t>E2E Networks Ltd</t>
        </is>
      </c>
      <c r="F15" s="31" t="inlineStr">
        <is>
          <t>Data Centre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21</v>
      </c>
      <c r="K15" s="31" t="n">
        <v>9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TMB</t>
        </is>
      </c>
      <c r="E16" s="31" t="inlineStr">
        <is>
          <t>Tamilnad Mercantile Bank Ltd</t>
        </is>
      </c>
      <c r="F16" s="31" t="inlineStr">
        <is>
          <t>Banks - Private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17</v>
      </c>
      <c r="K16" s="31" t="n">
        <v>25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HUHTAMAKI</t>
        </is>
      </c>
      <c r="E17" s="31" t="inlineStr">
        <is>
          <t>Huhtamaki India Ltd</t>
        </is>
      </c>
      <c r="F17" s="31" t="inlineStr">
        <is>
          <t>Packaging - FMCG/Consumers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26</v>
      </c>
      <c r="K17" s="31" t="n">
        <v>9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TINNARUBR</t>
        </is>
      </c>
      <c r="E18" s="31" t="inlineStr">
        <is>
          <t>Tinna Rubber &amp; Infrastructure Ltd</t>
        </is>
      </c>
      <c r="F18" s="31" t="inlineStr">
        <is>
          <t>Rubber Processing/Rubber Products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18</v>
      </c>
      <c r="K18" s="31" t="n">
        <v>27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CREDITACC</t>
        </is>
      </c>
      <c r="E19" s="31" t="inlineStr">
        <is>
          <t>CreditAccess Grameen Ltd</t>
        </is>
      </c>
      <c r="F19" s="31" t="inlineStr">
        <is>
          <t>Finance &amp; Investments - Microfinance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21</v>
      </c>
      <c r="K19" s="31" t="n">
        <v>20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ESAFSFB</t>
        </is>
      </c>
      <c r="E20" s="31" t="inlineStr">
        <is>
          <t>ESAF Small Finance Bank Ltd</t>
        </is>
      </c>
      <c r="F20" s="31" t="inlineStr">
        <is>
          <t>Banks - Small Finance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24</v>
      </c>
      <c r="K20" s="31" t="n">
        <v>22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SAKAR</t>
        </is>
      </c>
      <c r="E21" s="31" t="inlineStr">
        <is>
          <t>Sakar Healthcare Ltd</t>
        </is>
      </c>
      <c r="F21" s="31" t="inlineStr">
        <is>
          <t>Hospitals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18</v>
      </c>
      <c r="K21" s="31" t="n">
        <v>22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JSFB</t>
        </is>
      </c>
      <c r="E22" s="31" t="inlineStr">
        <is>
          <t>Jana Small Finance Bank Ltd</t>
        </is>
      </c>
      <c r="F22" s="31" t="inlineStr">
        <is>
          <t>Banks - Small Finance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20</v>
      </c>
      <c r="K22" s="31" t="n">
        <v>10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RRKABEL</t>
        </is>
      </c>
      <c r="E23" s="31" t="inlineStr">
        <is>
          <t>R R Kabel Ltd</t>
        </is>
      </c>
      <c r="F23" s="31" t="inlineStr">
        <is>
          <t>Cables - Power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25</v>
      </c>
      <c r="K23" s="31" t="n">
        <v>29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REDINGTON</t>
        </is>
      </c>
      <c r="E24" s="31" t="inlineStr">
        <is>
          <t>Redington (india) Limited</t>
        </is>
      </c>
      <c r="F24" s="31" t="inlineStr">
        <is>
          <t>Computer - Hardware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22</v>
      </c>
      <c r="K24" s="31" t="n">
        <v>14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SJS</t>
        </is>
      </c>
      <c r="E25" s="31" t="inlineStr">
        <is>
          <t>S J S Enterprises Ltd</t>
        </is>
      </c>
      <c r="F25" s="31" t="inlineStr">
        <is>
          <t>Auto Ancillaries - Diversified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19</v>
      </c>
      <c r="K25" s="31" t="n">
        <v>29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UNIPARTS</t>
        </is>
      </c>
      <c r="E26" s="31" t="inlineStr">
        <is>
          <t>Uniparts India Ltd</t>
        </is>
      </c>
      <c r="F26" s="31" t="inlineStr">
        <is>
          <t>Castings, Forgings &amp; Fastners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20</v>
      </c>
      <c r="K26" s="31" t="n">
        <v>29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QUESS</t>
        </is>
      </c>
      <c r="E27" s="31" t="inlineStr">
        <is>
          <t>Quess Corp Limited</t>
        </is>
      </c>
      <c r="F27" s="31" t="inlineStr">
        <is>
          <t>Facility Management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22</v>
      </c>
      <c r="K27" s="31" t="n">
        <v>11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CUPID</t>
        </is>
      </c>
      <c r="E28" s="31" t="inlineStr">
        <is>
          <t>Cupid Limited</t>
        </is>
      </c>
      <c r="F28" s="31" t="inlineStr">
        <is>
          <t>Contraceptives/Protectives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18</v>
      </c>
      <c r="K28" s="31" t="n">
        <v>30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THYROCARE</t>
        </is>
      </c>
      <c r="E29" s="31" t="inlineStr">
        <is>
          <t>Thyrocare Technologies Limited</t>
        </is>
      </c>
      <c r="F29" s="31" t="inlineStr">
        <is>
          <t>Diagnostics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18</v>
      </c>
      <c r="K29" s="31" t="n">
        <v>26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EMCURE</t>
        </is>
      </c>
      <c r="E30" s="31" t="inlineStr">
        <is>
          <t>Emcure Pharmaceuticals Ltd</t>
        </is>
      </c>
      <c r="F30" s="31" t="inlineStr">
        <is>
          <t>Pharma - Formulators</t>
        </is>
      </c>
      <c r="G30" s="31" t="n">
        <v>2</v>
      </c>
      <c r="H30" s="31" t="inlineStr">
        <is>
          <t>52W Breakout</t>
        </is>
      </c>
      <c r="I30" s="31" t="inlineStr">
        <is>
          <t>Yes</t>
        </is>
      </c>
      <c r="J30" s="31" t="n">
        <v>13</v>
      </c>
      <c r="K30" s="31" t="n">
        <v>23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ADOR</t>
        </is>
      </c>
      <c r="E31" s="31" t="inlineStr">
        <is>
          <t>Ador Welding Ltd</t>
        </is>
      </c>
      <c r="F31" s="31" t="inlineStr">
        <is>
          <t>Welding Equipments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20</v>
      </c>
      <c r="K31" s="31" t="n">
        <v>29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CENTENKA</t>
        </is>
      </c>
      <c r="E32" s="31" t="inlineStr">
        <is>
          <t>Century Enka Limited</t>
        </is>
      </c>
      <c r="F32" s="31" t="inlineStr">
        <is>
          <t>Textiles - Manmade Fibre - PFY/PSF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26</v>
      </c>
      <c r="K32" s="31" t="n">
        <v>29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RAIN</t>
        </is>
      </c>
      <c r="E33" s="31" t="inlineStr">
        <is>
          <t>Rain Industries Limited</t>
        </is>
      </c>
      <c r="F33" s="31" t="inlineStr">
        <is>
          <t>Cement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19</v>
      </c>
      <c r="K33" s="31" t="n">
        <v>24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INDNIPPON</t>
        </is>
      </c>
      <c r="E34" s="31" t="inlineStr">
        <is>
          <t>India Nippon Electricals Limited</t>
        </is>
      </c>
      <c r="F34" s="31" t="inlineStr">
        <is>
          <t>Auto Ancillaries - Engine Parts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19</v>
      </c>
      <c r="K34" s="31" t="n">
        <v>28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AVALON</t>
        </is>
      </c>
      <c r="E35" s="31" t="inlineStr">
        <is>
          <t>Avalon Technologies Ltd</t>
        </is>
      </c>
      <c r="F35" s="31" t="inlineStr">
        <is>
          <t>Consumer Electronics - EMS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17</v>
      </c>
      <c r="K35" s="31" t="n">
        <v>23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MONARCH</t>
        </is>
      </c>
      <c r="E36" s="31" t="inlineStr">
        <is>
          <t>Monarch Networth Capital Ltd</t>
        </is>
      </c>
      <c r="F36" s="31" t="inlineStr">
        <is>
          <t>Finance - Capital Markets - Brokers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25</v>
      </c>
      <c r="K36" s="31" t="n">
        <v>26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SPECTRUM</t>
        </is>
      </c>
      <c r="E37" s="31" t="inlineStr">
        <is>
          <t>Spectrum Electrical Industries Ltd</t>
        </is>
      </c>
      <c r="F37" s="31" t="inlineStr">
        <is>
          <t>Capital Goods - Electric General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18</v>
      </c>
      <c r="K37" s="31" t="n">
        <v>30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GHCLTEXTIL</t>
        </is>
      </c>
      <c r="E38" s="31" t="inlineStr">
        <is>
          <t>GHCL Textiles Ltd</t>
        </is>
      </c>
      <c r="F38" s="31" t="inlineStr">
        <is>
          <t>Textiles - General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22</v>
      </c>
      <c r="K38" s="31" t="n">
        <v>17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MANAPPURAM</t>
        </is>
      </c>
      <c r="E39" s="31" t="inlineStr">
        <is>
          <t>Manappuram Finance Limited</t>
        </is>
      </c>
      <c r="F39" s="31" t="inlineStr">
        <is>
          <t>Finance &amp; Investments - Gold Loan</t>
        </is>
      </c>
      <c r="G39" s="31" t="n">
        <v>2</v>
      </c>
      <c r="H39" s="31" t="inlineStr">
        <is>
          <t>52W Breakout</t>
        </is>
      </c>
      <c r="I39" s="31" t="inlineStr">
        <is>
          <t>Yes</t>
        </is>
      </c>
      <c r="J39" s="31" t="n">
        <v>11</v>
      </c>
      <c r="K39" s="31" t="n">
        <v>17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SIGMAADV</t>
        </is>
      </c>
      <c r="E40" s="31" t="inlineStr">
        <is>
          <t>Sigma Advanced System Ltd</t>
        </is>
      </c>
      <c r="F40" s="31" t="inlineStr">
        <is>
          <t>Aerospace &amp; Defence - Equipments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21</v>
      </c>
      <c r="K40" s="31" t="n">
        <v>24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OCCLLTD</t>
        </is>
      </c>
      <c r="E41" s="31" t="inlineStr">
        <is>
          <t>OCCL Ltd</t>
        </is>
      </c>
      <c r="F41" s="31" t="inlineStr">
        <is>
          <t>Chemicals - Organic</t>
        </is>
      </c>
      <c r="G41" s="31" t="n">
        <v>2</v>
      </c>
      <c r="H41" s="31" t="inlineStr">
        <is>
          <t>52W Breakout</t>
        </is>
      </c>
      <c r="I41" s="31" t="inlineStr">
        <is>
          <t>Yes</t>
        </is>
      </c>
      <c r="J41" s="31" t="n">
        <v>4</v>
      </c>
      <c r="K41" s="31" t="n">
        <v>21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NGLFINE</t>
        </is>
      </c>
      <c r="E42" s="31" t="inlineStr">
        <is>
          <t>NGL Fine Chem Ltd</t>
        </is>
      </c>
      <c r="F42" s="31" t="inlineStr">
        <is>
          <t>Pharma - Animal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17</v>
      </c>
      <c r="K42" s="31" t="n">
        <v>28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NILKAMAL</t>
        </is>
      </c>
      <c r="E43" s="31" t="inlineStr">
        <is>
          <t>Nilkamal Limited</t>
        </is>
      </c>
      <c r="F43" s="31" t="inlineStr">
        <is>
          <t>Plastics - Plastic &amp; Plastic Products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8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CRAFTSMAN</t>
        </is>
      </c>
      <c r="E44" s="31" t="inlineStr">
        <is>
          <t>Craftsman Automation Ltd</t>
        </is>
      </c>
      <c r="F44" s="31" t="inlineStr">
        <is>
          <t>Auto &amp; Auto Ancl - CV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25</v>
      </c>
      <c r="K44" s="31" t="n">
        <v>25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GNA</t>
        </is>
      </c>
      <c r="E45" s="31" t="inlineStr">
        <is>
          <t>Gna Axles Limited</t>
        </is>
      </c>
      <c r="F45" s="31" t="inlineStr">
        <is>
          <t>Auto &amp; Auto Ancl - CV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17</v>
      </c>
      <c r="K45" s="31" t="n">
        <v>19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CYIENTDLM</t>
        </is>
      </c>
      <c r="E46" s="31" t="inlineStr">
        <is>
          <t>Cyient DLM Ltd</t>
        </is>
      </c>
      <c r="F46" s="31" t="inlineStr">
        <is>
          <t>Consumer Electronics - EMS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19</v>
      </c>
      <c r="K46" s="31" t="n">
        <v>29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KMEW</t>
        </is>
      </c>
      <c r="E47" s="31" t="inlineStr">
        <is>
          <t>Knowledge Marine &amp; Engineering Works Ltd</t>
        </is>
      </c>
      <c r="F47" s="31" t="inlineStr">
        <is>
          <t>Shipping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17</v>
      </c>
      <c r="K47" s="31" t="n">
        <v>19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MPSLTD</t>
        </is>
      </c>
      <c r="E48" s="31" t="inlineStr">
        <is>
          <t>Mps Limited</t>
        </is>
      </c>
      <c r="F48" s="31" t="inlineStr">
        <is>
          <t>E-Commerce - Platform - Utility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27</v>
      </c>
      <c r="K48" s="31" t="n">
        <v>7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IRISDOREME</t>
        </is>
      </c>
      <c r="E49" s="31" t="inlineStr">
        <is>
          <t>Iris Clothings Ltd</t>
        </is>
      </c>
      <c r="F49" s="31" t="inlineStr">
        <is>
          <t>Textiles - Readymade Apparel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23</v>
      </c>
      <c r="K49" s="31" t="n">
        <v>26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KABRAEXTRU</t>
        </is>
      </c>
      <c r="E50" s="31" t="inlineStr">
        <is>
          <t>Kabra Extrusion Technik Limited</t>
        </is>
      </c>
      <c r="F50" s="31" t="inlineStr">
        <is>
          <t>Capital Goods - Engineering Heavy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23</v>
      </c>
      <c r="K50" s="31" t="n">
        <v>11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KRISHANA</t>
        </is>
      </c>
      <c r="E51" s="31" t="inlineStr">
        <is>
          <t>Krishana Phoschem Ltd</t>
        </is>
      </c>
      <c r="F51" s="31" t="inlineStr">
        <is>
          <t>Fertilisers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26</v>
      </c>
      <c r="K51" s="31" t="n">
        <v>14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SWANDEF</t>
        </is>
      </c>
      <c r="E52" s="31" t="inlineStr">
        <is>
          <t>Swan Defence and Heavy Industries Ltd</t>
        </is>
      </c>
      <c r="F52" s="31" t="inlineStr">
        <is>
          <t>Ship - Docks/Breaking/Repairs</t>
        </is>
      </c>
      <c r="G52" s="31" t="n">
        <v>2</v>
      </c>
      <c r="H52" s="31" t="inlineStr">
        <is>
          <t>52W Breakout</t>
        </is>
      </c>
      <c r="I52" s="31" t="inlineStr">
        <is>
          <t>Yes</t>
        </is>
      </c>
      <c r="J52" s="31" t="n">
        <v>13</v>
      </c>
      <c r="K52" s="31" t="n">
        <v>24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UNIVCABLES</t>
        </is>
      </c>
      <c r="E53" s="31" t="inlineStr">
        <is>
          <t>Universal Cables Limited</t>
        </is>
      </c>
      <c r="F53" s="31" t="inlineStr">
        <is>
          <t>Cables - Power</t>
        </is>
      </c>
      <c r="G53" s="31" t="n">
        <v>2</v>
      </c>
      <c r="H53" s="31" t="inlineStr">
        <is>
          <t>52W Breakout</t>
        </is>
      </c>
      <c r="I53" s="31" t="inlineStr">
        <is>
          <t>Yes</t>
        </is>
      </c>
      <c r="J53" s="31" t="n">
        <v>16</v>
      </c>
      <c r="K53" s="31" t="n">
        <v>21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63MOONS</t>
        </is>
      </c>
      <c r="E54" s="31" t="inlineStr">
        <is>
          <t>63 Moons Technologies Ltd</t>
        </is>
      </c>
      <c r="F54" s="31" t="inlineStr">
        <is>
          <t>IT - Software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19</v>
      </c>
      <c r="K54" s="31" t="n">
        <v>1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COFORGE</t>
        </is>
      </c>
      <c r="E55" s="31" t="inlineStr">
        <is>
          <t>Coforge (Niit Tech) Ltd</t>
        </is>
      </c>
      <c r="F55" s="31" t="inlineStr">
        <is>
          <t>IT - Software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21</v>
      </c>
      <c r="K55" s="31" t="n">
        <v>3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NYKAA</t>
        </is>
      </c>
      <c r="E56" s="31" t="inlineStr">
        <is>
          <t>FSN E-Commerce Ventures Ltd</t>
        </is>
      </c>
      <c r="F56" s="31" t="inlineStr">
        <is>
          <t>New age - Platform - E-Retail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18</v>
      </c>
      <c r="K56" s="31" t="n">
        <v>23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AETHER</t>
        </is>
      </c>
      <c r="E57" s="31" t="inlineStr">
        <is>
          <t>Aether Industries Ltd</t>
        </is>
      </c>
      <c r="F57" s="31" t="inlineStr">
        <is>
          <t>Speciality Chemicals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20</v>
      </c>
      <c r="K57" s="31" t="n">
        <v>21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CHENNPETRO</t>
        </is>
      </c>
      <c r="E58" s="31" t="inlineStr">
        <is>
          <t>Chennai Petroleum Corporation Limited</t>
        </is>
      </c>
      <c r="F58" s="31" t="inlineStr">
        <is>
          <t>Refineries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21</v>
      </c>
      <c r="K58" s="31" t="n">
        <v>19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SKYGOLD</t>
        </is>
      </c>
      <c r="E59" s="31" t="inlineStr">
        <is>
          <t>Sky Gold Ltd</t>
        </is>
      </c>
      <c r="F59" s="31" t="inlineStr">
        <is>
          <t>Diamond, Gems &amp; Jewellery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22</v>
      </c>
      <c r="K59" s="31" t="n">
        <v>19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INDOTECH</t>
        </is>
      </c>
      <c r="E60" s="31" t="inlineStr">
        <is>
          <t>Indo Tech Transformers Limited</t>
        </is>
      </c>
      <c r="F60" s="31" t="inlineStr">
        <is>
          <t>Capital Goods - Transformers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17</v>
      </c>
      <c r="K60" s="31" t="n">
        <v>23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LALPATHLAB</t>
        </is>
      </c>
      <c r="E61" s="31" t="inlineStr">
        <is>
          <t>Dr. Lal Path Labs Ltd.</t>
        </is>
      </c>
      <c r="F61" s="31" t="inlineStr">
        <is>
          <t>Diagnostics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16</v>
      </c>
      <c r="K61" s="31" t="n">
        <v>21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SAREGAMA</t>
        </is>
      </c>
      <c r="E62" s="31" t="inlineStr">
        <is>
          <t>Saregama India Limited</t>
        </is>
      </c>
      <c r="F62" s="31" t="inlineStr">
        <is>
          <t>Music Licensing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17</v>
      </c>
      <c r="K62" s="31" t="n">
        <v>19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ARTEMISMED</t>
        </is>
      </c>
      <c r="E63" s="31" t="inlineStr">
        <is>
          <t>Artemis Medicare Services Ltd</t>
        </is>
      </c>
      <c r="F63" s="31" t="inlineStr">
        <is>
          <t>Hospitals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19</v>
      </c>
      <c r="K63" s="31" t="n">
        <v>6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IIFL</t>
        </is>
      </c>
      <c r="E64" s="31" t="inlineStr">
        <is>
          <t>IIFL Finance Ltd</t>
        </is>
      </c>
      <c r="F64" s="31" t="inlineStr">
        <is>
          <t>Finance &amp; Investments - Gold Loan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20</v>
      </c>
      <c r="K64" s="31" t="n">
        <v>9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PRUDENT</t>
        </is>
      </c>
      <c r="E65" s="31" t="inlineStr">
        <is>
          <t>Prudent Corporate Advisory Services Ltd</t>
        </is>
      </c>
      <c r="F65" s="31" t="inlineStr">
        <is>
          <t>Finance - Capital Markets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17</v>
      </c>
      <c r="K65" s="31" t="n">
        <v>18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TATVA</t>
        </is>
      </c>
      <c r="E66" s="31" t="inlineStr">
        <is>
          <t>Tatva Chintan Pharma Chem Ltd</t>
        </is>
      </c>
      <c r="F66" s="31" t="inlineStr">
        <is>
          <t>Speciality Chemicals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24</v>
      </c>
      <c r="K66" s="31" t="n">
        <v>9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DIACABS</t>
        </is>
      </c>
      <c r="E67" s="31" t="inlineStr">
        <is>
          <t>Diamond Power Infrastructure Ltd</t>
        </is>
      </c>
      <c r="F67" s="31" t="inlineStr">
        <is>
          <t>Cables - Power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22</v>
      </c>
      <c r="K67" s="31" t="n">
        <v>28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MACPOWER</t>
        </is>
      </c>
      <c r="E68" s="31" t="inlineStr">
        <is>
          <t>Macpower CNC Machines Ltd</t>
        </is>
      </c>
      <c r="F68" s="31" t="inlineStr">
        <is>
          <t>CNC - Machines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22</v>
      </c>
      <c r="K68" s="31" t="n">
        <v>16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TVSHLTD</t>
        </is>
      </c>
      <c r="E69" s="31" t="inlineStr">
        <is>
          <t>TVS Holdings Ltd</t>
        </is>
      </c>
      <c r="F69" s="31" t="inlineStr">
        <is>
          <t>Finance - Holding Company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23</v>
      </c>
      <c r="K69" s="31" t="n">
        <v>8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TBZ</t>
        </is>
      </c>
      <c r="E70" s="31" t="inlineStr">
        <is>
          <t>Tribhovandas Bhimji Zaveri Limited</t>
        </is>
      </c>
      <c r="F70" s="31" t="inlineStr">
        <is>
          <t>Diamond, Gems &amp; Jewellery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17</v>
      </c>
      <c r="K70" s="31" t="n">
        <v>23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LODHA</t>
        </is>
      </c>
      <c r="E71" s="31" t="inlineStr">
        <is>
          <t>Lodha Developers Ltd</t>
        </is>
      </c>
      <c r="F71" s="31" t="inlineStr">
        <is>
          <t>Realty - National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24</v>
      </c>
      <c r="K71" s="31" t="n">
        <v>6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MAHLIFE</t>
        </is>
      </c>
      <c r="E72" s="31" t="inlineStr">
        <is>
          <t>Mahindra Lifespace Developers Limited</t>
        </is>
      </c>
      <c r="F72" s="31" t="inlineStr">
        <is>
          <t>Construction &amp; Contracting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27</v>
      </c>
      <c r="K72" s="31" t="n">
        <v>17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PNGJL</t>
        </is>
      </c>
      <c r="E73" s="31" t="inlineStr">
        <is>
          <t>P N Gadgil Jewellers Ltd</t>
        </is>
      </c>
      <c r="F73" s="31" t="inlineStr">
        <is>
          <t>Diamond, Gems &amp; Jewellery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23</v>
      </c>
      <c r="K73" s="31" t="n">
        <v>9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PAYTM</t>
        </is>
      </c>
      <c r="E74" s="31" t="inlineStr">
        <is>
          <t>One 97 Communications Ltd</t>
        </is>
      </c>
      <c r="F74" s="31" t="inlineStr">
        <is>
          <t>E-Commerce - Platform - Utility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17</v>
      </c>
      <c r="K74" s="31" t="n">
        <v>12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LLOYDSENT</t>
        </is>
      </c>
      <c r="E75" s="31" t="inlineStr">
        <is>
          <t>Lloyds Enterprises Ltd</t>
        </is>
      </c>
      <c r="F75" s="31" t="inlineStr">
        <is>
          <t>Trading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17</v>
      </c>
      <c r="K75" s="31" t="n">
        <v>9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CHOLAFIN</t>
        </is>
      </c>
      <c r="E76" s="31" t="inlineStr">
        <is>
          <t>Cholamandalam Investment And Finance Company Limited</t>
        </is>
      </c>
      <c r="F76" s="31" t="inlineStr">
        <is>
          <t>Conglomerate Backed NBFC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18</v>
      </c>
      <c r="K76" s="31" t="n">
        <v>16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MBAPL</t>
        </is>
      </c>
      <c r="E77" s="31" t="inlineStr">
        <is>
          <t>Madhya Bharat Agro Products Ltd</t>
        </is>
      </c>
      <c r="F77" s="31" t="inlineStr">
        <is>
          <t>Fertilisers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17</v>
      </c>
      <c r="K77" s="31" t="n">
        <v>22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DIVISLAB</t>
        </is>
      </c>
      <c r="E78" s="31" t="inlineStr">
        <is>
          <t>Divi's Laboratories Limited</t>
        </is>
      </c>
      <c r="F78" s="31" t="inlineStr">
        <is>
          <t>Pharma - API &amp; CRAMS</t>
        </is>
      </c>
      <c r="G78" s="31" t="n">
        <v>2</v>
      </c>
      <c r="H78" s="31" t="inlineStr">
        <is>
          <t>52W Breakout</t>
        </is>
      </c>
      <c r="I78" s="31" t="inlineStr">
        <is>
          <t>Yes</t>
        </is>
      </c>
      <c r="J78" s="31" t="n">
        <v>11</v>
      </c>
      <c r="K78" s="31" t="n">
        <v>14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MAHLOG</t>
        </is>
      </c>
      <c r="E79" s="31" t="inlineStr">
        <is>
          <t>Mahindra Logistics Ltd</t>
        </is>
      </c>
      <c r="F79" s="31" t="inlineStr">
        <is>
          <t>Logistics - Warehousing/Supply Chain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17</v>
      </c>
      <c r="K79" s="31" t="n">
        <v>15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SMLMAH</t>
        </is>
      </c>
      <c r="E80" s="31" t="inlineStr">
        <is>
          <t>SML Mahindra Ltd</t>
        </is>
      </c>
      <c r="F80" s="31" t="inlineStr">
        <is>
          <t>Auto - Bus/LCVs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20</v>
      </c>
      <c r="K80" s="31" t="n">
        <v>2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KALYANKJIL</t>
        </is>
      </c>
      <c r="E81" s="31" t="inlineStr">
        <is>
          <t>Kalyan Jewellers India Ltd</t>
        </is>
      </c>
      <c r="F81" s="31" t="inlineStr">
        <is>
          <t>Diamond, Gems &amp; Jewellery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25</v>
      </c>
      <c r="K81" s="31" t="n">
        <v>9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APCOTEXIND</t>
        </is>
      </c>
      <c r="E82" s="31" t="inlineStr">
        <is>
          <t>Apcotex Industries Limited</t>
        </is>
      </c>
      <c r="F82" s="31" t="inlineStr">
        <is>
          <t>Rubber Processing/Rubber Products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23</v>
      </c>
      <c r="K82" s="31" t="n">
        <v>25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KERNEX</t>
        </is>
      </c>
      <c r="E83" s="31" t="inlineStr">
        <is>
          <t>Kernex Microsystems (india) Limited</t>
        </is>
      </c>
      <c r="F83" s="31" t="inlineStr">
        <is>
          <t>Railways - Kavach/Springs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19</v>
      </c>
      <c r="K83" s="31" t="n">
        <v>28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DEEPINDS</t>
        </is>
      </c>
      <c r="E84" s="31" t="inlineStr">
        <is>
          <t>Deep Industries Ltd</t>
        </is>
      </c>
      <c r="F84" s="31" t="inlineStr">
        <is>
          <t>Oil Drilling &amp; Exploration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24</v>
      </c>
      <c r="K84" s="31" t="n">
        <v>10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RKFORGE</t>
        </is>
      </c>
      <c r="E85" s="31" t="inlineStr">
        <is>
          <t>Ramkrishna Forgings Limited</t>
        </is>
      </c>
      <c r="F85" s="31" t="inlineStr">
        <is>
          <t>Castings, Forgings &amp; Fastners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18</v>
      </c>
      <c r="K85" s="31" t="n">
        <v>12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TITAN</t>
        </is>
      </c>
      <c r="E86" s="31" t="inlineStr">
        <is>
          <t>Titan Company Limited</t>
        </is>
      </c>
      <c r="F86" s="31" t="inlineStr">
        <is>
          <t>Diamond, Gems &amp; Jewellery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8</v>
      </c>
      <c r="K86" s="31" t="n">
        <v>21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PRICOLLTD</t>
        </is>
      </c>
      <c r="E87" s="31" t="inlineStr">
        <is>
          <t>Pricol Ltd.</t>
        </is>
      </c>
      <c r="F87" s="31" t="inlineStr">
        <is>
          <t>Auto Ancillaries - 2 Wheelers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22</v>
      </c>
      <c r="K87" s="31" t="n">
        <v>14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KAPSTON</t>
        </is>
      </c>
      <c r="E88" s="31" t="inlineStr">
        <is>
          <t>Kapston Services Ltd</t>
        </is>
      </c>
      <c r="F88" s="31" t="inlineStr">
        <is>
          <t>Services - Others</t>
        </is>
      </c>
      <c r="G88" s="31" t="n">
        <v>2</v>
      </c>
      <c r="H88" s="31" t="inlineStr">
        <is>
          <t>52W Breakout</t>
        </is>
      </c>
      <c r="I88" s="31" t="inlineStr">
        <is>
          <t>Yes</t>
        </is>
      </c>
      <c r="J88" s="31" t="n">
        <v>16</v>
      </c>
      <c r="K88" s="31" t="n">
        <v>23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RAJRATAN</t>
        </is>
      </c>
      <c r="E89" s="31" t="inlineStr">
        <is>
          <t>Rajratan Global Wire Ltd</t>
        </is>
      </c>
      <c r="F89" s="31" t="inlineStr">
        <is>
          <t>Tyres &amp; Tubes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18</v>
      </c>
      <c r="K89" s="31" t="n">
        <v>22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SILVERTUC</t>
        </is>
      </c>
      <c r="E90" s="31" t="inlineStr">
        <is>
          <t>Silver Touch Technologies Ltd</t>
        </is>
      </c>
      <c r="F90" s="31" t="inlineStr">
        <is>
          <t>IT - Software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20</v>
      </c>
      <c r="K90" s="31" t="n">
        <v>24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LLOYDSME</t>
        </is>
      </c>
      <c r="E91" s="31" t="inlineStr">
        <is>
          <t>Lloyds Metals &amp; Energy Ltd</t>
        </is>
      </c>
      <c r="F91" s="31" t="inlineStr">
        <is>
          <t>Mining/Minerals - Iron Ore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19</v>
      </c>
      <c r="K91" s="31" t="n">
        <v>16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GAEL</t>
        </is>
      </c>
      <c r="E92" s="31" t="inlineStr">
        <is>
          <t>Gujarat Ambuja Exports Limited</t>
        </is>
      </c>
      <c r="F92" s="31" t="inlineStr">
        <is>
          <t>Agricultural Processing - Maize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19</v>
      </c>
      <c r="K92" s="31" t="n">
        <v>9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VHLTD</t>
        </is>
      </c>
      <c r="E93" s="31" t="inlineStr">
        <is>
          <t>Viceroy Hotels Ltd</t>
        </is>
      </c>
      <c r="F93" s="31" t="inlineStr">
        <is>
          <t>Hotels</t>
        </is>
      </c>
      <c r="G93" s="31" t="n">
        <v>2</v>
      </c>
      <c r="H93" s="31" t="inlineStr">
        <is>
          <t>EMA Crossover</t>
        </is>
      </c>
      <c r="I93" s="31" t="inlineStr">
        <is>
          <t>Yes</t>
        </is>
      </c>
      <c r="J93" s="31" t="n">
        <v>2</v>
      </c>
      <c r="K93" s="31" t="n">
        <v>3</v>
      </c>
    </row>
  </sheetData>
  <autoFilter ref="A1:K93"/>
  <conditionalFormatting sqref="G2:G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8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IF(B2=0,"",RANK(B2,$B$2:$B$284,0))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578.71</v>
      </c>
      <c r="I2" s="32" t="n">
        <v>615</v>
      </c>
      <c r="J2" s="32" t="n">
        <v>11.58</v>
      </c>
      <c r="K2" s="32" t="n">
        <v>550846</v>
      </c>
      <c r="L2" s="31" t="n">
        <v>95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73.70999999999999</v>
      </c>
      <c r="P2" s="32" t="n">
        <v>55.84</v>
      </c>
      <c r="Q2" s="32" t="n">
        <v>430.44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n">
        <v>-10</v>
      </c>
      <c r="U2" s="32" t="n">
        <v>108.23</v>
      </c>
      <c r="V2" s="32" t="n">
        <v>131.37</v>
      </c>
      <c r="W2" s="32" t="n">
        <v>38.98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IF(B3=0,"",RANK(B3,$B$2:$B$284,0))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E2E</t>
        </is>
      </c>
      <c r="D3" s="31" t="inlineStr">
        <is>
          <t>E2E Networks Ltd</t>
        </is>
      </c>
      <c r="E3" s="31" t="inlineStr">
        <is>
          <t>i.t</t>
        </is>
      </c>
      <c r="F3" s="31" t="inlineStr">
        <is>
          <t>computers - software - medium / small</t>
        </is>
      </c>
      <c r="G3" s="31" t="inlineStr">
        <is>
          <t>midcap</t>
        </is>
      </c>
      <c r="H3" s="32" t="n">
        <v>10125.1</v>
      </c>
      <c r="I3" s="32" t="n">
        <v>517.15</v>
      </c>
      <c r="J3" s="32" t="n">
        <v>4.99</v>
      </c>
      <c r="K3" s="32" t="n">
        <v>217316</v>
      </c>
      <c r="L3" s="31" t="n">
        <v>97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71.18000000000001</v>
      </c>
      <c r="P3" s="32" t="n">
        <v>45.13</v>
      </c>
      <c r="Q3" s="32" t="n">
        <v>354.19</v>
      </c>
      <c r="R3" s="31" t="inlineStr">
        <is>
          <t>Near 52W High Breakout</t>
        </is>
      </c>
      <c r="S3" s="31" t="inlineStr">
        <is>
          <t>Nifty IT</t>
        </is>
      </c>
      <c r="T3" s="32" t="n">
        <v>-11.37</v>
      </c>
      <c r="U3" s="32" t="n">
        <v>150.34</v>
      </c>
      <c r="V3" s="32" t="n">
        <v>182.46</v>
      </c>
      <c r="W3" s="32" t="n">
        <v>41.64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Above 2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IF(B4=0,"",RANK(B4,$B$2:$B$284,0))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CONFIPET</t>
        </is>
      </c>
      <c r="D4" s="31" t="inlineStr">
        <is>
          <t>Confidence Petroleum India Ltd</t>
        </is>
      </c>
      <c r="E4" s="31" t="inlineStr">
        <is>
          <t>miscellaneous</t>
        </is>
      </c>
      <c r="F4" s="31" t="inlineStr">
        <is>
          <t>miscellaneous</t>
        </is>
      </c>
      <c r="G4" s="31" t="inlineStr">
        <is>
          <t>smallcap</t>
        </is>
      </c>
      <c r="H4" s="32" t="n">
        <v>2600.45</v>
      </c>
      <c r="I4" s="32" t="n">
        <v>79.66</v>
      </c>
      <c r="J4" s="32" t="n">
        <v>1.78</v>
      </c>
      <c r="K4" s="32" t="n">
        <v>3040473</v>
      </c>
      <c r="L4" s="31" t="n">
        <v>86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71.59999999999999</v>
      </c>
      <c r="P4" s="32" t="n">
        <v>66.77</v>
      </c>
      <c r="Q4" s="32" t="n">
        <v>55.05</v>
      </c>
      <c r="R4" s="31" t="inlineStr">
        <is>
          <t>Near 52W High Breakout</t>
        </is>
      </c>
      <c r="S4" s="31" t="inlineStr">
        <is>
          <t>Nifty 50</t>
        </is>
      </c>
      <c r="T4" s="32" t="n">
        <v>-0.74</v>
      </c>
      <c r="U4" s="32" t="n">
        <v>57.15</v>
      </c>
      <c r="V4" s="32" t="n">
        <v>58.32</v>
      </c>
      <c r="W4" s="32" t="n">
        <v>24.51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IF(B5=0,"",RANK(B5,$B$2:$B$284,0))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MENONBE</t>
        </is>
      </c>
      <c r="D5" s="31" t="inlineStr">
        <is>
          <t>Menon Bearings Limited</t>
        </is>
      </c>
      <c r="E5" s="31" t="inlineStr">
        <is>
          <t>auto</t>
        </is>
      </c>
      <c r="F5" s="31" t="inlineStr">
        <is>
          <t>auto ancillaries</t>
        </is>
      </c>
      <c r="G5" s="31" t="inlineStr">
        <is>
          <t>smallcap</t>
        </is>
      </c>
      <c r="H5" s="32" t="n">
        <v>1204.69</v>
      </c>
      <c r="I5" s="32" t="n">
        <v>210.05</v>
      </c>
      <c r="J5" s="32" t="n">
        <v>-2.29</v>
      </c>
      <c r="K5" s="32" t="n">
        <v>32793</v>
      </c>
      <c r="L5" s="31" t="n">
        <v>91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75.01000000000001</v>
      </c>
      <c r="P5" s="32" t="n">
        <v>48.62</v>
      </c>
      <c r="Q5" s="32" t="n">
        <v>160.51</v>
      </c>
      <c r="R5" s="31" t="inlineStr">
        <is>
          <t>Near 52W High Breakout</t>
        </is>
      </c>
      <c r="S5" s="31" t="inlineStr">
        <is>
          <t>Nifty Auto</t>
        </is>
      </c>
      <c r="T5" s="32" t="n">
        <v>20.87</v>
      </c>
      <c r="U5" s="32" t="n">
        <v>65.7</v>
      </c>
      <c r="V5" s="32" t="n">
        <v>37.09</v>
      </c>
      <c r="W5" s="32" t="n">
        <v>30.08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IF(B6=0,"",RANK(B6,$B$2:$B$284,0))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TINNARUBR</t>
        </is>
      </c>
      <c r="D6" s="31" t="inlineStr">
        <is>
          <t>Tinna Rubber &amp; Infrastructure Ltd</t>
        </is>
      </c>
      <c r="E6" s="31" t="inlineStr">
        <is>
          <t>fmcg</t>
        </is>
      </c>
      <c r="F6" s="31" t="inlineStr">
        <is>
          <t>miscellaneous</t>
        </is>
      </c>
      <c r="G6" s="31" t="inlineStr">
        <is>
          <t>smallcap</t>
        </is>
      </c>
      <c r="H6" s="32" t="n">
        <v>1877.51</v>
      </c>
      <c r="I6" s="32" t="n">
        <v>1114.4</v>
      </c>
      <c r="J6" s="32" t="n">
        <v>6.93</v>
      </c>
      <c r="K6" s="32" t="n">
        <v>136354</v>
      </c>
      <c r="L6" s="31" t="n">
        <v>79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72.51000000000001</v>
      </c>
      <c r="P6" s="32" t="n">
        <v>35.91</v>
      </c>
      <c r="Q6" s="32" t="n">
        <v>793.11</v>
      </c>
      <c r="R6" s="31" t="inlineStr">
        <is>
          <t>Near 52W High Breakout</t>
        </is>
      </c>
      <c r="S6" s="31" t="inlineStr">
        <is>
          <t>Nifty FMCG</t>
        </is>
      </c>
      <c r="T6" s="32" t="n">
        <v>-10</v>
      </c>
      <c r="U6" s="32" t="n">
        <v>21.05</v>
      </c>
      <c r="V6" s="32" t="n">
        <v>34.51</v>
      </c>
      <c r="W6" s="32" t="n">
        <v>19.62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20 to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IF(B7=0,"",RANK(B7,$B$2:$B$284,0))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INDIAGLYCO</t>
        </is>
      </c>
      <c r="D7" s="31" t="inlineStr">
        <is>
          <t>India Glycols Limited</t>
        </is>
      </c>
      <c r="E7" s="31" t="inlineStr">
        <is>
          <t>fmcg</t>
        </is>
      </c>
      <c r="F7" s="31" t="inlineStr">
        <is>
          <t>breweries &amp; distilleries</t>
        </is>
      </c>
      <c r="G7" s="31" t="inlineStr">
        <is>
          <t>midcap</t>
        </is>
      </c>
      <c r="H7" s="32" t="n">
        <v>7562.97</v>
      </c>
      <c r="I7" s="32" t="n">
        <v>1147.45</v>
      </c>
      <c r="J7" s="32" t="n">
        <v>1.69</v>
      </c>
      <c r="K7" s="32" t="n">
        <v>72759</v>
      </c>
      <c r="L7" s="31" t="n">
        <v>50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63.8</v>
      </c>
      <c r="P7" s="32" t="n">
        <v>26.3</v>
      </c>
      <c r="Q7" s="32" t="n">
        <v>910.61</v>
      </c>
      <c r="R7" s="31" t="inlineStr">
        <is>
          <t>Near 52W High Breakout</t>
        </is>
      </c>
      <c r="S7" s="31" t="inlineStr">
        <is>
          <t>Nifty FMCG</t>
        </is>
      </c>
      <c r="T7" s="32" t="n">
        <v>-10</v>
      </c>
      <c r="U7" s="32" t="n">
        <v>34.79</v>
      </c>
      <c r="V7" s="32" t="n">
        <v>49.77</v>
      </c>
      <c r="W7" s="32" t="n">
        <v>10.85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IF(B8=0,"",RANK(B8,$B$2:$B$284,0))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AJANTPHARM</t>
        </is>
      </c>
      <c r="D8" s="31" t="inlineStr">
        <is>
          <t>Ajanta Pharma Limited</t>
        </is>
      </c>
      <c r="E8" s="31" t="inlineStr">
        <is>
          <t>healthcare</t>
        </is>
      </c>
      <c r="F8" s="31" t="inlineStr">
        <is>
          <t>pharmaceuticals - indian - formulations</t>
        </is>
      </c>
      <c r="G8" s="31" t="inlineStr">
        <is>
          <t>largecap</t>
        </is>
      </c>
      <c r="H8" s="32" t="n">
        <v>42932.88</v>
      </c>
      <c r="I8" s="32" t="n">
        <v>3465.2</v>
      </c>
      <c r="J8" s="32" t="n">
        <v>0.84</v>
      </c>
      <c r="K8" s="32" t="n">
        <v>212015</v>
      </c>
      <c r="L8" s="31" t="n">
        <v>50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69.12</v>
      </c>
      <c r="P8" s="32" t="n">
        <v>43.31</v>
      </c>
      <c r="Q8" s="32" t="n">
        <v>2868.73</v>
      </c>
      <c r="R8" s="31" t="inlineStr">
        <is>
          <t>Near 52W High Breakout</t>
        </is>
      </c>
      <c r="S8" s="31" t="inlineStr">
        <is>
          <t>Nifty Pharma</t>
        </is>
      </c>
      <c r="T8" s="32" t="n">
        <v>20.55</v>
      </c>
      <c r="U8" s="32" t="n">
        <v>30.01</v>
      </c>
      <c r="V8" s="32" t="n">
        <v>7.85</v>
      </c>
      <c r="W8" s="32" t="n">
        <v>10.54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IF(B9=0,"",RANK(B9,$B$2:$B$284,0))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RPTECH</t>
        </is>
      </c>
      <c r="D9" s="31" t="inlineStr">
        <is>
          <t>Rashi Peripherals Ltd</t>
        </is>
      </c>
      <c r="E9" s="31" t="inlineStr">
        <is>
          <t>services</t>
        </is>
      </c>
      <c r="F9" s="31" t="inlineStr">
        <is>
          <t>trading</t>
        </is>
      </c>
      <c r="G9" s="31" t="inlineStr">
        <is>
          <t>midcap</t>
        </is>
      </c>
      <c r="H9" s="32" t="n">
        <v>5357.64</v>
      </c>
      <c r="I9" s="32" t="n">
        <v>833.55</v>
      </c>
      <c r="J9" s="32" t="n">
        <v>2.53</v>
      </c>
      <c r="K9" s="32" t="n">
        <v>388865</v>
      </c>
      <c r="L9" s="31" t="n">
        <v>97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80.56999999999999</v>
      </c>
      <c r="P9" s="32" t="n">
        <v>75.53</v>
      </c>
      <c r="Q9" s="32" t="n">
        <v>646.71</v>
      </c>
      <c r="R9" s="31" t="inlineStr">
        <is>
          <t>Near 52W High Breakout</t>
        </is>
      </c>
      <c r="S9" s="31" t="inlineStr">
        <is>
          <t>Nifty 50</t>
        </is>
      </c>
      <c r="T9" s="32" t="n">
        <v>-0.74</v>
      </c>
      <c r="U9" s="32" t="n">
        <v>190.15</v>
      </c>
      <c r="V9" s="32" t="n">
        <v>192.31</v>
      </c>
      <c r="W9" s="32" t="n">
        <v>42.97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Above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Less than 50%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IF(B10=0,"",RANK(B10,$B$2:$B$284,0))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PGIL</t>
        </is>
      </c>
      <c r="D10" s="31" t="inlineStr">
        <is>
          <t>Pearl Global Industries Limited</t>
        </is>
      </c>
      <c r="E10" s="31" t="inlineStr">
        <is>
          <t>consumer discretionary</t>
        </is>
      </c>
      <c r="F10" s="31" t="inlineStr">
        <is>
          <t>textiles - products</t>
        </is>
      </c>
      <c r="G10" s="31" t="inlineStr">
        <is>
          <t>midcap</t>
        </is>
      </c>
      <c r="H10" s="32" t="n">
        <v>9366.139999999999</v>
      </c>
      <c r="I10" s="32" t="n">
        <v>2064.5</v>
      </c>
      <c r="J10" s="32" t="n">
        <v>1.8</v>
      </c>
      <c r="K10" s="32" t="n">
        <v>36678</v>
      </c>
      <c r="L10" s="31" t="n">
        <v>71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66.22</v>
      </c>
      <c r="P10" s="32" t="n">
        <v>47.52</v>
      </c>
      <c r="Q10" s="32" t="n">
        <v>1578.94</v>
      </c>
      <c r="R10" s="31" t="inlineStr">
        <is>
          <t>Near 52W High Breakout</t>
        </is>
      </c>
      <c r="S10" s="31" t="inlineStr">
        <is>
          <t>Nifty 50</t>
        </is>
      </c>
      <c r="T10" s="32" t="n">
        <v>-0.74</v>
      </c>
      <c r="U10" s="32" t="n">
        <v>49.38</v>
      </c>
      <c r="V10" s="32" t="n">
        <v>50.5</v>
      </c>
      <c r="W10" s="32" t="n">
        <v>16.54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Between 1.5 to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IF(B11=0,"",RANK(B11,$B$2:$B$284,0))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ATHERENERG</t>
        </is>
      </c>
      <c r="D11" s="31" t="inlineStr">
        <is>
          <t>Ather Energy Ltd</t>
        </is>
      </c>
      <c r="E11" s="31" t="inlineStr">
        <is>
          <t>auto</t>
        </is>
      </c>
      <c r="F11" s="31" t="inlineStr">
        <is>
          <t>automobiles - scooters and 3 - wheelers</t>
        </is>
      </c>
      <c r="G11" s="31" t="inlineStr">
        <is>
          <t>largecap</t>
        </is>
      </c>
      <c r="H11" s="32" t="n">
        <v>48907.01</v>
      </c>
      <c r="I11" s="32" t="n">
        <v>1260.3</v>
      </c>
      <c r="J11" s="32" t="n">
        <v>1.56</v>
      </c>
      <c r="K11" s="32" t="n">
        <v>3182495</v>
      </c>
      <c r="L11" s="31" t="n">
        <v>97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73.38</v>
      </c>
      <c r="P11" s="32" t="n">
        <v>56.88</v>
      </c>
      <c r="Q11" s="32" t="n">
        <v>978.5599999999999</v>
      </c>
      <c r="R11" s="31" t="inlineStr">
        <is>
          <t>Near 52W High Breakout</t>
        </is>
      </c>
      <c r="S11" s="31" t="inlineStr">
        <is>
          <t>Nifty Auto</t>
        </is>
      </c>
      <c r="T11" s="32" t="n">
        <v>20.87</v>
      </c>
      <c r="U11" s="32" t="n">
        <v>277</v>
      </c>
      <c r="V11" s="32" t="n">
        <v>211.91</v>
      </c>
      <c r="W11" s="32" t="n">
        <v>45.37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Negative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IF(B12=0,"",RANK(B12,$B$2:$B$284,0))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STYLAMIND</t>
        </is>
      </c>
      <c r="D12" s="31" t="inlineStr">
        <is>
          <t>Stylam Industries Ltd</t>
        </is>
      </c>
      <c r="E12" s="31" t="inlineStr">
        <is>
          <t>building materials</t>
        </is>
      </c>
      <c r="F12" s="31" t="inlineStr">
        <is>
          <t>miscellaneous</t>
        </is>
      </c>
      <c r="G12" s="31" t="inlineStr">
        <is>
          <t>midcap</t>
        </is>
      </c>
      <c r="H12" s="32" t="n">
        <v>5693.53</v>
      </c>
      <c r="I12" s="32" t="n">
        <v>3384</v>
      </c>
      <c r="J12" s="32" t="n">
        <v>0.73</v>
      </c>
      <c r="K12" s="32" t="n">
        <v>22210</v>
      </c>
      <c r="L12" s="31" t="n">
        <v>85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81.38</v>
      </c>
      <c r="P12" s="32" t="n">
        <v>71.48</v>
      </c>
      <c r="Q12" s="32" t="n">
        <v>2696.4</v>
      </c>
      <c r="R12" s="31" t="inlineStr">
        <is>
          <t>Near 52W High Breakout</t>
        </is>
      </c>
      <c r="S12" s="31" t="inlineStr">
        <is>
          <t>Nifty Infra</t>
        </is>
      </c>
      <c r="T12" s="32" t="n">
        <v>3.78</v>
      </c>
      <c r="U12" s="32" t="n">
        <v>79.92</v>
      </c>
      <c r="V12" s="32" t="n">
        <v>73.37</v>
      </c>
      <c r="W12" s="32" t="n">
        <v>24.22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IF(B13=0,"",RANK(B13,$B$2:$B$284,0))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SAKAR</t>
        </is>
      </c>
      <c r="D13" s="31" t="inlineStr">
        <is>
          <t>Sakar Healthcare Ltd</t>
        </is>
      </c>
      <c r="E13" s="31" t="inlineStr">
        <is>
          <t>healthcare</t>
        </is>
      </c>
      <c r="F13" s="31" t="inlineStr">
        <is>
          <t>pharmaceuticals - indian - bulk drugs &amp; formln</t>
        </is>
      </c>
      <c r="G13" s="31" t="inlineStr">
        <is>
          <t>smallcap</t>
        </is>
      </c>
      <c r="H13" s="32" t="n">
        <v>1878.78</v>
      </c>
      <c r="I13" s="32" t="n">
        <v>885.25</v>
      </c>
      <c r="J13" s="32" t="n">
        <v>4.84</v>
      </c>
      <c r="K13" s="32" t="n">
        <v>201127</v>
      </c>
      <c r="L13" s="31" t="n">
        <v>92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69.34999999999999</v>
      </c>
      <c r="P13" s="32" t="n">
        <v>54.75</v>
      </c>
      <c r="Q13" s="32" t="n">
        <v>611.63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20.55</v>
      </c>
      <c r="U13" s="32" t="n">
        <v>158.17</v>
      </c>
      <c r="V13" s="32" t="n">
        <v>114.16</v>
      </c>
      <c r="W13" s="32" t="n">
        <v>31.4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IF(B14=0,"",RANK(B14,$B$2:$B$284,0))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GOKULAGRO</t>
        </is>
      </c>
      <c r="D14" s="31" t="inlineStr">
        <is>
          <t>Gokul Agro Resources Limited</t>
        </is>
      </c>
      <c r="E14" s="31" t="inlineStr">
        <is>
          <t>fmcg</t>
        </is>
      </c>
      <c r="F14" s="31" t="inlineStr">
        <is>
          <t>solvent extraction</t>
        </is>
      </c>
      <c r="G14" s="31" t="inlineStr">
        <is>
          <t>midcap</t>
        </is>
      </c>
      <c r="H14" s="32" t="n">
        <v>6643.88</v>
      </c>
      <c r="I14" s="32" t="n">
        <v>225.11</v>
      </c>
      <c r="J14" s="32" t="n">
        <v>-0.02</v>
      </c>
      <c r="K14" s="32" t="n">
        <v>465701</v>
      </c>
      <c r="L14" s="31" t="n">
        <v>45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58.84</v>
      </c>
      <c r="P14" s="32" t="n">
        <v>31.02</v>
      </c>
      <c r="Q14" s="32" t="n">
        <v>184.01</v>
      </c>
      <c r="R14" s="31" t="inlineStr">
        <is>
          <t>Volume Spike / Accumulation</t>
        </is>
      </c>
      <c r="S14" s="31" t="inlineStr">
        <is>
          <t>Nifty FMCG</t>
        </is>
      </c>
      <c r="T14" s="32" t="n">
        <v>-10</v>
      </c>
      <c r="U14" s="32" t="n">
        <v>45.84</v>
      </c>
      <c r="V14" s="32" t="n">
        <v>62.05</v>
      </c>
      <c r="W14" s="32" t="n">
        <v>9.26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IF(B15=0,"",RANK(B15,$B$2:$B$284,0))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RADICO</t>
        </is>
      </c>
      <c r="D15" s="31" t="inlineStr">
        <is>
          <t>Radico Khaitan Limited</t>
        </is>
      </c>
      <c r="E15" s="31" t="inlineStr">
        <is>
          <t>fmcg</t>
        </is>
      </c>
      <c r="F15" s="31" t="inlineStr">
        <is>
          <t>breweries &amp; distilleries</t>
        </is>
      </c>
      <c r="G15" s="31" t="inlineStr">
        <is>
          <t>largecap</t>
        </is>
      </c>
      <c r="H15" s="32" t="n">
        <v>58482.46</v>
      </c>
      <c r="I15" s="32" t="n">
        <v>4340.8</v>
      </c>
      <c r="J15" s="32" t="n">
        <v>-0.59</v>
      </c>
      <c r="K15" s="32" t="n">
        <v>366998</v>
      </c>
      <c r="L15" s="31" t="n">
        <v>75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83.67</v>
      </c>
      <c r="P15" s="32" t="n">
        <v>57.81</v>
      </c>
      <c r="Q15" s="32" t="n">
        <v>3673.78</v>
      </c>
      <c r="R15" s="31" t="inlineStr">
        <is>
          <t>Volume Spike &amp; Near 52W High Breakout</t>
        </is>
      </c>
      <c r="S15" s="31" t="inlineStr">
        <is>
          <t>Nifty FMCG</t>
        </is>
      </c>
      <c r="T15" s="32" t="n">
        <v>-10</v>
      </c>
      <c r="U15" s="32" t="n">
        <v>61</v>
      </c>
      <c r="V15" s="32" t="n">
        <v>78.89</v>
      </c>
      <c r="W15" s="32" t="n">
        <v>18.35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IF(B16=0,"",RANK(B16,$B$2:$B$284,0))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QUESS</t>
        </is>
      </c>
      <c r="D16" s="31" t="inlineStr">
        <is>
          <t>Quess Corp Limited</t>
        </is>
      </c>
      <c r="E16" s="31" t="inlineStr">
        <is>
          <t>miscellaneous</t>
        </is>
      </c>
      <c r="F16" s="31" t="inlineStr">
        <is>
          <t>diversified - large</t>
        </is>
      </c>
      <c r="G16" s="31" t="inlineStr">
        <is>
          <t>smallcap</t>
        </is>
      </c>
      <c r="H16" s="32" t="n">
        <v>4625.67</v>
      </c>
      <c r="I16" s="32" t="n">
        <v>332.55</v>
      </c>
      <c r="J16" s="32" t="n">
        <v>7.38</v>
      </c>
      <c r="K16" s="32" t="n">
        <v>17361857</v>
      </c>
      <c r="L16" s="31" t="n">
        <v>82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79.39</v>
      </c>
      <c r="P16" s="32" t="n">
        <v>41.93</v>
      </c>
      <c r="Q16" s="32" t="n">
        <v>264.37</v>
      </c>
      <c r="R16" s="31" t="inlineStr">
        <is>
          <t>Volume Spike &amp; Near 52W High Breakout</t>
        </is>
      </c>
      <c r="S16" s="31" t="inlineStr">
        <is>
          <t>Nifty 50</t>
        </is>
      </c>
      <c r="T16" s="32" t="n">
        <v>-0.74</v>
      </c>
      <c r="U16" s="32" t="n">
        <v>21.31</v>
      </c>
      <c r="V16" s="32" t="n">
        <v>22.21</v>
      </c>
      <c r="W16" s="32" t="n">
        <v>21.84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IF(B17=0,"",RANK(B17,$B$2:$B$284,0))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GRWRHITECH</t>
        </is>
      </c>
      <c r="D17" s="31" t="inlineStr">
        <is>
          <t>Garware Hi Tech Films Ltd</t>
        </is>
      </c>
      <c r="E17" s="31" t="inlineStr">
        <is>
          <t>industrials</t>
        </is>
      </c>
      <c r="F17" s="31" t="inlineStr">
        <is>
          <t>packaging</t>
        </is>
      </c>
      <c r="G17" s="31" t="inlineStr">
        <is>
          <t>midcap</t>
        </is>
      </c>
      <c r="H17" s="32" t="n">
        <v>16023.38</v>
      </c>
      <c r="I17" s="32" t="n">
        <v>7151.5</v>
      </c>
      <c r="J17" s="32" t="n">
        <v>3.69</v>
      </c>
      <c r="K17" s="32" t="n">
        <v>42582</v>
      </c>
      <c r="L17" s="31" t="n">
        <v>95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78.02</v>
      </c>
      <c r="P17" s="32" t="n">
        <v>55.24</v>
      </c>
      <c r="Q17" s="32" t="n">
        <v>5570.83</v>
      </c>
      <c r="R17" s="31" t="inlineStr">
        <is>
          <t>Near 52W High Breakout</t>
        </is>
      </c>
      <c r="S17" s="31" t="inlineStr">
        <is>
          <t>Nifty 50</t>
        </is>
      </c>
      <c r="T17" s="32" t="n">
        <v>-0.74</v>
      </c>
      <c r="U17" s="32" t="n">
        <v>115.86</v>
      </c>
      <c r="V17" s="32" t="n">
        <v>117.47</v>
      </c>
      <c r="W17" s="32" t="n">
        <v>36.52</v>
      </c>
      <c r="X17" s="31" t="inlineStr">
        <is>
          <t>Cyclical in an Upturn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Between 50% to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IF(B18=0,"",RANK(B18,$B$2:$B$284,0))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REDINGTON</t>
        </is>
      </c>
      <c r="D18" s="31" t="inlineStr">
        <is>
          <t>Redington (india) Limited</t>
        </is>
      </c>
      <c r="E18" s="31" t="inlineStr">
        <is>
          <t>services</t>
        </is>
      </c>
      <c r="F18" s="31" t="inlineStr">
        <is>
          <t>trading</t>
        </is>
      </c>
      <c r="G18" s="31" t="inlineStr">
        <is>
          <t>largecap</t>
        </is>
      </c>
      <c r="H18" s="32" t="n">
        <v>24309.28</v>
      </c>
      <c r="I18" s="32" t="n">
        <v>321.65</v>
      </c>
      <c r="J18" s="32" t="n">
        <v>3.44</v>
      </c>
      <c r="K18" s="32" t="n">
        <v>23658843</v>
      </c>
      <c r="L18" s="31" t="n">
        <v>75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68.01000000000001</v>
      </c>
      <c r="P18" s="32" t="n">
        <v>24.09</v>
      </c>
      <c r="Q18" s="32" t="n">
        <v>244.11</v>
      </c>
      <c r="R18" s="31" t="inlineStr">
        <is>
          <t>Volume Spike &amp; Near 52W High Breakout</t>
        </is>
      </c>
      <c r="S18" s="31" t="inlineStr">
        <is>
          <t>Nifty 50</t>
        </is>
      </c>
      <c r="T18" s="32" t="n">
        <v>-0.74</v>
      </c>
      <c r="U18" s="32" t="n">
        <v>31.78</v>
      </c>
      <c r="V18" s="32" t="n">
        <v>32.76</v>
      </c>
      <c r="W18" s="32" t="n">
        <v>18.46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IF(B19=0,"",RANK(B19,$B$2:$B$284,0))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RRKABEL</t>
        </is>
      </c>
      <c r="D19" s="31" t="inlineStr">
        <is>
          <t>R R Kabel Ltd</t>
        </is>
      </c>
      <c r="E19" s="31" t="inlineStr">
        <is>
          <t>industrials</t>
        </is>
      </c>
      <c r="F19" s="31" t="inlineStr">
        <is>
          <t>cables - power</t>
        </is>
      </c>
      <c r="G19" s="31" t="inlineStr">
        <is>
          <t>largecap</t>
        </is>
      </c>
      <c r="H19" s="32" t="n">
        <v>28979.89</v>
      </c>
      <c r="I19" s="32" t="n">
        <v>2602.8</v>
      </c>
      <c r="J19" s="32" t="n">
        <v>1.58</v>
      </c>
      <c r="K19" s="32" t="n">
        <v>527311</v>
      </c>
      <c r="L19" s="31" t="n">
        <v>94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74.26000000000001</v>
      </c>
      <c r="P19" s="32" t="n">
        <v>64.17</v>
      </c>
      <c r="Q19" s="32" t="n">
        <v>2033.98</v>
      </c>
      <c r="R19" s="31" t="inlineStr">
        <is>
          <t>Volume Spike &amp; Near 52W High Breakout</t>
        </is>
      </c>
      <c r="S19" s="31" t="inlineStr">
        <is>
          <t>Nifty Energy</t>
        </is>
      </c>
      <c r="T19" s="32" t="n">
        <v>9.869999999999999</v>
      </c>
      <c r="U19" s="32" t="n">
        <v>87.43000000000001</v>
      </c>
      <c r="V19" s="32" t="n">
        <v>70.59</v>
      </c>
      <c r="W19" s="32" t="n">
        <v>33.31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Above 2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IF(B20=0,"",RANK(B20,$B$2:$B$284,0))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SJS</t>
        </is>
      </c>
      <c r="D20" s="31" t="inlineStr">
        <is>
          <t>S J S Enterprises Ltd</t>
        </is>
      </c>
      <c r="E20" s="31" t="inlineStr">
        <is>
          <t>auto</t>
        </is>
      </c>
      <c r="F20" s="31" t="inlineStr">
        <is>
          <t>plastics products</t>
        </is>
      </c>
      <c r="G20" s="31" t="inlineStr">
        <is>
          <t>midcap</t>
        </is>
      </c>
      <c r="H20" s="32" t="n">
        <v>7550.02</v>
      </c>
      <c r="I20" s="32" t="n">
        <v>2391.7</v>
      </c>
      <c r="J20" s="32" t="n">
        <v>1.39</v>
      </c>
      <c r="K20" s="32" t="n">
        <v>77586</v>
      </c>
      <c r="L20" s="31" t="n">
        <v>87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70.25</v>
      </c>
      <c r="P20" s="32" t="n">
        <v>39.14</v>
      </c>
      <c r="Q20" s="32" t="n">
        <v>1927.38</v>
      </c>
      <c r="R20" s="31" t="inlineStr">
        <is>
          <t>Near 52W High Breakout</t>
        </is>
      </c>
      <c r="S20" s="31" t="inlineStr">
        <is>
          <t>Nifty Auto</t>
        </is>
      </c>
      <c r="T20" s="32" t="n">
        <v>20.87</v>
      </c>
      <c r="U20" s="32" t="n">
        <v>91.73999999999999</v>
      </c>
      <c r="V20" s="32" t="n">
        <v>58.64</v>
      </c>
      <c r="W20" s="32" t="n">
        <v>24.83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IF(B21=0,"",RANK(B21,$B$2:$B$284,0))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SANGAMIND</t>
        </is>
      </c>
      <c r="D21" s="31" t="inlineStr">
        <is>
          <t>Sangam (india) Limited</t>
        </is>
      </c>
      <c r="E21" s="31" t="inlineStr">
        <is>
          <t>textiles</t>
        </is>
      </c>
      <c r="F21" s="31" t="inlineStr">
        <is>
          <t>textiles - spinning - synthetic / blended</t>
        </is>
      </c>
      <c r="G21" s="31" t="inlineStr">
        <is>
          <t>smallcap</t>
        </is>
      </c>
      <c r="H21" s="32" t="n">
        <v>3093.43</v>
      </c>
      <c r="I21" s="32" t="n">
        <v>609.9</v>
      </c>
      <c r="J21" s="32" t="n">
        <v>-0.93</v>
      </c>
      <c r="K21" s="32" t="n">
        <v>16180</v>
      </c>
      <c r="L21" s="31" t="n">
        <v>56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70.70999999999999</v>
      </c>
      <c r="P21" s="32" t="n">
        <v>47.05</v>
      </c>
      <c r="Q21" s="32" t="n">
        <v>501.48</v>
      </c>
      <c r="R21" s="31" t="inlineStr">
        <is>
          <t>Near 52W High Breakout</t>
        </is>
      </c>
      <c r="S21" s="31" t="inlineStr">
        <is>
          <t>Nifty 50</t>
        </is>
      </c>
      <c r="T21" s="32" t="n">
        <v>-0.74</v>
      </c>
      <c r="U21" s="32" t="n">
        <v>47.7</v>
      </c>
      <c r="V21" s="32" t="n">
        <v>48.8</v>
      </c>
      <c r="W21" s="32" t="n">
        <v>12.03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Between 0.7 to 1.2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IF(B22=0,"",RANK(B22,$B$2:$B$284,0))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HSCL</t>
        </is>
      </c>
      <c r="D22" s="31" t="inlineStr">
        <is>
          <t>Himadri Speciality Chemical Limited</t>
        </is>
      </c>
      <c r="E22" s="31" t="inlineStr">
        <is>
          <t>chemicals</t>
        </is>
      </c>
      <c r="F22" s="31" t="inlineStr">
        <is>
          <t>chemicals</t>
        </is>
      </c>
      <c r="G22" s="31" t="inlineStr">
        <is>
          <t>largecap</t>
        </is>
      </c>
      <c r="H22" s="32" t="n">
        <v>38370.39</v>
      </c>
      <c r="I22" s="32" t="n">
        <v>750.65</v>
      </c>
      <c r="J22" s="32" t="n">
        <v>-1.3</v>
      </c>
      <c r="K22" s="32" t="n">
        <v>4636162</v>
      </c>
      <c r="L22" s="31" t="n">
        <v>69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69.94</v>
      </c>
      <c r="P22" s="32" t="n">
        <v>43.7</v>
      </c>
      <c r="Q22" s="32" t="n">
        <v>613.0599999999999</v>
      </c>
      <c r="R22" s="31" t="inlineStr">
        <is>
          <t>Near 52W High Breakout</t>
        </is>
      </c>
      <c r="S22" s="31" t="inlineStr">
        <is>
          <t>Nifty 50</t>
        </is>
      </c>
      <c r="T22" s="32" t="n">
        <v>-0.74</v>
      </c>
      <c r="U22" s="32" t="n">
        <v>62.44</v>
      </c>
      <c r="V22" s="32" t="n">
        <v>63.65</v>
      </c>
      <c r="W22" s="32" t="n">
        <v>16.07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Between 1.5 to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IF(B23=0,"",RANK(B23,$B$2:$B$284,0))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UNIPARTS</t>
        </is>
      </c>
      <c r="D23" s="31" t="inlineStr">
        <is>
          <t>Uniparts India Ltd</t>
        </is>
      </c>
      <c r="E23" s="31" t="inlineStr">
        <is>
          <t>industrials</t>
        </is>
      </c>
      <c r="F23" s="31" t="inlineStr">
        <is>
          <t>engineering</t>
        </is>
      </c>
      <c r="G23" s="31" t="inlineStr">
        <is>
          <t>smallcap</t>
        </is>
      </c>
      <c r="H23" s="32" t="n">
        <v>3332.46</v>
      </c>
      <c r="I23" s="32" t="n">
        <v>728</v>
      </c>
      <c r="J23" s="32" t="n">
        <v>-1.38</v>
      </c>
      <c r="K23" s="32" t="n">
        <v>202071</v>
      </c>
      <c r="L23" s="31" t="n">
        <v>88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73.04000000000001</v>
      </c>
      <c r="P23" s="32" t="n">
        <v>57.32</v>
      </c>
      <c r="Q23" s="32" t="n">
        <v>574.29</v>
      </c>
      <c r="R23" s="31" t="inlineStr">
        <is>
          <t>Near 52W High Breakout</t>
        </is>
      </c>
      <c r="S23" s="31" t="inlineStr">
        <is>
          <t>Nifty 50</t>
        </is>
      </c>
      <c r="T23" s="32" t="n">
        <v>-0.74</v>
      </c>
      <c r="U23" s="32" t="n">
        <v>125.54</v>
      </c>
      <c r="V23" s="32" t="n">
        <v>127.22</v>
      </c>
      <c r="W23" s="32" t="n">
        <v>27.33</v>
      </c>
      <c r="X23" s="31" t="inlineStr">
        <is>
          <t>Cyclical in an Upturn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IF(B24=0,"",RANK(B24,$B$2:$B$284,0))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EMCURE</t>
        </is>
      </c>
      <c r="D24" s="31" t="inlineStr">
        <is>
          <t>Emcure Pharmaceuticals Ltd</t>
        </is>
      </c>
      <c r="E24" s="31" t="inlineStr">
        <is>
          <t>healthcare</t>
        </is>
      </c>
      <c r="F24" s="31" t="inlineStr">
        <is>
          <t>pharmaceuticals - indian - bulk drugs &amp; formln</t>
        </is>
      </c>
      <c r="G24" s="31" t="inlineStr">
        <is>
          <t>largecap</t>
        </is>
      </c>
      <c r="H24" s="32" t="n">
        <v>36245.98</v>
      </c>
      <c r="I24" s="32" t="n">
        <v>1960.1</v>
      </c>
      <c r="J24" s="32" t="n">
        <v>2.57</v>
      </c>
      <c r="K24" s="32" t="n">
        <v>267249</v>
      </c>
      <c r="L24" s="31" t="n">
        <v>52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70.23999999999999</v>
      </c>
      <c r="P24" s="32" t="n">
        <v>59.1</v>
      </c>
      <c r="Q24" s="32" t="n">
        <v>1580.08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20.55</v>
      </c>
      <c r="U24" s="32" t="n">
        <v>43.98</v>
      </c>
      <c r="V24" s="32" t="n">
        <v>19.44</v>
      </c>
      <c r="W24" s="32" t="n">
        <v>11.19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IF(B25=0,"",RANK(B25,$B$2:$B$284,0))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ASTERDM</t>
        </is>
      </c>
      <c r="D25" s="31" t="inlineStr">
        <is>
          <t>Aster DM Healthcare Ltd</t>
        </is>
      </c>
      <c r="E25" s="31" t="inlineStr">
        <is>
          <t>healthcare</t>
        </is>
      </c>
      <c r="F25" s="31" t="inlineStr">
        <is>
          <t>healthcare</t>
        </is>
      </c>
      <c r="G25" s="31" t="inlineStr">
        <is>
          <t>largecap</t>
        </is>
      </c>
      <c r="H25" s="32" t="n">
        <v>70954.14</v>
      </c>
      <c r="I25" s="32" t="n">
        <v>822.15</v>
      </c>
      <c r="J25" s="32" t="n">
        <v>1</v>
      </c>
      <c r="K25" s="32" t="n">
        <v>411546</v>
      </c>
      <c r="L25" s="31" t="n">
        <v>52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64.78</v>
      </c>
      <c r="P25" s="32" t="n">
        <v>48.32</v>
      </c>
      <c r="Q25" s="32" t="n">
        <v>669.9299999999999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20.55</v>
      </c>
      <c r="U25" s="32" t="n">
        <v>38.92</v>
      </c>
      <c r="V25" s="32" t="n">
        <v>15.24</v>
      </c>
      <c r="W25" s="32" t="n">
        <v>11.24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Between 1.5 to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IF(B26=0,"",RANK(B26,$B$2:$B$284,0))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CUPID</t>
        </is>
      </c>
      <c r="D26" s="31" t="inlineStr">
        <is>
          <t>Cupid Limited</t>
        </is>
      </c>
      <c r="E26" s="31" t="inlineStr">
        <is>
          <t>fmcg</t>
        </is>
      </c>
      <c r="F26" s="31" t="inlineStr">
        <is>
          <t>personal care - indian</t>
        </is>
      </c>
      <c r="G26" s="31" t="inlineStr">
        <is>
          <t>largecap</t>
        </is>
      </c>
      <c r="H26" s="32" t="n">
        <v>30784.66</v>
      </c>
      <c r="I26" s="32" t="n">
        <v>230.62</v>
      </c>
      <c r="J26" s="32" t="n">
        <v>0.73</v>
      </c>
      <c r="K26" s="32" t="n">
        <v>12459095</v>
      </c>
      <c r="L26" s="31" t="n">
        <v>99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89.56</v>
      </c>
      <c r="P26" s="32" t="n">
        <v>67.45999999999999</v>
      </c>
      <c r="Q26" s="32" t="n">
        <v>182.22</v>
      </c>
      <c r="R26" s="31" t="inlineStr">
        <is>
          <t>Near 52W High Breakout</t>
        </is>
      </c>
      <c r="S26" s="31" t="inlineStr">
        <is>
          <t>Nifty FMCG</t>
        </is>
      </c>
      <c r="T26" s="32" t="n">
        <v>-10</v>
      </c>
      <c r="U26" s="32" t="n">
        <v>679.6</v>
      </c>
      <c r="V26" s="32" t="n">
        <v>766.23</v>
      </c>
      <c r="W26" s="32" t="n">
        <v>75.62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Less than 50%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IF(B27=0,"",RANK(B27,$B$2:$B$284,0))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GLAND</t>
        </is>
      </c>
      <c r="D27" s="31" t="inlineStr">
        <is>
          <t>Gland Pharma Ltd</t>
        </is>
      </c>
      <c r="E27" s="31" t="inlineStr">
        <is>
          <t>healthcare</t>
        </is>
      </c>
      <c r="F27" s="31" t="inlineStr">
        <is>
          <t>pharmaceuticals - indian - formulations</t>
        </is>
      </c>
      <c r="G27" s="31" t="inlineStr">
        <is>
          <t>largecap</t>
        </is>
      </c>
      <c r="H27" s="32" t="n">
        <v>41520.35</v>
      </c>
      <c r="I27" s="32" t="n">
        <v>2502.9</v>
      </c>
      <c r="J27" s="32" t="n">
        <v>-0.5600000000000001</v>
      </c>
      <c r="K27" s="32" t="n">
        <v>266868</v>
      </c>
      <c r="L27" s="31" t="n">
        <v>66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69.56</v>
      </c>
      <c r="P27" s="32" t="n">
        <v>53.64</v>
      </c>
      <c r="Q27" s="32" t="n">
        <v>2017.83</v>
      </c>
      <c r="R27" s="31" t="inlineStr">
        <is>
          <t>Near 52W High Breakout</t>
        </is>
      </c>
      <c r="S27" s="31" t="inlineStr">
        <is>
          <t>Nifty Pharma</t>
        </is>
      </c>
      <c r="T27" s="32" t="n">
        <v>20.55</v>
      </c>
      <c r="U27" s="32" t="n">
        <v>27.68</v>
      </c>
      <c r="V27" s="32" t="n">
        <v>5.92</v>
      </c>
      <c r="W27" s="32" t="n">
        <v>14.97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IF(B28=0,"",RANK(B28,$B$2:$B$284,0))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NESTLEIND</t>
        </is>
      </c>
      <c r="D28" s="31" t="inlineStr">
        <is>
          <t>Nestle India Limited</t>
        </is>
      </c>
      <c r="E28" s="31" t="inlineStr">
        <is>
          <t>fmcg</t>
        </is>
      </c>
      <c r="F28" s="31" t="inlineStr">
        <is>
          <t>food - processing - mnc</t>
        </is>
      </c>
      <c r="G28" s="31" t="inlineStr">
        <is>
          <t>largecap</t>
        </is>
      </c>
      <c r="H28" s="32" t="n">
        <v>293238.76</v>
      </c>
      <c r="I28" s="32" t="n">
        <v>1509.6</v>
      </c>
      <c r="J28" s="32" t="n">
        <v>-0.73</v>
      </c>
      <c r="K28" s="32" t="n">
        <v>2501825</v>
      </c>
      <c r="L28" s="31" t="n">
        <v>38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68.62</v>
      </c>
      <c r="P28" s="32" t="n">
        <v>35.45</v>
      </c>
      <c r="Q28" s="32" t="n">
        <v>1320.13</v>
      </c>
      <c r="R28" s="31" t="inlineStr">
        <is>
          <t>Volume Spike &amp; Near 52W High Breakout</t>
        </is>
      </c>
      <c r="S28" s="31" t="inlineStr">
        <is>
          <t>Nifty FMCG</t>
        </is>
      </c>
      <c r="T28" s="32" t="n">
        <v>-10</v>
      </c>
      <c r="U28" s="32" t="n">
        <v>34.09</v>
      </c>
      <c r="V28" s="32" t="n">
        <v>49</v>
      </c>
      <c r="W28" s="32" t="n">
        <v>7.51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Between 1.5 to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IF(B29=0,"",RANK(B29,$B$2:$B$284,0))</f>
        <v/>
      </c>
      <c r="B29" s="32">
        <f>SUM(N29,Y29,AA29,AC29,AE29,AG29,AI29,AK29,AM29,AO29,AQ29,AS29,AU29,AW29,AY29,BA29,BC29,BE29,BG29,BI29,BK29,BM29,BO29,BQ29,BS29,BU29,BW29,BY29,CA29,CC29,CE29)</f>
        <v/>
      </c>
      <c r="C29" s="33" t="inlineStr">
        <is>
          <t>METROPOLIS</t>
        </is>
      </c>
      <c r="D29" s="33" t="inlineStr">
        <is>
          <t>Metropolis Healthcare Ltd</t>
        </is>
      </c>
      <c r="E29" s="31" t="inlineStr">
        <is>
          <t>healthcare</t>
        </is>
      </c>
      <c r="F29" s="31" t="inlineStr">
        <is>
          <t>healthcare</t>
        </is>
      </c>
      <c r="G29" s="31" t="inlineStr">
        <is>
          <t>midcap</t>
        </is>
      </c>
      <c r="H29" s="32" t="n">
        <v>12133.07</v>
      </c>
      <c r="I29" s="32" t="n">
        <v>580.7</v>
      </c>
      <c r="J29" s="32" t="n">
        <v>-0.77</v>
      </c>
      <c r="K29" s="32" t="n">
        <v>324208</v>
      </c>
      <c r="L29" s="31" t="n">
        <v>40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64.18000000000001</v>
      </c>
      <c r="P29" s="32" t="n">
        <v>42.11</v>
      </c>
      <c r="Q29" s="32" t="n">
        <v>463.23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20.55</v>
      </c>
      <c r="U29" s="32" t="n">
        <v>14.8</v>
      </c>
      <c r="V29" s="32" t="n">
        <v>-4.77</v>
      </c>
      <c r="W29" s="32" t="n">
        <v>7.72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IF(B30=0,"",RANK(B30,$B$2:$B$284,0))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THYROCARE</t>
        </is>
      </c>
      <c r="D30" s="31" t="inlineStr">
        <is>
          <t>Thyrocare Technologies Limited</t>
        </is>
      </c>
      <c r="E30" s="31" t="inlineStr">
        <is>
          <t>healthcare</t>
        </is>
      </c>
      <c r="F30" s="31" t="inlineStr">
        <is>
          <t>healthcare</t>
        </is>
      </c>
      <c r="G30" s="31" t="inlineStr">
        <is>
          <t>midcap</t>
        </is>
      </c>
      <c r="H30" s="32" t="n">
        <v>9413.83</v>
      </c>
      <c r="I30" s="32" t="n">
        <v>579</v>
      </c>
      <c r="J30" s="32" t="n">
        <v>-2.11</v>
      </c>
      <c r="K30" s="32" t="n">
        <v>300343</v>
      </c>
      <c r="L30" s="31" t="n">
        <v>72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68.90000000000001</v>
      </c>
      <c r="P30" s="32" t="n">
        <v>52.18</v>
      </c>
      <c r="Q30" s="32" t="n">
        <v>436.57</v>
      </c>
      <c r="R30" s="31" t="inlineStr">
        <is>
          <t>Volume Spike &amp; Near 52W High Breakout</t>
        </is>
      </c>
      <c r="S30" s="31" t="inlineStr">
        <is>
          <t>Nifty Pharma</t>
        </is>
      </c>
      <c r="T30" s="32" t="n">
        <v>20.55</v>
      </c>
      <c r="U30" s="32" t="n">
        <v>33.97</v>
      </c>
      <c r="V30" s="32" t="n">
        <v>11.14</v>
      </c>
      <c r="W30" s="32" t="n">
        <v>17.08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Between 1.5 to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IF(B31=0,"",RANK(B31,$B$2:$B$284,0))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VERANDA</t>
        </is>
      </c>
      <c r="D31" s="31" t="inlineStr">
        <is>
          <t>Veranda Learning Solutions Ltd</t>
        </is>
      </c>
      <c r="E31" s="31" t="inlineStr">
        <is>
          <t>services</t>
        </is>
      </c>
      <c r="F31" s="31" t="inlineStr">
        <is>
          <t>miscellaneous</t>
        </is>
      </c>
      <c r="G31" s="31" t="inlineStr">
        <is>
          <t>smallcap</t>
        </is>
      </c>
      <c r="H31" s="32" t="n">
        <v>2234.35</v>
      </c>
      <c r="I31" s="32" t="n">
        <v>259.09</v>
      </c>
      <c r="J31" s="32" t="n">
        <v>11.69</v>
      </c>
      <c r="K31" s="32" t="n">
        <v>3373967</v>
      </c>
      <c r="L31" s="31" t="n">
        <v>50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63.89</v>
      </c>
      <c r="P31" s="32" t="n">
        <v>27.65</v>
      </c>
      <c r="Q31" s="32" t="n">
        <v>186.76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-0.74</v>
      </c>
      <c r="U31" s="32" t="n">
        <v>11.67</v>
      </c>
      <c r="V31" s="32" t="n">
        <v>12.5</v>
      </c>
      <c r="W31" s="32" t="n">
        <v>10.82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IF(B32=0,"",RANK(B32,$B$2:$B$284,0))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THELEELA</t>
        </is>
      </c>
      <c r="D32" s="31" t="inlineStr">
        <is>
          <t>Leela Palaces Hotels &amp; Resorts Ltd</t>
        </is>
      </c>
      <c r="E32" s="31" t="inlineStr">
        <is>
          <t>services</t>
        </is>
      </c>
      <c r="F32" s="31" t="inlineStr">
        <is>
          <t>hotels</t>
        </is>
      </c>
      <c r="G32" s="31" t="inlineStr">
        <is>
          <t>midcap</t>
        </is>
      </c>
      <c r="H32" s="32" t="n">
        <v>15632.57</v>
      </c>
      <c r="I32" s="32" t="n">
        <v>494.6</v>
      </c>
      <c r="J32" s="32" t="n">
        <v>5.66</v>
      </c>
      <c r="K32" s="32" t="n">
        <v>2201023</v>
      </c>
      <c r="L32" s="31" t="n">
        <v>33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61</v>
      </c>
      <c r="P32" s="32" t="n">
        <v>20.68</v>
      </c>
      <c r="Q32" s="32" t="n">
        <v>403.81</v>
      </c>
      <c r="R32" s="31" t="inlineStr">
        <is>
          <t>Near 52W High Breakout</t>
        </is>
      </c>
      <c r="S32" s="31" t="inlineStr">
        <is>
          <t>Nifty 50</t>
        </is>
      </c>
      <c r="T32" s="32" t="n">
        <v>-0.74</v>
      </c>
      <c r="U32" s="32" t="n">
        <v>19.63</v>
      </c>
      <c r="V32" s="32" t="n">
        <v>20.52</v>
      </c>
      <c r="W32" s="32" t="n">
        <v>6.93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Between 1.5 to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IF(B33=0,"",RANK(B33,$B$2:$B$284,0))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JKPAPER</t>
        </is>
      </c>
      <c r="D33" s="31" t="inlineStr">
        <is>
          <t>Jk Paper Limited</t>
        </is>
      </c>
      <c r="E33" s="31" t="inlineStr">
        <is>
          <t>building materials</t>
        </is>
      </c>
      <c r="F33" s="31" t="inlineStr">
        <is>
          <t>paper</t>
        </is>
      </c>
      <c r="G33" s="31" t="inlineStr">
        <is>
          <t>midcap</t>
        </is>
      </c>
      <c r="H33" s="32" t="n">
        <v>6860.2</v>
      </c>
      <c r="I33" s="32" t="n">
        <v>390.55</v>
      </c>
      <c r="J33" s="32" t="n">
        <v>3.22</v>
      </c>
      <c r="K33" s="32" t="n">
        <v>519739</v>
      </c>
      <c r="L33" s="31" t="n">
        <v>15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59.47</v>
      </c>
      <c r="P33" s="32" t="n">
        <v>22.2</v>
      </c>
      <c r="Q33" s="32" t="n">
        <v>317</v>
      </c>
      <c r="R33" s="31" t="inlineStr">
        <is>
          <t>Volume Spike / Accumulation</t>
        </is>
      </c>
      <c r="S33" s="31" t="inlineStr">
        <is>
          <t>Nifty Infra</t>
        </is>
      </c>
      <c r="T33" s="32" t="n">
        <v>3.78</v>
      </c>
      <c r="U33" s="32" t="n">
        <v>5.87</v>
      </c>
      <c r="V33" s="32" t="n">
        <v>2.01</v>
      </c>
      <c r="W33" s="32" t="n">
        <v>3.01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IF(B34=0,"",RANK(B34,$B$2:$B$284,0))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MOTHERSON</t>
        </is>
      </c>
      <c r="D34" s="31" t="inlineStr">
        <is>
          <t>Samvardhana Motherson International Ltd</t>
        </is>
      </c>
      <c r="E34" s="31" t="inlineStr">
        <is>
          <t>auto</t>
        </is>
      </c>
      <c r="F34" s="31" t="inlineStr">
        <is>
          <t>auto ancillaries</t>
        </is>
      </c>
      <c r="G34" s="31" t="inlineStr">
        <is>
          <t>largecap</t>
        </is>
      </c>
      <c r="H34" s="32" t="n">
        <v>154854.78</v>
      </c>
      <c r="I34" s="32" t="n">
        <v>150.75</v>
      </c>
      <c r="J34" s="32" t="n">
        <v>2.75</v>
      </c>
      <c r="K34" s="32" t="n">
        <v>23484061</v>
      </c>
      <c r="L34" s="31" t="n">
        <v>59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66.16</v>
      </c>
      <c r="P34" s="32" t="n">
        <v>32.53</v>
      </c>
      <c r="Q34" s="32" t="n">
        <v>123.56</v>
      </c>
      <c r="R34" s="31" t="inlineStr">
        <is>
          <t>Near 52W High Breakout</t>
        </is>
      </c>
      <c r="S34" s="31" t="inlineStr">
        <is>
          <t>Nifty Auto</t>
        </is>
      </c>
      <c r="T34" s="32" t="n">
        <v>20.87</v>
      </c>
      <c r="U34" s="32" t="n">
        <v>50.97</v>
      </c>
      <c r="V34" s="32" t="n">
        <v>24.9</v>
      </c>
      <c r="W34" s="32" t="n">
        <v>12.9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IF(B35=0,"",RANK(B35,$B$2:$B$284,0))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AVALON</t>
        </is>
      </c>
      <c r="D35" s="31" t="inlineStr">
        <is>
          <t>Avalon Technologies Ltd</t>
        </is>
      </c>
      <c r="E35" s="31" t="inlineStr">
        <is>
          <t>consumer discretionary</t>
        </is>
      </c>
      <c r="F35" s="31" t="inlineStr">
        <is>
          <t>electronics - components</t>
        </is>
      </c>
      <c r="G35" s="31" t="inlineStr">
        <is>
          <t>midcap</t>
        </is>
      </c>
      <c r="H35" s="32" t="n">
        <v>11755.53</v>
      </c>
      <c r="I35" s="32" t="n">
        <v>1807.9</v>
      </c>
      <c r="J35" s="32" t="n">
        <v>2.75</v>
      </c>
      <c r="K35" s="32" t="n">
        <v>731670</v>
      </c>
      <c r="L35" s="31" t="n">
        <v>95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75.65000000000001</v>
      </c>
      <c r="P35" s="32" t="n">
        <v>56.38</v>
      </c>
      <c r="Q35" s="32" t="n">
        <v>1352.43</v>
      </c>
      <c r="R35" s="31" t="inlineStr">
        <is>
          <t>Near 52W High Breakout</t>
        </is>
      </c>
      <c r="S35" s="31" t="inlineStr">
        <is>
          <t>Nifty 50</t>
        </is>
      </c>
      <c r="T35" s="32" t="n">
        <v>-0.74</v>
      </c>
      <c r="U35" s="32" t="n">
        <v>111.22</v>
      </c>
      <c r="V35" s="32" t="n">
        <v>112.79</v>
      </c>
      <c r="W35" s="32" t="n">
        <v>35.13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Less than 50%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IF(B36=0,"",RANK(B36,$B$2:$B$284,0))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INDNIPPON</t>
        </is>
      </c>
      <c r="D36" s="31" t="inlineStr">
        <is>
          <t>India Nippon Electricals Limited</t>
        </is>
      </c>
      <c r="E36" s="31" t="inlineStr">
        <is>
          <t>auto</t>
        </is>
      </c>
      <c r="F36" s="31" t="inlineStr">
        <is>
          <t>auto ancillaries</t>
        </is>
      </c>
      <c r="G36" s="31" t="inlineStr">
        <is>
          <t>smallcap</t>
        </is>
      </c>
      <c r="H36" s="32" t="n">
        <v>2625.44</v>
      </c>
      <c r="I36" s="32" t="n">
        <v>1170.4</v>
      </c>
      <c r="J36" s="32" t="n">
        <v>0.84</v>
      </c>
      <c r="K36" s="32" t="n">
        <v>25069</v>
      </c>
      <c r="L36" s="31" t="n">
        <v>82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72.23</v>
      </c>
      <c r="P36" s="32" t="n">
        <v>35.25</v>
      </c>
      <c r="Q36" s="32" t="n">
        <v>968.41</v>
      </c>
      <c r="R36" s="31" t="inlineStr">
        <is>
          <t>Near 52W High Breakout</t>
        </is>
      </c>
      <c r="S36" s="31" t="inlineStr">
        <is>
          <t>Nifty Auto</t>
        </is>
      </c>
      <c r="T36" s="32" t="n">
        <v>20.87</v>
      </c>
      <c r="U36" s="32" t="n">
        <v>54.01</v>
      </c>
      <c r="V36" s="32" t="n">
        <v>27.42</v>
      </c>
      <c r="W36" s="32" t="n">
        <v>22.47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Less than 50%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IF(B37=0,"",RANK(B37,$B$2:$B$284,0))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BAJAJ-AUTO</t>
        </is>
      </c>
      <c r="D37" s="31" t="inlineStr">
        <is>
          <t>Bajaj Auto Limited</t>
        </is>
      </c>
      <c r="E37" s="31" t="inlineStr">
        <is>
          <t>auto</t>
        </is>
      </c>
      <c r="F37" s="31" t="inlineStr">
        <is>
          <t>automobiles - scooters and 3 - wheelers</t>
        </is>
      </c>
      <c r="G37" s="31" t="inlineStr">
        <is>
          <t>largecap</t>
        </is>
      </c>
      <c r="H37" s="32" t="n">
        <v>319521.93</v>
      </c>
      <c r="I37" s="32" t="n">
        <v>11520.5</v>
      </c>
      <c r="J37" s="32" t="n">
        <v>0.77</v>
      </c>
      <c r="K37" s="32" t="n">
        <v>214380</v>
      </c>
      <c r="L37" s="31" t="n">
        <v>58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71.84999999999999</v>
      </c>
      <c r="P37" s="32" t="n">
        <v>20.69</v>
      </c>
      <c r="Q37" s="32" t="n">
        <v>9943.02</v>
      </c>
      <c r="R37" s="31" t="inlineStr">
        <is>
          <t>Near 52W High Breakout</t>
        </is>
      </c>
      <c r="S37" s="31" t="inlineStr">
        <is>
          <t>Nifty Auto</t>
        </is>
      </c>
      <c r="T37" s="32" t="n">
        <v>20.87</v>
      </c>
      <c r="U37" s="32" t="n">
        <v>44.67</v>
      </c>
      <c r="V37" s="32" t="n">
        <v>19.69</v>
      </c>
      <c r="W37" s="32" t="n">
        <v>12.37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IF(B38=0,"",RANK(B38,$B$2:$B$284,0))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SONACOMS</t>
        </is>
      </c>
      <c r="D38" s="31" t="inlineStr">
        <is>
          <t>Sona BLW Precision Forgings Ltd</t>
        </is>
      </c>
      <c r="E38" s="31" t="inlineStr">
        <is>
          <t>auto</t>
        </is>
      </c>
      <c r="F38" s="31" t="inlineStr">
        <is>
          <t>auto ancillaries</t>
        </is>
      </c>
      <c r="G38" s="31" t="inlineStr">
        <is>
          <t>largecap</t>
        </is>
      </c>
      <c r="H38" s="32" t="n">
        <v>47507.91</v>
      </c>
      <c r="I38" s="32" t="n">
        <v>769.4</v>
      </c>
      <c r="J38" s="32" t="n">
        <v>0.74</v>
      </c>
      <c r="K38" s="32" t="n">
        <v>2881505</v>
      </c>
      <c r="L38" s="31" t="n">
        <v>77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80.01000000000001</v>
      </c>
      <c r="P38" s="32" t="n">
        <v>44.16</v>
      </c>
      <c r="Q38" s="32" t="n">
        <v>650.6</v>
      </c>
      <c r="R38" s="31" t="inlineStr">
        <is>
          <t>Volume Spike &amp; Near 52W High Breakout</t>
        </is>
      </c>
      <c r="S38" s="31" t="inlineStr">
        <is>
          <t>Nifty Auto</t>
        </is>
      </c>
      <c r="T38" s="32" t="n">
        <v>20.87</v>
      </c>
      <c r="U38" s="32" t="n">
        <v>64.90000000000001</v>
      </c>
      <c r="V38" s="32" t="n">
        <v>36.43</v>
      </c>
      <c r="W38" s="32" t="n">
        <v>18.94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IF(B39=0,"",RANK(B39,$B$2:$B$284,0))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RAIN</t>
        </is>
      </c>
      <c r="D39" s="31" t="inlineStr">
        <is>
          <t>Rain Industries Limited</t>
        </is>
      </c>
      <c r="E39" s="31" t="inlineStr">
        <is>
          <t>miscellaneous</t>
        </is>
      </c>
      <c r="F39" s="31" t="inlineStr">
        <is>
          <t>miscellaneous</t>
        </is>
      </c>
      <c r="G39" s="31" t="inlineStr">
        <is>
          <t>midcap</t>
        </is>
      </c>
      <c r="H39" s="32" t="n">
        <v>7455.77</v>
      </c>
      <c r="I39" s="32" t="n">
        <v>222.95</v>
      </c>
      <c r="J39" s="32" t="n">
        <v>0.58</v>
      </c>
      <c r="K39" s="32" t="n">
        <v>3089916</v>
      </c>
      <c r="L39" s="31" t="n">
        <v>89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74.19</v>
      </c>
      <c r="P39" s="32" t="n">
        <v>43.92</v>
      </c>
      <c r="Q39" s="32" t="n">
        <v>173.6</v>
      </c>
      <c r="R39" s="31" t="inlineStr">
        <is>
          <t>Near 52W High Breakout</t>
        </is>
      </c>
      <c r="S39" s="31" t="inlineStr">
        <is>
          <t>Nifty 50</t>
        </is>
      </c>
      <c r="T39" s="32" t="n">
        <v>-0.74</v>
      </c>
      <c r="U39" s="32" t="n">
        <v>46.85</v>
      </c>
      <c r="V39" s="32" t="n">
        <v>47.95</v>
      </c>
      <c r="W39" s="32" t="n">
        <v>27.78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More than 1.2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IF(B40=0,"",RANK(B40,$B$2:$B$284,0))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CENTENKA</t>
        </is>
      </c>
      <c r="D40" s="31" t="inlineStr">
        <is>
          <t>Century Enka Limited</t>
        </is>
      </c>
      <c r="E40" s="31" t="inlineStr">
        <is>
          <t>textiles</t>
        </is>
      </c>
      <c r="F40" s="31" t="inlineStr">
        <is>
          <t>textiles - manmade</t>
        </is>
      </c>
      <c r="G40" s="31" t="inlineStr">
        <is>
          <t>smallcap</t>
        </is>
      </c>
      <c r="H40" s="32" t="n">
        <v>1324.15</v>
      </c>
      <c r="I40" s="32" t="n">
        <v>607.5</v>
      </c>
      <c r="J40" s="32" t="n">
        <v>0.25</v>
      </c>
      <c r="K40" s="32" t="n">
        <v>110047</v>
      </c>
      <c r="L40" s="31" t="n">
        <v>67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71.15000000000001</v>
      </c>
      <c r="P40" s="32" t="n">
        <v>56.6</v>
      </c>
      <c r="Q40" s="32" t="n">
        <v>463.71</v>
      </c>
      <c r="R40" s="31" t="inlineStr">
        <is>
          <t>Volume Spike &amp; Near 52W High Breakout</t>
        </is>
      </c>
      <c r="S40" s="31" t="inlineStr">
        <is>
          <t>Nifty 50</t>
        </is>
      </c>
      <c r="T40" s="32" t="n">
        <v>-0.74</v>
      </c>
      <c r="U40" s="32" t="n">
        <v>26.9</v>
      </c>
      <c r="V40" s="32" t="n">
        <v>27.85</v>
      </c>
      <c r="W40" s="32" t="n">
        <v>15.39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IF(B41=0,"",RANK(B41,$B$2:$B$284,0))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HUHTAMAKI</t>
        </is>
      </c>
      <c r="D41" s="31" t="inlineStr">
        <is>
          <t>Huhtamaki India Ltd</t>
        </is>
      </c>
      <c r="E41" s="31" t="inlineStr">
        <is>
          <t>industrials</t>
        </is>
      </c>
      <c r="F41" s="31" t="inlineStr">
        <is>
          <t>packaging</t>
        </is>
      </c>
      <c r="G41" s="31" t="inlineStr">
        <is>
          <t>smallcap</t>
        </is>
      </c>
      <c r="H41" s="32" t="n">
        <v>2254.93</v>
      </c>
      <c r="I41" s="32" t="n">
        <v>298.14</v>
      </c>
      <c r="J41" s="32" t="n">
        <v>-0.15</v>
      </c>
      <c r="K41" s="32" t="n">
        <v>440147</v>
      </c>
      <c r="L41" s="31" t="n">
        <v>84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73.55</v>
      </c>
      <c r="P41" s="32" t="n">
        <v>24.12</v>
      </c>
      <c r="Q41" s="32" t="n">
        <v>242.45</v>
      </c>
      <c r="R41" s="31" t="inlineStr">
        <is>
          <t>Volume Spike / Accumulation</t>
        </is>
      </c>
      <c r="S41" s="31" t="inlineStr">
        <is>
          <t>Nifty 50</t>
        </is>
      </c>
      <c r="T41" s="32" t="n">
        <v>-0.74</v>
      </c>
      <c r="U41" s="32" t="n">
        <v>37.73</v>
      </c>
      <c r="V41" s="32" t="n">
        <v>38.76</v>
      </c>
      <c r="W41" s="32" t="n">
        <v>23.62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IF(B42=0,"",RANK(B42,$B$2:$B$284,0))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HITECHCORP</t>
        </is>
      </c>
      <c r="D42" s="31" t="inlineStr">
        <is>
          <t>Hitech Corporation</t>
        </is>
      </c>
      <c r="E42" s="31" t="inlineStr">
        <is>
          <t>industrials</t>
        </is>
      </c>
      <c r="F42" s="31" t="inlineStr">
        <is>
          <t>packaging</t>
        </is>
      </c>
      <c r="G42" s="31" t="inlineStr">
        <is>
          <t>smallcap</t>
        </is>
      </c>
      <c r="H42" s="32" t="n">
        <v>553.0599999999999</v>
      </c>
      <c r="I42" s="32" t="n">
        <v>319.8</v>
      </c>
      <c r="J42" s="32" t="n">
        <v>-0.68</v>
      </c>
      <c r="K42" s="32" t="n">
        <v>8155</v>
      </c>
      <c r="L42" s="31" t="n">
        <v>97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80.01000000000001</v>
      </c>
      <c r="P42" s="32" t="n">
        <v>51.79</v>
      </c>
      <c r="Q42" s="32" t="n">
        <v>256.35</v>
      </c>
      <c r="R42" s="31" t="inlineStr">
        <is>
          <t>Near 52W High Breakout</t>
        </is>
      </c>
      <c r="S42" s="31" t="inlineStr">
        <is>
          <t>Nifty 50</t>
        </is>
      </c>
      <c r="T42" s="32" t="n">
        <v>-0.74</v>
      </c>
      <c r="U42" s="32" t="n">
        <v>71.97</v>
      </c>
      <c r="V42" s="32" t="n">
        <v>73.26000000000001</v>
      </c>
      <c r="W42" s="32" t="n">
        <v>46.42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Between 50% to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IF(B43=0,"",RANK(B43,$B$2:$B$284,0))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ADOR</t>
        </is>
      </c>
      <c r="D43" s="31" t="inlineStr">
        <is>
          <t>Ador Welding Ltd</t>
        </is>
      </c>
      <c r="E43" s="31" t="inlineStr">
        <is>
          <t>industrials</t>
        </is>
      </c>
      <c r="F43" s="31" t="inlineStr">
        <is>
          <t>electrodes - welding equipment</t>
        </is>
      </c>
      <c r="G43" s="31" t="inlineStr">
        <is>
          <t>smallcap</t>
        </is>
      </c>
      <c r="H43" s="32" t="n">
        <v>2575.96</v>
      </c>
      <c r="I43" s="32" t="n">
        <v>1445</v>
      </c>
      <c r="J43" s="32" t="n">
        <v>-2.38</v>
      </c>
      <c r="K43" s="32" t="n">
        <v>37403</v>
      </c>
      <c r="L43" s="31" t="n">
        <v>71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75.20999999999999</v>
      </c>
      <c r="P43" s="32" t="n">
        <v>43.29</v>
      </c>
      <c r="Q43" s="32" t="n">
        <v>1196.72</v>
      </c>
      <c r="R43" s="31" t="inlineStr">
        <is>
          <t>Near 52W High Breakout</t>
        </is>
      </c>
      <c r="S43" s="31" t="inlineStr">
        <is>
          <t>Nifty 50</t>
        </is>
      </c>
      <c r="T43" s="32" t="n">
        <v>-0.74</v>
      </c>
      <c r="U43" s="32" t="n">
        <v>50.28</v>
      </c>
      <c r="V43" s="32" t="n">
        <v>51.4</v>
      </c>
      <c r="W43" s="32" t="n">
        <v>16.54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IF(B44=0,"",RANK(B44,$B$2:$B$284,0))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LAURUSLABS</t>
        </is>
      </c>
      <c r="D44" s="31" t="inlineStr">
        <is>
          <t>Laurus Labs Limited</t>
        </is>
      </c>
      <c r="E44" s="31" t="inlineStr">
        <is>
          <t>healthcare</t>
        </is>
      </c>
      <c r="F44" s="31" t="inlineStr">
        <is>
          <t>pharmaceuticals - indian - bulk drugs &amp; formln</t>
        </is>
      </c>
      <c r="G44" s="31" t="inlineStr">
        <is>
          <t>largecap</t>
        </is>
      </c>
      <c r="H44" s="32" t="n">
        <v>96234.66</v>
      </c>
      <c r="I44" s="32" t="n">
        <v>1816.2</v>
      </c>
      <c r="J44" s="32" t="n">
        <v>1.96</v>
      </c>
      <c r="K44" s="32" t="n">
        <v>2502848</v>
      </c>
      <c r="L44" s="31" t="n">
        <v>92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85.75</v>
      </c>
      <c r="P44" s="32" t="n">
        <v>58.3</v>
      </c>
      <c r="Q44" s="32" t="n">
        <v>1549.27</v>
      </c>
      <c r="R44" s="31" t="inlineStr">
        <is>
          <t>Volume Spike &amp; Near 52W High Breakout</t>
        </is>
      </c>
      <c r="S44" s="31" t="inlineStr">
        <is>
          <t>Nifty Pharma</t>
        </is>
      </c>
      <c r="T44" s="32" t="n">
        <v>20.55</v>
      </c>
      <c r="U44" s="32" t="n">
        <v>114.22</v>
      </c>
      <c r="V44" s="32" t="n">
        <v>77.70999999999999</v>
      </c>
      <c r="W44" s="32" t="n">
        <v>31.71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Annuity, Lower One Time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Above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IF(B45=0,"",RANK(B45,$B$2:$B$284,0))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MPSLTD</t>
        </is>
      </c>
      <c r="D45" s="31" t="inlineStr">
        <is>
          <t>Mps Limited</t>
        </is>
      </c>
      <c r="E45" s="31" t="inlineStr">
        <is>
          <t>i.t</t>
        </is>
      </c>
      <c r="F45" s="31" t="inlineStr">
        <is>
          <t>computers - software - medium / small</t>
        </is>
      </c>
      <c r="G45" s="31" t="inlineStr">
        <is>
          <t>smallcap</t>
        </is>
      </c>
      <c r="H45" s="32" t="n">
        <v>4533.38</v>
      </c>
      <c r="I45" s="32" t="n">
        <v>2686.8</v>
      </c>
      <c r="J45" s="32" t="n">
        <v>1.38</v>
      </c>
      <c r="K45" s="32" t="n">
        <v>23317</v>
      </c>
      <c r="L45" s="31" t="n">
        <v>77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75.01000000000001</v>
      </c>
      <c r="P45" s="32" t="n">
        <v>26.49</v>
      </c>
      <c r="Q45" s="32" t="n">
        <v>2168.67</v>
      </c>
      <c r="R45" s="31" t="inlineStr">
        <is>
          <t>Near 52W High Breakout</t>
        </is>
      </c>
      <c r="S45" s="31" t="inlineStr">
        <is>
          <t>Nifty IT</t>
        </is>
      </c>
      <c r="T45" s="32" t="n">
        <v>-11.37</v>
      </c>
      <c r="U45" s="32" t="n">
        <v>19.6</v>
      </c>
      <c r="V45" s="32" t="n">
        <v>34.95</v>
      </c>
      <c r="W45" s="32" t="n">
        <v>19.28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IF(B46=0,"",RANK(B46,$B$2:$B$284,0))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NEULANDLAB</t>
        </is>
      </c>
      <c r="D46" s="31" t="inlineStr">
        <is>
          <t>Neuland Laboratories Limited</t>
        </is>
      </c>
      <c r="E46" s="31" t="inlineStr">
        <is>
          <t>healthcare</t>
        </is>
      </c>
      <c r="F46" s="31" t="inlineStr">
        <is>
          <t>pharmaceuticals - indian - bulk drugs</t>
        </is>
      </c>
      <c r="G46" s="31" t="inlineStr">
        <is>
          <t>largecap</t>
        </is>
      </c>
      <c r="H46" s="32" t="n">
        <v>24635.95</v>
      </c>
      <c r="I46" s="32" t="n">
        <v>19050</v>
      </c>
      <c r="J46" s="32" t="n">
        <v>-0.79</v>
      </c>
      <c r="K46" s="32" t="n">
        <v>53991</v>
      </c>
      <c r="L46" s="31" t="n">
        <v>65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65.68000000000001</v>
      </c>
      <c r="P46" s="32" t="n">
        <v>46.27</v>
      </c>
      <c r="Q46" s="32" t="n">
        <v>15558.92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20.55</v>
      </c>
      <c r="U46" s="32" t="n">
        <v>46.56</v>
      </c>
      <c r="V46" s="32" t="n">
        <v>21.58</v>
      </c>
      <c r="W46" s="32" t="n">
        <v>14.78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IF(B47=0,"",RANK(B47,$B$2:$B$284,0))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ASTRAMICRO</t>
        </is>
      </c>
      <c r="D47" s="31" t="inlineStr">
        <is>
          <t>Astra Microwave Products Limited</t>
        </is>
      </c>
      <c r="E47" s="31" t="inlineStr">
        <is>
          <t>aerospace &amp; defence</t>
        </is>
      </c>
      <c r="F47" s="31" t="inlineStr">
        <is>
          <t>telecommunications - equipment</t>
        </is>
      </c>
      <c r="G47" s="31" t="inlineStr">
        <is>
          <t>midcap</t>
        </is>
      </c>
      <c r="H47" s="32" t="n">
        <v>16387.51</v>
      </c>
      <c r="I47" s="32" t="n">
        <v>1861.6</v>
      </c>
      <c r="J47" s="32" t="n">
        <v>7.86</v>
      </c>
      <c r="K47" s="32" t="n">
        <v>4927531</v>
      </c>
      <c r="L47" s="31" t="n">
        <v>91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77.86</v>
      </c>
      <c r="P47" s="32" t="n">
        <v>55.12</v>
      </c>
      <c r="Q47" s="32" t="n">
        <v>1465.09</v>
      </c>
      <c r="R47" s="31" t="inlineStr">
        <is>
          <t>Near 52W High Breakout</t>
        </is>
      </c>
      <c r="S47" s="31" t="inlineStr">
        <is>
          <t>Nifty 50</t>
        </is>
      </c>
      <c r="T47" s="32" t="n">
        <v>-0.74</v>
      </c>
      <c r="U47" s="32" t="n">
        <v>97.45</v>
      </c>
      <c r="V47" s="32" t="n">
        <v>98.92</v>
      </c>
      <c r="W47" s="32" t="n">
        <v>30.19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Oligopoly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IF(B48=0,"",RANK(B48,$B$2:$B$284,0))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FILATEX</t>
        </is>
      </c>
      <c r="D48" s="31" t="inlineStr">
        <is>
          <t>Filatex India Limited</t>
        </is>
      </c>
      <c r="E48" s="31" t="inlineStr">
        <is>
          <t>textiles</t>
        </is>
      </c>
      <c r="F48" s="31" t="inlineStr">
        <is>
          <t>textiles - manmade</t>
        </is>
      </c>
      <c r="G48" s="31" t="inlineStr">
        <is>
          <t>smallcap</t>
        </is>
      </c>
      <c r="H48" s="32" t="n">
        <v>3034.69</v>
      </c>
      <c r="I48" s="32" t="n">
        <v>73.52</v>
      </c>
      <c r="J48" s="32" t="n">
        <v>7.58</v>
      </c>
      <c r="K48" s="32" t="n">
        <v>9057046</v>
      </c>
      <c r="L48" s="31" t="n">
        <v>81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76.36</v>
      </c>
      <c r="P48" s="32" t="n">
        <v>26.85</v>
      </c>
      <c r="Q48" s="32" t="n">
        <v>55.81</v>
      </c>
      <c r="R48" s="31" t="inlineStr">
        <is>
          <t>Near 52W High Breakout</t>
        </is>
      </c>
      <c r="S48" s="31" t="inlineStr">
        <is>
          <t>Nifty 50</t>
        </is>
      </c>
      <c r="T48" s="32" t="n">
        <v>-0.74</v>
      </c>
      <c r="U48" s="32" t="n">
        <v>33.39</v>
      </c>
      <c r="V48" s="32" t="n">
        <v>34.38</v>
      </c>
      <c r="W48" s="32" t="n">
        <v>21.56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Between 12 to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IF(B49=0,"",RANK(B49,$B$2:$B$284,0))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OCCLLTD</t>
        </is>
      </c>
      <c r="D49" s="31" t="inlineStr">
        <is>
          <t>OCCL Ltd</t>
        </is>
      </c>
      <c r="E49" s="31" t="inlineStr">
        <is>
          <t>chemicals</t>
        </is>
      </c>
      <c r="F49" s="31" t="inlineStr">
        <is>
          <t>chemicals</t>
        </is>
      </c>
      <c r="G49" s="31" t="inlineStr">
        <is>
          <t>smallcap</t>
        </is>
      </c>
      <c r="H49" s="32" t="n">
        <v>789.8200000000001</v>
      </c>
      <c r="I49" s="32" t="n">
        <v>166.02</v>
      </c>
      <c r="J49" s="32" t="n">
        <v>5</v>
      </c>
      <c r="K49" s="32" t="n">
        <v>50271</v>
      </c>
      <c r="L49" s="31" t="n">
        <v>78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80</v>
      </c>
      <c r="P49" s="32" t="n">
        <v>31.41</v>
      </c>
      <c r="Q49" s="32" t="n">
        <v>125.61</v>
      </c>
      <c r="R49" s="31" t="inlineStr">
        <is>
          <t>Near 52W High Breakout</t>
        </is>
      </c>
      <c r="S49" s="31" t="inlineStr">
        <is>
          <t>Nifty 50</t>
        </is>
      </c>
      <c r="T49" s="32" t="n">
        <v>-0.74</v>
      </c>
      <c r="U49" s="32" t="n">
        <v>9.82</v>
      </c>
      <c r="V49" s="32" t="n">
        <v>10.64</v>
      </c>
      <c r="W49" s="32" t="n">
        <v>19.49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IF(B50=0,"",RANK(B50,$B$2:$B$284,0))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SSWL</t>
        </is>
      </c>
      <c r="D50" s="31" t="inlineStr">
        <is>
          <t>Steel Strips Wheels Limited</t>
        </is>
      </c>
      <c r="E50" s="31" t="inlineStr">
        <is>
          <t>auto</t>
        </is>
      </c>
      <c r="F50" s="31" t="inlineStr">
        <is>
          <t>auto ancillaries</t>
        </is>
      </c>
      <c r="G50" s="31" t="inlineStr">
        <is>
          <t>smallcap</t>
        </is>
      </c>
      <c r="H50" s="32" t="n">
        <v>4671.25</v>
      </c>
      <c r="I50" s="32" t="n">
        <v>310.36</v>
      </c>
      <c r="J50" s="32" t="n">
        <v>4.43</v>
      </c>
      <c r="K50" s="32" t="n">
        <v>1499072</v>
      </c>
      <c r="L50" s="31" t="n">
        <v>74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76.37</v>
      </c>
      <c r="P50" s="32" t="n">
        <v>20.46</v>
      </c>
      <c r="Q50" s="32" t="n">
        <v>245.38</v>
      </c>
      <c r="R50" s="31" t="inlineStr">
        <is>
          <t>Near 52W High Breakout</t>
        </is>
      </c>
      <c r="S50" s="31" t="inlineStr">
        <is>
          <t>Nifty Auto</t>
        </is>
      </c>
      <c r="T50" s="32" t="n">
        <v>20.87</v>
      </c>
      <c r="U50" s="32" t="n">
        <v>29.59</v>
      </c>
      <c r="V50" s="32" t="n">
        <v>7.21</v>
      </c>
      <c r="W50" s="32" t="n">
        <v>17.56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IF(B51=0,"",RANK(B51,$B$2:$B$284,0))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SIGMAADV</t>
        </is>
      </c>
      <c r="D51" s="31" t="inlineStr">
        <is>
          <t>Sigma Advanced System Ltd</t>
        </is>
      </c>
      <c r="E51" s="31" t="inlineStr">
        <is>
          <t>aerospace &amp; defence</t>
        </is>
      </c>
      <c r="F51" s="31" t="inlineStr">
        <is>
          <t>electronics - components</t>
        </is>
      </c>
      <c r="G51" s="31" t="inlineStr">
        <is>
          <t>midcap</t>
        </is>
      </c>
      <c r="H51" s="32" t="n">
        <v>11358.4</v>
      </c>
      <c r="I51" s="32" t="n">
        <v>623.55</v>
      </c>
      <c r="J51" s="32" t="n">
        <v>4.03</v>
      </c>
      <c r="K51" s="32" t="n">
        <v>288486</v>
      </c>
      <c r="L51" s="31" t="n">
        <v>99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74.83</v>
      </c>
      <c r="P51" s="32" t="n">
        <v>66.70999999999999</v>
      </c>
      <c r="Q51" s="32" t="n">
        <v>449.53</v>
      </c>
      <c r="R51" s="31" t="inlineStr">
        <is>
          <t>Near 52W High Breakout</t>
        </is>
      </c>
      <c r="S51" s="31" t="inlineStr">
        <is>
          <t>Nifty 50</t>
        </is>
      </c>
      <c r="T51" s="32" t="n">
        <v>-0.74</v>
      </c>
      <c r="U51" s="32" t="n">
        <v>437.96</v>
      </c>
      <c r="V51" s="32" t="n">
        <v>441.97</v>
      </c>
      <c r="W51" s="32" t="n">
        <v>73.23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Negative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IF(B52=0,"",RANK(B52,$B$2:$B$284,0))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KINGFA</t>
        </is>
      </c>
      <c r="D52" s="31" t="inlineStr">
        <is>
          <t>Kingfa Science &amp; Technology (india) Limited</t>
        </is>
      </c>
      <c r="E52" s="31" t="inlineStr">
        <is>
          <t>plastic products</t>
        </is>
      </c>
      <c r="F52" s="31" t="inlineStr">
        <is>
          <t>plastics products</t>
        </is>
      </c>
      <c r="G52" s="31" t="inlineStr">
        <is>
          <t>midcap</t>
        </is>
      </c>
      <c r="H52" s="32" t="n">
        <v>6912.56</v>
      </c>
      <c r="I52" s="32" t="n">
        <v>5248.5</v>
      </c>
      <c r="J52" s="32" t="n">
        <v>2.89</v>
      </c>
      <c r="K52" s="32" t="n">
        <v>9251</v>
      </c>
      <c r="L52" s="31" t="n">
        <v>49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59.94</v>
      </c>
      <c r="P52" s="32" t="n">
        <v>28.9</v>
      </c>
      <c r="Q52" s="32" t="n">
        <v>4329.22</v>
      </c>
      <c r="R52" s="31" t="inlineStr">
        <is>
          <t>Near 52W High Breakout</t>
        </is>
      </c>
      <c r="S52" s="31" t="inlineStr">
        <is>
          <t>Nifty Infra</t>
        </is>
      </c>
      <c r="T52" s="32" t="n">
        <v>3.78</v>
      </c>
      <c r="U52" s="32" t="n">
        <v>45.29</v>
      </c>
      <c r="V52" s="32" t="n">
        <v>40</v>
      </c>
      <c r="W52" s="32" t="n">
        <v>10.34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IF(B53=0,"",RANK(B53,$B$2:$B$284,0))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ASHIANA</t>
        </is>
      </c>
      <c r="D53" s="31" t="inlineStr">
        <is>
          <t>Ashiana Housing Limited</t>
        </is>
      </c>
      <c r="E53" s="31" t="inlineStr">
        <is>
          <t>realty</t>
        </is>
      </c>
      <c r="F53" s="31" t="inlineStr">
        <is>
          <t>construction</t>
        </is>
      </c>
      <c r="G53" s="31" t="inlineStr">
        <is>
          <t>smallcap</t>
        </is>
      </c>
      <c r="H53" s="32" t="n">
        <v>3885.79</v>
      </c>
      <c r="I53" s="32" t="n">
        <v>392</v>
      </c>
      <c r="J53" s="32" t="n">
        <v>1.41</v>
      </c>
      <c r="K53" s="32" t="n">
        <v>77628</v>
      </c>
      <c r="L53" s="31" t="n">
        <v>42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64.34999999999999</v>
      </c>
      <c r="P53" s="32" t="n">
        <v>42.16</v>
      </c>
      <c r="Q53" s="32" t="n">
        <v>300.06</v>
      </c>
      <c r="R53" s="31" t="inlineStr">
        <is>
          <t>Near 52W High Breakout</t>
        </is>
      </c>
      <c r="S53" s="31" t="inlineStr">
        <is>
          <t>Nifty Realty</t>
        </is>
      </c>
      <c r="T53" s="32" t="n">
        <v>-5.17</v>
      </c>
      <c r="U53" s="32" t="n">
        <v>24.44</v>
      </c>
      <c r="V53" s="32" t="n">
        <v>31.22</v>
      </c>
      <c r="W53" s="32" t="n">
        <v>8.380000000000001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IF(B54=0,"",RANK(B54,$B$2:$B$284,0))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WSTCSTPAPR</t>
        </is>
      </c>
      <c r="D54" s="31" t="inlineStr">
        <is>
          <t>West Coast Paper Mills Limited</t>
        </is>
      </c>
      <c r="E54" s="31" t="inlineStr">
        <is>
          <t>building materials</t>
        </is>
      </c>
      <c r="F54" s="31" t="inlineStr">
        <is>
          <t>paper</t>
        </is>
      </c>
      <c r="G54" s="31" t="inlineStr">
        <is>
          <t>smallcap</t>
        </is>
      </c>
      <c r="H54" s="32" t="n">
        <v>3715.25</v>
      </c>
      <c r="I54" s="32" t="n">
        <v>569.5</v>
      </c>
      <c r="J54" s="32" t="n">
        <v>1.24</v>
      </c>
      <c r="K54" s="32" t="n">
        <v>127072</v>
      </c>
      <c r="L54" s="31" t="n">
        <v>29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64.98999999999999</v>
      </c>
      <c r="P54" s="32" t="n">
        <v>39.38</v>
      </c>
      <c r="Q54" s="32" t="n">
        <v>443.07</v>
      </c>
      <c r="R54" s="31" t="inlineStr">
        <is>
          <t>Near 52W High Breakout</t>
        </is>
      </c>
      <c r="S54" s="31" t="inlineStr">
        <is>
          <t>Nifty Infra</t>
        </is>
      </c>
      <c r="T54" s="32" t="n">
        <v>3.78</v>
      </c>
      <c r="U54" s="32" t="n">
        <v>6.04</v>
      </c>
      <c r="V54" s="32" t="n">
        <v>2.18</v>
      </c>
      <c r="W54" s="32" t="n">
        <v>6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Between 12 to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IF(B55=0,"",RANK(B55,$B$2:$B$284,0))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CENTURYPLY</t>
        </is>
      </c>
      <c r="D55" s="31" t="inlineStr">
        <is>
          <t>Century Plyboards (india) Limited</t>
        </is>
      </c>
      <c r="E55" s="31" t="inlineStr">
        <is>
          <t>building materials</t>
        </is>
      </c>
      <c r="F55" s="31" t="inlineStr">
        <is>
          <t>miscellaneous</t>
        </is>
      </c>
      <c r="G55" s="31" t="inlineStr">
        <is>
          <t>midcap</t>
        </is>
      </c>
      <c r="H55" s="32" t="n">
        <v>17634.98</v>
      </c>
      <c r="I55" s="32" t="n">
        <v>799.5</v>
      </c>
      <c r="J55" s="32" t="n">
        <v>0.72</v>
      </c>
      <c r="K55" s="32" t="n">
        <v>764788</v>
      </c>
      <c r="L55" s="31" t="n">
        <v>11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57.29</v>
      </c>
      <c r="P55" s="32" t="n">
        <v>21.79</v>
      </c>
      <c r="Q55" s="32" t="n">
        <v>648.58</v>
      </c>
      <c r="R55" s="31" t="inlineStr">
        <is>
          <t>Volume Spike / Accumulation</t>
        </is>
      </c>
      <c r="S55" s="31" t="inlineStr">
        <is>
          <t>Nifty Infra</t>
        </is>
      </c>
      <c r="T55" s="32" t="n">
        <v>3.78</v>
      </c>
      <c r="U55" s="32" t="n">
        <v>7.73</v>
      </c>
      <c r="V55" s="32" t="n">
        <v>3.81</v>
      </c>
      <c r="W55" s="32" t="n">
        <v>1.98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IF(B56=0,"",RANK(B56,$B$2:$B$284,0))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KANORICHEM</t>
        </is>
      </c>
      <c r="D56" s="31" t="inlineStr">
        <is>
          <t>Kanoria Chemicals &amp; Industries Limited</t>
        </is>
      </c>
      <c r="E56" s="31" t="inlineStr">
        <is>
          <t>chemicals</t>
        </is>
      </c>
      <c r="F56" s="31" t="inlineStr">
        <is>
          <t>chemicals</t>
        </is>
      </c>
      <c r="G56" s="31" t="inlineStr">
        <is>
          <t>smallcap</t>
        </is>
      </c>
      <c r="H56" s="32" t="n">
        <v>625.6</v>
      </c>
      <c r="I56" s="32" t="n">
        <v>143.98</v>
      </c>
      <c r="J56" s="32" t="n">
        <v>0.5600000000000001</v>
      </c>
      <c r="K56" s="32" t="n">
        <v>41169</v>
      </c>
      <c r="L56" s="31" t="n">
        <v>87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68.06999999999999</v>
      </c>
      <c r="P56" s="32" t="n">
        <v>50.37</v>
      </c>
      <c r="Q56" s="32" t="n">
        <v>119.24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-0.74</v>
      </c>
      <c r="U56" s="32" t="n">
        <v>58.99</v>
      </c>
      <c r="V56" s="32" t="n">
        <v>60.18</v>
      </c>
      <c r="W56" s="32" t="n">
        <v>25.34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IF(B57=0,"",RANK(B57,$B$2:$B$284,0))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HAPPYFORGE</t>
        </is>
      </c>
      <c r="D57" s="31" t="inlineStr">
        <is>
          <t>Happy Forgings Ltd</t>
        </is>
      </c>
      <c r="E57" s="31" t="inlineStr">
        <is>
          <t>industrials</t>
        </is>
      </c>
      <c r="F57" s="31" t="inlineStr">
        <is>
          <t>castings &amp; forgings</t>
        </is>
      </c>
      <c r="G57" s="31" t="inlineStr">
        <is>
          <t>midcap</t>
        </is>
      </c>
      <c r="H57" s="32" t="n">
        <v>15681.97</v>
      </c>
      <c r="I57" s="32" t="n">
        <v>1669.8</v>
      </c>
      <c r="J57" s="32" t="n">
        <v>0.49</v>
      </c>
      <c r="K57" s="32" t="n">
        <v>43598</v>
      </c>
      <c r="L57" s="31" t="n">
        <v>73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74.41</v>
      </c>
      <c r="P57" s="32" t="n">
        <v>47.98</v>
      </c>
      <c r="Q57" s="32" t="n">
        <v>1339.47</v>
      </c>
      <c r="R57" s="31" t="inlineStr">
        <is>
          <t>Near 52W High Breakout</t>
        </is>
      </c>
      <c r="S57" s="31" t="inlineStr">
        <is>
          <t>Nifty 50</t>
        </is>
      </c>
      <c r="T57" s="32" t="n">
        <v>-0.74</v>
      </c>
      <c r="U57" s="32" t="n">
        <v>76.09999999999999</v>
      </c>
      <c r="V57" s="32" t="n">
        <v>77.41</v>
      </c>
      <c r="W57" s="32" t="n">
        <v>17.2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IF(B58=0,"",RANK(B58,$B$2:$B$284,0))</f>
        <v/>
      </c>
      <c r="B58" s="32">
        <f>SUM(N58,Y58,AA58,AC58,AE58,AG58,AI58,AK58,AM58,AO58,AQ58,AS58,AU58,AW58,AY58,BA58,BC58,BE58,BG58,BI58,BK58,BM58,BO58,BQ58,BS58,BU58,BW58,BY58,CA58,CC58,CE58)</f>
        <v/>
      </c>
      <c r="C58" s="33" t="inlineStr">
        <is>
          <t>ATULAUTO</t>
        </is>
      </c>
      <c r="D58" s="33" t="inlineStr">
        <is>
          <t>Atul Auto Limited</t>
        </is>
      </c>
      <c r="E58" s="31" t="inlineStr">
        <is>
          <t>auto</t>
        </is>
      </c>
      <c r="F58" s="31" t="inlineStr">
        <is>
          <t>automobiles - scooters and 3 - wheelers</t>
        </is>
      </c>
      <c r="G58" s="31" t="inlineStr">
        <is>
          <t>smallcap</t>
        </is>
      </c>
      <c r="H58" s="32" t="n">
        <v>1431.97</v>
      </c>
      <c r="I58" s="32" t="n">
        <v>515.45</v>
      </c>
      <c r="J58" s="32" t="n">
        <v>-0.11</v>
      </c>
      <c r="K58" s="32" t="n">
        <v>751080</v>
      </c>
      <c r="L58" s="31" t="n">
        <v>20</v>
      </c>
      <c r="M58" s="31" t="inlineStr">
        <is>
          <t>Underperforming</t>
        </is>
      </c>
      <c r="N58" s="32">
        <f>IF(M58="Underperforming",-5,IF(L58&gt;=95,15,IF(L58&gt;=90,10,IF(L58&gt;=80,5,0))))</f>
        <v/>
      </c>
      <c r="O58" s="32" t="n">
        <v>58.69</v>
      </c>
      <c r="P58" s="32" t="n">
        <v>26.63</v>
      </c>
      <c r="Q58" s="32" t="n">
        <v>393.2</v>
      </c>
      <c r="R58" s="31" t="inlineStr">
        <is>
          <t>Volume Spike &amp; Near 52W High Breakout</t>
        </is>
      </c>
      <c r="S58" s="31" t="inlineStr">
        <is>
          <t>Nifty Auto</t>
        </is>
      </c>
      <c r="T58" s="32" t="n">
        <v>20.87</v>
      </c>
      <c r="U58" s="32" t="n">
        <v>12.65</v>
      </c>
      <c r="V58" s="32" t="n">
        <v>-6.8</v>
      </c>
      <c r="W58" s="32" t="n">
        <v>4.28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IF(B59=0,"",RANK(B59,$B$2:$B$284,0))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WELCORP</t>
        </is>
      </c>
      <c r="D59" s="31" t="inlineStr">
        <is>
          <t>Welspun Corp Limited</t>
        </is>
      </c>
      <c r="E59" s="31" t="inlineStr">
        <is>
          <t>industrials</t>
        </is>
      </c>
      <c r="F59" s="31" t="inlineStr">
        <is>
          <t>steel - large</t>
        </is>
      </c>
      <c r="G59" s="31" t="inlineStr">
        <is>
          <t>largecap</t>
        </is>
      </c>
      <c r="H59" s="32" t="n">
        <v>43657.35</v>
      </c>
      <c r="I59" s="32" t="n">
        <v>1650.6</v>
      </c>
      <c r="J59" s="32" t="n">
        <v>-0.27</v>
      </c>
      <c r="K59" s="32" t="n">
        <v>382321</v>
      </c>
      <c r="L59" s="31" t="n">
        <v>85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84.48</v>
      </c>
      <c r="P59" s="32" t="n">
        <v>69.02</v>
      </c>
      <c r="Q59" s="32" t="n">
        <v>1356.1</v>
      </c>
      <c r="R59" s="31" t="inlineStr">
        <is>
          <t>Near 52W High Breakout</t>
        </is>
      </c>
      <c r="S59" s="31" t="inlineStr">
        <is>
          <t>Nifty Metal</t>
        </is>
      </c>
      <c r="T59" s="32" t="n">
        <v>34.95</v>
      </c>
      <c r="U59" s="32" t="n">
        <v>86.73</v>
      </c>
      <c r="V59" s="32" t="n">
        <v>38.37</v>
      </c>
      <c r="W59" s="32" t="n">
        <v>24.24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IF(B60=0,"",RANK(B60,$B$2:$B$284,0))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GHCLTEXTIL</t>
        </is>
      </c>
      <c r="D60" s="31" t="inlineStr">
        <is>
          <t>GHCL Textiles Ltd</t>
        </is>
      </c>
      <c r="E60" s="31" t="inlineStr">
        <is>
          <t>textiles</t>
        </is>
      </c>
      <c r="F60" s="31" t="inlineStr">
        <is>
          <t>textiles - spinning - synthetic / blended</t>
        </is>
      </c>
      <c r="G60" s="31" t="inlineStr">
        <is>
          <t>smallcap</t>
        </is>
      </c>
      <c r="H60" s="32" t="n">
        <v>1090.83</v>
      </c>
      <c r="I60" s="32" t="n">
        <v>113.62</v>
      </c>
      <c r="J60" s="32" t="n">
        <v>-0.44</v>
      </c>
      <c r="K60" s="32" t="n">
        <v>1510546</v>
      </c>
      <c r="L60" s="31" t="n">
        <v>57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69.15000000000001</v>
      </c>
      <c r="P60" s="32" t="n">
        <v>27.78</v>
      </c>
      <c r="Q60" s="32" t="n">
        <v>88.28</v>
      </c>
      <c r="R60" s="31" t="inlineStr">
        <is>
          <t>Volume Spike &amp; Near 52W High Breakout</t>
        </is>
      </c>
      <c r="S60" s="31" t="inlineStr">
        <is>
          <t>Nifty 50</t>
        </is>
      </c>
      <c r="T60" s="32" t="n">
        <v>-0.74</v>
      </c>
      <c r="U60" s="32" t="n">
        <v>31.61</v>
      </c>
      <c r="V60" s="32" t="n">
        <v>32.59</v>
      </c>
      <c r="W60" s="32" t="n">
        <v>12.35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IF(B61=0,"",RANK(B61,$B$2:$B$284,0))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PIDILITIND</t>
        </is>
      </c>
      <c r="D61" s="31" t="inlineStr">
        <is>
          <t>Pidilite Industries Limited</t>
        </is>
      </c>
      <c r="E61" s="31" t="inlineStr">
        <is>
          <t>chemicals</t>
        </is>
      </c>
      <c r="F61" s="31" t="inlineStr">
        <is>
          <t>chemicals</t>
        </is>
      </c>
      <c r="G61" s="31" t="inlineStr">
        <is>
          <t>largecap</t>
        </is>
      </c>
      <c r="H61" s="32" t="n">
        <v>165887.2</v>
      </c>
      <c r="I61" s="32" t="n">
        <v>1611.4</v>
      </c>
      <c r="J61" s="32" t="n">
        <v>-1.14</v>
      </c>
      <c r="K61" s="32" t="n">
        <v>821463</v>
      </c>
      <c r="L61" s="31" t="n">
        <v>32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67.15000000000001</v>
      </c>
      <c r="P61" s="32" t="n">
        <v>23.46</v>
      </c>
      <c r="Q61" s="32" t="n">
        <v>1409.43</v>
      </c>
      <c r="R61" s="31" t="inlineStr">
        <is>
          <t>Near 52W High Breakout</t>
        </is>
      </c>
      <c r="S61" s="31" t="inlineStr">
        <is>
          <t>Nifty 50</t>
        </is>
      </c>
      <c r="T61" s="32" t="n">
        <v>-0.74</v>
      </c>
      <c r="U61" s="32" t="n">
        <v>13.54</v>
      </c>
      <c r="V61" s="32" t="n">
        <v>14.39</v>
      </c>
      <c r="W61" s="32" t="n">
        <v>6.44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Between 1.5 to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IF(B62=0,"",RANK(B62,$B$2:$B$284,0))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SPECTRUM</t>
        </is>
      </c>
      <c r="D62" s="31" t="inlineStr">
        <is>
          <t>Spectrum Electrical Industries Ltd</t>
        </is>
      </c>
      <c r="E62" s="31" t="inlineStr">
        <is>
          <t>industrials</t>
        </is>
      </c>
      <c r="F62" s="31" t="inlineStr">
        <is>
          <t>electric equipment</t>
        </is>
      </c>
      <c r="G62" s="31" t="inlineStr">
        <is>
          <t>smallcap</t>
        </is>
      </c>
      <c r="H62" s="32" t="n">
        <v>3834.18</v>
      </c>
      <c r="I62" s="32" t="n">
        <v>2363</v>
      </c>
      <c r="J62" s="32" t="n">
        <v>-3.16</v>
      </c>
      <c r="K62" s="32" t="n">
        <v>35861</v>
      </c>
      <c r="L62" s="31" t="n">
        <v>94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76.15000000000001</v>
      </c>
      <c r="P62" s="32" t="n">
        <v>47.82</v>
      </c>
      <c r="Q62" s="32" t="n">
        <v>1666.88</v>
      </c>
      <c r="R62" s="31" t="inlineStr">
        <is>
          <t>Near 52W High Breakout</t>
        </is>
      </c>
      <c r="S62" s="31" t="inlineStr">
        <is>
          <t>Nifty 50</t>
        </is>
      </c>
      <c r="T62" s="32" t="n">
        <v>-0.74</v>
      </c>
      <c r="U62" s="32" t="n">
        <v>47.59</v>
      </c>
      <c r="V62" s="32" t="n">
        <v>48.69</v>
      </c>
      <c r="W62" s="32" t="n">
        <v>33.05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IF(B63=0,"",RANK(B63,$B$2:$B$284,0))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WOCKPHARMA</t>
        </is>
      </c>
      <c r="D63" s="31" t="inlineStr">
        <is>
          <t>Wockhardt Limited</t>
        </is>
      </c>
      <c r="E63" s="31" t="inlineStr">
        <is>
          <t>healthcare</t>
        </is>
      </c>
      <c r="F63" s="31" t="inlineStr">
        <is>
          <t>pharmaceuticals - indian - bulk drugs &amp; formln</t>
        </is>
      </c>
      <c r="G63" s="31" t="inlineStr">
        <is>
          <t>largecap</t>
        </is>
      </c>
      <c r="H63" s="32" t="n">
        <v>30938.51</v>
      </c>
      <c r="I63" s="32" t="n">
        <v>1959.7</v>
      </c>
      <c r="J63" s="32" t="n">
        <v>2.93</v>
      </c>
      <c r="K63" s="32" t="n">
        <v>650722</v>
      </c>
      <c r="L63" s="31" t="n">
        <v>62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63.95</v>
      </c>
      <c r="P63" s="32" t="n">
        <v>49.45</v>
      </c>
      <c r="Q63" s="32" t="n">
        <v>1527.09</v>
      </c>
      <c r="R63" s="31" t="inlineStr">
        <is>
          <t>Near 52W High Breakout</t>
        </is>
      </c>
      <c r="S63" s="31" t="inlineStr">
        <is>
          <t>Nifty Pharma</t>
        </is>
      </c>
      <c r="T63" s="32" t="n">
        <v>20.55</v>
      </c>
      <c r="U63" s="32" t="n">
        <v>21.54</v>
      </c>
      <c r="V63" s="32" t="n">
        <v>0.82</v>
      </c>
      <c r="W63" s="32" t="n">
        <v>13.81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IF(B64=0,"",RANK(B64,$B$2:$B$284,0))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PICCADIL</t>
        </is>
      </c>
      <c r="D64" s="31" t="inlineStr">
        <is>
          <t>Piccadily Agro Industries Ltd</t>
        </is>
      </c>
      <c r="E64" s="31" t="inlineStr">
        <is>
          <t>fmcg</t>
        </is>
      </c>
      <c r="F64" s="31" t="inlineStr">
        <is>
          <t>breweries &amp; distilleries</t>
        </is>
      </c>
      <c r="G64" s="31" t="inlineStr">
        <is>
          <t>midcap</t>
        </is>
      </c>
      <c r="H64" s="32" t="n">
        <v>7091.77</v>
      </c>
      <c r="I64" s="32" t="n">
        <v>735</v>
      </c>
      <c r="J64" s="32" t="n">
        <v>2.16</v>
      </c>
      <c r="K64" s="32" t="n">
        <v>128630</v>
      </c>
      <c r="L64" s="31" t="n">
        <v>39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69.72</v>
      </c>
      <c r="P64" s="32" t="n">
        <v>43.15</v>
      </c>
      <c r="Q64" s="32" t="n">
        <v>576.2</v>
      </c>
      <c r="R64" s="31" t="inlineStr">
        <is>
          <t>Near 52W High Breakout</t>
        </is>
      </c>
      <c r="S64" s="31" t="inlineStr">
        <is>
          <t>Nifty FMCG</t>
        </is>
      </c>
      <c r="T64" s="32" t="n">
        <v>-10</v>
      </c>
      <c r="U64" s="32" t="n">
        <v>20.7</v>
      </c>
      <c r="V64" s="32" t="n">
        <v>34.11</v>
      </c>
      <c r="W64" s="32" t="n">
        <v>7.57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B2C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Less than 12%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IF(B65=0,"",RANK(B65,$B$2:$B$284,0))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SUNPHARMA</t>
        </is>
      </c>
      <c r="D65" s="31" t="inlineStr">
        <is>
          <t>Sun Pharmaceuticals Industries Limited</t>
        </is>
      </c>
      <c r="E65" s="31" t="inlineStr">
        <is>
          <t>healthcare</t>
        </is>
      </c>
      <c r="F65" s="31" t="inlineStr">
        <is>
          <t>pharmaceuticals - indian - bulk drugs &amp; formln</t>
        </is>
      </c>
      <c r="G65" s="31" t="inlineStr">
        <is>
          <t>largecap</t>
        </is>
      </c>
      <c r="H65" s="32" t="n">
        <v>480130.92</v>
      </c>
      <c r="I65" s="32" t="n">
        <v>1990.5</v>
      </c>
      <c r="J65" s="32" t="n">
        <v>-0.53</v>
      </c>
      <c r="K65" s="32" t="n">
        <v>4954534</v>
      </c>
      <c r="L65" s="31" t="n">
        <v>32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68.95</v>
      </c>
      <c r="P65" s="32" t="n">
        <v>22.84</v>
      </c>
      <c r="Q65" s="32" t="n">
        <v>1761.49</v>
      </c>
      <c r="R65" s="31" t="inlineStr">
        <is>
          <t>Volume Spike &amp; Near 52W High Breakout</t>
        </is>
      </c>
      <c r="S65" s="31" t="inlineStr">
        <is>
          <t>Nifty Pharma</t>
        </is>
      </c>
      <c r="T65" s="32" t="n">
        <v>20.55</v>
      </c>
      <c r="U65" s="32" t="n">
        <v>23.25</v>
      </c>
      <c r="V65" s="32" t="n">
        <v>2.24</v>
      </c>
      <c r="W65" s="32" t="n">
        <v>6.55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Between 1.5 to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IF(B66=0,"",RANK(B66,$B$2:$B$284,0))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VADILALIND</t>
        </is>
      </c>
      <c r="D66" s="31" t="inlineStr">
        <is>
          <t>Vadilal Industries Limited</t>
        </is>
      </c>
      <c r="E66" s="31" t="inlineStr">
        <is>
          <t>fmcg</t>
        </is>
      </c>
      <c r="F66" s="31" t="inlineStr">
        <is>
          <t>food - processing - indian</t>
        </is>
      </c>
      <c r="G66" s="31" t="inlineStr">
        <is>
          <t>midcap</t>
        </is>
      </c>
      <c r="H66" s="32" t="n">
        <v>5220.88</v>
      </c>
      <c r="I66" s="32" t="n">
        <v>7220</v>
      </c>
      <c r="J66" s="32" t="n">
        <v>-0.6</v>
      </c>
      <c r="K66" s="32" t="n">
        <v>15159</v>
      </c>
      <c r="L66" s="31" t="n">
        <v>81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76.67</v>
      </c>
      <c r="P66" s="32" t="n">
        <v>33.18</v>
      </c>
      <c r="Q66" s="32" t="n">
        <v>5790.38</v>
      </c>
      <c r="R66" s="31" t="inlineStr">
        <is>
          <t>Near 52W High Breakout</t>
        </is>
      </c>
      <c r="S66" s="31" t="inlineStr">
        <is>
          <t>Nifty FMCG</t>
        </is>
      </c>
      <c r="T66" s="32" t="n">
        <v>-10</v>
      </c>
      <c r="U66" s="32" t="n">
        <v>31.88</v>
      </c>
      <c r="V66" s="32" t="n">
        <v>46.54</v>
      </c>
      <c r="W66" s="32" t="n">
        <v>21.76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B2C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IF(B67=0,"",RANK(B67,$B$2:$B$284,0))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NGLFINE</t>
        </is>
      </c>
      <c r="D67" s="31" t="inlineStr">
        <is>
          <t>NGL Fine Chem Ltd</t>
        </is>
      </c>
      <c r="E67" s="31" t="inlineStr">
        <is>
          <t>healthcare</t>
        </is>
      </c>
      <c r="F67" s="31" t="inlineStr">
        <is>
          <t>pharmaceuticals - indian - bulk drugs</t>
        </is>
      </c>
      <c r="G67" s="31" t="inlineStr">
        <is>
          <t>smallcap</t>
        </is>
      </c>
      <c r="H67" s="32" t="n">
        <v>2026.39</v>
      </c>
      <c r="I67" s="32" t="n">
        <v>3250</v>
      </c>
      <c r="J67" s="32" t="n">
        <v>-0.91</v>
      </c>
      <c r="K67" s="32" t="n">
        <v>2442</v>
      </c>
      <c r="L67" s="31" t="n">
        <v>92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77.44</v>
      </c>
      <c r="P67" s="32" t="n">
        <v>67.7</v>
      </c>
      <c r="Q67" s="32" t="n">
        <v>2298.03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20.55</v>
      </c>
      <c r="U67" s="32" t="n">
        <v>148.67</v>
      </c>
      <c r="V67" s="32" t="n">
        <v>106.28</v>
      </c>
      <c r="W67" s="32" t="n">
        <v>30.45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IF(B68=0,"",RANK(B68,$B$2:$B$284,0))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TECHM</t>
        </is>
      </c>
      <c r="D68" s="31" t="inlineStr">
        <is>
          <t>Tech Mahindra Limited</t>
        </is>
      </c>
      <c r="E68" s="31" t="inlineStr">
        <is>
          <t>i.t</t>
        </is>
      </c>
      <c r="F68" s="31" t="inlineStr">
        <is>
          <t>computers - software - large</t>
        </is>
      </c>
      <c r="G68" s="31" t="inlineStr">
        <is>
          <t>largecap</t>
        </is>
      </c>
      <c r="H68" s="32" t="n">
        <v>163571.67</v>
      </c>
      <c r="I68" s="32" t="n">
        <v>1651.3</v>
      </c>
      <c r="J68" s="32" t="n">
        <v>-1.06</v>
      </c>
      <c r="K68" s="32" t="n">
        <v>3355677</v>
      </c>
      <c r="L68" s="31" t="n">
        <v>37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65.02</v>
      </c>
      <c r="P68" s="32" t="n">
        <v>13.17</v>
      </c>
      <c r="Q68" s="32" t="n">
        <v>1347.61</v>
      </c>
      <c r="R68" s="31" t="inlineStr">
        <is>
          <t>Near 52W High Breakout</t>
        </is>
      </c>
      <c r="S68" s="31" t="inlineStr">
        <is>
          <t>Nifty IT</t>
        </is>
      </c>
      <c r="T68" s="32" t="n">
        <v>-11.37</v>
      </c>
      <c r="U68" s="32" t="n">
        <v>18.98</v>
      </c>
      <c r="V68" s="32" t="n">
        <v>34.25</v>
      </c>
      <c r="W68" s="32" t="n">
        <v>7.27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IF(B69=0,"",RANK(B69,$B$2:$B$284,0))</f>
        <v/>
      </c>
      <c r="B69" s="32">
        <f>SUM(N69,Y69,AA69,AC69,AE69,AG69,AI69,AK69,AM69,AO69,AQ69,AS69,AU69,AW69,AY69,BA69,BC69,BE69,BG69,BI69,BK69,BM69,BO69,BQ69,BS69,BU69,BW69,BY69,CA69,CC69,CE69)</f>
        <v/>
      </c>
      <c r="C69" s="33" t="inlineStr">
        <is>
          <t>HESTERBIO</t>
        </is>
      </c>
      <c r="D69" s="33" t="inlineStr">
        <is>
          <t>Hester Biosciences Limited</t>
        </is>
      </c>
      <c r="E69" s="31" t="inlineStr">
        <is>
          <t>healthcare</t>
        </is>
      </c>
      <c r="F69" s="31" t="inlineStr">
        <is>
          <t>pharmaceuticals - indian - formulations</t>
        </is>
      </c>
      <c r="G69" s="31" t="inlineStr">
        <is>
          <t>smallcap</t>
        </is>
      </c>
      <c r="H69" s="32" t="n">
        <v>2108.17</v>
      </c>
      <c r="I69" s="32" t="n">
        <v>2452</v>
      </c>
      <c r="J69" s="32" t="n">
        <v>-1.06</v>
      </c>
      <c r="K69" s="32" t="n">
        <v>13701</v>
      </c>
      <c r="L69" s="31" t="n">
        <v>69</v>
      </c>
      <c r="M69" s="31" t="inlineStr">
        <is>
          <t>Underperforming</t>
        </is>
      </c>
      <c r="N69" s="32">
        <f>IF(M69="Underperforming",-5,IF(L69&gt;=95,15,IF(L69&gt;=90,10,IF(L69&gt;=80,5,0))))</f>
        <v/>
      </c>
      <c r="O69" s="32" t="n">
        <v>73.62</v>
      </c>
      <c r="P69" s="32" t="n">
        <v>52.74</v>
      </c>
      <c r="Q69" s="32" t="n">
        <v>1852.68</v>
      </c>
      <c r="R69" s="31" t="inlineStr">
        <is>
          <t>Volume Spike &amp; Near 52W High Breakout</t>
        </is>
      </c>
      <c r="S69" s="31" t="inlineStr">
        <is>
          <t>Nifty Pharma</t>
        </is>
      </c>
      <c r="T69" s="32" t="n">
        <v>20.55</v>
      </c>
      <c r="U69" s="32" t="n">
        <v>13.82</v>
      </c>
      <c r="V69" s="32" t="n">
        <v>-5.58</v>
      </c>
      <c r="W69" s="32" t="n">
        <v>16.05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IF(B70=0,"",RANK(B70,$B$2:$B$284,0))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MARICO</t>
        </is>
      </c>
      <c r="D70" s="31" t="inlineStr">
        <is>
          <t>Marico Limited</t>
        </is>
      </c>
      <c r="E70" s="31" t="inlineStr">
        <is>
          <t>fmcg</t>
        </is>
      </c>
      <c r="F70" s="31" t="inlineStr">
        <is>
          <t>solvent extraction</t>
        </is>
      </c>
      <c r="G70" s="31" t="inlineStr">
        <is>
          <t>largecap</t>
        </is>
      </c>
      <c r="H70" s="32" t="n">
        <v>114952.64</v>
      </c>
      <c r="I70" s="32" t="n">
        <v>870.65</v>
      </c>
      <c r="J70" s="32" t="n">
        <v>-1.66</v>
      </c>
      <c r="K70" s="32" t="n">
        <v>2540399</v>
      </c>
      <c r="L70" s="31" t="n">
        <v>37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70.58</v>
      </c>
      <c r="P70" s="32" t="n">
        <v>30.4</v>
      </c>
      <c r="Q70" s="32" t="n">
        <v>773.05</v>
      </c>
      <c r="R70" s="31" t="inlineStr">
        <is>
          <t>Near 52W High Breakout</t>
        </is>
      </c>
      <c r="S70" s="31" t="inlineStr">
        <is>
          <t>Nifty FMCG</t>
        </is>
      </c>
      <c r="T70" s="32" t="n">
        <v>-10</v>
      </c>
      <c r="U70" s="32" t="n">
        <v>27.29</v>
      </c>
      <c r="V70" s="32" t="n">
        <v>41.44</v>
      </c>
      <c r="W70" s="32" t="n">
        <v>7.35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B2C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Between 12 to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IF(B71=0,"",RANK(B71,$B$2:$B$284,0))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KABRAEXTRU</t>
        </is>
      </c>
      <c r="D71" s="31" t="inlineStr">
        <is>
          <t>Kabra Extrusion Technik Limited</t>
        </is>
      </c>
      <c r="E71" s="31" t="inlineStr">
        <is>
          <t>industrials</t>
        </is>
      </c>
      <c r="F71" s="31" t="inlineStr">
        <is>
          <t>engineering</t>
        </is>
      </c>
      <c r="G71" s="31" t="inlineStr">
        <is>
          <t>smallcap</t>
        </is>
      </c>
      <c r="H71" s="32" t="n">
        <v>1277.21</v>
      </c>
      <c r="I71" s="32" t="n">
        <v>394.95</v>
      </c>
      <c r="J71" s="32" t="n">
        <v>8.15</v>
      </c>
      <c r="K71" s="32" t="n">
        <v>370351</v>
      </c>
      <c r="L71" s="31" t="n">
        <v>83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79.09999999999999</v>
      </c>
      <c r="P71" s="32" t="n">
        <v>24.58</v>
      </c>
      <c r="Q71" s="32" t="n">
        <v>297.6</v>
      </c>
      <c r="R71" s="31" t="inlineStr">
        <is>
          <t>Volume Spike &amp; Near 52W High Breakout</t>
        </is>
      </c>
      <c r="S71" s="31" t="inlineStr">
        <is>
          <t>Nifty Infra</t>
        </is>
      </c>
      <c r="T71" s="32" t="n">
        <v>3.78</v>
      </c>
      <c r="U71" s="32" t="n">
        <v>35.82</v>
      </c>
      <c r="V71" s="32" t="n">
        <v>30.87</v>
      </c>
      <c r="W71" s="32" t="n">
        <v>22.55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IF(B72=0,"",RANK(B72,$B$2:$B$284,0))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NETWEB</t>
        </is>
      </c>
      <c r="D72" s="31" t="inlineStr">
        <is>
          <t>Netweb Technologies India Ltd</t>
        </is>
      </c>
      <c r="E72" s="31" t="inlineStr">
        <is>
          <t>i.t</t>
        </is>
      </c>
      <c r="F72" s="31" t="inlineStr">
        <is>
          <t>computers - hardware</t>
        </is>
      </c>
      <c r="G72" s="31" t="inlineStr">
        <is>
          <t>largecap</t>
        </is>
      </c>
      <c r="H72" s="32" t="n">
        <v>23887.76</v>
      </c>
      <c r="I72" s="32" t="n">
        <v>4524</v>
      </c>
      <c r="J72" s="32" t="n">
        <v>7.84</v>
      </c>
      <c r="K72" s="32" t="n">
        <v>4511310</v>
      </c>
      <c r="L72" s="31" t="n">
        <v>83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58.14</v>
      </c>
      <c r="P72" s="32" t="n">
        <v>42.31</v>
      </c>
      <c r="Q72" s="32" t="n">
        <v>3720.17</v>
      </c>
      <c r="R72" s="31" t="inlineStr">
        <is>
          <t>Earnings / Momentum Support</t>
        </is>
      </c>
      <c r="S72" s="31" t="inlineStr">
        <is>
          <t>Nifty IT</t>
        </is>
      </c>
      <c r="T72" s="32" t="n">
        <v>-11.37</v>
      </c>
      <c r="U72" s="32" t="n">
        <v>112.13</v>
      </c>
      <c r="V72" s="32" t="n">
        <v>139.36</v>
      </c>
      <c r="W72" s="32" t="n">
        <v>23.35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IF(B73=0,"",RANK(B73,$B$2:$B$284,0))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IRISDOREME</t>
        </is>
      </c>
      <c r="D73" s="31" t="inlineStr">
        <is>
          <t>Iris Clothings Ltd</t>
        </is>
      </c>
      <c r="E73" s="31" t="inlineStr">
        <is>
          <t>consumer discretionary</t>
        </is>
      </c>
      <c r="F73" s="31" t="inlineStr">
        <is>
          <t>textiles - products</t>
        </is>
      </c>
      <c r="G73" s="31" t="inlineStr">
        <is>
          <t>smallcap</t>
        </is>
      </c>
      <c r="H73" s="32" t="n">
        <v>944.62</v>
      </c>
      <c r="I73" s="32" t="n">
        <v>52.96</v>
      </c>
      <c r="J73" s="32" t="n">
        <v>6.71</v>
      </c>
      <c r="K73" s="32" t="n">
        <v>2631584</v>
      </c>
      <c r="L73" s="31" t="n">
        <v>81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81.06</v>
      </c>
      <c r="P73" s="32" t="n">
        <v>32.08</v>
      </c>
      <c r="Q73" s="32" t="n">
        <v>39.87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-0.74</v>
      </c>
      <c r="U73" s="32" t="n">
        <v>68.93000000000001</v>
      </c>
      <c r="V73" s="32" t="n">
        <v>70.19</v>
      </c>
      <c r="W73" s="32" t="n">
        <v>21.64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IF(B74=0,"",RANK(B74,$B$2:$B$284,0))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VISAKAIND</t>
        </is>
      </c>
      <c r="D74" s="31" t="inlineStr">
        <is>
          <t>Visaka Industries Limited</t>
        </is>
      </c>
      <c r="E74" s="31" t="inlineStr">
        <is>
          <t>building materials</t>
        </is>
      </c>
      <c r="F74" s="31" t="inlineStr">
        <is>
          <t>cement products</t>
        </is>
      </c>
      <c r="G74" s="31" t="inlineStr">
        <is>
          <t>smallcap</t>
        </is>
      </c>
      <c r="H74" s="32" t="n">
        <v>705.15</v>
      </c>
      <c r="I74" s="32" t="n">
        <v>85.34</v>
      </c>
      <c r="J74" s="32" t="n">
        <v>4.57</v>
      </c>
      <c r="K74" s="32" t="n">
        <v>471812</v>
      </c>
      <c r="L74" s="31" t="n">
        <v>45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70.23999999999999</v>
      </c>
      <c r="P74" s="32" t="n">
        <v>32.71</v>
      </c>
      <c r="Q74" s="32" t="n">
        <v>67.01000000000001</v>
      </c>
      <c r="R74" s="31" t="inlineStr">
        <is>
          <t>Volume Spike &amp; Near 52W High Breakout</t>
        </is>
      </c>
      <c r="S74" s="31" t="inlineStr">
        <is>
          <t>Nifty Infra</t>
        </is>
      </c>
      <c r="T74" s="32" t="n">
        <v>3.78</v>
      </c>
      <c r="U74" s="32" t="n">
        <v>4.32</v>
      </c>
      <c r="V74" s="32" t="n">
        <v>0.52</v>
      </c>
      <c r="W74" s="32" t="n">
        <v>9.300000000000001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IF(B75=0,"",RANK(B75,$B$2:$B$284,0))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GABRIEL</t>
        </is>
      </c>
      <c r="D75" s="31" t="inlineStr">
        <is>
          <t>Gabriel India Limited</t>
        </is>
      </c>
      <c r="E75" s="31" t="inlineStr">
        <is>
          <t>auto</t>
        </is>
      </c>
      <c r="F75" s="31" t="inlineStr">
        <is>
          <t>auto ancillaries</t>
        </is>
      </c>
      <c r="G75" s="31" t="inlineStr">
        <is>
          <t>largecap</t>
        </is>
      </c>
      <c r="H75" s="32" t="n">
        <v>24670.42</v>
      </c>
      <c r="I75" s="32" t="n">
        <v>1441.8</v>
      </c>
      <c r="J75" s="32" t="n">
        <v>3.58</v>
      </c>
      <c r="K75" s="32" t="n">
        <v>286955</v>
      </c>
      <c r="L75" s="31" t="n">
        <v>79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72.81</v>
      </c>
      <c r="P75" s="32" t="n">
        <v>30.82</v>
      </c>
      <c r="Q75" s="32" t="n">
        <v>1132.76</v>
      </c>
      <c r="R75" s="31" t="inlineStr">
        <is>
          <t>Near 52W High Breakout</t>
        </is>
      </c>
      <c r="S75" s="31" t="inlineStr">
        <is>
          <t>Nifty Auto</t>
        </is>
      </c>
      <c r="T75" s="32" t="n">
        <v>20.87</v>
      </c>
      <c r="U75" s="32" t="n">
        <v>45.84</v>
      </c>
      <c r="V75" s="32" t="n">
        <v>20.66</v>
      </c>
      <c r="W75" s="32" t="n">
        <v>20.45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IF(B76=0,"",RANK(B76,$B$2:$B$284,0))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SANSERA</t>
        </is>
      </c>
      <c r="D76" s="31" t="inlineStr">
        <is>
          <t>Sansera Engineering Ltd</t>
        </is>
      </c>
      <c r="E76" s="31" t="inlineStr">
        <is>
          <t>auto</t>
        </is>
      </c>
      <c r="F76" s="31" t="inlineStr">
        <is>
          <t>auto ancillaries</t>
        </is>
      </c>
      <c r="G76" s="31" t="inlineStr">
        <is>
          <t>largecap</t>
        </is>
      </c>
      <c r="H76" s="32" t="n">
        <v>20188.8</v>
      </c>
      <c r="I76" s="32" t="n">
        <v>3346.9</v>
      </c>
      <c r="J76" s="32" t="n">
        <v>3.45</v>
      </c>
      <c r="K76" s="32" t="n">
        <v>209640</v>
      </c>
      <c r="L76" s="31" t="n">
        <v>89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76.05</v>
      </c>
      <c r="P76" s="32" t="n">
        <v>52.34</v>
      </c>
      <c r="Q76" s="32" t="n">
        <v>2658.86</v>
      </c>
      <c r="R76" s="31" t="inlineStr">
        <is>
          <t>Near 52W High Breakout</t>
        </is>
      </c>
      <c r="S76" s="31" t="inlineStr">
        <is>
          <t>Nifty Auto</t>
        </is>
      </c>
      <c r="T76" s="32" t="n">
        <v>20.87</v>
      </c>
      <c r="U76" s="32" t="n">
        <v>147.35</v>
      </c>
      <c r="V76" s="32" t="n">
        <v>104.64</v>
      </c>
      <c r="W76" s="32" t="n">
        <v>27.71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Above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IF(B77=0,"",RANK(B77,$B$2:$B$284,0))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NILKAMAL</t>
        </is>
      </c>
      <c r="D77" s="31" t="inlineStr">
        <is>
          <t>Nilkamal Limited</t>
        </is>
      </c>
      <c r="E77" s="31" t="inlineStr">
        <is>
          <t>plastic products</t>
        </is>
      </c>
      <c r="F77" s="31" t="inlineStr">
        <is>
          <t>plastics products</t>
        </is>
      </c>
      <c r="G77" s="31" t="inlineStr">
        <is>
          <t>smallcap</t>
        </is>
      </c>
      <c r="H77" s="32" t="n">
        <v>2616.52</v>
      </c>
      <c r="I77" s="32" t="n">
        <v>1797.8</v>
      </c>
      <c r="J77" s="32" t="n">
        <v>2.53</v>
      </c>
      <c r="K77" s="32" t="n">
        <v>106837</v>
      </c>
      <c r="L77" s="31" t="n">
        <v>56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78.73999999999999</v>
      </c>
      <c r="P77" s="32" t="n">
        <v>21.34</v>
      </c>
      <c r="Q77" s="32" t="n">
        <v>1449.68</v>
      </c>
      <c r="R77" s="31" t="inlineStr">
        <is>
          <t>Volume Spike &amp; Near 52W High Breakout</t>
        </is>
      </c>
      <c r="S77" s="31" t="inlineStr">
        <is>
          <t>Nifty 50</t>
        </is>
      </c>
      <c r="T77" s="32" t="n">
        <v>-0.74</v>
      </c>
      <c r="U77" s="32" t="n">
        <v>12.47</v>
      </c>
      <c r="V77" s="32" t="n">
        <v>13.3</v>
      </c>
      <c r="W77" s="32" t="n">
        <v>11.94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IF(B78=0,"",RANK(B78,$B$2:$B$284,0))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JGCHEM</t>
        </is>
      </c>
      <c r="D78" s="31" t="inlineStr">
        <is>
          <t>J.G.Chemicals Ltd</t>
        </is>
      </c>
      <c r="E78" s="31" t="inlineStr">
        <is>
          <t>chemicals</t>
        </is>
      </c>
      <c r="F78" s="31" t="inlineStr">
        <is>
          <t>chemicals</t>
        </is>
      </c>
      <c r="G78" s="31" t="inlineStr">
        <is>
          <t>smallcap</t>
        </is>
      </c>
      <c r="H78" s="32" t="n">
        <v>1926.58</v>
      </c>
      <c r="I78" s="32" t="n">
        <v>503.8</v>
      </c>
      <c r="J78" s="32" t="n">
        <v>2.47</v>
      </c>
      <c r="K78" s="32" t="n">
        <v>86050</v>
      </c>
      <c r="L78" s="31" t="n">
        <v>41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67.91</v>
      </c>
      <c r="P78" s="32" t="n">
        <v>25.95</v>
      </c>
      <c r="Q78" s="32" t="n">
        <v>388.49</v>
      </c>
      <c r="R78" s="31" t="inlineStr">
        <is>
          <t>Near 52W High Breakout</t>
        </is>
      </c>
      <c r="S78" s="31" t="inlineStr">
        <is>
          <t>Nifty 50</t>
        </is>
      </c>
      <c r="T78" s="32" t="n">
        <v>-0.74</v>
      </c>
      <c r="U78" s="32" t="n">
        <v>4.97</v>
      </c>
      <c r="V78" s="32" t="n">
        <v>5.75</v>
      </c>
      <c r="W78" s="32" t="n">
        <v>7.95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Between 12 to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IF(B79=0,"",RANK(B79,$B$2:$B$284,0))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UNIVCABLES</t>
        </is>
      </c>
      <c r="D79" s="31" t="inlineStr">
        <is>
          <t>Universal Cables Limited</t>
        </is>
      </c>
      <c r="E79" s="31" t="inlineStr">
        <is>
          <t>industrials</t>
        </is>
      </c>
      <c r="F79" s="31" t="inlineStr">
        <is>
          <t>cables - power</t>
        </is>
      </c>
      <c r="G79" s="31" t="inlineStr">
        <is>
          <t>smallcap</t>
        </is>
      </c>
      <c r="H79" s="32" t="n">
        <v>4619</v>
      </c>
      <c r="I79" s="32" t="n">
        <v>1358.4</v>
      </c>
      <c r="J79" s="32" t="n">
        <v>2.04</v>
      </c>
      <c r="K79" s="32" t="n">
        <v>139945</v>
      </c>
      <c r="L79" s="31" t="n">
        <v>90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68.90000000000001</v>
      </c>
      <c r="P79" s="32" t="n">
        <v>55.66</v>
      </c>
      <c r="Q79" s="32" t="n">
        <v>950.51</v>
      </c>
      <c r="R79" s="31" t="inlineStr">
        <is>
          <t>Near 52W High Breakout</t>
        </is>
      </c>
      <c r="S79" s="31" t="inlineStr">
        <is>
          <t>Nifty Energy</t>
        </is>
      </c>
      <c r="T79" s="32" t="n">
        <v>9.869999999999999</v>
      </c>
      <c r="U79" s="32" t="n">
        <v>83.84999999999999</v>
      </c>
      <c r="V79" s="32" t="n">
        <v>67.33</v>
      </c>
      <c r="W79" s="32" t="n">
        <v>29.06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Less than 12%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IF(B80=0,"",RANK(B80,$B$2:$B$284,0))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BELRISE</t>
        </is>
      </c>
      <c r="D80" s="31" t="inlineStr">
        <is>
          <t>Belrise Industries Ltd</t>
        </is>
      </c>
      <c r="E80" s="31" t="inlineStr">
        <is>
          <t>auto</t>
        </is>
      </c>
      <c r="F80" s="31" t="inlineStr">
        <is>
          <t>auto ancillaries</t>
        </is>
      </c>
      <c r="G80" s="31" t="inlineStr">
        <is>
          <t>largecap</t>
        </is>
      </c>
      <c r="H80" s="32" t="n">
        <v>22514.33</v>
      </c>
      <c r="I80" s="32" t="n">
        <v>236.73</v>
      </c>
      <c r="J80" s="32" t="n">
        <v>1.69</v>
      </c>
      <c r="K80" s="32" t="n">
        <v>9508653</v>
      </c>
      <c r="L80" s="31" t="n">
        <v>68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65.56999999999999</v>
      </c>
      <c r="P80" s="32" t="n">
        <v>47.96</v>
      </c>
      <c r="Q80" s="32" t="n">
        <v>197.69</v>
      </c>
      <c r="R80" s="31" t="inlineStr">
        <is>
          <t>Near 52W High Breakout</t>
        </is>
      </c>
      <c r="S80" s="31" t="inlineStr">
        <is>
          <t>Nifty Auto</t>
        </is>
      </c>
      <c r="T80" s="32" t="n">
        <v>20.87</v>
      </c>
      <c r="U80" s="32" t="n">
        <v>81.58</v>
      </c>
      <c r="V80" s="32" t="n">
        <v>50.23</v>
      </c>
      <c r="W80" s="32" t="n">
        <v>15.49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IF(B81=0,"",RANK(B81,$B$2:$B$284,0))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KRISHANA</t>
        </is>
      </c>
      <c r="D81" s="31" t="inlineStr">
        <is>
          <t>Krishana Phoschem Ltd</t>
        </is>
      </c>
      <c r="E81" s="31" t="inlineStr">
        <is>
          <t>chemicals</t>
        </is>
      </c>
      <c r="F81" s="31" t="inlineStr">
        <is>
          <t>fertilizers</t>
        </is>
      </c>
      <c r="G81" s="31" t="inlineStr">
        <is>
          <t>smallcap</t>
        </is>
      </c>
      <c r="H81" s="32" t="n">
        <v>1113.21</v>
      </c>
      <c r="I81" s="32" t="n">
        <v>182.95</v>
      </c>
      <c r="J81" s="32" t="n">
        <v>1.61</v>
      </c>
      <c r="K81" s="32" t="n">
        <v>6122349</v>
      </c>
      <c r="L81" s="31" t="n">
        <v>85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78.33</v>
      </c>
      <c r="P81" s="32" t="n">
        <v>45.29</v>
      </c>
      <c r="Q81" s="32" t="n">
        <v>138.72</v>
      </c>
      <c r="R81" s="31" t="inlineStr">
        <is>
          <t>Volume Spike &amp; Near 52W High Breakout</t>
        </is>
      </c>
      <c r="S81" s="31" t="inlineStr">
        <is>
          <t>Nifty 50</t>
        </is>
      </c>
      <c r="T81" s="32" t="n">
        <v>-0.74</v>
      </c>
      <c r="U81" s="32" t="n">
        <v>70.5</v>
      </c>
      <c r="V81" s="32" t="n">
        <v>71.77</v>
      </c>
      <c r="W81" s="32" t="n">
        <v>24.01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IF(B82=0,"",RANK(B82,$B$2:$B$284,0))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SHAILY</t>
        </is>
      </c>
      <c r="D82" s="31" t="inlineStr">
        <is>
          <t>Shaily Engineering Plastics Ltd</t>
        </is>
      </c>
      <c r="E82" s="31" t="inlineStr">
        <is>
          <t>plastic products</t>
        </is>
      </c>
      <c r="F82" s="31" t="inlineStr">
        <is>
          <t>plastics products</t>
        </is>
      </c>
      <c r="G82" s="31" t="inlineStr">
        <is>
          <t>midcap</t>
        </is>
      </c>
      <c r="H82" s="32" t="n">
        <v>13932.42</v>
      </c>
      <c r="I82" s="32" t="n">
        <v>3061.4</v>
      </c>
      <c r="J82" s="32" t="n">
        <v>1.07</v>
      </c>
      <c r="K82" s="32" t="n">
        <v>140795</v>
      </c>
      <c r="L82" s="31" t="n">
        <v>79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64.56999999999999</v>
      </c>
      <c r="P82" s="32" t="n">
        <v>27.83</v>
      </c>
      <c r="Q82" s="32" t="n">
        <v>2257.09</v>
      </c>
      <c r="R82" s="31" t="inlineStr">
        <is>
          <t>Near 52W High Breakout</t>
        </is>
      </c>
      <c r="S82" s="31" t="inlineStr">
        <is>
          <t>Nifty 50</t>
        </is>
      </c>
      <c r="T82" s="32" t="n">
        <v>-0.74</v>
      </c>
      <c r="U82" s="32" t="n">
        <v>91.31999999999999</v>
      </c>
      <c r="V82" s="32" t="n">
        <v>92.73999999999999</v>
      </c>
      <c r="W82" s="32" t="n">
        <v>19.95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IF(B83=0,"",RANK(B83,$B$2:$B$284,0))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VAIBHAVGBL</t>
        </is>
      </c>
      <c r="D83" s="31" t="inlineStr">
        <is>
          <t>Vaibhav Global Limited</t>
        </is>
      </c>
      <c r="E83" s="31" t="inlineStr">
        <is>
          <t>consumer discretionary</t>
        </is>
      </c>
      <c r="F83" s="31" t="inlineStr">
        <is>
          <t>diamond cutting / jewellery</t>
        </is>
      </c>
      <c r="G83" s="31" t="inlineStr">
        <is>
          <t>smallcap</t>
        </is>
      </c>
      <c r="H83" s="32" t="n">
        <v>4411.4</v>
      </c>
      <c r="I83" s="32" t="n">
        <v>266.36</v>
      </c>
      <c r="J83" s="32" t="n">
        <v>1.05</v>
      </c>
      <c r="K83" s="32" t="n">
        <v>309753</v>
      </c>
      <c r="L83" s="31" t="n">
        <v>46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62.57</v>
      </c>
      <c r="P83" s="32" t="n">
        <v>23.66</v>
      </c>
      <c r="Q83" s="32" t="n">
        <v>198.57</v>
      </c>
      <c r="R83" s="31" t="inlineStr">
        <is>
          <t>Near 52W High Breakout</t>
        </is>
      </c>
      <c r="S83" s="31" t="inlineStr">
        <is>
          <t>Nifty 50</t>
        </is>
      </c>
      <c r="T83" s="32" t="n">
        <v>-0.74</v>
      </c>
      <c r="U83" s="32" t="n">
        <v>21.79</v>
      </c>
      <c r="V83" s="32" t="n">
        <v>22.7</v>
      </c>
      <c r="W83" s="32" t="n">
        <v>9.84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IF(B84=0,"",RANK(B84,$B$2:$B$284,0))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SWANDEF</t>
        </is>
      </c>
      <c r="D84" s="31" t="inlineStr">
        <is>
          <t>Swan Defence and Heavy Industries Ltd</t>
        </is>
      </c>
      <c r="E84" s="31" t="inlineStr">
        <is>
          <t>transportation</t>
        </is>
      </c>
      <c r="F84" s="31" t="inlineStr">
        <is>
          <t>miscellaneous</t>
        </is>
      </c>
      <c r="G84" s="31" t="inlineStr">
        <is>
          <t>midcap</t>
        </is>
      </c>
      <c r="H84" s="32" t="n">
        <v>12828.1</v>
      </c>
      <c r="I84" s="32" t="n">
        <v>2460.3</v>
      </c>
      <c r="J84" s="32" t="n">
        <v>1.04</v>
      </c>
      <c r="K84" s="32" t="n">
        <v>43253</v>
      </c>
      <c r="L84" s="31" t="n">
        <v>98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70.44</v>
      </c>
      <c r="P84" s="32" t="n">
        <v>49.79</v>
      </c>
      <c r="Q84" s="32" t="n">
        <v>1901.13</v>
      </c>
      <c r="R84" s="31" t="inlineStr">
        <is>
          <t>Volume Spike &amp; Near 52W High Breakout</t>
        </is>
      </c>
      <c r="S84" s="31" t="inlineStr">
        <is>
          <t>Nifty 50</t>
        </is>
      </c>
      <c r="T84" s="32" t="n">
        <v>-0.74</v>
      </c>
      <c r="U84" s="32" t="n">
        <v>669.28</v>
      </c>
      <c r="V84" s="32" t="n">
        <v>675.02</v>
      </c>
      <c r="W84" s="32" t="n">
        <v>69.25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More than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IF(B85=0,"",RANK(B85,$B$2:$B$284,0))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GNA</t>
        </is>
      </c>
      <c r="D85" s="31" t="inlineStr">
        <is>
          <t>Gna Axles Limited</t>
        </is>
      </c>
      <c r="E85" s="31" t="inlineStr">
        <is>
          <t>auto</t>
        </is>
      </c>
      <c r="F85" s="31" t="inlineStr">
        <is>
          <t>auto ancillaries</t>
        </is>
      </c>
      <c r="G85" s="31" t="inlineStr">
        <is>
          <t>smallcap</t>
        </is>
      </c>
      <c r="H85" s="32" t="n">
        <v>2278.77</v>
      </c>
      <c r="I85" s="32" t="n">
        <v>535.75</v>
      </c>
      <c r="J85" s="32" t="n">
        <v>0.93</v>
      </c>
      <c r="K85" s="32" t="n">
        <v>228018</v>
      </c>
      <c r="L85" s="31" t="n">
        <v>73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66.84</v>
      </c>
      <c r="P85" s="32" t="n">
        <v>26.19</v>
      </c>
      <c r="Q85" s="32" t="n">
        <v>418.09</v>
      </c>
      <c r="R85" s="31" t="inlineStr">
        <is>
          <t>Earnings / Momentum Support</t>
        </is>
      </c>
      <c r="S85" s="31" t="inlineStr">
        <is>
          <t>Nifty Auto</t>
        </is>
      </c>
      <c r="T85" s="32" t="n">
        <v>20.87</v>
      </c>
      <c r="U85" s="32" t="n">
        <v>72.28</v>
      </c>
      <c r="V85" s="32" t="n">
        <v>42.54</v>
      </c>
      <c r="W85" s="32" t="n">
        <v>17.2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IF(B86=0,"",RANK(B86,$B$2:$B$284,0))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CYIENTDLM</t>
        </is>
      </c>
      <c r="D86" s="31" t="inlineStr">
        <is>
          <t>Cyient DLM Ltd</t>
        </is>
      </c>
      <c r="E86" s="31" t="inlineStr">
        <is>
          <t>consumer discretionary</t>
        </is>
      </c>
      <c r="F86" s="31" t="inlineStr">
        <is>
          <t>electronics - components</t>
        </is>
      </c>
      <c r="G86" s="31" t="inlineStr">
        <is>
          <t>midcap</t>
        </is>
      </c>
      <c r="H86" s="32" t="n">
        <v>5382.99</v>
      </c>
      <c r="I86" s="32" t="n">
        <v>670.05</v>
      </c>
      <c r="J86" s="32" t="n">
        <v>-1.19</v>
      </c>
      <c r="K86" s="32" t="n">
        <v>445816</v>
      </c>
      <c r="L86" s="31" t="n">
        <v>88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82.87</v>
      </c>
      <c r="P86" s="32" t="n">
        <v>53.06</v>
      </c>
      <c r="Q86" s="32" t="n">
        <v>509.38</v>
      </c>
      <c r="R86" s="31" t="inlineStr">
        <is>
          <t>Near 52W High Breakout</t>
        </is>
      </c>
      <c r="S86" s="31" t="inlineStr">
        <is>
          <t>Nifty 50</t>
        </is>
      </c>
      <c r="T86" s="32" t="n">
        <v>-0.74</v>
      </c>
      <c r="U86" s="32" t="n">
        <v>50.34</v>
      </c>
      <c r="V86" s="32" t="n">
        <v>51.46</v>
      </c>
      <c r="W86" s="32" t="n">
        <v>26.09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IF(B87=0,"",RANK(B87,$B$2:$B$284,0))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CRAFTSMAN</t>
        </is>
      </c>
      <c r="D87" s="31" t="inlineStr">
        <is>
          <t>Craftsman Automation Ltd</t>
        </is>
      </c>
      <c r="E87" s="31" t="inlineStr">
        <is>
          <t>auto</t>
        </is>
      </c>
      <c r="F87" s="31" t="inlineStr">
        <is>
          <t>auto ancillaries</t>
        </is>
      </c>
      <c r="G87" s="31" t="inlineStr">
        <is>
          <t>largecap</t>
        </is>
      </c>
      <c r="H87" s="32" t="n">
        <v>26277.36</v>
      </c>
      <c r="I87" s="32" t="n">
        <v>9873.5</v>
      </c>
      <c r="J87" s="32" t="n">
        <v>-1.73</v>
      </c>
      <c r="K87" s="32" t="n">
        <v>104732</v>
      </c>
      <c r="L87" s="31" t="n">
        <v>69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66.68000000000001</v>
      </c>
      <c r="P87" s="32" t="n">
        <v>58.26</v>
      </c>
      <c r="Q87" s="32" t="n">
        <v>7902.54</v>
      </c>
      <c r="R87" s="31" t="inlineStr">
        <is>
          <t>Volume Spike &amp; Near 52W High Breakout</t>
        </is>
      </c>
      <c r="S87" s="31" t="inlineStr">
        <is>
          <t>Nifty Auto</t>
        </is>
      </c>
      <c r="T87" s="32" t="n">
        <v>20.87</v>
      </c>
      <c r="U87" s="32" t="n">
        <v>57.5</v>
      </c>
      <c r="V87" s="32" t="n">
        <v>30.31</v>
      </c>
      <c r="W87" s="32" t="n">
        <v>16.12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Between 0.7 to 1.2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IF(B88=0,"",RANK(B88,$B$2:$B$284,0))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KMEW</t>
        </is>
      </c>
      <c r="D88" s="31" t="inlineStr">
        <is>
          <t>Knowledge Marine &amp; Engineering Works Ltd</t>
        </is>
      </c>
      <c r="E88" s="31" t="inlineStr">
        <is>
          <t>transportation</t>
        </is>
      </c>
      <c r="F88" s="31" t="inlineStr">
        <is>
          <t>miscellaneous</t>
        </is>
      </c>
      <c r="G88" s="31" t="inlineStr">
        <is>
          <t>midcap</t>
        </is>
      </c>
      <c r="H88" s="32" t="n">
        <v>6181.91</v>
      </c>
      <c r="I88" s="32" t="n">
        <v>2463.3</v>
      </c>
      <c r="J88" s="32" t="n">
        <v>-2.6</v>
      </c>
      <c r="K88" s="32" t="n">
        <v>142461</v>
      </c>
      <c r="L88" s="31" t="n">
        <v>94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71.67</v>
      </c>
      <c r="P88" s="32" t="n">
        <v>47.87</v>
      </c>
      <c r="Q88" s="32" t="n">
        <v>1743.31</v>
      </c>
      <c r="R88" s="31" t="inlineStr">
        <is>
          <t>Near 52W High Breakout</t>
        </is>
      </c>
      <c r="S88" s="31" t="inlineStr">
        <is>
          <t>Nifty 50</t>
        </is>
      </c>
      <c r="T88" s="32" t="n">
        <v>-0.74</v>
      </c>
      <c r="U88" s="32" t="n">
        <v>200.48</v>
      </c>
      <c r="V88" s="32" t="n">
        <v>202.72</v>
      </c>
      <c r="W88" s="32" t="n">
        <v>34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IF(B89=0,"",RANK(B89,$B$2:$B$284,0))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63MOONS</t>
        </is>
      </c>
      <c r="D89" s="31" t="inlineStr">
        <is>
          <t>63 Moons Technologies Ltd</t>
        </is>
      </c>
      <c r="E89" s="31" t="inlineStr">
        <is>
          <t>i.t</t>
        </is>
      </c>
      <c r="F89" s="31" t="inlineStr">
        <is>
          <t>computers - software - medium / small</t>
        </is>
      </c>
      <c r="G89" s="31" t="inlineStr">
        <is>
          <t>smallcap</t>
        </is>
      </c>
      <c r="H89" s="32" t="n">
        <v>3904.46</v>
      </c>
      <c r="I89" s="32" t="n">
        <v>931.4</v>
      </c>
      <c r="J89" s="32" t="n">
        <v>9.92</v>
      </c>
      <c r="K89" s="32" t="n">
        <v>13988219</v>
      </c>
      <c r="L89" s="31" t="n">
        <v>28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69.45999999999999</v>
      </c>
      <c r="P89" s="32" t="n">
        <v>16.84</v>
      </c>
      <c r="Q89" s="32" t="n">
        <v>685.0599999999999</v>
      </c>
      <c r="R89" s="31" t="inlineStr">
        <is>
          <t>Volume Spike &amp; Near 52W High Breakout</t>
        </is>
      </c>
      <c r="S89" s="31" t="inlineStr">
        <is>
          <t>Nifty IT</t>
        </is>
      </c>
      <c r="T89" s="32" t="n">
        <v>-11.37</v>
      </c>
      <c r="U89" s="32" t="n">
        <v>-5.68</v>
      </c>
      <c r="V89" s="32" t="n">
        <v>6.42</v>
      </c>
      <c r="W89" s="32" t="n">
        <v>5.56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IF(B90=0,"",RANK(B90,$B$2:$B$284,0))</f>
        <v/>
      </c>
      <c r="B90" s="32">
        <f>SUM(N90,Y90,AA90,AC90,AE90,AG90,AI90,AK90,AM90,AO90,AQ90,AS90,AU90,AW90,AY90,BA90,BC90,BE90,BG90,BI90,BK90,BM90,BO90,BQ90,BS90,BU90,BW90,BY90,CA90,CC90,CE90)</f>
        <v/>
      </c>
      <c r="C90" s="33" t="inlineStr">
        <is>
          <t>GPTHEALTH</t>
        </is>
      </c>
      <c r="D90" s="33" t="inlineStr">
        <is>
          <t>GPT Healthcare Ltd</t>
        </is>
      </c>
      <c r="E90" s="31" t="inlineStr">
        <is>
          <t>healthcare</t>
        </is>
      </c>
      <c r="F90" s="31" t="inlineStr">
        <is>
          <t>healthcare</t>
        </is>
      </c>
      <c r="G90" s="31" t="inlineStr">
        <is>
          <t>smallcap</t>
        </is>
      </c>
      <c r="H90" s="32" t="n">
        <v>1362.44</v>
      </c>
      <c r="I90" s="32" t="n">
        <v>170.49</v>
      </c>
      <c r="J90" s="32" t="n">
        <v>2.68</v>
      </c>
      <c r="K90" s="32" t="n">
        <v>710930</v>
      </c>
      <c r="L90" s="31" t="n">
        <v>26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72.12</v>
      </c>
      <c r="P90" s="32" t="n">
        <v>40.39</v>
      </c>
      <c r="Q90" s="32" t="n">
        <v>138.74</v>
      </c>
      <c r="R90" s="31" t="inlineStr">
        <is>
          <t>Volume Spike &amp; Near 52W High Breakout</t>
        </is>
      </c>
      <c r="S90" s="31" t="inlineStr">
        <is>
          <t>Nifty Pharma</t>
        </is>
      </c>
      <c r="T90" s="32" t="n">
        <v>20.55</v>
      </c>
      <c r="U90" s="32" t="n">
        <v>-3.42</v>
      </c>
      <c r="V90" s="32" t="n">
        <v>-19.88</v>
      </c>
      <c r="W90" s="32" t="n">
        <v>5.24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Between 12 to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IF(B91=0,"",RANK(B91,$B$2:$B$284,0))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LALPATHLAB</t>
        </is>
      </c>
      <c r="D91" s="31" t="inlineStr">
        <is>
          <t>Dr. Lal Path Labs Ltd.</t>
        </is>
      </c>
      <c r="E91" s="31" t="inlineStr">
        <is>
          <t>healthcare</t>
        </is>
      </c>
      <c r="F91" s="31" t="inlineStr">
        <is>
          <t>healthcare</t>
        </is>
      </c>
      <c r="G91" s="31" t="inlineStr">
        <is>
          <t>largecap</t>
        </is>
      </c>
      <c r="H91" s="32" t="n">
        <v>31495.78</v>
      </c>
      <c r="I91" s="32" t="n">
        <v>1905.2</v>
      </c>
      <c r="J91" s="32" t="n">
        <v>1.41</v>
      </c>
      <c r="K91" s="32" t="n">
        <v>355875</v>
      </c>
      <c r="L91" s="31" t="n">
        <v>60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73.75</v>
      </c>
      <c r="P91" s="32" t="n">
        <v>36.72</v>
      </c>
      <c r="Q91" s="32" t="n">
        <v>1568.59</v>
      </c>
      <c r="R91" s="31" t="inlineStr">
        <is>
          <t>Volume Spike &amp; Near 52W High Breakout</t>
        </is>
      </c>
      <c r="S91" s="31" t="inlineStr">
        <is>
          <t>Nifty Pharma</t>
        </is>
      </c>
      <c r="T91" s="32" t="n">
        <v>20.55</v>
      </c>
      <c r="U91" s="32" t="n">
        <v>21.34</v>
      </c>
      <c r="V91" s="32" t="n">
        <v>0.66</v>
      </c>
      <c r="W91" s="32" t="n">
        <v>13.25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IF(B92=0,"",RANK(B92,$B$2:$B$284,0))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SAREGAMA</t>
        </is>
      </c>
      <c r="D92" s="31" t="inlineStr">
        <is>
          <t>Saregama India Limited</t>
        </is>
      </c>
      <c r="E92" s="31" t="inlineStr">
        <is>
          <t>media</t>
        </is>
      </c>
      <c r="F92" s="31" t="inlineStr">
        <is>
          <t>entertainment / electronic media software</t>
        </is>
      </c>
      <c r="G92" s="31" t="inlineStr">
        <is>
          <t>midcap</t>
        </is>
      </c>
      <c r="H92" s="32" t="n">
        <v>10053.09</v>
      </c>
      <c r="I92" s="32" t="n">
        <v>520</v>
      </c>
      <c r="J92" s="32" t="n">
        <v>-0.27</v>
      </c>
      <c r="K92" s="32" t="n">
        <v>257417</v>
      </c>
      <c r="L92" s="31" t="n">
        <v>67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73.73999999999999</v>
      </c>
      <c r="P92" s="32" t="n">
        <v>44.32</v>
      </c>
      <c r="Q92" s="32" t="n">
        <v>410.71</v>
      </c>
      <c r="R92" s="31" t="inlineStr">
        <is>
          <t>Near 52W High Breakout</t>
        </is>
      </c>
      <c r="S92" s="31" t="inlineStr">
        <is>
          <t>Nifty IT</t>
        </is>
      </c>
      <c r="T92" s="32" t="n">
        <v>-11.37</v>
      </c>
      <c r="U92" s="32" t="n">
        <v>11.61</v>
      </c>
      <c r="V92" s="32" t="n">
        <v>25.93</v>
      </c>
      <c r="W92" s="32" t="n">
        <v>15.41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Less than 50%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IF(B93=0,"",RANK(B93,$B$2:$B$284,0))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COFORGE</t>
        </is>
      </c>
      <c r="D93" s="31" t="inlineStr">
        <is>
          <t>Coforge (Niit Tech) Ltd</t>
        </is>
      </c>
      <c r="E93" s="31" t="inlineStr">
        <is>
          <t>i.t</t>
        </is>
      </c>
      <c r="F93" s="31" t="inlineStr">
        <is>
          <t>computers - software - large</t>
        </is>
      </c>
      <c r="G93" s="31" t="inlineStr">
        <is>
          <t>largecap</t>
        </is>
      </c>
      <c r="H93" s="32" t="n">
        <v>77333.66</v>
      </c>
      <c r="I93" s="32" t="n">
        <v>1721</v>
      </c>
      <c r="J93" s="32" t="n">
        <v>-1.48</v>
      </c>
      <c r="K93" s="32" t="n">
        <v>3381316</v>
      </c>
      <c r="L93" s="31" t="n">
        <v>55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64.59</v>
      </c>
      <c r="P93" s="32" t="n">
        <v>9.85</v>
      </c>
      <c r="Q93" s="32" t="n">
        <v>1321.16</v>
      </c>
      <c r="R93" s="31" t="inlineStr">
        <is>
          <t>Volume Spike / Accumulation</t>
        </is>
      </c>
      <c r="S93" s="31" t="inlineStr">
        <is>
          <t>Nifty IT</t>
        </is>
      </c>
      <c r="T93" s="32" t="n">
        <v>-11.37</v>
      </c>
      <c r="U93" s="32" t="n">
        <v>1.56</v>
      </c>
      <c r="V93" s="32" t="n">
        <v>14.59</v>
      </c>
      <c r="W93" s="32" t="n">
        <v>11.7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IF(B94=0,"",RANK(B94,$B$2:$B$284,0))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YASHO</t>
        </is>
      </c>
      <c r="D94" s="31" t="inlineStr">
        <is>
          <t>Yasho Industries Ltd</t>
        </is>
      </c>
      <c r="E94" s="31" t="inlineStr">
        <is>
          <t>chemicals</t>
        </is>
      </c>
      <c r="F94" s="31" t="inlineStr">
        <is>
          <t>chemicals</t>
        </is>
      </c>
      <c r="G94" s="31" t="inlineStr">
        <is>
          <t>smallcap</t>
        </is>
      </c>
      <c r="H94" s="32" t="n">
        <v>3875.5</v>
      </c>
      <c r="I94" s="32" t="n">
        <v>3858.7</v>
      </c>
      <c r="J94" s="32" t="n">
        <v>20</v>
      </c>
      <c r="K94" s="32" t="n">
        <v>273048</v>
      </c>
      <c r="L94" s="31" t="n">
        <v>98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90.06</v>
      </c>
      <c r="P94" s="32" t="n">
        <v>54.85</v>
      </c>
      <c r="Q94" s="32" t="n">
        <v>2959.28</v>
      </c>
      <c r="R94" s="31" t="inlineStr">
        <is>
          <t>Volume Spike &amp; Near 52W High Breakout</t>
        </is>
      </c>
      <c r="S94" s="31" t="inlineStr">
        <is>
          <t>Nifty 50</t>
        </is>
      </c>
      <c r="T94" s="32" t="n">
        <v>-0.74</v>
      </c>
      <c r="U94" s="32" t="n">
        <v>110.63</v>
      </c>
      <c r="V94" s="32" t="n">
        <v>112.2</v>
      </c>
      <c r="W94" s="32" t="n">
        <v>60.48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Above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More than 1.2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IF(B95=0,"",RANK(B95,$B$2:$B$284,0))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XPROINDIA</t>
        </is>
      </c>
      <c r="D95" s="31" t="inlineStr">
        <is>
          <t>Xpro India Limited</t>
        </is>
      </c>
      <c r="E95" s="31" t="inlineStr">
        <is>
          <t>industrials</t>
        </is>
      </c>
      <c r="F95" s="31" t="inlineStr">
        <is>
          <t>packaging</t>
        </is>
      </c>
      <c r="G95" s="31" t="inlineStr">
        <is>
          <t>smallcap</t>
        </is>
      </c>
      <c r="H95" s="32" t="n">
        <v>3273.42</v>
      </c>
      <c r="I95" s="32" t="n">
        <v>1500.4</v>
      </c>
      <c r="J95" s="32" t="n">
        <v>7.58</v>
      </c>
      <c r="K95" s="32" t="n">
        <v>141119</v>
      </c>
      <c r="L95" s="31" t="n">
        <v>74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68.23</v>
      </c>
      <c r="P95" s="32" t="n">
        <v>44.5</v>
      </c>
      <c r="Q95" s="32" t="n">
        <v>1116.23</v>
      </c>
      <c r="R95" s="31" t="inlineStr">
        <is>
          <t>Near 52W High Breakout</t>
        </is>
      </c>
      <c r="S95" s="31" t="inlineStr">
        <is>
          <t>Nifty 50</t>
        </is>
      </c>
      <c r="T95" s="32" t="n">
        <v>-0.74</v>
      </c>
      <c r="U95" s="32" t="n">
        <v>35.49</v>
      </c>
      <c r="V95" s="32" t="n">
        <v>36.5</v>
      </c>
      <c r="W95" s="32" t="n">
        <v>17.62</v>
      </c>
      <c r="X95" s="31" t="inlineStr">
        <is>
          <t>Cyclical in an Upturn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Between 1.5 to 2</t>
        </is>
      </c>
      <c r="BU95" s="31">
        <f>IF(BT95="Above 2",0,IF(BT95="Between 1.5 to 2",5,IF(BT95="Less than 1.5",10,0)))</f>
        <v/>
      </c>
      <c r="BV95" s="31" t="inlineStr">
        <is>
          <t>Less than 50%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IF(B96=0,"",RANK(B96,$B$2:$B$284,0))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AETHER</t>
        </is>
      </c>
      <c r="D96" s="31" t="inlineStr">
        <is>
          <t>Aether Industries Ltd</t>
        </is>
      </c>
      <c r="E96" s="31" t="inlineStr">
        <is>
          <t>chemicals</t>
        </is>
      </c>
      <c r="F96" s="31" t="inlineStr">
        <is>
          <t>chemicals</t>
        </is>
      </c>
      <c r="G96" s="31" t="inlineStr">
        <is>
          <t>midcap</t>
        </is>
      </c>
      <c r="H96" s="32" t="n">
        <v>19784.79</v>
      </c>
      <c r="I96" s="32" t="n">
        <v>1539.6</v>
      </c>
      <c r="J96" s="32" t="n">
        <v>3.27</v>
      </c>
      <c r="K96" s="32" t="n">
        <v>2452731</v>
      </c>
      <c r="L96" s="31" t="n">
        <v>83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73.05</v>
      </c>
      <c r="P96" s="32" t="n">
        <v>45.34</v>
      </c>
      <c r="Q96" s="32" t="n">
        <v>1204.3</v>
      </c>
      <c r="R96" s="31" t="inlineStr">
        <is>
          <t>Volume Spike &amp; Near 52W High Breakout</t>
        </is>
      </c>
      <c r="S96" s="31" t="inlineStr">
        <is>
          <t>Nifty 50</t>
        </is>
      </c>
      <c r="T96" s="32" t="n">
        <v>-0.74</v>
      </c>
      <c r="U96" s="32" t="n">
        <v>104.33</v>
      </c>
      <c r="V96" s="32" t="n">
        <v>105.85</v>
      </c>
      <c r="W96" s="32" t="n">
        <v>22.55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Less than 12%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Less than 50%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IF(B97=0,"",RANK(B97,$B$2:$B$284,0))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NRAIL</t>
        </is>
      </c>
      <c r="D97" s="31" t="inlineStr">
        <is>
          <t>N R Agarwal Industries Ltd</t>
        </is>
      </c>
      <c r="E97" s="31" t="inlineStr">
        <is>
          <t>building materials</t>
        </is>
      </c>
      <c r="F97" s="31" t="inlineStr">
        <is>
          <t>paper</t>
        </is>
      </c>
      <c r="G97" s="31" t="inlineStr">
        <is>
          <t>smallcap</t>
        </is>
      </c>
      <c r="H97" s="32" t="n">
        <v>785.52</v>
      </c>
      <c r="I97" s="32" t="n">
        <v>473.4</v>
      </c>
      <c r="J97" s="32" t="n">
        <v>2.57</v>
      </c>
      <c r="K97" s="32" t="n">
        <v>5455</v>
      </c>
      <c r="L97" s="31" t="n">
        <v>40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53.98</v>
      </c>
      <c r="P97" s="32" t="n">
        <v>22.12</v>
      </c>
      <c r="Q97" s="32" t="n">
        <v>362.66</v>
      </c>
      <c r="R97" s="31" t="inlineStr">
        <is>
          <t>Volume Spike / Accumulation</t>
        </is>
      </c>
      <c r="S97" s="31" t="inlineStr">
        <is>
          <t>Nifty Infra</t>
        </is>
      </c>
      <c r="T97" s="32" t="n">
        <v>3.78</v>
      </c>
      <c r="U97" s="32" t="n">
        <v>37.51</v>
      </c>
      <c r="V97" s="32" t="n">
        <v>32.51</v>
      </c>
      <c r="W97" s="32" t="n">
        <v>7.72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20 to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Between 50% to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Between 0.7 to 1.2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IF(B98=0,"",RANK(B98,$B$2:$B$284,0))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SPORTKING</t>
        </is>
      </c>
      <c r="D98" s="31" t="inlineStr">
        <is>
          <t>Sportking India Ltd</t>
        </is>
      </c>
      <c r="E98" s="31" t="inlineStr">
        <is>
          <t>textiles</t>
        </is>
      </c>
      <c r="F98" s="31" t="inlineStr">
        <is>
          <t>textiles - spinning - synthetic / blended</t>
        </is>
      </c>
      <c r="G98" s="31" t="inlineStr">
        <is>
          <t>smallcap</t>
        </is>
      </c>
      <c r="H98" s="32" t="n">
        <v>2495.19</v>
      </c>
      <c r="I98" s="32" t="n">
        <v>201.26</v>
      </c>
      <c r="J98" s="32" t="n">
        <v>2.5</v>
      </c>
      <c r="K98" s="32" t="n">
        <v>898229</v>
      </c>
      <c r="L98" s="31" t="n">
        <v>84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73.98999999999999</v>
      </c>
      <c r="P98" s="32" t="n">
        <v>69.41</v>
      </c>
      <c r="Q98" s="32" t="n">
        <v>160.29</v>
      </c>
      <c r="R98" s="31" t="inlineStr">
        <is>
          <t>Earnings / Momentum Support</t>
        </is>
      </c>
      <c r="S98" s="31" t="inlineStr">
        <is>
          <t>Nifty 50</t>
        </is>
      </c>
      <c r="T98" s="32" t="n">
        <v>-0.74</v>
      </c>
      <c r="U98" s="32" t="n">
        <v>83.14</v>
      </c>
      <c r="V98" s="32" t="n">
        <v>84.51000000000001</v>
      </c>
      <c r="W98" s="32" t="n">
        <v>23.4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IF(B99=0,"",RANK(B99,$B$2:$B$284,0))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VARROC</t>
        </is>
      </c>
      <c r="D99" s="31" t="inlineStr">
        <is>
          <t>Varroc Engineering Ltd</t>
        </is>
      </c>
      <c r="E99" s="31" t="inlineStr">
        <is>
          <t>auto</t>
        </is>
      </c>
      <c r="F99" s="31" t="inlineStr">
        <is>
          <t>auto ancillaries</t>
        </is>
      </c>
      <c r="G99" s="31" t="inlineStr">
        <is>
          <t>midcap</t>
        </is>
      </c>
      <c r="H99" s="32" t="n">
        <v>10154.18</v>
      </c>
      <c r="I99" s="32" t="n">
        <v>679.2</v>
      </c>
      <c r="J99" s="32" t="n">
        <v>2.2</v>
      </c>
      <c r="K99" s="32" t="n">
        <v>284959</v>
      </c>
      <c r="L99" s="31" t="n">
        <v>58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67.73999999999999</v>
      </c>
      <c r="P99" s="32" t="n">
        <v>30.83</v>
      </c>
      <c r="Q99" s="32" t="n">
        <v>551.9</v>
      </c>
      <c r="R99" s="31" t="inlineStr">
        <is>
          <t>Near 52W High Breakout</t>
        </is>
      </c>
      <c r="S99" s="31" t="inlineStr">
        <is>
          <t>Nifty Auto</t>
        </is>
      </c>
      <c r="T99" s="32" t="n">
        <v>20.87</v>
      </c>
      <c r="U99" s="32" t="n">
        <v>26.38</v>
      </c>
      <c r="V99" s="32" t="n">
        <v>4.56</v>
      </c>
      <c r="W99" s="32" t="n">
        <v>12.38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Between 50% to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IF(B100=0,"",RANK(B100,$B$2:$B$284,0))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CHENNPETRO</t>
        </is>
      </c>
      <c r="D100" s="31" t="inlineStr">
        <is>
          <t>Chennai Petroleum Corporation Limited</t>
        </is>
      </c>
      <c r="E100" s="31" t="inlineStr">
        <is>
          <t>energy</t>
        </is>
      </c>
      <c r="F100" s="31" t="inlineStr">
        <is>
          <t>refineries</t>
        </is>
      </c>
      <c r="G100" s="31" t="inlineStr">
        <is>
          <t>midcap</t>
        </is>
      </c>
      <c r="H100" s="32" t="n">
        <v>18438.21</v>
      </c>
      <c r="I100" s="32" t="n">
        <v>1260.6</v>
      </c>
      <c r="J100" s="32" t="n">
        <v>1.81</v>
      </c>
      <c r="K100" s="32" t="n">
        <v>1502543</v>
      </c>
      <c r="L100" s="31" t="n">
        <v>74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66.68000000000001</v>
      </c>
      <c r="P100" s="32" t="n">
        <v>48.57</v>
      </c>
      <c r="Q100" s="32" t="n">
        <v>923.04</v>
      </c>
      <c r="R100" s="31" t="inlineStr">
        <is>
          <t>Near 52W High Breakout</t>
        </is>
      </c>
      <c r="S100" s="31" t="inlineStr">
        <is>
          <t>Nifty Energy</t>
        </is>
      </c>
      <c r="T100" s="32" t="n">
        <v>9.869999999999999</v>
      </c>
      <c r="U100" s="32" t="n">
        <v>86.15000000000001</v>
      </c>
      <c r="V100" s="32" t="n">
        <v>69.43000000000001</v>
      </c>
      <c r="W100" s="32" t="n">
        <v>17.93</v>
      </c>
      <c r="X100" s="31" t="inlineStr">
        <is>
          <t>Cyclical in an Upturn</t>
        </is>
      </c>
      <c r="Y100" s="31">
        <f>IF(X100="Growing Industry",10,IF(X100="Cyclical in an Upturn",5,0))</f>
        <v/>
      </c>
      <c r="Z100" s="31" t="inlineStr">
        <is>
          <t>Oligopoly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Cyclical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Volatile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IF(B101=0,"",RANK(B101,$B$2:$B$284,0))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INDOTECH</t>
        </is>
      </c>
      <c r="D101" s="31" t="inlineStr">
        <is>
          <t>Indo Tech Transformers Limited</t>
        </is>
      </c>
      <c r="E101" s="31" t="inlineStr">
        <is>
          <t>industrials</t>
        </is>
      </c>
      <c r="F101" s="31" t="inlineStr">
        <is>
          <t>electric equipment</t>
        </is>
      </c>
      <c r="G101" s="31" t="inlineStr">
        <is>
          <t>smallcap</t>
        </is>
      </c>
      <c r="H101" s="32" t="n">
        <v>3597.84</v>
      </c>
      <c r="I101" s="32" t="n">
        <v>3438</v>
      </c>
      <c r="J101" s="32" t="n">
        <v>1.48</v>
      </c>
      <c r="K101" s="32" t="n">
        <v>6939</v>
      </c>
      <c r="L101" s="31" t="n">
        <v>91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75.84</v>
      </c>
      <c r="P101" s="32" t="n">
        <v>48.96</v>
      </c>
      <c r="Q101" s="32" t="n">
        <v>2539.59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-0.74</v>
      </c>
      <c r="U101" s="32" t="n">
        <v>106.73</v>
      </c>
      <c r="V101" s="32" t="n">
        <v>108.27</v>
      </c>
      <c r="W101" s="32" t="n">
        <v>29.32</v>
      </c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Between 12 to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Less than 50%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IF(B102=0,"",RANK(B102,$B$2:$B$284,0))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SFL</t>
        </is>
      </c>
      <c r="D102" s="31" t="inlineStr">
        <is>
          <t>Sheela Foam Limited</t>
        </is>
      </c>
      <c r="E102" s="31" t="inlineStr">
        <is>
          <t>consumer discretionary</t>
        </is>
      </c>
      <c r="F102" s="31" t="inlineStr">
        <is>
          <t>miscellaneous</t>
        </is>
      </c>
      <c r="G102" s="31" t="inlineStr">
        <is>
          <t>midcap</t>
        </is>
      </c>
      <c r="H102" s="32" t="n">
        <v>8477.450000000001</v>
      </c>
      <c r="I102" s="32" t="n">
        <v>787</v>
      </c>
      <c r="J102" s="32" t="n">
        <v>1.38</v>
      </c>
      <c r="K102" s="32" t="n">
        <v>97186</v>
      </c>
      <c r="L102" s="31" t="n">
        <v>72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72.63</v>
      </c>
      <c r="P102" s="32" t="n">
        <v>36.26</v>
      </c>
      <c r="Q102" s="32" t="n">
        <v>621.47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-0.74</v>
      </c>
      <c r="U102" s="32" t="n">
        <v>16.65</v>
      </c>
      <c r="V102" s="32" t="n">
        <v>17.52</v>
      </c>
      <c r="W102" s="32" t="n">
        <v>16.86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IF(B103=0,"",RANK(B103,$B$2:$B$284,0))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SHRIPISTON</t>
        </is>
      </c>
      <c r="D103" s="31" t="inlineStr">
        <is>
          <t>Shriram Pistons &amp; Rings Limited</t>
        </is>
      </c>
      <c r="E103" s="31" t="inlineStr">
        <is>
          <t>auto</t>
        </is>
      </c>
      <c r="F103" s="31" t="inlineStr">
        <is>
          <t>auto ancillaries</t>
        </is>
      </c>
      <c r="G103" s="31" t="inlineStr">
        <is>
          <t>midcap</t>
        </is>
      </c>
      <c r="H103" s="32" t="n">
        <v>19115.42</v>
      </c>
      <c r="I103" s="32" t="n">
        <v>4395.2</v>
      </c>
      <c r="J103" s="32" t="n">
        <v>1.28</v>
      </c>
      <c r="K103" s="32" t="n">
        <v>39865</v>
      </c>
      <c r="L103" s="31" t="n">
        <v>76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72.91</v>
      </c>
      <c r="P103" s="32" t="n">
        <v>39.03</v>
      </c>
      <c r="Q103" s="32" t="n">
        <v>3523.4</v>
      </c>
      <c r="R103" s="31" t="inlineStr">
        <is>
          <t>Near 52W High Breakout</t>
        </is>
      </c>
      <c r="S103" s="31" t="inlineStr">
        <is>
          <t>Nifty Auto</t>
        </is>
      </c>
      <c r="T103" s="32" t="n">
        <v>20.87</v>
      </c>
      <c r="U103" s="32" t="n">
        <v>82.33</v>
      </c>
      <c r="V103" s="32" t="n">
        <v>50.85</v>
      </c>
      <c r="W103" s="32" t="n">
        <v>18.73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IF(B104=0,"",RANK(B104,$B$2:$B$284,0))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SKYGOLD</t>
        </is>
      </c>
      <c r="D104" s="31" t="inlineStr">
        <is>
          <t>Sky Gold Ltd</t>
        </is>
      </c>
      <c r="E104" s="31" t="inlineStr">
        <is>
          <t>consumer discretionary</t>
        </is>
      </c>
      <c r="F104" s="31" t="inlineStr">
        <is>
          <t>diamond cutting / jewellery</t>
        </is>
      </c>
      <c r="G104" s="31" t="inlineStr">
        <is>
          <t>midcap</t>
        </is>
      </c>
      <c r="H104" s="32" t="n">
        <v>9884.83</v>
      </c>
      <c r="I104" s="32" t="n">
        <v>643.7</v>
      </c>
      <c r="J104" s="32" t="n">
        <v>0.85</v>
      </c>
      <c r="K104" s="32" t="n">
        <v>853648</v>
      </c>
      <c r="L104" s="31" t="n">
        <v>91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72.59999999999999</v>
      </c>
      <c r="P104" s="32" t="n">
        <v>57.95</v>
      </c>
      <c r="Q104" s="32" t="n">
        <v>485.22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-0.74</v>
      </c>
      <c r="U104" s="32" t="n">
        <v>134.58</v>
      </c>
      <c r="V104" s="32" t="n">
        <v>136.33</v>
      </c>
      <c r="W104" s="32" t="n">
        <v>29.4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Negative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Between 0.7 to 1.2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IF(B105=0,"",RANK(B105,$B$2:$B$284,0))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3" t="inlineStr">
        <is>
          <t>POLYPLEX</t>
        </is>
      </c>
      <c r="D105" s="33" t="inlineStr">
        <is>
          <t>Polyplex Corporation Limited</t>
        </is>
      </c>
      <c r="E105" s="31" t="inlineStr">
        <is>
          <t>industrials</t>
        </is>
      </c>
      <c r="F105" s="31" t="inlineStr">
        <is>
          <t>packaging</t>
        </is>
      </c>
      <c r="G105" s="31" t="inlineStr">
        <is>
          <t>smallcap</t>
        </is>
      </c>
      <c r="H105" s="32" t="n">
        <v>3464</v>
      </c>
      <c r="I105" s="32" t="n">
        <v>1105.3</v>
      </c>
      <c r="J105" s="32" t="n">
        <v>0.17</v>
      </c>
      <c r="K105" s="32" t="n">
        <v>19060</v>
      </c>
      <c r="L105" s="31" t="n">
        <v>28</v>
      </c>
      <c r="M105" s="31" t="inlineStr">
        <is>
          <t>Underperforming</t>
        </is>
      </c>
      <c r="N105" s="32">
        <f>IF(M105="Underperforming",-5,IF(L105&gt;=95,15,IF(L105&gt;=90,10,IF(L105&gt;=80,5,0))))</f>
        <v/>
      </c>
      <c r="O105" s="32" t="n">
        <v>67.25</v>
      </c>
      <c r="P105" s="32" t="n">
        <v>44.92</v>
      </c>
      <c r="Q105" s="32" t="n">
        <v>908.78</v>
      </c>
      <c r="R105" s="31" t="inlineStr">
        <is>
          <t>Near 52W High Breakout</t>
        </is>
      </c>
      <c r="S105" s="31" t="inlineStr">
        <is>
          <t>Nifty Infra</t>
        </is>
      </c>
      <c r="T105" s="32" t="n">
        <v>3.78</v>
      </c>
      <c r="U105" s="32" t="n">
        <v>-1.67</v>
      </c>
      <c r="V105" s="32" t="n">
        <v>-5.25</v>
      </c>
      <c r="W105" s="32" t="n">
        <v>5.52</v>
      </c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IF(B106=0,"",RANK(B106,$B$2:$B$284,0))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ASIANPAINT</t>
        </is>
      </c>
      <c r="D106" s="31" t="inlineStr">
        <is>
          <t>Asian Paints Limited</t>
        </is>
      </c>
      <c r="E106" s="31" t="inlineStr">
        <is>
          <t>building materials</t>
        </is>
      </c>
      <c r="F106" s="31" t="inlineStr">
        <is>
          <t>paints / varnishes</t>
        </is>
      </c>
      <c r="G106" s="31" t="inlineStr">
        <is>
          <t>largecap</t>
        </is>
      </c>
      <c r="H106" s="32" t="n">
        <v>263414.9</v>
      </c>
      <c r="I106" s="32" t="n">
        <v>2747.3</v>
      </c>
      <c r="J106" s="32" t="n">
        <v>0.04</v>
      </c>
      <c r="K106" s="32" t="n">
        <v>891738</v>
      </c>
      <c r="L106" s="31" t="n">
        <v>29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60.42</v>
      </c>
      <c r="P106" s="32" t="n">
        <v>20.53</v>
      </c>
      <c r="Q106" s="32" t="n">
        <v>2332.34</v>
      </c>
      <c r="R106" s="31" t="inlineStr">
        <is>
          <t>Earnings / Momentum Support</t>
        </is>
      </c>
      <c r="S106" s="31" t="inlineStr">
        <is>
          <t>Nifty Infra</t>
        </is>
      </c>
      <c r="T106" s="32" t="n">
        <v>3.78</v>
      </c>
      <c r="U106" s="32" t="n">
        <v>18.8</v>
      </c>
      <c r="V106" s="32" t="n">
        <v>14.47</v>
      </c>
      <c r="W106" s="32" t="n">
        <v>6.05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No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IF(B107=0,"",RANK(B107,$B$2:$B$284,0))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HEG</t>
        </is>
      </c>
      <c r="D107" s="31" t="inlineStr">
        <is>
          <t>Heg Limited</t>
        </is>
      </c>
      <c r="E107" s="31" t="inlineStr">
        <is>
          <t>industrials</t>
        </is>
      </c>
      <c r="F107" s="31" t="inlineStr">
        <is>
          <t>electrodes - graphites</t>
        </is>
      </c>
      <c r="G107" s="31" t="inlineStr">
        <is>
          <t>midcap</t>
        </is>
      </c>
      <c r="H107" s="32" t="n">
        <v>12722.04</v>
      </c>
      <c r="I107" s="32" t="n">
        <v>657.25</v>
      </c>
      <c r="J107" s="32" t="n">
        <v>-0.3</v>
      </c>
      <c r="K107" s="32" t="n">
        <v>1261032</v>
      </c>
      <c r="L107" s="31" t="n">
        <v>35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63.74</v>
      </c>
      <c r="P107" s="32" t="n">
        <v>25.62</v>
      </c>
      <c r="Q107" s="32" t="n">
        <v>496.93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-0.74</v>
      </c>
      <c r="U107" s="32" t="n">
        <v>24.54</v>
      </c>
      <c r="V107" s="32" t="n">
        <v>25.47</v>
      </c>
      <c r="W107" s="32" t="n">
        <v>7.12</v>
      </c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Between 12 to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IF(B108=0,"",RANK(B108,$B$2:$B$284,0))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3" t="inlineStr">
        <is>
          <t>EXIDEIND</t>
        </is>
      </c>
      <c r="D108" s="33" t="inlineStr">
        <is>
          <t>Exide Industries Limited</t>
        </is>
      </c>
      <c r="E108" s="31" t="inlineStr">
        <is>
          <t>auto</t>
        </is>
      </c>
      <c r="F108" s="31" t="inlineStr">
        <is>
          <t>auto ancillaries</t>
        </is>
      </c>
      <c r="G108" s="31" t="inlineStr">
        <is>
          <t>largecap</t>
        </is>
      </c>
      <c r="H108" s="32" t="n">
        <v>38479.5</v>
      </c>
      <c r="I108" s="32" t="n">
        <v>449.8</v>
      </c>
      <c r="J108" s="32" t="n">
        <v>-0.64</v>
      </c>
      <c r="K108" s="32" t="n">
        <v>6655466</v>
      </c>
      <c r="L108" s="31" t="n">
        <v>52</v>
      </c>
      <c r="M108" s="31" t="inlineStr">
        <is>
          <t>Underperforming</t>
        </is>
      </c>
      <c r="N108" s="32">
        <f>IF(M108="Underperforming",-5,IF(L108&gt;=95,15,IF(L108&gt;=90,10,IF(L108&gt;=80,5,0))))</f>
        <v/>
      </c>
      <c r="O108" s="32" t="n">
        <v>72.93000000000001</v>
      </c>
      <c r="P108" s="32" t="n">
        <v>37.16</v>
      </c>
      <c r="Q108" s="32" t="n">
        <v>372.43</v>
      </c>
      <c r="R108" s="31" t="inlineStr">
        <is>
          <t>Volume Spike &amp; Near 52W High Breakout</t>
        </is>
      </c>
      <c r="S108" s="31" t="inlineStr">
        <is>
          <t>Nifty Auto</t>
        </is>
      </c>
      <c r="T108" s="32" t="n">
        <v>20.87</v>
      </c>
      <c r="U108" s="32" t="n">
        <v>18.75</v>
      </c>
      <c r="V108" s="32" t="n">
        <v>-1.75</v>
      </c>
      <c r="W108" s="32" t="n">
        <v>10.98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20 to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Between 1.5 to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IF(B109=0,"",RANK(B109,$B$2:$B$284,0))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EICHERMOT</t>
        </is>
      </c>
      <c r="D109" s="31" t="inlineStr">
        <is>
          <t>Eicher Motors Limited</t>
        </is>
      </c>
      <c r="E109" s="31" t="inlineStr">
        <is>
          <t>auto</t>
        </is>
      </c>
      <c r="F109" s="31" t="inlineStr">
        <is>
          <t>automobiles - motorcycles / mopeds</t>
        </is>
      </c>
      <c r="G109" s="31" t="inlineStr">
        <is>
          <t>largecap</t>
        </is>
      </c>
      <c r="H109" s="32" t="n">
        <v>217196.17</v>
      </c>
      <c r="I109" s="32" t="n">
        <v>7833.5</v>
      </c>
      <c r="J109" s="32" t="n">
        <v>-1</v>
      </c>
      <c r="K109" s="32" t="n">
        <v>720933</v>
      </c>
      <c r="L109" s="31" t="n">
        <v>50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62.36</v>
      </c>
      <c r="P109" s="32" t="n">
        <v>7.43</v>
      </c>
      <c r="Q109" s="32" t="n">
        <v>6639.7</v>
      </c>
      <c r="R109" s="31" t="inlineStr">
        <is>
          <t>Near 52W High Breakout</t>
        </is>
      </c>
      <c r="S109" s="31" t="inlineStr">
        <is>
          <t>Nifty Auto</t>
        </is>
      </c>
      <c r="T109" s="32" t="n">
        <v>20.87</v>
      </c>
      <c r="U109" s="32" t="n">
        <v>47.58</v>
      </c>
      <c r="V109" s="32" t="n">
        <v>22.1</v>
      </c>
      <c r="W109" s="32" t="n">
        <v>10.81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0 to 20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Between 1.5 to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IF(B110=0,"",RANK(B110,$B$2:$B$284,0))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ALIVUS</t>
        </is>
      </c>
      <c r="D110" s="33" t="inlineStr">
        <is>
          <t>Alivus Life Sciences Ltd</t>
        </is>
      </c>
      <c r="E110" s="31" t="inlineStr">
        <is>
          <t>healthcare</t>
        </is>
      </c>
      <c r="F110" s="31" t="inlineStr">
        <is>
          <t>pharmaceuticals - indian - bulk drugs &amp; formln</t>
        </is>
      </c>
      <c r="G110" s="31" t="inlineStr">
        <is>
          <t>midcap</t>
        </is>
      </c>
      <c r="H110" s="32" t="n">
        <v>13448.22</v>
      </c>
      <c r="I110" s="32" t="n">
        <v>1160</v>
      </c>
      <c r="J110" s="32" t="n">
        <v>5.87</v>
      </c>
      <c r="K110" s="32" t="n">
        <v>237292</v>
      </c>
      <c r="L110" s="31" t="n">
        <v>28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64.92</v>
      </c>
      <c r="P110" s="32" t="n">
        <v>34.47</v>
      </c>
      <c r="Q110" s="32" t="n">
        <v>935.6900000000001</v>
      </c>
      <c r="R110" s="31" t="inlineStr">
        <is>
          <t>Near 52W High Breakout</t>
        </is>
      </c>
      <c r="S110" s="31" t="inlineStr">
        <is>
          <t>Nifty Pharma</t>
        </is>
      </c>
      <c r="T110" s="32" t="n">
        <v>20.55</v>
      </c>
      <c r="U110" s="32" t="n">
        <v>16.55</v>
      </c>
      <c r="V110" s="32" t="n">
        <v>-3.32</v>
      </c>
      <c r="W110" s="32" t="n">
        <v>5.79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Annuity, Lower One Time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Between 12 to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Between 1.5 to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IF(B111=0,"",RANK(B111,$B$2:$B$284,0))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SAILIFE</t>
        </is>
      </c>
      <c r="D111" s="31" t="inlineStr">
        <is>
          <t>Sai Life Sciences Ltd</t>
        </is>
      </c>
      <c r="E111" s="31" t="inlineStr">
        <is>
          <t>healthcare</t>
        </is>
      </c>
      <c r="F111" s="31" t="inlineStr">
        <is>
          <t>pharmaceuticals - indian - bulk drugs &amp; formln</t>
        </is>
      </c>
      <c r="G111" s="31" t="inlineStr">
        <is>
          <t>largecap</t>
        </is>
      </c>
      <c r="H111" s="32" t="n">
        <v>27919.86</v>
      </c>
      <c r="I111" s="32" t="n">
        <v>1315.1</v>
      </c>
      <c r="J111" s="32" t="n">
        <v>-0.01</v>
      </c>
      <c r="K111" s="32" t="n">
        <v>301581</v>
      </c>
      <c r="L111" s="31" t="n">
        <v>70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73.73999999999999</v>
      </c>
      <c r="P111" s="32" t="n">
        <v>30.36</v>
      </c>
      <c r="Q111" s="32" t="n">
        <v>1078.35</v>
      </c>
      <c r="R111" s="31" t="inlineStr">
        <is>
          <t>Near 52W High Breakout</t>
        </is>
      </c>
      <c r="S111" s="31" t="inlineStr">
        <is>
          <t>Nifty Pharma</t>
        </is>
      </c>
      <c r="T111" s="32" t="n">
        <v>20.55</v>
      </c>
      <c r="U111" s="32" t="n">
        <v>66.89</v>
      </c>
      <c r="V111" s="32" t="n">
        <v>38.44</v>
      </c>
      <c r="W111" s="32" t="n">
        <v>16.26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Yes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Annuity, Lower One Time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Between 12 to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IF(B112=0,"",RANK(B112,$B$2:$B$284,0))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3" t="inlineStr">
        <is>
          <t>PPLPHARMA</t>
        </is>
      </c>
      <c r="D112" s="33" t="inlineStr">
        <is>
          <t>Piramal Pharma Ltd</t>
        </is>
      </c>
      <c r="E112" s="31" t="inlineStr">
        <is>
          <t>healthcare</t>
        </is>
      </c>
      <c r="F112" s="31" t="inlineStr">
        <is>
          <t>pharmaceuticals - indian - bulk drugs &amp; formln</t>
        </is>
      </c>
      <c r="G112" s="31" t="inlineStr">
        <is>
          <t>largecap</t>
        </is>
      </c>
      <c r="H112" s="32" t="n">
        <v>26190.28</v>
      </c>
      <c r="I112" s="32" t="n">
        <v>195.61</v>
      </c>
      <c r="J112" s="32" t="n">
        <v>-0.5600000000000001</v>
      </c>
      <c r="K112" s="32" t="n">
        <v>6600393</v>
      </c>
      <c r="L112" s="31" t="n">
        <v>29</v>
      </c>
      <c r="M112" s="31" t="inlineStr">
        <is>
          <t>Underperforming</t>
        </is>
      </c>
      <c r="N112" s="32">
        <f>IF(M112="Underperforming",-5,IF(L112&gt;=95,15,IF(L112&gt;=90,10,IF(L112&gt;=80,5,0))))</f>
        <v/>
      </c>
      <c r="O112" s="32" t="n">
        <v>65.93000000000001</v>
      </c>
      <c r="P112" s="32" t="n">
        <v>20.41</v>
      </c>
      <c r="Q112" s="32" t="n">
        <v>153.24</v>
      </c>
      <c r="R112" s="31" t="inlineStr">
        <is>
          <t>Volume Spike / Accumulation</t>
        </is>
      </c>
      <c r="S112" s="31" t="inlineStr">
        <is>
          <t>Nifty Pharma</t>
        </is>
      </c>
      <c r="T112" s="32" t="n">
        <v>20.55</v>
      </c>
      <c r="U112" s="32" t="n">
        <v>2.6</v>
      </c>
      <c r="V112" s="32" t="n">
        <v>-14.89</v>
      </c>
      <c r="W112" s="32" t="n">
        <v>5.82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Yes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IF(B113=0,"",RANK(B113,$B$2:$B$284,0))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ARTEMISMED</t>
        </is>
      </c>
      <c r="D113" s="31" t="inlineStr">
        <is>
          <t>Artemis Medicare Services Ltd</t>
        </is>
      </c>
      <c r="E113" s="31" t="inlineStr">
        <is>
          <t>healthcare</t>
        </is>
      </c>
      <c r="F113" s="31" t="inlineStr">
        <is>
          <t>healthcare</t>
        </is>
      </c>
      <c r="G113" s="31" t="inlineStr">
        <is>
          <t>smallcap</t>
        </is>
      </c>
      <c r="H113" s="32" t="n">
        <v>4783.22</v>
      </c>
      <c r="I113" s="32" t="n">
        <v>298.5</v>
      </c>
      <c r="J113" s="32" t="n">
        <v>-1.21</v>
      </c>
      <c r="K113" s="32" t="n">
        <v>314078</v>
      </c>
      <c r="L113" s="31" t="n">
        <v>44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66.75</v>
      </c>
      <c r="P113" s="32" t="n">
        <v>21.95</v>
      </c>
      <c r="Q113" s="32" t="n">
        <v>240.99</v>
      </c>
      <c r="R113" s="31" t="inlineStr">
        <is>
          <t>Volume Spike &amp; Near 52W High Breakout</t>
        </is>
      </c>
      <c r="S113" s="31" t="inlineStr">
        <is>
          <t>Nifty Pharma</t>
        </is>
      </c>
      <c r="T113" s="32" t="n">
        <v>20.55</v>
      </c>
      <c r="U113" s="32" t="n">
        <v>22.08</v>
      </c>
      <c r="V113" s="32" t="n">
        <v>1.27</v>
      </c>
      <c r="W113" s="32" t="n">
        <v>8.93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Yes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IF(B114=0,"",RANK(B114,$B$2:$B$284,0))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NELCO</t>
        </is>
      </c>
      <c r="D114" s="31" t="inlineStr">
        <is>
          <t>Nelco Limited</t>
        </is>
      </c>
      <c r="E114" s="31" t="inlineStr">
        <is>
          <t>telecom</t>
        </is>
      </c>
      <c r="F114" s="31" t="inlineStr">
        <is>
          <t>telecommunications - service provider</t>
        </is>
      </c>
      <c r="G114" s="31" t="inlineStr">
        <is>
          <t>smallcap</t>
        </is>
      </c>
      <c r="H114" s="32" t="n">
        <v>2121.54</v>
      </c>
      <c r="I114" s="32" t="n">
        <v>1015.65</v>
      </c>
      <c r="J114" s="32" t="n">
        <v>9.24</v>
      </c>
      <c r="K114" s="32" t="n">
        <v>2015863</v>
      </c>
      <c r="L114" s="31" t="n">
        <v>64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68.61</v>
      </c>
      <c r="P114" s="32" t="n">
        <v>25.7</v>
      </c>
      <c r="Q114" s="32" t="n">
        <v>760.83</v>
      </c>
      <c r="R114" s="31" t="inlineStr">
        <is>
          <t>Near 52W High Breakout</t>
        </is>
      </c>
      <c r="S114" s="31" t="inlineStr">
        <is>
          <t>Nifty 50</t>
        </is>
      </c>
      <c r="T114" s="32" t="n">
        <v>-0.74</v>
      </c>
      <c r="U114" s="32" t="n">
        <v>17.03</v>
      </c>
      <c r="V114" s="32" t="n">
        <v>17.9</v>
      </c>
      <c r="W114" s="32" t="n">
        <v>14.64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Oligopoly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Yes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IF(B115=0,"",RANK(B115,$B$2:$B$284,0))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TATVA</t>
        </is>
      </c>
      <c r="D115" s="31" t="inlineStr">
        <is>
          <t>Tatva Chintan Pharma Chem Ltd</t>
        </is>
      </c>
      <c r="E115" s="31" t="inlineStr">
        <is>
          <t>chemicals</t>
        </is>
      </c>
      <c r="F115" s="31" t="inlineStr">
        <is>
          <t>chemicals</t>
        </is>
      </c>
      <c r="G115" s="31" t="inlineStr">
        <is>
          <t>smallcap</t>
        </is>
      </c>
      <c r="H115" s="32" t="n">
        <v>3930.33</v>
      </c>
      <c r="I115" s="32" t="n">
        <v>1788.2</v>
      </c>
      <c r="J115" s="32" t="n">
        <v>6.43</v>
      </c>
      <c r="K115" s="32" t="n">
        <v>179388</v>
      </c>
      <c r="L115" s="31" t="n">
        <v>78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75.67</v>
      </c>
      <c r="P115" s="32" t="n">
        <v>22.46</v>
      </c>
      <c r="Q115" s="32" t="n">
        <v>1360.9</v>
      </c>
      <c r="R115" s="31" t="inlineStr">
        <is>
          <t>Near 52W High Breakout</t>
        </is>
      </c>
      <c r="S115" s="31" t="inlineStr">
        <is>
          <t>Nifty 50</t>
        </is>
      </c>
      <c r="T115" s="32" t="n">
        <v>-0.74</v>
      </c>
      <c r="U115" s="32" t="n">
        <v>60.52</v>
      </c>
      <c r="V115" s="32" t="n">
        <v>61.72</v>
      </c>
      <c r="W115" s="32" t="n">
        <v>19.48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IF(B116=0,"",RANK(B116,$B$2:$B$284,0))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3" t="inlineStr">
        <is>
          <t>ASKAUTOLTD</t>
        </is>
      </c>
      <c r="D116" s="33" t="inlineStr">
        <is>
          <t>ASK Automotive Ltd</t>
        </is>
      </c>
      <c r="E116" s="31" t="inlineStr">
        <is>
          <t>auto</t>
        </is>
      </c>
      <c r="F116" s="31" t="inlineStr">
        <is>
          <t>auto ancillaries</t>
        </is>
      </c>
      <c r="G116" s="31" t="inlineStr">
        <is>
          <t>midcap</t>
        </is>
      </c>
      <c r="H116" s="32" t="n">
        <v>10014.84</v>
      </c>
      <c r="I116" s="32" t="n">
        <v>528.05</v>
      </c>
      <c r="J116" s="32" t="n">
        <v>3.95</v>
      </c>
      <c r="K116" s="32" t="n">
        <v>306260</v>
      </c>
      <c r="L116" s="31" t="n">
        <v>31</v>
      </c>
      <c r="M116" s="31" t="inlineStr">
        <is>
          <t>Underperforming</t>
        </is>
      </c>
      <c r="N116" s="32">
        <f>IF(M116="Underperforming",-5,IF(L116&gt;=95,15,IF(L116&gt;=90,10,IF(L116&gt;=80,5,0))))</f>
        <v/>
      </c>
      <c r="O116" s="32" t="n">
        <v>67.83</v>
      </c>
      <c r="P116" s="32" t="n">
        <v>11.15</v>
      </c>
      <c r="Q116" s="32" t="n">
        <v>433.21</v>
      </c>
      <c r="R116" s="31" t="inlineStr">
        <is>
          <t>Near 52W High Breakout</t>
        </is>
      </c>
      <c r="S116" s="31" t="inlineStr">
        <is>
          <t>Nifty Auto</t>
        </is>
      </c>
      <c r="T116" s="32" t="n">
        <v>20.87</v>
      </c>
      <c r="U116" s="32" t="n">
        <v>4.27</v>
      </c>
      <c r="V116" s="32" t="n">
        <v>-13.74</v>
      </c>
      <c r="W116" s="32" t="n">
        <v>6.28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0 to 20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Between 50% to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IF(B117=0,"",RANK(B117,$B$2:$B$284,0))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BEPL</t>
        </is>
      </c>
      <c r="D117" s="31" t="inlineStr">
        <is>
          <t>Bhansali Engineering Polymers Limited</t>
        </is>
      </c>
      <c r="E117" s="31" t="inlineStr">
        <is>
          <t>energy</t>
        </is>
      </c>
      <c r="F117" s="31" t="inlineStr">
        <is>
          <t>petrochemicals</t>
        </is>
      </c>
      <c r="G117" s="31" t="inlineStr">
        <is>
          <t>smallcap</t>
        </is>
      </c>
      <c r="H117" s="32" t="n">
        <v>2782.49</v>
      </c>
      <c r="I117" s="32" t="n">
        <v>116.02</v>
      </c>
      <c r="J117" s="32" t="n">
        <v>3.77</v>
      </c>
      <c r="K117" s="32" t="n">
        <v>2215046</v>
      </c>
      <c r="L117" s="31" t="n">
        <v>35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67.09999999999999</v>
      </c>
      <c r="P117" s="32" t="n">
        <v>42.43</v>
      </c>
      <c r="Q117" s="32" t="n">
        <v>94.73</v>
      </c>
      <c r="R117" s="31" t="inlineStr">
        <is>
          <t>Near 52W High Breakout</t>
        </is>
      </c>
      <c r="S117" s="31" t="inlineStr">
        <is>
          <t>Nifty Energy</t>
        </is>
      </c>
      <c r="T117" s="32" t="n">
        <v>9.869999999999999</v>
      </c>
      <c r="U117" s="32" t="n">
        <v>12.43</v>
      </c>
      <c r="V117" s="32" t="n">
        <v>2.33</v>
      </c>
      <c r="W117" s="32" t="n">
        <v>7.2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Oligopoly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Cyclical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Volatile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IF(B118=0,"",RANK(B118,$B$2:$B$284,0))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KDDL</t>
        </is>
      </c>
      <c r="D118" s="31" t="inlineStr">
        <is>
          <t>Kddl Limited</t>
        </is>
      </c>
      <c r="E118" s="31" t="inlineStr">
        <is>
          <t>consumer discretionary</t>
        </is>
      </c>
      <c r="F118" s="31" t="inlineStr">
        <is>
          <t>miscellaneous</t>
        </is>
      </c>
      <c r="G118" s="31" t="inlineStr">
        <is>
          <t>smallcap</t>
        </is>
      </c>
      <c r="H118" s="32" t="n">
        <v>3925.68</v>
      </c>
      <c r="I118" s="32" t="n">
        <v>3302</v>
      </c>
      <c r="J118" s="32" t="n">
        <v>3.45</v>
      </c>
      <c r="K118" s="32" t="n">
        <v>29055</v>
      </c>
      <c r="L118" s="31" t="n">
        <v>62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67.83</v>
      </c>
      <c r="P118" s="32" t="n">
        <v>32.17</v>
      </c>
      <c r="Q118" s="32" t="n">
        <v>2506.95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-0.74</v>
      </c>
      <c r="U118" s="32" t="n">
        <v>27.08</v>
      </c>
      <c r="V118" s="32" t="n">
        <v>28.03</v>
      </c>
      <c r="W118" s="32" t="n">
        <v>13.92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Between 1.5 to 2</t>
        </is>
      </c>
      <c r="BU118" s="31">
        <f>IF(BT118="Above 2",0,IF(BT118="Between 1.5 to 2",5,IF(BT118="Less than 1.5",10,0)))</f>
        <v/>
      </c>
      <c r="BV118" s="31" t="inlineStr">
        <is>
          <t>Less than 50%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IF(B119=0,"",RANK(B119,$B$2:$B$284,0))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ORBTEXP</t>
        </is>
      </c>
      <c r="D119" s="31" t="inlineStr">
        <is>
          <t>Orbit Exports Limited</t>
        </is>
      </c>
      <c r="E119" s="31" t="inlineStr">
        <is>
          <t>textiles</t>
        </is>
      </c>
      <c r="F119" s="31" t="inlineStr">
        <is>
          <t>textiles - processing</t>
        </is>
      </c>
      <c r="G119" s="31" t="inlineStr">
        <is>
          <t>smallcap</t>
        </is>
      </c>
      <c r="H119" s="32" t="n">
        <v>622.22</v>
      </c>
      <c r="I119" s="32" t="n">
        <v>241</v>
      </c>
      <c r="J119" s="32" t="n">
        <v>2.68</v>
      </c>
      <c r="K119" s="32" t="n">
        <v>3927</v>
      </c>
      <c r="L119" s="31" t="n">
        <v>63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68.73999999999999</v>
      </c>
      <c r="P119" s="32" t="n">
        <v>34.36</v>
      </c>
      <c r="Q119" s="32" t="n">
        <v>173.95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-0.74</v>
      </c>
      <c r="U119" s="32" t="n">
        <v>15.11</v>
      </c>
      <c r="V119" s="32" t="n">
        <v>15.97</v>
      </c>
      <c r="W119" s="32" t="n">
        <v>14.04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Close to 52 week high or retracement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Less than 12%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IF(B120=0,"",RANK(B120,$B$2:$B$284,0))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SEAMECLTD</t>
        </is>
      </c>
      <c r="D120" s="31" t="inlineStr">
        <is>
          <t>Seamec Limited</t>
        </is>
      </c>
      <c r="E120" s="31" t="inlineStr">
        <is>
          <t>miscellaneous</t>
        </is>
      </c>
      <c r="F120" s="31" t="inlineStr">
        <is>
          <t>miscellaneous</t>
        </is>
      </c>
      <c r="G120" s="31" t="inlineStr">
        <is>
          <t>smallcap</t>
        </is>
      </c>
      <c r="H120" s="32" t="n">
        <v>3629.67</v>
      </c>
      <c r="I120" s="32" t="n">
        <v>1462.3</v>
      </c>
      <c r="J120" s="32" t="n">
        <v>2.43</v>
      </c>
      <c r="K120" s="32" t="n">
        <v>38341</v>
      </c>
      <c r="L120" s="31" t="n">
        <v>59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54.83</v>
      </c>
      <c r="P120" s="32" t="n">
        <v>30.67</v>
      </c>
      <c r="Q120" s="32" t="n">
        <v>1232.59</v>
      </c>
      <c r="R120" s="31" t="inlineStr">
        <is>
          <t>Earnings / Momentum Support</t>
        </is>
      </c>
      <c r="S120" s="31" t="inlineStr">
        <is>
          <t>Nifty 50</t>
        </is>
      </c>
      <c r="T120" s="32" t="n">
        <v>-0.74</v>
      </c>
      <c r="U120" s="32" t="n">
        <v>84.67</v>
      </c>
      <c r="V120" s="32" t="n">
        <v>86.05</v>
      </c>
      <c r="W120" s="32" t="n">
        <v>12.76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No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IF(B121=0,"",RANK(B121,$B$2:$B$284,0))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RICOAUTO</t>
        </is>
      </c>
      <c r="D121" s="31" t="inlineStr">
        <is>
          <t>Rico Auto Industries Limited</t>
        </is>
      </c>
      <c r="E121" s="31" t="inlineStr">
        <is>
          <t>auto</t>
        </is>
      </c>
      <c r="F121" s="31" t="inlineStr">
        <is>
          <t>auto ancillaries</t>
        </is>
      </c>
      <c r="G121" s="31" t="inlineStr">
        <is>
          <t>smallcap</t>
        </is>
      </c>
      <c r="H121" s="32" t="n">
        <v>1872.89</v>
      </c>
      <c r="I121" s="32" t="n">
        <v>141.77</v>
      </c>
      <c r="J121" s="32" t="n">
        <v>2.41</v>
      </c>
      <c r="K121" s="32" t="n">
        <v>1744862</v>
      </c>
      <c r="L121" s="31" t="n">
        <v>80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59.46</v>
      </c>
      <c r="P121" s="32" t="n">
        <v>32.92</v>
      </c>
      <c r="Q121" s="32" t="n">
        <v>103.17</v>
      </c>
      <c r="R121" s="31" t="inlineStr">
        <is>
          <t>Near 52W High Breakout</t>
        </is>
      </c>
      <c r="S121" s="31" t="inlineStr">
        <is>
          <t>Nifty Auto</t>
        </is>
      </c>
      <c r="T121" s="32" t="n">
        <v>20.87</v>
      </c>
      <c r="U121" s="32" t="n">
        <v>100.46</v>
      </c>
      <c r="V121" s="32" t="n">
        <v>65.84999999999999</v>
      </c>
      <c r="W121" s="32" t="n">
        <v>20.75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Between 0.7 to 1.2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IF(B122=0,"",RANK(B122,$B$2:$B$284,0))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RSWM</t>
        </is>
      </c>
      <c r="D122" s="31" t="inlineStr">
        <is>
          <t>Rswm Limited</t>
        </is>
      </c>
      <c r="E122" s="31" t="inlineStr">
        <is>
          <t>textiles</t>
        </is>
      </c>
      <c r="F122" s="31" t="inlineStr">
        <is>
          <t>textiles - cotton/blended</t>
        </is>
      </c>
      <c r="G122" s="31" t="inlineStr">
        <is>
          <t>smallcap</t>
        </is>
      </c>
      <c r="H122" s="32" t="n">
        <v>991.6799999999999</v>
      </c>
      <c r="I122" s="32" t="n">
        <v>214.5</v>
      </c>
      <c r="J122" s="32" t="n">
        <v>1.88</v>
      </c>
      <c r="K122" s="32" t="n">
        <v>31290</v>
      </c>
      <c r="L122" s="31" t="n">
        <v>63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68.25</v>
      </c>
      <c r="P122" s="32" t="n">
        <v>37.87</v>
      </c>
      <c r="Q122" s="32" t="n">
        <v>161.28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-0.74</v>
      </c>
      <c r="U122" s="32" t="n">
        <v>40.36</v>
      </c>
      <c r="V122" s="32" t="n">
        <v>41.41</v>
      </c>
      <c r="W122" s="32" t="n">
        <v>13.96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More than 1.2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IF(B123=0,"",RANK(B123,$B$2:$B$284,0))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3" t="inlineStr">
        <is>
          <t>IGPL</t>
        </is>
      </c>
      <c r="D123" s="33" t="inlineStr">
        <is>
          <t>Ig Petrochemicals Limited</t>
        </is>
      </c>
      <c r="E123" s="31" t="inlineStr">
        <is>
          <t>chemicals</t>
        </is>
      </c>
      <c r="F123" s="31" t="inlineStr">
        <is>
          <t>chemicals</t>
        </is>
      </c>
      <c r="G123" s="31" t="inlineStr">
        <is>
          <t>smallcap</t>
        </is>
      </c>
      <c r="H123" s="32" t="n">
        <v>1441.66</v>
      </c>
      <c r="I123" s="32" t="n">
        <v>475</v>
      </c>
      <c r="J123" s="32" t="n">
        <v>1.46</v>
      </c>
      <c r="K123" s="32" t="n">
        <v>16176</v>
      </c>
      <c r="L123" s="31" t="n">
        <v>16</v>
      </c>
      <c r="M123" s="31" t="inlineStr">
        <is>
          <t>Underperforming</t>
        </is>
      </c>
      <c r="N123" s="32">
        <f>IF(M123="Underperforming",-5,IF(L123&gt;=95,15,IF(L123&gt;=90,10,IF(L123&gt;=80,5,0))))</f>
        <v/>
      </c>
      <c r="O123" s="32" t="n">
        <v>62.27</v>
      </c>
      <c r="P123" s="32" t="n">
        <v>20.16</v>
      </c>
      <c r="Q123" s="32" t="n">
        <v>369.13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-0.74</v>
      </c>
      <c r="U123" s="32" t="n">
        <v>-1.1</v>
      </c>
      <c r="V123" s="32" t="n">
        <v>-0.37</v>
      </c>
      <c r="W123" s="32" t="n">
        <v>3.05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IF(B124=0,"",RANK(B124,$B$2:$B$284,0))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JUBLINGREA</t>
        </is>
      </c>
      <c r="D124" s="33" t="inlineStr">
        <is>
          <t>Jubilant Ingrevia Ltd</t>
        </is>
      </c>
      <c r="E124" s="31" t="inlineStr">
        <is>
          <t>chemicals</t>
        </is>
      </c>
      <c r="F124" s="31" t="inlineStr">
        <is>
          <t>chemicals</t>
        </is>
      </c>
      <c r="G124" s="31" t="inlineStr">
        <is>
          <t>midcap</t>
        </is>
      </c>
      <c r="H124" s="32" t="n">
        <v>11602.83</v>
      </c>
      <c r="I124" s="32" t="n">
        <v>735.7</v>
      </c>
      <c r="J124" s="32" t="n">
        <v>1</v>
      </c>
      <c r="K124" s="32" t="n">
        <v>131842</v>
      </c>
      <c r="L124" s="31" t="n">
        <v>7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59.17</v>
      </c>
      <c r="P124" s="32" t="n">
        <v>19.22</v>
      </c>
      <c r="Q124" s="32" t="n">
        <v>569.46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-0.74</v>
      </c>
      <c r="U124" s="32" t="n">
        <v>-1.78</v>
      </c>
      <c r="V124" s="32" t="n">
        <v>-1.05</v>
      </c>
      <c r="W124" s="32" t="n">
        <v>0.72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0 to 20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IF(B125=0,"",RANK(B125,$B$2:$B$284,0))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3" t="inlineStr">
        <is>
          <t>TNPL</t>
        </is>
      </c>
      <c r="D125" s="33" t="inlineStr">
        <is>
          <t>Tamil Nadu Newsprint &amp; Papers Limited</t>
        </is>
      </c>
      <c r="E125" s="31" t="inlineStr">
        <is>
          <t>building materials</t>
        </is>
      </c>
      <c r="F125" s="31" t="inlineStr">
        <is>
          <t>paper</t>
        </is>
      </c>
      <c r="G125" s="31" t="inlineStr">
        <is>
          <t>smallcap</t>
        </is>
      </c>
      <c r="H125" s="32" t="n">
        <v>1034.42</v>
      </c>
      <c r="I125" s="32" t="n">
        <v>150.68</v>
      </c>
      <c r="J125" s="32" t="n">
        <v>0.82</v>
      </c>
      <c r="K125" s="32" t="n">
        <v>141539</v>
      </c>
      <c r="L125" s="31" t="n">
        <v>5</v>
      </c>
      <c r="M125" s="31" t="inlineStr">
        <is>
          <t>Underperforming</t>
        </is>
      </c>
      <c r="N125" s="32">
        <f>IF(M125="Underperforming",-5,IF(L125&gt;=95,15,IF(L125&gt;=90,10,IF(L125&gt;=80,5,0))))</f>
        <v/>
      </c>
      <c r="O125" s="32" t="n">
        <v>56.8</v>
      </c>
      <c r="P125" s="32" t="n">
        <v>12.81</v>
      </c>
      <c r="Q125" s="32" t="n">
        <v>128.72</v>
      </c>
      <c r="R125" s="31" t="inlineStr">
        <is>
          <t>Volume Spike / Accumulation</t>
        </is>
      </c>
      <c r="S125" s="31" t="inlineStr">
        <is>
          <t>Nifty Infra</t>
        </is>
      </c>
      <c r="T125" s="32" t="n">
        <v>3.78</v>
      </c>
      <c r="U125" s="32" t="n">
        <v>-6.94</v>
      </c>
      <c r="V125" s="32" t="n">
        <v>-10.33</v>
      </c>
      <c r="W125" s="32" t="n">
        <v>0.34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0 to 20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Less than 1.5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IF(B126=0,"",RANK(B126,$B$2:$B$284,0))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PAYTM</t>
        </is>
      </c>
      <c r="D126" s="31" t="inlineStr">
        <is>
          <t>One 97 Communications Ltd</t>
        </is>
      </c>
      <c r="E126" s="31" t="inlineStr">
        <is>
          <t>i.t</t>
        </is>
      </c>
      <c r="F126" s="31" t="inlineStr">
        <is>
          <t>miscellaneous</t>
        </is>
      </c>
      <c r="G126" s="31" t="inlineStr">
        <is>
          <t>largecap</t>
        </is>
      </c>
      <c r="H126" s="32" t="n">
        <v>85324.91</v>
      </c>
      <c r="I126" s="32" t="n">
        <v>1343</v>
      </c>
      <c r="J126" s="32" t="n">
        <v>0.79</v>
      </c>
      <c r="K126" s="32" t="n">
        <v>2303094</v>
      </c>
      <c r="L126" s="31" t="n">
        <v>47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62.39</v>
      </c>
      <c r="P126" s="32" t="n">
        <v>16.25</v>
      </c>
      <c r="Q126" s="32" t="n">
        <v>1050.36</v>
      </c>
      <c r="R126" s="31" t="inlineStr">
        <is>
          <t>Near 52W High Breakout</t>
        </is>
      </c>
      <c r="S126" s="31" t="inlineStr">
        <is>
          <t>Nifty IT</t>
        </is>
      </c>
      <c r="T126" s="32" t="n">
        <v>-11.37</v>
      </c>
      <c r="U126" s="32" t="n">
        <v>24.77</v>
      </c>
      <c r="V126" s="32" t="n">
        <v>40.78</v>
      </c>
      <c r="W126" s="32" t="n">
        <v>9.93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Blue sky scenario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Between 1.5 to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IF(B127=0,"",RANK(B127,$B$2:$B$284,0))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NAHARSPING</t>
        </is>
      </c>
      <c r="D127" s="31" t="inlineStr">
        <is>
          <t>Nahar Spinning Mills Limited</t>
        </is>
      </c>
      <c r="E127" s="31" t="inlineStr">
        <is>
          <t>textiles</t>
        </is>
      </c>
      <c r="F127" s="31" t="inlineStr">
        <is>
          <t>textiles - cotton/blended</t>
        </is>
      </c>
      <c r="G127" s="31" t="inlineStr">
        <is>
          <t>smallcap</t>
        </is>
      </c>
      <c r="H127" s="32" t="n">
        <v>1001.71</v>
      </c>
      <c r="I127" s="32" t="n">
        <v>279</v>
      </c>
      <c r="J127" s="32" t="n">
        <v>0.45</v>
      </c>
      <c r="K127" s="32" t="n">
        <v>7021</v>
      </c>
      <c r="L127" s="31" t="n">
        <v>43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63.51</v>
      </c>
      <c r="P127" s="32" t="n">
        <v>22.89</v>
      </c>
      <c r="Q127" s="32" t="n">
        <v>220.65</v>
      </c>
      <c r="R127" s="31" t="inlineStr">
        <is>
          <t>Near 52W High Breakout</t>
        </is>
      </c>
      <c r="S127" s="31" t="inlineStr">
        <is>
          <t>Nifty 50</t>
        </is>
      </c>
      <c r="T127" s="32" t="n">
        <v>-0.74</v>
      </c>
      <c r="U127" s="32" t="n">
        <v>17.86</v>
      </c>
      <c r="V127" s="32" t="n">
        <v>18.74</v>
      </c>
      <c r="W127" s="32" t="n">
        <v>8.82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Between 12 to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IF(B128=0,"",RANK(B128,$B$2:$B$284,0))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NYKAA</t>
        </is>
      </c>
      <c r="D128" s="31" t="inlineStr">
        <is>
          <t>FSN E-Commerce Ventures Ltd</t>
        </is>
      </c>
      <c r="E128" s="31" t="inlineStr">
        <is>
          <t>i.t</t>
        </is>
      </c>
      <c r="F128" s="31" t="inlineStr">
        <is>
          <t>trading</t>
        </is>
      </c>
      <c r="G128" s="31" t="inlineStr">
        <is>
          <t>largecap</t>
        </is>
      </c>
      <c r="H128" s="32" t="n">
        <v>95580.13</v>
      </c>
      <c r="I128" s="32" t="n">
        <v>333.4</v>
      </c>
      <c r="J128" s="32" t="n">
        <v>-0.1</v>
      </c>
      <c r="K128" s="32" t="n">
        <v>6380951</v>
      </c>
      <c r="L128" s="31" t="n">
        <v>67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72.40000000000001</v>
      </c>
      <c r="P128" s="32" t="n">
        <v>38.28</v>
      </c>
      <c r="Q128" s="32" t="n">
        <v>282.83</v>
      </c>
      <c r="R128" s="31" t="inlineStr">
        <is>
          <t>Near 52W High Breakout</t>
        </is>
      </c>
      <c r="S128" s="31" t="inlineStr">
        <is>
          <t>Nifty IT</t>
        </is>
      </c>
      <c r="T128" s="32" t="n">
        <v>-11.37</v>
      </c>
      <c r="U128" s="32" t="n">
        <v>58.72</v>
      </c>
      <c r="V128" s="32" t="n">
        <v>79.08</v>
      </c>
      <c r="W128" s="32" t="n">
        <v>15.4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Between 0.7 to 1.2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IF(B129=0,"",RANK(B129,$B$2:$B$284,0))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COMSYN</t>
        </is>
      </c>
      <c r="D129" s="31" t="inlineStr">
        <is>
          <t>Commercial Syn Bags Ltd</t>
        </is>
      </c>
      <c r="E129" s="31" t="inlineStr">
        <is>
          <t>industrials</t>
        </is>
      </c>
      <c r="F129" s="31" t="inlineStr">
        <is>
          <t>packaging</t>
        </is>
      </c>
      <c r="G129" s="31" t="inlineStr">
        <is>
          <t>smallcap</t>
        </is>
      </c>
      <c r="H129" s="32" t="n">
        <v>862.09</v>
      </c>
      <c r="I129" s="32" t="n">
        <v>213</v>
      </c>
      <c r="J129" s="32" t="n">
        <v>-0.33</v>
      </c>
      <c r="K129" s="32" t="n">
        <v>1780074</v>
      </c>
      <c r="L129" s="31" t="n">
        <v>77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69.59</v>
      </c>
      <c r="P129" s="32" t="n">
        <v>52.18</v>
      </c>
      <c r="Q129" s="32" t="n">
        <v>154.07</v>
      </c>
      <c r="R129" s="31" t="inlineStr">
        <is>
          <t>Volume Spike &amp; Near 52W High Breakout</t>
        </is>
      </c>
      <c r="S129" s="31" t="inlineStr">
        <is>
          <t>Nifty 50</t>
        </is>
      </c>
      <c r="T129" s="32" t="n">
        <v>-0.74</v>
      </c>
      <c r="U129" s="32" t="n">
        <v>63.96</v>
      </c>
      <c r="V129" s="32" t="n">
        <v>65.18000000000001</v>
      </c>
      <c r="W129" s="32" t="n">
        <v>19.32</v>
      </c>
      <c r="X129" s="31" t="inlineStr">
        <is>
          <t>Cyclical in an Upturn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Above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Less than 12%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Between 0.7 to 1.2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IF(B130=0,"",RANK(B130,$B$2:$B$284,0))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DIACABS</t>
        </is>
      </c>
      <c r="D130" s="31" t="inlineStr">
        <is>
          <t>Diamond Power Infrastructure Ltd</t>
        </is>
      </c>
      <c r="E130" s="31" t="inlineStr">
        <is>
          <t>industrials</t>
        </is>
      </c>
      <c r="F130" s="31" t="inlineStr">
        <is>
          <t>cables - power</t>
        </is>
      </c>
      <c r="G130" s="31" t="inlineStr">
        <is>
          <t>midcap</t>
        </is>
      </c>
      <c r="H130" s="32" t="n">
        <v>17311</v>
      </c>
      <c r="I130" s="32" t="n">
        <v>323.97</v>
      </c>
      <c r="J130" s="32" t="n">
        <v>-1.38</v>
      </c>
      <c r="K130" s="32" t="n">
        <v>5772848</v>
      </c>
      <c r="L130" s="31" t="n">
        <v>96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86.04000000000001</v>
      </c>
      <c r="P130" s="32" t="n">
        <v>56.84</v>
      </c>
      <c r="Q130" s="32" t="n">
        <v>247.38</v>
      </c>
      <c r="R130" s="31" t="inlineStr">
        <is>
          <t>Near 52W High Breakout</t>
        </is>
      </c>
      <c r="S130" s="31" t="inlineStr">
        <is>
          <t>Nifty Energy</t>
        </is>
      </c>
      <c r="T130" s="32" t="n">
        <v>9.869999999999999</v>
      </c>
      <c r="U130" s="32" t="n">
        <v>98.91</v>
      </c>
      <c r="V130" s="32" t="n">
        <v>81.05</v>
      </c>
      <c r="W130" s="32" t="n">
        <v>41.16</v>
      </c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Above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Negative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IF(B131=0,"",RANK(B131,$B$2:$B$284,0))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MACPOWER</t>
        </is>
      </c>
      <c r="D131" s="31" t="inlineStr">
        <is>
          <t>Macpower CNC Machines Ltd</t>
        </is>
      </c>
      <c r="E131" s="31" t="inlineStr">
        <is>
          <t>industrials</t>
        </is>
      </c>
      <c r="F131" s="31" t="inlineStr">
        <is>
          <t>engineering</t>
        </is>
      </c>
      <c r="G131" s="31" t="inlineStr">
        <is>
          <t>smallcap</t>
        </is>
      </c>
      <c r="H131" s="32" t="n">
        <v>1481.82</v>
      </c>
      <c r="I131" s="32" t="n">
        <v>1458.2</v>
      </c>
      <c r="J131" s="32" t="n">
        <v>-1.55</v>
      </c>
      <c r="K131" s="32" t="n">
        <v>87319</v>
      </c>
      <c r="L131" s="31" t="n">
        <v>64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67.31999999999999</v>
      </c>
      <c r="P131" s="32" t="n">
        <v>29.08</v>
      </c>
      <c r="Q131" s="32" t="n">
        <v>1003.53</v>
      </c>
      <c r="R131" s="31" t="inlineStr">
        <is>
          <t>Volume Spike &amp; Near 52W High Breakout</t>
        </is>
      </c>
      <c r="S131" s="31" t="inlineStr">
        <is>
          <t>Nifty 50</t>
        </is>
      </c>
      <c r="T131" s="32" t="n">
        <v>-0.74</v>
      </c>
      <c r="U131" s="32" t="n">
        <v>40.31</v>
      </c>
      <c r="V131" s="32" t="n">
        <v>41.36</v>
      </c>
      <c r="W131" s="32" t="n">
        <v>14.48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IF(B132=0,"",RANK(B132,$B$2:$B$284,0))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TORNTPHARM</t>
        </is>
      </c>
      <c r="D132" s="31" t="inlineStr">
        <is>
          <t>Torrent Pharmaceuticals Limited</t>
        </is>
      </c>
      <c r="E132" s="31" t="inlineStr">
        <is>
          <t>healthcare</t>
        </is>
      </c>
      <c r="F132" s="31" t="inlineStr">
        <is>
          <t>pharmaceuticals - indian - formulations</t>
        </is>
      </c>
      <c r="G132" s="31" t="inlineStr">
        <is>
          <t>largecap</t>
        </is>
      </c>
      <c r="H132" s="32" t="n">
        <v>185319.02</v>
      </c>
      <c r="I132" s="32" t="n">
        <v>5122.8</v>
      </c>
      <c r="J132" s="32" t="n">
        <v>5.15</v>
      </c>
      <c r="K132" s="32" t="n">
        <v>1427856</v>
      </c>
      <c r="L132" s="31" t="n">
        <v>56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73.45999999999999</v>
      </c>
      <c r="P132" s="32" t="n">
        <v>41.79</v>
      </c>
      <c r="Q132" s="32" t="n">
        <v>4387.24</v>
      </c>
      <c r="R132" s="31" t="inlineStr">
        <is>
          <t>Near 52W High Breakout</t>
        </is>
      </c>
      <c r="S132" s="31" t="inlineStr">
        <is>
          <t>Nifty Pharma</t>
        </is>
      </c>
      <c r="T132" s="32" t="n">
        <v>20.55</v>
      </c>
      <c r="U132" s="32" t="n">
        <v>40.51</v>
      </c>
      <c r="V132" s="32" t="n">
        <v>16.56</v>
      </c>
      <c r="W132" s="32" t="n">
        <v>11.96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Yes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Less than 12%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IF(B133=0,"",RANK(B133,$B$2:$B$284,0))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HNDFDS</t>
        </is>
      </c>
      <c r="D133" s="31" t="inlineStr">
        <is>
          <t>Hindustan Foods Ltd</t>
        </is>
      </c>
      <c r="E133" s="31" t="inlineStr">
        <is>
          <t>fmcg</t>
        </is>
      </c>
      <c r="F133" s="31" t="inlineStr">
        <is>
          <t>diversified - large</t>
        </is>
      </c>
      <c r="G133" s="31" t="inlineStr">
        <is>
          <t>midcap</t>
        </is>
      </c>
      <c r="H133" s="32" t="n">
        <v>6955.34</v>
      </c>
      <c r="I133" s="32" t="n">
        <v>574</v>
      </c>
      <c r="J133" s="32" t="n">
        <v>-0.01</v>
      </c>
      <c r="K133" s="32" t="n">
        <v>47200</v>
      </c>
      <c r="L133" s="31" t="n">
        <v>26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62.15</v>
      </c>
      <c r="P133" s="32" t="n">
        <v>34.03</v>
      </c>
      <c r="Q133" s="32" t="n">
        <v>479.6</v>
      </c>
      <c r="R133" s="31" t="inlineStr">
        <is>
          <t>Near 52W High Breakout</t>
        </is>
      </c>
      <c r="S133" s="31" t="inlineStr">
        <is>
          <t>Nifty FMCG</t>
        </is>
      </c>
      <c r="T133" s="32" t="n">
        <v>-10</v>
      </c>
      <c r="U133" s="32" t="n">
        <v>4.72</v>
      </c>
      <c r="V133" s="32" t="n">
        <v>16.36</v>
      </c>
      <c r="W133" s="32" t="n">
        <v>5.13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B2C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Between 1.5 to 2</t>
        </is>
      </c>
      <c r="BU133" s="31">
        <f>IF(BT133="Above 2",0,IF(BT133="Between 1.5 to 2",5,IF(BT133="Less than 1.5",10,0)))</f>
        <v/>
      </c>
      <c r="BV133" s="31" t="inlineStr">
        <is>
          <t>Less than 50%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Between 0.7 to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IF(B134=0,"",RANK(B134,$B$2:$B$284,0))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TATATECH</t>
        </is>
      </c>
      <c r="D134" s="31" t="inlineStr">
        <is>
          <t>Tata Technologies Ltd</t>
        </is>
      </c>
      <c r="E134" s="31" t="inlineStr">
        <is>
          <t>i.t</t>
        </is>
      </c>
      <c r="F134" s="31" t="inlineStr">
        <is>
          <t>computers - software - medium / small</t>
        </is>
      </c>
      <c r="G134" s="31" t="inlineStr">
        <is>
          <t>largecap</t>
        </is>
      </c>
      <c r="H134" s="32" t="n">
        <v>30508.7</v>
      </c>
      <c r="I134" s="32" t="n">
        <v>747.65</v>
      </c>
      <c r="J134" s="32" t="n">
        <v>-0.49</v>
      </c>
      <c r="K134" s="32" t="n">
        <v>433698</v>
      </c>
      <c r="L134" s="31" t="n">
        <v>44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61.88</v>
      </c>
      <c r="P134" s="32" t="n">
        <v>29</v>
      </c>
      <c r="Q134" s="32" t="n">
        <v>600.54</v>
      </c>
      <c r="R134" s="31" t="inlineStr">
        <is>
          <t>Near 52W High Breakout</t>
        </is>
      </c>
      <c r="S134" s="31" t="inlineStr">
        <is>
          <t>Nifty IT</t>
        </is>
      </c>
      <c r="T134" s="32" t="n">
        <v>-11.37</v>
      </c>
      <c r="U134" s="32" t="n">
        <v>9.4</v>
      </c>
      <c r="V134" s="32" t="n">
        <v>23.44</v>
      </c>
      <c r="W134" s="32" t="n">
        <v>8.84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Less than 12%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IF(B135=0,"",RANK(B135,$B$2:$B$284,0))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HMVL</t>
        </is>
      </c>
      <c r="D135" s="31" t="inlineStr">
        <is>
          <t>Hindustan Media Ventures Limited</t>
        </is>
      </c>
      <c r="E135" s="31" t="inlineStr">
        <is>
          <t>media</t>
        </is>
      </c>
      <c r="F135" s="31" t="inlineStr">
        <is>
          <t>entertainment / electronic media software</t>
        </is>
      </c>
      <c r="G135" s="31" t="inlineStr">
        <is>
          <t>smallcap</t>
        </is>
      </c>
      <c r="H135" s="32" t="n">
        <v>700.47</v>
      </c>
      <c r="I135" s="32" t="n">
        <v>94.5</v>
      </c>
      <c r="J135" s="32" t="n">
        <v>-0.61</v>
      </c>
      <c r="K135" s="32" t="n">
        <v>43171</v>
      </c>
      <c r="L135" s="31" t="n">
        <v>55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71.81</v>
      </c>
      <c r="P135" s="32" t="n">
        <v>31.89</v>
      </c>
      <c r="Q135" s="32" t="n">
        <v>74.27</v>
      </c>
      <c r="R135" s="31" t="inlineStr">
        <is>
          <t>Near 52W High Breakout</t>
        </is>
      </c>
      <c r="S135" s="31" t="inlineStr">
        <is>
          <t>Nifty IT</t>
        </is>
      </c>
      <c r="T135" s="32" t="n">
        <v>-11.37</v>
      </c>
      <c r="U135" s="32" t="n">
        <v>6.42</v>
      </c>
      <c r="V135" s="32" t="n">
        <v>20.08</v>
      </c>
      <c r="W135" s="32" t="n">
        <v>11.68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Between 50% to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IF(B136=0,"",RANK(B136,$B$2:$B$284,0))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NAZARA</t>
        </is>
      </c>
      <c r="D136" s="31" t="inlineStr">
        <is>
          <t>Nazara Technologies Ltd</t>
        </is>
      </c>
      <c r="E136" s="31" t="inlineStr">
        <is>
          <t>i.t</t>
        </is>
      </c>
      <c r="F136" s="31" t="inlineStr">
        <is>
          <t>telecommunications - service provider</t>
        </is>
      </c>
      <c r="G136" s="31" t="inlineStr">
        <is>
          <t>midcap</t>
        </is>
      </c>
      <c r="H136" s="32" t="n">
        <v>11412.18</v>
      </c>
      <c r="I136" s="32" t="n">
        <v>339</v>
      </c>
      <c r="J136" s="32" t="n">
        <v>10.05</v>
      </c>
      <c r="K136" s="32" t="n">
        <v>19465399</v>
      </c>
      <c r="L136" s="31" t="n">
        <v>36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69.36</v>
      </c>
      <c r="P136" s="32" t="n">
        <v>16.13</v>
      </c>
      <c r="Q136" s="32" t="n">
        <v>269.5</v>
      </c>
      <c r="R136" s="31" t="inlineStr">
        <is>
          <t>Volume Spike &amp; Near 52W High Breakout</t>
        </is>
      </c>
      <c r="S136" s="31" t="inlineStr">
        <is>
          <t>Nifty IT</t>
        </is>
      </c>
      <c r="T136" s="32" t="n">
        <v>-11.37</v>
      </c>
      <c r="U136" s="32" t="n">
        <v>1.24</v>
      </c>
      <c r="V136" s="32" t="n">
        <v>14.23</v>
      </c>
      <c r="W136" s="32" t="n">
        <v>7.22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Oligopoly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0 to 20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Between 50% to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IF(B137=0,"",RANK(B137,$B$2:$B$284,0))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BHAGCHEM</t>
        </is>
      </c>
      <c r="D137" s="31" t="inlineStr">
        <is>
          <t>Bhagiradha Chemicals &amp; Industries Ltd</t>
        </is>
      </c>
      <c r="E137" s="31" t="inlineStr">
        <is>
          <t>chemicals</t>
        </is>
      </c>
      <c r="F137" s="31" t="inlineStr">
        <is>
          <t>pesticides / agrochemicals - indian</t>
        </is>
      </c>
      <c r="G137" s="31" t="inlineStr">
        <is>
          <t>smallcap</t>
        </is>
      </c>
      <c r="H137" s="32" t="n">
        <v>3489.39</v>
      </c>
      <c r="I137" s="32" t="n">
        <v>289</v>
      </c>
      <c r="J137" s="32" t="n">
        <v>7.4</v>
      </c>
      <c r="K137" s="32" t="n">
        <v>433762</v>
      </c>
      <c r="L137" s="31" t="n">
        <v>12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62.23</v>
      </c>
      <c r="P137" s="32" t="n">
        <v>25.59</v>
      </c>
      <c r="Q137" s="32" t="n">
        <v>219.74</v>
      </c>
      <c r="R137" s="31" t="inlineStr">
        <is>
          <t>Near 52W High Breakout</t>
        </is>
      </c>
      <c r="S137" s="31" t="inlineStr">
        <is>
          <t>Nifty IT</t>
        </is>
      </c>
      <c r="T137" s="32" t="n">
        <v>-11.37</v>
      </c>
      <c r="U137" s="32" t="n">
        <v>-4</v>
      </c>
      <c r="V137" s="32" t="n">
        <v>8.32</v>
      </c>
      <c r="W137" s="32" t="n">
        <v>2.22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Less than 50%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IF(B138=0,"",RANK(B138,$B$2:$B$284,0))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UNIMECH</t>
        </is>
      </c>
      <c r="D138" s="31" t="inlineStr">
        <is>
          <t>Unimech Aerospace and Manufacturing Ltd</t>
        </is>
      </c>
      <c r="E138" s="31" t="inlineStr">
        <is>
          <t>aerospace &amp; defence</t>
        </is>
      </c>
      <c r="F138" s="31" t="inlineStr">
        <is>
          <t>engineering</t>
        </is>
      </c>
      <c r="G138" s="31" t="inlineStr">
        <is>
          <t>midcap</t>
        </is>
      </c>
      <c r="H138" s="32" t="n">
        <v>5967.55</v>
      </c>
      <c r="I138" s="32" t="n">
        <v>1235.9</v>
      </c>
      <c r="J138" s="32" t="n">
        <v>5.33</v>
      </c>
      <c r="K138" s="32" t="n">
        <v>118289</v>
      </c>
      <c r="L138" s="31" t="n">
        <v>39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64.05</v>
      </c>
      <c r="P138" s="32" t="n">
        <v>29.16</v>
      </c>
      <c r="Q138" s="32" t="n">
        <v>950.88</v>
      </c>
      <c r="R138" s="31" t="inlineStr">
        <is>
          <t>Near 52W High Breakout</t>
        </is>
      </c>
      <c r="S138" s="31" t="inlineStr">
        <is>
          <t>Nifty 50</t>
        </is>
      </c>
      <c r="T138" s="32" t="n">
        <v>-0.74</v>
      </c>
      <c r="U138" s="32" t="n">
        <v>9.75</v>
      </c>
      <c r="V138" s="32" t="n">
        <v>10.57</v>
      </c>
      <c r="W138" s="32" t="n">
        <v>7.57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Less than 12%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IF(B139=0,"",RANK(B139,$B$2:$B$284,0))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3" t="inlineStr">
        <is>
          <t>JAYAGROGN</t>
        </is>
      </c>
      <c r="D139" s="33" t="inlineStr">
        <is>
          <t>Jayant Agro Organics Limited</t>
        </is>
      </c>
      <c r="E139" s="31" t="inlineStr">
        <is>
          <t>chemicals</t>
        </is>
      </c>
      <c r="F139" s="31" t="inlineStr">
        <is>
          <t>chemicals</t>
        </is>
      </c>
      <c r="G139" s="31" t="inlineStr">
        <is>
          <t>smallcap</t>
        </is>
      </c>
      <c r="H139" s="32" t="n">
        <v>661.17</v>
      </c>
      <c r="I139" s="32" t="n">
        <v>230</v>
      </c>
      <c r="J139" s="32" t="n">
        <v>4.36</v>
      </c>
      <c r="K139" s="32" t="n">
        <v>15047</v>
      </c>
      <c r="L139" s="31" t="n">
        <v>16</v>
      </c>
      <c r="M139" s="31" t="inlineStr">
        <is>
          <t>Underperforming</t>
        </is>
      </c>
      <c r="N139" s="32">
        <f>IF(M139="Underperforming",-5,IF(L139&gt;=95,15,IF(L139&gt;=90,10,IF(L139&gt;=80,5,0))))</f>
        <v/>
      </c>
      <c r="O139" s="32" t="n">
        <v>60.16</v>
      </c>
      <c r="P139" s="32" t="n">
        <v>37.08</v>
      </c>
      <c r="Q139" s="32" t="n">
        <v>176.26</v>
      </c>
      <c r="R139" s="31" t="inlineStr">
        <is>
          <t>Earnings / Momentum Support</t>
        </is>
      </c>
      <c r="S139" s="31" t="inlineStr">
        <is>
          <t>Nifty 50</t>
        </is>
      </c>
      <c r="T139" s="32" t="n">
        <v>-0.74</v>
      </c>
      <c r="U139" s="32" t="n">
        <v>-6.73</v>
      </c>
      <c r="V139" s="32" t="n">
        <v>-6.04</v>
      </c>
      <c r="W139" s="32" t="n">
        <v>3.07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Less than 50%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IF(B140=0,"",RANK(B140,$B$2:$B$284,0))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TALBROAUTO</t>
        </is>
      </c>
      <c r="D140" s="31" t="inlineStr">
        <is>
          <t>Talbros Automotive Components Limited</t>
        </is>
      </c>
      <c r="E140" s="31" t="inlineStr">
        <is>
          <t>auto</t>
        </is>
      </c>
      <c r="F140" s="31" t="inlineStr">
        <is>
          <t>auto ancillaries</t>
        </is>
      </c>
      <c r="G140" s="31" t="inlineStr">
        <is>
          <t>smallcap</t>
        </is>
      </c>
      <c r="H140" s="32" t="n">
        <v>2463.26</v>
      </c>
      <c r="I140" s="32" t="n">
        <v>407.75</v>
      </c>
      <c r="J140" s="32" t="n">
        <v>2.18</v>
      </c>
      <c r="K140" s="32" t="n">
        <v>109687</v>
      </c>
      <c r="L140" s="31" t="n">
        <v>76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70.88</v>
      </c>
      <c r="P140" s="32" t="n">
        <v>42.02</v>
      </c>
      <c r="Q140" s="32" t="n">
        <v>312.9</v>
      </c>
      <c r="R140" s="31" t="inlineStr">
        <is>
          <t>Near 52W High Breakout</t>
        </is>
      </c>
      <c r="S140" s="31" t="inlineStr">
        <is>
          <t>Nifty Auto</t>
        </is>
      </c>
      <c r="T140" s="32" t="n">
        <v>20.87</v>
      </c>
      <c r="U140" s="32" t="n">
        <v>44.4</v>
      </c>
      <c r="V140" s="32" t="n">
        <v>19.47</v>
      </c>
      <c r="W140" s="32" t="n">
        <v>18.82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Negative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Between 12 to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Between 50% to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IF(B141=0,"",RANK(B141,$B$2:$B$284,0))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MAHLIFE</t>
        </is>
      </c>
      <c r="D141" s="31" t="inlineStr">
        <is>
          <t>Mahindra Lifespace Developers Limited</t>
        </is>
      </c>
      <c r="E141" s="31" t="inlineStr">
        <is>
          <t>realty</t>
        </is>
      </c>
      <c r="F141" s="31" t="inlineStr">
        <is>
          <t>construction</t>
        </is>
      </c>
      <c r="G141" s="31" t="inlineStr">
        <is>
          <t>midcap</t>
        </is>
      </c>
      <c r="H141" s="32" t="n">
        <v>8222.23</v>
      </c>
      <c r="I141" s="32" t="n">
        <v>392.65</v>
      </c>
      <c r="J141" s="32" t="n">
        <v>1.88</v>
      </c>
      <c r="K141" s="32" t="n">
        <v>178565</v>
      </c>
      <c r="L141" s="31" t="n">
        <v>34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62.96</v>
      </c>
      <c r="P141" s="32" t="n">
        <v>12.34</v>
      </c>
      <c r="Q141" s="32" t="n">
        <v>319.3</v>
      </c>
      <c r="R141" s="31" t="inlineStr">
        <is>
          <t>Earnings / Momentum Support</t>
        </is>
      </c>
      <c r="S141" s="31" t="inlineStr">
        <is>
          <t>Nifty Realty</t>
        </is>
      </c>
      <c r="T141" s="32" t="n">
        <v>-5.17</v>
      </c>
      <c r="U141" s="32" t="n">
        <v>7.13</v>
      </c>
      <c r="V141" s="32" t="n">
        <v>12.97</v>
      </c>
      <c r="W141" s="32" t="n">
        <v>7.03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IF(B142=0,"",RANK(B142,$B$2:$B$284,0))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DREDGECORP</t>
        </is>
      </c>
      <c r="D142" s="31" t="inlineStr">
        <is>
          <t>Dredging Corporation Of India Limited</t>
        </is>
      </c>
      <c r="E142" s="31" t="inlineStr">
        <is>
          <t>miscellaneous</t>
        </is>
      </c>
      <c r="F142" s="31" t="inlineStr">
        <is>
          <t>miscellaneous</t>
        </is>
      </c>
      <c r="G142" s="31" t="inlineStr">
        <is>
          <t>smallcap</t>
        </is>
      </c>
      <c r="H142" s="32" t="n">
        <v>3136</v>
      </c>
      <c r="I142" s="32" t="n">
        <v>1139.4</v>
      </c>
      <c r="J142" s="32" t="n">
        <v>1.73</v>
      </c>
      <c r="K142" s="32" t="n">
        <v>223108</v>
      </c>
      <c r="L142" s="31" t="n">
        <v>73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59.3</v>
      </c>
      <c r="P142" s="32" t="n">
        <v>39.41</v>
      </c>
      <c r="Q142" s="32" t="n">
        <v>810.1799999999999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-0.74</v>
      </c>
      <c r="U142" s="32" t="n">
        <v>72.36</v>
      </c>
      <c r="V142" s="32" t="n">
        <v>73.65000000000001</v>
      </c>
      <c r="W142" s="32" t="n">
        <v>17.39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Between 50% to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IF(B143=0,"",RANK(B143,$B$2:$B$284,0))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3" t="inlineStr">
        <is>
          <t>BODALCHEM</t>
        </is>
      </c>
      <c r="D143" s="33" t="inlineStr">
        <is>
          <t>Bodal Chemicals Limited</t>
        </is>
      </c>
      <c r="E143" s="31" t="inlineStr">
        <is>
          <t>chemicals</t>
        </is>
      </c>
      <c r="F143" s="31" t="inlineStr">
        <is>
          <t>dyes and pigments</t>
        </is>
      </c>
      <c r="G143" s="31" t="inlineStr">
        <is>
          <t>smallcap</t>
        </is>
      </c>
      <c r="H143" s="32" t="n">
        <v>879.22</v>
      </c>
      <c r="I143" s="32" t="n">
        <v>70.79000000000001</v>
      </c>
      <c r="J143" s="32" t="n">
        <v>1.4</v>
      </c>
      <c r="K143" s="32" t="n">
        <v>73329</v>
      </c>
      <c r="L143" s="31" t="n">
        <v>15</v>
      </c>
      <c r="M143" s="31" t="inlineStr">
        <is>
          <t>Underperforming</t>
        </is>
      </c>
      <c r="N143" s="32">
        <f>IF(M143="Underperforming",-5,IF(L143&gt;=95,15,IF(L143&gt;=90,10,IF(L143&gt;=80,5,0))))</f>
        <v/>
      </c>
      <c r="O143" s="32" t="n">
        <v>58</v>
      </c>
      <c r="P143" s="32" t="n">
        <v>38.14</v>
      </c>
      <c r="Q143" s="32" t="n">
        <v>54.5</v>
      </c>
      <c r="R143" s="31" t="inlineStr">
        <is>
          <t>Volume Spike &amp; Near 52W High Breakout</t>
        </is>
      </c>
      <c r="S143" s="31" t="inlineStr">
        <is>
          <t>Nifty 50</t>
        </is>
      </c>
      <c r="T143" s="32" t="n">
        <v>-0.74</v>
      </c>
      <c r="U143" s="32" t="n">
        <v>-1.46</v>
      </c>
      <c r="V143" s="32" t="n">
        <v>-0.73</v>
      </c>
      <c r="W143" s="32" t="n">
        <v>2.86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Between 0.7 to 1.2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IF(B144=0,"",RANK(B144,$B$2:$B$284,0))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VSSL</t>
        </is>
      </c>
      <c r="D144" s="33" t="inlineStr">
        <is>
          <t>Vardhman Special Steels Limited</t>
        </is>
      </c>
      <c r="E144" s="31" t="inlineStr">
        <is>
          <t>metals &amp; mining</t>
        </is>
      </c>
      <c r="F144" s="31" t="inlineStr">
        <is>
          <t>steel - medium / small</t>
        </is>
      </c>
      <c r="G144" s="31" t="inlineStr">
        <is>
          <t>smallcap</t>
        </is>
      </c>
      <c r="H144" s="32" t="n">
        <v>2901.54</v>
      </c>
      <c r="I144" s="32" t="n">
        <v>304.05</v>
      </c>
      <c r="J144" s="32" t="n">
        <v>1.32</v>
      </c>
      <c r="K144" s="32" t="n">
        <v>86352</v>
      </c>
      <c r="L144" s="31" t="n">
        <v>39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65.3</v>
      </c>
      <c r="P144" s="32" t="n">
        <v>21.44</v>
      </c>
      <c r="Q144" s="32" t="n">
        <v>241.48</v>
      </c>
      <c r="R144" s="31" t="inlineStr">
        <is>
          <t>Near 52W High Breakout</t>
        </is>
      </c>
      <c r="S144" s="31" t="inlineStr">
        <is>
          <t>Nifty Metal</t>
        </is>
      </c>
      <c r="T144" s="32" t="n">
        <v>34.95</v>
      </c>
      <c r="U144" s="32" t="n">
        <v>19.43</v>
      </c>
      <c r="V144" s="32" t="n">
        <v>-11.5</v>
      </c>
      <c r="W144" s="32" t="n">
        <v>7.63</v>
      </c>
      <c r="X144" s="31" t="inlineStr">
        <is>
          <t>Cyclical in an Upturn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Cyclical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Volatile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IF(B145=0,"",RANK(B145,$B$2:$B$284,0))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3" t="inlineStr">
        <is>
          <t>SUPRAJIT</t>
        </is>
      </c>
      <c r="D145" s="33" t="inlineStr">
        <is>
          <t>Suprajit Engineering Limited</t>
        </is>
      </c>
      <c r="E145" s="31" t="inlineStr">
        <is>
          <t>auto</t>
        </is>
      </c>
      <c r="F145" s="31" t="inlineStr">
        <is>
          <t>auto ancillaries</t>
        </is>
      </c>
      <c r="G145" s="31" t="inlineStr">
        <is>
          <t>midcap</t>
        </is>
      </c>
      <c r="H145" s="32" t="n">
        <v>6851.01</v>
      </c>
      <c r="I145" s="32" t="n">
        <v>506</v>
      </c>
      <c r="J145" s="32" t="n">
        <v>1.31</v>
      </c>
      <c r="K145" s="32" t="n">
        <v>106118</v>
      </c>
      <c r="L145" s="31" t="n">
        <v>31</v>
      </c>
      <c r="M145" s="31" t="inlineStr">
        <is>
          <t>Underperforming</t>
        </is>
      </c>
      <c r="N145" s="32">
        <f>IF(M145="Underperforming",-5,IF(L145&gt;=95,15,IF(L145&gt;=90,10,IF(L145&gt;=80,5,0))))</f>
        <v/>
      </c>
      <c r="O145" s="32" t="n">
        <v>61.19</v>
      </c>
      <c r="P145" s="32" t="n">
        <v>37.68</v>
      </c>
      <c r="Q145" s="32" t="n">
        <v>409.29</v>
      </c>
      <c r="R145" s="31" t="inlineStr">
        <is>
          <t>Near 52W High Breakout</t>
        </is>
      </c>
      <c r="S145" s="31" t="inlineStr">
        <is>
          <t>Nifty Auto</t>
        </is>
      </c>
      <c r="T145" s="32" t="n">
        <v>20.87</v>
      </c>
      <c r="U145" s="32" t="n">
        <v>8.949999999999999</v>
      </c>
      <c r="V145" s="32" t="n">
        <v>-9.859999999999999</v>
      </c>
      <c r="W145" s="32" t="n">
        <v>6.35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Less than 50%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IF(B146=0,"",RANK(B146,$B$2:$B$284,0))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LLOYDSENT</t>
        </is>
      </c>
      <c r="D146" s="31" t="inlineStr">
        <is>
          <t>Lloyds Enterprises Ltd</t>
        </is>
      </c>
      <c r="E146" s="31" t="inlineStr">
        <is>
          <t>services</t>
        </is>
      </c>
      <c r="F146" s="31" t="inlineStr">
        <is>
          <t>trading</t>
        </is>
      </c>
      <c r="G146" s="31" t="inlineStr">
        <is>
          <t>midcap</t>
        </is>
      </c>
      <c r="H146" s="32" t="n">
        <v>12065.87</v>
      </c>
      <c r="I146" s="32" t="n">
        <v>79.95999999999999</v>
      </c>
      <c r="J146" s="32" t="n">
        <v>1.16</v>
      </c>
      <c r="K146" s="32" t="n">
        <v>2258685</v>
      </c>
      <c r="L146" s="31" t="n">
        <v>21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64.13</v>
      </c>
      <c r="P146" s="32" t="n">
        <v>34.96</v>
      </c>
      <c r="Q146" s="32" t="n">
        <v>59.62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-0.74</v>
      </c>
      <c r="U146" s="32" t="n">
        <v>-0.67</v>
      </c>
      <c r="V146" s="32" t="n">
        <v>0.07000000000000001</v>
      </c>
      <c r="W146" s="32" t="n">
        <v>4.54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Negative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IF(B147=0,"",RANK(B147,$B$2:$B$284,0))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3" t="inlineStr">
        <is>
          <t>SHYAMMETL</t>
        </is>
      </c>
      <c r="D147" s="33" t="inlineStr">
        <is>
          <t>Shyam Metalics &amp; Energy Ltd</t>
        </is>
      </c>
      <c r="E147" s="31" t="inlineStr">
        <is>
          <t>metals &amp; mining</t>
        </is>
      </c>
      <c r="F147" s="31" t="inlineStr">
        <is>
          <t>steel - large</t>
        </is>
      </c>
      <c r="G147" s="31" t="inlineStr">
        <is>
          <t>largecap</t>
        </is>
      </c>
      <c r="H147" s="32" t="n">
        <v>28535.65</v>
      </c>
      <c r="I147" s="32" t="n">
        <v>1031.3</v>
      </c>
      <c r="J147" s="32" t="n">
        <v>0.88</v>
      </c>
      <c r="K147" s="32" t="n">
        <v>415132</v>
      </c>
      <c r="L147" s="31" t="n">
        <v>37</v>
      </c>
      <c r="M147" s="31" t="inlineStr">
        <is>
          <t>Underperforming</t>
        </is>
      </c>
      <c r="N147" s="32">
        <f>IF(M147="Underperforming",-5,IF(L147&gt;=95,15,IF(L147&gt;=90,10,IF(L147&gt;=80,5,0))))</f>
        <v/>
      </c>
      <c r="O147" s="32" t="n">
        <v>66.23999999999999</v>
      </c>
      <c r="P147" s="32" t="n">
        <v>20.05</v>
      </c>
      <c r="Q147" s="32" t="n">
        <v>847.3200000000001</v>
      </c>
      <c r="R147" s="31" t="inlineStr">
        <is>
          <t>Near 52W High Breakout</t>
        </is>
      </c>
      <c r="S147" s="31" t="inlineStr">
        <is>
          <t>Nifty Metal</t>
        </is>
      </c>
      <c r="T147" s="32" t="n">
        <v>34.95</v>
      </c>
      <c r="U147" s="32" t="n">
        <v>7.06</v>
      </c>
      <c r="V147" s="32" t="n">
        <v>-20.67</v>
      </c>
      <c r="W147" s="32" t="n">
        <v>7.39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Cyclical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Volatile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Less than 1.5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IF(B148=0,"",RANK(B148,$B$2:$B$284,0))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PRIMO</t>
        </is>
      </c>
      <c r="D148" s="31" t="inlineStr">
        <is>
          <t>Primo Chemicals Ltd</t>
        </is>
      </c>
      <c r="E148" s="31" t="inlineStr">
        <is>
          <t>chemicals</t>
        </is>
      </c>
      <c r="F148" s="31" t="inlineStr">
        <is>
          <t>chlor alkali / soda ash</t>
        </is>
      </c>
      <c r="G148" s="31" t="inlineStr">
        <is>
          <t>smallcap</t>
        </is>
      </c>
      <c r="H148" s="32" t="n">
        <v>607.55</v>
      </c>
      <c r="I148" s="32" t="n">
        <v>25.24</v>
      </c>
      <c r="J148" s="32" t="n">
        <v>0.68</v>
      </c>
      <c r="K148" s="32" t="n">
        <v>287446</v>
      </c>
      <c r="L148" s="31" t="n">
        <v>8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55.53</v>
      </c>
      <c r="P148" s="32" t="n">
        <v>21.98</v>
      </c>
      <c r="Q148" s="32" t="n">
        <v>18.09</v>
      </c>
      <c r="R148" s="31" t="inlineStr">
        <is>
          <t>Earnings / Momentum Support</t>
        </is>
      </c>
      <c r="S148" s="31" t="inlineStr">
        <is>
          <t>Nifty IT</t>
        </is>
      </c>
      <c r="T148" s="32" t="n">
        <v>-11.37</v>
      </c>
      <c r="U148" s="32" t="n">
        <v>-8.779999999999999</v>
      </c>
      <c r="V148" s="32" t="n">
        <v>2.92</v>
      </c>
      <c r="W148" s="32" t="n">
        <v>1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IF(B149=0,"",RANK(B149,$B$2:$B$284,0))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PNGJL</t>
        </is>
      </c>
      <c r="D149" s="31" t="inlineStr">
        <is>
          <t>P N Gadgil Jewellers Ltd</t>
        </is>
      </c>
      <c r="E149" s="31" t="inlineStr">
        <is>
          <t>consumer discretionary</t>
        </is>
      </c>
      <c r="F149" s="31" t="inlineStr">
        <is>
          <t>diamond cutting / jewellery</t>
        </is>
      </c>
      <c r="G149" s="31" t="inlineStr">
        <is>
          <t>midcap</t>
        </is>
      </c>
      <c r="H149" s="32" t="n">
        <v>9040.209999999999</v>
      </c>
      <c r="I149" s="32" t="n">
        <v>670.3</v>
      </c>
      <c r="J149" s="32" t="n">
        <v>0.62</v>
      </c>
      <c r="K149" s="32" t="n">
        <v>838071</v>
      </c>
      <c r="L149" s="31" t="n">
        <v>19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60.42</v>
      </c>
      <c r="P149" s="32" t="n">
        <v>12.37</v>
      </c>
      <c r="Q149" s="32" t="n">
        <v>572.4400000000001</v>
      </c>
      <c r="R149" s="31" t="inlineStr">
        <is>
          <t>Volume Spike / Accumulation</t>
        </is>
      </c>
      <c r="S149" s="31" t="inlineStr">
        <is>
          <t>Nifty 50</t>
        </is>
      </c>
      <c r="T149" s="32" t="n">
        <v>-0.74</v>
      </c>
      <c r="U149" s="32" t="n">
        <v>15.86</v>
      </c>
      <c r="V149" s="32" t="n">
        <v>16.72</v>
      </c>
      <c r="W149" s="32" t="n">
        <v>4.18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0 to 20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Between 0.7 to 1.2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IF(B150=0,"",RANK(B150,$B$2:$B$284,0))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3" t="inlineStr">
        <is>
          <t>JINDWORLD</t>
        </is>
      </c>
      <c r="D150" s="33" t="inlineStr">
        <is>
          <t>Jindal Worldwide Limited</t>
        </is>
      </c>
      <c r="E150" s="31" t="inlineStr">
        <is>
          <t>textiles</t>
        </is>
      </c>
      <c r="F150" s="31" t="inlineStr">
        <is>
          <t>textiles - products</t>
        </is>
      </c>
      <c r="G150" s="31" t="inlineStr">
        <is>
          <t>smallcap</t>
        </is>
      </c>
      <c r="H150" s="32" t="n">
        <v>3861.02</v>
      </c>
      <c r="I150" s="32" t="n">
        <v>38.34</v>
      </c>
      <c r="J150" s="32" t="n">
        <v>-0.44</v>
      </c>
      <c r="K150" s="32" t="n">
        <v>6117923</v>
      </c>
      <c r="L150" s="31" t="n">
        <v>57</v>
      </c>
      <c r="M150" s="31" t="inlineStr">
        <is>
          <t>Underperforming</t>
        </is>
      </c>
      <c r="N150" s="32">
        <f>IF(M150="Underperforming",-5,IF(L150&gt;=95,15,IF(L150&gt;=90,10,IF(L150&gt;=80,5,0))))</f>
        <v/>
      </c>
      <c r="O150" s="32" t="n">
        <v>67.59999999999999</v>
      </c>
      <c r="P150" s="32" t="n">
        <v>27.67</v>
      </c>
      <c r="Q150" s="32" t="n">
        <v>26.37</v>
      </c>
      <c r="R150" s="31" t="inlineStr">
        <is>
          <t>Near 52W High Breakout</t>
        </is>
      </c>
      <c r="S150" s="31" t="inlineStr">
        <is>
          <t>Nifty 50</t>
        </is>
      </c>
      <c r="T150" s="32" t="n">
        <v>-0.74</v>
      </c>
      <c r="U150" s="32" t="n">
        <v>-3.03</v>
      </c>
      <c r="V150" s="32" t="n">
        <v>-2.31</v>
      </c>
      <c r="W150" s="32" t="n">
        <v>12.07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Between 12 to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IF(B151=0,"",RANK(B151,$B$2:$B$284,0))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AEGISVOPAK</t>
        </is>
      </c>
      <c r="D151" s="31" t="inlineStr">
        <is>
          <t>Aegis Vopak Terminals Ltd</t>
        </is>
      </c>
      <c r="E151" s="31" t="inlineStr">
        <is>
          <t>transportation</t>
        </is>
      </c>
      <c r="F151" s="31" t="inlineStr">
        <is>
          <t>miscellaneous</t>
        </is>
      </c>
      <c r="G151" s="31" t="inlineStr">
        <is>
          <t>largecap</t>
        </is>
      </c>
      <c r="H151" s="32" t="n">
        <v>32386.59</v>
      </c>
      <c r="I151" s="32" t="n">
        <v>290.16</v>
      </c>
      <c r="J151" s="32" t="n">
        <v>-0.73</v>
      </c>
      <c r="K151" s="32" t="n">
        <v>843953</v>
      </c>
      <c r="L151" s="31" t="n">
        <v>76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64.45999999999999</v>
      </c>
      <c r="P151" s="32" t="n">
        <v>29.27</v>
      </c>
      <c r="Q151" s="32" t="n">
        <v>211.92</v>
      </c>
      <c r="R151" s="31" t="inlineStr">
        <is>
          <t>Near 52W High Breakout</t>
        </is>
      </c>
      <c r="S151" s="31" t="inlineStr">
        <is>
          <t>Nifty 50</t>
        </is>
      </c>
      <c r="T151" s="32" t="n">
        <v>-0.74</v>
      </c>
      <c r="U151" s="32" t="n">
        <v>26.84</v>
      </c>
      <c r="V151" s="32" t="n">
        <v>27.79</v>
      </c>
      <c r="W151" s="32" t="n">
        <v>18.61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Between 12 to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Between 0.7 to 1.2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IF(B152=0,"",RANK(B152,$B$2:$B$284,0))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TBZ</t>
        </is>
      </c>
      <c r="D152" s="31" t="inlineStr">
        <is>
          <t>Tribhovandas Bhimji Zaveri Limited</t>
        </is>
      </c>
      <c r="E152" s="31" t="inlineStr">
        <is>
          <t>consumer discretionary</t>
        </is>
      </c>
      <c r="F152" s="31" t="inlineStr">
        <is>
          <t>diamond cutting / jewellery</t>
        </is>
      </c>
      <c r="G152" s="31" t="inlineStr">
        <is>
          <t>smallcap</t>
        </is>
      </c>
      <c r="H152" s="32" t="n">
        <v>1865.59</v>
      </c>
      <c r="I152" s="32" t="n">
        <v>276.34</v>
      </c>
      <c r="J152" s="32" t="n">
        <v>-1.16</v>
      </c>
      <c r="K152" s="32" t="n">
        <v>1065359</v>
      </c>
      <c r="L152" s="31" t="n">
        <v>92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80.66</v>
      </c>
      <c r="P152" s="32" t="n">
        <v>33.52</v>
      </c>
      <c r="Q152" s="32" t="n">
        <v>206.54</v>
      </c>
      <c r="R152" s="31" t="inlineStr">
        <is>
          <t>Near 52W High Breakout</t>
        </is>
      </c>
      <c r="S152" s="31" t="inlineStr">
        <is>
          <t>Nifty 50</t>
        </is>
      </c>
      <c r="T152" s="32" t="n">
        <v>-0.74</v>
      </c>
      <c r="U152" s="32" t="n">
        <v>46.03</v>
      </c>
      <c r="V152" s="32" t="n">
        <v>47.12</v>
      </c>
      <c r="W152" s="32" t="n">
        <v>30.64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Above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Less than 50% and Borrowings are increasing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Between 0.7 to 1.2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IF(B153=0,"",RANK(B153,$B$2:$B$284,0))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LODHA</t>
        </is>
      </c>
      <c r="D153" s="31" t="inlineStr">
        <is>
          <t>Lodha Developers Ltd</t>
        </is>
      </c>
      <c r="E153" s="31" t="inlineStr">
        <is>
          <t>realty</t>
        </is>
      </c>
      <c r="F153" s="31" t="inlineStr">
        <is>
          <t>construction</t>
        </is>
      </c>
      <c r="G153" s="31" t="inlineStr">
        <is>
          <t>largecap</t>
        </is>
      </c>
      <c r="H153" s="32" t="n">
        <v>128598.44</v>
      </c>
      <c r="I153" s="32" t="n">
        <v>1243.95</v>
      </c>
      <c r="J153" s="32" t="n">
        <v>-3.36</v>
      </c>
      <c r="K153" s="32" t="n">
        <v>3593997</v>
      </c>
      <c r="L153" s="31" t="n">
        <v>54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64.63</v>
      </c>
      <c r="P153" s="32" t="n">
        <v>16.04</v>
      </c>
      <c r="Q153" s="32" t="n">
        <v>955.15</v>
      </c>
      <c r="R153" s="31" t="inlineStr">
        <is>
          <t>Volume Spike &amp; Near 52W High Breakout</t>
        </is>
      </c>
      <c r="S153" s="31" t="inlineStr">
        <is>
          <t>Nifty Realty</t>
        </is>
      </c>
      <c r="T153" s="32" t="n">
        <v>-5.17</v>
      </c>
      <c r="U153" s="32" t="n">
        <v>-2.45</v>
      </c>
      <c r="V153" s="32" t="n">
        <v>2.87</v>
      </c>
      <c r="W153" s="32" t="n">
        <v>11.61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IF(B154=0,"",RANK(B154,$B$2:$B$284,0))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SICALLOG</t>
        </is>
      </c>
      <c r="D154" s="31" t="inlineStr">
        <is>
          <t>Sical Logistics Ltd</t>
        </is>
      </c>
      <c r="E154" s="31" t="inlineStr">
        <is>
          <t>transportation</t>
        </is>
      </c>
      <c r="F154" s="31" t="inlineStr">
        <is>
          <t>miscellaneous</t>
        </is>
      </c>
      <c r="G154" s="31" t="inlineStr">
        <is>
          <t>smallcap</t>
        </is>
      </c>
      <c r="H154" s="32" t="n">
        <v>934.04</v>
      </c>
      <c r="I154" s="32" t="n">
        <v>111.22</v>
      </c>
      <c r="J154" s="32" t="n">
        <v>-5</v>
      </c>
      <c r="K154" s="32" t="n">
        <v>153232</v>
      </c>
      <c r="L154" s="31" t="n">
        <v>79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72.73999999999999</v>
      </c>
      <c r="P154" s="32" t="n">
        <v>27.31</v>
      </c>
      <c r="Q154" s="32" t="n">
        <v>83.43000000000001</v>
      </c>
      <c r="R154" s="31" t="inlineStr">
        <is>
          <t>Near 52W High Breakout</t>
        </is>
      </c>
      <c r="S154" s="31" t="inlineStr">
        <is>
          <t>Nifty 50</t>
        </is>
      </c>
      <c r="T154" s="32" t="n">
        <v>-0.74</v>
      </c>
      <c r="U154" s="32" t="n">
        <v>2.08</v>
      </c>
      <c r="V154" s="32" t="n">
        <v>2.84</v>
      </c>
      <c r="W154" s="32" t="n">
        <v>19.95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Between 50% to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More than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IF(B155=0,"",RANK(B155,$B$2:$B$284,0))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3" t="inlineStr">
        <is>
          <t>ANTHEM</t>
        </is>
      </c>
      <c r="D155" s="33" t="inlineStr">
        <is>
          <t>Anthem Biosciences Ltd</t>
        </is>
      </c>
      <c r="E155" s="31" t="inlineStr">
        <is>
          <t>healthcare</t>
        </is>
      </c>
      <c r="F155" s="31" t="inlineStr">
        <is>
          <t>pharmaceuticals - indian - bulk drugs &amp; formln</t>
        </is>
      </c>
      <c r="G155" s="31" t="inlineStr">
        <is>
          <t>largecap</t>
        </is>
      </c>
      <c r="H155" s="32" t="n">
        <v>44191.9</v>
      </c>
      <c r="I155" s="32" t="n">
        <v>809.2</v>
      </c>
      <c r="J155" s="32" t="n">
        <v>3.16</v>
      </c>
      <c r="K155" s="32" t="n">
        <v>981997</v>
      </c>
      <c r="L155" s="31" t="n">
        <v>20</v>
      </c>
      <c r="M155" s="31" t="inlineStr">
        <is>
          <t>Underperforming</t>
        </is>
      </c>
      <c r="N155" s="32">
        <f>IF(M155="Underperforming",-5,IF(L155&gt;=95,15,IF(L155&gt;=90,10,IF(L155&gt;=80,5,0))))</f>
        <v/>
      </c>
      <c r="O155" s="32" t="n">
        <v>61.26</v>
      </c>
      <c r="P155" s="32" t="n">
        <v>34.97</v>
      </c>
      <c r="Q155" s="32" t="n">
        <v>666.1799999999999</v>
      </c>
      <c r="R155" s="31" t="inlineStr">
        <is>
          <t>Near 52W High Breakout</t>
        </is>
      </c>
      <c r="S155" s="31" t="inlineStr">
        <is>
          <t>Nifty Pharma</t>
        </is>
      </c>
      <c r="T155" s="32" t="n">
        <v>20.55</v>
      </c>
      <c r="U155" s="32" t="n">
        <v>9.869999999999999</v>
      </c>
      <c r="V155" s="32" t="n">
        <v>-8.859999999999999</v>
      </c>
      <c r="W155" s="32" t="n">
        <v>4.35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Yes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IF(B156=0,"",RANK(B156,$B$2:$B$284,0))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DIVISLAB</t>
        </is>
      </c>
      <c r="D156" s="31" t="inlineStr">
        <is>
          <t>Divi's Laboratories Limited</t>
        </is>
      </c>
      <c r="E156" s="31" t="inlineStr">
        <is>
          <t>healthcare</t>
        </is>
      </c>
      <c r="F156" s="31" t="inlineStr">
        <is>
          <t>pharmaceuticals - indian - bulk drugs</t>
        </is>
      </c>
      <c r="G156" s="31" t="inlineStr">
        <is>
          <t>largecap</t>
        </is>
      </c>
      <c r="H156" s="32" t="n">
        <v>207994.63</v>
      </c>
      <c r="I156" s="32" t="n">
        <v>8056</v>
      </c>
      <c r="J156" s="32" t="n">
        <v>2.82</v>
      </c>
      <c r="K156" s="32" t="n">
        <v>793919</v>
      </c>
      <c r="L156" s="31" t="n">
        <v>49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80.42</v>
      </c>
      <c r="P156" s="32" t="n">
        <v>24.32</v>
      </c>
      <c r="Q156" s="32" t="n">
        <v>6988.13</v>
      </c>
      <c r="R156" s="31" t="inlineStr">
        <is>
          <t>Volume Spike &amp; Near 52W High Breakout</t>
        </is>
      </c>
      <c r="S156" s="31" t="inlineStr">
        <is>
          <t>Nifty Pharma</t>
        </is>
      </c>
      <c r="T156" s="32" t="n">
        <v>20.55</v>
      </c>
      <c r="U156" s="32" t="n">
        <v>27.16</v>
      </c>
      <c r="V156" s="32" t="n">
        <v>5.48</v>
      </c>
      <c r="W156" s="32" t="n">
        <v>10.39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Between 12 to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IF(B157=0,"",RANK(B157,$B$2:$B$284,0))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BLSE</t>
        </is>
      </c>
      <c r="D157" s="31" t="inlineStr">
        <is>
          <t>BLS E-Services Ltd</t>
        </is>
      </c>
      <c r="E157" s="31" t="inlineStr">
        <is>
          <t>i.t</t>
        </is>
      </c>
      <c r="F157" s="31" t="inlineStr">
        <is>
          <t>computers - software - medium / small</t>
        </is>
      </c>
      <c r="G157" s="31" t="inlineStr">
        <is>
          <t>smallcap</t>
        </is>
      </c>
      <c r="H157" s="32" t="n">
        <v>2677.72</v>
      </c>
      <c r="I157" s="32" t="n">
        <v>300.66</v>
      </c>
      <c r="J157" s="32" t="n">
        <v>2.02</v>
      </c>
      <c r="K157" s="32" t="n">
        <v>640755</v>
      </c>
      <c r="L157" s="31" t="n">
        <v>83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81.42</v>
      </c>
      <c r="P157" s="32" t="n">
        <v>38.89</v>
      </c>
      <c r="Q157" s="32" t="n">
        <v>236.85</v>
      </c>
      <c r="R157" s="31" t="inlineStr">
        <is>
          <t>Near 52W High Breakout</t>
        </is>
      </c>
      <c r="S157" s="31" t="inlineStr">
        <is>
          <t>Nifty IT</t>
        </is>
      </c>
      <c r="T157" s="32" t="n">
        <v>-11.37</v>
      </c>
      <c r="U157" s="32" t="n">
        <v>65.53</v>
      </c>
      <c r="V157" s="32" t="n">
        <v>86.77</v>
      </c>
      <c r="W157" s="32" t="n">
        <v>23.15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Less than 12%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Between 50% to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IF(B158=0,"",RANK(B158,$B$2:$B$284,0))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RAINBOW</t>
        </is>
      </c>
      <c r="D158" s="33" t="inlineStr">
        <is>
          <t>Rainbow Childrens Medicare Ltd</t>
        </is>
      </c>
      <c r="E158" s="31" t="inlineStr">
        <is>
          <t>healthcare</t>
        </is>
      </c>
      <c r="F158" s="31" t="inlineStr">
        <is>
          <t>healthcare</t>
        </is>
      </c>
      <c r="G158" s="31" t="inlineStr">
        <is>
          <t>midcap</t>
        </is>
      </c>
      <c r="H158" s="32" t="n">
        <v>15443.09</v>
      </c>
      <c r="I158" s="32" t="n">
        <v>1525</v>
      </c>
      <c r="J158" s="32" t="n">
        <v>0.29</v>
      </c>
      <c r="K158" s="32" t="n">
        <v>179707</v>
      </c>
      <c r="L158" s="31" t="n">
        <v>27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68.23999999999999</v>
      </c>
      <c r="P158" s="32" t="n">
        <v>35.94</v>
      </c>
      <c r="Q158" s="32" t="n">
        <v>1290.24</v>
      </c>
      <c r="R158" s="31" t="inlineStr">
        <is>
          <t>Near 52W High Breakout</t>
        </is>
      </c>
      <c r="S158" s="31" t="inlineStr">
        <is>
          <t>Nifty Pharma</t>
        </is>
      </c>
      <c r="T158" s="32" t="n">
        <v>20.55</v>
      </c>
      <c r="U158" s="32" t="n">
        <v>0.16</v>
      </c>
      <c r="V158" s="32" t="n">
        <v>-16.92</v>
      </c>
      <c r="W158" s="32" t="n">
        <v>5.38</v>
      </c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Between 12 to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IF(B159=0,"",RANK(B159,$B$2:$B$284,0))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RBZJEWEL</t>
        </is>
      </c>
      <c r="D159" s="31" t="inlineStr">
        <is>
          <t>RBZ Jewellers Ltd</t>
        </is>
      </c>
      <c r="E159" s="31" t="inlineStr">
        <is>
          <t>consumer discretionary</t>
        </is>
      </c>
      <c r="F159" s="31" t="inlineStr">
        <is>
          <t>diamond cutting / jewellery</t>
        </is>
      </c>
      <c r="G159" s="31" t="inlineStr">
        <is>
          <t>smallcap</t>
        </is>
      </c>
      <c r="H159" s="32" t="n">
        <v>566</v>
      </c>
      <c r="I159" s="32" t="n">
        <v>151</v>
      </c>
      <c r="J159" s="32" t="n">
        <v>6.71</v>
      </c>
      <c r="K159" s="32" t="n">
        <v>89412</v>
      </c>
      <c r="L159" s="31" t="n">
        <v>23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55.54</v>
      </c>
      <c r="P159" s="32" t="n">
        <v>26.28</v>
      </c>
      <c r="Q159" s="32" t="n">
        <v>108.11</v>
      </c>
      <c r="R159" s="31" t="inlineStr">
        <is>
          <t>Earnings / Momentum Support</t>
        </is>
      </c>
      <c r="S159" s="31" t="inlineStr">
        <is>
          <t>Nifty 50</t>
        </is>
      </c>
      <c r="T159" s="32" t="n">
        <v>-0.74</v>
      </c>
      <c r="U159" s="32" t="n">
        <v>13</v>
      </c>
      <c r="V159" s="32" t="n">
        <v>13.84</v>
      </c>
      <c r="W159" s="32" t="n">
        <v>4.68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Negative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IF(B160=0,"",RANK(B160,$B$2:$B$284,0))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3" t="inlineStr">
        <is>
          <t>MMP</t>
        </is>
      </c>
      <c r="D160" s="33" t="inlineStr">
        <is>
          <t>MMP Industries Ltd</t>
        </is>
      </c>
      <c r="E160" s="31" t="inlineStr">
        <is>
          <t>metals &amp; mining</t>
        </is>
      </c>
      <c r="F160" s="31" t="inlineStr">
        <is>
          <t>aluminium and aluminium products</t>
        </is>
      </c>
      <c r="G160" s="31" t="inlineStr">
        <is>
          <t>smallcap</t>
        </is>
      </c>
      <c r="H160" s="32" t="n">
        <v>531.58</v>
      </c>
      <c r="I160" s="32" t="n">
        <v>291.6</v>
      </c>
      <c r="J160" s="32" t="n">
        <v>3.79</v>
      </c>
      <c r="K160" s="32" t="n">
        <v>154859</v>
      </c>
      <c r="L160" s="31" t="n">
        <v>26</v>
      </c>
      <c r="M160" s="31" t="inlineStr">
        <is>
          <t>Underperforming</t>
        </is>
      </c>
      <c r="N160" s="32">
        <f>IF(M160="Underperforming",-5,IF(L160&gt;=95,15,IF(L160&gt;=90,10,IF(L160&gt;=80,5,0))))</f>
        <v/>
      </c>
      <c r="O160" s="32" t="n">
        <v>59.86</v>
      </c>
      <c r="P160" s="32" t="n">
        <v>33.31</v>
      </c>
      <c r="Q160" s="32" t="n">
        <v>216.58</v>
      </c>
      <c r="R160" s="31" t="inlineStr">
        <is>
          <t>Near 52W High Breakout</t>
        </is>
      </c>
      <c r="S160" s="31" t="inlineStr">
        <is>
          <t>Nifty Metal</t>
        </is>
      </c>
      <c r="T160" s="32" t="n">
        <v>34.95</v>
      </c>
      <c r="U160" s="32" t="n">
        <v>8.130000000000001</v>
      </c>
      <c r="V160" s="32" t="n">
        <v>-19.87</v>
      </c>
      <c r="W160" s="32" t="n">
        <v>5.22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Cyclical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Volatile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IF(B161=0,"",RANK(B161,$B$2:$B$284,0))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SMLMAH</t>
        </is>
      </c>
      <c r="D161" s="31" t="inlineStr">
        <is>
          <t>SML Mahindra Ltd</t>
        </is>
      </c>
      <c r="E161" s="31" t="inlineStr">
        <is>
          <t>auto</t>
        </is>
      </c>
      <c r="F161" s="31" t="inlineStr">
        <is>
          <t>automobiles - lcvs / hcvs</t>
        </is>
      </c>
      <c r="G161" s="31" t="inlineStr">
        <is>
          <t>midcap</t>
        </is>
      </c>
      <c r="H161" s="32" t="n">
        <v>7929.3</v>
      </c>
      <c r="I161" s="32" t="n">
        <v>5685.6</v>
      </c>
      <c r="J161" s="32" t="n">
        <v>3.77</v>
      </c>
      <c r="K161" s="32" t="n">
        <v>1799714</v>
      </c>
      <c r="L161" s="31" t="n">
        <v>80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71.17</v>
      </c>
      <c r="P161" s="32" t="n">
        <v>6.98</v>
      </c>
      <c r="Q161" s="32" t="n">
        <v>4106.82</v>
      </c>
      <c r="R161" s="31" t="inlineStr">
        <is>
          <t>Volume Spike &amp; Near 52W High Breakout</t>
        </is>
      </c>
      <c r="S161" s="31" t="inlineStr">
        <is>
          <t>Nifty Auto</t>
        </is>
      </c>
      <c r="T161" s="32" t="n">
        <v>20.87</v>
      </c>
      <c r="U161" s="32" t="n">
        <v>50.53</v>
      </c>
      <c r="V161" s="32" t="n">
        <v>24.54</v>
      </c>
      <c r="W161" s="32" t="n">
        <v>20.69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0 to 20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Blue sky scenario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Less than 12%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IF(B162=0,"",RANK(B162,$B$2:$B$284,0))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TBOTEK</t>
        </is>
      </c>
      <c r="D162" s="31" t="inlineStr">
        <is>
          <t>TBO Tek Ltd</t>
        </is>
      </c>
      <c r="E162" s="31" t="inlineStr">
        <is>
          <t>i.t</t>
        </is>
      </c>
      <c r="F162" s="31" t="inlineStr">
        <is>
          <t>travel agencies</t>
        </is>
      </c>
      <c r="G162" s="31" t="inlineStr">
        <is>
          <t>midcap</t>
        </is>
      </c>
      <c r="H162" s="32" t="n">
        <v>16271.88</v>
      </c>
      <c r="I162" s="32" t="n">
        <v>1531.2</v>
      </c>
      <c r="J162" s="32" t="n">
        <v>2.18</v>
      </c>
      <c r="K162" s="32" t="n">
        <v>683316</v>
      </c>
      <c r="L162" s="31" t="n">
        <v>32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60.03</v>
      </c>
      <c r="P162" s="32" t="n">
        <v>16.2</v>
      </c>
      <c r="Q162" s="32" t="n">
        <v>1173.85</v>
      </c>
      <c r="R162" s="31" t="inlineStr">
        <is>
          <t>Volume Spike / Accumulation</t>
        </is>
      </c>
      <c r="S162" s="31" t="inlineStr">
        <is>
          <t>Nifty IT</t>
        </is>
      </c>
      <c r="T162" s="32" t="n">
        <v>-11.37</v>
      </c>
      <c r="U162" s="32" t="n">
        <v>8.18</v>
      </c>
      <c r="V162" s="32" t="n">
        <v>22.06</v>
      </c>
      <c r="W162" s="32" t="n">
        <v>6.55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IF(B163=0,"",RANK(B163,$B$2:$B$284,0))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MAHLOG</t>
        </is>
      </c>
      <c r="D163" s="31" t="inlineStr">
        <is>
          <t>Mahindra Logistics Ltd</t>
        </is>
      </c>
      <c r="E163" s="31" t="inlineStr">
        <is>
          <t>transportation</t>
        </is>
      </c>
      <c r="F163" s="31" t="inlineStr">
        <is>
          <t>miscellaneous</t>
        </is>
      </c>
      <c r="G163" s="31" t="inlineStr">
        <is>
          <t>smallcap</t>
        </is>
      </c>
      <c r="H163" s="32" t="n">
        <v>3995.19</v>
      </c>
      <c r="I163" s="32" t="n">
        <v>409.5</v>
      </c>
      <c r="J163" s="32" t="n">
        <v>1.7</v>
      </c>
      <c r="K163" s="32" t="n">
        <v>302881</v>
      </c>
      <c r="L163" s="31" t="n">
        <v>27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59.85</v>
      </c>
      <c r="P163" s="32" t="n">
        <v>19.47</v>
      </c>
      <c r="Q163" s="32" t="n">
        <v>320.55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-0.74</v>
      </c>
      <c r="U163" s="32" t="n">
        <v>25.87</v>
      </c>
      <c r="V163" s="32" t="n">
        <v>26.8</v>
      </c>
      <c r="W163" s="32" t="n">
        <v>5.33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0 to 20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IF(B164=0,"",RANK(B164,$B$2:$B$284,0))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BHARATFORG</t>
        </is>
      </c>
      <c r="D164" s="31" t="inlineStr">
        <is>
          <t>Bharat Forge Limited</t>
        </is>
      </c>
      <c r="E164" s="31" t="inlineStr">
        <is>
          <t>industrials</t>
        </is>
      </c>
      <c r="F164" s="31" t="inlineStr">
        <is>
          <t>castings &amp; forgings</t>
        </is>
      </c>
      <c r="G164" s="31" t="inlineStr">
        <is>
          <t>largecap</t>
        </is>
      </c>
      <c r="H164" s="32" t="n">
        <v>103491.85</v>
      </c>
      <c r="I164" s="32" t="n">
        <v>2199.8</v>
      </c>
      <c r="J164" s="32" t="n">
        <v>1.62</v>
      </c>
      <c r="K164" s="32" t="n">
        <v>952129</v>
      </c>
      <c r="L164" s="31" t="n">
        <v>75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71.27</v>
      </c>
      <c r="P164" s="32" t="n">
        <v>45.64</v>
      </c>
      <c r="Q164" s="32" t="n">
        <v>1854.49</v>
      </c>
      <c r="R164" s="31" t="inlineStr">
        <is>
          <t>Near 52W High Breakout</t>
        </is>
      </c>
      <c r="S164" s="31" t="inlineStr">
        <is>
          <t>Nifty 500</t>
        </is>
      </c>
      <c r="T164" s="32" t="n">
        <v>3.47</v>
      </c>
      <c r="U164" s="32" t="n">
        <v>92.73999999999999</v>
      </c>
      <c r="V164" s="32" t="n">
        <v>86.27</v>
      </c>
      <c r="W164" s="32" t="n">
        <v>18.17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Between 50% to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Between 0.7 to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IF(B165=0,"",RANK(B165,$B$2:$B$284,0))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PANACHE</t>
        </is>
      </c>
      <c r="D165" s="31" t="inlineStr">
        <is>
          <t>Panache Digilife Ltd</t>
        </is>
      </c>
      <c r="E165" s="31" t="inlineStr">
        <is>
          <t>i.t</t>
        </is>
      </c>
      <c r="F165" s="31" t="inlineStr">
        <is>
          <t>computers - hardware</t>
        </is>
      </c>
      <c r="G165" s="31" t="inlineStr">
        <is>
          <t>smallcap</t>
        </is>
      </c>
      <c r="H165" s="32" t="n">
        <v>684.52</v>
      </c>
      <c r="I165" s="32" t="n">
        <v>432.95</v>
      </c>
      <c r="J165" s="32" t="n">
        <v>1.29</v>
      </c>
      <c r="K165" s="32" t="n">
        <v>5825</v>
      </c>
      <c r="L165" s="31" t="n">
        <v>77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61.65</v>
      </c>
      <c r="P165" s="32" t="n">
        <v>22.61</v>
      </c>
      <c r="Q165" s="32" t="n">
        <v>315.07</v>
      </c>
      <c r="R165" s="31" t="inlineStr">
        <is>
          <t>Near 52W High Breakout</t>
        </is>
      </c>
      <c r="S165" s="31" t="inlineStr">
        <is>
          <t>Nifty IT</t>
        </is>
      </c>
      <c r="T165" s="32" t="n">
        <v>-11.37</v>
      </c>
      <c r="U165" s="32" t="n">
        <v>66.54000000000001</v>
      </c>
      <c r="V165" s="32" t="n">
        <v>87.91</v>
      </c>
      <c r="W165" s="32" t="n">
        <v>19.23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Negative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IF(B166=0,"",RANK(B166,$B$2:$B$284,0))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3" t="inlineStr">
        <is>
          <t>SUNDRMFAST</t>
        </is>
      </c>
      <c r="D166" s="33" t="inlineStr">
        <is>
          <t>Sundram Fasteners Limited</t>
        </is>
      </c>
      <c r="E166" s="31" t="inlineStr">
        <is>
          <t>auto</t>
        </is>
      </c>
      <c r="F166" s="31" t="inlineStr">
        <is>
          <t>auto ancillaries</t>
        </is>
      </c>
      <c r="G166" s="31" t="inlineStr">
        <is>
          <t>largecap</t>
        </is>
      </c>
      <c r="H166" s="32" t="n">
        <v>20301.55</v>
      </c>
      <c r="I166" s="32" t="n">
        <v>977.45</v>
      </c>
      <c r="J166" s="32" t="n">
        <v>1.17</v>
      </c>
      <c r="K166" s="32" t="n">
        <v>53340</v>
      </c>
      <c r="L166" s="31" t="n">
        <v>23</v>
      </c>
      <c r="M166" s="31" t="inlineStr">
        <is>
          <t>Underperforming</t>
        </is>
      </c>
      <c r="N166" s="32">
        <f>IF(M166="Underperforming",-5,IF(L166&gt;=95,15,IF(L166&gt;=90,10,IF(L166&gt;=80,5,0))))</f>
        <v/>
      </c>
      <c r="O166" s="32" t="n">
        <v>64.84</v>
      </c>
      <c r="P166" s="32" t="n">
        <v>14.91</v>
      </c>
      <c r="Q166" s="32" t="n">
        <v>827.1799999999999</v>
      </c>
      <c r="R166" s="31" t="inlineStr">
        <is>
          <t>Earnings / Momentum Support</t>
        </is>
      </c>
      <c r="S166" s="31" t="inlineStr">
        <is>
          <t>Nifty Auto</t>
        </is>
      </c>
      <c r="T166" s="32" t="n">
        <v>20.87</v>
      </c>
      <c r="U166" s="32" t="n">
        <v>-1.74</v>
      </c>
      <c r="V166" s="32" t="n">
        <v>-18.71</v>
      </c>
      <c r="W166" s="32" t="n">
        <v>4.81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0 to 20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Less than 1.5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IF(B167=0,"",RANK(B167,$B$2:$B$284,0))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3" t="inlineStr">
        <is>
          <t>MUNJALSHOW</t>
        </is>
      </c>
      <c r="D167" s="33" t="inlineStr">
        <is>
          <t>Munjal Showa Limited</t>
        </is>
      </c>
      <c r="E167" s="31" t="inlineStr">
        <is>
          <t>auto</t>
        </is>
      </c>
      <c r="F167" s="31" t="inlineStr">
        <is>
          <t>auto ancillaries</t>
        </is>
      </c>
      <c r="G167" s="31" t="inlineStr">
        <is>
          <t>smallcap</t>
        </is>
      </c>
      <c r="H167" s="32" t="n">
        <v>544.5700000000001</v>
      </c>
      <c r="I167" s="32" t="n">
        <v>137.35</v>
      </c>
      <c r="J167" s="32" t="n">
        <v>0.87</v>
      </c>
      <c r="K167" s="32" t="n">
        <v>60240</v>
      </c>
      <c r="L167" s="31" t="n">
        <v>7</v>
      </c>
      <c r="M167" s="31" t="inlineStr">
        <is>
          <t>Underperforming</t>
        </is>
      </c>
      <c r="N167" s="32">
        <f>IF(M167="Underperforming",-5,IF(L167&gt;=95,15,IF(L167&gt;=90,10,IF(L167&gt;=80,5,0))))</f>
        <v/>
      </c>
      <c r="O167" s="32" t="n">
        <v>58.44</v>
      </c>
      <c r="P167" s="32" t="n">
        <v>27.84</v>
      </c>
      <c r="Q167" s="32" t="n">
        <v>116.56</v>
      </c>
      <c r="R167" s="31" t="inlineStr">
        <is>
          <t>Near 52W High Breakout</t>
        </is>
      </c>
      <c r="S167" s="31" t="inlineStr">
        <is>
          <t>Nifty Auto</t>
        </is>
      </c>
      <c r="T167" s="32" t="n">
        <v>20.87</v>
      </c>
      <c r="U167" s="32" t="n">
        <v>-5.54</v>
      </c>
      <c r="V167" s="32" t="n">
        <v>-21.85</v>
      </c>
      <c r="W167" s="32" t="n">
        <v>0.75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Between 1.5 to 2</t>
        </is>
      </c>
      <c r="BU167" s="31">
        <f>IF(BT167="Above 2",0,IF(BT167="Between 1.5 to 2",5,IF(BT167="Less than 1.5",10,0)))</f>
        <v/>
      </c>
      <c r="BV167" s="31" t="inlineStr">
        <is>
          <t>Negative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IF(B168=0,"",RANK(B168,$B$2:$B$284,0))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BLUSPRING</t>
        </is>
      </c>
      <c r="D168" s="31" t="inlineStr">
        <is>
          <t>Bluspring Enterprises Ltd</t>
        </is>
      </c>
      <c r="E168" s="31" t="inlineStr">
        <is>
          <t>miscellaneous</t>
        </is>
      </c>
      <c r="F168" s="31" t="inlineStr">
        <is>
          <t>diversified - large</t>
        </is>
      </c>
      <c r="G168" s="31" t="inlineStr">
        <is>
          <t>smallcap</t>
        </is>
      </c>
      <c r="H168" s="32" t="n">
        <v>1705.27</v>
      </c>
      <c r="I168" s="32" t="n">
        <v>115</v>
      </c>
      <c r="J168" s="32" t="n">
        <v>0.78</v>
      </c>
      <c r="K168" s="32" t="n">
        <v>439811</v>
      </c>
      <c r="L168" s="31" t="n">
        <v>88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68.56</v>
      </c>
      <c r="P168" s="32" t="n">
        <v>53.47</v>
      </c>
      <c r="Q168" s="32" t="n">
        <v>85.44</v>
      </c>
      <c r="R168" s="31" t="inlineStr">
        <is>
          <t>Earnings / Momentum Support</t>
        </is>
      </c>
      <c r="S168" s="31" t="inlineStr">
        <is>
          <t>Nifty 50</t>
        </is>
      </c>
      <c r="T168" s="32" t="n">
        <v>-0.74</v>
      </c>
      <c r="U168" s="32" t="n">
        <v>29.34</v>
      </c>
      <c r="V168" s="32" t="n">
        <v>30.3</v>
      </c>
      <c r="W168" s="32" t="n">
        <v>26.28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Negative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Between 50% to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IF(B169=0,"",RANK(B169,$B$2:$B$284,0))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3" t="inlineStr">
        <is>
          <t>ARROWGREEN</t>
        </is>
      </c>
      <c r="D169" s="33" t="inlineStr">
        <is>
          <t>Arrow Greentech Limited</t>
        </is>
      </c>
      <c r="E169" s="31" t="inlineStr">
        <is>
          <t>plastic products</t>
        </is>
      </c>
      <c r="F169" s="31" t="inlineStr">
        <is>
          <t>plastics products</t>
        </is>
      </c>
      <c r="G169" s="31" t="inlineStr">
        <is>
          <t>smallcap</t>
        </is>
      </c>
      <c r="H169" s="32" t="n">
        <v>1094.33</v>
      </c>
      <c r="I169" s="32" t="n">
        <v>730</v>
      </c>
      <c r="J169" s="32" t="n">
        <v>0.65</v>
      </c>
      <c r="K169" s="32" t="n">
        <v>11464</v>
      </c>
      <c r="L169" s="31" t="n">
        <v>47</v>
      </c>
      <c r="M169" s="31" t="inlineStr">
        <is>
          <t>Underperforming</t>
        </is>
      </c>
      <c r="N169" s="32">
        <f>IF(M169="Underperforming",-5,IF(L169&gt;=95,15,IF(L169&gt;=90,10,IF(L169&gt;=80,5,0))))</f>
        <v/>
      </c>
      <c r="O169" s="32" t="n">
        <v>68.33</v>
      </c>
      <c r="P169" s="32" t="n">
        <v>29.48</v>
      </c>
      <c r="Q169" s="32" t="n">
        <v>519.71</v>
      </c>
      <c r="R169" s="31" t="inlineStr">
        <is>
          <t>Near 52W High Breakout</t>
        </is>
      </c>
      <c r="S169" s="31" t="inlineStr">
        <is>
          <t>Nifty Infra</t>
        </is>
      </c>
      <c r="T169" s="32" t="n">
        <v>3.78</v>
      </c>
      <c r="U169" s="32" t="n">
        <v>-4.23</v>
      </c>
      <c r="V169" s="32" t="n">
        <v>-7.72</v>
      </c>
      <c r="W169" s="32" t="n">
        <v>9.960000000000001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Less than 12%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Between 50% to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IF(B170=0,"",RANK(B170,$B$2:$B$284,0))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3" t="inlineStr">
        <is>
          <t>ARE&amp;M</t>
        </is>
      </c>
      <c r="D170" s="33" t="inlineStr">
        <is>
          <t>Amara Raja Energy &amp; Mobility Ltd</t>
        </is>
      </c>
      <c r="E170" s="31" t="inlineStr">
        <is>
          <t>auto</t>
        </is>
      </c>
      <c r="F170" s="31" t="inlineStr">
        <is>
          <t>auto ancillaries</t>
        </is>
      </c>
      <c r="G170" s="31" t="inlineStr">
        <is>
          <t>midcap</t>
        </is>
      </c>
      <c r="H170" s="32" t="n">
        <v>16597.66</v>
      </c>
      <c r="I170" s="32" t="n">
        <v>910.45</v>
      </c>
      <c r="J170" s="32" t="n">
        <v>0.4</v>
      </c>
      <c r="K170" s="32" t="n">
        <v>1595035</v>
      </c>
      <c r="L170" s="31" t="n">
        <v>3</v>
      </c>
      <c r="M170" s="31" t="inlineStr">
        <is>
          <t>Underperforming</t>
        </is>
      </c>
      <c r="N170" s="32">
        <f>IF(M170="Underperforming",-5,IF(L170&gt;=95,15,IF(L170&gt;=90,10,IF(L170&gt;=80,5,0))))</f>
        <v/>
      </c>
      <c r="O170" s="32" t="n">
        <v>56.93</v>
      </c>
      <c r="P170" s="32" t="n">
        <v>12.52</v>
      </c>
      <c r="Q170" s="32" t="n">
        <v>740.1900000000001</v>
      </c>
      <c r="R170" s="31" t="inlineStr">
        <is>
          <t>Earnings / Momentum Support</t>
        </is>
      </c>
      <c r="S170" s="31" t="inlineStr">
        <is>
          <t>Nifty Auto</t>
        </is>
      </c>
      <c r="T170" s="32" t="n">
        <v>20.87</v>
      </c>
      <c r="U170" s="32" t="n">
        <v>-6.9</v>
      </c>
      <c r="V170" s="32" t="n">
        <v>-22.97</v>
      </c>
      <c r="W170" s="32" t="n">
        <v>-0.28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0 to 20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IF(B171=0,"",RANK(B171,$B$2:$B$284,0))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UNIVPHOTO</t>
        </is>
      </c>
      <c r="D171" s="31" t="inlineStr">
        <is>
          <t>Universus Photo Imagings Ltd</t>
        </is>
      </c>
      <c r="E171" s="31" t="inlineStr">
        <is>
          <t>consumer discretionary</t>
        </is>
      </c>
      <c r="F171" s="31" t="inlineStr">
        <is>
          <t>photographic and allied products</t>
        </is>
      </c>
      <c r="G171" s="31" t="inlineStr">
        <is>
          <t>smallcap</t>
        </is>
      </c>
      <c r="H171" s="32" t="n">
        <v>519.3099999999999</v>
      </c>
      <c r="I171" s="32" t="n">
        <v>475</v>
      </c>
      <c r="J171" s="32" t="n">
        <v>0.13</v>
      </c>
      <c r="K171" s="32" t="n">
        <v>1163</v>
      </c>
      <c r="L171" s="31" t="n">
        <v>86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63.1</v>
      </c>
      <c r="P171" s="32" t="n">
        <v>15.65</v>
      </c>
      <c r="Q171" s="32" t="n">
        <v>357.78</v>
      </c>
      <c r="R171" s="31" t="inlineStr">
        <is>
          <t>Volume Spike / Accumulation</t>
        </is>
      </c>
      <c r="S171" s="31" t="inlineStr">
        <is>
          <t>Nifty 50</t>
        </is>
      </c>
      <c r="T171" s="32" t="n">
        <v>-0.74</v>
      </c>
      <c r="U171" s="32" t="n">
        <v>81.68000000000001</v>
      </c>
      <c r="V171" s="32" t="n">
        <v>83.03</v>
      </c>
      <c r="W171" s="32" t="n">
        <v>24.51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Negative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IF(B172=0,"",RANK(B172,$B$2:$B$284,0))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SPECIALITY</t>
        </is>
      </c>
      <c r="D172" s="31" t="inlineStr">
        <is>
          <t>Speciality Restaurants Limited</t>
        </is>
      </c>
      <c r="E172" s="31" t="inlineStr">
        <is>
          <t>services</t>
        </is>
      </c>
      <c r="F172" s="31" t="inlineStr">
        <is>
          <t>hotels</t>
        </is>
      </c>
      <c r="G172" s="31" t="inlineStr">
        <is>
          <t>smallcap</t>
        </is>
      </c>
      <c r="H172" s="32" t="n">
        <v>646.02</v>
      </c>
      <c r="I172" s="32" t="n">
        <v>133.17</v>
      </c>
      <c r="J172" s="32" t="n">
        <v>-0.57</v>
      </c>
      <c r="K172" s="32" t="n">
        <v>20180</v>
      </c>
      <c r="L172" s="31" t="n">
        <v>39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62.16</v>
      </c>
      <c r="P172" s="32" t="n">
        <v>20.88</v>
      </c>
      <c r="Q172" s="32" t="n">
        <v>101.49</v>
      </c>
      <c r="R172" s="31" t="inlineStr">
        <is>
          <t>Earnings / Momentum Support</t>
        </is>
      </c>
      <c r="S172" s="31" t="inlineStr">
        <is>
          <t>Nifty 50</t>
        </is>
      </c>
      <c r="T172" s="32" t="n">
        <v>-0.74</v>
      </c>
      <c r="U172" s="32" t="n">
        <v>2.33</v>
      </c>
      <c r="V172" s="32" t="n">
        <v>3.1</v>
      </c>
      <c r="W172" s="32" t="n">
        <v>7.57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IF(B173=0,"",RANK(B173,$B$2:$B$284,0))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MBAPL</t>
        </is>
      </c>
      <c r="D173" s="31" t="inlineStr">
        <is>
          <t>Madhya Bharat Agro Products Ltd</t>
        </is>
      </c>
      <c r="E173" s="31" t="inlineStr">
        <is>
          <t>chemicals</t>
        </is>
      </c>
      <c r="F173" s="31" t="inlineStr">
        <is>
          <t>fertilizers</t>
        </is>
      </c>
      <c r="G173" s="31" t="inlineStr">
        <is>
          <t>smallcap</t>
        </is>
      </c>
      <c r="H173" s="32" t="n">
        <v>1453.29</v>
      </c>
      <c r="I173" s="32" t="n">
        <v>160.2</v>
      </c>
      <c r="J173" s="32" t="n">
        <v>-3.41</v>
      </c>
      <c r="K173" s="32" t="n">
        <v>914031</v>
      </c>
      <c r="L173" s="31" t="n">
        <v>88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86.94</v>
      </c>
      <c r="P173" s="32" t="n">
        <v>60.94</v>
      </c>
      <c r="Q173" s="32" t="n">
        <v>127.32</v>
      </c>
      <c r="R173" s="31" t="inlineStr">
        <is>
          <t>Volume Spike &amp; Near 52W High Breakout</t>
        </is>
      </c>
      <c r="S173" s="31" t="inlineStr">
        <is>
          <t>Nifty 50</t>
        </is>
      </c>
      <c r="T173" s="32" t="n">
        <v>-0.74</v>
      </c>
      <c r="U173" s="32" t="n">
        <v>84.23999999999999</v>
      </c>
      <c r="V173" s="32" t="n">
        <v>85.61</v>
      </c>
      <c r="W173" s="32" t="n">
        <v>25.39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Above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Between 12 to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More than 1.2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IF(B174=0,"",RANK(B174,$B$2:$B$284,0))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KALYANKJIL</t>
        </is>
      </c>
      <c r="D174" s="31" t="inlineStr">
        <is>
          <t>Kalyan Jewellers India Ltd</t>
        </is>
      </c>
      <c r="E174" s="31" t="inlineStr">
        <is>
          <t>consumer discretionary</t>
        </is>
      </c>
      <c r="F174" s="31" t="inlineStr">
        <is>
          <t>diamond cutting / jewellery</t>
        </is>
      </c>
      <c r="G174" s="31" t="inlineStr">
        <is>
          <t>largecap</t>
        </is>
      </c>
      <c r="H174" s="32" t="n">
        <v>65537.69</v>
      </c>
      <c r="I174" s="32" t="n">
        <v>612.6</v>
      </c>
      <c r="J174" s="32" t="n">
        <v>-3.47</v>
      </c>
      <c r="K174" s="32" t="n">
        <v>23711127</v>
      </c>
      <c r="L174" s="31" t="n">
        <v>61</v>
      </c>
      <c r="M174" s="31" t="inlineStr">
        <is>
          <t>Outperforming</t>
        </is>
      </c>
      <c r="N174" s="32">
        <f>IF(M174="Underperforming",-5,IF(L174&gt;=95,15,IF(L174&gt;=90,10,IF(L174&gt;=80,5,0))))</f>
        <v/>
      </c>
      <c r="O174" s="32" t="n">
        <v>72.88</v>
      </c>
      <c r="P174" s="32" t="n">
        <v>26.25</v>
      </c>
      <c r="Q174" s="32" t="n">
        <v>465.28</v>
      </c>
      <c r="R174" s="31" t="inlineStr">
        <is>
          <t>Near 52W High Breakout</t>
        </is>
      </c>
      <c r="S174" s="31" t="inlineStr">
        <is>
          <t>Nifty 500</t>
        </is>
      </c>
      <c r="T174" s="32" t="n">
        <v>3.47</v>
      </c>
      <c r="U174" s="32" t="n">
        <v>5.41</v>
      </c>
      <c r="V174" s="32" t="n">
        <v>1.88</v>
      </c>
      <c r="W174" s="32" t="n">
        <v>13.76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Between 50% to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Between 0.7 to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IF(B175=0,"",RANK(B175,$B$2:$B$284,0))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APOLLOPIPE</t>
        </is>
      </c>
      <c r="D175" s="31" t="inlineStr">
        <is>
          <t>Apollo Pipes Ltd</t>
        </is>
      </c>
      <c r="E175" s="31" t="inlineStr">
        <is>
          <t>plastic products</t>
        </is>
      </c>
      <c r="F175" s="31" t="inlineStr">
        <is>
          <t>plastics products</t>
        </is>
      </c>
      <c r="G175" s="31" t="inlineStr">
        <is>
          <t>smallcap</t>
        </is>
      </c>
      <c r="H175" s="32" t="n">
        <v>2184.13</v>
      </c>
      <c r="I175" s="32" t="n">
        <v>515.6</v>
      </c>
      <c r="J175" s="32" t="n">
        <v>3.98</v>
      </c>
      <c r="K175" s="32" t="n">
        <v>416415</v>
      </c>
      <c r="L175" s="31" t="n">
        <v>53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65.38</v>
      </c>
      <c r="P175" s="32" t="n">
        <v>47.17</v>
      </c>
      <c r="Q175" s="32" t="n">
        <v>397.76</v>
      </c>
      <c r="R175" s="31" t="inlineStr">
        <is>
          <t>Volume Spike &amp; Near 52W High Breakout</t>
        </is>
      </c>
      <c r="S175" s="31" t="inlineStr">
        <is>
          <t>Nifty Infra</t>
        </is>
      </c>
      <c r="T175" s="32" t="n">
        <v>3.78</v>
      </c>
      <c r="U175" s="32" t="n">
        <v>22.56</v>
      </c>
      <c r="V175" s="32" t="n">
        <v>18.1</v>
      </c>
      <c r="W175" s="32" t="n">
        <v>11.44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Oligopoly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Cyclical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B2C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Fully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Above 40</t>
        </is>
      </c>
      <c r="AY175" s="31">
        <f>IF(AX175="Above 40",20,IF(AX175="20 to 40",10,IF(AX175="0 to 20",-5,0)))</f>
        <v/>
      </c>
      <c r="AZ175" s="31" t="inlineStr">
        <is>
          <t>Above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Yes</t>
        </is>
      </c>
      <c r="BQ175" s="31">
        <f>IF(BP175="No",10,0)</f>
        <v/>
      </c>
      <c r="BR175" s="31" t="inlineStr">
        <is>
          <t>Yes</t>
        </is>
      </c>
      <c r="BS175" s="31">
        <f>IF(BR175="NO",5,0)</f>
        <v/>
      </c>
      <c r="BT175" s="31" t="inlineStr">
        <is>
          <t>Between 1.5 to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IF(B176=0,"",RANK(B176,$B$2:$B$284,0))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3" t="inlineStr">
        <is>
          <t>LTFOODS</t>
        </is>
      </c>
      <c r="D176" s="33" t="inlineStr">
        <is>
          <t>L T Foods Ltd</t>
        </is>
      </c>
      <c r="E176" s="31" t="inlineStr">
        <is>
          <t>fmcg</t>
        </is>
      </c>
      <c r="F176" s="31" t="inlineStr">
        <is>
          <t>food - processing - indian</t>
        </is>
      </c>
      <c r="G176" s="31" t="inlineStr">
        <is>
          <t>midcap</t>
        </is>
      </c>
      <c r="H176" s="32" t="n">
        <v>13789.41</v>
      </c>
      <c r="I176" s="32" t="n">
        <v>410.35</v>
      </c>
      <c r="J176" s="32" t="n">
        <v>3.34</v>
      </c>
      <c r="K176" s="32" t="n">
        <v>2405621</v>
      </c>
      <c r="L176" s="31" t="n">
        <v>1</v>
      </c>
      <c r="M176" s="31" t="inlineStr">
        <is>
          <t>Underperforming</t>
        </is>
      </c>
      <c r="N176" s="32">
        <f>IF(M176="Underperforming",-5,IF(L176&gt;=95,15,IF(L176&gt;=90,10,IF(L176&gt;=80,5,0))))</f>
        <v/>
      </c>
      <c r="O176" s="32" t="n">
        <v>55.11</v>
      </c>
      <c r="P176" s="32" t="n">
        <v>13.83</v>
      </c>
      <c r="Q176" s="32" t="n">
        <v>348.1</v>
      </c>
      <c r="R176" s="31" t="inlineStr">
        <is>
          <t>Volume Spike / Accumulation</t>
        </is>
      </c>
      <c r="S176" s="31" t="inlineStr">
        <is>
          <t>Nifty FMCG</t>
        </is>
      </c>
      <c r="T176" s="32" t="n">
        <v>-10</v>
      </c>
      <c r="U176" s="32" t="n">
        <v>-15.37</v>
      </c>
      <c r="V176" s="32" t="n">
        <v>-5.97</v>
      </c>
      <c r="W176" s="32" t="n">
        <v>-2.81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B2C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0 to 20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1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IF(B177=0,"",RANK(B177,$B$2:$B$284,0))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APOLLOHOSP</t>
        </is>
      </c>
      <c r="D177" s="31" t="inlineStr">
        <is>
          <t>Apollo Hospitals Enterprise Limited</t>
        </is>
      </c>
      <c r="E177" s="31" t="inlineStr">
        <is>
          <t>healthcare</t>
        </is>
      </c>
      <c r="F177" s="31" t="inlineStr">
        <is>
          <t>healthcare</t>
        </is>
      </c>
      <c r="G177" s="31" t="inlineStr">
        <is>
          <t>largecap</t>
        </is>
      </c>
      <c r="H177" s="32" t="n">
        <v>129233.65</v>
      </c>
      <c r="I177" s="32" t="n">
        <v>8941</v>
      </c>
      <c r="J177" s="32" t="n">
        <v>-0.52</v>
      </c>
      <c r="K177" s="32" t="n">
        <v>268253</v>
      </c>
      <c r="L177" s="31" t="n">
        <v>41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71.41</v>
      </c>
      <c r="P177" s="32" t="n">
        <v>27.87</v>
      </c>
      <c r="Q177" s="32" t="n">
        <v>7980.64</v>
      </c>
      <c r="R177" s="31" t="inlineStr">
        <is>
          <t>Near 52W High Breakout</t>
        </is>
      </c>
      <c r="S177" s="31" t="inlineStr">
        <is>
          <t>Nifty Pharma</t>
        </is>
      </c>
      <c r="T177" s="32" t="n">
        <v>20.55</v>
      </c>
      <c r="U177" s="32" t="n">
        <v>22.16</v>
      </c>
      <c r="V177" s="32" t="n">
        <v>1.33</v>
      </c>
      <c r="W177" s="32" t="n">
        <v>7.94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Oligopoly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Cyclical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B2C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Fully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Yes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Between 1.5 to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IF(B178=0,"",RANK(B178,$B$2:$B$284,0))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PVRINOX</t>
        </is>
      </c>
      <c r="D178" s="31" t="inlineStr">
        <is>
          <t>PVR Inox Ltd</t>
        </is>
      </c>
      <c r="E178" s="31" t="inlineStr">
        <is>
          <t>media</t>
        </is>
      </c>
      <c r="F178" s="31" t="inlineStr">
        <is>
          <t>entertainment / electronic media software</t>
        </is>
      </c>
      <c r="G178" s="31" t="inlineStr">
        <is>
          <t>midcap</t>
        </is>
      </c>
      <c r="H178" s="32" t="n">
        <v>11110.83</v>
      </c>
      <c r="I178" s="32" t="n">
        <v>1124.1</v>
      </c>
      <c r="J178" s="32" t="n">
        <v>-0.65</v>
      </c>
      <c r="K178" s="32" t="n">
        <v>178460</v>
      </c>
      <c r="L178" s="31" t="n">
        <v>23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64.89</v>
      </c>
      <c r="P178" s="32" t="n">
        <v>12.12</v>
      </c>
      <c r="Q178" s="32" t="n">
        <v>935.39</v>
      </c>
      <c r="R178" s="31" t="inlineStr">
        <is>
          <t>Volume Spike / Accumulation</t>
        </is>
      </c>
      <c r="S178" s="31" t="inlineStr">
        <is>
          <t>Nifty IT</t>
        </is>
      </c>
      <c r="T178" s="32" t="n">
        <v>-11.37</v>
      </c>
      <c r="U178" s="32" t="n">
        <v>13.28</v>
      </c>
      <c r="V178" s="32" t="n">
        <v>27.82</v>
      </c>
      <c r="W178" s="32" t="n">
        <v>4.68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Between 0.7 to 1.2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IF(B179=0,"",RANK(B179,$B$2:$B$284,0))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UNITDSPR</t>
        </is>
      </c>
      <c r="D179" s="31" t="inlineStr">
        <is>
          <t>United Spirits Ltd</t>
        </is>
      </c>
      <c r="E179" s="31" t="inlineStr">
        <is>
          <t>fmcg</t>
        </is>
      </c>
      <c r="F179" s="31" t="inlineStr">
        <is>
          <t>breweries &amp; distilleries</t>
        </is>
      </c>
      <c r="G179" s="31" t="inlineStr">
        <is>
          <t>largecap</t>
        </is>
      </c>
      <c r="H179" s="32" t="n">
        <v>111422.88</v>
      </c>
      <c r="I179" s="32" t="n">
        <v>1515.9</v>
      </c>
      <c r="J179" s="32" t="n">
        <v>-1.04</v>
      </c>
      <c r="K179" s="32" t="n">
        <v>784006</v>
      </c>
      <c r="L179" s="31" t="n">
        <v>27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67.63</v>
      </c>
      <c r="P179" s="32" t="n">
        <v>16.87</v>
      </c>
      <c r="Q179" s="32" t="n">
        <v>1297.52</v>
      </c>
      <c r="R179" s="31" t="inlineStr">
        <is>
          <t>Near 52W High Breakout</t>
        </is>
      </c>
      <c r="S179" s="31" t="inlineStr">
        <is>
          <t>Nifty FMCG</t>
        </is>
      </c>
      <c r="T179" s="32" t="n">
        <v>-10</v>
      </c>
      <c r="U179" s="32" t="n">
        <v>17.88</v>
      </c>
      <c r="V179" s="32" t="n">
        <v>30.97</v>
      </c>
      <c r="W179" s="32" t="n">
        <v>5.37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B2C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IF(B180=0,"",RANK(B180,$B$2:$B$284,0))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3" t="inlineStr">
        <is>
          <t>ALKEM</t>
        </is>
      </c>
      <c r="D180" s="33" t="inlineStr">
        <is>
          <t>Alkem Laboratories Limited</t>
        </is>
      </c>
      <c r="E180" s="31" t="inlineStr">
        <is>
          <t>healthcare</t>
        </is>
      </c>
      <c r="F180" s="31" t="inlineStr">
        <is>
          <t>pharmaceuticals - indian - bulk drugs &amp; formln</t>
        </is>
      </c>
      <c r="G180" s="31" t="inlineStr">
        <is>
          <t>largecap</t>
        </is>
      </c>
      <c r="H180" s="32" t="n">
        <v>69544.98</v>
      </c>
      <c r="I180" s="32" t="n">
        <v>5751.5</v>
      </c>
      <c r="J180" s="32" t="n">
        <v>-1.12</v>
      </c>
      <c r="K180" s="32" t="n">
        <v>116595</v>
      </c>
      <c r="L180" s="31" t="n">
        <v>24</v>
      </c>
      <c r="M180" s="31" t="inlineStr">
        <is>
          <t>Underperforming</t>
        </is>
      </c>
      <c r="N180" s="32">
        <f>IF(M180="Underperforming",-5,IF(L180&gt;=95,15,IF(L180&gt;=90,10,IF(L180&gt;=80,5,0))))</f>
        <v/>
      </c>
      <c r="O180" s="32" t="n">
        <v>58.72</v>
      </c>
      <c r="P180" s="32" t="n">
        <v>21.05</v>
      </c>
      <c r="Q180" s="32" t="n">
        <v>4948.07</v>
      </c>
      <c r="R180" s="31" t="inlineStr">
        <is>
          <t>Near 52W High Breakout</t>
        </is>
      </c>
      <c r="S180" s="31" t="inlineStr">
        <is>
          <t>Nifty Pharma</t>
        </is>
      </c>
      <c r="T180" s="32" t="n">
        <v>20.55</v>
      </c>
      <c r="U180" s="32" t="n">
        <v>18.54</v>
      </c>
      <c r="V180" s="32" t="n">
        <v>-1.66</v>
      </c>
      <c r="W180" s="32" t="n">
        <v>4.9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Yes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Between 50% to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IF(B181=0,"",RANK(B181,$B$2:$B$284,0))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BIRLACABLE</t>
        </is>
      </c>
      <c r="D181" s="31" t="inlineStr">
        <is>
          <t>Birla Cable Limited</t>
        </is>
      </c>
      <c r="E181" s="31" t="inlineStr">
        <is>
          <t>industrials</t>
        </is>
      </c>
      <c r="F181" s="31" t="inlineStr">
        <is>
          <t>cables - telephone</t>
        </is>
      </c>
      <c r="G181" s="31" t="inlineStr">
        <is>
          <t>smallcap</t>
        </is>
      </c>
      <c r="H181" s="32" t="n">
        <v>582.33</v>
      </c>
      <c r="I181" s="32" t="n">
        <v>203.81</v>
      </c>
      <c r="J181" s="32" t="n">
        <v>5</v>
      </c>
      <c r="K181" s="32" t="n">
        <v>52010</v>
      </c>
      <c r="L181" s="31" t="n">
        <v>54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58.99</v>
      </c>
      <c r="P181" s="32" t="n">
        <v>41.89</v>
      </c>
      <c r="Q181" s="32" t="n">
        <v>160.92</v>
      </c>
      <c r="R181" s="31" t="inlineStr">
        <is>
          <t>Earnings / Momentum Support</t>
        </is>
      </c>
      <c r="S181" s="31" t="inlineStr">
        <is>
          <t>Nifty Infra</t>
        </is>
      </c>
      <c r="T181" s="32" t="n">
        <v>3.78</v>
      </c>
      <c r="U181" s="32" t="n">
        <v>19.79</v>
      </c>
      <c r="V181" s="32" t="n">
        <v>15.43</v>
      </c>
      <c r="W181" s="32" t="n">
        <v>11.62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Negative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IF(B182=0,"",RANK(B182,$B$2:$B$284,0))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HIRECT</t>
        </is>
      </c>
      <c r="D182" s="31" t="inlineStr">
        <is>
          <t>Hind Rectifiers Limited</t>
        </is>
      </c>
      <c r="E182" s="31" t="inlineStr">
        <is>
          <t>consumer discretionary</t>
        </is>
      </c>
      <c r="F182" s="31" t="inlineStr">
        <is>
          <t>electronics - components</t>
        </is>
      </c>
      <c r="G182" s="31" t="inlineStr">
        <is>
          <t>smallcap</t>
        </is>
      </c>
      <c r="H182" s="32" t="n">
        <v>4469.77</v>
      </c>
      <c r="I182" s="32" t="n">
        <v>1338.3</v>
      </c>
      <c r="J182" s="32" t="n">
        <v>2.91</v>
      </c>
      <c r="K182" s="32" t="n">
        <v>164878</v>
      </c>
      <c r="L182" s="31" t="n">
        <v>89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77.7</v>
      </c>
      <c r="P182" s="32" t="n">
        <v>32.11</v>
      </c>
      <c r="Q182" s="32" t="n">
        <v>959.1900000000001</v>
      </c>
      <c r="R182" s="31" t="inlineStr">
        <is>
          <t>Near 52W High Breakout</t>
        </is>
      </c>
      <c r="S182" s="31" t="inlineStr">
        <is>
          <t>Nifty Infra</t>
        </is>
      </c>
      <c r="T182" s="32" t="n">
        <v>3.78</v>
      </c>
      <c r="U182" s="32" t="n">
        <v>98.3</v>
      </c>
      <c r="V182" s="32" t="n">
        <v>91.06999999999999</v>
      </c>
      <c r="W182" s="32" t="n">
        <v>27.79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Above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Less than 12%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Between 0.7 to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IF(B183=0,"",RANK(B183,$B$2:$B$284,0))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TVSMOTOR</t>
        </is>
      </c>
      <c r="D183" s="31" t="inlineStr">
        <is>
          <t>Tvs Motor Company Limited</t>
        </is>
      </c>
      <c r="E183" s="31" t="inlineStr">
        <is>
          <t>auto</t>
        </is>
      </c>
      <c r="F183" s="31" t="inlineStr">
        <is>
          <t>automobiles - motorcycles / mopeds</t>
        </is>
      </c>
      <c r="G183" s="31" t="inlineStr">
        <is>
          <t>largecap</t>
        </is>
      </c>
      <c r="H183" s="32" t="n">
        <v>199935.66</v>
      </c>
      <c r="I183" s="32" t="n">
        <v>4313.1</v>
      </c>
      <c r="J183" s="32" t="n">
        <v>2.49</v>
      </c>
      <c r="K183" s="32" t="n">
        <v>2991859</v>
      </c>
      <c r="L183" s="31" t="n">
        <v>65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70.56</v>
      </c>
      <c r="P183" s="32" t="n">
        <v>13.42</v>
      </c>
      <c r="Q183" s="32" t="n">
        <v>3578.55</v>
      </c>
      <c r="R183" s="31" t="inlineStr">
        <is>
          <t>Volume Spike &amp; Near 52W High Breakout</t>
        </is>
      </c>
      <c r="S183" s="31" t="inlineStr">
        <is>
          <t>Nifty Auto</t>
        </is>
      </c>
      <c r="T183" s="32" t="n">
        <v>20.87</v>
      </c>
      <c r="U183" s="32" t="n">
        <v>56</v>
      </c>
      <c r="V183" s="32" t="n">
        <v>29.07</v>
      </c>
      <c r="W183" s="32" t="n">
        <v>14.85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0 to 20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More than 1.2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IF(B184=0,"",RANK(B184,$B$2:$B$284,0))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KECL</t>
        </is>
      </c>
      <c r="D184" s="31" t="inlineStr">
        <is>
          <t>Kirloskar Electric Company Limited</t>
        </is>
      </c>
      <c r="E184" s="31" t="inlineStr">
        <is>
          <t>industrials</t>
        </is>
      </c>
      <c r="F184" s="31" t="inlineStr">
        <is>
          <t>electric equipment</t>
        </is>
      </c>
      <c r="G184" s="31" t="inlineStr">
        <is>
          <t>smallcap</t>
        </is>
      </c>
      <c r="H184" s="32" t="n">
        <v>904.36</v>
      </c>
      <c r="I184" s="32" t="n">
        <v>138.38</v>
      </c>
      <c r="J184" s="32" t="n">
        <v>1.62</v>
      </c>
      <c r="K184" s="32" t="n">
        <v>103166</v>
      </c>
      <c r="L184" s="31" t="n">
        <v>38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63.72</v>
      </c>
      <c r="P184" s="32" t="n">
        <v>27.91</v>
      </c>
      <c r="Q184" s="32" t="n">
        <v>97.97</v>
      </c>
      <c r="R184" s="31" t="inlineStr">
        <is>
          <t>Volume Spike &amp; Near 52W High Breakout</t>
        </is>
      </c>
      <c r="S184" s="31" t="inlineStr">
        <is>
          <t>Nifty 50</t>
        </is>
      </c>
      <c r="T184" s="32" t="n">
        <v>-0.74</v>
      </c>
      <c r="U184" s="32" t="n">
        <v>11.83</v>
      </c>
      <c r="V184" s="32" t="n">
        <v>12.67</v>
      </c>
      <c r="W184" s="32" t="n">
        <v>7.46</v>
      </c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Between 50% to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IF(B185=0,"",RANK(B185,$B$2:$B$284,0))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HAL</t>
        </is>
      </c>
      <c r="D185" s="31" t="inlineStr">
        <is>
          <t>Hindustan Aeronautics Ltd</t>
        </is>
      </c>
      <c r="E185" s="31" t="inlineStr">
        <is>
          <t>aerospace &amp; defence</t>
        </is>
      </c>
      <c r="F185" s="31" t="inlineStr">
        <is>
          <t>engineering</t>
        </is>
      </c>
      <c r="G185" s="31" t="inlineStr">
        <is>
          <t>largecap</t>
        </is>
      </c>
      <c r="H185" s="32" t="n">
        <v>306392.58</v>
      </c>
      <c r="I185" s="32" t="n">
        <v>4646.5</v>
      </c>
      <c r="J185" s="32" t="n">
        <v>1.42</v>
      </c>
      <c r="K185" s="32" t="n">
        <v>747864</v>
      </c>
      <c r="L185" s="31" t="n">
        <v>14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59.36</v>
      </c>
      <c r="P185" s="32" t="n">
        <v>19.84</v>
      </c>
      <c r="Q185" s="32" t="n">
        <v>4074.27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-0.74</v>
      </c>
      <c r="U185" s="32" t="n">
        <v>5.91</v>
      </c>
      <c r="V185" s="32" t="n">
        <v>6.7</v>
      </c>
      <c r="W185" s="32" t="n">
        <v>2.69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0 to 20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Less than 12%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No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IF(B186=0,"",RANK(B186,$B$2:$B$284,0))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ACE</t>
        </is>
      </c>
      <c r="D186" s="33" t="inlineStr">
        <is>
          <t>Action Construction Equipment Limited</t>
        </is>
      </c>
      <c r="E186" s="31" t="inlineStr">
        <is>
          <t>industrials</t>
        </is>
      </c>
      <c r="F186" s="31" t="inlineStr">
        <is>
          <t>engineering</t>
        </is>
      </c>
      <c r="G186" s="31" t="inlineStr">
        <is>
          <t>midcap</t>
        </is>
      </c>
      <c r="H186" s="32" t="n">
        <v>12589.48</v>
      </c>
      <c r="I186" s="32" t="n">
        <v>1070.3</v>
      </c>
      <c r="J186" s="32" t="n">
        <v>1.24</v>
      </c>
      <c r="K186" s="32" t="n">
        <v>297297</v>
      </c>
      <c r="L186" s="31" t="n">
        <v>19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66.23999999999999</v>
      </c>
      <c r="P186" s="32" t="n">
        <v>16.75</v>
      </c>
      <c r="Q186" s="32" t="n">
        <v>865.46</v>
      </c>
      <c r="R186" s="31" t="inlineStr">
        <is>
          <t>Earnings / Momentum Support</t>
        </is>
      </c>
      <c r="S186" s="31" t="inlineStr">
        <is>
          <t>Nifty 50</t>
        </is>
      </c>
      <c r="T186" s="32" t="n">
        <v>-0.74</v>
      </c>
      <c r="U186" s="32" t="n">
        <v>-3.8</v>
      </c>
      <c r="V186" s="32" t="n">
        <v>-3.09</v>
      </c>
      <c r="W186" s="32" t="n">
        <v>4.15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IF(B187=0,"",RANK(B187,$B$2:$B$284,0))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ATUL</t>
        </is>
      </c>
      <c r="D187" s="31" t="inlineStr">
        <is>
          <t>Atul Limited</t>
        </is>
      </c>
      <c r="E187" s="31" t="inlineStr">
        <is>
          <t>chemicals</t>
        </is>
      </c>
      <c r="F187" s="31" t="inlineStr">
        <is>
          <t>chemicals</t>
        </is>
      </c>
      <c r="G187" s="31" t="inlineStr">
        <is>
          <t>largecap</t>
        </is>
      </c>
      <c r="H187" s="32" t="n">
        <v>20029.23</v>
      </c>
      <c r="I187" s="32" t="n">
        <v>6736.5</v>
      </c>
      <c r="J187" s="32" t="n">
        <v>-0.98</v>
      </c>
      <c r="K187" s="32" t="n">
        <v>48824</v>
      </c>
      <c r="L187" s="31" t="n">
        <v>8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56.12</v>
      </c>
      <c r="P187" s="32" t="n">
        <v>12.62</v>
      </c>
      <c r="Q187" s="32" t="n">
        <v>5903.69</v>
      </c>
      <c r="R187" s="31" t="inlineStr">
        <is>
          <t>Volume Spike &amp; Near 52W High Breakout</t>
        </is>
      </c>
      <c r="S187" s="31" t="inlineStr">
        <is>
          <t>Nifty 50</t>
        </is>
      </c>
      <c r="T187" s="32" t="n">
        <v>-0.74</v>
      </c>
      <c r="U187" s="32" t="n">
        <v>4.29</v>
      </c>
      <c r="V187" s="32" t="n">
        <v>5.06</v>
      </c>
      <c r="W187" s="32" t="n">
        <v>1.02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0 to 20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1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Less than 1.5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IF(B188=0,"",RANK(B188,$B$2:$B$284,0))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STOVEKRAFT</t>
        </is>
      </c>
      <c r="D188" s="31" t="inlineStr">
        <is>
          <t>Stove Kraft Ltd</t>
        </is>
      </c>
      <c r="E188" s="31" t="inlineStr">
        <is>
          <t>consumer discretionary</t>
        </is>
      </c>
      <c r="F188" s="31" t="inlineStr">
        <is>
          <t>domestic appliances</t>
        </is>
      </c>
      <c r="G188" s="31" t="inlineStr">
        <is>
          <t>smallcap</t>
        </is>
      </c>
      <c r="H188" s="32" t="n">
        <v>2652.56</v>
      </c>
      <c r="I188" s="32" t="n">
        <v>778.4</v>
      </c>
      <c r="J188" s="32" t="n">
        <v>-2.85</v>
      </c>
      <c r="K188" s="32" t="n">
        <v>187817</v>
      </c>
      <c r="L188" s="31" t="n">
        <v>78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72.26000000000001</v>
      </c>
      <c r="P188" s="32" t="n">
        <v>45.25</v>
      </c>
      <c r="Q188" s="32" t="n">
        <v>630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-0.74</v>
      </c>
      <c r="U188" s="32" t="n">
        <v>35.22</v>
      </c>
      <c r="V188" s="32" t="n">
        <v>36.23</v>
      </c>
      <c r="W188" s="32" t="n">
        <v>19.42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IF(B189=0,"",RANK(B189,$B$2:$B$284,0))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JUSTDIAL</t>
        </is>
      </c>
      <c r="D189" s="33" t="inlineStr">
        <is>
          <t>Just Dial Limited</t>
        </is>
      </c>
      <c r="E189" s="31" t="inlineStr">
        <is>
          <t>i.t</t>
        </is>
      </c>
      <c r="F189" s="31" t="inlineStr">
        <is>
          <t>miscellaneous</t>
        </is>
      </c>
      <c r="G189" s="31" t="inlineStr">
        <is>
          <t>midcap</t>
        </is>
      </c>
      <c r="H189" s="32" t="n">
        <v>6307.66</v>
      </c>
      <c r="I189" s="32" t="n">
        <v>716.7</v>
      </c>
      <c r="J189" s="32" t="n">
        <v>-3.36</v>
      </c>
      <c r="K189" s="32" t="n">
        <v>453222</v>
      </c>
      <c r="L189" s="31" t="n">
        <v>30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64.02</v>
      </c>
      <c r="P189" s="32" t="n">
        <v>20.97</v>
      </c>
      <c r="Q189" s="32" t="n">
        <v>600.3099999999999</v>
      </c>
      <c r="R189" s="31" t="inlineStr">
        <is>
          <t>Earnings / Momentum Support</t>
        </is>
      </c>
      <c r="S189" s="31" t="inlineStr">
        <is>
          <t>Nifty IT</t>
        </is>
      </c>
      <c r="T189" s="32" t="n">
        <v>-11.37</v>
      </c>
      <c r="U189" s="32" t="n">
        <v>-13.4</v>
      </c>
      <c r="V189" s="32" t="n">
        <v>-2.29</v>
      </c>
      <c r="W189" s="32" t="n">
        <v>6.2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No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IF(B190=0,"",RANK(B190,$B$2:$B$284,0))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ZEEL</t>
        </is>
      </c>
      <c r="D190" s="31" t="inlineStr">
        <is>
          <t>Zee Entertainment Enterprises Limited</t>
        </is>
      </c>
      <c r="E190" s="31" t="inlineStr">
        <is>
          <t>media</t>
        </is>
      </c>
      <c r="F190" s="31" t="inlineStr">
        <is>
          <t>entertainment / electronic media software</t>
        </is>
      </c>
      <c r="G190" s="31" t="inlineStr">
        <is>
          <t>midcap</t>
        </is>
      </c>
      <c r="H190" s="32" t="n">
        <v>10777.99</v>
      </c>
      <c r="I190" s="32" t="n">
        <v>114.55</v>
      </c>
      <c r="J190" s="32" t="n">
        <v>2.09</v>
      </c>
      <c r="K190" s="32" t="n">
        <v>61736966</v>
      </c>
      <c r="L190" s="31" t="n">
        <v>34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61.01</v>
      </c>
      <c r="P190" s="32" t="n">
        <v>17.53</v>
      </c>
      <c r="Q190" s="32" t="n">
        <v>85.39</v>
      </c>
      <c r="R190" s="31" t="inlineStr">
        <is>
          <t>Earnings / Momentum Support</t>
        </is>
      </c>
      <c r="S190" s="31" t="inlineStr">
        <is>
          <t>Nifty IT</t>
        </is>
      </c>
      <c r="T190" s="32" t="n">
        <v>-11.37</v>
      </c>
      <c r="U190" s="32" t="n">
        <v>0.55</v>
      </c>
      <c r="V190" s="32" t="n">
        <v>13.45</v>
      </c>
      <c r="W190" s="32" t="n">
        <v>6.94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Annuity, Lower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IF(B191=0,"",RANK(B191,$B$2:$B$284,0))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AUROPHARMA</t>
        </is>
      </c>
      <c r="D191" s="31" t="inlineStr">
        <is>
          <t>Aurobindo Pharma Limited</t>
        </is>
      </c>
      <c r="E191" s="31" t="inlineStr">
        <is>
          <t>healthcare</t>
        </is>
      </c>
      <c r="F191" s="31" t="inlineStr">
        <is>
          <t>pharmaceuticals - indian - bulk drugs &amp; formln</t>
        </is>
      </c>
      <c r="G191" s="31" t="inlineStr">
        <is>
          <t>largecap</t>
        </is>
      </c>
      <c r="H191" s="32" t="n">
        <v>90696.82000000001</v>
      </c>
      <c r="I191" s="32" t="n">
        <v>1580.2</v>
      </c>
      <c r="J191" s="32" t="n">
        <v>0.25</v>
      </c>
      <c r="K191" s="32" t="n">
        <v>440501</v>
      </c>
      <c r="L191" s="31" t="n">
        <v>51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67.19</v>
      </c>
      <c r="P191" s="32" t="n">
        <v>44.23</v>
      </c>
      <c r="Q191" s="32" t="n">
        <v>1383.11</v>
      </c>
      <c r="R191" s="31" t="inlineStr">
        <is>
          <t>Near 52W High Breakout</t>
        </is>
      </c>
      <c r="S191" s="31" t="inlineStr">
        <is>
          <t>Nifty Pharma</t>
        </is>
      </c>
      <c r="T191" s="32" t="n">
        <v>20.55</v>
      </c>
      <c r="U191" s="32" t="n">
        <v>46.89</v>
      </c>
      <c r="V191" s="32" t="n">
        <v>21.85</v>
      </c>
      <c r="W191" s="32" t="n">
        <v>10.96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Yes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Above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Negative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Blue sky scenario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IF(B192=0,"",RANK(B192,$B$2:$B$284,0))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APCOTEXIND</t>
        </is>
      </c>
      <c r="D192" s="31" t="inlineStr">
        <is>
          <t>Apcotex Industries Limited</t>
        </is>
      </c>
      <c r="E192" s="31" t="inlineStr">
        <is>
          <t>chemicals</t>
        </is>
      </c>
      <c r="F192" s="31" t="inlineStr">
        <is>
          <t>miscellaneous</t>
        </is>
      </c>
      <c r="G192" s="31" t="inlineStr">
        <is>
          <t>smallcap</t>
        </is>
      </c>
      <c r="H192" s="32" t="n">
        <v>3304.86</v>
      </c>
      <c r="I192" s="32" t="n">
        <v>611.35</v>
      </c>
      <c r="J192" s="32" t="n">
        <v>-4.09</v>
      </c>
      <c r="K192" s="32" t="n">
        <v>856589</v>
      </c>
      <c r="L192" s="31" t="n">
        <v>80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73.56</v>
      </c>
      <c r="P192" s="32" t="n">
        <v>58.7</v>
      </c>
      <c r="Q192" s="32" t="n">
        <v>453.21</v>
      </c>
      <c r="R192" s="31" t="inlineStr">
        <is>
          <t>Volume Spike &amp; Near 52W High Breakout</t>
        </is>
      </c>
      <c r="S192" s="31" t="inlineStr">
        <is>
          <t>Nifty 50</t>
        </is>
      </c>
      <c r="T192" s="32" t="n">
        <v>-0.74</v>
      </c>
      <c r="U192" s="32" t="n">
        <v>46.64</v>
      </c>
      <c r="V192" s="32" t="n">
        <v>47.73</v>
      </c>
      <c r="W192" s="32" t="n">
        <v>20.92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Oligopoly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Cyclical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Fully One Time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Above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1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Sideways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Overhead supply in last 2 years in last 2 years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Between 50% to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IF(B193=0,"",RANK(B193,$B$2:$B$284,0))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THEJO</t>
        </is>
      </c>
      <c r="D193" s="33" t="inlineStr">
        <is>
          <t>Thejo Engineering Ltd</t>
        </is>
      </c>
      <c r="E193" s="31" t="inlineStr">
        <is>
          <t>industrials</t>
        </is>
      </c>
      <c r="F193" s="31" t="inlineStr">
        <is>
          <t>engineering</t>
        </is>
      </c>
      <c r="G193" s="31" t="inlineStr">
        <is>
          <t>smallcap</t>
        </is>
      </c>
      <c r="H193" s="32" t="n">
        <v>2061.67</v>
      </c>
      <c r="I193" s="32" t="n">
        <v>2108.7</v>
      </c>
      <c r="J193" s="32" t="n">
        <v>10.95</v>
      </c>
      <c r="K193" s="32" t="n">
        <v>75482</v>
      </c>
      <c r="L193" s="31" t="n">
        <v>12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67.83</v>
      </c>
      <c r="P193" s="32" t="n">
        <v>21.34</v>
      </c>
      <c r="Q193" s="32" t="n">
        <v>1652.77</v>
      </c>
      <c r="R193" s="31" t="inlineStr">
        <is>
          <t>Volume Spike / Accumulation</t>
        </is>
      </c>
      <c r="S193" s="31" t="inlineStr">
        <is>
          <t>Nifty 50</t>
        </is>
      </c>
      <c r="T193" s="32" t="n">
        <v>-0.74</v>
      </c>
      <c r="U193" s="32" t="n">
        <v>-10.01</v>
      </c>
      <c r="V193" s="32" t="n">
        <v>-9.34</v>
      </c>
      <c r="W193" s="32" t="n">
        <v>2.01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Between 50% to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IF(B194=0,"",RANK(B194,$B$2:$B$284,0))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DEEPINDS</t>
        </is>
      </c>
      <c r="D194" s="31" t="inlineStr">
        <is>
          <t>Deep Industries Ltd</t>
        </is>
      </c>
      <c r="E194" s="31" t="inlineStr">
        <is>
          <t>energy</t>
        </is>
      </c>
      <c r="F194" s="31" t="inlineStr">
        <is>
          <t>oil drilling / allied services</t>
        </is>
      </c>
      <c r="G194" s="31" t="inlineStr">
        <is>
          <t>smallcap</t>
        </is>
      </c>
      <c r="H194" s="32" t="n">
        <v>3512.32</v>
      </c>
      <c r="I194" s="32" t="n">
        <v>596.9</v>
      </c>
      <c r="J194" s="32" t="n">
        <v>8.76</v>
      </c>
      <c r="K194" s="32" t="n">
        <v>2246833</v>
      </c>
      <c r="L194" s="31" t="n">
        <v>58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69.67</v>
      </c>
      <c r="P194" s="32" t="n">
        <v>14.68</v>
      </c>
      <c r="Q194" s="32" t="n">
        <v>455</v>
      </c>
      <c r="R194" s="31" t="inlineStr">
        <is>
          <t>Volume Spike &amp; Near 52W High Breakout</t>
        </is>
      </c>
      <c r="S194" s="31" t="inlineStr">
        <is>
          <t>Nifty Energy</t>
        </is>
      </c>
      <c r="T194" s="32" t="n">
        <v>9.869999999999999</v>
      </c>
      <c r="U194" s="32" t="n">
        <v>33.13</v>
      </c>
      <c r="V194" s="32" t="n">
        <v>21.17</v>
      </c>
      <c r="W194" s="32" t="n">
        <v>12.62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Oligopoly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Yes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Cyclical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Volatile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IF(B195=0,"",RANK(B195,$B$2:$B$284,0))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PARAS</t>
        </is>
      </c>
      <c r="D195" s="31" t="inlineStr">
        <is>
          <t>Paras Defence and Space Technologies Ltd</t>
        </is>
      </c>
      <c r="E195" s="31" t="inlineStr">
        <is>
          <t>aerospace &amp; defence</t>
        </is>
      </c>
      <c r="F195" s="31" t="inlineStr">
        <is>
          <t>engineering</t>
        </is>
      </c>
      <c r="G195" s="31" t="inlineStr">
        <is>
          <t>midcap</t>
        </is>
      </c>
      <c r="H195" s="32" t="n">
        <v>9770.41</v>
      </c>
      <c r="I195" s="32" t="n">
        <v>1256.5</v>
      </c>
      <c r="J195" s="32" t="n">
        <v>3.64</v>
      </c>
      <c r="K195" s="32" t="n">
        <v>1669367</v>
      </c>
      <c r="L195" s="31" t="n">
        <v>90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65.68000000000001</v>
      </c>
      <c r="P195" s="32" t="n">
        <v>57.66</v>
      </c>
      <c r="Q195" s="32" t="n">
        <v>1036.19</v>
      </c>
      <c r="R195" s="31" t="inlineStr">
        <is>
          <t>Earnings / Momentum Support</t>
        </is>
      </c>
      <c r="S195" s="31" t="inlineStr">
        <is>
          <t>Nifty 50</t>
        </is>
      </c>
      <c r="T195" s="32" t="n">
        <v>-0.74</v>
      </c>
      <c r="U195" s="32" t="n">
        <v>99.01000000000001</v>
      </c>
      <c r="V195" s="32" t="n">
        <v>100.5</v>
      </c>
      <c r="W195" s="32" t="n">
        <v>28.46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Above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Negative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Between 1.5 to 2</t>
        </is>
      </c>
      <c r="BU195" s="31">
        <f>IF(BT195="Above 2",0,IF(BT195="Between 1.5 to 2",5,IF(BT195="Less than 1.5",10,0)))</f>
        <v/>
      </c>
      <c r="BV195" s="31" t="inlineStr">
        <is>
          <t>Less than 50%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IF(B196=0,"",RANK(B196,$B$2:$B$284,0))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KERNEX</t>
        </is>
      </c>
      <c r="D196" s="31" t="inlineStr">
        <is>
          <t>Kernex Microsystems (india) Limited</t>
        </is>
      </c>
      <c r="E196" s="31" t="inlineStr">
        <is>
          <t>consumer discretionary</t>
        </is>
      </c>
      <c r="F196" s="31" t="inlineStr">
        <is>
          <t>electronics - components</t>
        </is>
      </c>
      <c r="G196" s="31" t="inlineStr">
        <is>
          <t>smallcap</t>
        </is>
      </c>
      <c r="H196" s="32" t="n">
        <v>3722.17</v>
      </c>
      <c r="I196" s="32" t="n">
        <v>2283</v>
      </c>
      <c r="J196" s="32" t="n">
        <v>3.07</v>
      </c>
      <c r="K196" s="32" t="n">
        <v>78321</v>
      </c>
      <c r="L196" s="31" t="n">
        <v>93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69.56</v>
      </c>
      <c r="P196" s="32" t="n">
        <v>56.59</v>
      </c>
      <c r="Q196" s="32" t="n">
        <v>1729.98</v>
      </c>
      <c r="R196" s="31" t="inlineStr">
        <is>
          <t>Near 52W High Breakout</t>
        </is>
      </c>
      <c r="S196" s="31" t="inlineStr">
        <is>
          <t>Nifty 50</t>
        </is>
      </c>
      <c r="T196" s="32" t="n">
        <v>-0.74</v>
      </c>
      <c r="U196" s="32" t="n">
        <v>106.85</v>
      </c>
      <c r="V196" s="32" t="n">
        <v>108.39</v>
      </c>
      <c r="W196" s="32" t="n">
        <v>32.36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Negative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Blue sky scenario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Negative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IF(B197=0,"",RANK(B197,$B$2:$B$284,0))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MMFL</t>
        </is>
      </c>
      <c r="D197" s="31" t="inlineStr">
        <is>
          <t>Mm Forgings Limited</t>
        </is>
      </c>
      <c r="E197" s="31" t="inlineStr">
        <is>
          <t>industrials</t>
        </is>
      </c>
      <c r="F197" s="31" t="inlineStr">
        <is>
          <t>castings &amp; forgings</t>
        </is>
      </c>
      <c r="G197" s="31" t="inlineStr">
        <is>
          <t>smallcap</t>
        </is>
      </c>
      <c r="H197" s="32" t="n">
        <v>2583.07</v>
      </c>
      <c r="I197" s="32" t="n">
        <v>550</v>
      </c>
      <c r="J197" s="32" t="n">
        <v>2.8</v>
      </c>
      <c r="K197" s="32" t="n">
        <v>30364</v>
      </c>
      <c r="L197" s="31" t="n">
        <v>61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70.09</v>
      </c>
      <c r="P197" s="32" t="n">
        <v>18.21</v>
      </c>
      <c r="Q197" s="32" t="n">
        <v>428.94</v>
      </c>
      <c r="R197" s="31" t="inlineStr">
        <is>
          <t>Near 52W High Breakout</t>
        </is>
      </c>
      <c r="S197" s="31" t="inlineStr">
        <is>
          <t>Nifty 50</t>
        </is>
      </c>
      <c r="T197" s="32" t="n">
        <v>-0.74</v>
      </c>
      <c r="U197" s="32" t="n">
        <v>64.15000000000001</v>
      </c>
      <c r="V197" s="32" t="n">
        <v>65.38</v>
      </c>
      <c r="W197" s="32" t="n">
        <v>13.71</v>
      </c>
      <c r="X197" s="31" t="inlineStr">
        <is>
          <t>Cyclical in an Upturn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More than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IF(B198=0,"",RANK(B198,$B$2:$B$284,0))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KAMDHENU</t>
        </is>
      </c>
      <c r="D198" s="33" t="inlineStr">
        <is>
          <t>Kamdhenu Limited</t>
        </is>
      </c>
      <c r="E198" s="31" t="inlineStr">
        <is>
          <t>metals &amp; mining</t>
        </is>
      </c>
      <c r="F198" s="31" t="inlineStr">
        <is>
          <t>steel - medium / small</t>
        </is>
      </c>
      <c r="G198" s="31" t="inlineStr">
        <is>
          <t>smallcap</t>
        </is>
      </c>
      <c r="H198" s="32" t="n">
        <v>960.09</v>
      </c>
      <c r="I198" s="32" t="n">
        <v>34.55</v>
      </c>
      <c r="J198" s="32" t="n">
        <v>1.44</v>
      </c>
      <c r="K198" s="32" t="n">
        <v>484805</v>
      </c>
      <c r="L198" s="31" t="n">
        <v>73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67.22</v>
      </c>
      <c r="P198" s="32" t="n">
        <v>35.04</v>
      </c>
      <c r="Q198" s="32" t="n">
        <v>26.6</v>
      </c>
      <c r="R198" s="31" t="inlineStr">
        <is>
          <t>Earnings / Momentum Support</t>
        </is>
      </c>
      <c r="S198" s="31" t="inlineStr">
        <is>
          <t>Nifty Metal</t>
        </is>
      </c>
      <c r="T198" s="32" t="n">
        <v>34.95</v>
      </c>
      <c r="U198" s="32" t="n">
        <v>15.9</v>
      </c>
      <c r="V198" s="32" t="n">
        <v>-14.12</v>
      </c>
      <c r="W198" s="32" t="n">
        <v>17.51</v>
      </c>
      <c r="X198" s="31" t="inlineStr">
        <is>
          <t>Cyclical in an Upturn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Cyclical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Volatile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IF(B199=0,"",RANK(B199,$B$2:$B$284,0))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PYRAMID</t>
        </is>
      </c>
      <c r="D199" s="31" t="inlineStr">
        <is>
          <t>Pyramid Technoplast Ltd</t>
        </is>
      </c>
      <c r="E199" s="31" t="inlineStr">
        <is>
          <t>industrials</t>
        </is>
      </c>
      <c r="F199" s="31" t="inlineStr">
        <is>
          <t>packaging</t>
        </is>
      </c>
      <c r="G199" s="31" t="inlineStr">
        <is>
          <t>smallcap</t>
        </is>
      </c>
      <c r="H199" s="32" t="n">
        <v>665.25</v>
      </c>
      <c r="I199" s="32" t="n">
        <v>181.12</v>
      </c>
      <c r="J199" s="32" t="n">
        <v>0.15</v>
      </c>
      <c r="K199" s="32" t="n">
        <v>60858</v>
      </c>
      <c r="L199" s="31" t="n">
        <v>18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59.76</v>
      </c>
      <c r="P199" s="32" t="n">
        <v>10.21</v>
      </c>
      <c r="Q199" s="32" t="n">
        <v>136.4</v>
      </c>
      <c r="R199" s="31" t="inlineStr">
        <is>
          <t>Volume Spike &amp; Near 52W High Breakout</t>
        </is>
      </c>
      <c r="S199" s="31" t="inlineStr">
        <is>
          <t>Nifty Infra</t>
        </is>
      </c>
      <c r="T199" s="32" t="n">
        <v>3.78</v>
      </c>
      <c r="U199" s="32" t="n">
        <v>9.039999999999999</v>
      </c>
      <c r="V199" s="32" t="n">
        <v>5.07</v>
      </c>
      <c r="W199" s="32" t="n">
        <v>3.77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Negative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IF(B200=0,"",RANK(B200,$B$2:$B$284,0))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GODREJPROP</t>
        </is>
      </c>
      <c r="D200" s="33" t="inlineStr">
        <is>
          <t>Godrej Properties Limited</t>
        </is>
      </c>
      <c r="E200" s="31" t="inlineStr">
        <is>
          <t>realty</t>
        </is>
      </c>
      <c r="F200" s="31" t="inlineStr">
        <is>
          <t>construction</t>
        </is>
      </c>
      <c r="G200" s="31" t="inlineStr">
        <is>
          <t>largecap</t>
        </is>
      </c>
      <c r="H200" s="32" t="n">
        <v>63585.79</v>
      </c>
      <c r="I200" s="32" t="n">
        <v>2105.7</v>
      </c>
      <c r="J200" s="32" t="n">
        <v>-0.25</v>
      </c>
      <c r="K200" s="32" t="n">
        <v>585747</v>
      </c>
      <c r="L200" s="31" t="n">
        <v>23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61.78</v>
      </c>
      <c r="P200" s="32" t="n">
        <v>10.69</v>
      </c>
      <c r="Q200" s="32" t="n">
        <v>1697.48</v>
      </c>
      <c r="R200" s="31" t="inlineStr">
        <is>
          <t>Earnings / Momentum Support</t>
        </is>
      </c>
      <c r="S200" s="31" t="inlineStr">
        <is>
          <t>Nifty Realty</t>
        </is>
      </c>
      <c r="T200" s="32" t="n">
        <v>-5.17</v>
      </c>
      <c r="U200" s="32" t="n">
        <v>-5.28</v>
      </c>
      <c r="V200" s="32" t="n">
        <v>-0.11</v>
      </c>
      <c r="W200" s="32" t="n">
        <v>4.75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No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Between 0.7 to 1.2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IF(B201=0,"",RANK(B201,$B$2:$B$284,0))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SENCO</t>
        </is>
      </c>
      <c r="D201" s="31" t="inlineStr">
        <is>
          <t>Senco Gold Ltd</t>
        </is>
      </c>
      <c r="E201" s="31" t="inlineStr">
        <is>
          <t>consumer discretionary</t>
        </is>
      </c>
      <c r="F201" s="31" t="inlineStr">
        <is>
          <t>diamond cutting / jewellery</t>
        </is>
      </c>
      <c r="G201" s="31" t="inlineStr">
        <is>
          <t>midcap</t>
        </is>
      </c>
      <c r="H201" s="32" t="n">
        <v>6633.01</v>
      </c>
      <c r="I201" s="32" t="n">
        <v>403.2</v>
      </c>
      <c r="J201" s="32" t="n">
        <v>-0.41</v>
      </c>
      <c r="K201" s="32" t="n">
        <v>782575</v>
      </c>
      <c r="L201" s="31" t="n">
        <v>53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66.17</v>
      </c>
      <c r="P201" s="32" t="n">
        <v>28.22</v>
      </c>
      <c r="Q201" s="32" t="n">
        <v>306.86</v>
      </c>
      <c r="R201" s="31" t="inlineStr">
        <is>
          <t>Volume Spike &amp; Near 52W High Breakout</t>
        </is>
      </c>
      <c r="S201" s="31" t="inlineStr">
        <is>
          <t>Nifty 50</t>
        </is>
      </c>
      <c r="T201" s="32" t="n">
        <v>-0.74</v>
      </c>
      <c r="U201" s="32" t="n">
        <v>28.92</v>
      </c>
      <c r="V201" s="32" t="n">
        <v>29.88</v>
      </c>
      <c r="W201" s="32" t="n">
        <v>11.58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Negative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Between 0.7 to 1.2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IF(B202=0,"",RANK(B202,$B$2:$B$284,0))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MINDACORP</t>
        </is>
      </c>
      <c r="D202" s="31" t="inlineStr">
        <is>
          <t>Minda Corporation Limited</t>
        </is>
      </c>
      <c r="E202" s="31" t="inlineStr">
        <is>
          <t>auto</t>
        </is>
      </c>
      <c r="F202" s="31" t="inlineStr">
        <is>
          <t>auto ancillaries</t>
        </is>
      </c>
      <c r="G202" s="31" t="inlineStr">
        <is>
          <t>midcap</t>
        </is>
      </c>
      <c r="H202" s="32" t="n">
        <v>16900.52</v>
      </c>
      <c r="I202" s="32" t="n">
        <v>700.95</v>
      </c>
      <c r="J202" s="32" t="n">
        <v>-0.84</v>
      </c>
      <c r="K202" s="32" t="n">
        <v>301254</v>
      </c>
      <c r="L202" s="31" t="n">
        <v>63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68.17</v>
      </c>
      <c r="P202" s="32" t="n">
        <v>30.11</v>
      </c>
      <c r="Q202" s="32" t="n">
        <v>576.92</v>
      </c>
      <c r="R202" s="31" t="inlineStr">
        <is>
          <t>Near 52W High Breakout</t>
        </is>
      </c>
      <c r="S202" s="31" t="inlineStr">
        <is>
          <t>Nifty Auto</t>
        </is>
      </c>
      <c r="T202" s="32" t="n">
        <v>20.87</v>
      </c>
      <c r="U202" s="32" t="n">
        <v>37.58</v>
      </c>
      <c r="V202" s="32" t="n">
        <v>13.82</v>
      </c>
      <c r="W202" s="32" t="n">
        <v>13.97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Negative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Blue sky scenario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IF(B203=0,"",RANK(B203,$B$2:$B$284,0))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INDHOTEL</t>
        </is>
      </c>
      <c r="D203" s="31" t="inlineStr">
        <is>
          <t>The Indian Hotels Company Limited</t>
        </is>
      </c>
      <c r="E203" s="31" t="inlineStr">
        <is>
          <t>services</t>
        </is>
      </c>
      <c r="F203" s="31" t="inlineStr">
        <is>
          <t>hotels</t>
        </is>
      </c>
      <c r="G203" s="31" t="inlineStr">
        <is>
          <t>largecap</t>
        </is>
      </c>
      <c r="H203" s="32" t="n">
        <v>106650.66</v>
      </c>
      <c r="I203" s="32" t="n">
        <v>738.55</v>
      </c>
      <c r="J203" s="32" t="n">
        <v>-1.43</v>
      </c>
      <c r="K203" s="32" t="n">
        <v>2772355</v>
      </c>
      <c r="L203" s="31" t="n">
        <v>17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60.77</v>
      </c>
      <c r="P203" s="32" t="n">
        <v>12.31</v>
      </c>
      <c r="Q203" s="32" t="n">
        <v>644.29</v>
      </c>
      <c r="R203" s="31" t="inlineStr">
        <is>
          <t>Earnings / Momentum Support</t>
        </is>
      </c>
      <c r="S203" s="31" t="inlineStr">
        <is>
          <t>Nifty 50</t>
        </is>
      </c>
      <c r="T203" s="32" t="n">
        <v>-0.74</v>
      </c>
      <c r="U203" s="32" t="n">
        <v>0.09</v>
      </c>
      <c r="V203" s="32" t="n">
        <v>0.84</v>
      </c>
      <c r="W203" s="32" t="n">
        <v>3.74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IF(B204=0,"",RANK(B204,$B$2:$B$284,0))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NAUKRI</t>
        </is>
      </c>
      <c r="D204" s="31" t="inlineStr">
        <is>
          <t>Info Edge (india) Limited</t>
        </is>
      </c>
      <c r="E204" s="31" t="inlineStr">
        <is>
          <t>i.t</t>
        </is>
      </c>
      <c r="F204" s="31" t="inlineStr">
        <is>
          <t>miscellaneous</t>
        </is>
      </c>
      <c r="G204" s="31" t="inlineStr">
        <is>
          <t>largecap</t>
        </is>
      </c>
      <c r="H204" s="32" t="n">
        <v>80666.75999999999</v>
      </c>
      <c r="I204" s="32" t="n">
        <v>1226.25</v>
      </c>
      <c r="J204" s="32" t="n">
        <v>-1.43</v>
      </c>
      <c r="K204" s="32" t="n">
        <v>1990551</v>
      </c>
      <c r="L204" s="31" t="n">
        <v>21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63.3</v>
      </c>
      <c r="P204" s="32" t="n">
        <v>19.6</v>
      </c>
      <c r="Q204" s="32" t="n">
        <v>978.39</v>
      </c>
      <c r="R204" s="31" t="inlineStr">
        <is>
          <t>Earnings / Momentum Support</t>
        </is>
      </c>
      <c r="S204" s="31" t="inlineStr">
        <is>
          <t>Nifty IT</t>
        </is>
      </c>
      <c r="T204" s="32" t="n">
        <v>-11.37</v>
      </c>
      <c r="U204" s="32" t="n">
        <v>-9.720000000000001</v>
      </c>
      <c r="V204" s="32" t="n">
        <v>1.86</v>
      </c>
      <c r="W204" s="32" t="n">
        <v>4.51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IF(B205=0,"",RANK(B205,$B$2:$B$284,0))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ETERNAL</t>
        </is>
      </c>
      <c r="D205" s="31" t="inlineStr">
        <is>
          <t>Eternal Ltd</t>
        </is>
      </c>
      <c r="E205" s="31" t="inlineStr">
        <is>
          <t>i.t</t>
        </is>
      </c>
      <c r="F205" s="31" t="inlineStr">
        <is>
          <t>miscellaneous</t>
        </is>
      </c>
      <c r="G205" s="31" t="inlineStr">
        <is>
          <t>largecap</t>
        </is>
      </c>
      <c r="H205" s="32" t="n">
        <v>299788.14</v>
      </c>
      <c r="I205" s="32" t="n">
        <v>302.45</v>
      </c>
      <c r="J205" s="32" t="n">
        <v>-2.64</v>
      </c>
      <c r="K205" s="32" t="n">
        <v>36780186</v>
      </c>
      <c r="L205" s="31" t="n">
        <v>25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62.13</v>
      </c>
      <c r="P205" s="32" t="n">
        <v>14.03</v>
      </c>
      <c r="Q205" s="32" t="n">
        <v>236.8</v>
      </c>
      <c r="R205" s="31" t="inlineStr">
        <is>
          <t>Earnings / Momentum Support</t>
        </is>
      </c>
      <c r="S205" s="31" t="inlineStr">
        <is>
          <t>Nifty IT</t>
        </is>
      </c>
      <c r="T205" s="32" t="n">
        <v>-11.37</v>
      </c>
      <c r="U205" s="32" t="n">
        <v>-0.75</v>
      </c>
      <c r="V205" s="32" t="n">
        <v>11.98</v>
      </c>
      <c r="W205" s="32" t="n">
        <v>5.12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IF(B206=0,"",RANK(B206,$B$2:$B$284,0))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AVTNPL</t>
        </is>
      </c>
      <c r="D206" s="31" t="inlineStr">
        <is>
          <t>Avt Natural Products Limited</t>
        </is>
      </c>
      <c r="E206" s="31" t="inlineStr">
        <is>
          <t>fmcg</t>
        </is>
      </c>
      <c r="F206" s="31" t="inlineStr">
        <is>
          <t>solvent extraction</t>
        </is>
      </c>
      <c r="G206" s="31" t="inlineStr">
        <is>
          <t>smallcap</t>
        </is>
      </c>
      <c r="H206" s="32" t="n">
        <v>1072.38</v>
      </c>
      <c r="I206" s="32" t="n">
        <v>71.79000000000001</v>
      </c>
      <c r="J206" s="32" t="n">
        <v>1.95</v>
      </c>
      <c r="K206" s="32" t="n">
        <v>31090</v>
      </c>
      <c r="L206" s="31" t="n">
        <v>6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57.17</v>
      </c>
      <c r="P206" s="32" t="n">
        <v>31.48</v>
      </c>
      <c r="Q206" s="32" t="n">
        <v>57.74</v>
      </c>
      <c r="R206" s="31" t="inlineStr">
        <is>
          <t>Earnings / Momentum Support</t>
        </is>
      </c>
      <c r="S206" s="31" t="inlineStr">
        <is>
          <t>Nifty FMCG</t>
        </is>
      </c>
      <c r="T206" s="32" t="n">
        <v>-10</v>
      </c>
      <c r="U206" s="32" t="n">
        <v>-5.49</v>
      </c>
      <c r="V206" s="32" t="n">
        <v>5.02</v>
      </c>
      <c r="W206" s="32" t="n">
        <v>0.39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B2C</t>
        </is>
      </c>
      <c r="AO206" s="31">
        <f>IF(AN206="B2C",10,IF(AN206="B2B",5,0))</f>
        <v/>
      </c>
      <c r="AP206" s="31" t="inlineStr">
        <is>
          <t>No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Negative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Less than 50%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IF(B207=0,"",RANK(B207,$B$2:$B$284,0))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3" t="inlineStr">
        <is>
          <t>TARSONS</t>
        </is>
      </c>
      <c r="D207" s="33" t="inlineStr">
        <is>
          <t>Tarsons Products Ltd</t>
        </is>
      </c>
      <c r="E207" s="31" t="inlineStr">
        <is>
          <t>healthcare</t>
        </is>
      </c>
      <c r="F207" s="31" t="inlineStr">
        <is>
          <t>miscellaneous</t>
        </is>
      </c>
      <c r="G207" s="31" t="inlineStr">
        <is>
          <t>smallcap</t>
        </is>
      </c>
      <c r="H207" s="32" t="n">
        <v>1683.71</v>
      </c>
      <c r="I207" s="32" t="n">
        <v>320</v>
      </c>
      <c r="J207" s="32" t="n">
        <v>1.12</v>
      </c>
      <c r="K207" s="32" t="n">
        <v>122337</v>
      </c>
      <c r="L207" s="31" t="n">
        <v>43</v>
      </c>
      <c r="M207" s="31" t="inlineStr">
        <is>
          <t>Underperforming</t>
        </is>
      </c>
      <c r="N207" s="32">
        <f>IF(M207="Underperforming",-5,IF(L207&gt;=95,15,IF(L207&gt;=90,10,IF(L207&gt;=80,5,0))))</f>
        <v/>
      </c>
      <c r="O207" s="32" t="n">
        <v>68.66</v>
      </c>
      <c r="P207" s="32" t="n">
        <v>28.92</v>
      </c>
      <c r="Q207" s="32" t="n">
        <v>223.73</v>
      </c>
      <c r="R207" s="31" t="inlineStr">
        <is>
          <t>Earnings / Momentum Support</t>
        </is>
      </c>
      <c r="S207" s="31" t="inlineStr">
        <is>
          <t>Nifty Pharma</t>
        </is>
      </c>
      <c r="T207" s="32" t="n">
        <v>20.55</v>
      </c>
      <c r="U207" s="32" t="n">
        <v>-15.63</v>
      </c>
      <c r="V207" s="32" t="n">
        <v>-30.02</v>
      </c>
      <c r="W207" s="32" t="n">
        <v>8.699999999999999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Yes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Annuity, Lower One Time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IF(B208=0,"",RANK(B208,$B$2:$B$284,0))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MEDANTA</t>
        </is>
      </c>
      <c r="D208" s="33" t="inlineStr">
        <is>
          <t>Global Health Ltd</t>
        </is>
      </c>
      <c r="E208" s="31" t="inlineStr">
        <is>
          <t>healthcare</t>
        </is>
      </c>
      <c r="F208" s="31" t="inlineStr">
        <is>
          <t>healthcare</t>
        </is>
      </c>
      <c r="G208" s="31" t="inlineStr">
        <is>
          <t>largecap</t>
        </is>
      </c>
      <c r="H208" s="32" t="n">
        <v>38083</v>
      </c>
      <c r="I208" s="32" t="n">
        <v>1405.6</v>
      </c>
      <c r="J208" s="32" t="n">
        <v>-0.76</v>
      </c>
      <c r="K208" s="32" t="n">
        <v>467366</v>
      </c>
      <c r="L208" s="31" t="n">
        <v>34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68.7</v>
      </c>
      <c r="P208" s="32" t="n">
        <v>16.51</v>
      </c>
      <c r="Q208" s="32" t="n">
        <v>1174.07</v>
      </c>
      <c r="R208" s="31" t="inlineStr">
        <is>
          <t>Near 52W High Breakout</t>
        </is>
      </c>
      <c r="S208" s="31" t="inlineStr">
        <is>
          <t>Nifty Pharma</t>
        </is>
      </c>
      <c r="T208" s="32" t="n">
        <v>20.55</v>
      </c>
      <c r="U208" s="32" t="n">
        <v>5.13</v>
      </c>
      <c r="V208" s="32" t="n">
        <v>-12.79</v>
      </c>
      <c r="W208" s="32" t="n">
        <v>6.97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Yes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Annuity, Lower One Time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0 to 20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Blue sky scenario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Above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IF(B209=0,"",RANK(B209,$B$2:$B$284,0))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EMAMIPAP</t>
        </is>
      </c>
      <c r="D209" s="31" t="inlineStr">
        <is>
          <t>Emami Paper Mills Ltd</t>
        </is>
      </c>
      <c r="E209" s="31" t="inlineStr">
        <is>
          <t>building materials</t>
        </is>
      </c>
      <c r="F209" s="31" t="inlineStr">
        <is>
          <t>paper</t>
        </is>
      </c>
      <c r="G209" s="31" t="inlineStr">
        <is>
          <t>smallcap</t>
        </is>
      </c>
      <c r="H209" s="32" t="n">
        <v>631.49</v>
      </c>
      <c r="I209" s="32" t="n">
        <v>109.59</v>
      </c>
      <c r="J209" s="32" t="n">
        <v>4.99</v>
      </c>
      <c r="K209" s="32" t="n">
        <v>39657</v>
      </c>
      <c r="L209" s="31" t="n">
        <v>65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67.17</v>
      </c>
      <c r="P209" s="32" t="n">
        <v>13.23</v>
      </c>
      <c r="Q209" s="32" t="n">
        <v>87.43000000000001</v>
      </c>
      <c r="R209" s="31" t="inlineStr">
        <is>
          <t>Earnings / Momentum Support</t>
        </is>
      </c>
      <c r="S209" s="31" t="inlineStr">
        <is>
          <t>Nifty Infra</t>
        </is>
      </c>
      <c r="T209" s="32" t="n">
        <v>3.78</v>
      </c>
      <c r="U209" s="32" t="n">
        <v>13.37</v>
      </c>
      <c r="V209" s="32" t="n">
        <v>9.24</v>
      </c>
      <c r="W209" s="32" t="n">
        <v>14.66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No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Less than 1.5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More than 1.2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IF(B210=0,"",RANK(B210,$B$2:$B$284,0))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UFBL</t>
        </is>
      </c>
      <c r="D210" s="31" t="inlineStr">
        <is>
          <t>United Foodbrands Ltd</t>
        </is>
      </c>
      <c r="E210" s="31" t="inlineStr">
        <is>
          <t>consumer discretionary</t>
        </is>
      </c>
      <c r="F210" s="31" t="inlineStr">
        <is>
          <t>hotels</t>
        </is>
      </c>
      <c r="G210" s="31" t="inlineStr">
        <is>
          <t>smallcap</t>
        </is>
      </c>
      <c r="H210" s="32" t="n">
        <v>2642.83</v>
      </c>
      <c r="I210" s="32" t="n">
        <v>702.95</v>
      </c>
      <c r="J210" s="32" t="n">
        <v>3.96</v>
      </c>
      <c r="K210" s="32" t="n">
        <v>64000</v>
      </c>
      <c r="L210" s="31" t="n">
        <v>98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74.90000000000001</v>
      </c>
      <c r="P210" s="32" t="n">
        <v>55.29</v>
      </c>
      <c r="Q210" s="32" t="n">
        <v>567.51</v>
      </c>
      <c r="R210" s="31" t="inlineStr">
        <is>
          <t>Earnings / Momentum Support</t>
        </is>
      </c>
      <c r="S210" s="31" t="inlineStr">
        <is>
          <t>Nifty 50</t>
        </is>
      </c>
      <c r="T210" s="32" t="n">
        <v>-0.74</v>
      </c>
      <c r="U210" s="32" t="n">
        <v>157.91</v>
      </c>
      <c r="V210" s="32" t="n">
        <v>159.83</v>
      </c>
      <c r="W210" s="32" t="n">
        <v>48.51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No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Negative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No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More than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IF(B211=0,"",RANK(B211,$B$2:$B$284,0))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RKFORGE</t>
        </is>
      </c>
      <c r="D211" s="31" t="inlineStr">
        <is>
          <t>Ramkrishna Forgings Limited</t>
        </is>
      </c>
      <c r="E211" s="31" t="inlineStr">
        <is>
          <t>industrials</t>
        </is>
      </c>
      <c r="F211" s="31" t="inlineStr">
        <is>
          <t>castings &amp; forgings</t>
        </is>
      </c>
      <c r="G211" s="31" t="inlineStr">
        <is>
          <t>midcap</t>
        </is>
      </c>
      <c r="H211" s="32" t="n">
        <v>11411.13</v>
      </c>
      <c r="I211" s="32" t="n">
        <v>651.15</v>
      </c>
      <c r="J211" s="32" t="n">
        <v>3.95</v>
      </c>
      <c r="K211" s="32" t="n">
        <v>2447631</v>
      </c>
      <c r="L211" s="31" t="n">
        <v>25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64.55</v>
      </c>
      <c r="P211" s="32" t="n">
        <v>8.550000000000001</v>
      </c>
      <c r="Q211" s="32" t="n">
        <v>519.26</v>
      </c>
      <c r="R211" s="31" t="inlineStr">
        <is>
          <t>Volume Spike &amp; Near 52W High Breakout</t>
        </is>
      </c>
      <c r="S211" s="31" t="inlineStr">
        <is>
          <t>Nifty 50</t>
        </is>
      </c>
      <c r="T211" s="32" t="n">
        <v>-0.74</v>
      </c>
      <c r="U211" s="32" t="n">
        <v>15.28</v>
      </c>
      <c r="V211" s="32" t="n">
        <v>16.14</v>
      </c>
      <c r="W211" s="32" t="n">
        <v>5.05</v>
      </c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Between 0.7 to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IF(B212=0,"",RANK(B212,$B$2:$B$284,0))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AYMSYNTEX</t>
        </is>
      </c>
      <c r="D212" s="31" t="inlineStr">
        <is>
          <t>Aym Syntex Limited</t>
        </is>
      </c>
      <c r="E212" s="31" t="inlineStr">
        <is>
          <t>textiles</t>
        </is>
      </c>
      <c r="F212" s="31" t="inlineStr">
        <is>
          <t>textiles - processing</t>
        </is>
      </c>
      <c r="G212" s="31" t="inlineStr">
        <is>
          <t>smallcap</t>
        </is>
      </c>
      <c r="H212" s="32" t="n">
        <v>1441.69</v>
      </c>
      <c r="I212" s="32" t="n">
        <v>251</v>
      </c>
      <c r="J212" s="32" t="n">
        <v>2.26</v>
      </c>
      <c r="K212" s="32" t="n">
        <v>72542</v>
      </c>
      <c r="L212" s="31" t="n">
        <v>41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60.23</v>
      </c>
      <c r="P212" s="32" t="n">
        <v>31.19</v>
      </c>
      <c r="Q212" s="32" t="n">
        <v>178.25</v>
      </c>
      <c r="R212" s="31" t="inlineStr">
        <is>
          <t>Near 52W High Breakout</t>
        </is>
      </c>
      <c r="S212" s="31" t="inlineStr">
        <is>
          <t>Nifty 50</t>
        </is>
      </c>
      <c r="T212" s="32" t="n">
        <v>-0.74</v>
      </c>
      <c r="U212" s="32" t="n">
        <v>23.41</v>
      </c>
      <c r="V212" s="32" t="n">
        <v>24.33</v>
      </c>
      <c r="W212" s="32" t="n">
        <v>8.140000000000001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20 to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Negative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Above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IF(B213=0,"",RANK(B213,$B$2:$B$284,0))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AVL</t>
        </is>
      </c>
      <c r="D213" s="31" t="inlineStr">
        <is>
          <t>Aditya Vision Ltd</t>
        </is>
      </c>
      <c r="E213" s="31" t="inlineStr">
        <is>
          <t>consumer discretionary</t>
        </is>
      </c>
      <c r="F213" s="31" t="inlineStr">
        <is>
          <t>trading</t>
        </is>
      </c>
      <c r="G213" s="31" t="inlineStr">
        <is>
          <t>midcap</t>
        </is>
      </c>
      <c r="H213" s="32" t="n">
        <v>8075.65</v>
      </c>
      <c r="I213" s="32" t="n">
        <v>638.05</v>
      </c>
      <c r="J213" s="32" t="n">
        <v>2.03</v>
      </c>
      <c r="K213" s="32" t="n">
        <v>646595</v>
      </c>
      <c r="L213" s="31" t="n">
        <v>70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64.19</v>
      </c>
      <c r="P213" s="32" t="n">
        <v>42.48</v>
      </c>
      <c r="Q213" s="32" t="n">
        <v>520.87</v>
      </c>
      <c r="R213" s="31" t="inlineStr">
        <is>
          <t>Near 52W High Breakout</t>
        </is>
      </c>
      <c r="S213" s="31" t="inlineStr">
        <is>
          <t>Nifty 50</t>
        </is>
      </c>
      <c r="T213" s="32" t="n">
        <v>-0.74</v>
      </c>
      <c r="U213" s="32" t="n">
        <v>62.91</v>
      </c>
      <c r="V213" s="32" t="n">
        <v>64.13</v>
      </c>
      <c r="W213" s="32" t="n">
        <v>16.38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Negative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Between 1.5 to 2</t>
        </is>
      </c>
      <c r="BU213" s="31">
        <f>IF(BT213="Above 2",0,IF(BT213="Between 1.5 to 2",5,IF(BT213="Less than 1.5",10,0)))</f>
        <v/>
      </c>
      <c r="BV213" s="31" t="inlineStr">
        <is>
          <t>Less than 50%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Between 0.7 to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IF(B214=0,"",RANK(B214,$B$2:$B$284,0))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ASIANENE</t>
        </is>
      </c>
      <c r="D214" s="31" t="inlineStr">
        <is>
          <t>Asian Energy Services Ltd</t>
        </is>
      </c>
      <c r="E214" s="31" t="inlineStr">
        <is>
          <t>energy</t>
        </is>
      </c>
      <c r="F214" s="31" t="inlineStr">
        <is>
          <t>oil drilling / allied services</t>
        </is>
      </c>
      <c r="G214" s="31" t="inlineStr">
        <is>
          <t>smallcap</t>
        </is>
      </c>
      <c r="H214" s="32" t="n">
        <v>1907.5</v>
      </c>
      <c r="I214" s="32" t="n">
        <v>398.55</v>
      </c>
      <c r="J214" s="32" t="n">
        <v>1.61</v>
      </c>
      <c r="K214" s="32" t="n">
        <v>371122</v>
      </c>
      <c r="L214" s="31" t="n">
        <v>68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65.02</v>
      </c>
      <c r="P214" s="32" t="n">
        <v>14.06</v>
      </c>
      <c r="Q214" s="32" t="n">
        <v>288.12</v>
      </c>
      <c r="R214" s="31" t="inlineStr">
        <is>
          <t>Volume Spike &amp; Near 52W High Breakout</t>
        </is>
      </c>
      <c r="S214" s="31" t="inlineStr">
        <is>
          <t>Nifty Energy</t>
        </is>
      </c>
      <c r="T214" s="32" t="n">
        <v>9.869999999999999</v>
      </c>
      <c r="U214" s="32" t="n">
        <v>40.16</v>
      </c>
      <c r="V214" s="32" t="n">
        <v>27.57</v>
      </c>
      <c r="W214" s="32" t="n">
        <v>15.61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Oligopoly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Cyclical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Volatile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0 to 20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Between 50% to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IF(B215=0,"",RANK(B215,$B$2:$B$284,0))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3" t="inlineStr">
        <is>
          <t>UNOMINDA</t>
        </is>
      </c>
      <c r="D215" s="33" t="inlineStr">
        <is>
          <t>Uno Minda Ltd</t>
        </is>
      </c>
      <c r="E215" s="31" t="inlineStr">
        <is>
          <t>auto</t>
        </is>
      </c>
      <c r="F215" s="31" t="inlineStr">
        <is>
          <t>auto ancillaries</t>
        </is>
      </c>
      <c r="G215" s="31" t="inlineStr">
        <is>
          <t>largecap</t>
        </is>
      </c>
      <c r="H215" s="32" t="n">
        <v>67725.35000000001</v>
      </c>
      <c r="I215" s="32" t="n">
        <v>1180.5</v>
      </c>
      <c r="J215" s="32" t="n">
        <v>0.66</v>
      </c>
      <c r="K215" s="32" t="n">
        <v>777120</v>
      </c>
      <c r="L215" s="31" t="n">
        <v>16</v>
      </c>
      <c r="M215" s="31" t="inlineStr">
        <is>
          <t>Underperforming</t>
        </is>
      </c>
      <c r="N215" s="32">
        <f>IF(M215="Underperforming",-5,IF(L215&gt;=95,15,IF(L215&gt;=90,10,IF(L215&gt;=80,5,0))))</f>
        <v/>
      </c>
      <c r="O215" s="32" t="n">
        <v>55.23</v>
      </c>
      <c r="P215" s="32" t="n">
        <v>16.42</v>
      </c>
      <c r="Q215" s="32" t="n">
        <v>950.91</v>
      </c>
      <c r="R215" s="31" t="inlineStr">
        <is>
          <t>Earnings / Momentum Support</t>
        </is>
      </c>
      <c r="S215" s="31" t="inlineStr">
        <is>
          <t>Nifty Auto</t>
        </is>
      </c>
      <c r="T215" s="32" t="n">
        <v>20.87</v>
      </c>
      <c r="U215" s="32" t="n">
        <v>9.039999999999999</v>
      </c>
      <c r="V215" s="32" t="n">
        <v>-9.789999999999999</v>
      </c>
      <c r="W215" s="32" t="n">
        <v>3.23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IF(B216=0,"",RANK(B216,$B$2:$B$284,0))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TITAN</t>
        </is>
      </c>
      <c r="D216" s="31" t="inlineStr">
        <is>
          <t>Titan Company Limited</t>
        </is>
      </c>
      <c r="E216" s="31" t="inlineStr">
        <is>
          <t>consumer discretionary</t>
        </is>
      </c>
      <c r="F216" s="31" t="inlineStr">
        <is>
          <t>diamond cutting / jewellery</t>
        </is>
      </c>
      <c r="G216" s="31" t="inlineStr">
        <is>
          <t>largecap</t>
        </is>
      </c>
      <c r="H216" s="32" t="n">
        <v>430576.29</v>
      </c>
      <c r="I216" s="32" t="n">
        <v>4875.2</v>
      </c>
      <c r="J216" s="32" t="n">
        <v>0.52</v>
      </c>
      <c r="K216" s="32" t="n">
        <v>1003394</v>
      </c>
      <c r="L216" s="31" t="n">
        <v>49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68.2</v>
      </c>
      <c r="P216" s="32" t="n">
        <v>18.82</v>
      </c>
      <c r="Q216" s="32" t="n">
        <v>4228.41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-0.74</v>
      </c>
      <c r="U216" s="32" t="n">
        <v>47.5</v>
      </c>
      <c r="V216" s="32" t="n">
        <v>48.6</v>
      </c>
      <c r="W216" s="32" t="n">
        <v>10.49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More than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IF(B217=0,"",RANK(B217,$B$2:$B$284,0))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3" t="inlineStr">
        <is>
          <t>JSWSTEEL</t>
        </is>
      </c>
      <c r="D217" s="33" t="inlineStr">
        <is>
          <t>Jsw Steel Limited</t>
        </is>
      </c>
      <c r="E217" s="31" t="inlineStr">
        <is>
          <t>metals &amp; mining</t>
        </is>
      </c>
      <c r="F217" s="31" t="inlineStr">
        <is>
          <t>steel - large</t>
        </is>
      </c>
      <c r="G217" s="31" t="inlineStr">
        <is>
          <t>largecap</t>
        </is>
      </c>
      <c r="H217" s="32" t="n">
        <v>310768.29</v>
      </c>
      <c r="I217" s="32" t="n">
        <v>1270</v>
      </c>
      <c r="J217" s="32" t="n">
        <v>-0.06</v>
      </c>
      <c r="K217" s="32" t="n">
        <v>1449872</v>
      </c>
      <c r="L217" s="31" t="n">
        <v>24</v>
      </c>
      <c r="M217" s="31" t="inlineStr">
        <is>
          <t>Underperforming</t>
        </is>
      </c>
      <c r="N217" s="32">
        <f>IF(M217="Underperforming",-5,IF(L217&gt;=95,15,IF(L217&gt;=90,10,IF(L217&gt;=80,5,0))))</f>
        <v/>
      </c>
      <c r="O217" s="32" t="n">
        <v>58.41</v>
      </c>
      <c r="P217" s="32" t="n">
        <v>29.01</v>
      </c>
      <c r="Q217" s="32" t="n">
        <v>1120.05</v>
      </c>
      <c r="R217" s="31" t="inlineStr">
        <is>
          <t>Near 52W High Breakout</t>
        </is>
      </c>
      <c r="S217" s="31" t="inlineStr">
        <is>
          <t>Nifty Metal</t>
        </is>
      </c>
      <c r="T217" s="32" t="n">
        <v>34.95</v>
      </c>
      <c r="U217" s="32" t="n">
        <v>24.38</v>
      </c>
      <c r="V217" s="32" t="n">
        <v>-7.83</v>
      </c>
      <c r="W217" s="32" t="n">
        <v>4.88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Cyclical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Volatile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Between 0.7 to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IF(B218=0,"",RANK(B218,$B$2:$B$284,0))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MAHASTEEL</t>
        </is>
      </c>
      <c r="D218" s="31" t="inlineStr">
        <is>
          <t>Mahamaya Steel Industries Limited</t>
        </is>
      </c>
      <c r="E218" s="31" t="inlineStr">
        <is>
          <t>metals &amp; mining</t>
        </is>
      </c>
      <c r="F218" s="31" t="inlineStr">
        <is>
          <t>steel - medium / small</t>
        </is>
      </c>
      <c r="G218" s="31" t="inlineStr">
        <is>
          <t>smallcap</t>
        </is>
      </c>
      <c r="H218" s="32" t="n">
        <v>1587.97</v>
      </c>
      <c r="I218" s="32" t="n">
        <v>962.2</v>
      </c>
      <c r="J218" s="32" t="n">
        <v>-0.42</v>
      </c>
      <c r="K218" s="32" t="n">
        <v>37645</v>
      </c>
      <c r="L218" s="31" t="n">
        <v>89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61.59</v>
      </c>
      <c r="P218" s="32" t="n">
        <v>17.6</v>
      </c>
      <c r="Q218" s="32" t="n">
        <v>689.72</v>
      </c>
      <c r="R218" s="31" t="inlineStr">
        <is>
          <t>Volume Spike &amp; Near 52W High Breakout</t>
        </is>
      </c>
      <c r="S218" s="31" t="inlineStr">
        <is>
          <t>Nifty Metal</t>
        </is>
      </c>
      <c r="T218" s="32" t="n">
        <v>34.95</v>
      </c>
      <c r="U218" s="32" t="n">
        <v>178.12</v>
      </c>
      <c r="V218" s="32" t="n">
        <v>106.1</v>
      </c>
      <c r="W218" s="32" t="n">
        <v>28.43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Cyclical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Volatile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Yes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IF(B219=0,"",RANK(B219,$B$2:$B$284,0))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TEXINFRA</t>
        </is>
      </c>
      <c r="D219" s="31" t="inlineStr">
        <is>
          <t>Texmaco Infrastructure &amp; Holdings Limited</t>
        </is>
      </c>
      <c r="E219" s="31" t="inlineStr">
        <is>
          <t>realty</t>
        </is>
      </c>
      <c r="F219" s="31" t="inlineStr">
        <is>
          <t>construction</t>
        </is>
      </c>
      <c r="G219" s="31" t="inlineStr">
        <is>
          <t>smallcap</t>
        </is>
      </c>
      <c r="H219" s="32" t="n">
        <v>1462.09</v>
      </c>
      <c r="I219" s="32" t="n">
        <v>114.1</v>
      </c>
      <c r="J219" s="32" t="n">
        <v>-0.5600000000000001</v>
      </c>
      <c r="K219" s="32" t="n">
        <v>97789</v>
      </c>
      <c r="L219" s="31" t="n">
        <v>34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66.02</v>
      </c>
      <c r="P219" s="32" t="n">
        <v>34</v>
      </c>
      <c r="Q219" s="32" t="n">
        <v>94.77</v>
      </c>
      <c r="R219" s="31" t="inlineStr">
        <is>
          <t>Near 52W High Breakout</t>
        </is>
      </c>
      <c r="S219" s="31" t="inlineStr">
        <is>
          <t>Nifty Realty</t>
        </is>
      </c>
      <c r="T219" s="32" t="n">
        <v>-5.17</v>
      </c>
      <c r="U219" s="32" t="n">
        <v>15.93</v>
      </c>
      <c r="V219" s="32" t="n">
        <v>22.26</v>
      </c>
      <c r="W219" s="32" t="n">
        <v>7.01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Negative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IF(B220=0,"",RANK(B220,$B$2:$B$284,0))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3" t="inlineStr">
        <is>
          <t>RAMRAT</t>
        </is>
      </c>
      <c r="D220" s="33" t="inlineStr">
        <is>
          <t>Ram Ratna Wires Ltd</t>
        </is>
      </c>
      <c r="E220" s="31" t="inlineStr">
        <is>
          <t>metals &amp; mining</t>
        </is>
      </c>
      <c r="F220" s="31" t="inlineStr">
        <is>
          <t>mining / minerals / metals</t>
        </is>
      </c>
      <c r="G220" s="31" t="inlineStr">
        <is>
          <t>smallcap</t>
        </is>
      </c>
      <c r="H220" s="32" t="n">
        <v>4296.39</v>
      </c>
      <c r="I220" s="32" t="n">
        <v>448.5</v>
      </c>
      <c r="J220" s="32" t="n">
        <v>-2.55</v>
      </c>
      <c r="K220" s="32" t="n">
        <v>559386</v>
      </c>
      <c r="L220" s="31" t="n">
        <v>46</v>
      </c>
      <c r="M220" s="31" t="inlineStr">
        <is>
          <t>Underperforming</t>
        </is>
      </c>
      <c r="N220" s="32">
        <f>IF(M220="Underperforming",-5,IF(L220&gt;=95,15,IF(L220&gt;=90,10,IF(L220&gt;=80,5,0))))</f>
        <v/>
      </c>
      <c r="O220" s="32" t="n">
        <v>65.7</v>
      </c>
      <c r="P220" s="32" t="n">
        <v>45.75</v>
      </c>
      <c r="Q220" s="32" t="n">
        <v>329.77</v>
      </c>
      <c r="R220" s="31" t="inlineStr">
        <is>
          <t>Volume Spike &amp; Near 52W High Breakout</t>
        </is>
      </c>
      <c r="S220" s="31" t="inlineStr">
        <is>
          <t>Nifty Metal</t>
        </is>
      </c>
      <c r="T220" s="32" t="n">
        <v>34.95</v>
      </c>
      <c r="U220" s="32" t="n">
        <v>28.89</v>
      </c>
      <c r="V220" s="32" t="n">
        <v>-4.49</v>
      </c>
      <c r="W220" s="32" t="n">
        <v>9.869999999999999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Cyclical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Volatile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Negative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Between 0.7 to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IF(B221=0,"",RANK(B221,$B$2:$B$284,0))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3" t="inlineStr">
        <is>
          <t>GRPLTD</t>
        </is>
      </c>
      <c r="D221" s="33" t="inlineStr">
        <is>
          <t>Grp Limited</t>
        </is>
      </c>
      <c r="E221" s="31" t="inlineStr">
        <is>
          <t>fmcg</t>
        </is>
      </c>
      <c r="F221" s="31" t="inlineStr">
        <is>
          <t>miscellaneous</t>
        </is>
      </c>
      <c r="G221" s="31" t="inlineStr">
        <is>
          <t>smallcap</t>
        </is>
      </c>
      <c r="H221" s="32" t="n">
        <v>1098.88</v>
      </c>
      <c r="I221" s="32" t="n">
        <v>2118</v>
      </c>
      <c r="J221" s="32" t="n">
        <v>2.8</v>
      </c>
      <c r="K221" s="32" t="n">
        <v>2546</v>
      </c>
      <c r="L221" s="31" t="n">
        <v>7</v>
      </c>
      <c r="M221" s="31" t="inlineStr">
        <is>
          <t>Underperforming</t>
        </is>
      </c>
      <c r="N221" s="32">
        <f>IF(M221="Underperforming",-5,IF(L221&gt;=95,15,IF(L221&gt;=90,10,IF(L221&gt;=80,5,0))))</f>
        <v/>
      </c>
      <c r="O221" s="32" t="n">
        <v>60.89</v>
      </c>
      <c r="P221" s="32" t="n">
        <v>15.5</v>
      </c>
      <c r="Q221" s="32" t="n">
        <v>1571.3</v>
      </c>
      <c r="R221" s="31" t="inlineStr">
        <is>
          <t>Earnings / Momentum Support</t>
        </is>
      </c>
      <c r="S221" s="31" t="inlineStr">
        <is>
          <t>Nifty FMCG</t>
        </is>
      </c>
      <c r="T221" s="32" t="n">
        <v>-10</v>
      </c>
      <c r="U221" s="32" t="n">
        <v>-13.26</v>
      </c>
      <c r="V221" s="32" t="n">
        <v>-3.62</v>
      </c>
      <c r="W221" s="32" t="n">
        <v>0.53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B2C</t>
        </is>
      </c>
      <c r="AO221" s="31">
        <f>IF(AN221="B2C",10,IF(AN221="B2B",5,0))</f>
        <v/>
      </c>
      <c r="AP221" s="31" t="inlineStr">
        <is>
          <t>No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Between 0.7 to 1.2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IF(B222=0,"",RANK(B222,$B$2:$B$284,0))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PRICOLLTD</t>
        </is>
      </c>
      <c r="D222" s="31" t="inlineStr">
        <is>
          <t>Pricol Ltd.</t>
        </is>
      </c>
      <c r="E222" s="31" t="inlineStr">
        <is>
          <t>auto</t>
        </is>
      </c>
      <c r="F222" s="31" t="inlineStr">
        <is>
          <t>auto ancillaries</t>
        </is>
      </c>
      <c r="G222" s="31" t="inlineStr">
        <is>
          <t>midcap</t>
        </is>
      </c>
      <c r="H222" s="32" t="n">
        <v>8300.74</v>
      </c>
      <c r="I222" s="32" t="n">
        <v>696.65</v>
      </c>
      <c r="J222" s="32" t="n">
        <v>2.29</v>
      </c>
      <c r="K222" s="32" t="n">
        <v>1935291</v>
      </c>
      <c r="L222" s="31" t="n">
        <v>60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67.20999999999999</v>
      </c>
      <c r="P222" s="32" t="n">
        <v>21.37</v>
      </c>
      <c r="Q222" s="32" t="n">
        <v>556.0700000000001</v>
      </c>
      <c r="R222" s="31" t="inlineStr">
        <is>
          <t>Volume Spike &amp; Near 52W High Breakout</t>
        </is>
      </c>
      <c r="S222" s="31" t="inlineStr">
        <is>
          <t>Nifty Auto</t>
        </is>
      </c>
      <c r="T222" s="32" t="n">
        <v>20.87</v>
      </c>
      <c r="U222" s="32" t="n">
        <v>59.72</v>
      </c>
      <c r="V222" s="32" t="n">
        <v>32.15</v>
      </c>
      <c r="W222" s="32" t="n">
        <v>13.52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Oligopoly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Shallow Cyclical (2 to 3 Years Growth)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Fully One Time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Allocated capital in Non-core Areas</t>
        </is>
      </c>
      <c r="AU222" s="31">
        <f>IF(AT222="Good",10,0)</f>
        <v/>
      </c>
      <c r="AV222" s="31" t="inlineStr">
        <is>
          <t>Yes only for next 1 to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Between 12 to 20%</t>
        </is>
      </c>
      <c r="BO222" s="31">
        <f>IF(BN222="More than 20%",10,IF(BN222="Between 12 to 20%",5,IF(BN222="Less than 12%",0,0)))</f>
        <v/>
      </c>
      <c r="BP222" s="31" t="inlineStr">
        <is>
          <t>Yes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Between 1.5 to 2</t>
        </is>
      </c>
      <c r="BU222" s="31">
        <f>IF(BT222="Above 2",0,IF(BT222="Between 1.5 to 2",5,IF(BT222="Less than 1.5",10,0)))</f>
        <v/>
      </c>
      <c r="BV222" s="31" t="inlineStr">
        <is>
          <t>Between 50% to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IF(B223=0,"",RANK(B223,$B$2:$B$284,0))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3" t="inlineStr">
        <is>
          <t>GLAXO</t>
        </is>
      </c>
      <c r="D223" s="33" t="inlineStr">
        <is>
          <t>Glaxosmithkline Pharmaceuticals Limited</t>
        </is>
      </c>
      <c r="E223" s="31" t="inlineStr">
        <is>
          <t>healthcare</t>
        </is>
      </c>
      <c r="F223" s="31" t="inlineStr">
        <is>
          <t>pharmaceuticals - multinational</t>
        </is>
      </c>
      <c r="G223" s="31" t="inlineStr">
        <is>
          <t>largecap</t>
        </is>
      </c>
      <c r="H223" s="32" t="n">
        <v>44226.83</v>
      </c>
      <c r="I223" s="32" t="n">
        <v>2655.4</v>
      </c>
      <c r="J223" s="32" t="n">
        <v>1.71</v>
      </c>
      <c r="K223" s="32" t="n">
        <v>118469</v>
      </c>
      <c r="L223" s="31" t="n">
        <v>12</v>
      </c>
      <c r="M223" s="31" t="inlineStr">
        <is>
          <t>Underperforming</t>
        </is>
      </c>
      <c r="N223" s="32">
        <f>IF(M223="Underperforming",-5,IF(L223&gt;=95,15,IF(L223&gt;=90,10,IF(L223&gt;=80,5,0))))</f>
        <v/>
      </c>
      <c r="O223" s="32" t="n">
        <v>63.73</v>
      </c>
      <c r="P223" s="32" t="n">
        <v>19.65</v>
      </c>
      <c r="Q223" s="32" t="n">
        <v>2233.86</v>
      </c>
      <c r="R223" s="31" t="inlineStr">
        <is>
          <t>Near 52W High Breakout</t>
        </is>
      </c>
      <c r="S223" s="31" t="inlineStr">
        <is>
          <t>Nifty Pharma</t>
        </is>
      </c>
      <c r="T223" s="32" t="n">
        <v>20.55</v>
      </c>
      <c r="U223" s="32" t="n">
        <v>-7.27</v>
      </c>
      <c r="V223" s="32" t="n">
        <v>-23.08</v>
      </c>
      <c r="W223" s="32" t="n">
        <v>2.25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Yes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Annuity, Lower One Time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IF(B224=0,"",RANK(B224,$B$2:$B$284,0))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DMCC</t>
        </is>
      </c>
      <c r="D224" s="31" t="inlineStr">
        <is>
          <t>DMCC Speciality Chemicals Ltd</t>
        </is>
      </c>
      <c r="E224" s="31" t="inlineStr">
        <is>
          <t>chemicals</t>
        </is>
      </c>
      <c r="F224" s="31" t="inlineStr">
        <is>
          <t>chemicals</t>
        </is>
      </c>
      <c r="G224" s="31" t="inlineStr">
        <is>
          <t>smallcap</t>
        </is>
      </c>
      <c r="H224" s="32" t="n">
        <v>655.42</v>
      </c>
      <c r="I224" s="32" t="n">
        <v>282.75</v>
      </c>
      <c r="J224" s="32" t="n">
        <v>7.59</v>
      </c>
      <c r="K224" s="32" t="n">
        <v>111833</v>
      </c>
      <c r="L224" s="31" t="n">
        <v>5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56.58</v>
      </c>
      <c r="P224" s="32" t="n">
        <v>24.76</v>
      </c>
      <c r="Q224" s="32" t="n">
        <v>238.08</v>
      </c>
      <c r="R224" s="31" t="inlineStr">
        <is>
          <t>Earnings / Momentum Support</t>
        </is>
      </c>
      <c r="S224" s="31" t="inlineStr">
        <is>
          <t>Nifty IT</t>
        </is>
      </c>
      <c r="T224" s="32" t="n">
        <v>-11.37</v>
      </c>
      <c r="U224" s="32" t="n">
        <v>-6.43</v>
      </c>
      <c r="V224" s="32" t="n">
        <v>5.57</v>
      </c>
      <c r="W224" s="32" t="n">
        <v>0.23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Negative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IF(B225=0,"",RANK(B225,$B$2:$B$284,0))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SAMBHV</t>
        </is>
      </c>
      <c r="D225" s="33" t="inlineStr">
        <is>
          <t>Sambhv Steel Tubes Ltd</t>
        </is>
      </c>
      <c r="E225" s="31" t="inlineStr">
        <is>
          <t>metals &amp; mining</t>
        </is>
      </c>
      <c r="F225" s="31" t="inlineStr">
        <is>
          <t>steel - medium / small</t>
        </is>
      </c>
      <c r="G225" s="31" t="inlineStr">
        <is>
          <t>smallcap</t>
        </is>
      </c>
      <c r="H225" s="32" t="n">
        <v>3407.58</v>
      </c>
      <c r="I225" s="32" t="n">
        <v>120.11</v>
      </c>
      <c r="J225" s="32" t="n">
        <v>3.87</v>
      </c>
      <c r="K225" s="32" t="n">
        <v>1064116</v>
      </c>
      <c r="L225" s="31" t="n">
        <v>5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62.08</v>
      </c>
      <c r="P225" s="32" t="n">
        <v>23.97</v>
      </c>
      <c r="Q225" s="32" t="n">
        <v>99.34</v>
      </c>
      <c r="R225" s="31" t="inlineStr">
        <is>
          <t>Earnings / Momentum Support</t>
        </is>
      </c>
      <c r="S225" s="31" t="inlineStr">
        <is>
          <t>Nifty Metal</t>
        </is>
      </c>
      <c r="T225" s="32" t="n">
        <v>34.95</v>
      </c>
      <c r="U225" s="32" t="n">
        <v>-9.48</v>
      </c>
      <c r="V225" s="32" t="n">
        <v>-32.93</v>
      </c>
      <c r="W225" s="32" t="n">
        <v>0.33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Cyclical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Volatile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IF(B226=0,"",RANK(B226,$B$2:$B$284,0))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INDIGOPNTS</t>
        </is>
      </c>
      <c r="D226" s="33" t="inlineStr">
        <is>
          <t>Indigo Paints Ltd</t>
        </is>
      </c>
      <c r="E226" s="31" t="inlineStr">
        <is>
          <t>building materials</t>
        </is>
      </c>
      <c r="F226" s="31" t="inlineStr">
        <is>
          <t>paints / varnishes</t>
        </is>
      </c>
      <c r="G226" s="31" t="inlineStr">
        <is>
          <t>midcap</t>
        </is>
      </c>
      <c r="H226" s="32" t="n">
        <v>5153.26</v>
      </c>
      <c r="I226" s="32" t="n">
        <v>1114.9</v>
      </c>
      <c r="J226" s="32" t="n">
        <v>3.15</v>
      </c>
      <c r="K226" s="32" t="n">
        <v>103387</v>
      </c>
      <c r="L226" s="31" t="n">
        <v>33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61.81</v>
      </c>
      <c r="P226" s="32" t="n">
        <v>10.8</v>
      </c>
      <c r="Q226" s="32" t="n">
        <v>878.54</v>
      </c>
      <c r="R226" s="31" t="inlineStr">
        <is>
          <t>Earnings / Momentum Support</t>
        </is>
      </c>
      <c r="S226" s="31" t="inlineStr">
        <is>
          <t>Nifty Infra</t>
        </is>
      </c>
      <c r="T226" s="32" t="n">
        <v>3.78</v>
      </c>
      <c r="U226" s="32" t="n">
        <v>-2.21</v>
      </c>
      <c r="V226" s="32" t="n">
        <v>-5.77</v>
      </c>
      <c r="W226" s="32" t="n">
        <v>6.58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IF(B227=0,"",RANK(B227,$B$2:$B$284,0))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SIEMENS</t>
        </is>
      </c>
      <c r="D227" s="31" t="inlineStr">
        <is>
          <t>Siemens Limited</t>
        </is>
      </c>
      <c r="E227" s="31" t="inlineStr">
        <is>
          <t>industrials</t>
        </is>
      </c>
      <c r="F227" s="31" t="inlineStr">
        <is>
          <t>electric equipment</t>
        </is>
      </c>
      <c r="G227" s="31" t="inlineStr">
        <is>
          <t>largecap</t>
        </is>
      </c>
      <c r="H227" s="32" t="n">
        <v>130297.37</v>
      </c>
      <c r="I227" s="32" t="n">
        <v>3760</v>
      </c>
      <c r="J227" s="32" t="n">
        <v>2.77</v>
      </c>
      <c r="K227" s="32" t="n">
        <v>565322</v>
      </c>
      <c r="L227" s="31" t="n">
        <v>25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58.85</v>
      </c>
      <c r="P227" s="32" t="n">
        <v>24.12</v>
      </c>
      <c r="Q227" s="32" t="n">
        <v>3121.9</v>
      </c>
      <c r="R227" s="31" t="inlineStr">
        <is>
          <t>Near 52W High Breakout</t>
        </is>
      </c>
      <c r="S227" s="31" t="inlineStr">
        <is>
          <t>Nifty 500</t>
        </is>
      </c>
      <c r="T227" s="32" t="n">
        <v>3.47</v>
      </c>
      <c r="U227" s="32" t="n">
        <v>24.97</v>
      </c>
      <c r="V227" s="32" t="n">
        <v>20.77</v>
      </c>
      <c r="W227" s="32" t="n">
        <v>4.97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20 to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Less than 12%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Negative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IF(B228=0,"",RANK(B228,$B$2:$B$284,0))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ANANTRAJ</t>
        </is>
      </c>
      <c r="D228" s="31" t="inlineStr">
        <is>
          <t>Anant Raj Limited</t>
        </is>
      </c>
      <c r="E228" s="31" t="inlineStr">
        <is>
          <t>realty</t>
        </is>
      </c>
      <c r="F228" s="31" t="inlineStr">
        <is>
          <t>construction</t>
        </is>
      </c>
      <c r="G228" s="31" t="inlineStr">
        <is>
          <t>largecap</t>
        </is>
      </c>
      <c r="H228" s="32" t="n">
        <v>21938.1</v>
      </c>
      <c r="I228" s="32" t="n">
        <v>624.5</v>
      </c>
      <c r="J228" s="32" t="n">
        <v>2.44</v>
      </c>
      <c r="K228" s="32" t="n">
        <v>4085433</v>
      </c>
      <c r="L228" s="31" t="n">
        <v>48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61.53</v>
      </c>
      <c r="P228" s="32" t="n">
        <v>17.93</v>
      </c>
      <c r="Q228" s="32" t="n">
        <v>471.99</v>
      </c>
      <c r="R228" s="31" t="inlineStr">
        <is>
          <t>Earnings / Momentum Support</t>
        </is>
      </c>
      <c r="S228" s="31" t="inlineStr">
        <is>
          <t>Nifty Realty</t>
        </is>
      </c>
      <c r="T228" s="32" t="n">
        <v>-5.17</v>
      </c>
      <c r="U228" s="32" t="n">
        <v>9.08</v>
      </c>
      <c r="V228" s="32" t="n">
        <v>15.03</v>
      </c>
      <c r="W228" s="32" t="n">
        <v>10.33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Between 1.5 to 2</t>
        </is>
      </c>
      <c r="BU228" s="31">
        <f>IF(BT228="Above 2",0,IF(BT228="Between 1.5 to 2",5,IF(BT228="Less than 1.5",10,0)))</f>
        <v/>
      </c>
      <c r="BV228" s="31" t="inlineStr">
        <is>
          <t>Negative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IF(B229=0,"",RANK(B229,$B$2:$B$284,0))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KAPSTON</t>
        </is>
      </c>
      <c r="D229" s="31" t="inlineStr">
        <is>
          <t>Kapston Services Ltd</t>
        </is>
      </c>
      <c r="E229" s="31" t="inlineStr">
        <is>
          <t>miscellaneous</t>
        </is>
      </c>
      <c r="F229" s="31" t="inlineStr">
        <is>
          <t>miscellaneous</t>
        </is>
      </c>
      <c r="G229" s="31" t="inlineStr">
        <is>
          <t>smallcap</t>
        </is>
      </c>
      <c r="H229" s="32" t="n">
        <v>1412.05</v>
      </c>
      <c r="I229" s="32" t="n">
        <v>474.9</v>
      </c>
      <c r="J229" s="32" t="n">
        <v>2.35</v>
      </c>
      <c r="K229" s="32" t="n">
        <v>48425</v>
      </c>
      <c r="L229" s="31" t="n">
        <v>82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75.89</v>
      </c>
      <c r="P229" s="32" t="n">
        <v>24.08</v>
      </c>
      <c r="Q229" s="32" t="n">
        <v>363.94</v>
      </c>
      <c r="R229" s="31" t="inlineStr">
        <is>
          <t>Near 52W High Breakout</t>
        </is>
      </c>
      <c r="S229" s="31" t="inlineStr">
        <is>
          <t>Nifty 50</t>
        </is>
      </c>
      <c r="T229" s="32" t="n">
        <v>-0.74</v>
      </c>
      <c r="U229" s="32" t="n">
        <v>83.7</v>
      </c>
      <c r="V229" s="32" t="n">
        <v>85.06999999999999</v>
      </c>
      <c r="W229" s="32" t="n">
        <v>22.23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Above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Less than 50% and Borrowings are increasing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More than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IF(B230=0,"",RANK(B230,$B$2:$B$284,0))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3" t="inlineStr">
        <is>
          <t>SUNFLAG</t>
        </is>
      </c>
      <c r="D230" s="33" t="inlineStr">
        <is>
          <t>Sunflag Iron And Steel Company Limited</t>
        </is>
      </c>
      <c r="E230" s="31" t="inlineStr">
        <is>
          <t>metals &amp; mining</t>
        </is>
      </c>
      <c r="F230" s="31" t="inlineStr">
        <is>
          <t>steel - medium / small</t>
        </is>
      </c>
      <c r="G230" s="31" t="inlineStr">
        <is>
          <t>midcap</t>
        </is>
      </c>
      <c r="H230" s="32" t="n">
        <v>6448.25</v>
      </c>
      <c r="I230" s="32" t="n">
        <v>365.3</v>
      </c>
      <c r="J230" s="32" t="n">
        <v>2.1</v>
      </c>
      <c r="K230" s="32" t="n">
        <v>199878</v>
      </c>
      <c r="L230" s="31" t="n">
        <v>54</v>
      </c>
      <c r="M230" s="31" t="inlineStr">
        <is>
          <t>Underperforming</t>
        </is>
      </c>
      <c r="N230" s="32">
        <f>IF(M230="Underperforming",-5,IF(L230&gt;=95,15,IF(L230&gt;=90,10,IF(L230&gt;=80,5,0))))</f>
        <v/>
      </c>
      <c r="O230" s="32" t="n">
        <v>62.79</v>
      </c>
      <c r="P230" s="32" t="n">
        <v>44.52</v>
      </c>
      <c r="Q230" s="32" t="n">
        <v>318.59</v>
      </c>
      <c r="R230" s="31" t="inlineStr">
        <is>
          <t>Earnings / Momentum Support</t>
        </is>
      </c>
      <c r="S230" s="31" t="inlineStr">
        <is>
          <t>Nifty Metal</t>
        </is>
      </c>
      <c r="T230" s="32" t="n">
        <v>34.95</v>
      </c>
      <c r="U230" s="32" t="n">
        <v>28.83</v>
      </c>
      <c r="V230" s="32" t="n">
        <v>-4.53</v>
      </c>
      <c r="W230" s="32" t="n">
        <v>11.64</v>
      </c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Cyclical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Volatile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Above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Less than 12%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IF(B231=0,"",RANK(B231,$B$2:$B$284,0))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INDIANHUME</t>
        </is>
      </c>
      <c r="D231" s="33" t="inlineStr">
        <is>
          <t>Indian Hume Pipe Company Limited</t>
        </is>
      </c>
      <c r="E231" s="31" t="inlineStr">
        <is>
          <t>realty</t>
        </is>
      </c>
      <c r="F231" s="31" t="inlineStr">
        <is>
          <t>construction</t>
        </is>
      </c>
      <c r="G231" s="31" t="inlineStr">
        <is>
          <t>smallcap</t>
        </is>
      </c>
      <c r="H231" s="32" t="n">
        <v>2036.94</v>
      </c>
      <c r="I231" s="32" t="n">
        <v>393.05</v>
      </c>
      <c r="J231" s="32" t="n">
        <v>1.66</v>
      </c>
      <c r="K231" s="32" t="n">
        <v>60990</v>
      </c>
      <c r="L231" s="31" t="n">
        <v>19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62.89</v>
      </c>
      <c r="P231" s="32" t="n">
        <v>16.28</v>
      </c>
      <c r="Q231" s="32" t="n">
        <v>299.29</v>
      </c>
      <c r="R231" s="31" t="inlineStr">
        <is>
          <t>Earnings / Momentum Support</t>
        </is>
      </c>
      <c r="S231" s="31" t="inlineStr">
        <is>
          <t>Nifty Realty</t>
        </is>
      </c>
      <c r="T231" s="32" t="n">
        <v>-5.17</v>
      </c>
      <c r="U231" s="32" t="n">
        <v>-6.9</v>
      </c>
      <c r="V231" s="32" t="n">
        <v>-1.82</v>
      </c>
      <c r="W231" s="32" t="n">
        <v>4.15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0 to 20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IF(B232=0,"",RANK(B232,$B$2:$B$284,0))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MUKANDLTD</t>
        </is>
      </c>
      <c r="D232" s="33" t="inlineStr">
        <is>
          <t>Mukand Limited</t>
        </is>
      </c>
      <c r="E232" s="31" t="inlineStr">
        <is>
          <t>metals &amp; mining</t>
        </is>
      </c>
      <c r="F232" s="31" t="inlineStr">
        <is>
          <t>steel - medium / small</t>
        </is>
      </c>
      <c r="G232" s="31" t="inlineStr">
        <is>
          <t>smallcap</t>
        </is>
      </c>
      <c r="H232" s="32" t="n">
        <v>2021.64</v>
      </c>
      <c r="I232" s="32" t="n">
        <v>141.42</v>
      </c>
      <c r="J232" s="32" t="n">
        <v>1.08</v>
      </c>
      <c r="K232" s="32" t="n">
        <v>60392</v>
      </c>
      <c r="L232" s="31" t="n">
        <v>8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56.14</v>
      </c>
      <c r="P232" s="32" t="n">
        <v>41.75</v>
      </c>
      <c r="Q232" s="32" t="n">
        <v>115.38</v>
      </c>
      <c r="R232" s="31" t="inlineStr">
        <is>
          <t>Near 52W High Breakout</t>
        </is>
      </c>
      <c r="S232" s="31" t="inlineStr">
        <is>
          <t>Nifty Metal</t>
        </is>
      </c>
      <c r="T232" s="32" t="n">
        <v>34.95</v>
      </c>
      <c r="U232" s="32" t="n">
        <v>1.47</v>
      </c>
      <c r="V232" s="32" t="n">
        <v>-24.81</v>
      </c>
      <c r="W232" s="32" t="n">
        <v>0.93</v>
      </c>
      <c r="X232" s="31" t="inlineStr">
        <is>
          <t>Cyclical in an Upturn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Cyclical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Volatile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Above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No</t>
        </is>
      </c>
      <c r="BS232" s="31">
        <f>IF(BR232="NO",5,0)</f>
        <v/>
      </c>
      <c r="BT232" s="31" t="inlineStr">
        <is>
          <t>Less than 1.5</t>
        </is>
      </c>
      <c r="BU232" s="31">
        <f>IF(BT232="Above 2",0,IF(BT232="Between 1.5 to 2",5,IF(BT232="Less than 1.5",10,0)))</f>
        <v/>
      </c>
      <c r="BV232" s="31" t="inlineStr">
        <is>
          <t>Negative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Between 0.7 to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IF(B233=0,"",RANK(B233,$B$2:$B$284,0))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DIVGIITTS</t>
        </is>
      </c>
      <c r="D233" s="31" t="inlineStr">
        <is>
          <t>Divgi Torqtransfer Systems Ltd</t>
        </is>
      </c>
      <c r="E233" s="31" t="inlineStr">
        <is>
          <t>auto</t>
        </is>
      </c>
      <c r="F233" s="31" t="inlineStr">
        <is>
          <t>auto ancillaries</t>
        </is>
      </c>
      <c r="G233" s="31" t="inlineStr">
        <is>
          <t>smallcap</t>
        </is>
      </c>
      <c r="H233" s="32" t="n">
        <v>2917.92</v>
      </c>
      <c r="I233" s="32" t="n">
        <v>960</v>
      </c>
      <c r="J233" s="32" t="n">
        <v>0.62</v>
      </c>
      <c r="K233" s="32" t="n">
        <v>46454</v>
      </c>
      <c r="L233" s="31" t="n">
        <v>65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64.41</v>
      </c>
      <c r="P233" s="32" t="n">
        <v>40.99</v>
      </c>
      <c r="Q233" s="32" t="n">
        <v>768.02</v>
      </c>
      <c r="R233" s="31" t="inlineStr">
        <is>
          <t>Earnings / Momentum Support</t>
        </is>
      </c>
      <c r="S233" s="31" t="inlineStr">
        <is>
          <t>Nifty Auto</t>
        </is>
      </c>
      <c r="T233" s="32" t="n">
        <v>20.87</v>
      </c>
      <c r="U233" s="32" t="n">
        <v>49.83</v>
      </c>
      <c r="V233" s="32" t="n">
        <v>23.96</v>
      </c>
      <c r="W233" s="32" t="n">
        <v>14.96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Above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Negative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Between 50% to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IF(B234=0,"",RANK(B234,$B$2:$B$284,0))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TPLPLASTEH</t>
        </is>
      </c>
      <c r="D234" s="31" t="inlineStr">
        <is>
          <t>Tpl Plastech Limited</t>
        </is>
      </c>
      <c r="E234" s="31" t="inlineStr">
        <is>
          <t>industrials</t>
        </is>
      </c>
      <c r="F234" s="31" t="inlineStr">
        <is>
          <t>packaging</t>
        </is>
      </c>
      <c r="G234" s="31" t="inlineStr">
        <is>
          <t>smallcap</t>
        </is>
      </c>
      <c r="H234" s="32" t="n">
        <v>619.42</v>
      </c>
      <c r="I234" s="32" t="n">
        <v>79.5</v>
      </c>
      <c r="J234" s="32" t="n">
        <v>0.11</v>
      </c>
      <c r="K234" s="32" t="n">
        <v>102134</v>
      </c>
      <c r="L234" s="31" t="n">
        <v>22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57.78</v>
      </c>
      <c r="P234" s="32" t="n">
        <v>23.29</v>
      </c>
      <c r="Q234" s="32" t="n">
        <v>64.77</v>
      </c>
      <c r="R234" s="31" t="inlineStr">
        <is>
          <t>Earnings / Momentum Support</t>
        </is>
      </c>
      <c r="S234" s="31" t="inlineStr">
        <is>
          <t>Nifty 50</t>
        </is>
      </c>
      <c r="T234" s="32" t="n">
        <v>-0.74</v>
      </c>
      <c r="U234" s="32" t="n">
        <v>4.41</v>
      </c>
      <c r="V234" s="32" t="n">
        <v>5.19</v>
      </c>
      <c r="W234" s="32" t="n">
        <v>4.6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Negative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Between 12 to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Less than 1.5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Less than 0.7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IF(B235=0,"",RANK(B235,$B$2:$B$284,0))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3" t="inlineStr">
        <is>
          <t>ENDURANCE</t>
        </is>
      </c>
      <c r="D235" s="33" t="inlineStr">
        <is>
          <t>Endurance Technologies Limited</t>
        </is>
      </c>
      <c r="E235" s="31" t="inlineStr">
        <is>
          <t>auto</t>
        </is>
      </c>
      <c r="F235" s="31" t="inlineStr">
        <is>
          <t>auto ancillaries</t>
        </is>
      </c>
      <c r="G235" s="31" t="inlineStr">
        <is>
          <t>largecap</t>
        </is>
      </c>
      <c r="H235" s="32" t="n">
        <v>39446.08</v>
      </c>
      <c r="I235" s="32" t="n">
        <v>2758.3</v>
      </c>
      <c r="J235" s="32" t="n">
        <v>-1.64</v>
      </c>
      <c r="K235" s="32" t="n">
        <v>165170</v>
      </c>
      <c r="L235" s="31" t="n">
        <v>31</v>
      </c>
      <c r="M235" s="31" t="inlineStr">
        <is>
          <t>Underperforming</t>
        </is>
      </c>
      <c r="N235" s="32">
        <f>IF(M235="Underperforming",-5,IF(L235&gt;=95,15,IF(L235&gt;=90,10,IF(L235&gt;=80,5,0))))</f>
        <v/>
      </c>
      <c r="O235" s="32" t="n">
        <v>58.53</v>
      </c>
      <c r="P235" s="32" t="n">
        <v>14.59</v>
      </c>
      <c r="Q235" s="32" t="n">
        <v>2208.55</v>
      </c>
      <c r="R235" s="31" t="inlineStr">
        <is>
          <t>Earnings / Momentum Support</t>
        </is>
      </c>
      <c r="S235" s="31" t="inlineStr">
        <is>
          <t>Nifty Auto</t>
        </is>
      </c>
      <c r="T235" s="32" t="n">
        <v>20.87</v>
      </c>
      <c r="U235" s="32" t="n">
        <v>7.8</v>
      </c>
      <c r="V235" s="32" t="n">
        <v>-10.81</v>
      </c>
      <c r="W235" s="32" t="n">
        <v>6.3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Between 12 to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IF(B236=0,"",RANK(B236,$B$2:$B$284,0))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GUFICBIO</t>
        </is>
      </c>
      <c r="D236" s="33" t="inlineStr">
        <is>
          <t>Gufic Biosciences Limited</t>
        </is>
      </c>
      <c r="E236" s="31" t="inlineStr">
        <is>
          <t>healthcare</t>
        </is>
      </c>
      <c r="F236" s="31" t="inlineStr">
        <is>
          <t>pharmaceuticals - indian - bulk drugs &amp; formln</t>
        </is>
      </c>
      <c r="G236" s="31" t="inlineStr">
        <is>
          <t>smallcap</t>
        </is>
      </c>
      <c r="H236" s="32" t="n">
        <v>3850.35</v>
      </c>
      <c r="I236" s="32" t="n">
        <v>389.85</v>
      </c>
      <c r="J236" s="32" t="n">
        <v>1.54</v>
      </c>
      <c r="K236" s="32" t="n">
        <v>38677</v>
      </c>
      <c r="L236" s="31" t="n">
        <v>45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64.78</v>
      </c>
      <c r="P236" s="32" t="n">
        <v>40.63</v>
      </c>
      <c r="Q236" s="32" t="n">
        <v>298.96</v>
      </c>
      <c r="R236" s="31" t="inlineStr">
        <is>
          <t>Near 52W High Breakout</t>
        </is>
      </c>
      <c r="S236" s="31" t="inlineStr">
        <is>
          <t>Nifty Pharma</t>
        </is>
      </c>
      <c r="T236" s="32" t="n">
        <v>20.55</v>
      </c>
      <c r="U236" s="32" t="n">
        <v>1.38</v>
      </c>
      <c r="V236" s="32" t="n">
        <v>-15.9</v>
      </c>
      <c r="W236" s="32" t="n">
        <v>9.130000000000001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Above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Negative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Less than 50%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IF(B237=0,"",RANK(B237,$B$2:$B$284,0))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3" t="inlineStr">
        <is>
          <t>CIPLA</t>
        </is>
      </c>
      <c r="D237" s="33" t="inlineStr">
        <is>
          <t>Cipla Limited</t>
        </is>
      </c>
      <c r="E237" s="31" t="inlineStr">
        <is>
          <t>healthcare</t>
        </is>
      </c>
      <c r="F237" s="31" t="inlineStr">
        <is>
          <t>pharmaceuticals - indian - bulk drugs &amp; formln</t>
        </is>
      </c>
      <c r="G237" s="31" t="inlineStr">
        <is>
          <t>largecap</t>
        </is>
      </c>
      <c r="H237" s="32" t="n">
        <v>118462.44</v>
      </c>
      <c r="I237" s="32" t="n">
        <v>1473.2</v>
      </c>
      <c r="J237" s="32" t="n">
        <v>0.46</v>
      </c>
      <c r="K237" s="32" t="n">
        <v>1223405</v>
      </c>
      <c r="L237" s="31" t="n">
        <v>14</v>
      </c>
      <c r="M237" s="31" t="inlineStr">
        <is>
          <t>Underperforming</t>
        </is>
      </c>
      <c r="N237" s="32">
        <f>IF(M237="Underperforming",-5,IF(L237&gt;=95,15,IF(L237&gt;=90,10,IF(L237&gt;=80,5,0))))</f>
        <v/>
      </c>
      <c r="O237" s="32" t="n">
        <v>60.7</v>
      </c>
      <c r="P237" s="32" t="n">
        <v>10.02</v>
      </c>
      <c r="Q237" s="32" t="n">
        <v>1269.66</v>
      </c>
      <c r="R237" s="31" t="inlineStr">
        <is>
          <t>Earnings / Momentum Support</t>
        </is>
      </c>
      <c r="S237" s="31" t="inlineStr">
        <is>
          <t>Nifty Pharma</t>
        </is>
      </c>
      <c r="T237" s="32" t="n">
        <v>20.55</v>
      </c>
      <c r="U237" s="32" t="n">
        <v>-1.05</v>
      </c>
      <c r="V237" s="32" t="n">
        <v>-17.92</v>
      </c>
      <c r="W237" s="32" t="n">
        <v>2.81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Yes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IF(B238=0,"",RANK(B238,$B$2:$B$284,0))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ONWARDTEC</t>
        </is>
      </c>
      <c r="D238" s="31" t="inlineStr">
        <is>
          <t>Onward Technologies Limited</t>
        </is>
      </c>
      <c r="E238" s="31" t="inlineStr">
        <is>
          <t>i.t</t>
        </is>
      </c>
      <c r="F238" s="31" t="inlineStr">
        <is>
          <t>computers - software - medium / small</t>
        </is>
      </c>
      <c r="G238" s="31" t="inlineStr">
        <is>
          <t>smallcap</t>
        </is>
      </c>
      <c r="H238" s="32" t="n">
        <v>653.83</v>
      </c>
      <c r="I238" s="32" t="n">
        <v>293</v>
      </c>
      <c r="J238" s="32" t="n">
        <v>-0.32</v>
      </c>
      <c r="K238" s="32" t="n">
        <v>41859</v>
      </c>
      <c r="L238" s="31" t="n">
        <v>20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58.8</v>
      </c>
      <c r="P238" s="32" t="n">
        <v>17.65</v>
      </c>
      <c r="Q238" s="32" t="n">
        <v>211.76</v>
      </c>
      <c r="R238" s="31" t="inlineStr">
        <is>
          <t>Earnings / Momentum Support</t>
        </is>
      </c>
      <c r="S238" s="31" t="inlineStr">
        <is>
          <t>Nifty IT</t>
        </is>
      </c>
      <c r="T238" s="32" t="n">
        <v>-11.37</v>
      </c>
      <c r="U238" s="32" t="n">
        <v>-10.88</v>
      </c>
      <c r="V238" s="32" t="n">
        <v>0.55</v>
      </c>
      <c r="W238" s="32" t="n">
        <v>4.39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Headwind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No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Less than 12%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IF(B239=0,"",RANK(B239,$B$2:$B$284,0))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KILITCH</t>
        </is>
      </c>
      <c r="D239" s="33" t="inlineStr">
        <is>
          <t>Kilitch Drugs (india) Limited</t>
        </is>
      </c>
      <c r="E239" s="31" t="inlineStr">
        <is>
          <t>healthcare</t>
        </is>
      </c>
      <c r="F239" s="31" t="inlineStr">
        <is>
          <t>pharmaceuticals - indian - formulations</t>
        </is>
      </c>
      <c r="G239" s="31" t="inlineStr">
        <is>
          <t>smallcap</t>
        </is>
      </c>
      <c r="H239" s="32" t="n">
        <v>666.3</v>
      </c>
      <c r="I239" s="32" t="n">
        <v>189.4</v>
      </c>
      <c r="J239" s="32" t="n">
        <v>-0.62</v>
      </c>
      <c r="K239" s="32" t="n">
        <v>19079</v>
      </c>
      <c r="L239" s="31" t="n">
        <v>10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57.65</v>
      </c>
      <c r="P239" s="32" t="n">
        <v>27.11</v>
      </c>
      <c r="Q239" s="32" t="n">
        <v>130.48</v>
      </c>
      <c r="R239" s="31" t="inlineStr">
        <is>
          <t>Earnings / Momentum Support</t>
        </is>
      </c>
      <c r="S239" s="31" t="inlineStr">
        <is>
          <t>Nifty Pharma</t>
        </is>
      </c>
      <c r="T239" s="32" t="n">
        <v>20.55</v>
      </c>
      <c r="U239" s="32" t="n">
        <v>-16.14</v>
      </c>
      <c r="V239" s="32" t="n">
        <v>-30.43</v>
      </c>
      <c r="W239" s="32" t="n">
        <v>1.61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No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Negative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IF(B240=0,"",RANK(B240,$B$2:$B$284,0))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PDSL</t>
        </is>
      </c>
      <c r="D240" s="31" t="inlineStr">
        <is>
          <t>PDS Ltd</t>
        </is>
      </c>
      <c r="E240" s="31" t="inlineStr">
        <is>
          <t>textiles</t>
        </is>
      </c>
      <c r="F240" s="31" t="inlineStr">
        <is>
          <t>trading</t>
        </is>
      </c>
      <c r="G240" s="31" t="inlineStr">
        <is>
          <t>smallcap</t>
        </is>
      </c>
      <c r="H240" s="32" t="n">
        <v>4880.46</v>
      </c>
      <c r="I240" s="32" t="n">
        <v>363.95</v>
      </c>
      <c r="J240" s="32" t="n">
        <v>5.48</v>
      </c>
      <c r="K240" s="32" t="n">
        <v>324651</v>
      </c>
      <c r="L240" s="31" t="n">
        <v>42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59.84</v>
      </c>
      <c r="P240" s="32" t="n">
        <v>26.65</v>
      </c>
      <c r="Q240" s="32" t="n">
        <v>263.53</v>
      </c>
      <c r="R240" s="31" t="inlineStr">
        <is>
          <t>Earnings / Momentum Support</t>
        </is>
      </c>
      <c r="S240" s="31" t="inlineStr">
        <is>
          <t>Nifty 50</t>
        </is>
      </c>
      <c r="T240" s="32" t="n">
        <v>-0.74</v>
      </c>
      <c r="U240" s="32" t="n">
        <v>4.5</v>
      </c>
      <c r="V240" s="32" t="n">
        <v>5.27</v>
      </c>
      <c r="W240" s="32" t="n">
        <v>8.460000000000001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Negative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Yes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IF(B241=0,"",RANK(B241,$B$2:$B$284,0))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RAJRATAN</t>
        </is>
      </c>
      <c r="D241" s="33" t="inlineStr">
        <is>
          <t>Rajratan Global Wire Ltd</t>
        </is>
      </c>
      <c r="E241" s="31" t="inlineStr">
        <is>
          <t>metals &amp; mining</t>
        </is>
      </c>
      <c r="F241" s="31" t="inlineStr">
        <is>
          <t>steel - medium / small</t>
        </is>
      </c>
      <c r="G241" s="31" t="inlineStr">
        <is>
          <t>smallcap</t>
        </is>
      </c>
      <c r="H241" s="32" t="n">
        <v>2447.42</v>
      </c>
      <c r="I241" s="32" t="n">
        <v>495</v>
      </c>
      <c r="J241" s="32" t="n">
        <v>2.69</v>
      </c>
      <c r="K241" s="32" t="n">
        <v>114254</v>
      </c>
      <c r="L241" s="31" t="n">
        <v>43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62.7</v>
      </c>
      <c r="P241" s="32" t="n">
        <v>13.72</v>
      </c>
      <c r="Q241" s="32" t="n">
        <v>362.96</v>
      </c>
      <c r="R241" s="31" t="inlineStr">
        <is>
          <t>Earnings / Momentum Support</t>
        </is>
      </c>
      <c r="S241" s="31" t="inlineStr">
        <is>
          <t>Nifty Metal</t>
        </is>
      </c>
      <c r="T241" s="32" t="n">
        <v>34.95</v>
      </c>
      <c r="U241" s="32" t="n">
        <v>23.85</v>
      </c>
      <c r="V241" s="32" t="n">
        <v>-8.220000000000001</v>
      </c>
      <c r="W241" s="32" t="n">
        <v>8.57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Cyclical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Volatile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0 to 20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Less than 1.5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IF(B242=0,"",RANK(B242,$B$2:$B$284,0))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VMART</t>
        </is>
      </c>
      <c r="D242" s="31" t="inlineStr">
        <is>
          <t>V-mart Retail Limited</t>
        </is>
      </c>
      <c r="E242" s="31" t="inlineStr">
        <is>
          <t>consumer discretionary</t>
        </is>
      </c>
      <c r="F242" s="31" t="inlineStr">
        <is>
          <t>trading</t>
        </is>
      </c>
      <c r="G242" s="31" t="inlineStr">
        <is>
          <t>midcap</t>
        </is>
      </c>
      <c r="H242" s="32" t="n">
        <v>6079.06</v>
      </c>
      <c r="I242" s="32" t="n">
        <v>779.1</v>
      </c>
      <c r="J242" s="32" t="n">
        <v>1.95</v>
      </c>
      <c r="K242" s="32" t="n">
        <v>100485</v>
      </c>
      <c r="L242" s="31" t="n">
        <v>33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60.32</v>
      </c>
      <c r="P242" s="32" t="n">
        <v>24.86</v>
      </c>
      <c r="Q242" s="32" t="n">
        <v>612.37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-0.74</v>
      </c>
      <c r="U242" s="32" t="n">
        <v>-0.03</v>
      </c>
      <c r="V242" s="32" t="n">
        <v>0.72</v>
      </c>
      <c r="W242" s="32" t="n">
        <v>6.85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Negative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IF(B243=0,"",RANK(B243,$B$2:$B$284,0))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HEROMOTOCO</t>
        </is>
      </c>
      <c r="D243" s="31" t="inlineStr">
        <is>
          <t>Hero Motocorp Limited</t>
        </is>
      </c>
      <c r="E243" s="31" t="inlineStr">
        <is>
          <t>auto</t>
        </is>
      </c>
      <c r="F243" s="31" t="inlineStr">
        <is>
          <t>automobiles - motorcycles / mopeds</t>
        </is>
      </c>
      <c r="G243" s="31" t="inlineStr">
        <is>
          <t>largecap</t>
        </is>
      </c>
      <c r="H243" s="32" t="n">
        <v>106549.49</v>
      </c>
      <c r="I243" s="32" t="n">
        <v>5386</v>
      </c>
      <c r="J243" s="32" t="n">
        <v>1.15</v>
      </c>
      <c r="K243" s="32" t="n">
        <v>769470</v>
      </c>
      <c r="L243" s="31" t="n">
        <v>43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58.33</v>
      </c>
      <c r="P243" s="32" t="n">
        <v>6.71</v>
      </c>
      <c r="Q243" s="32" t="n">
        <v>4520.42</v>
      </c>
      <c r="R243" s="31" t="inlineStr">
        <is>
          <t>Earnings / Momentum Support</t>
        </is>
      </c>
      <c r="S243" s="31" t="inlineStr">
        <is>
          <t>Nifty Auto</t>
        </is>
      </c>
      <c r="T243" s="32" t="n">
        <v>20.87</v>
      </c>
      <c r="U243" s="32" t="n">
        <v>31.7</v>
      </c>
      <c r="V243" s="32" t="n">
        <v>8.960000000000001</v>
      </c>
      <c r="W243" s="32" t="n">
        <v>8.48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Headwind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1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IF(B244=0,"",RANK(B244,$B$2:$B$284,0))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TIMETECHNO</t>
        </is>
      </c>
      <c r="D244" s="33" t="inlineStr">
        <is>
          <t>Time Technoplast Limited</t>
        </is>
      </c>
      <c r="E244" s="31" t="inlineStr">
        <is>
          <t>plastic products</t>
        </is>
      </c>
      <c r="F244" s="31" t="inlineStr">
        <is>
          <t>plastics products</t>
        </is>
      </c>
      <c r="G244" s="31" t="inlineStr">
        <is>
          <t>midcap</t>
        </is>
      </c>
      <c r="H244" s="32" t="n">
        <v>10285.39</v>
      </c>
      <c r="I244" s="32" t="n">
        <v>208.56</v>
      </c>
      <c r="J244" s="32" t="n">
        <v>0.1</v>
      </c>
      <c r="K244" s="32" t="n">
        <v>2952132</v>
      </c>
      <c r="L244" s="31" t="n">
        <v>7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62.02</v>
      </c>
      <c r="P244" s="32" t="n">
        <v>10.46</v>
      </c>
      <c r="Q244" s="32" t="n">
        <v>163.48</v>
      </c>
      <c r="R244" s="31" t="inlineStr">
        <is>
          <t>Earnings / Momentum Support</t>
        </is>
      </c>
      <c r="S244" s="31" t="inlineStr">
        <is>
          <t>Nifty 50</t>
        </is>
      </c>
      <c r="T244" s="32" t="n">
        <v>-0.74</v>
      </c>
      <c r="U244" s="32" t="n">
        <v>-7.29</v>
      </c>
      <c r="V244" s="32" t="n">
        <v>-6.6</v>
      </c>
      <c r="W244" s="32" t="n">
        <v>0.5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Between 1.5 to 2</t>
        </is>
      </c>
      <c r="BU244" s="31">
        <f>IF(BT244="Above 2",0,IF(BT244="Between 1.5 to 2",5,IF(BT244="Less than 1.5",10,0)))</f>
        <v/>
      </c>
      <c r="BV244" s="31" t="inlineStr">
        <is>
          <t>Less than 50%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IF(B245=0,"",RANK(B245,$B$2:$B$284,0))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TI</t>
        </is>
      </c>
      <c r="D245" s="31" t="inlineStr">
        <is>
          <t>Tilaknagar Industries Limited</t>
        </is>
      </c>
      <c r="E245" s="31" t="inlineStr">
        <is>
          <t>fmcg</t>
        </is>
      </c>
      <c r="F245" s="31" t="inlineStr">
        <is>
          <t>breweries &amp; distilleries</t>
        </is>
      </c>
      <c r="G245" s="31" t="inlineStr">
        <is>
          <t>midcap</t>
        </is>
      </c>
      <c r="H245" s="32" t="n">
        <v>11559.5</v>
      </c>
      <c r="I245" s="32" t="n">
        <v>465.5</v>
      </c>
      <c r="J245" s="32" t="n">
        <v>-0.34</v>
      </c>
      <c r="K245" s="32" t="n">
        <v>469117</v>
      </c>
      <c r="L245" s="31" t="n">
        <v>4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55.96</v>
      </c>
      <c r="P245" s="32" t="n">
        <v>6.28</v>
      </c>
      <c r="Q245" s="32" t="n">
        <v>370.67</v>
      </c>
      <c r="R245" s="31" t="inlineStr">
        <is>
          <t>Volume Spike / Accumulation</t>
        </is>
      </c>
      <c r="S245" s="31" t="inlineStr">
        <is>
          <t>Nifty FMCG</t>
        </is>
      </c>
      <c r="T245" s="32" t="n">
        <v>-10</v>
      </c>
      <c r="U245" s="32" t="n">
        <v>-6.28</v>
      </c>
      <c r="V245" s="32" t="n">
        <v>4.13</v>
      </c>
      <c r="W245" s="32" t="n">
        <v>-0.23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B2C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Annuity, Lower One Time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1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Between 0.7 to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IF(B246=0,"",RANK(B246,$B$2:$B$284,0))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SILVERTUC</t>
        </is>
      </c>
      <c r="D246" s="33" t="inlineStr">
        <is>
          <t>Silver Touch Technologies Ltd</t>
        </is>
      </c>
      <c r="E246" s="31" t="inlineStr">
        <is>
          <t>i.t</t>
        </is>
      </c>
      <c r="F246" s="31" t="inlineStr">
        <is>
          <t>computers - software - medium / small</t>
        </is>
      </c>
      <c r="G246" s="31" t="inlineStr">
        <is>
          <t>smallcap</t>
        </is>
      </c>
      <c r="H246" s="32" t="n">
        <v>2622.43</v>
      </c>
      <c r="I246" s="32" t="n">
        <v>201.79</v>
      </c>
      <c r="J246" s="32" t="n">
        <v>-2.42</v>
      </c>
      <c r="K246" s="32" t="n">
        <v>1957308</v>
      </c>
      <c r="L246" s="31" t="n">
        <v>1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44.05</v>
      </c>
      <c r="P246" s="32" t="n">
        <v>22.26</v>
      </c>
      <c r="Q246" s="32" t="n">
        <v>104.61</v>
      </c>
      <c r="R246" s="31" t="inlineStr">
        <is>
          <t>Volume Spike / Accumulation</t>
        </is>
      </c>
      <c r="S246" s="31" t="inlineStr">
        <is>
          <t>Nifty IT</t>
        </is>
      </c>
      <c r="T246" s="32" t="n">
        <v>-11.37</v>
      </c>
      <c r="U246" s="32" t="n">
        <v>-72.84999999999999</v>
      </c>
      <c r="V246" s="32" t="n">
        <v>-69.36</v>
      </c>
      <c r="W246" s="32" t="n">
        <v>-3.62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Annuity, Lower One Time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Below 45</t>
        </is>
      </c>
      <c r="BA246" s="31">
        <f>IF(AZ246="Between 50 to 75",10,IF(AZ246="Above 75",0,0))</f>
        <v/>
      </c>
      <c r="BB246" s="31" t="inlineStr">
        <is>
          <t>Stage 4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Between 1.5 to 2</t>
        </is>
      </c>
      <c r="BU246" s="31">
        <f>IF(BT246="Above 2",0,IF(BT246="Between 1.5 to 2",5,IF(BT246="Less than 1.5",10,0)))</f>
        <v/>
      </c>
      <c r="BV246" s="31" t="inlineStr">
        <is>
          <t>Less than 50%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IF(B247=0,"",RANK(B247,$B$2:$B$284,0))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LUMAXTECH</t>
        </is>
      </c>
      <c r="D247" s="31" t="inlineStr">
        <is>
          <t>Lumax Auto Technologies Limited</t>
        </is>
      </c>
      <c r="E247" s="31" t="inlineStr">
        <is>
          <t>auto</t>
        </is>
      </c>
      <c r="F247" s="31" t="inlineStr">
        <is>
          <t>auto ancillaries</t>
        </is>
      </c>
      <c r="G247" s="31" t="inlineStr">
        <is>
          <t>midcap</t>
        </is>
      </c>
      <c r="H247" s="32" t="n">
        <v>10336.12</v>
      </c>
      <c r="I247" s="32" t="n">
        <v>1568.3</v>
      </c>
      <c r="J247" s="32" t="n">
        <v>3.42</v>
      </c>
      <c r="K247" s="32" t="n">
        <v>246823</v>
      </c>
      <c r="L247" s="31" t="n">
        <v>40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51</v>
      </c>
      <c r="P247" s="32" t="n">
        <v>12.28</v>
      </c>
      <c r="Q247" s="32" t="n">
        <v>1286.95</v>
      </c>
      <c r="R247" s="31" t="inlineStr">
        <is>
          <t>Earnings / Momentum Support</t>
        </is>
      </c>
      <c r="S247" s="31" t="inlineStr">
        <is>
          <t>Nifty Auto</t>
        </is>
      </c>
      <c r="T247" s="32" t="n">
        <v>20.87</v>
      </c>
      <c r="U247" s="32" t="n">
        <v>51.9</v>
      </c>
      <c r="V247" s="32" t="n">
        <v>25.67</v>
      </c>
      <c r="W247" s="32" t="n">
        <v>7.64</v>
      </c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0 to 20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1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Between 50% to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IF(B248=0,"",RANK(B248,$B$2:$B$284,0))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OPTIEMUS</t>
        </is>
      </c>
      <c r="D248" s="31" t="inlineStr">
        <is>
          <t>Optiemus Infracom Ltd</t>
        </is>
      </c>
      <c r="E248" s="31" t="inlineStr">
        <is>
          <t>telecom</t>
        </is>
      </c>
      <c r="F248" s="31" t="inlineStr">
        <is>
          <t>trading</t>
        </is>
      </c>
      <c r="G248" s="31" t="inlineStr">
        <is>
          <t>midcap</t>
        </is>
      </c>
      <c r="H248" s="32" t="n">
        <v>5523.92</v>
      </c>
      <c r="I248" s="32" t="n">
        <v>637.65</v>
      </c>
      <c r="J248" s="32" t="n">
        <v>3.04</v>
      </c>
      <c r="K248" s="32" t="n">
        <v>282210</v>
      </c>
      <c r="L248" s="31" t="n">
        <v>68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71.63</v>
      </c>
      <c r="P248" s="32" t="n">
        <v>23.56</v>
      </c>
      <c r="Q248" s="32" t="n">
        <v>488.94</v>
      </c>
      <c r="R248" s="31" t="inlineStr">
        <is>
          <t>Earnings / Momentum Support</t>
        </is>
      </c>
      <c r="S248" s="31" t="inlineStr">
        <is>
          <t>Nifty 50</t>
        </is>
      </c>
      <c r="T248" s="32" t="n">
        <v>-0.74</v>
      </c>
      <c r="U248" s="32" t="n">
        <v>6.28</v>
      </c>
      <c r="V248" s="32" t="n">
        <v>7.07</v>
      </c>
      <c r="W248" s="32" t="n">
        <v>15.47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Oligopoly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Yes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Negative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IF(B249=0,"",RANK(B249,$B$2:$B$284,0))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RITCO</t>
        </is>
      </c>
      <c r="D249" s="31" t="inlineStr">
        <is>
          <t>Ritco Logistics Ltd</t>
        </is>
      </c>
      <c r="E249" s="31" t="inlineStr">
        <is>
          <t>transportation</t>
        </is>
      </c>
      <c r="F249" s="31" t="inlineStr">
        <is>
          <t>miscellaneous</t>
        </is>
      </c>
      <c r="G249" s="31" t="inlineStr">
        <is>
          <t>smallcap</t>
        </is>
      </c>
      <c r="H249" s="32" t="n">
        <v>838.79</v>
      </c>
      <c r="I249" s="32" t="n">
        <v>295</v>
      </c>
      <c r="J249" s="32" t="n">
        <v>0.67</v>
      </c>
      <c r="K249" s="32" t="n">
        <v>124191</v>
      </c>
      <c r="L249" s="31" t="n">
        <v>44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62.03</v>
      </c>
      <c r="P249" s="32" t="n">
        <v>31.71</v>
      </c>
      <c r="Q249" s="32" t="n">
        <v>221.79</v>
      </c>
      <c r="R249" s="31" t="inlineStr">
        <is>
          <t>Volume Spike &amp; Near 52W High Breakout</t>
        </is>
      </c>
      <c r="S249" s="31" t="inlineStr">
        <is>
          <t>Nifty 50</t>
        </is>
      </c>
      <c r="T249" s="32" t="n">
        <v>-0.74</v>
      </c>
      <c r="U249" s="32" t="n">
        <v>5.67</v>
      </c>
      <c r="V249" s="32" t="n">
        <v>6.46</v>
      </c>
      <c r="W249" s="32" t="n">
        <v>8.970000000000001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Negative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More than 1.2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IF(B250=0,"",RANK(B250,$B$2:$B$284,0))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GODREJIND</t>
        </is>
      </c>
      <c r="D250" s="31" t="inlineStr">
        <is>
          <t>Godrej Industries Limited</t>
        </is>
      </c>
      <c r="E250" s="31" t="inlineStr">
        <is>
          <t>chemicals</t>
        </is>
      </c>
      <c r="F250" s="31" t="inlineStr">
        <is>
          <t>chemicals</t>
        </is>
      </c>
      <c r="G250" s="31" t="inlineStr">
        <is>
          <t>largecap</t>
        </is>
      </c>
      <c r="H250" s="32" t="n">
        <v>44101.23</v>
      </c>
      <c r="I250" s="32" t="n">
        <v>1317.6</v>
      </c>
      <c r="J250" s="32" t="n">
        <v>0.63</v>
      </c>
      <c r="K250" s="32" t="n">
        <v>48778</v>
      </c>
      <c r="L250" s="31" t="n">
        <v>57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63.22</v>
      </c>
      <c r="P250" s="32" t="n">
        <v>38.33</v>
      </c>
      <c r="Q250" s="32" t="n">
        <v>1098.29</v>
      </c>
      <c r="R250" s="31" t="inlineStr">
        <is>
          <t>Earnings / Momentum Support</t>
        </is>
      </c>
      <c r="S250" s="31" t="inlineStr">
        <is>
          <t>Nifty 50</t>
        </is>
      </c>
      <c r="T250" s="32" t="n">
        <v>-0.74</v>
      </c>
      <c r="U250" s="32" t="n">
        <v>18.19</v>
      </c>
      <c r="V250" s="32" t="n">
        <v>19.07</v>
      </c>
      <c r="W250" s="32" t="n">
        <v>12.09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Negative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More than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IF(B251=0,"",RANK(B251,$B$2:$B$284,0))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LANDMARK</t>
        </is>
      </c>
      <c r="D251" s="31" t="inlineStr">
        <is>
          <t>Landmark Cars Ltd</t>
        </is>
      </c>
      <c r="E251" s="31" t="inlineStr">
        <is>
          <t>consumer discretionary</t>
        </is>
      </c>
      <c r="F251" s="31" t="inlineStr">
        <is>
          <t>trading</t>
        </is>
      </c>
      <c r="G251" s="31" t="inlineStr">
        <is>
          <t>smallcap</t>
        </is>
      </c>
      <c r="H251" s="32" t="n">
        <v>2237.65</v>
      </c>
      <c r="I251" s="32" t="n">
        <v>540.75</v>
      </c>
      <c r="J251" s="32" t="n">
        <v>0.2</v>
      </c>
      <c r="K251" s="32" t="n">
        <v>180363</v>
      </c>
      <c r="L251" s="31" t="n">
        <v>55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65.91</v>
      </c>
      <c r="P251" s="32" t="n">
        <v>18.84</v>
      </c>
      <c r="Q251" s="32" t="n">
        <v>392.13</v>
      </c>
      <c r="R251" s="31" t="inlineStr">
        <is>
          <t>Earnings / Momentum Support</t>
        </is>
      </c>
      <c r="S251" s="31" t="inlineStr">
        <is>
          <t>Nifty 50</t>
        </is>
      </c>
      <c r="T251" s="32" t="n">
        <v>-0.74</v>
      </c>
      <c r="U251" s="32" t="n">
        <v>9.92</v>
      </c>
      <c r="V251" s="32" t="n">
        <v>10.74</v>
      </c>
      <c r="W251" s="32" t="n">
        <v>11.84</v>
      </c>
      <c r="X251" s="31" t="inlineStr">
        <is>
          <t>Growing Industry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No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More than 1.2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IF(B252=0,"",RANK(B252,$B$2:$B$284,0))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CONCOR</t>
        </is>
      </c>
      <c r="D252" s="33" t="inlineStr">
        <is>
          <t>Container Corporation Of India Limited</t>
        </is>
      </c>
      <c r="E252" s="31" t="inlineStr">
        <is>
          <t>transportation</t>
        </is>
      </c>
      <c r="F252" s="31" t="inlineStr">
        <is>
          <t>miscellaneous</t>
        </is>
      </c>
      <c r="G252" s="31" t="inlineStr">
        <is>
          <t>largecap</t>
        </is>
      </c>
      <c r="H252" s="32" t="n">
        <v>39996.37</v>
      </c>
      <c r="I252" s="32" t="n">
        <v>525.5</v>
      </c>
      <c r="J252" s="32" t="n">
        <v>0.07000000000000001</v>
      </c>
      <c r="K252" s="32" t="n">
        <v>1281585</v>
      </c>
      <c r="L252" s="31" t="n">
        <v>2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57.61</v>
      </c>
      <c r="P252" s="32" t="n">
        <v>12.34</v>
      </c>
      <c r="Q252" s="32" t="n">
        <v>440.72</v>
      </c>
      <c r="R252" s="31" t="inlineStr">
        <is>
          <t>Volume Spike &amp; Near 52W High Breakout</t>
        </is>
      </c>
      <c r="S252" s="31" t="inlineStr">
        <is>
          <t>Nifty 500</t>
        </is>
      </c>
      <c r="T252" s="32" t="n">
        <v>3.47</v>
      </c>
      <c r="U252" s="32" t="n">
        <v>-7.03</v>
      </c>
      <c r="V252" s="32" t="n">
        <v>-10.15</v>
      </c>
      <c r="W252" s="32" t="n">
        <v>-0.72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1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IF(B253=0,"",RANK(B253,$B$2:$B$284,0))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BERGEPAINT</t>
        </is>
      </c>
      <c r="D253" s="33" t="inlineStr">
        <is>
          <t>Berger Paints (i) Limited</t>
        </is>
      </c>
      <c r="E253" s="31" t="inlineStr">
        <is>
          <t>building materials</t>
        </is>
      </c>
      <c r="F253" s="31" t="inlineStr">
        <is>
          <t>paints / varnishes</t>
        </is>
      </c>
      <c r="G253" s="31" t="inlineStr">
        <is>
          <t>largecap</t>
        </is>
      </c>
      <c r="H253" s="32" t="n">
        <v>60789.56</v>
      </c>
      <c r="I253" s="32" t="n">
        <v>520.45</v>
      </c>
      <c r="J253" s="32" t="n">
        <v>-0.17</v>
      </c>
      <c r="K253" s="32" t="n">
        <v>241222</v>
      </c>
      <c r="L253" s="31" t="n">
        <v>11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54.84</v>
      </c>
      <c r="P253" s="32" t="n">
        <v>17.7</v>
      </c>
      <c r="Q253" s="32" t="n">
        <v>450.39</v>
      </c>
      <c r="R253" s="31" t="inlineStr">
        <is>
          <t>Earnings / Momentum Support</t>
        </is>
      </c>
      <c r="S253" s="31" t="inlineStr">
        <is>
          <t>Nifty Infra</t>
        </is>
      </c>
      <c r="T253" s="32" t="n">
        <v>3.78</v>
      </c>
      <c r="U253" s="32" t="n">
        <v>-6.1</v>
      </c>
      <c r="V253" s="32" t="n">
        <v>-9.52</v>
      </c>
      <c r="W253" s="32" t="n">
        <v>1.65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1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Between 1.5 to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IF(B254=0,"",RANK(B254,$B$2:$B$284,0))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SBC</t>
        </is>
      </c>
      <c r="D254" s="31" t="inlineStr">
        <is>
          <t>SBC Exports Ltd</t>
        </is>
      </c>
      <c r="E254" s="31" t="inlineStr">
        <is>
          <t>textiles</t>
        </is>
      </c>
      <c r="F254" s="31" t="inlineStr">
        <is>
          <t>textiles - products</t>
        </is>
      </c>
      <c r="G254" s="31" t="inlineStr">
        <is>
          <t>smallcap</t>
        </is>
      </c>
      <c r="H254" s="32" t="n">
        <v>2005.71</v>
      </c>
      <c r="I254" s="32" t="n">
        <v>42.01</v>
      </c>
      <c r="J254" s="32" t="n">
        <v>-0.26</v>
      </c>
      <c r="K254" s="32" t="n">
        <v>11939385</v>
      </c>
      <c r="L254" s="31" t="n">
        <v>84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71.92</v>
      </c>
      <c r="P254" s="32" t="n">
        <v>41.47</v>
      </c>
      <c r="Q254" s="32" t="n">
        <v>36.66</v>
      </c>
      <c r="R254" s="31" t="inlineStr">
        <is>
          <t>Near 52W High Breakout</t>
        </is>
      </c>
      <c r="S254" s="31" t="inlineStr">
        <is>
          <t>Nifty 50</t>
        </is>
      </c>
      <c r="T254" s="32" t="n">
        <v>-0.74</v>
      </c>
      <c r="U254" s="32" t="n">
        <v>133.13</v>
      </c>
      <c r="V254" s="32" t="n">
        <v>134.87</v>
      </c>
      <c r="W254" s="32" t="n">
        <v>23.87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Above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Negative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Between 1.5 to 2</t>
        </is>
      </c>
      <c r="BU254" s="31">
        <f>IF(BT254="Above 2",0,IF(BT254="Between 1.5 to 2",5,IF(BT254="Less than 1.5",10,0)))</f>
        <v/>
      </c>
      <c r="BV254" s="31" t="inlineStr">
        <is>
          <t>Negative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More than 1.2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IF(B255=0,"",RANK(B255,$B$2:$B$284,0))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HCG</t>
        </is>
      </c>
      <c r="D255" s="33" t="inlineStr">
        <is>
          <t>Healthcare Global Enterprises Limited</t>
        </is>
      </c>
      <c r="E255" s="31" t="inlineStr">
        <is>
          <t>healthcare</t>
        </is>
      </c>
      <c r="F255" s="31" t="inlineStr">
        <is>
          <t>healthcare</t>
        </is>
      </c>
      <c r="G255" s="31" t="inlineStr">
        <is>
          <t>midcap</t>
        </is>
      </c>
      <c r="H255" s="32" t="n">
        <v>9998.02</v>
      </c>
      <c r="I255" s="32" t="n">
        <v>675</v>
      </c>
      <c r="J255" s="32" t="n">
        <v>0.8</v>
      </c>
      <c r="K255" s="32" t="n">
        <v>88558</v>
      </c>
      <c r="L255" s="31" t="n">
        <v>32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61.34</v>
      </c>
      <c r="P255" s="32" t="n">
        <v>24.13</v>
      </c>
      <c r="Q255" s="32" t="n">
        <v>547.85</v>
      </c>
      <c r="R255" s="31" t="inlineStr">
        <is>
          <t>Earnings / Momentum Support</t>
        </is>
      </c>
      <c r="S255" s="31" t="inlineStr">
        <is>
          <t>Nifty Pharma</t>
        </is>
      </c>
      <c r="T255" s="32" t="n">
        <v>20.55</v>
      </c>
      <c r="U255" s="32" t="n">
        <v>9.66</v>
      </c>
      <c r="V255" s="32" t="n">
        <v>-9.029999999999999</v>
      </c>
      <c r="W255" s="32" t="n">
        <v>6.49</v>
      </c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Yes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Annuity, Lower One Time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More than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IF(B256=0,"",RANK(B256,$B$2:$B$284,0))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PERSISTENT</t>
        </is>
      </c>
      <c r="D256" s="31" t="inlineStr">
        <is>
          <t>Persistent Systems Limited</t>
        </is>
      </c>
      <c r="E256" s="31" t="inlineStr">
        <is>
          <t>i.t</t>
        </is>
      </c>
      <c r="F256" s="31" t="inlineStr">
        <is>
          <t>computers - software - large</t>
        </is>
      </c>
      <c r="G256" s="31" t="inlineStr">
        <is>
          <t>largecap</t>
        </is>
      </c>
      <c r="H256" s="32" t="n">
        <v>86994.39</v>
      </c>
      <c r="I256" s="32" t="n">
        <v>5549</v>
      </c>
      <c r="J256" s="32" t="n">
        <v>0.62</v>
      </c>
      <c r="K256" s="32" t="n">
        <v>1471276</v>
      </c>
      <c r="L256" s="31" t="n">
        <v>30</v>
      </c>
      <c r="M256" s="31" t="inlineStr">
        <is>
          <t>Outperforming</t>
        </is>
      </c>
      <c r="N256" s="32">
        <f>IF(M256="Underperforming",-5,IF(L256&gt;=95,15,IF(L256&gt;=90,10,IF(L256&gt;=80,5,0))))</f>
        <v/>
      </c>
      <c r="O256" s="32" t="n">
        <v>57.62</v>
      </c>
      <c r="P256" s="32" t="n">
        <v>9.390000000000001</v>
      </c>
      <c r="Q256" s="32" t="n">
        <v>4288.03</v>
      </c>
      <c r="R256" s="31" t="inlineStr">
        <is>
          <t>Earnings / Momentum Support</t>
        </is>
      </c>
      <c r="S256" s="31" t="inlineStr">
        <is>
          <t>Nifty IT</t>
        </is>
      </c>
      <c r="T256" s="32" t="n">
        <v>-11.37</v>
      </c>
      <c r="U256" s="32" t="n">
        <v>10.41</v>
      </c>
      <c r="V256" s="32" t="n">
        <v>24.57</v>
      </c>
      <c r="W256" s="32" t="n">
        <v>6.19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Headwind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Annuity, Lower One Time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1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Less than 1.5</t>
        </is>
      </c>
      <c r="BU256" s="31">
        <f>IF(BT256="Above 2",0,IF(BT256="Between 1.5 to 2",5,IF(BT256="Less than 1.5",10,0)))</f>
        <v/>
      </c>
      <c r="BV256" s="31" t="inlineStr">
        <is>
          <t>Between 50% to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IF(B257=0,"",RANK(B257,$B$2:$B$284,0))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3" t="inlineStr">
        <is>
          <t>PFIZER</t>
        </is>
      </c>
      <c r="D257" s="33" t="inlineStr">
        <is>
          <t>Pfizer Limited</t>
        </is>
      </c>
      <c r="E257" s="31" t="inlineStr">
        <is>
          <t>healthcare</t>
        </is>
      </c>
      <c r="F257" s="31" t="inlineStr">
        <is>
          <t>pharmaceuticals - multinational</t>
        </is>
      </c>
      <c r="G257" s="31" t="inlineStr">
        <is>
          <t>largecap</t>
        </is>
      </c>
      <c r="H257" s="32" t="n">
        <v>21964.86</v>
      </c>
      <c r="I257" s="32" t="n">
        <v>4826.8</v>
      </c>
      <c r="J257" s="32" t="n">
        <v>0.53</v>
      </c>
      <c r="K257" s="32" t="n">
        <v>26661</v>
      </c>
      <c r="L257" s="31" t="n">
        <v>6</v>
      </c>
      <c r="M257" s="31" t="inlineStr">
        <is>
          <t>Underperforming</t>
        </is>
      </c>
      <c r="N257" s="32">
        <f>IF(M257="Underperforming",-5,IF(L257&gt;=95,15,IF(L257&gt;=90,10,IF(L257&gt;=80,5,0))))</f>
        <v/>
      </c>
      <c r="O257" s="32" t="n">
        <v>55.13</v>
      </c>
      <c r="P257" s="32" t="n">
        <v>8.039999999999999</v>
      </c>
      <c r="Q257" s="32" t="n">
        <v>4148.29</v>
      </c>
      <c r="R257" s="31" t="inlineStr">
        <is>
          <t>Volume Spike / Accumulation</t>
        </is>
      </c>
      <c r="S257" s="31" t="inlineStr">
        <is>
          <t>Nifty Pharma</t>
        </is>
      </c>
      <c r="T257" s="32" t="n">
        <v>20.55</v>
      </c>
      <c r="U257" s="32" t="n">
        <v>-3.01</v>
      </c>
      <c r="V257" s="32" t="n">
        <v>-19.55</v>
      </c>
      <c r="W257" s="32" t="n">
        <v>0.43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Yes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Annuity, Lower One Time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1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IF(B258=0,"",RANK(B258,$B$2:$B$284,0))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IMFA</t>
        </is>
      </c>
      <c r="D258" s="31" t="inlineStr">
        <is>
          <t>Indian Metals &amp; Ferro Alloys Limited</t>
        </is>
      </c>
      <c r="E258" s="31" t="inlineStr">
        <is>
          <t>metals &amp; mining</t>
        </is>
      </c>
      <c r="F258" s="31" t="inlineStr">
        <is>
          <t>mining / minerals / metals</t>
        </is>
      </c>
      <c r="G258" s="31" t="inlineStr">
        <is>
          <t>midcap</t>
        </is>
      </c>
      <c r="H258" s="32" t="n">
        <v>7460.23</v>
      </c>
      <c r="I258" s="32" t="n">
        <v>1448.6</v>
      </c>
      <c r="J258" s="32" t="n">
        <v>4.77</v>
      </c>
      <c r="K258" s="32" t="n">
        <v>345925</v>
      </c>
      <c r="L258" s="31" t="n">
        <v>68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56.04</v>
      </c>
      <c r="P258" s="32" t="n">
        <v>17.26</v>
      </c>
      <c r="Q258" s="32" t="n">
        <v>1128.52</v>
      </c>
      <c r="R258" s="31" t="inlineStr">
        <is>
          <t>Earnings / Momentum Support</t>
        </is>
      </c>
      <c r="S258" s="31" t="inlineStr">
        <is>
          <t>Nifty Metal</t>
        </is>
      </c>
      <c r="T258" s="32" t="n">
        <v>34.95</v>
      </c>
      <c r="U258" s="32" t="n">
        <v>97.48</v>
      </c>
      <c r="V258" s="32" t="n">
        <v>46.34</v>
      </c>
      <c r="W258" s="32" t="n">
        <v>15.67</v>
      </c>
      <c r="X258" s="31" t="inlineStr">
        <is>
          <t>Cyclical in an Upturn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Cyclical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Volatile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0 to 20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Between 50% to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IF(B259=0,"",RANK(B259,$B$2:$B$284,0))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JINDRILL</t>
        </is>
      </c>
      <c r="D259" s="33" t="inlineStr">
        <is>
          <t>Jindal Drilling And Industries Limited</t>
        </is>
      </c>
      <c r="E259" s="31" t="inlineStr">
        <is>
          <t>energy</t>
        </is>
      </c>
      <c r="F259" s="31" t="inlineStr">
        <is>
          <t>oil drilling / allied services</t>
        </is>
      </c>
      <c r="G259" s="31" t="inlineStr">
        <is>
          <t>smallcap</t>
        </is>
      </c>
      <c r="H259" s="32" t="n">
        <v>1740.46</v>
      </c>
      <c r="I259" s="32" t="n">
        <v>616.2</v>
      </c>
      <c r="J259" s="32" t="n">
        <v>2.61</v>
      </c>
      <c r="K259" s="32" t="n">
        <v>834132</v>
      </c>
      <c r="L259" s="31" t="n">
        <v>16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56.84</v>
      </c>
      <c r="P259" s="32" t="n">
        <v>46.19</v>
      </c>
      <c r="Q259" s="32" t="n">
        <v>486.76</v>
      </c>
      <c r="R259" s="31" t="inlineStr">
        <is>
          <t>Earnings / Momentum Support</t>
        </is>
      </c>
      <c r="S259" s="31" t="inlineStr">
        <is>
          <t>Nifty Energy</t>
        </is>
      </c>
      <c r="T259" s="32" t="n">
        <v>9.869999999999999</v>
      </c>
      <c r="U259" s="32" t="n">
        <v>-1.23</v>
      </c>
      <c r="V259" s="32" t="n">
        <v>-10.1</v>
      </c>
      <c r="W259" s="32" t="n">
        <v>3.12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Oligopoly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Yes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Cyclical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Volatile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Above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Less than 50%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IF(B260=0,"",RANK(B260,$B$2:$B$284,0))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SANATHAN</t>
        </is>
      </c>
      <c r="D260" s="33" t="inlineStr">
        <is>
          <t>Sanathan Textiles Ltd</t>
        </is>
      </c>
      <c r="E260" s="31" t="inlineStr">
        <is>
          <t>textiles</t>
        </is>
      </c>
      <c r="F260" s="31" t="inlineStr">
        <is>
          <t>textiles - cotton/blended</t>
        </is>
      </c>
      <c r="G260" s="31" t="inlineStr">
        <is>
          <t>smallcap</t>
        </is>
      </c>
      <c r="H260" s="32" t="n">
        <v>3919.3</v>
      </c>
      <c r="I260" s="32" t="n">
        <v>475</v>
      </c>
      <c r="J260" s="32" t="n">
        <v>2.29</v>
      </c>
      <c r="K260" s="32" t="n">
        <v>74917</v>
      </c>
      <c r="L260" s="31" t="n">
        <v>4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61.65</v>
      </c>
      <c r="P260" s="32" t="n">
        <v>14.18</v>
      </c>
      <c r="Q260" s="32" t="n">
        <v>374.28</v>
      </c>
      <c r="R260" s="31" t="inlineStr">
        <is>
          <t>Earnings / Momentum Support</t>
        </is>
      </c>
      <c r="S260" s="31" t="inlineStr">
        <is>
          <t>Nifty 50</t>
        </is>
      </c>
      <c r="T260" s="32" t="n">
        <v>-0.74</v>
      </c>
      <c r="U260" s="32" t="n">
        <v>-5.88</v>
      </c>
      <c r="V260" s="32" t="n">
        <v>-5.17</v>
      </c>
      <c r="W260" s="32" t="n">
        <v>0.08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Less than 12%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Between 0.7 to 1.2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IF(B261=0,"",RANK(B261,$B$2:$B$284,0))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SETL</t>
        </is>
      </c>
      <c r="D261" s="31" t="inlineStr">
        <is>
          <t>Standard Enginnering Technology Ltd</t>
        </is>
      </c>
      <c r="E261" s="31" t="inlineStr">
        <is>
          <t>industrials</t>
        </is>
      </c>
      <c r="F261" s="31" t="inlineStr">
        <is>
          <t>engineering</t>
        </is>
      </c>
      <c r="G261" s="31" t="inlineStr">
        <is>
          <t>midcap</t>
        </is>
      </c>
      <c r="H261" s="32" t="n">
        <v>5391.26</v>
      </c>
      <c r="I261" s="32" t="n">
        <v>275.1</v>
      </c>
      <c r="J261" s="32" t="n">
        <v>1.79</v>
      </c>
      <c r="K261" s="32" t="n">
        <v>411038</v>
      </c>
      <c r="L261" s="31" t="n">
        <v>95</v>
      </c>
      <c r="M261" s="31" t="inlineStr">
        <is>
          <t>Outperforming</t>
        </is>
      </c>
      <c r="N261" s="32">
        <f>IF(M261="Underperforming",-5,IF(L261&gt;=95,15,IF(L261&gt;=90,10,IF(L261&gt;=80,5,0))))</f>
        <v/>
      </c>
      <c r="O261" s="32" t="n">
        <v>78.27</v>
      </c>
      <c r="P261" s="32" t="n">
        <v>39.26</v>
      </c>
      <c r="Q261" s="32" t="n">
        <v>216.69</v>
      </c>
      <c r="R261" s="31" t="inlineStr">
        <is>
          <t>Earnings / Momentum Support</t>
        </is>
      </c>
      <c r="S261" s="31" t="inlineStr">
        <is>
          <t>Nifty Infra</t>
        </is>
      </c>
      <c r="T261" s="32" t="n">
        <v>3.78</v>
      </c>
      <c r="U261" s="32" t="n">
        <v>57.63</v>
      </c>
      <c r="V261" s="32" t="n">
        <v>51.89</v>
      </c>
      <c r="W261" s="32" t="n">
        <v>36.47</v>
      </c>
      <c r="X261" s="31" t="inlineStr">
        <is>
          <t>Cyclical in an Upturn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20 to 40</t>
        </is>
      </c>
      <c r="AY261" s="31">
        <f>IF(AX261="Above 40",20,IF(AX261="20 to 40",10,IF(AX261="0 to 20",-5,0)))</f>
        <v/>
      </c>
      <c r="AZ261" s="31" t="inlineStr">
        <is>
          <t>Above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Negative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Less than 50%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IF(B262=0,"",RANK(B262,$B$2:$B$284,0))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LLOYDSME</t>
        </is>
      </c>
      <c r="D262" s="31" t="inlineStr">
        <is>
          <t>Lloyds Metals &amp; Energy Ltd</t>
        </is>
      </c>
      <c r="E262" s="31" t="inlineStr">
        <is>
          <t>metals &amp; mining</t>
        </is>
      </c>
      <c r="F262" s="31" t="inlineStr">
        <is>
          <t>mining / minerals / metals</t>
        </is>
      </c>
      <c r="G262" s="31" t="inlineStr">
        <is>
          <t>largecap</t>
        </is>
      </c>
      <c r="H262" s="32" t="n">
        <v>113431.38</v>
      </c>
      <c r="I262" s="32" t="n">
        <v>2047</v>
      </c>
      <c r="J262" s="32" t="n">
        <v>1.58</v>
      </c>
      <c r="K262" s="32" t="n">
        <v>874408</v>
      </c>
      <c r="L262" s="31" t="n">
        <v>59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78.12</v>
      </c>
      <c r="P262" s="32" t="n">
        <v>44.98</v>
      </c>
      <c r="Q262" s="32" t="n">
        <v>1695.81</v>
      </c>
      <c r="R262" s="31" t="inlineStr">
        <is>
          <t>Volume Spike &amp; Near 52W High Breakout</t>
        </is>
      </c>
      <c r="S262" s="31" t="inlineStr">
        <is>
          <t>Nifty Metal</t>
        </is>
      </c>
      <c r="T262" s="32" t="n">
        <v>34.95</v>
      </c>
      <c r="U262" s="32" t="n">
        <v>36.16</v>
      </c>
      <c r="V262" s="32" t="n">
        <v>0.9</v>
      </c>
      <c r="W262" s="32" t="n">
        <v>13.18</v>
      </c>
      <c r="X262" s="31" t="inlineStr">
        <is>
          <t>Cyclical in an Upturn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Cyclical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Volatile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Above 40</t>
        </is>
      </c>
      <c r="AY262" s="31">
        <f>IF(AX262="Above 40",20,IF(AX262="20 to 40",10,IF(AX262="0 to 20",-5,0)))</f>
        <v/>
      </c>
      <c r="AZ262" s="31" t="inlineStr">
        <is>
          <t>Above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Blue sky scenario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Less than 50% and Borrowings are increasing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More than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IF(B263=0,"",RANK(B263,$B$2:$B$284,0))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ENTERO</t>
        </is>
      </c>
      <c r="D263" s="33" t="inlineStr">
        <is>
          <t>Entero Healthcare Solutions Ltd</t>
        </is>
      </c>
      <c r="E263" s="31" t="inlineStr">
        <is>
          <t>healthcare</t>
        </is>
      </c>
      <c r="F263" s="31" t="inlineStr">
        <is>
          <t>trading</t>
        </is>
      </c>
      <c r="G263" s="31" t="inlineStr">
        <is>
          <t>midcap</t>
        </is>
      </c>
      <c r="H263" s="32" t="n">
        <v>5409.92</v>
      </c>
      <c r="I263" s="32" t="n">
        <v>1251</v>
      </c>
      <c r="J263" s="32" t="n">
        <v>0.64</v>
      </c>
      <c r="K263" s="32" t="n">
        <v>43592</v>
      </c>
      <c r="L263" s="31" t="n">
        <v>4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54.86</v>
      </c>
      <c r="P263" s="32" t="n">
        <v>18.36</v>
      </c>
      <c r="Q263" s="32" t="n">
        <v>1044.94</v>
      </c>
      <c r="R263" s="31" t="inlineStr">
        <is>
          <t>Earnings / Momentum Support</t>
        </is>
      </c>
      <c r="S263" s="31" t="inlineStr">
        <is>
          <t>Nifty Pharma</t>
        </is>
      </c>
      <c r="T263" s="32" t="n">
        <v>20.55</v>
      </c>
      <c r="U263" s="32" t="n">
        <v>-4.57</v>
      </c>
      <c r="V263" s="32" t="n">
        <v>-20.84</v>
      </c>
      <c r="W263" s="32" t="n">
        <v>-0.17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Annuity, Lower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Less than 50%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IF(B264=0,"",RANK(B264,$B$2:$B$284,0))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BALKRISIND</t>
        </is>
      </c>
      <c r="D264" s="33" t="inlineStr">
        <is>
          <t>Balkrishna Industries Limited</t>
        </is>
      </c>
      <c r="E264" s="31" t="inlineStr">
        <is>
          <t>auto</t>
        </is>
      </c>
      <c r="F264" s="31" t="inlineStr">
        <is>
          <t>tyres</t>
        </is>
      </c>
      <c r="G264" s="31" t="inlineStr">
        <is>
          <t>largecap</t>
        </is>
      </c>
      <c r="H264" s="32" t="n">
        <v>44596.34</v>
      </c>
      <c r="I264" s="32" t="n">
        <v>2473.5</v>
      </c>
      <c r="J264" s="32" t="n">
        <v>7.22</v>
      </c>
      <c r="K264" s="32" t="n">
        <v>3395027</v>
      </c>
      <c r="L264" s="31" t="n">
        <v>9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58.03</v>
      </c>
      <c r="P264" s="32" t="n">
        <v>13.78</v>
      </c>
      <c r="Q264" s="32" t="n">
        <v>1930.12</v>
      </c>
      <c r="R264" s="31" t="inlineStr">
        <is>
          <t>Volume Spike / Accumulation</t>
        </is>
      </c>
      <c r="S264" s="31" t="inlineStr">
        <is>
          <t>Nifty Auto</t>
        </is>
      </c>
      <c r="T264" s="32" t="n">
        <v>20.87</v>
      </c>
      <c r="U264" s="32" t="n">
        <v>-7.28</v>
      </c>
      <c r="V264" s="32" t="n">
        <v>-23.29</v>
      </c>
      <c r="W264" s="32" t="n">
        <v>1.14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Headwind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1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IF(B265=0,"",RANK(B265,$B$2:$B$284,0))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ARIHANT</t>
        </is>
      </c>
      <c r="D265" s="31" t="inlineStr">
        <is>
          <t>Arihant Foundations &amp; Housing Limited</t>
        </is>
      </c>
      <c r="E265" s="31" t="inlineStr">
        <is>
          <t>realty</t>
        </is>
      </c>
      <c r="F265" s="31" t="inlineStr">
        <is>
          <t>construction</t>
        </is>
      </c>
      <c r="G265" s="31" t="inlineStr">
        <is>
          <t>smallcap</t>
        </is>
      </c>
      <c r="H265" s="32" t="n">
        <v>1083.26</v>
      </c>
      <c r="I265" s="32" t="n">
        <v>1142.75</v>
      </c>
      <c r="J265" s="32" t="n">
        <v>5.13</v>
      </c>
      <c r="K265" s="32" t="n">
        <v>12707</v>
      </c>
      <c r="L265" s="31" t="n">
        <v>23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62.59</v>
      </c>
      <c r="P265" s="32" t="n">
        <v>22.96</v>
      </c>
      <c r="Q265" s="32" t="n">
        <v>688.7</v>
      </c>
      <c r="R265" s="31" t="inlineStr">
        <is>
          <t>Earnings / Momentum Support</t>
        </is>
      </c>
      <c r="S265" s="31" t="inlineStr">
        <is>
          <t>Nifty Realty</t>
        </is>
      </c>
      <c r="T265" s="32" t="n">
        <v>-5.17</v>
      </c>
      <c r="U265" s="32" t="n">
        <v>-1.58</v>
      </c>
      <c r="V265" s="32" t="n">
        <v>3.78</v>
      </c>
      <c r="W265" s="32" t="n">
        <v>4.83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1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More than 1.2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IF(B266=0,"",RANK(B266,$B$2:$B$284,0))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GAIL</t>
        </is>
      </c>
      <c r="D266" s="33" t="inlineStr">
        <is>
          <t>Gail (india) Limited</t>
        </is>
      </c>
      <c r="E266" s="31" t="inlineStr">
        <is>
          <t>energy</t>
        </is>
      </c>
      <c r="F266" s="31" t="inlineStr">
        <is>
          <t>miscellaneous</t>
        </is>
      </c>
      <c r="G266" s="31" t="inlineStr">
        <is>
          <t>largecap</t>
        </is>
      </c>
      <c r="H266" s="32" t="n">
        <v>114170.03</v>
      </c>
      <c r="I266" s="32" t="n">
        <v>181.44</v>
      </c>
      <c r="J266" s="32" t="n">
        <v>4.49</v>
      </c>
      <c r="K266" s="32" t="n">
        <v>38893443</v>
      </c>
      <c r="L266" s="31" t="n">
        <v>14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63.93</v>
      </c>
      <c r="P266" s="32" t="n">
        <v>5.56</v>
      </c>
      <c r="Q266" s="32" t="n">
        <v>155.51</v>
      </c>
      <c r="R266" s="31" t="inlineStr">
        <is>
          <t>Volume Spike &amp; Near 52W High Breakout</t>
        </is>
      </c>
      <c r="S266" s="31" t="inlineStr">
        <is>
          <t>Nifty Energy</t>
        </is>
      </c>
      <c r="T266" s="32" t="n">
        <v>9.869999999999999</v>
      </c>
      <c r="U266" s="32" t="n">
        <v>2.54</v>
      </c>
      <c r="V266" s="32" t="n">
        <v>-6.67</v>
      </c>
      <c r="W266" s="32" t="n">
        <v>2.67</v>
      </c>
      <c r="X266" s="31" t="inlineStr">
        <is>
          <t>Cyclical in an Upturn</t>
        </is>
      </c>
      <c r="Y266" s="31">
        <f>IF(X266="Growing Industry",10,IF(X266="Cyclical in an Upturn",5,0))</f>
        <v/>
      </c>
      <c r="Z266" s="31" t="inlineStr">
        <is>
          <t>Oligopoly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Yes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Cyclical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Volatile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IF(B267=0,"",RANK(B267,$B$2:$B$284,0))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SGIL</t>
        </is>
      </c>
      <c r="D267" s="31" t="inlineStr">
        <is>
          <t>Synergy Green Industries Ltd</t>
        </is>
      </c>
      <c r="E267" s="31" t="inlineStr">
        <is>
          <t>industrials</t>
        </is>
      </c>
      <c r="F267" s="31" t="inlineStr">
        <is>
          <t>castings &amp; forgings</t>
        </is>
      </c>
      <c r="G267" s="31" t="inlineStr">
        <is>
          <t>smallcap</t>
        </is>
      </c>
      <c r="H267" s="32" t="n">
        <v>926.67</v>
      </c>
      <c r="I267" s="32" t="n">
        <v>605</v>
      </c>
      <c r="J267" s="32" t="n">
        <v>1.48</v>
      </c>
      <c r="K267" s="32" t="n">
        <v>8758</v>
      </c>
      <c r="L267" s="31" t="n">
        <v>22</v>
      </c>
      <c r="M267" s="31" t="inlineStr">
        <is>
          <t>Outperforming</t>
        </is>
      </c>
      <c r="N267" s="32">
        <f>IF(M267="Underperforming",-5,IF(L267&gt;=95,15,IF(L267&gt;=90,10,IF(L267&gt;=80,5,0))))</f>
        <v/>
      </c>
      <c r="O267" s="32" t="n">
        <v>60.06</v>
      </c>
      <c r="P267" s="32" t="n">
        <v>19.11</v>
      </c>
      <c r="Q267" s="32" t="n">
        <v>459.29</v>
      </c>
      <c r="R267" s="31" t="inlineStr">
        <is>
          <t>Near 52W High Breakout</t>
        </is>
      </c>
      <c r="S267" s="31" t="inlineStr">
        <is>
          <t>Nifty Infra</t>
        </is>
      </c>
      <c r="T267" s="32" t="n">
        <v>3.78</v>
      </c>
      <c r="U267" s="32" t="n">
        <v>9.01</v>
      </c>
      <c r="V267" s="32" t="n">
        <v>5.04</v>
      </c>
      <c r="W267" s="32" t="n">
        <v>4.67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0 to 20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Blue sky scenario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Less than 50% and Borrowings are increasing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More than 1.2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IF(B268=0,"",RANK(B268,$B$2:$B$284,0))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BHARTIARTL</t>
        </is>
      </c>
      <c r="D268" s="31" t="inlineStr">
        <is>
          <t>Bharti Airtel Limited</t>
        </is>
      </c>
      <c r="E268" s="31" t="inlineStr">
        <is>
          <t>telecom-service</t>
        </is>
      </c>
      <c r="F268" s="31" t="inlineStr">
        <is>
          <t>telecommunications - service provider</t>
        </is>
      </c>
      <c r="G268" s="31" t="inlineStr">
        <is>
          <t>largecap</t>
        </is>
      </c>
      <c r="H268" s="32" t="n">
        <v>1221269.08</v>
      </c>
      <c r="I268" s="32" t="n">
        <v>1972</v>
      </c>
      <c r="J268" s="32" t="n">
        <v>0.78</v>
      </c>
      <c r="K268" s="32" t="n">
        <v>6529385</v>
      </c>
      <c r="L268" s="31" t="n">
        <v>13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58.42</v>
      </c>
      <c r="P268" s="32" t="n">
        <v>17.03</v>
      </c>
      <c r="Q268" s="32" t="n">
        <v>1717.4</v>
      </c>
      <c r="R268" s="31" t="inlineStr">
        <is>
          <t>Earnings / Momentum Support</t>
        </is>
      </c>
      <c r="S268" s="31" t="inlineStr">
        <is>
          <t>Nifty 50</t>
        </is>
      </c>
      <c r="T268" s="32" t="n">
        <v>-0.74</v>
      </c>
      <c r="U268" s="32" t="n">
        <v>5.97</v>
      </c>
      <c r="V268" s="32" t="n">
        <v>6.76</v>
      </c>
      <c r="W268" s="32" t="n">
        <v>2.47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Oligopoly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Yes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Less than 12%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Between 0.7 to 1.2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IF(B269=0,"",RANK(B269,$B$2:$B$284,0))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ONEPOINT</t>
        </is>
      </c>
      <c r="D269" s="31" t="inlineStr">
        <is>
          <t>One Point One Solutions Ltd</t>
        </is>
      </c>
      <c r="E269" s="31" t="inlineStr">
        <is>
          <t>i.t</t>
        </is>
      </c>
      <c r="F269" s="31" t="inlineStr">
        <is>
          <t>computers - software - medium / small</t>
        </is>
      </c>
      <c r="G269" s="31" t="inlineStr">
        <is>
          <t>smallcap</t>
        </is>
      </c>
      <c r="H269" s="32" t="n">
        <v>1500.84</v>
      </c>
      <c r="I269" s="32" t="n">
        <v>57.57</v>
      </c>
      <c r="J269" s="32" t="n">
        <v>0.86</v>
      </c>
      <c r="K269" s="32" t="n">
        <v>998061</v>
      </c>
      <c r="L269" s="31" t="n">
        <v>22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54.95</v>
      </c>
      <c r="P269" s="32" t="n">
        <v>20.54</v>
      </c>
      <c r="Q269" s="32" t="n">
        <v>48.14</v>
      </c>
      <c r="R269" s="31" t="inlineStr">
        <is>
          <t>Earnings / Momentum Support</t>
        </is>
      </c>
      <c r="S269" s="31" t="inlineStr">
        <is>
          <t>Nifty IT</t>
        </is>
      </c>
      <c r="T269" s="32" t="n">
        <v>-11.37</v>
      </c>
      <c r="U269" s="32" t="n">
        <v>17.19</v>
      </c>
      <c r="V269" s="32" t="n">
        <v>32.23</v>
      </c>
      <c r="W269" s="32" t="n">
        <v>4.65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No</t>
        </is>
      </c>
      <c r="AQ269" s="31">
        <f>IF(AP269="Yes",10,0)</f>
        <v/>
      </c>
      <c r="AR269" s="31" t="inlineStr">
        <is>
          <t>Higher Annuity, Lower One Time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1</t>
        </is>
      </c>
      <c r="BC269" s="31">
        <f>IF(BB269="Stage 2",20,IF(BB269="Stage 1",0,IF(BB269="Stage 3",5,IF(BB269="Stage 4",-5,0))))</f>
        <v/>
      </c>
      <c r="BD269" s="31" t="inlineStr">
        <is>
          <t>Negative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Between 12 to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IF(B270=0,"",RANK(B270,$B$2:$B$284,0))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KOTHARIPET</t>
        </is>
      </c>
      <c r="D270" s="33" t="inlineStr">
        <is>
          <t>Kothari Petrochemicals Limited</t>
        </is>
      </c>
      <c r="E270" s="31" t="inlineStr">
        <is>
          <t>energy</t>
        </is>
      </c>
      <c r="F270" s="31" t="inlineStr">
        <is>
          <t>petrochemicals</t>
        </is>
      </c>
      <c r="G270" s="31" t="inlineStr">
        <is>
          <t>smallcap</t>
        </is>
      </c>
      <c r="H270" s="32" t="n">
        <v>790.01</v>
      </c>
      <c r="I270" s="32" t="n">
        <v>139.86</v>
      </c>
      <c r="J270" s="32" t="n">
        <v>4.18</v>
      </c>
      <c r="K270" s="32" t="n">
        <v>203944</v>
      </c>
      <c r="L270" s="31" t="n">
        <v>1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59.97</v>
      </c>
      <c r="P270" s="32" t="n">
        <v>14.83</v>
      </c>
      <c r="Q270" s="32" t="n">
        <v>104.49</v>
      </c>
      <c r="R270" s="31" t="inlineStr">
        <is>
          <t>Earnings / Momentum Support</t>
        </is>
      </c>
      <c r="S270" s="31" t="inlineStr">
        <is>
          <t>Nifty Energy</t>
        </is>
      </c>
      <c r="T270" s="32" t="n">
        <v>9.869999999999999</v>
      </c>
      <c r="U270" s="32" t="n">
        <v>-15.87</v>
      </c>
      <c r="V270" s="32" t="n">
        <v>-23.43</v>
      </c>
      <c r="W270" s="32" t="n">
        <v>-1.69</v>
      </c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Oligopoly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Yes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Cyclical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Volatile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IF(B271=0,"",RANK(B271,$B$2:$B$284,0))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M&amp;M</t>
        </is>
      </c>
      <c r="D271" s="33" t="inlineStr">
        <is>
          <t>Mahindra &amp; Mahindra Limited</t>
        </is>
      </c>
      <c r="E271" s="31" t="inlineStr">
        <is>
          <t>auto</t>
        </is>
      </c>
      <c r="F271" s="31" t="inlineStr">
        <is>
          <t>automobiles - passenger cars</t>
        </is>
      </c>
      <c r="G271" s="31" t="inlineStr">
        <is>
          <t>largecap</t>
        </is>
      </c>
      <c r="H271" s="32" t="n">
        <v>408337.56</v>
      </c>
      <c r="I271" s="32" t="n">
        <v>3398.5</v>
      </c>
      <c r="J271" s="32" t="n">
        <v>3.5</v>
      </c>
      <c r="K271" s="32" t="n">
        <v>6131873</v>
      </c>
      <c r="L271" s="31" t="n">
        <v>20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59.1</v>
      </c>
      <c r="P271" s="32" t="n">
        <v>10.05</v>
      </c>
      <c r="Q271" s="32" t="n">
        <v>2856.08</v>
      </c>
      <c r="R271" s="31" t="inlineStr">
        <is>
          <t>Earnings / Momentum Support</t>
        </is>
      </c>
      <c r="S271" s="31" t="inlineStr">
        <is>
          <t>Nifty Auto</t>
        </is>
      </c>
      <c r="T271" s="32" t="n">
        <v>20.87</v>
      </c>
      <c r="U271" s="32" t="n">
        <v>5.78</v>
      </c>
      <c r="V271" s="32" t="n">
        <v>-12.48</v>
      </c>
      <c r="W271" s="32" t="n">
        <v>4.24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1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No</t>
        </is>
      </c>
      <c r="BS271" s="31">
        <f>IF(BR271="NO",5,0)</f>
        <v/>
      </c>
      <c r="BT271" s="31" t="inlineStr">
        <is>
          <t>Less than 1.5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More than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IF(B272=0,"",RANK(B272,$B$2:$B$284,0))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IGIL</t>
        </is>
      </c>
      <c r="D272" s="33" t="inlineStr">
        <is>
          <t>International Gemmological Institute (India) Ltd</t>
        </is>
      </c>
      <c r="E272" s="31" t="inlineStr">
        <is>
          <t>miscellaneous</t>
        </is>
      </c>
      <c r="F272" s="31" t="inlineStr">
        <is>
          <t>miscellaneous</t>
        </is>
      </c>
      <c r="G272" s="31" t="inlineStr">
        <is>
          <t>midcap</t>
        </is>
      </c>
      <c r="H272" s="32" t="n">
        <v>14928.96</v>
      </c>
      <c r="I272" s="32" t="n">
        <v>355</v>
      </c>
      <c r="J272" s="32" t="n">
        <v>2.76</v>
      </c>
      <c r="K272" s="32" t="n">
        <v>1416720</v>
      </c>
      <c r="L272" s="31" t="n">
        <v>4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51.72</v>
      </c>
      <c r="P272" s="32" t="n">
        <v>15.37</v>
      </c>
      <c r="Q272" s="32" t="n">
        <v>289.61</v>
      </c>
      <c r="R272" s="31" t="inlineStr">
        <is>
          <t>Earnings / Momentum Support</t>
        </is>
      </c>
      <c r="S272" s="31" t="inlineStr">
        <is>
          <t>Nifty 50</t>
        </is>
      </c>
      <c r="T272" s="32" t="n">
        <v>-0.74</v>
      </c>
      <c r="U272" s="32" t="n">
        <v>-3.56</v>
      </c>
      <c r="V272" s="32" t="n">
        <v>-2.84</v>
      </c>
      <c r="W272" s="32" t="n">
        <v>0.01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1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Less than 1.5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IF(B273=0,"",RANK(B273,$B$2:$B$284,0))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VRLLOG</t>
        </is>
      </c>
      <c r="D273" s="33" t="inlineStr">
        <is>
          <t>Vrl Logistics Limited</t>
        </is>
      </c>
      <c r="E273" s="31" t="inlineStr">
        <is>
          <t>transportation</t>
        </is>
      </c>
      <c r="F273" s="31" t="inlineStr">
        <is>
          <t>miscellaneous</t>
        </is>
      </c>
      <c r="G273" s="31" t="inlineStr">
        <is>
          <t>smallcap</t>
        </is>
      </c>
      <c r="H273" s="32" t="n">
        <v>4532.62</v>
      </c>
      <c r="I273" s="32" t="n">
        <v>265.65</v>
      </c>
      <c r="J273" s="32" t="n">
        <v>2.53</v>
      </c>
      <c r="K273" s="32" t="n">
        <v>483734</v>
      </c>
      <c r="L273" s="31" t="n">
        <v>2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57.34</v>
      </c>
      <c r="P273" s="32" t="n">
        <v>7.92</v>
      </c>
      <c r="Q273" s="32" t="n">
        <v>216.5</v>
      </c>
      <c r="R273" s="31" t="inlineStr">
        <is>
          <t>Volume Spike / Accumulation</t>
        </is>
      </c>
      <c r="S273" s="31" t="inlineStr">
        <is>
          <t>Nifty 50</t>
        </is>
      </c>
      <c r="T273" s="32" t="n">
        <v>-0.74</v>
      </c>
      <c r="U273" s="32" t="n">
        <v>-10.05</v>
      </c>
      <c r="V273" s="32" t="n">
        <v>-9.380000000000001</v>
      </c>
      <c r="W273" s="32" t="n">
        <v>-1.02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Headwind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1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Between 0.7 to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IF(B274=0,"",RANK(B274,$B$2:$B$284,0))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GANDHITUBE</t>
        </is>
      </c>
      <c r="D274" s="33" t="inlineStr">
        <is>
          <t>Gandhi Special Tubes Limited</t>
        </is>
      </c>
      <c r="E274" s="31" t="inlineStr">
        <is>
          <t>metals &amp; mining</t>
        </is>
      </c>
      <c r="F274" s="31" t="inlineStr">
        <is>
          <t>steel - medium / small</t>
        </is>
      </c>
      <c r="G274" s="31" t="inlineStr">
        <is>
          <t>smallcap</t>
        </is>
      </c>
      <c r="H274" s="32" t="n">
        <v>1062.33</v>
      </c>
      <c r="I274" s="32" t="n">
        <v>879</v>
      </c>
      <c r="J274" s="32" t="n">
        <v>0.55</v>
      </c>
      <c r="K274" s="32" t="n">
        <v>5099</v>
      </c>
      <c r="L274" s="31" t="n">
        <v>26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55.41</v>
      </c>
      <c r="P274" s="32" t="n">
        <v>12.32</v>
      </c>
      <c r="Q274" s="32" t="n">
        <v>779.27</v>
      </c>
      <c r="R274" s="31" t="inlineStr">
        <is>
          <t>Earnings / Momentum Support</t>
        </is>
      </c>
      <c r="S274" s="31" t="inlineStr">
        <is>
          <t>Nifty Metal</t>
        </is>
      </c>
      <c r="T274" s="32" t="n">
        <v>34.95</v>
      </c>
      <c r="U274" s="32" t="n">
        <v>18.75</v>
      </c>
      <c r="V274" s="32" t="n">
        <v>-12</v>
      </c>
      <c r="W274" s="32" t="n">
        <v>5.24</v>
      </c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Cyclical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Volatile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Less than 12%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Between 50% to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IF(B275=0,"",RANK(B275,$B$2:$B$284,0))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ULTRACEMCO</t>
        </is>
      </c>
      <c r="D275" s="33" t="inlineStr">
        <is>
          <t>Ultratech Cement Limited</t>
        </is>
      </c>
      <c r="E275" s="31" t="inlineStr">
        <is>
          <t>building materials</t>
        </is>
      </c>
      <c r="F275" s="31" t="inlineStr">
        <is>
          <t>cement - north india</t>
        </is>
      </c>
      <c r="G275" s="31" t="inlineStr">
        <is>
          <t>largecap</t>
        </is>
      </c>
      <c r="H275" s="32" t="n">
        <v>349106.41</v>
      </c>
      <c r="I275" s="32" t="n">
        <v>11903</v>
      </c>
      <c r="J275" s="32" t="n">
        <v>0.47</v>
      </c>
      <c r="K275" s="32" t="n">
        <v>390473</v>
      </c>
      <c r="L275" s="31" t="n">
        <v>5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56.92</v>
      </c>
      <c r="P275" s="32" t="n">
        <v>13.65</v>
      </c>
      <c r="Q275" s="32" t="n">
        <v>10260.67</v>
      </c>
      <c r="R275" s="31" t="inlineStr">
        <is>
          <t>Earnings / Momentum Support</t>
        </is>
      </c>
      <c r="S275" s="31" t="inlineStr">
        <is>
          <t>Nifty Infra</t>
        </is>
      </c>
      <c r="T275" s="32" t="n">
        <v>3.78</v>
      </c>
      <c r="U275" s="32" t="n">
        <v>-0.85</v>
      </c>
      <c r="V275" s="32" t="n">
        <v>-4.46</v>
      </c>
      <c r="W275" s="32" t="n">
        <v>0.11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Headwind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1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Between 12 to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IF(B276=0,"",RANK(B276,$B$2:$B$284,0))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MRPL</t>
        </is>
      </c>
      <c r="D276" s="31" t="inlineStr">
        <is>
          <t>Mangalore Refinery And Petrochemicals Limited</t>
        </is>
      </c>
      <c r="E276" s="31" t="inlineStr">
        <is>
          <t>energy</t>
        </is>
      </c>
      <c r="F276" s="31" t="inlineStr">
        <is>
          <t>refineries</t>
        </is>
      </c>
      <c r="G276" s="31" t="inlineStr">
        <is>
          <t>largecap</t>
        </is>
      </c>
      <c r="H276" s="32" t="n">
        <v>29240.36</v>
      </c>
      <c r="I276" s="32" t="n">
        <v>169.94</v>
      </c>
      <c r="J276" s="32" t="n">
        <v>1.86</v>
      </c>
      <c r="K276" s="32" t="n">
        <v>7629327</v>
      </c>
      <c r="L276" s="31" t="n">
        <v>15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53.56</v>
      </c>
      <c r="P276" s="32" t="n">
        <v>13.21</v>
      </c>
      <c r="Q276" s="32" t="n">
        <v>125.76</v>
      </c>
      <c r="R276" s="31" t="inlineStr">
        <is>
          <t>Earnings / Momentum Support</t>
        </is>
      </c>
      <c r="S276" s="31" t="inlineStr">
        <is>
          <t>Nifty Energy</t>
        </is>
      </c>
      <c r="T276" s="32" t="n">
        <v>9.869999999999999</v>
      </c>
      <c r="U276" s="32" t="n">
        <v>23.22</v>
      </c>
      <c r="V276" s="32" t="n">
        <v>12.16</v>
      </c>
      <c r="W276" s="32" t="n">
        <v>2.99</v>
      </c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Oligopoly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Yes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Cyclical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Volatile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Between 0.7 to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IF(B277=0,"",RANK(B277,$B$2:$B$284,0))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GULFOILLUB</t>
        </is>
      </c>
      <c r="D277" s="33" t="inlineStr">
        <is>
          <t>Gulf Oil Lubricants India Limited</t>
        </is>
      </c>
      <c r="E277" s="31" t="inlineStr">
        <is>
          <t>chemicals</t>
        </is>
      </c>
      <c r="F277" s="31" t="inlineStr">
        <is>
          <t>chemicals</t>
        </is>
      </c>
      <c r="G277" s="31" t="inlineStr">
        <is>
          <t>midcap</t>
        </is>
      </c>
      <c r="H277" s="32" t="n">
        <v>5220.55</v>
      </c>
      <c r="I277" s="32" t="n">
        <v>1069.3</v>
      </c>
      <c r="J277" s="32" t="n">
        <v>1.42</v>
      </c>
      <c r="K277" s="32" t="n">
        <v>91040</v>
      </c>
      <c r="L277" s="31" t="n">
        <v>6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54.77</v>
      </c>
      <c r="P277" s="32" t="n">
        <v>17.33</v>
      </c>
      <c r="Q277" s="32" t="n">
        <v>878.4</v>
      </c>
      <c r="R277" s="31" t="inlineStr">
        <is>
          <t>Earnings / Momentum Support</t>
        </is>
      </c>
      <c r="S277" s="31" t="inlineStr">
        <is>
          <t>Nifty Energy</t>
        </is>
      </c>
      <c r="T277" s="32" t="n">
        <v>9.869999999999999</v>
      </c>
      <c r="U277" s="32" t="n">
        <v>-9.43</v>
      </c>
      <c r="V277" s="32" t="n">
        <v>-17.57</v>
      </c>
      <c r="W277" s="32" t="n">
        <v>0.43</v>
      </c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1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Between 50% to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IF(B278=0,"",RANK(B278,$B$2:$B$284,0))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OIL</t>
        </is>
      </c>
      <c r="D278" s="33" t="inlineStr">
        <is>
          <t>Oil India Limited</t>
        </is>
      </c>
      <c r="E278" s="31" t="inlineStr">
        <is>
          <t>energy</t>
        </is>
      </c>
      <c r="F278" s="31" t="inlineStr">
        <is>
          <t>oil drilling / allied services</t>
        </is>
      </c>
      <c r="G278" s="31" t="inlineStr">
        <is>
          <t>largecap</t>
        </is>
      </c>
      <c r="H278" s="32" t="n">
        <v>74319.71000000001</v>
      </c>
      <c r="I278" s="32" t="n">
        <v>458.6</v>
      </c>
      <c r="J278" s="32" t="n">
        <v>0.37</v>
      </c>
      <c r="K278" s="32" t="n">
        <v>1629594</v>
      </c>
      <c r="L278" s="31" t="n">
        <v>9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52.16</v>
      </c>
      <c r="P278" s="32" t="n">
        <v>19.17</v>
      </c>
      <c r="Q278" s="32" t="n">
        <v>429.33</v>
      </c>
      <c r="R278" s="31" t="inlineStr">
        <is>
          <t>Earnings / Momentum Support</t>
        </is>
      </c>
      <c r="S278" s="31" t="inlineStr">
        <is>
          <t>Nifty Energy</t>
        </is>
      </c>
      <c r="T278" s="32" t="n">
        <v>9.869999999999999</v>
      </c>
      <c r="U278" s="32" t="n">
        <v>8.369999999999999</v>
      </c>
      <c r="V278" s="32" t="n">
        <v>-1.37</v>
      </c>
      <c r="W278" s="32" t="n">
        <v>1.11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Oligopoly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Yes</t>
        </is>
      </c>
      <c r="AC278" s="31">
        <f>IF(AB278="No",5,0)</f>
        <v/>
      </c>
      <c r="AD278" s="31" t="inlineStr">
        <is>
          <t>Headwind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1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Less than 1.5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IF(B279=0,"",RANK(B279,$B$2:$B$284,0))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KIMS</t>
        </is>
      </c>
      <c r="D279" s="33" t="inlineStr">
        <is>
          <t>Krishna Institute of Medical Sciences Ltd</t>
        </is>
      </c>
      <c r="E279" s="31" t="inlineStr">
        <is>
          <t>healthcare</t>
        </is>
      </c>
      <c r="F279" s="31" t="inlineStr">
        <is>
          <t>healthcare</t>
        </is>
      </c>
      <c r="G279" s="31" t="inlineStr">
        <is>
          <t>largecap</t>
        </is>
      </c>
      <c r="H279" s="32" t="n">
        <v>33894.52</v>
      </c>
      <c r="I279" s="32" t="n">
        <v>807.55</v>
      </c>
      <c r="J279" s="32" t="n">
        <v>0.07000000000000001</v>
      </c>
      <c r="K279" s="32" t="n">
        <v>393857</v>
      </c>
      <c r="L279" s="31" t="n">
        <v>31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60.72</v>
      </c>
      <c r="P279" s="32" t="n">
        <v>39.91</v>
      </c>
      <c r="Q279" s="32" t="n">
        <v>705.52</v>
      </c>
      <c r="R279" s="31" t="inlineStr">
        <is>
          <t>Earnings / Momentum Support</t>
        </is>
      </c>
      <c r="S279" s="31" t="inlineStr">
        <is>
          <t>Nifty Pharma</t>
        </is>
      </c>
      <c r="T279" s="32" t="n">
        <v>20.55</v>
      </c>
      <c r="U279" s="32" t="n">
        <v>6.38</v>
      </c>
      <c r="V279" s="32" t="n">
        <v>-11.75</v>
      </c>
      <c r="W279" s="32" t="n">
        <v>6.27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Yes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Annuity, Lower One Time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20 to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Between 50% to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More than 1.2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IF(B280=0,"",RANK(B280,$B$2:$B$284,0))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GUJALKALI</t>
        </is>
      </c>
      <c r="D280" s="31" t="inlineStr">
        <is>
          <t>Gujarat Alkalies And Chemicals Limited</t>
        </is>
      </c>
      <c r="E280" s="31" t="inlineStr">
        <is>
          <t>chemicals</t>
        </is>
      </c>
      <c r="F280" s="31" t="inlineStr">
        <is>
          <t>chemicals</t>
        </is>
      </c>
      <c r="G280" s="31" t="inlineStr">
        <is>
          <t>smallcap</t>
        </is>
      </c>
      <c r="H280" s="32" t="n">
        <v>4907.79</v>
      </c>
      <c r="I280" s="32" t="n">
        <v>670.8</v>
      </c>
      <c r="J280" s="32" t="n">
        <v>0.37</v>
      </c>
      <c r="K280" s="32" t="n">
        <v>67204</v>
      </c>
      <c r="L280" s="31" t="n">
        <v>28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57.67</v>
      </c>
      <c r="P280" s="32" t="n">
        <v>34.25</v>
      </c>
      <c r="Q280" s="32" t="n">
        <v>619.61</v>
      </c>
      <c r="R280" s="31" t="inlineStr">
        <is>
          <t>Volume Spike / Accumulation</t>
        </is>
      </c>
      <c r="S280" s="31" t="inlineStr">
        <is>
          <t>Nifty 50</t>
        </is>
      </c>
      <c r="T280" s="32" t="n">
        <v>-0.74</v>
      </c>
      <c r="U280" s="32" t="n">
        <v>20.1</v>
      </c>
      <c r="V280" s="32" t="n">
        <v>21</v>
      </c>
      <c r="W280" s="32" t="n">
        <v>5.46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Oligopoly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Shallow Cyclical (2 to 3 Years Growth)</t>
        </is>
      </c>
      <c r="AG280" s="31">
        <f>IF(AF280="Structural (10 Years Consistency)",10,IF(AF280="Shallow Cyclical (2 to 3 years growth)",5,0))</f>
        <v/>
      </c>
      <c r="AH280" s="31" t="inlineStr">
        <is>
          <t>Yes due to Product Mix change or Operating Leverage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Yes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Allocated capital in Non-core Areas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Above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3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Sideways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Overhead supply in last 2 years in last 2 years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More than 15%</t>
        </is>
      </c>
      <c r="CC280" s="31">
        <f>IF(CB280="More than 15%",-10,IF(CB280="Less than 15%",10,0))</f>
        <v/>
      </c>
      <c r="CD280" s="31" t="inlineStr">
        <is>
          <t>Yes Upto 10%</t>
        </is>
      </c>
      <c r="CE280" s="31">
        <f>IF(CD280="Yes, more than 10%",-10,IF(CD280="No",10,0))</f>
        <v/>
      </c>
    </row>
    <row r="281">
      <c r="A281" s="31">
        <f>IF(B281=0,"",RANK(B281,$B$2:$B$284,0))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GAEL</t>
        </is>
      </c>
      <c r="D281" s="31" t="inlineStr">
        <is>
          <t>Gujarat Ambuja Exports Limited</t>
        </is>
      </c>
      <c r="E281" s="31" t="inlineStr">
        <is>
          <t>fmcg</t>
        </is>
      </c>
      <c r="F281" s="31" t="inlineStr">
        <is>
          <t>miscellaneous</t>
        </is>
      </c>
      <c r="G281" s="31" t="inlineStr">
        <is>
          <t>midcap</t>
        </is>
      </c>
      <c r="H281" s="32" t="n">
        <v>7916.2</v>
      </c>
      <c r="I281" s="32" t="n">
        <v>172.11</v>
      </c>
      <c r="J281" s="32" t="n">
        <v>-0.28</v>
      </c>
      <c r="K281" s="32" t="n">
        <v>3376047</v>
      </c>
      <c r="L281" s="31" t="n">
        <v>61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63.78</v>
      </c>
      <c r="P281" s="32" t="n">
        <v>37.99</v>
      </c>
      <c r="Q281" s="32" t="n">
        <v>135.93</v>
      </c>
      <c r="R281" s="31" t="inlineStr">
        <is>
          <t>Volume Spike &amp; Near 52W High Breakout</t>
        </is>
      </c>
      <c r="S281" s="31" t="inlineStr">
        <is>
          <t>Nifty FMCG</t>
        </is>
      </c>
      <c r="T281" s="32" t="n">
        <v>-10</v>
      </c>
      <c r="U281" s="32" t="n">
        <v>63.54</v>
      </c>
      <c r="V281" s="32" t="n">
        <v>81.72</v>
      </c>
      <c r="W281" s="32" t="n">
        <v>13.62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Oligopoly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Shallow Cyclical (2 to 3 Years Growth)</t>
        </is>
      </c>
      <c r="AG281" s="31">
        <f>IF(AF281="Structural (10 Years Consistency)",10,IF(AF281="Shallow Cyclical (2 to 3 years growth)",5,0))</f>
        <v/>
      </c>
      <c r="AH281" s="31" t="inlineStr">
        <is>
          <t>Yes due to Product Mix change or Operating Leverage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Volatile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Allocated capital in Non-core Areas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Above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3</t>
        </is>
      </c>
      <c r="BC281" s="31">
        <f>IF(BB281="Stage 2",20,IF(BB281="Stage 1",0,IF(BB281="Stage 3",5,IF(BB281="Stage 4",-5,0))))</f>
        <v/>
      </c>
      <c r="BD281" s="31" t="inlineStr">
        <is>
          <t>Negative Trend</t>
        </is>
      </c>
      <c r="BE281" s="31">
        <f>IF(BD281="Positive Trend",20,IF(BD281="Negative Trend",-10,0))</f>
        <v/>
      </c>
      <c r="BF281" s="31" t="inlineStr">
        <is>
          <t>Sideways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Overhead supply in last 2 years in last 2 years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No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More than 15%</t>
        </is>
      </c>
      <c r="CC281" s="31">
        <f>IF(CB281="More than 15%",-10,IF(CB281="Less than 15%",10,0))</f>
        <v/>
      </c>
      <c r="CD281" s="31" t="inlineStr">
        <is>
          <t>Yes Upto 10%</t>
        </is>
      </c>
      <c r="CE281" s="31">
        <f>IF(CD281="Yes, more than 10%",-10,IF(CD281="No",10,0))</f>
        <v/>
      </c>
    </row>
    <row r="282">
      <c r="A282" s="31">
        <f>IF(B282=0,"",RANK(B282,$B$2:$B$284,0))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FLUOROCHEM</t>
        </is>
      </c>
      <c r="D282" s="31" t="inlineStr">
        <is>
          <t>Gujarat Fluorochemicals Ltd</t>
        </is>
      </c>
      <c r="E282" s="31" t="inlineStr">
        <is>
          <t>chemicals</t>
        </is>
      </c>
      <c r="F282" s="31" t="inlineStr">
        <is>
          <t>chemicals</t>
        </is>
      </c>
      <c r="G282" s="31" t="inlineStr">
        <is>
          <t>largecap</t>
        </is>
      </c>
      <c r="H282" s="32" t="n">
        <v>48279.08</v>
      </c>
      <c r="I282" s="32" t="n">
        <v>4366.8</v>
      </c>
      <c r="J282" s="32" t="n">
        <v>-0.64</v>
      </c>
      <c r="K282" s="32" t="n">
        <v>45331</v>
      </c>
      <c r="L282" s="31" t="n">
        <v>48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66.53</v>
      </c>
      <c r="P282" s="32" t="n">
        <v>23.9</v>
      </c>
      <c r="Q282" s="32" t="n">
        <v>3776.68</v>
      </c>
      <c r="R282" s="31" t="inlineStr">
        <is>
          <t>Near 52W High Breakout</t>
        </is>
      </c>
      <c r="S282" s="31" t="inlineStr">
        <is>
          <t>Nifty 50</t>
        </is>
      </c>
      <c r="T282" s="32" t="n">
        <v>-0.74</v>
      </c>
      <c r="U282" s="32" t="n">
        <v>25.03</v>
      </c>
      <c r="V282" s="32" t="n">
        <v>25.96</v>
      </c>
      <c r="W282" s="32" t="n">
        <v>10.05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Oligopoly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Shallow Cyclical (2 to 3 Years Growth)</t>
        </is>
      </c>
      <c r="AG282" s="31">
        <f>IF(AF282="Structural (10 Years Consistency)",10,IF(AF282="Shallow Cyclical (2 to 3 years growth)",5,0))</f>
        <v/>
      </c>
      <c r="AH282" s="31" t="inlineStr">
        <is>
          <t>Yes due to Product Mix change or Operating Leverage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Volatile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Allocated capital in Non-core Areas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Above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3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Sideways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Overhead supply in last 2 years in last 2 years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No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More than 15%</t>
        </is>
      </c>
      <c r="CC282" s="31">
        <f>IF(CB282="More than 15%",-10,IF(CB282="Less than 15%",10,0))</f>
        <v/>
      </c>
      <c r="CD282" s="31" t="inlineStr">
        <is>
          <t>Yes Upto 10%</t>
        </is>
      </c>
      <c r="CE282" s="31">
        <f>IF(CD282="Yes, more than 10%",-10,IF(CD282="No",10,0))</f>
        <v/>
      </c>
    </row>
    <row r="283">
      <c r="A283" s="31">
        <f>IF(B283=0,"",RANK(B283,$B$2:$B$284,0))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VHLTD</t>
        </is>
      </c>
      <c r="D283" s="31" t="inlineStr">
        <is>
          <t>Viceroy Hotels Ltd</t>
        </is>
      </c>
      <c r="E283" s="31" t="inlineStr">
        <is>
          <t>services</t>
        </is>
      </c>
      <c r="F283" s="31" t="inlineStr">
        <is>
          <t>hotels</t>
        </is>
      </c>
      <c r="G283" s="31" t="inlineStr">
        <is>
          <t>smallcap</t>
        </is>
      </c>
      <c r="H283" s="32" t="n">
        <v>879.13</v>
      </c>
      <c r="I283" s="32" t="n">
        <v>134.44</v>
      </c>
      <c r="J283" s="32" t="n">
        <v>3.34</v>
      </c>
      <c r="K283" s="32" t="n">
        <v>19927</v>
      </c>
      <c r="L283" s="31" t="n">
        <v>21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49.19</v>
      </c>
      <c r="P283" s="32" t="n">
        <v>13.92</v>
      </c>
      <c r="Q283" s="32" t="n">
        <v>111.3</v>
      </c>
      <c r="R283" s="31" t="inlineStr">
        <is>
          <t>Earnings / Momentum Support</t>
        </is>
      </c>
      <c r="S283" s="31" t="inlineStr">
        <is>
          <t>Nifty 50</t>
        </is>
      </c>
      <c r="T283" s="32" t="n">
        <v>-0.74</v>
      </c>
      <c r="U283" s="32" t="n">
        <v>27.94</v>
      </c>
      <c r="V283" s="32" t="n">
        <v>28.89</v>
      </c>
      <c r="W283" s="32" t="n">
        <v>4.55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Headwind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Below 45</t>
        </is>
      </c>
      <c r="BA283" s="31">
        <f>IF(AZ283="Between 50 to 75",10,IF(AZ283="Above 75",0,0))</f>
        <v/>
      </c>
      <c r="BB283" s="31" t="inlineStr">
        <is>
          <t>Stage 4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Less than 12%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IF(B284=0,"",RANK(B284,$B$2:$B$284,0))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MARUTI</t>
        </is>
      </c>
      <c r="D284" s="33" t="inlineStr">
        <is>
          <t>Maruti Suzuki India Limited</t>
        </is>
      </c>
      <c r="E284" s="31" t="inlineStr">
        <is>
          <t>auto</t>
        </is>
      </c>
      <c r="F284" s="31" t="inlineStr">
        <is>
          <t>automobiles - passenger cars</t>
        </is>
      </c>
      <c r="G284" s="31" t="inlineStr">
        <is>
          <t>largecap</t>
        </is>
      </c>
      <c r="H284" s="32" t="n">
        <v>446074.37</v>
      </c>
      <c r="I284" s="32" t="n">
        <v>14234</v>
      </c>
      <c r="J284" s="32" t="n">
        <v>0.32</v>
      </c>
      <c r="K284" s="32" t="n">
        <v>535417</v>
      </c>
      <c r="L284" s="31" t="n">
        <v>29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53.79</v>
      </c>
      <c r="P284" s="32" t="n">
        <v>11.94</v>
      </c>
      <c r="Q284" s="32" t="n">
        <v>12181.76</v>
      </c>
      <c r="R284" s="31" t="inlineStr">
        <is>
          <t>Earnings / Momentum Support</t>
        </is>
      </c>
      <c r="S284" s="31" t="inlineStr">
        <is>
          <t>Nifty Auto</t>
        </is>
      </c>
      <c r="T284" s="32" t="n">
        <v>20.87</v>
      </c>
      <c r="U284" s="32" t="n">
        <v>16</v>
      </c>
      <c r="V284" s="32" t="n">
        <v>-4.03</v>
      </c>
      <c r="W284" s="32" t="n">
        <v>6.04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Headwind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No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1</t>
        </is>
      </c>
      <c r="BC284" s="31">
        <f>IF(BB284="Stage 2",20,IF(BB284="Stage 1",0,IF(BB284="Stage 3",5,IF(BB284="Stage 4",-5,0))))</f>
        <v/>
      </c>
      <c r="BD284" s="31" t="inlineStr">
        <is>
          <t>Negative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Less than 12%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</sheetData>
  <autoFilter ref="A1:CE284"/>
  <conditionalFormatting sqref="B2:B28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8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8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8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8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8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8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8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8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8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8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8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8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8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8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8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8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8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8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8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8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8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8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8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8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8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8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8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8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8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8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8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84">
    <cfRule type="cellIs" priority="36" operator="equal" dxfId="3" stopIfTrue="1">
      <formula>"Underperforming"</formula>
    </cfRule>
  </conditionalFormatting>
  <conditionalFormatting sqref="N2:N284">
    <cfRule type="cellIs" priority="37" operator="equal" dxfId="3" stopIfTrue="1">
      <formula>-5</formula>
    </cfRule>
  </conditionalFormatting>
  <conditionalFormatting sqref="Q2:Q28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84" showDropDown="0" showInputMessage="0" showErrorMessage="0" allowBlank="1" type="list">
      <formula1>"Growing Industry,Stagnant Industry,Cyclical in an Upturn"</formula1>
    </dataValidation>
    <dataValidation sqref="Z2:Z28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84" showDropDown="0" showInputMessage="0" showErrorMessage="0" allowBlank="1" type="list">
      <formula1>"Yes,No"</formula1>
    </dataValidation>
    <dataValidation sqref="AD2:AD284" showDropDown="0" showInputMessage="0" showErrorMessage="0" allowBlank="1" type="list">
      <formula1>"Tailwind,Headwind"</formula1>
    </dataValidation>
    <dataValidation sqref="AF2:AF284" showDropDown="0" showInputMessage="0" showErrorMessage="0" allowBlank="1" type="list">
      <formula1>"Structural (10 Years Consistency),Shallow Cyclical (2 to 3 Years Growth),Cyclical"</formula1>
    </dataValidation>
    <dataValidation sqref="AH2:AH284" showDropDown="0" showInputMessage="0" showErrorMessage="0" allowBlank="1" type="list">
      <formula1>"Yes due to Product Mix change or Operating Leverage,Yes, these are peak margins,No"</formula1>
    </dataValidation>
    <dataValidation sqref="AJ2:AJ284" showDropDown="0" showInputMessage="0" showErrorMessage="0" allowBlank="1" type="list">
      <formula1>"Stable,Volatile"</formula1>
    </dataValidation>
    <dataValidation sqref="AL2:AL284" showDropDown="0" showInputMessage="0" showErrorMessage="0" allowBlank="1" type="list">
      <formula1>"Yes,No"</formula1>
    </dataValidation>
    <dataValidation sqref="AN2:AN284" showDropDown="0" showInputMessage="0" showErrorMessage="0" allowBlank="1" type="list">
      <formula1>"B2C,B2B,B2G"</formula1>
    </dataValidation>
    <dataValidation sqref="AP2:AP284" showDropDown="0" showInputMessage="0" showErrorMessage="0" allowBlank="1" type="list">
      <formula1>"Yes,No"</formula1>
    </dataValidation>
    <dataValidation sqref="AR2:AR284" showDropDown="0" showInputMessage="0" showErrorMessage="0" allowBlank="1" type="list">
      <formula1>"Fully Annuity,Higher Annuity, Lower One time,Higher One Time, Lower Annuity,Fully One Time"</formula1>
    </dataValidation>
    <dataValidation sqref="AT2:AT284" showDropDown="0" showInputMessage="0" showErrorMessage="0" allowBlank="1" type="list">
      <formula1>"Good,Allocated capital in Non-core Areas"</formula1>
    </dataValidation>
    <dataValidation sqref="AV2:AV284" showDropDown="0" showInputMessage="0" showErrorMessage="0" allowBlank="1" type="list">
      <formula1>"Yes for more than 2 years,Yes only for next 1 to 2 years,No"</formula1>
    </dataValidation>
    <dataValidation sqref="AX2:AX284" showDropDown="0" showInputMessage="0" showErrorMessage="0" allowBlank="1" type="list">
      <formula1>"Above 40,20 to 40,0 to 20"</formula1>
    </dataValidation>
    <dataValidation sqref="AZ2:AZ284" showDropDown="0" showInputMessage="0" showErrorMessage="0" allowBlank="1" type="list">
      <formula1>"Between 50 to 75,Above 75,Below 45"</formula1>
    </dataValidation>
    <dataValidation sqref="BB2:BB284" showDropDown="0" showInputMessage="0" showErrorMessage="0" allowBlank="1" type="list">
      <formula1>"Stage 1,Stage 2,Stage 3,Stage 4"</formula1>
    </dataValidation>
    <dataValidation sqref="BD2:BD284" showDropDown="0" showInputMessage="0" showErrorMessage="0" allowBlank="1" type="list">
      <formula1>"Positive Trend,Negative Trend"</formula1>
    </dataValidation>
    <dataValidation sqref="BF2:BF284" showDropDown="0" showInputMessage="0" showErrorMessage="0" allowBlank="1" type="list">
      <formula1>"Uptrend,Sideways,Downtrend"</formula1>
    </dataValidation>
    <dataValidation sqref="BH2:BH284" showDropDown="0" showInputMessage="0" showErrorMessage="0" allowBlank="1" type="list">
      <formula1>"Uptrend,Sideways,Downtrend"</formula1>
    </dataValidation>
    <dataValidation sqref="BJ2:BJ28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84" showDropDown="0" showInputMessage="0" showErrorMessage="0" allowBlank="1" type="list">
      <formula1>"Yes,No"</formula1>
    </dataValidation>
    <dataValidation sqref="BN2:BN284" showDropDown="0" showInputMessage="0" showErrorMessage="0" allowBlank="1" type="list">
      <formula1>"More than 20%,Between 12 to 20%,Less than 12%"</formula1>
    </dataValidation>
    <dataValidation sqref="BP2:BP284" showDropDown="0" showInputMessage="0" showErrorMessage="0" allowBlank="1" type="list">
      <formula1>"Yes,No"</formula1>
    </dataValidation>
    <dataValidation sqref="BR2:BR284" showDropDown="0" showInputMessage="0" showErrorMessage="0" allowBlank="1" type="list">
      <formula1>"Yes,No"</formula1>
    </dataValidation>
    <dataValidation sqref="BT2:BT284" showDropDown="0" showInputMessage="0" showErrorMessage="0" allowBlank="1" type="list">
      <formula1>"Above 2,Between 1.5 to 2,Less than 1.5"</formula1>
    </dataValidation>
    <dataValidation sqref="BV2:BV284" showDropDown="0" showInputMessage="0" showErrorMessage="0" allowBlank="1" type="list">
      <formula1>"Above 70%,Between 50% to 70%,Less than 50%,Less than 50% and Borrowings are increasing,Negative"</formula1>
    </dataValidation>
    <dataValidation sqref="BX2:BX284" showDropDown="0" showInputMessage="0" showErrorMessage="0" allowBlank="1" type="list">
      <formula1>"More than 1.2,Between 0.7 to 1.2,Less than 0.7"</formula1>
    </dataValidation>
    <dataValidation sqref="BZ2:BZ284" showDropDown="0" showInputMessage="0" showErrorMessage="0" allowBlank="1" type="list">
      <formula1>"Yes,No"</formula1>
    </dataValidation>
    <dataValidation sqref="CB2:CB284" showDropDown="0" showInputMessage="0" showErrorMessage="0" allowBlank="1" type="list">
      <formula1>"More than 15%,Less than 15%"</formula1>
    </dataValidation>
    <dataValidation sqref="CD2:CD28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IF(B2=0,"",RANK(B2,$B$2:$B$44,0))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10996.26</v>
      </c>
      <c r="I2" s="32" t="n">
        <v>284.75</v>
      </c>
      <c r="J2" s="32" t="n">
        <v>-2.06</v>
      </c>
      <c r="K2" s="32" t="n">
        <v>4082393</v>
      </c>
      <c r="L2" s="31" t="n">
        <v>59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68.04000000000001</v>
      </c>
      <c r="P2" s="32" t="n">
        <v>47.09</v>
      </c>
      <c r="Q2" s="32" t="n">
        <v>233.01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2.96</v>
      </c>
      <c r="U2" s="32" t="n">
        <v>64.14</v>
      </c>
      <c r="V2" s="32" t="n">
        <v>59.42</v>
      </c>
      <c r="W2" s="32" t="n">
        <v>12.93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IF(B3=0,"",RANK(B3,$B$2:$B$44,0))</f>
        <v/>
      </c>
      <c r="B3" s="32">
        <f>SUM(N3,Y3,AA3,AC3,AE3,AG3,AI3,AK3,AM3,AO3,AQ3,AS3,AU3,AW3,AY3,BA3,BC3,BE3,BG3,BI3,BK3,BM3,BO3,BQ3,BS3,BU3,BW3,BY3,CA3)</f>
        <v/>
      </c>
      <c r="C3" s="31" t="inlineStr">
        <is>
          <t>TFCILTD</t>
        </is>
      </c>
      <c r="D3" s="31" t="inlineStr">
        <is>
          <t>Tourism Finance Corporation Of India Limited</t>
        </is>
      </c>
      <c r="E3" s="31" t="inlineStr">
        <is>
          <t>financials</t>
        </is>
      </c>
      <c r="F3" s="31" t="inlineStr">
        <is>
          <t>finance - term-lending institutions</t>
        </is>
      </c>
      <c r="G3" s="31" t="inlineStr">
        <is>
          <t>smallcap</t>
        </is>
      </c>
      <c r="H3" s="32" t="n">
        <v>4676.07</v>
      </c>
      <c r="I3" s="32" t="n">
        <v>101.87</v>
      </c>
      <c r="J3" s="32" t="n">
        <v>0.86</v>
      </c>
      <c r="K3" s="32" t="n">
        <v>14183735</v>
      </c>
      <c r="L3" s="31" t="n">
        <v>82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73.88</v>
      </c>
      <c r="P3" s="32" t="n">
        <v>44.76</v>
      </c>
      <c r="Q3" s="32" t="n">
        <v>78.31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2.96</v>
      </c>
      <c r="U3" s="32" t="n">
        <v>80.73</v>
      </c>
      <c r="V3" s="32" t="n">
        <v>75.53</v>
      </c>
      <c r="W3" s="32" t="n">
        <v>22.14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IF(B4=0,"",RANK(B4,$B$2:$B$44,0))</f>
        <v/>
      </c>
      <c r="B4" s="32">
        <f>SUM(N4,Y4,AA4,AC4,AE4,AG4,AI4,AK4,AM4,AO4,AQ4,AS4,AU4,AW4,AY4,BA4,BC4,BE4,BG4,BI4,BK4,BM4,BO4,BQ4,BS4,BU4,BW4,BY4,CA4)</f>
        <v/>
      </c>
      <c r="C4" s="31" t="inlineStr">
        <is>
          <t>ESAFSFB</t>
        </is>
      </c>
      <c r="D4" s="31" t="inlineStr">
        <is>
          <t>ESAF Small Finance Bank Ltd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smallcap</t>
        </is>
      </c>
      <c r="H4" s="32" t="n">
        <v>1882.19</v>
      </c>
      <c r="I4" s="32" t="n">
        <v>42.05</v>
      </c>
      <c r="J4" s="32" t="n">
        <v>15.27</v>
      </c>
      <c r="K4" s="32" t="n">
        <v>43578126</v>
      </c>
      <c r="L4" s="31" t="n">
        <v>80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73.15000000000001</v>
      </c>
      <c r="P4" s="32" t="n">
        <v>26.8</v>
      </c>
      <c r="Q4" s="32" t="n">
        <v>31.78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2.96</v>
      </c>
      <c r="U4" s="32" t="n">
        <v>34.73</v>
      </c>
      <c r="V4" s="32" t="n">
        <v>30.86</v>
      </c>
      <c r="W4" s="32" t="n">
        <v>20.56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IF(B5=0,"",RANK(B5,$B$2:$B$44,0))</f>
        <v/>
      </c>
      <c r="B5" s="32">
        <f>SUM(N5,Y5,AA5,AC5,AE5,AG5,AI5,AK5,AM5,AO5,AQ5,AS5,AU5,AW5,AY5,BA5,BC5,BE5,BG5,BI5,BK5,BM5,BO5,BQ5,BS5,BU5,BW5,BY5,CA5)</f>
        <v/>
      </c>
      <c r="C5" s="31" t="inlineStr">
        <is>
          <t>UJJIVANSFB</t>
        </is>
      </c>
      <c r="D5" s="31" t="inlineStr">
        <is>
          <t>Ujjivan Small Finance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13680.98</v>
      </c>
      <c r="I5" s="32" t="n">
        <v>71.75</v>
      </c>
      <c r="J5" s="32" t="n">
        <v>2.02</v>
      </c>
      <c r="K5" s="32" t="n">
        <v>18164025</v>
      </c>
      <c r="L5" s="31" t="n">
        <v>71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69.14</v>
      </c>
      <c r="P5" s="32" t="n">
        <v>31.4</v>
      </c>
      <c r="Q5" s="32" t="n">
        <v>56.53</v>
      </c>
      <c r="R5" s="31" t="inlineStr">
        <is>
          <t>Near 52W High Breakout</t>
        </is>
      </c>
      <c r="S5" s="31" t="inlineStr">
        <is>
          <t>Nifty Bank</t>
        </is>
      </c>
      <c r="T5" s="32" t="n">
        <v>2.96</v>
      </c>
      <c r="U5" s="32" t="n">
        <v>66.01000000000001</v>
      </c>
      <c r="V5" s="32" t="n">
        <v>61.24</v>
      </c>
      <c r="W5" s="32" t="n">
        <v>16.75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IF(B6=0,"",RANK(B6,$B$2:$B$44,0))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TMB</t>
        </is>
      </c>
      <c r="D6" s="31" t="inlineStr">
        <is>
          <t>Tamilnad Mercantile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13487.59</v>
      </c>
      <c r="I6" s="32" t="n">
        <v>851.7</v>
      </c>
      <c r="J6" s="32" t="n">
        <v>-0.01</v>
      </c>
      <c r="K6" s="32" t="n">
        <v>477866</v>
      </c>
      <c r="L6" s="31" t="n">
        <v>74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71.68000000000001</v>
      </c>
      <c r="P6" s="32" t="n">
        <v>37.3</v>
      </c>
      <c r="Q6" s="32" t="n">
        <v>678.26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2.96</v>
      </c>
      <c r="U6" s="32" t="n">
        <v>95</v>
      </c>
      <c r="V6" s="32" t="n">
        <v>89.39</v>
      </c>
      <c r="W6" s="32" t="n">
        <v>18.02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IF(B7=0,"",RANK(B7,$B$2:$B$44,0))</f>
        <v/>
      </c>
      <c r="B7" s="32">
        <f>SUM(N7,Y7,AA7,AC7,AE7,AG7,AI7,AK7,AM7,AO7,AQ7,AS7,AU7,AW7,AY7,BA7,BC7,BE7,BG7,BI7,BK7,BM7,BO7,BQ7,BS7,BU7,BW7,BY7,CA7)</f>
        <v/>
      </c>
      <c r="C7" s="31" t="inlineStr">
        <is>
          <t>RBLBANK</t>
        </is>
      </c>
      <c r="D7" s="31" t="inlineStr">
        <is>
          <t>Rbl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58543.24</v>
      </c>
      <c r="I7" s="32" t="n">
        <v>373.55</v>
      </c>
      <c r="J7" s="32" t="n">
        <v>-1.19</v>
      </c>
      <c r="K7" s="32" t="n">
        <v>5846031</v>
      </c>
      <c r="L7" s="31" t="n">
        <v>51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61.93</v>
      </c>
      <c r="P7" s="32" t="n">
        <v>37.85</v>
      </c>
      <c r="Q7" s="32" t="n">
        <v>316.58</v>
      </c>
      <c r="R7" s="31" t="inlineStr">
        <is>
          <t>Near 52W High Breakout</t>
        </is>
      </c>
      <c r="S7" s="31" t="inlineStr">
        <is>
          <t>Nifty Bank</t>
        </is>
      </c>
      <c r="T7" s="32" t="n">
        <v>2.96</v>
      </c>
      <c r="U7" s="32" t="n">
        <v>45.45</v>
      </c>
      <c r="V7" s="32" t="n">
        <v>41.27</v>
      </c>
      <c r="W7" s="32" t="n">
        <v>10.86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IF(B8=0,"",RANK(B8,$B$2:$B$44,0))</f>
        <v/>
      </c>
      <c r="B8" s="32">
        <f>SUM(N8,Y8,AA8,AC8,AE8,AG8,AI8,AK8,AM8,AO8,AQ8,AS8,AU8,AW8,AY8,BA8,BC8,BE8,BG8,BI8,BK8,BM8,BO8,BQ8,BS8,BU8,BW8,BY8,CA8)</f>
        <v/>
      </c>
      <c r="C8" s="31" t="inlineStr">
        <is>
          <t>CREDITACC</t>
        </is>
      </c>
      <c r="D8" s="31" t="inlineStr">
        <is>
          <t>CreditAccess Grameen Ltd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largecap</t>
        </is>
      </c>
      <c r="H8" s="32" t="n">
        <v>25865.89</v>
      </c>
      <c r="I8" s="32" t="n">
        <v>1592.8</v>
      </c>
      <c r="J8" s="32" t="n">
        <v>-1.31</v>
      </c>
      <c r="K8" s="32" t="n">
        <v>552038</v>
      </c>
      <c r="L8" s="31" t="n">
        <v>48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64.98999999999999</v>
      </c>
      <c r="P8" s="32" t="n">
        <v>45.51</v>
      </c>
      <c r="Q8" s="32" t="n">
        <v>1266.27</v>
      </c>
      <c r="R8" s="31" t="inlineStr">
        <is>
          <t>Volume Spike &amp; Near 52W High Breakout</t>
        </is>
      </c>
      <c r="S8" s="31" t="inlineStr">
        <is>
          <t>Nifty Bank</t>
        </is>
      </c>
      <c r="T8" s="32" t="n">
        <v>2.96</v>
      </c>
      <c r="U8" s="32" t="n">
        <v>27.8</v>
      </c>
      <c r="V8" s="32" t="n">
        <v>24.13</v>
      </c>
      <c r="W8" s="32" t="n">
        <v>10.16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IF(B9=0,"",RANK(B9,$B$2:$B$44,0))</f>
        <v/>
      </c>
      <c r="B9" s="32">
        <f>SUM(N9,Y9,AA9,AC9,AE9,AG9,AI9,AK9,AM9,AO9,AQ9,AS9,AU9,AW9,AY9,BA9,BC9,BE9,BG9,BI9,BK9,BM9,BO9,BQ9,BS9,BU9,BW9,BY9,CA9)</f>
        <v/>
      </c>
      <c r="C9" s="31" t="inlineStr">
        <is>
          <t>JSFB</t>
        </is>
      </c>
      <c r="D9" s="31" t="inlineStr">
        <is>
          <t>Jana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midcap</t>
        </is>
      </c>
      <c r="H9" s="32" t="n">
        <v>5934.39</v>
      </c>
      <c r="I9" s="32" t="n">
        <v>575</v>
      </c>
      <c r="J9" s="32" t="n">
        <v>2.07</v>
      </c>
      <c r="K9" s="32" t="n">
        <v>840188</v>
      </c>
      <c r="L9" s="31" t="n">
        <v>53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71.65000000000001</v>
      </c>
      <c r="P9" s="32" t="n">
        <v>34.68</v>
      </c>
      <c r="Q9" s="32" t="n">
        <v>446.09</v>
      </c>
      <c r="R9" s="31" t="inlineStr">
        <is>
          <t>Near 52W High Breakout</t>
        </is>
      </c>
      <c r="S9" s="31" t="inlineStr">
        <is>
          <t>Nifty Bank</t>
        </is>
      </c>
      <c r="T9" s="32" t="n">
        <v>2.96</v>
      </c>
      <c r="U9" s="32" t="n">
        <v>24.97</v>
      </c>
      <c r="V9" s="32" t="n">
        <v>21.38</v>
      </c>
      <c r="W9" s="32" t="n">
        <v>11.26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IF(B10=0,"",RANK(B10,$B$2:$B$44,0))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RANEHOLDIN</t>
        </is>
      </c>
      <c r="D10" s="31" t="inlineStr">
        <is>
          <t>Rane Holdings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2489.48</v>
      </c>
      <c r="I10" s="32" t="n">
        <v>1740</v>
      </c>
      <c r="J10" s="32" t="n">
        <v>-0.21</v>
      </c>
      <c r="K10" s="32" t="n">
        <v>12967</v>
      </c>
      <c r="L10" s="31" t="n">
        <v>71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68.34999999999999</v>
      </c>
      <c r="P10" s="32" t="n">
        <v>38.32</v>
      </c>
      <c r="Q10" s="32" t="n">
        <v>1399.7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2.96</v>
      </c>
      <c r="U10" s="32" t="n">
        <v>15.73</v>
      </c>
      <c r="V10" s="32" t="n">
        <v>12.4</v>
      </c>
      <c r="W10" s="32" t="n">
        <v>16.75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IF(B11=0,"",RANK(B11,$B$2:$B$44,0))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MUTHOOTMF</t>
        </is>
      </c>
      <c r="D11" s="31" t="inlineStr">
        <is>
          <t>Muthoot Microfin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4209.11</v>
      </c>
      <c r="I11" s="32" t="n">
        <v>245.46</v>
      </c>
      <c r="J11" s="32" t="n">
        <v>-0.58</v>
      </c>
      <c r="K11" s="32" t="n">
        <v>571401</v>
      </c>
      <c r="L11" s="31" t="n">
        <v>66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73.01000000000001</v>
      </c>
      <c r="P11" s="32" t="n">
        <v>41.4</v>
      </c>
      <c r="Q11" s="32" t="n">
        <v>192.09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2.96</v>
      </c>
      <c r="U11" s="32" t="n">
        <v>55.95</v>
      </c>
      <c r="V11" s="32" t="n">
        <v>51.46</v>
      </c>
      <c r="W11" s="32" t="n">
        <v>15.22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less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IF(B12=0,"",RANK(B12,$B$2:$B$44,0))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STARHEALTH</t>
        </is>
      </c>
      <c r="D12" s="31" t="inlineStr">
        <is>
          <t>Star Health &amp; Allied Insurance Company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largecap</t>
        </is>
      </c>
      <c r="H12" s="32" t="n">
        <v>35926.73</v>
      </c>
      <c r="I12" s="32" t="n">
        <v>601</v>
      </c>
      <c r="J12" s="32" t="n">
        <v>-1.54</v>
      </c>
      <c r="K12" s="32" t="n">
        <v>604664</v>
      </c>
      <c r="L12" s="31" t="n">
        <v>46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69.48</v>
      </c>
      <c r="P12" s="32" t="n">
        <v>47.62</v>
      </c>
      <c r="Q12" s="32" t="n">
        <v>499.65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2.96</v>
      </c>
      <c r="U12" s="32" t="n">
        <v>37.99</v>
      </c>
      <c r="V12" s="32" t="n">
        <v>34.02</v>
      </c>
      <c r="W12" s="32" t="n">
        <v>9.81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IF(B13=0,"",RANK(B13,$B$2:$B$44,0))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ABCAPITAL</t>
        </is>
      </c>
      <c r="D13" s="31" t="inlineStr">
        <is>
          <t>Aditya Birla Capital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largecap</t>
        </is>
      </c>
      <c r="H13" s="32" t="n">
        <v>107741.4</v>
      </c>
      <c r="I13" s="32" t="n">
        <v>404.3</v>
      </c>
      <c r="J13" s="32" t="n">
        <v>2.6</v>
      </c>
      <c r="K13" s="32" t="n">
        <v>10948192</v>
      </c>
      <c r="L13" s="31" t="n">
        <v>62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67.65000000000001</v>
      </c>
      <c r="P13" s="32" t="n">
        <v>25.29</v>
      </c>
      <c r="Q13" s="32" t="n">
        <v>338.83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2.96</v>
      </c>
      <c r="U13" s="32" t="n">
        <v>60.79</v>
      </c>
      <c r="V13" s="32" t="n">
        <v>56.16</v>
      </c>
      <c r="W13" s="32" t="n">
        <v>13.89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IF(B14=0,"",RANK(B14,$B$2:$B$44,0))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FEDERALBNK</t>
        </is>
      </c>
      <c r="D14" s="31" t="inlineStr">
        <is>
          <t>The Federal Bank 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largecap</t>
        </is>
      </c>
      <c r="H14" s="32" t="n">
        <v>87405.60000000001</v>
      </c>
      <c r="I14" s="32" t="n">
        <v>358.85</v>
      </c>
      <c r="J14" s="32" t="n">
        <v>1.33</v>
      </c>
      <c r="K14" s="32" t="n">
        <v>3907564</v>
      </c>
      <c r="L14" s="31" t="n">
        <v>76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78.81999999999999</v>
      </c>
      <c r="P14" s="32" t="n">
        <v>31.16</v>
      </c>
      <c r="Q14" s="32" t="n">
        <v>314.31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2.96</v>
      </c>
      <c r="U14" s="32" t="n">
        <v>84.14</v>
      </c>
      <c r="V14" s="32" t="n">
        <v>78.84</v>
      </c>
      <c r="W14" s="32" t="n">
        <v>18.53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Above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IF(B15=0,"",RANK(B15,$B$2:$B$44,0))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ANANDRATHI</t>
        </is>
      </c>
      <c r="D15" s="31" t="inlineStr">
        <is>
          <t>Anand Rathi Wealth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33860.8</v>
      </c>
      <c r="I15" s="32" t="n">
        <v>2075</v>
      </c>
      <c r="J15" s="32" t="n">
        <v>1.75</v>
      </c>
      <c r="K15" s="32" t="n">
        <v>153717</v>
      </c>
      <c r="L15" s="31" t="n">
        <v>60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71.03</v>
      </c>
      <c r="P15" s="32" t="n">
        <v>49.58</v>
      </c>
      <c r="Q15" s="32" t="n">
        <v>1835.11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2.96</v>
      </c>
      <c r="U15" s="32" t="n">
        <v>60.07</v>
      </c>
      <c r="V15" s="32" t="n">
        <v>55.47</v>
      </c>
      <c r="W15" s="32" t="n">
        <v>13.57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IF(B16=0,"",RANK(B16,$B$2:$B$44,0))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NIVABUPA</t>
        </is>
      </c>
      <c r="D16" s="31" t="inlineStr">
        <is>
          <t>Niva Bupa Health Insurance Company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midcap</t>
        </is>
      </c>
      <c r="H16" s="32" t="n">
        <v>15888.62</v>
      </c>
      <c r="I16" s="32" t="n">
        <v>87.01000000000001</v>
      </c>
      <c r="J16" s="32" t="n">
        <v>1.27</v>
      </c>
      <c r="K16" s="32" t="n">
        <v>18636639</v>
      </c>
      <c r="L16" s="31" t="n">
        <v>17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61.94</v>
      </c>
      <c r="P16" s="32" t="n">
        <v>33.46</v>
      </c>
      <c r="Q16" s="32" t="n">
        <v>72.39</v>
      </c>
      <c r="R16" s="31" t="inlineStr">
        <is>
          <t>Volume Spike &amp; Near 52W High Breakout</t>
        </is>
      </c>
      <c r="S16" s="31" t="inlineStr">
        <is>
          <t>Nifty Bank</t>
        </is>
      </c>
      <c r="T16" s="32" t="n">
        <v>2.96</v>
      </c>
      <c r="U16" s="32" t="n">
        <v>6.75</v>
      </c>
      <c r="V16" s="32" t="n">
        <v>3.68</v>
      </c>
      <c r="W16" s="32" t="n">
        <v>3.72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IF(B17=0,"",RANK(B17,$B$2:$B$44,0))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MONARCH</t>
        </is>
      </c>
      <c r="D17" s="31" t="inlineStr">
        <is>
          <t>Monarch Networth Capital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3062.89</v>
      </c>
      <c r="I17" s="32" t="n">
        <v>390.15</v>
      </c>
      <c r="J17" s="32" t="n">
        <v>1.02</v>
      </c>
      <c r="K17" s="32" t="n">
        <v>58054</v>
      </c>
      <c r="L17" s="31" t="n">
        <v>47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72.06</v>
      </c>
      <c r="P17" s="32" t="n">
        <v>25.84</v>
      </c>
      <c r="Q17" s="32" t="n">
        <v>316.13</v>
      </c>
      <c r="R17" s="31" t="inlineStr">
        <is>
          <t>Volume Spike &amp; Near 52W High Breakout</t>
        </is>
      </c>
      <c r="S17" s="31" t="inlineStr">
        <is>
          <t>Nifty Bank</t>
        </is>
      </c>
      <c r="T17" s="32" t="n">
        <v>2.96</v>
      </c>
      <c r="U17" s="32" t="n">
        <v>13</v>
      </c>
      <c r="V17" s="32" t="n">
        <v>9.75</v>
      </c>
      <c r="W17" s="32" t="n">
        <v>9.949999999999999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IF(B18=0,"",RANK(B18,$B$2:$B$44,0))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MANAPPURAM</t>
        </is>
      </c>
      <c r="D18" s="31" t="inlineStr">
        <is>
          <t>Manappuram Finance Limited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34600.45</v>
      </c>
      <c r="I18" s="32" t="n">
        <v>371.9</v>
      </c>
      <c r="J18" s="32" t="n">
        <v>0.96</v>
      </c>
      <c r="K18" s="32" t="n">
        <v>6553842</v>
      </c>
      <c r="L18" s="31" t="n">
        <v>64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69.25</v>
      </c>
      <c r="P18" s="32" t="n">
        <v>17.04</v>
      </c>
      <c r="Q18" s="32" t="n">
        <v>301.67</v>
      </c>
      <c r="R18" s="31" t="inlineStr">
        <is>
          <t>Volume Spike &amp; Near 52W High Breakout</t>
        </is>
      </c>
      <c r="S18" s="31" t="inlineStr">
        <is>
          <t>Nifty Bank</t>
        </is>
      </c>
      <c r="T18" s="32" t="n">
        <v>2.96</v>
      </c>
      <c r="U18" s="32" t="n">
        <v>51.06</v>
      </c>
      <c r="V18" s="32" t="n">
        <v>46.72</v>
      </c>
      <c r="W18" s="32" t="n">
        <v>14.31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IF(B19=0,"",RANK(B19,$B$2:$B$44,0))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KARURVYSYA</t>
        </is>
      </c>
      <c r="D19" s="31" t="inlineStr">
        <is>
          <t>Karur Vysya Bank Limited</t>
        </is>
      </c>
      <c r="E19" s="31" t="inlineStr">
        <is>
          <t>bank</t>
        </is>
      </c>
      <c r="F19" s="31" t="inlineStr">
        <is>
          <t>banks - private sector</t>
        </is>
      </c>
      <c r="G19" s="31" t="inlineStr">
        <is>
          <t>largecap</t>
        </is>
      </c>
      <c r="H19" s="32" t="n">
        <v>32895.74</v>
      </c>
      <c r="I19" s="32" t="n">
        <v>342.45</v>
      </c>
      <c r="J19" s="32" t="n">
        <v>0.63</v>
      </c>
      <c r="K19" s="32" t="n">
        <v>2390168</v>
      </c>
      <c r="L19" s="31" t="n">
        <v>62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70.36</v>
      </c>
      <c r="P19" s="32" t="n">
        <v>17.16</v>
      </c>
      <c r="Q19" s="32" t="n">
        <v>281.41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2.96</v>
      </c>
      <c r="U19" s="32" t="n">
        <v>61.07</v>
      </c>
      <c r="V19" s="32" t="n">
        <v>56.43</v>
      </c>
      <c r="W19" s="32" t="n">
        <v>13.78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IF(B20=0,"",RANK(B20,$B$2:$B$44,0))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M&amp;MFIN</t>
        </is>
      </c>
      <c r="D20" s="31" t="inlineStr">
        <is>
          <t>Mahindra &amp; Mahindra Financial Services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54563.32</v>
      </c>
      <c r="I20" s="32" t="n">
        <v>385.75</v>
      </c>
      <c r="J20" s="32" t="n">
        <v>-1.73</v>
      </c>
      <c r="K20" s="32" t="n">
        <v>3831202</v>
      </c>
      <c r="L20" s="31" t="n">
        <v>66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66.38</v>
      </c>
      <c r="P20" s="32" t="n">
        <v>17.89</v>
      </c>
      <c r="Q20" s="32" t="n">
        <v>295.89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2.96</v>
      </c>
      <c r="U20" s="32" t="n">
        <v>52.58</v>
      </c>
      <c r="V20" s="32" t="n">
        <v>48.19</v>
      </c>
      <c r="W20" s="32" t="n">
        <v>15.25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IF(B21=0,"",RANK(B21,$B$2:$B$44,0))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CHOICEIN</t>
        </is>
      </c>
      <c r="D21" s="31" t="inlineStr">
        <is>
          <t>Choice International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midcap</t>
        </is>
      </c>
      <c r="H21" s="32" t="n">
        <v>17793.16</v>
      </c>
      <c r="I21" s="32" t="n">
        <v>822.95</v>
      </c>
      <c r="J21" s="32" t="n">
        <v>3.04</v>
      </c>
      <c r="K21" s="32" t="n">
        <v>1390441</v>
      </c>
      <c r="L21" s="31" t="n">
        <v>38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61.82</v>
      </c>
      <c r="P21" s="32" t="n">
        <v>21.3</v>
      </c>
      <c r="Q21" s="32" t="n">
        <v>686.08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2.96</v>
      </c>
      <c r="U21" s="32" t="n">
        <v>9.32</v>
      </c>
      <c r="V21" s="32" t="n">
        <v>6.17</v>
      </c>
      <c r="W21" s="32" t="n">
        <v>7.47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IF(B22=0,"",RANK(B22,$B$2:$B$44,0))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CONSOFINVT</t>
        </is>
      </c>
      <c r="D22" s="31" t="inlineStr">
        <is>
          <t>Consolidated Finvest &amp; Holdings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964.62</v>
      </c>
      <c r="I22" s="32" t="n">
        <v>300</v>
      </c>
      <c r="J22" s="32" t="n">
        <v>0.54</v>
      </c>
      <c r="K22" s="32" t="n">
        <v>11161</v>
      </c>
      <c r="L22" s="31" t="n">
        <v>72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78.18000000000001</v>
      </c>
      <c r="P22" s="32" t="n">
        <v>29.62</v>
      </c>
      <c r="Q22" s="32" t="n">
        <v>234.11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2.96</v>
      </c>
      <c r="U22" s="32" t="n">
        <v>52.13</v>
      </c>
      <c r="V22" s="32" t="n">
        <v>47.75</v>
      </c>
      <c r="W22" s="32" t="n">
        <v>17.1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Above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IF(B23=0,"",RANK(B23,$B$2:$B$44,0))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SHAREINDIA</t>
        </is>
      </c>
      <c r="D23" s="31" t="inlineStr">
        <is>
          <t>Share India Securities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smallcap</t>
        </is>
      </c>
      <c r="H23" s="32" t="n">
        <v>3756.58</v>
      </c>
      <c r="I23" s="32" t="n">
        <v>178.48</v>
      </c>
      <c r="J23" s="32" t="n">
        <v>3.97</v>
      </c>
      <c r="K23" s="32" t="n">
        <v>629740</v>
      </c>
      <c r="L23" s="31" t="n">
        <v>44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62.16</v>
      </c>
      <c r="P23" s="32" t="n">
        <v>18.33</v>
      </c>
      <c r="Q23" s="32" t="n">
        <v>140.53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2.96</v>
      </c>
      <c r="U23" s="32" t="n">
        <v>5.63</v>
      </c>
      <c r="V23" s="32" t="n">
        <v>2.59</v>
      </c>
      <c r="W23" s="32" t="n">
        <v>8.84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more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IF(B24=0,"",RANK(B24,$B$2:$B$44,0))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STEL</t>
        </is>
      </c>
      <c r="D24" s="31" t="inlineStr">
        <is>
          <t>Stel Holdings Limited</t>
        </is>
      </c>
      <c r="E24" s="31" t="inlineStr">
        <is>
          <t>financials</t>
        </is>
      </c>
      <c r="F24" s="31" t="inlineStr">
        <is>
          <t>finance &amp; investments</t>
        </is>
      </c>
      <c r="G24" s="31" t="inlineStr">
        <is>
          <t>smallcap</t>
        </is>
      </c>
      <c r="H24" s="32" t="n">
        <v>1033.6</v>
      </c>
      <c r="I24" s="32" t="n">
        <v>573</v>
      </c>
      <c r="J24" s="32" t="n">
        <v>2.31</v>
      </c>
      <c r="K24" s="32" t="n">
        <v>2844</v>
      </c>
      <c r="L24" s="31" t="n">
        <v>56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61.76</v>
      </c>
      <c r="P24" s="32" t="n">
        <v>17.71</v>
      </c>
      <c r="Q24" s="32" t="n">
        <v>437.96</v>
      </c>
      <c r="R24" s="31" t="inlineStr">
        <is>
          <t>Near 52W High Breakout</t>
        </is>
      </c>
      <c r="S24" s="31" t="inlineStr">
        <is>
          <t>Nifty Bank</t>
        </is>
      </c>
      <c r="T24" s="32" t="n">
        <v>2.96</v>
      </c>
      <c r="U24" s="32" t="n">
        <v>40.29</v>
      </c>
      <c r="V24" s="32" t="n">
        <v>36.26</v>
      </c>
      <c r="W24" s="32" t="n">
        <v>11.98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IF(B25=0,"",RANK(B25,$B$2:$B$44,0))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PRUDENT</t>
        </is>
      </c>
      <c r="D25" s="31" t="inlineStr">
        <is>
          <t>Prudent Corporate Advisory Services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midcap</t>
        </is>
      </c>
      <c r="H25" s="32" t="n">
        <v>13338.75</v>
      </c>
      <c r="I25" s="32" t="n">
        <v>3283.2</v>
      </c>
      <c r="J25" s="32" t="n">
        <v>1.92</v>
      </c>
      <c r="K25" s="32" t="n">
        <v>50525</v>
      </c>
      <c r="L25" s="31" t="n">
        <v>42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69.03</v>
      </c>
      <c r="P25" s="32" t="n">
        <v>27.59</v>
      </c>
      <c r="Q25" s="32" t="n">
        <v>2607.17</v>
      </c>
      <c r="R25" s="31" t="inlineStr">
        <is>
          <t>Volume Spike &amp; Near 52W High Breakout</t>
        </is>
      </c>
      <c r="S25" s="31" t="inlineStr">
        <is>
          <t>Nifty Bank</t>
        </is>
      </c>
      <c r="T25" s="32" t="n">
        <v>2.96</v>
      </c>
      <c r="U25" s="32" t="n">
        <v>23.49</v>
      </c>
      <c r="V25" s="32" t="n">
        <v>19.94</v>
      </c>
      <c r="W25" s="32" t="n">
        <v>8.19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IF(B26=0,"",RANK(B26,$B$2:$B$44,0))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IIFL</t>
        </is>
      </c>
      <c r="D26" s="31" t="inlineStr">
        <is>
          <t>IIFL Finance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25853.38</v>
      </c>
      <c r="I26" s="32" t="n">
        <v>608.65</v>
      </c>
      <c r="J26" s="32" t="n">
        <v>0.13</v>
      </c>
      <c r="K26" s="32" t="n">
        <v>2476256</v>
      </c>
      <c r="L26" s="31" t="n">
        <v>67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68.51000000000001</v>
      </c>
      <c r="P26" s="32" t="n">
        <v>18.63</v>
      </c>
      <c r="Q26" s="32" t="n">
        <v>476.37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2.96</v>
      </c>
      <c r="U26" s="32" t="n">
        <v>43.53</v>
      </c>
      <c r="V26" s="32" t="n">
        <v>39.4</v>
      </c>
      <c r="W26" s="32" t="n">
        <v>15.3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IF(B27=0,"",RANK(B27,$B$2:$B$44,0))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PAISALO</t>
        </is>
      </c>
      <c r="D27" s="31" t="inlineStr">
        <is>
          <t>Paisalo Digital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midcap</t>
        </is>
      </c>
      <c r="H27" s="32" t="n">
        <v>6463.06</v>
      </c>
      <c r="I27" s="32" t="n">
        <v>70.81999999999999</v>
      </c>
      <c r="J27" s="32" t="n">
        <v>-0.34</v>
      </c>
      <c r="K27" s="32" t="n">
        <v>4433575</v>
      </c>
      <c r="L27" s="31" t="n">
        <v>90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78.23999999999999</v>
      </c>
      <c r="P27" s="32" t="n">
        <v>56.9</v>
      </c>
      <c r="Q27" s="32" t="n">
        <v>57.41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2.96</v>
      </c>
      <c r="U27" s="32" t="n">
        <v>134.12</v>
      </c>
      <c r="V27" s="32" t="n">
        <v>127.38</v>
      </c>
      <c r="W27" s="32" t="n">
        <v>29.19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between 2.5x to 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Above 40</t>
        </is>
      </c>
      <c r="BM27" s="31">
        <f>IF(BL27="Above 40",20,IF(BL27="20 to 40",10,IF(BL27="0 to 20",-5,0)))</f>
        <v/>
      </c>
      <c r="BN27" s="31" t="inlineStr">
        <is>
          <t>Above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Negative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IF(B28=0,"",RANK(B28,$B$2:$B$44,0))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SMCGLOBAL</t>
        </is>
      </c>
      <c r="D28" s="31" t="inlineStr">
        <is>
          <t>SMC Global Securities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smallcap</t>
        </is>
      </c>
      <c r="H28" s="32" t="n">
        <v>1707.45</v>
      </c>
      <c r="I28" s="32" t="n">
        <v>80.59999999999999</v>
      </c>
      <c r="J28" s="32" t="n">
        <v>-1.15</v>
      </c>
      <c r="K28" s="32" t="n">
        <v>1308019</v>
      </c>
      <c r="L28" s="31" t="n">
        <v>41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59.94</v>
      </c>
      <c r="P28" s="32" t="n">
        <v>16.51</v>
      </c>
      <c r="Q28" s="32" t="n">
        <v>60.9</v>
      </c>
      <c r="R28" s="31" t="inlineStr">
        <is>
          <t>Volume Spike / Accumulation</t>
        </is>
      </c>
      <c r="S28" s="31" t="inlineStr">
        <is>
          <t>Nifty Bank</t>
        </is>
      </c>
      <c r="T28" s="32" t="n">
        <v>2.96</v>
      </c>
      <c r="U28" s="32" t="n">
        <v>16.73</v>
      </c>
      <c r="V28" s="32" t="n">
        <v>13.37</v>
      </c>
      <c r="W28" s="32" t="n">
        <v>7.89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Headwind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less than 2.5x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IF(B29=0,"",RANK(B29,$B$2:$B$44,0))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TVSHLTD</t>
        </is>
      </c>
      <c r="D29" s="31" t="inlineStr">
        <is>
          <t>TVS Holdings Ltd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largecap</t>
        </is>
      </c>
      <c r="H29" s="32" t="n">
        <v>30321.85</v>
      </c>
      <c r="I29" s="32" t="n">
        <v>14701</v>
      </c>
      <c r="J29" s="32" t="n">
        <v>-1.91</v>
      </c>
      <c r="K29" s="32" t="n">
        <v>10940</v>
      </c>
      <c r="L29" s="31" t="n">
        <v>30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59.18</v>
      </c>
      <c r="P29" s="32" t="n">
        <v>14.01</v>
      </c>
      <c r="Q29" s="32" t="n">
        <v>12030.58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2.96</v>
      </c>
      <c r="U29" s="32" t="n">
        <v>27.02</v>
      </c>
      <c r="V29" s="32" t="n">
        <v>23.36</v>
      </c>
      <c r="W29" s="32" t="n">
        <v>6.21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Blue sky scenario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IF(B30=0,"",RANK(B30,$B$2:$B$44,0))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BAJFINANCE</t>
        </is>
      </c>
      <c r="D30" s="31" t="inlineStr">
        <is>
          <t>Bajaj Finance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655904.29</v>
      </c>
      <c r="I30" s="32" t="n">
        <v>1141.2</v>
      </c>
      <c r="J30" s="32" t="n">
        <v>8.32</v>
      </c>
      <c r="K30" s="32" t="n">
        <v>40814590</v>
      </c>
      <c r="L30" s="31" t="n">
        <v>51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68</v>
      </c>
      <c r="P30" s="32" t="n">
        <v>14.78</v>
      </c>
      <c r="Q30" s="32" t="n">
        <v>944.26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2.96</v>
      </c>
      <c r="U30" s="32" t="n">
        <v>31.13</v>
      </c>
      <c r="V30" s="32" t="n">
        <v>27.36</v>
      </c>
      <c r="W30" s="32" t="n">
        <v>10.91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above 5x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Blue sky scenario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IF(B31=0,"",RANK(B31,$B$2:$B$44,0))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CHOLAFIN</t>
        </is>
      </c>
      <c r="D31" s="31" t="inlineStr">
        <is>
          <t>Cholamandalam Investment And Finance Company Limited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largecap</t>
        </is>
      </c>
      <c r="H31" s="32" t="n">
        <v>151231.82</v>
      </c>
      <c r="I31" s="32" t="n">
        <v>1849.9</v>
      </c>
      <c r="J31" s="32" t="n">
        <v>4.29</v>
      </c>
      <c r="K31" s="32" t="n">
        <v>2944386</v>
      </c>
      <c r="L31" s="31" t="n">
        <v>46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61.92</v>
      </c>
      <c r="P31" s="32" t="n">
        <v>14.15</v>
      </c>
      <c r="Q31" s="32" t="n">
        <v>1495.73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2.96</v>
      </c>
      <c r="U31" s="32" t="n">
        <v>30.19</v>
      </c>
      <c r="V31" s="32" t="n">
        <v>26.45</v>
      </c>
      <c r="W31" s="32" t="n">
        <v>9.640000000000001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above 5x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Blue sky scenario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IF(B32=0,"",RANK(B32,$B$2:$B$44,0))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MUFIN</t>
        </is>
      </c>
      <c r="D32" s="31" t="inlineStr">
        <is>
          <t>Mufin Green Finance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2557.68</v>
      </c>
      <c r="I32" s="32" t="n">
        <v>131.74</v>
      </c>
      <c r="J32" s="32" t="n">
        <v>2.07</v>
      </c>
      <c r="K32" s="32" t="n">
        <v>1872730</v>
      </c>
      <c r="L32" s="31" t="n">
        <v>58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61.75</v>
      </c>
      <c r="P32" s="32" t="n">
        <v>30.42</v>
      </c>
      <c r="Q32" s="32" t="n">
        <v>109.14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2.96</v>
      </c>
      <c r="U32" s="32" t="n">
        <v>50.05</v>
      </c>
      <c r="V32" s="32" t="n">
        <v>45.73</v>
      </c>
      <c r="W32" s="32" t="n">
        <v>12.36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more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Negative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Blue sky scenario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IF(B33=0,"",RANK(B33,$B$2:$B$44,0))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IDFCFIRSTB</t>
        </is>
      </c>
      <c r="D33" s="31" t="inlineStr">
        <is>
          <t>IDFC First Bank Ltd</t>
        </is>
      </c>
      <c r="E33" s="31" t="inlineStr">
        <is>
          <t>bank</t>
        </is>
      </c>
      <c r="F33" s="31" t="inlineStr">
        <is>
          <t>banks - private sector</t>
        </is>
      </c>
      <c r="G33" s="31" t="inlineStr">
        <is>
          <t>largecap</t>
        </is>
      </c>
      <c r="H33" s="32" t="n">
        <v>73018.5</v>
      </c>
      <c r="I33" s="32" t="n">
        <v>84.68000000000001</v>
      </c>
      <c r="J33" s="32" t="n">
        <v>-0.09</v>
      </c>
      <c r="K33" s="32" t="n">
        <v>13986110</v>
      </c>
      <c r="L33" s="31" t="n">
        <v>47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66.66</v>
      </c>
      <c r="P33" s="32" t="n">
        <v>19.37</v>
      </c>
      <c r="Q33" s="32" t="n">
        <v>71.48999999999999</v>
      </c>
      <c r="R33" s="31" t="inlineStr">
        <is>
          <t>Volume Spike &amp; Near 52W High Breakout</t>
        </is>
      </c>
      <c r="S33" s="31" t="inlineStr">
        <is>
          <t>Nifty Bank</t>
        </is>
      </c>
      <c r="T33" s="32" t="n">
        <v>2.96</v>
      </c>
      <c r="U33" s="32" t="n">
        <v>25.3</v>
      </c>
      <c r="V33" s="32" t="n">
        <v>21.7</v>
      </c>
      <c r="W33" s="32" t="n">
        <v>9.880000000000001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Blue sky scenario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IF(B34=0,"",RANK(B34,$B$2:$B$44,0))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RECLTD</t>
        </is>
      </c>
      <c r="D34" s="33" t="inlineStr">
        <is>
          <t>REC Ltd</t>
        </is>
      </c>
      <c r="E34" s="31" t="inlineStr">
        <is>
          <t>financials</t>
        </is>
      </c>
      <c r="F34" s="31" t="inlineStr">
        <is>
          <t>finance - term-lending institutions</t>
        </is>
      </c>
      <c r="G34" s="31" t="inlineStr">
        <is>
          <t>largecap</t>
        </is>
      </c>
      <c r="H34" s="32" t="n">
        <v>98719.57000000001</v>
      </c>
      <c r="I34" s="32" t="n">
        <v>372.95</v>
      </c>
      <c r="J34" s="32" t="n">
        <v>-0.52</v>
      </c>
      <c r="K34" s="32" t="n">
        <v>3604398</v>
      </c>
      <c r="L34" s="31" t="n">
        <v>10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59.52</v>
      </c>
      <c r="P34" s="32" t="n">
        <v>8.16</v>
      </c>
      <c r="Q34" s="32" t="n">
        <v>314.82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2.96</v>
      </c>
      <c r="U34" s="32" t="n">
        <v>1.1</v>
      </c>
      <c r="V34" s="32" t="n">
        <v>-1.81</v>
      </c>
      <c r="W34" s="32" t="n">
        <v>1.57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IF(B35=0,"",RANK(B35,$B$2:$B$44,0))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CAMS</t>
        </is>
      </c>
      <c r="D35" s="31" t="inlineStr">
        <is>
          <t>Computer Age Management Services Ltd</t>
        </is>
      </c>
      <c r="E35" s="31" t="inlineStr">
        <is>
          <t>financials</t>
        </is>
      </c>
      <c r="F35" s="31" t="inlineStr">
        <is>
          <t>miscellaneous</t>
        </is>
      </c>
      <c r="G35" s="31" t="inlineStr">
        <is>
          <t>midcap</t>
        </is>
      </c>
      <c r="H35" s="32" t="n">
        <v>19686.36</v>
      </c>
      <c r="I35" s="32" t="n">
        <v>796.15</v>
      </c>
      <c r="J35" s="32" t="n">
        <v>0.38</v>
      </c>
      <c r="K35" s="32" t="n">
        <v>928854</v>
      </c>
      <c r="L35" s="31" t="n">
        <v>19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55.94</v>
      </c>
      <c r="P35" s="32" t="n">
        <v>15.99</v>
      </c>
      <c r="Q35" s="32" t="n">
        <v>679.64</v>
      </c>
      <c r="R35" s="31" t="inlineStr">
        <is>
          <t>Near 52W High Breakout</t>
        </is>
      </c>
      <c r="S35" s="31" t="inlineStr">
        <is>
          <t>Nifty Bank</t>
        </is>
      </c>
      <c r="T35" s="32" t="n">
        <v>2.96</v>
      </c>
      <c r="U35" s="32" t="n">
        <v>11.08</v>
      </c>
      <c r="V35" s="32" t="n">
        <v>7.88</v>
      </c>
      <c r="W35" s="32" t="n">
        <v>4.19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above 5x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IF(B36=0,"",RANK(B36,$B$2:$B$44,0))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CARERATING</t>
        </is>
      </c>
      <c r="D36" s="31" t="inlineStr">
        <is>
          <t>CARE Ratings Ltd</t>
        </is>
      </c>
      <c r="E36" s="31" t="inlineStr">
        <is>
          <t>financials</t>
        </is>
      </c>
      <c r="F36" s="31" t="inlineStr">
        <is>
          <t>miscellaneous</t>
        </is>
      </c>
      <c r="G36" s="31" t="inlineStr">
        <is>
          <t>midcap</t>
        </is>
      </c>
      <c r="H36" s="32" t="n">
        <v>5133.12</v>
      </c>
      <c r="I36" s="32" t="n">
        <v>1709.5</v>
      </c>
      <c r="J36" s="32" t="n">
        <v>0.11</v>
      </c>
      <c r="K36" s="32" t="n">
        <v>20124</v>
      </c>
      <c r="L36" s="31" t="n">
        <v>10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57.8</v>
      </c>
      <c r="P36" s="32" t="n">
        <v>18.59</v>
      </c>
      <c r="Q36" s="32" t="n">
        <v>1459.16</v>
      </c>
      <c r="R36" s="31" t="inlineStr">
        <is>
          <t>Near 52W High Breakout</t>
        </is>
      </c>
      <c r="S36" s="31" t="inlineStr">
        <is>
          <t>Nifty Bank</t>
        </is>
      </c>
      <c r="T36" s="32" t="n">
        <v>2.96</v>
      </c>
      <c r="U36" s="32" t="n">
        <v>3.97</v>
      </c>
      <c r="V36" s="32" t="n">
        <v>0.98</v>
      </c>
      <c r="W36" s="32" t="n">
        <v>1.46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above 5x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IF(B37=0,"",RANK(B37,$B$2:$B$44,0))</f>
        <v/>
      </c>
      <c r="B37" s="32">
        <f>SUM(N37,Y37,AA37,AC37,AE37,AG37,AI37,AK37,AM37,AO37,AQ37,AS37,AU37,AW37,AY37,BA37,BC37,BE37,BG37,BI37,BK37,BM37,BO37,BQ37,BS37,BU37,BW37,BY37,CA37)</f>
        <v/>
      </c>
      <c r="C37" s="33" t="inlineStr">
        <is>
          <t>ICICIBANK</t>
        </is>
      </c>
      <c r="D37" s="33" t="inlineStr">
        <is>
          <t>Icici Bank Limited</t>
        </is>
      </c>
      <c r="E37" s="31" t="inlineStr">
        <is>
          <t>bank</t>
        </is>
      </c>
      <c r="F37" s="31" t="inlineStr">
        <is>
          <t>banks - private sector</t>
        </is>
      </c>
      <c r="G37" s="31" t="inlineStr">
        <is>
          <t>largecap</t>
        </is>
      </c>
      <c r="H37" s="32" t="n">
        <v>1028624.76</v>
      </c>
      <c r="I37" s="32" t="n">
        <v>1435.4</v>
      </c>
      <c r="J37" s="32" t="n">
        <v>0.1</v>
      </c>
      <c r="K37" s="32" t="n">
        <v>8752845</v>
      </c>
      <c r="L37" s="31" t="n">
        <v>13</v>
      </c>
      <c r="M37" s="31" t="inlineStr">
        <is>
          <t>Underperforming</t>
        </is>
      </c>
      <c r="N37" s="32">
        <f>IF(M37="Underperforming",-5,IF(L37&gt;=95,15,IF(L37&gt;=90,10,IF(L37&gt;=80,5,0))))</f>
        <v/>
      </c>
      <c r="O37" s="32" t="n">
        <v>62.46</v>
      </c>
      <c r="P37" s="32" t="n">
        <v>17.06</v>
      </c>
      <c r="Q37" s="32" t="n">
        <v>1271.24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2.96</v>
      </c>
      <c r="U37" s="32" t="n">
        <v>-1.71</v>
      </c>
      <c r="V37" s="32" t="n">
        <v>-4.53</v>
      </c>
      <c r="W37" s="32" t="n">
        <v>2.64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Blue sky scenario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IF(B38=0,"",RANK(B38,$B$2:$B$44,0))</f>
        <v/>
      </c>
      <c r="B38" s="32">
        <f>SUM(N38,Y38,AA38,AC38,AE38,AG38,AI38,AK38,AM38,AO38,AQ38,AS38,AU38,AW38,AY38,BA38,BC38,BE38,BG38,BI38,BK38,BM38,BO38,BQ38,BS38,BU38,BW38,BY38,CA38)</f>
        <v/>
      </c>
      <c r="C38" s="33" t="inlineStr">
        <is>
          <t>KIRLOSIND</t>
        </is>
      </c>
      <c r="D38" s="33" t="inlineStr">
        <is>
          <t>Kirloskar Industries Limited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smallcap</t>
        </is>
      </c>
      <c r="H38" s="32" t="n">
        <v>3950.79</v>
      </c>
      <c r="I38" s="32" t="n">
        <v>3940.8</v>
      </c>
      <c r="J38" s="32" t="n">
        <v>4.83</v>
      </c>
      <c r="K38" s="32" t="n">
        <v>22037</v>
      </c>
      <c r="L38" s="31" t="n">
        <v>18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61.73</v>
      </c>
      <c r="P38" s="32" t="n">
        <v>25.55</v>
      </c>
      <c r="Q38" s="32" t="n">
        <v>3132.64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2.96</v>
      </c>
      <c r="U38" s="32" t="n">
        <v>-6.86</v>
      </c>
      <c r="V38" s="32" t="n">
        <v>-9.539999999999999</v>
      </c>
      <c r="W38" s="32" t="n">
        <v>3.87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more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Negative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IF(B39=0,"",RANK(B39,$B$2:$B$44,0))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GEECEE</t>
        </is>
      </c>
      <c r="D39" s="33" t="inlineStr">
        <is>
          <t>Geecee Ventures Limited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smallcap</t>
        </is>
      </c>
      <c r="H39" s="32" t="n">
        <v>720.3</v>
      </c>
      <c r="I39" s="32" t="n">
        <v>354</v>
      </c>
      <c r="J39" s="32" t="n">
        <v>2.77</v>
      </c>
      <c r="K39" s="32" t="n">
        <v>6185</v>
      </c>
      <c r="L39" s="31" t="n">
        <v>17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58.14</v>
      </c>
      <c r="P39" s="32" t="n">
        <v>26.62</v>
      </c>
      <c r="Q39" s="32" t="n">
        <v>268.63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2.96</v>
      </c>
      <c r="U39" s="32" t="n">
        <v>-4.55</v>
      </c>
      <c r="V39" s="32" t="n">
        <v>-7.3</v>
      </c>
      <c r="W39" s="32" t="n">
        <v>3.36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20 to 40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Negative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IF(B40=0,"",RANK(B40,$B$2:$B$44,0))</f>
        <v/>
      </c>
      <c r="B40" s="32">
        <f>SUM(N40,Y40,AA40,AC40,AE40,AG40,AI40,AK40,AM40,AO40,AQ40,AS40,AU40,AW40,AY40,BA40,BC40,BE40,BG40,BI40,BK40,BM40,BO40,BQ40,BS40,BU40,BW40,BY40,CA40)</f>
        <v/>
      </c>
      <c r="C40" s="31" t="inlineStr">
        <is>
          <t>ARMANFIN</t>
        </is>
      </c>
      <c r="D40" s="31" t="inlineStr">
        <is>
          <t>Arman Financial Services Limited</t>
        </is>
      </c>
      <c r="E40" s="31" t="inlineStr">
        <is>
          <t>financials</t>
        </is>
      </c>
      <c r="F40" s="31" t="inlineStr">
        <is>
          <t>finance &amp; investments</t>
        </is>
      </c>
      <c r="G40" s="31" t="inlineStr">
        <is>
          <t>smallcap</t>
        </is>
      </c>
      <c r="H40" s="32" t="n">
        <v>1993.81</v>
      </c>
      <c r="I40" s="32" t="n">
        <v>1940</v>
      </c>
      <c r="J40" s="32" t="n">
        <v>2.31</v>
      </c>
      <c r="K40" s="32" t="n">
        <v>25498</v>
      </c>
      <c r="L40" s="31" t="n">
        <v>49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63.78</v>
      </c>
      <c r="P40" s="32" t="n">
        <v>19.77</v>
      </c>
      <c r="Q40" s="32" t="n">
        <v>1489.14</v>
      </c>
      <c r="R40" s="31" t="inlineStr">
        <is>
          <t>Near 52W High Breakout</t>
        </is>
      </c>
      <c r="S40" s="31" t="inlineStr">
        <is>
          <t>Nifty Bank</t>
        </is>
      </c>
      <c r="T40" s="32" t="n">
        <v>2.96</v>
      </c>
      <c r="U40" s="32" t="n">
        <v>19.76</v>
      </c>
      <c r="V40" s="32" t="n">
        <v>16.31</v>
      </c>
      <c r="W40" s="32" t="n">
        <v>10.41</v>
      </c>
      <c r="X40" s="31" t="inlineStr">
        <is>
          <t>Cyclical in an Upturn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Cyclical in an Uptick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Not Applicable</t>
        </is>
      </c>
      <c r="AK40" s="31">
        <f>IF(AJ40="Yes",10,0)</f>
        <v/>
      </c>
      <c r="AL40" s="31" t="inlineStr">
        <is>
          <t>Yes</t>
        </is>
      </c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Not Applicable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20 to 40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Sideways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IF(B41=0,"",RANK(B41,$B$2:$B$44,0))</f>
        <v/>
      </c>
      <c r="B41" s="32">
        <f>SUM(N41,Y41,AA41,AC41,AE41,AG41,AI41,AK41,AM41,AO41,AQ41,AS41,AU41,AW41,AY41,BA41,BC41,BE41,BG41,BI41,BK41,BM41,BO41,BQ41,BS41,BU41,BW41,BY41,CA41)</f>
        <v/>
      </c>
      <c r="C41" s="31" t="inlineStr">
        <is>
          <t>BAJAJFINSV</t>
        </is>
      </c>
      <c r="D41" s="31" t="inlineStr">
        <is>
          <t>Bajaj Finserv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largecap</t>
        </is>
      </c>
      <c r="H41" s="32" t="n">
        <v>305609.01</v>
      </c>
      <c r="I41" s="32" t="n">
        <v>2029.1</v>
      </c>
      <c r="J41" s="32" t="n">
        <v>6.27</v>
      </c>
      <c r="K41" s="32" t="n">
        <v>3731886</v>
      </c>
      <c r="L41" s="31" t="n">
        <v>24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61.28</v>
      </c>
      <c r="P41" s="32" t="n">
        <v>14.93</v>
      </c>
      <c r="Q41" s="32" t="n">
        <v>1731.84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2.96</v>
      </c>
      <c r="U41" s="32" t="n">
        <v>5.98</v>
      </c>
      <c r="V41" s="32" t="n">
        <v>2.93</v>
      </c>
      <c r="W41" s="32" t="n">
        <v>4.88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between 2.5x to 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IF(B42=0,"",RANK(B42,$B$2:$B$44,0))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PFC</t>
        </is>
      </c>
      <c r="D42" s="31" t="inlineStr">
        <is>
          <t>Power Finance Corporation Limited</t>
        </is>
      </c>
      <c r="E42" s="31" t="inlineStr">
        <is>
          <t>financials</t>
        </is>
      </c>
      <c r="F42" s="31" t="inlineStr">
        <is>
          <t>finance - term-lending institutions</t>
        </is>
      </c>
      <c r="G42" s="31" t="inlineStr">
        <is>
          <t>largecap</t>
        </is>
      </c>
      <c r="H42" s="32" t="n">
        <v>140666.84</v>
      </c>
      <c r="I42" s="32" t="n">
        <v>424.35</v>
      </c>
      <c r="J42" s="32" t="n">
        <v>-0.45</v>
      </c>
      <c r="K42" s="32" t="n">
        <v>10382221</v>
      </c>
      <c r="L42" s="31" t="n">
        <v>10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53.82</v>
      </c>
      <c r="P42" s="32" t="n">
        <v>10.4</v>
      </c>
      <c r="Q42" s="32" t="n">
        <v>385.6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2.96</v>
      </c>
      <c r="U42" s="32" t="n">
        <v>10.03</v>
      </c>
      <c r="V42" s="32" t="n">
        <v>6.87</v>
      </c>
      <c r="W42" s="32" t="n">
        <v>1.4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1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IF(B43=0,"",RANK(B43,$B$2:$B$44,0))</f>
        <v/>
      </c>
      <c r="B43" s="32">
        <f>SUM(N43,Y43,AA43,AC43,AE43,AG43,AI43,AK43,AM43,AO43,AQ43,AS43,AU43,AW43,AY43,BA43,BC43,BE43,BG43,BI43,BK43,BM43,BO43,BQ43,BS43,BU43,BW43,BY43,CA43)</f>
        <v/>
      </c>
      <c r="C43" s="31" t="inlineStr">
        <is>
          <t>PNB</t>
        </is>
      </c>
      <c r="D43" s="31" t="inlineStr">
        <is>
          <t>Punjab National Bank Ltd</t>
        </is>
      </c>
      <c r="E43" s="31" t="inlineStr">
        <is>
          <t>bank</t>
        </is>
      </c>
      <c r="F43" s="31" t="inlineStr">
        <is>
          <t>banks - public sector</t>
        </is>
      </c>
      <c r="G43" s="31" t="inlineStr">
        <is>
          <t>largecap</t>
        </is>
      </c>
      <c r="H43" s="32" t="n">
        <v>128307.22</v>
      </c>
      <c r="I43" s="32" t="n">
        <v>112.71</v>
      </c>
      <c r="J43" s="32" t="n">
        <v>0.96</v>
      </c>
      <c r="K43" s="32" t="n">
        <v>11559723</v>
      </c>
      <c r="L43" s="31" t="n">
        <v>18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55.7</v>
      </c>
      <c r="P43" s="32" t="n">
        <v>9.51</v>
      </c>
      <c r="Q43" s="32" t="n">
        <v>95.48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2.96</v>
      </c>
      <c r="U43" s="32" t="n">
        <v>12.41</v>
      </c>
      <c r="V43" s="32" t="n">
        <v>9.18</v>
      </c>
      <c r="W43" s="32" t="n">
        <v>4.02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less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1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IF(B44=0,"",RANK(B44,$B$2:$B$44,0))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SBILIFE</t>
        </is>
      </c>
      <c r="D44" s="31" t="inlineStr">
        <is>
          <t>SBI Life Insurance Company Ltd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largecap</t>
        </is>
      </c>
      <c r="H44" s="32" t="n">
        <v>188358.41</v>
      </c>
      <c r="I44" s="32" t="n">
        <v>1890.5</v>
      </c>
      <c r="J44" s="32" t="n">
        <v>0.6899999999999999</v>
      </c>
      <c r="K44" s="32" t="n">
        <v>723852</v>
      </c>
      <c r="L44" s="31" t="n">
        <v>11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51.85</v>
      </c>
      <c r="P44" s="32" t="n">
        <v>10.85</v>
      </c>
      <c r="Q44" s="32" t="n">
        <v>1612.26</v>
      </c>
      <c r="R44" s="31" t="inlineStr">
        <is>
          <t>Earnings / Momentum Support</t>
        </is>
      </c>
      <c r="S44" s="31" t="inlineStr">
        <is>
          <t>Nifty Bank</t>
        </is>
      </c>
      <c r="T44" s="32" t="n">
        <v>2.96</v>
      </c>
      <c r="U44" s="32" t="n">
        <v>4.92</v>
      </c>
      <c r="V44" s="32" t="n">
        <v>1.9</v>
      </c>
      <c r="W44" s="32" t="n">
        <v>1.8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No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above 5x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1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</sheetData>
  <autoFilter ref="A1:CA44"/>
  <conditionalFormatting sqref="B2:B4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4">
    <cfRule type="cellIs" priority="34" operator="equal" dxfId="3" stopIfTrue="1">
      <formula>"Underperforming"</formula>
    </cfRule>
  </conditionalFormatting>
  <conditionalFormatting sqref="N2:N44">
    <cfRule type="cellIs" priority="35" operator="equal" dxfId="3" stopIfTrue="1">
      <formula>-5</formula>
    </cfRule>
  </conditionalFormatting>
  <conditionalFormatting sqref="Q2:Q44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4" showDropDown="0" showInputMessage="0" showErrorMessage="0" allowBlank="1" type="list">
      <formula1>"Growing Industry,Stagnant Industry,Cyclical in an Upturn"</formula1>
    </dataValidation>
    <dataValidation sqref="Z2:Z44" showDropDown="0" showInputMessage="0" showErrorMessage="0" allowBlank="1" type="list">
      <formula1>"Fragmented with Low ROE,Fragmented with High ROE,Highly Cyclical"</formula1>
    </dataValidation>
    <dataValidation sqref="AB2:AB44" showDropDown="0" showInputMessage="0" showErrorMessage="0" allowBlank="1" type="list">
      <formula1>"Yes,No"</formula1>
    </dataValidation>
    <dataValidation sqref="AD2:AD44" showDropDown="0" showInputMessage="0" showErrorMessage="0" allowBlank="1" type="list">
      <formula1>"Tailwind,Headwind"</formula1>
    </dataValidation>
    <dataValidation sqref="AF2:AF4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4" showDropDown="0" showInputMessage="0" showErrorMessage="0" allowBlank="1" type="list">
      <formula1>"Yes,No"</formula1>
    </dataValidation>
    <dataValidation sqref="AJ2:AJ44" showDropDown="0" showInputMessage="0" showErrorMessage="0" allowBlank="1" type="list">
      <formula1>"Yes,No,Not Applicable"</formula1>
    </dataValidation>
    <dataValidation sqref="AL2:AL44" showDropDown="0" showInputMessage="0" showErrorMessage="0" allowBlank="1" type="list">
      <formula1>"Yes,No"</formula1>
    </dataValidation>
    <dataValidation sqref="AN2:AN44" showDropDown="0" showInputMessage="0" showErrorMessage="0" allowBlank="1" type="list">
      <formula1>"Yes,No"</formula1>
    </dataValidation>
    <dataValidation sqref="AP2:AP44" showDropDown="0" showInputMessage="0" showErrorMessage="0" allowBlank="1" type="list">
      <formula1>"Yes,No"</formula1>
    </dataValidation>
    <dataValidation sqref="AR2:AR44" showDropDown="0" showInputMessage="0" showErrorMessage="0" allowBlank="1" type="list">
      <formula1>"Yes,No"</formula1>
    </dataValidation>
    <dataValidation sqref="AT2:AT44" showDropDown="0" showInputMessage="0" showErrorMessage="0" allowBlank="1" type="list">
      <formula1>"No,Yes"</formula1>
    </dataValidation>
    <dataValidation sqref="AV2:AV44" showDropDown="0" showInputMessage="0" showErrorMessage="0" allowBlank="1" type="list">
      <formula1>"No,Yes"</formula1>
    </dataValidation>
    <dataValidation sqref="AX2:AX44" showDropDown="0" showInputMessage="0" showErrorMessage="0" allowBlank="1" type="list">
      <formula1>"No,Yes CEO Resignation,Yes CEO Retirement"</formula1>
    </dataValidation>
    <dataValidation sqref="AZ2:AZ44" showDropDown="0" showInputMessage="0" showErrorMessage="0" allowBlank="1" type="list">
      <formula1>"No,Yes"</formula1>
    </dataValidation>
    <dataValidation sqref="BB2:BB44" showDropDown="0" showInputMessage="0" showErrorMessage="0" allowBlank="1" type="list">
      <formula1>"No,Yes"</formula1>
    </dataValidation>
    <dataValidation sqref="BD2:BD44" showDropDown="0" showInputMessage="0" showErrorMessage="0" allowBlank="1" type="list">
      <formula1>"Yes,No"</formula1>
    </dataValidation>
    <dataValidation sqref="BF2:BF44" showDropDown="0" showInputMessage="0" showErrorMessage="0" allowBlank="1" type="list">
      <formula1>"Yes,No"</formula1>
    </dataValidation>
    <dataValidation sqref="BH2:BH44" showDropDown="0" showInputMessage="0" showErrorMessage="0" allowBlank="1" type="list">
      <formula1>"Yes,No"</formula1>
    </dataValidation>
    <dataValidation sqref="BJ2:BJ4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4" showDropDown="0" showInputMessage="0" showErrorMessage="0" allowBlank="1" type="list">
      <formula1>"Above 40,20 to 40,0 to 20"</formula1>
    </dataValidation>
    <dataValidation sqref="BN2:BN44" showDropDown="0" showInputMessage="0" showErrorMessage="0" allowBlank="1" type="list">
      <formula1>"Between 50 to 75,Above 75,Below 45"</formula1>
    </dataValidation>
    <dataValidation sqref="BP2:BP44" showDropDown="0" showInputMessage="0" showErrorMessage="0" allowBlank="1" type="list">
      <formula1>"Stage 1,Stage 2,Stage 3,Stage 4"</formula1>
    </dataValidation>
    <dataValidation sqref="BR2:BR44" showDropDown="0" showInputMessage="0" showErrorMessage="0" allowBlank="1" type="list">
      <formula1>"Positive Trend,Negative Trend"</formula1>
    </dataValidation>
    <dataValidation sqref="BT2:BT44" showDropDown="0" showInputMessage="0" showErrorMessage="0" allowBlank="1" type="list">
      <formula1>"Uptrend,Sideways,Downtrend"</formula1>
    </dataValidation>
    <dataValidation sqref="BV2:BV44" showDropDown="0" showInputMessage="0" showErrorMessage="0" allowBlank="1" type="list">
      <formula1>"Uptrend,Sideways,Downtrend"</formula1>
    </dataValidation>
    <dataValidation sqref="BX2:BX4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8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IF(B2=0,"",RANK(B2,$B$2:$B$18,0))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137.6</v>
      </c>
      <c r="E2" s="32" t="inlineStr">
        <is>
          <t>5%</t>
        </is>
      </c>
      <c r="F2" s="32" t="n">
        <v>50000</v>
      </c>
      <c r="G2" s="32" t="n">
        <v>81</v>
      </c>
      <c r="H2" s="31" t="inlineStr">
        <is>
          <t>SCPL</t>
        </is>
      </c>
      <c r="I2" s="31" t="inlineStr">
        <is>
          <t>Sheetal Cool Products Ltd</t>
        </is>
      </c>
      <c r="J2" s="31" t="inlineStr">
        <is>
          <t>fmcg</t>
        </is>
      </c>
      <c r="K2" s="31" t="inlineStr">
        <is>
          <t>food - processing - indian</t>
        </is>
      </c>
      <c r="L2" s="31" t="inlineStr">
        <is>
          <t>smallcap</t>
        </is>
      </c>
      <c r="M2" s="32" t="n">
        <v>578.71</v>
      </c>
      <c r="N2" s="32" t="n">
        <v>615</v>
      </c>
      <c r="O2" s="32" t="n">
        <v>11.58</v>
      </c>
      <c r="P2" s="32" t="n">
        <v>550846</v>
      </c>
      <c r="Q2" s="31" t="n">
        <v>95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73.70999999999999</v>
      </c>
      <c r="U2" s="32" t="n">
        <v>55.84</v>
      </c>
      <c r="V2" s="32" t="n">
        <v>430.44</v>
      </c>
      <c r="W2" s="31" t="inlineStr">
        <is>
          <t>Volume Spike &amp; Near 52W High Breakout</t>
        </is>
      </c>
      <c r="X2" s="31" t="inlineStr">
        <is>
          <t>Nifty FMCG</t>
        </is>
      </c>
      <c r="Y2" s="32" t="n">
        <v>-10</v>
      </c>
      <c r="Z2" s="32" t="n">
        <v>108.23</v>
      </c>
      <c r="AA2" s="32" t="n">
        <v>131.37</v>
      </c>
      <c r="AB2" s="32" t="n">
        <v>38.98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IF(B3=0,"",RANK(B3,$B$2:$B$18,0))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</v>
      </c>
      <c r="E3" s="32" t="inlineStr">
        <is>
          <t>5%</t>
        </is>
      </c>
      <c r="F3" s="32" t="n">
        <v>50000</v>
      </c>
      <c r="G3" s="32" t="n">
        <v>59</v>
      </c>
      <c r="H3" s="31" t="inlineStr">
        <is>
          <t>RPTECH</t>
        </is>
      </c>
      <c r="I3" s="31" t="inlineStr">
        <is>
          <t>Rashi Peripherals Ltd</t>
        </is>
      </c>
      <c r="J3" s="31" t="inlineStr">
        <is>
          <t>services</t>
        </is>
      </c>
      <c r="K3" s="31" t="inlineStr">
        <is>
          <t>trading</t>
        </is>
      </c>
      <c r="L3" s="31" t="inlineStr">
        <is>
          <t>midcap</t>
        </is>
      </c>
      <c r="M3" s="32" t="n">
        <v>5357.64</v>
      </c>
      <c r="N3" s="32" t="n">
        <v>833.55</v>
      </c>
      <c r="O3" s="32" t="n">
        <v>2.53</v>
      </c>
      <c r="P3" s="32" t="n">
        <v>388865</v>
      </c>
      <c r="Q3" s="31" t="n">
        <v>97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80.56999999999999</v>
      </c>
      <c r="U3" s="32" t="n">
        <v>75.53</v>
      </c>
      <c r="V3" s="32" t="n">
        <v>646.71</v>
      </c>
      <c r="W3" s="31" t="inlineStr">
        <is>
          <t>Near 52W High Breakout</t>
        </is>
      </c>
      <c r="X3" s="31" t="inlineStr">
        <is>
          <t>Nifty 50</t>
        </is>
      </c>
      <c r="Y3" s="32" t="n">
        <v>-0.74</v>
      </c>
      <c r="Z3" s="32" t="n">
        <v>190.15</v>
      </c>
      <c r="AA3" s="32" t="n">
        <v>192.31</v>
      </c>
      <c r="AB3" s="32" t="n">
        <v>42.97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Less than 50%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IF(B4=0,"",RANK(B4,$B$2:$B$18,0))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138.1</v>
      </c>
      <c r="E4" s="32" t="inlineStr">
        <is>
          <t>5%</t>
        </is>
      </c>
      <c r="F4" s="32" t="n">
        <v>50000</v>
      </c>
      <c r="G4" s="32" t="n">
        <v>25</v>
      </c>
      <c r="H4" s="31" t="inlineStr">
        <is>
          <t>EMCURE</t>
        </is>
      </c>
      <c r="I4" s="31" t="inlineStr">
        <is>
          <t>Emcure Pharmaceuticals Ltd</t>
        </is>
      </c>
      <c r="J4" s="31" t="inlineStr">
        <is>
          <t>healthcare</t>
        </is>
      </c>
      <c r="K4" s="31" t="inlineStr">
        <is>
          <t>pharmaceuticals - indian - bulk drugs &amp; formln</t>
        </is>
      </c>
      <c r="L4" s="31" t="inlineStr">
        <is>
          <t>largecap</t>
        </is>
      </c>
      <c r="M4" s="32" t="n">
        <v>36245.98</v>
      </c>
      <c r="N4" s="32" t="n">
        <v>1960.1</v>
      </c>
      <c r="O4" s="32" t="n">
        <v>2.57</v>
      </c>
      <c r="P4" s="32" t="n">
        <v>267249</v>
      </c>
      <c r="Q4" s="31" t="n">
        <v>52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70.23999999999999</v>
      </c>
      <c r="U4" s="32" t="n">
        <v>59.1</v>
      </c>
      <c r="V4" s="32" t="n">
        <v>1580.08</v>
      </c>
      <c r="W4" s="31" t="inlineStr">
        <is>
          <t>Near 52W High Breakout</t>
        </is>
      </c>
      <c r="X4" s="31" t="inlineStr">
        <is>
          <t>Nifty Pharma</t>
        </is>
      </c>
      <c r="Y4" s="32" t="n">
        <v>20.55</v>
      </c>
      <c r="Z4" s="32" t="n">
        <v>43.98</v>
      </c>
      <c r="AA4" s="32" t="n">
        <v>19.44</v>
      </c>
      <c r="AB4" s="32" t="n">
        <v>11.19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Annuity, Lower One Time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Between 50% to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IF(B5=0,"",RANK(B5,$B$2:$B$18,0))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139.5</v>
      </c>
      <c r="E5" s="32" t="inlineStr">
        <is>
          <t>5%</t>
        </is>
      </c>
      <c r="F5" s="32" t="n">
        <v>50000</v>
      </c>
      <c r="G5" s="32" t="n">
        <v>64</v>
      </c>
      <c r="H5" s="31" t="inlineStr">
        <is>
          <t>SONACOMS</t>
        </is>
      </c>
      <c r="I5" s="31" t="inlineStr">
        <is>
          <t>Sona BLW Precision Forgings Ltd</t>
        </is>
      </c>
      <c r="J5" s="31" t="inlineStr">
        <is>
          <t>auto</t>
        </is>
      </c>
      <c r="K5" s="31" t="inlineStr">
        <is>
          <t>auto ancillaries</t>
        </is>
      </c>
      <c r="L5" s="31" t="inlineStr">
        <is>
          <t>largecap</t>
        </is>
      </c>
      <c r="M5" s="32" t="n">
        <v>47507.91</v>
      </c>
      <c r="N5" s="32" t="n">
        <v>769.4</v>
      </c>
      <c r="O5" s="32" t="n">
        <v>0.74</v>
      </c>
      <c r="P5" s="32" t="n">
        <v>2881505</v>
      </c>
      <c r="Q5" s="31" t="n">
        <v>77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80.01000000000001</v>
      </c>
      <c r="U5" s="32" t="n">
        <v>44.16</v>
      </c>
      <c r="V5" s="32" t="n">
        <v>650.6</v>
      </c>
      <c r="W5" s="31" t="inlineStr">
        <is>
          <t>Volume Spike &amp; Near 52W High Breakout</t>
        </is>
      </c>
      <c r="X5" s="31" t="inlineStr">
        <is>
          <t>Nifty Auto</t>
        </is>
      </c>
      <c r="Y5" s="32" t="n">
        <v>20.87</v>
      </c>
      <c r="Z5" s="32" t="n">
        <v>64.90000000000001</v>
      </c>
      <c r="AA5" s="32" t="n">
        <v>36.43</v>
      </c>
      <c r="AB5" s="32" t="n">
        <v>18.94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IF(B6=0,"",RANK(B6,$B$2:$B$18,0))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139.4</v>
      </c>
      <c r="E6" s="32" t="inlineStr">
        <is>
          <t>5%</t>
        </is>
      </c>
      <c r="F6" s="32" t="n">
        <v>50000</v>
      </c>
      <c r="G6" s="32" t="n">
        <v>27</v>
      </c>
      <c r="H6" s="31" t="inlineStr">
        <is>
          <t>LAURUSLABS</t>
        </is>
      </c>
      <c r="I6" s="31" t="inlineStr">
        <is>
          <t>Laurus Labs Limited</t>
        </is>
      </c>
      <c r="J6" s="31" t="inlineStr">
        <is>
          <t>healthcare</t>
        </is>
      </c>
      <c r="K6" s="31" t="inlineStr">
        <is>
          <t>pharmaceuticals - indian - bulk drugs &amp; formln</t>
        </is>
      </c>
      <c r="L6" s="31" t="inlineStr">
        <is>
          <t>largecap</t>
        </is>
      </c>
      <c r="M6" s="32" t="n">
        <v>96234.66</v>
      </c>
      <c r="N6" s="32" t="n">
        <v>1816.2</v>
      </c>
      <c r="O6" s="32" t="n">
        <v>1.96</v>
      </c>
      <c r="P6" s="32" t="n">
        <v>2502848</v>
      </c>
      <c r="Q6" s="31" t="n">
        <v>92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85.75</v>
      </c>
      <c r="U6" s="32" t="n">
        <v>58.3</v>
      </c>
      <c r="V6" s="32" t="n">
        <v>1549.27</v>
      </c>
      <c r="W6" s="31" t="inlineStr">
        <is>
          <t>Volume Spike &amp; Near 52W High Breakout</t>
        </is>
      </c>
      <c r="X6" s="31" t="inlineStr">
        <is>
          <t>Nifty Pharma</t>
        </is>
      </c>
      <c r="Y6" s="32" t="n">
        <v>20.55</v>
      </c>
      <c r="Z6" s="32" t="n">
        <v>114.22</v>
      </c>
      <c r="AA6" s="32" t="n">
        <v>77.70999999999999</v>
      </c>
      <c r="AB6" s="32" t="n">
        <v>31.71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IF(B7=0,"",RANK(B7,$B$2:$B$18,0))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301</v>
      </c>
      <c r="H7" s="31" t="inlineStr">
        <is>
          <t>OCCLLTD</t>
        </is>
      </c>
      <c r="I7" s="31" t="inlineStr">
        <is>
          <t>OCCL Ltd</t>
        </is>
      </c>
      <c r="J7" s="31" t="inlineStr">
        <is>
          <t>chemicals</t>
        </is>
      </c>
      <c r="K7" s="31" t="inlineStr">
        <is>
          <t>chemicals</t>
        </is>
      </c>
      <c r="L7" s="31" t="inlineStr">
        <is>
          <t>smallcap</t>
        </is>
      </c>
      <c r="M7" s="32" t="n">
        <v>789.8200000000001</v>
      </c>
      <c r="N7" s="32" t="n">
        <v>166.02</v>
      </c>
      <c r="O7" s="32" t="n">
        <v>5</v>
      </c>
      <c r="P7" s="32" t="n">
        <v>50271</v>
      </c>
      <c r="Q7" s="31" t="n">
        <v>78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80</v>
      </c>
      <c r="U7" s="32" t="n">
        <v>31.41</v>
      </c>
      <c r="V7" s="32" t="n">
        <v>125.61</v>
      </c>
      <c r="W7" s="31" t="inlineStr">
        <is>
          <t>Near 52W High Breakout</t>
        </is>
      </c>
      <c r="X7" s="31" t="inlineStr">
        <is>
          <t>Nifty 50</t>
        </is>
      </c>
      <c r="Y7" s="32" t="n">
        <v>-0.74</v>
      </c>
      <c r="Z7" s="32" t="n">
        <v>9.82</v>
      </c>
      <c r="AA7" s="32" t="n">
        <v>10.64</v>
      </c>
      <c r="AB7" s="32" t="n">
        <v>19.49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IF(B8=0,"",RANK(B8,$B$2:$B$18,0))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139.3</v>
      </c>
      <c r="E8" s="32" t="inlineStr">
        <is>
          <t>5%</t>
        </is>
      </c>
      <c r="F8" s="32" t="n">
        <v>50000</v>
      </c>
      <c r="G8" s="32" t="n">
        <v>161</v>
      </c>
      <c r="H8" s="31" t="inlineStr">
        <is>
          <t>SSWL</t>
        </is>
      </c>
      <c r="I8" s="31" t="inlineStr">
        <is>
          <t>Steel Strips Wheels Limited</t>
        </is>
      </c>
      <c r="J8" s="31" t="inlineStr">
        <is>
          <t>auto</t>
        </is>
      </c>
      <c r="K8" s="31" t="inlineStr">
        <is>
          <t>auto ancillaries</t>
        </is>
      </c>
      <c r="L8" s="31" t="inlineStr">
        <is>
          <t>smallcap</t>
        </is>
      </c>
      <c r="M8" s="32" t="n">
        <v>4671.25</v>
      </c>
      <c r="N8" s="32" t="n">
        <v>310.36</v>
      </c>
      <c r="O8" s="32" t="n">
        <v>4.43</v>
      </c>
      <c r="P8" s="32" t="n">
        <v>1499072</v>
      </c>
      <c r="Q8" s="31" t="n">
        <v>74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76.37</v>
      </c>
      <c r="U8" s="32" t="n">
        <v>20.46</v>
      </c>
      <c r="V8" s="32" t="n">
        <v>245.38</v>
      </c>
      <c r="W8" s="31" t="inlineStr">
        <is>
          <t>Near 52W High Breakout</t>
        </is>
      </c>
      <c r="X8" s="31" t="inlineStr">
        <is>
          <t>Nifty Auto</t>
        </is>
      </c>
      <c r="Y8" s="32" t="n">
        <v>20.87</v>
      </c>
      <c r="Z8" s="32" t="n">
        <v>29.59</v>
      </c>
      <c r="AA8" s="32" t="n">
        <v>7.21</v>
      </c>
      <c r="AB8" s="32" t="n">
        <v>17.56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IF(B9=0,"",RANK(B9,$B$2:$B$18,0))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138.9</v>
      </c>
      <c r="E9" s="32" t="inlineStr">
        <is>
          <t>5%</t>
        </is>
      </c>
      <c r="F9" s="32" t="n">
        <v>50000</v>
      </c>
      <c r="G9" s="32" t="n">
        <v>20</v>
      </c>
      <c r="H9" s="31" t="inlineStr">
        <is>
          <t>SWANDEF</t>
        </is>
      </c>
      <c r="I9" s="31" t="inlineStr">
        <is>
          <t>Swan Defence and Heavy Industries Ltd</t>
        </is>
      </c>
      <c r="J9" s="31" t="inlineStr">
        <is>
          <t>transportation</t>
        </is>
      </c>
      <c r="K9" s="31" t="inlineStr">
        <is>
          <t>miscellaneous</t>
        </is>
      </c>
      <c r="L9" s="31" t="inlineStr">
        <is>
          <t>midcap</t>
        </is>
      </c>
      <c r="M9" s="32" t="n">
        <v>12828.1</v>
      </c>
      <c r="N9" s="32" t="n">
        <v>2460.3</v>
      </c>
      <c r="O9" s="32" t="n">
        <v>1.04</v>
      </c>
      <c r="P9" s="32" t="n">
        <v>43253</v>
      </c>
      <c r="Q9" s="31" t="n">
        <v>98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70.44</v>
      </c>
      <c r="U9" s="32" t="n">
        <v>49.79</v>
      </c>
      <c r="V9" s="32" t="n">
        <v>1901.13</v>
      </c>
      <c r="W9" s="31" t="inlineStr">
        <is>
          <t>Volume Spike &amp; Near 52W High Breakout</t>
        </is>
      </c>
      <c r="X9" s="31" t="inlineStr">
        <is>
          <t>Nifty 50</t>
        </is>
      </c>
      <c r="Y9" s="32" t="n">
        <v>-0.74</v>
      </c>
      <c r="Z9" s="32" t="n">
        <v>669.28</v>
      </c>
      <c r="AA9" s="32" t="n">
        <v>675.02</v>
      </c>
      <c r="AB9" s="32" t="n">
        <v>69.25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Negative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More than 1.2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IF(B10=0,"",RANK(B10,$B$2:$B$18,0))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137.7</v>
      </c>
      <c r="E10" s="32" t="inlineStr">
        <is>
          <t>5%</t>
        </is>
      </c>
      <c r="F10" s="32" t="n">
        <v>50000</v>
      </c>
      <c r="G10" s="32" t="n">
        <v>36</v>
      </c>
      <c r="H10" s="31" t="inlineStr">
        <is>
          <t>UNIVCABLES</t>
        </is>
      </c>
      <c r="I10" s="31" t="inlineStr">
        <is>
          <t>Universal Cables Limited</t>
        </is>
      </c>
      <c r="J10" s="31" t="inlineStr">
        <is>
          <t>industrials</t>
        </is>
      </c>
      <c r="K10" s="31" t="inlineStr">
        <is>
          <t>cables - power</t>
        </is>
      </c>
      <c r="L10" s="31" t="inlineStr">
        <is>
          <t>smallcap</t>
        </is>
      </c>
      <c r="M10" s="32" t="n">
        <v>4619</v>
      </c>
      <c r="N10" s="32" t="n">
        <v>1358.4</v>
      </c>
      <c r="O10" s="32" t="n">
        <v>2.04</v>
      </c>
      <c r="P10" s="32" t="n">
        <v>139945</v>
      </c>
      <c r="Q10" s="31" t="n">
        <v>90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68.90000000000001</v>
      </c>
      <c r="U10" s="32" t="n">
        <v>55.66</v>
      </c>
      <c r="V10" s="32" t="n">
        <v>950.51</v>
      </c>
      <c r="W10" s="31" t="inlineStr">
        <is>
          <t>Near 52W High Breakout</t>
        </is>
      </c>
      <c r="X10" s="31" t="inlineStr">
        <is>
          <t>Nifty Energy</t>
        </is>
      </c>
      <c r="Y10" s="32" t="n">
        <v>9.869999999999999</v>
      </c>
      <c r="Z10" s="32" t="n">
        <v>83.84999999999999</v>
      </c>
      <c r="AA10" s="32" t="n">
        <v>67.33</v>
      </c>
      <c r="AB10" s="32" t="n">
        <v>29.06</v>
      </c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Less than 12%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Less than 50%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IF(B11=0,"",RANK(B11,$B$2:$B$18,0))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139.2</v>
      </c>
      <c r="E11" s="32" t="inlineStr">
        <is>
          <t>5%</t>
        </is>
      </c>
      <c r="F11" s="32" t="n">
        <v>50000</v>
      </c>
      <c r="G11" s="32" t="n">
        <v>26</v>
      </c>
      <c r="H11" s="31" t="inlineStr">
        <is>
          <t>LALPATHLAB</t>
        </is>
      </c>
      <c r="I11" s="31" t="inlineStr">
        <is>
          <t>Dr. Lal Path Labs Ltd.</t>
        </is>
      </c>
      <c r="J11" s="31" t="inlineStr">
        <is>
          <t>healthcare</t>
        </is>
      </c>
      <c r="K11" s="31" t="inlineStr">
        <is>
          <t>healthcare</t>
        </is>
      </c>
      <c r="L11" s="31" t="inlineStr">
        <is>
          <t>largecap</t>
        </is>
      </c>
      <c r="M11" s="32" t="n">
        <v>31495.78</v>
      </c>
      <c r="N11" s="32" t="n">
        <v>1905.2</v>
      </c>
      <c r="O11" s="32" t="n">
        <v>1.41</v>
      </c>
      <c r="P11" s="32" t="n">
        <v>355875</v>
      </c>
      <c r="Q11" s="31" t="n">
        <v>60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73.75</v>
      </c>
      <c r="U11" s="32" t="n">
        <v>36.72</v>
      </c>
      <c r="V11" s="32" t="n">
        <v>1568.59</v>
      </c>
      <c r="W11" s="31" t="inlineStr">
        <is>
          <t>Volume Spike &amp; Near 52W High Breakout</t>
        </is>
      </c>
      <c r="X11" s="31" t="inlineStr">
        <is>
          <t>Nifty Pharma</t>
        </is>
      </c>
      <c r="Y11" s="32" t="n">
        <v>20.55</v>
      </c>
      <c r="Z11" s="32" t="n">
        <v>21.34</v>
      </c>
      <c r="AA11" s="32" t="n">
        <v>0.66</v>
      </c>
      <c r="AB11" s="32" t="n">
        <v>13.25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IF(B12=0,"",RANK(B12,$B$2:$B$18,0))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140</v>
      </c>
      <c r="E12" s="32" t="inlineStr">
        <is>
          <t>5%</t>
        </is>
      </c>
      <c r="F12" s="32" t="n">
        <v>50000</v>
      </c>
      <c r="G12" s="32" t="n">
        <v>12</v>
      </c>
      <c r="H12" s="31" t="inlineStr">
        <is>
          <t>YASHO</t>
        </is>
      </c>
      <c r="I12" s="31" t="inlineStr">
        <is>
          <t>Yasho Industries Ltd</t>
        </is>
      </c>
      <c r="J12" s="31" t="inlineStr">
        <is>
          <t>chemicals</t>
        </is>
      </c>
      <c r="K12" s="31" t="inlineStr">
        <is>
          <t>chemicals</t>
        </is>
      </c>
      <c r="L12" s="31" t="inlineStr">
        <is>
          <t>smallcap</t>
        </is>
      </c>
      <c r="M12" s="32" t="n">
        <v>3875.5</v>
      </c>
      <c r="N12" s="32" t="n">
        <v>3858.7</v>
      </c>
      <c r="O12" s="32" t="n">
        <v>20</v>
      </c>
      <c r="P12" s="32" t="n">
        <v>273048</v>
      </c>
      <c r="Q12" s="31" t="n">
        <v>98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90.06</v>
      </c>
      <c r="U12" s="32" t="n">
        <v>54.85</v>
      </c>
      <c r="V12" s="32" t="n">
        <v>2959.28</v>
      </c>
      <c r="W12" s="31" t="inlineStr">
        <is>
          <t>Volume Spike &amp; Near 52W High Breakout</t>
        </is>
      </c>
      <c r="X12" s="31" t="inlineStr">
        <is>
          <t>Nifty 50</t>
        </is>
      </c>
      <c r="Y12" s="32" t="n">
        <v>-0.74</v>
      </c>
      <c r="Z12" s="32" t="n">
        <v>110.63</v>
      </c>
      <c r="AA12" s="32" t="n">
        <v>112.2</v>
      </c>
      <c r="AB12" s="32" t="n">
        <v>60.48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More than 1.2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IF(B13=0,"",RANK(B13,$B$2:$B$18,0))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139.6</v>
      </c>
      <c r="E13" s="32" t="inlineStr">
        <is>
          <t>5%</t>
        </is>
      </c>
      <c r="F13" s="32" t="n">
        <v>50000</v>
      </c>
      <c r="G13" s="32" t="n">
        <v>6</v>
      </c>
      <c r="H13" s="31" t="inlineStr">
        <is>
          <t>DIVISLAB</t>
        </is>
      </c>
      <c r="I13" s="31" t="inlineStr">
        <is>
          <t>Divi's Laboratories Limited</t>
        </is>
      </c>
      <c r="J13" s="31" t="inlineStr">
        <is>
          <t>healthcare</t>
        </is>
      </c>
      <c r="K13" s="31" t="inlineStr">
        <is>
          <t>pharmaceuticals - indian - bulk drugs</t>
        </is>
      </c>
      <c r="L13" s="31" t="inlineStr">
        <is>
          <t>largecap</t>
        </is>
      </c>
      <c r="M13" s="32" t="n">
        <v>207994.63</v>
      </c>
      <c r="N13" s="32" t="n">
        <v>8056</v>
      </c>
      <c r="O13" s="32" t="n">
        <v>2.82</v>
      </c>
      <c r="P13" s="32" t="n">
        <v>793919</v>
      </c>
      <c r="Q13" s="31" t="n">
        <v>49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80.42</v>
      </c>
      <c r="U13" s="32" t="n">
        <v>24.32</v>
      </c>
      <c r="V13" s="32" t="n">
        <v>6988.13</v>
      </c>
      <c r="W13" s="31" t="inlineStr">
        <is>
          <t>Volume Spike &amp; Near 52W High Breakout</t>
        </is>
      </c>
      <c r="X13" s="31" t="inlineStr">
        <is>
          <t>Nifty Pharma</t>
        </is>
      </c>
      <c r="Y13" s="32" t="n">
        <v>20.55</v>
      </c>
      <c r="Z13" s="32" t="n">
        <v>27.16</v>
      </c>
      <c r="AA13" s="32" t="n">
        <v>5.48</v>
      </c>
      <c r="AB13" s="32" t="n">
        <v>10.39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Yes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Annuity, Lower One Time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Between 12 to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IF(B14=0,"",RANK(B14,$B$2:$B$18,0))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138.7</v>
      </c>
      <c r="E14" s="32" t="inlineStr">
        <is>
          <t>5%</t>
        </is>
      </c>
      <c r="F14" s="32" t="n">
        <v>50000</v>
      </c>
      <c r="G14" s="32" t="n">
        <v>166</v>
      </c>
      <c r="H14" s="31" t="inlineStr">
        <is>
          <t>BLSE</t>
        </is>
      </c>
      <c r="I14" s="31" t="inlineStr">
        <is>
          <t>BLS E-Services Ltd</t>
        </is>
      </c>
      <c r="J14" s="31" t="inlineStr">
        <is>
          <t>i.t</t>
        </is>
      </c>
      <c r="K14" s="31" t="inlineStr">
        <is>
          <t>computers - software - medium / small</t>
        </is>
      </c>
      <c r="L14" s="31" t="inlineStr">
        <is>
          <t>smallcap</t>
        </is>
      </c>
      <c r="M14" s="32" t="n">
        <v>2677.72</v>
      </c>
      <c r="N14" s="32" t="n">
        <v>300.66</v>
      </c>
      <c r="O14" s="32" t="n">
        <v>2.02</v>
      </c>
      <c r="P14" s="32" t="n">
        <v>640755</v>
      </c>
      <c r="Q14" s="31" t="n">
        <v>83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81.42</v>
      </c>
      <c r="U14" s="32" t="n">
        <v>38.89</v>
      </c>
      <c r="V14" s="32" t="n">
        <v>236.85</v>
      </c>
      <c r="W14" s="31" t="inlineStr">
        <is>
          <t>Near 52W High Breakout</t>
        </is>
      </c>
      <c r="X14" s="31" t="inlineStr">
        <is>
          <t>Nifty IT</t>
        </is>
      </c>
      <c r="Y14" s="32" t="n">
        <v>-11.37</v>
      </c>
      <c r="Z14" s="32" t="n">
        <v>65.53</v>
      </c>
      <c r="AA14" s="32" t="n">
        <v>86.77</v>
      </c>
      <c r="AB14" s="32" t="n">
        <v>23.15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Between 50% to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IF(B15=0,"",RANK(B15,$B$2:$B$18,0))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139.7</v>
      </c>
      <c r="E15" s="32" t="inlineStr">
        <is>
          <t>5%</t>
        </is>
      </c>
      <c r="F15" s="32" t="n">
        <v>50000</v>
      </c>
      <c r="G15" s="32" t="n">
        <v>11</v>
      </c>
      <c r="H15" s="31" t="inlineStr">
        <is>
          <t>TVSMOTOR</t>
        </is>
      </c>
      <c r="I15" s="31" t="inlineStr">
        <is>
          <t>Tvs Motor Company Limited</t>
        </is>
      </c>
      <c r="J15" s="31" t="inlineStr">
        <is>
          <t>auto</t>
        </is>
      </c>
      <c r="K15" s="31" t="inlineStr">
        <is>
          <t>automobiles - motorcycles / mopeds</t>
        </is>
      </c>
      <c r="L15" s="31" t="inlineStr">
        <is>
          <t>largecap</t>
        </is>
      </c>
      <c r="M15" s="32" t="n">
        <v>199935.66</v>
      </c>
      <c r="N15" s="32" t="n">
        <v>4313.1</v>
      </c>
      <c r="O15" s="32" t="n">
        <v>2.49</v>
      </c>
      <c r="P15" s="32" t="n">
        <v>2991859</v>
      </c>
      <c r="Q15" s="31" t="n">
        <v>65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70.56</v>
      </c>
      <c r="U15" s="32" t="n">
        <v>13.42</v>
      </c>
      <c r="V15" s="32" t="n">
        <v>3578.55</v>
      </c>
      <c r="W15" s="31" t="inlineStr">
        <is>
          <t>Volume Spike &amp; Near 52W High Breakout</t>
        </is>
      </c>
      <c r="X15" s="31" t="inlineStr">
        <is>
          <t>Nifty Auto</t>
        </is>
      </c>
      <c r="Y15" s="32" t="n">
        <v>20.87</v>
      </c>
      <c r="Z15" s="32" t="n">
        <v>56</v>
      </c>
      <c r="AA15" s="32" t="n">
        <v>29.07</v>
      </c>
      <c r="AB15" s="32" t="n">
        <v>14.85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0 to 20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Less than 1.5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IF(B16=0,"",RANK(B16,$B$2:$B$18,0))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139.8</v>
      </c>
      <c r="E16" s="32" t="inlineStr">
        <is>
          <t>5%</t>
        </is>
      </c>
      <c r="F16" s="32" t="n">
        <v>50000</v>
      </c>
      <c r="G16" s="32" t="n">
        <v>10</v>
      </c>
      <c r="H16" s="31" t="inlineStr">
        <is>
          <t>TITAN</t>
        </is>
      </c>
      <c r="I16" s="31" t="inlineStr">
        <is>
          <t>Titan Company Limited</t>
        </is>
      </c>
      <c r="J16" s="31" t="inlineStr">
        <is>
          <t>consumer discretionary</t>
        </is>
      </c>
      <c r="K16" s="31" t="inlineStr">
        <is>
          <t>diamond cutting / jewellery</t>
        </is>
      </c>
      <c r="L16" s="31" t="inlineStr">
        <is>
          <t>largecap</t>
        </is>
      </c>
      <c r="M16" s="32" t="n">
        <v>430576.29</v>
      </c>
      <c r="N16" s="32" t="n">
        <v>4875.2</v>
      </c>
      <c r="O16" s="32" t="n">
        <v>0.52</v>
      </c>
      <c r="P16" s="32" t="n">
        <v>1003394</v>
      </c>
      <c r="Q16" s="31" t="n">
        <v>49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68.2</v>
      </c>
      <c r="U16" s="32" t="n">
        <v>18.82</v>
      </c>
      <c r="V16" s="32" t="n">
        <v>4228.41</v>
      </c>
      <c r="W16" s="31" t="inlineStr">
        <is>
          <t>Near 52W High Breakout</t>
        </is>
      </c>
      <c r="X16" s="31" t="inlineStr">
        <is>
          <t>Nifty 50</t>
        </is>
      </c>
      <c r="Y16" s="32" t="n">
        <v>-0.74</v>
      </c>
      <c r="Z16" s="32" t="n">
        <v>47.5</v>
      </c>
      <c r="AA16" s="32" t="n">
        <v>48.6</v>
      </c>
      <c r="AB16" s="32" t="n">
        <v>10.49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0 to 20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More than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IF(B17=0,"",RANK(B17,$B$2:$B$18,0))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139.7</v>
      </c>
      <c r="E17" s="32" t="inlineStr">
        <is>
          <t>5%</t>
        </is>
      </c>
      <c r="F17" s="32" t="n">
        <v>50000</v>
      </c>
      <c r="G17" s="32" t="n">
        <v>105</v>
      </c>
      <c r="H17" s="31" t="inlineStr">
        <is>
          <t>KAPSTON</t>
        </is>
      </c>
      <c r="I17" s="31" t="inlineStr">
        <is>
          <t>Kapston Services Ltd</t>
        </is>
      </c>
      <c r="J17" s="31" t="inlineStr">
        <is>
          <t>miscellaneous</t>
        </is>
      </c>
      <c r="K17" s="31" t="inlineStr">
        <is>
          <t>miscellaneous</t>
        </is>
      </c>
      <c r="L17" s="31" t="inlineStr">
        <is>
          <t>smallcap</t>
        </is>
      </c>
      <c r="M17" s="32" t="n">
        <v>1412.05</v>
      </c>
      <c r="N17" s="32" t="n">
        <v>474.9</v>
      </c>
      <c r="O17" s="32" t="n">
        <v>2.35</v>
      </c>
      <c r="P17" s="32" t="n">
        <v>48425</v>
      </c>
      <c r="Q17" s="31" t="n">
        <v>82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75.89</v>
      </c>
      <c r="U17" s="32" t="n">
        <v>24.08</v>
      </c>
      <c r="V17" s="32" t="n">
        <v>363.94</v>
      </c>
      <c r="W17" s="31" t="inlineStr">
        <is>
          <t>Near 52W High Breakout</t>
        </is>
      </c>
      <c r="X17" s="31" t="inlineStr">
        <is>
          <t>Nifty 50</t>
        </is>
      </c>
      <c r="Y17" s="32" t="n">
        <v>-0.74</v>
      </c>
      <c r="Z17" s="32" t="n">
        <v>83.7</v>
      </c>
      <c r="AA17" s="32" t="n">
        <v>85.06999999999999</v>
      </c>
      <c r="AB17" s="32" t="n">
        <v>22.23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20 to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Less than 50% and Borrowings are increasing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More than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IF(B18=0,"",RANK(B18,$B$2:$B$18,0))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EMA Crossover</t>
        </is>
      </c>
      <c r="D18" s="32" t="n">
        <v>146.3</v>
      </c>
      <c r="E18" s="32" t="inlineStr">
        <is>
          <t>7%</t>
        </is>
      </c>
      <c r="F18" s="32" t="n">
        <v>70000</v>
      </c>
      <c r="G18" s="32" t="n">
        <v>521</v>
      </c>
      <c r="H18" s="31" t="inlineStr">
        <is>
          <t>VHLTD</t>
        </is>
      </c>
      <c r="I18" s="31" t="inlineStr">
        <is>
          <t>Viceroy Hotels Ltd</t>
        </is>
      </c>
      <c r="J18" s="31" t="inlineStr">
        <is>
          <t>services</t>
        </is>
      </c>
      <c r="K18" s="31" t="inlineStr">
        <is>
          <t>hotels</t>
        </is>
      </c>
      <c r="L18" s="31" t="inlineStr">
        <is>
          <t>smallcap</t>
        </is>
      </c>
      <c r="M18" s="32" t="n">
        <v>879.13</v>
      </c>
      <c r="N18" s="32" t="n">
        <v>134.44</v>
      </c>
      <c r="O18" s="32" t="n">
        <v>3.34</v>
      </c>
      <c r="P18" s="32" t="n">
        <v>19927</v>
      </c>
      <c r="Q18" s="31" t="n">
        <v>21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49.19</v>
      </c>
      <c r="U18" s="32" t="n">
        <v>13.92</v>
      </c>
      <c r="V18" s="32" t="n">
        <v>111.3</v>
      </c>
      <c r="W18" s="31" t="inlineStr">
        <is>
          <t>Earnings / Momentum Support</t>
        </is>
      </c>
      <c r="X18" s="31" t="inlineStr">
        <is>
          <t>Nifty 50</t>
        </is>
      </c>
      <c r="Y18" s="32" t="n">
        <v>-0.74</v>
      </c>
      <c r="Z18" s="32" t="n">
        <v>27.94</v>
      </c>
      <c r="AA18" s="32" t="n">
        <v>28.89</v>
      </c>
      <c r="AB18" s="32" t="n">
        <v>4.55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Headwind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No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Below 45</t>
        </is>
      </c>
      <c r="BF18" s="31">
        <f>IF(BE18="Between 50 to 75",10,IF(BE18="Above 75",0,0))</f>
        <v/>
      </c>
      <c r="BG18" s="31" t="inlineStr">
        <is>
          <t>Stage 4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Close to 52 week high or retracement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</sheetData>
  <autoFilter ref="A1:CJ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8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8">
    <cfRule type="cellIs" priority="36" operator="equal" dxfId="3" stopIfTrue="1">
      <formula>"Underperforming"</formula>
    </cfRule>
  </conditionalFormatting>
  <conditionalFormatting sqref="S2:S18">
    <cfRule type="cellIs" priority="37" operator="equal" dxfId="3" stopIfTrue="1">
      <formula>-5</formula>
    </cfRule>
  </conditionalFormatting>
  <conditionalFormatting sqref="V2:V18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8" showDropDown="0" showInputMessage="0" showErrorMessage="0" allowBlank="1" type="list">
      <formula1>"Growing Industry,Stagnant Industry,Cyclical in an Upturn"</formula1>
    </dataValidation>
    <dataValidation sqref="AE2:AE18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8" showDropDown="0" showInputMessage="0" showErrorMessage="0" allowBlank="1" type="list">
      <formula1>"Yes,No"</formula1>
    </dataValidation>
    <dataValidation sqref="AI2:AI18" showDropDown="0" showInputMessage="0" showErrorMessage="0" allowBlank="1" type="list">
      <formula1>"Tailwind,Headwind"</formula1>
    </dataValidation>
    <dataValidation sqref="AK2:AK18" showDropDown="0" showInputMessage="0" showErrorMessage="0" allowBlank="1" type="list">
      <formula1>"Structural (10 Years Consistency),Shallow Cyclical (2 to 3 Years Growth),Cyclical"</formula1>
    </dataValidation>
    <dataValidation sqref="AM2:AM18" showDropDown="0" showInputMessage="0" showErrorMessage="0" allowBlank="1" type="list">
      <formula1>"Yes due to Product Mix change or Operating Leverage,Yes, these are peak margins,No"</formula1>
    </dataValidation>
    <dataValidation sqref="AO2:AO18" showDropDown="0" showInputMessage="0" showErrorMessage="0" allowBlank="1" type="list">
      <formula1>"Stable,Volatile"</formula1>
    </dataValidation>
    <dataValidation sqref="AQ2:AQ18" showDropDown="0" showInputMessage="0" showErrorMessage="0" allowBlank="1" type="list">
      <formula1>"Yes,No"</formula1>
    </dataValidation>
    <dataValidation sqref="AS2:AS18" showDropDown="0" showInputMessage="0" showErrorMessage="0" allowBlank="1" type="list">
      <formula1>"B2C,B2B,B2G"</formula1>
    </dataValidation>
    <dataValidation sqref="AU2:AU18" showDropDown="0" showInputMessage="0" showErrorMessage="0" allowBlank="1" type="list">
      <formula1>"Yes,No"</formula1>
    </dataValidation>
    <dataValidation sqref="AW2:AW18" showDropDown="0" showInputMessage="0" showErrorMessage="0" allowBlank="1" type="list">
      <formula1>"Fully Annuity,Higher Annuity, Lower One time,Higher One Time, Lower Annuity,Fully One Time"</formula1>
    </dataValidation>
    <dataValidation sqref="AY2:AY18" showDropDown="0" showInputMessage="0" showErrorMessage="0" allowBlank="1" type="list">
      <formula1>"Good,Allocated capital in Non-core Areas"</formula1>
    </dataValidation>
    <dataValidation sqref="BA2:BA18" showDropDown="0" showInputMessage="0" showErrorMessage="0" allowBlank="1" type="list">
      <formula1>"Yes for more than 2 years,Yes only for next 1 to 2 years,No"</formula1>
    </dataValidation>
    <dataValidation sqref="BC2:BC18" showDropDown="0" showInputMessage="0" showErrorMessage="0" allowBlank="1" type="list">
      <formula1>"Above 40,20 to 40,0 to 20"</formula1>
    </dataValidation>
    <dataValidation sqref="BE2:BE18" showDropDown="0" showInputMessage="0" showErrorMessage="0" allowBlank="1" type="list">
      <formula1>"Between 50 to 75,Above 75,Below 45"</formula1>
    </dataValidation>
    <dataValidation sqref="BG2:BG18" showDropDown="0" showInputMessage="0" showErrorMessage="0" allowBlank="1" type="list">
      <formula1>"Stage 1,Stage 2,Stage 3,Stage 4"</formula1>
    </dataValidation>
    <dataValidation sqref="BI2:BI18" showDropDown="0" showInputMessage="0" showErrorMessage="0" allowBlank="1" type="list">
      <formula1>"Positive Trend,Negative Trend"</formula1>
    </dataValidation>
    <dataValidation sqref="BK2:BK18" showDropDown="0" showInputMessage="0" showErrorMessage="0" allowBlank="1" type="list">
      <formula1>"Uptrend,Sideways,Downtrend"</formula1>
    </dataValidation>
    <dataValidation sqref="BM2:BM18" showDropDown="0" showInputMessage="0" showErrorMessage="0" allowBlank="1" type="list">
      <formula1>"Uptrend,Sideways,Downtrend"</formula1>
    </dataValidation>
    <dataValidation sqref="BO2:BO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8" showDropDown="0" showInputMessage="0" showErrorMessage="0" allowBlank="1" type="list">
      <formula1>"Yes,No"</formula1>
    </dataValidation>
    <dataValidation sqref="BS2:BS18" showDropDown="0" showInputMessage="0" showErrorMessage="0" allowBlank="1" type="list">
      <formula1>"More than 20%,Between 12 to 20%,Less than 12%"</formula1>
    </dataValidation>
    <dataValidation sqref="BU2:BU18" showDropDown="0" showInputMessage="0" showErrorMessage="0" allowBlank="1" type="list">
      <formula1>"Yes,No"</formula1>
    </dataValidation>
    <dataValidation sqref="BW2:BW18" showDropDown="0" showInputMessage="0" showErrorMessage="0" allowBlank="1" type="list">
      <formula1>"Yes,No"</formula1>
    </dataValidation>
    <dataValidation sqref="BY2:BY18" showDropDown="0" showInputMessage="0" showErrorMessage="0" allowBlank="1" type="list">
      <formula1>"Above 2,Between 1.5 to 2,Less than 1.5"</formula1>
    </dataValidation>
    <dataValidation sqref="CA2:CA18" showDropDown="0" showInputMessage="0" showErrorMessage="0" allowBlank="1" type="list">
      <formula1>"Above 70%,Between 50% to 70%,Less than 50%,Less than 50% and Borrowings are increasing,Negative"</formula1>
    </dataValidation>
    <dataValidation sqref="CC2:CC18" showDropDown="0" showInputMessage="0" showErrorMessage="0" allowBlank="1" type="list">
      <formula1>"More than 1.2,Between 0.7 to 1.2,Less than 0.7"</formula1>
    </dataValidation>
    <dataValidation sqref="CE2:CE18" showDropDown="0" showInputMessage="0" showErrorMessage="0" allowBlank="1" type="list">
      <formula1>"Yes,No"</formula1>
    </dataValidation>
    <dataValidation sqref="CG2:CG18" showDropDown="0" showInputMessage="0" showErrorMessage="0" allowBlank="1" type="list">
      <formula1>"More than 15%,Less than 15%"</formula1>
    </dataValidation>
    <dataValidation sqref="CI2:CI18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6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IF(B2=0,"",RANK(B2,$B$2:$B$6,0))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139.2</v>
      </c>
      <c r="E2" s="32" t="inlineStr">
        <is>
          <t>5%</t>
        </is>
      </c>
      <c r="F2" s="32" t="n">
        <v>50000</v>
      </c>
      <c r="G2" s="32" t="n">
        <v>490</v>
      </c>
      <c r="H2" s="31" t="inlineStr">
        <is>
          <t>TFCILTD</t>
        </is>
      </c>
      <c r="I2" s="31" t="inlineStr">
        <is>
          <t>Tourism Finance Corporation Of India Limited</t>
        </is>
      </c>
      <c r="J2" s="31" t="inlineStr">
        <is>
          <t>financials</t>
        </is>
      </c>
      <c r="K2" s="31" t="inlineStr">
        <is>
          <t>finance - term-lending institutions</t>
        </is>
      </c>
      <c r="L2" s="31" t="inlineStr">
        <is>
          <t>smallcap</t>
        </is>
      </c>
      <c r="M2" s="32" t="n">
        <v>4676.07</v>
      </c>
      <c r="N2" s="32" t="n">
        <v>101.87</v>
      </c>
      <c r="O2" s="32" t="n">
        <v>0.86</v>
      </c>
      <c r="P2" s="32" t="n">
        <v>14183735</v>
      </c>
      <c r="Q2" s="31" t="n">
        <v>82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73.88</v>
      </c>
      <c r="U2" s="32" t="n">
        <v>44.76</v>
      </c>
      <c r="V2" s="32" t="n">
        <v>78.31</v>
      </c>
      <c r="W2" s="31" t="inlineStr">
        <is>
          <t>Volume Spike &amp; Near 52W High Breakout</t>
        </is>
      </c>
      <c r="X2" s="31" t="inlineStr">
        <is>
          <t>Nifty Bank</t>
        </is>
      </c>
      <c r="Y2" s="32" t="n">
        <v>2.96</v>
      </c>
      <c r="Z2" s="32" t="n">
        <v>80.73</v>
      </c>
      <c r="AA2" s="32" t="n">
        <v>75.53</v>
      </c>
      <c r="AB2" s="32" t="n">
        <v>22.14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IF(B3=0,"",RANK(B3,$B$2:$B$6,0))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137.9</v>
      </c>
      <c r="E3" s="32" t="inlineStr">
        <is>
          <t>5%</t>
        </is>
      </c>
      <c r="F3" s="32" t="n">
        <v>50000</v>
      </c>
      <c r="G3" s="32" t="n">
        <v>696</v>
      </c>
      <c r="H3" s="31" t="inlineStr">
        <is>
          <t>UJJIVANSFB</t>
        </is>
      </c>
      <c r="I3" s="31" t="inlineStr">
        <is>
          <t>Ujjivan Small Finance Bank Ltd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midcap</t>
        </is>
      </c>
      <c r="M3" s="32" t="n">
        <v>13680.98</v>
      </c>
      <c r="N3" s="32" t="n">
        <v>71.75</v>
      </c>
      <c r="O3" s="32" t="n">
        <v>2.02</v>
      </c>
      <c r="P3" s="32" t="n">
        <v>18164025</v>
      </c>
      <c r="Q3" s="31" t="n">
        <v>71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69.14</v>
      </c>
      <c r="U3" s="32" t="n">
        <v>31.4</v>
      </c>
      <c r="V3" s="32" t="n">
        <v>56.53</v>
      </c>
      <c r="W3" s="31" t="inlineStr">
        <is>
          <t>Near 52W High Breakout</t>
        </is>
      </c>
      <c r="X3" s="31" t="inlineStr">
        <is>
          <t>Nifty Bank</t>
        </is>
      </c>
      <c r="Y3" s="32" t="n">
        <v>2.96</v>
      </c>
      <c r="Z3" s="32" t="n">
        <v>66.01000000000001</v>
      </c>
      <c r="AA3" s="32" t="n">
        <v>61.24</v>
      </c>
      <c r="AB3" s="32" t="n">
        <v>16.75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IF(B4=0,"",RANK(B4,$B$2:$B$6,0))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138.8</v>
      </c>
      <c r="E4" s="32" t="inlineStr">
        <is>
          <t>5%</t>
        </is>
      </c>
      <c r="F4" s="32" t="n">
        <v>50000</v>
      </c>
      <c r="G4" s="32" t="n">
        <v>146</v>
      </c>
      <c r="H4" s="31" t="inlineStr">
        <is>
          <t>KARURVYSYA</t>
        </is>
      </c>
      <c r="I4" s="31" t="inlineStr">
        <is>
          <t>Karur Vysya Bank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largecap</t>
        </is>
      </c>
      <c r="M4" s="32" t="n">
        <v>32895.74</v>
      </c>
      <c r="N4" s="32" t="n">
        <v>342.45</v>
      </c>
      <c r="O4" s="32" t="n">
        <v>0.63</v>
      </c>
      <c r="P4" s="32" t="n">
        <v>2390168</v>
      </c>
      <c r="Q4" s="31" t="n">
        <v>62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70.36</v>
      </c>
      <c r="U4" s="32" t="n">
        <v>17.16</v>
      </c>
      <c r="V4" s="32" t="n">
        <v>281.41</v>
      </c>
      <c r="W4" s="31" t="inlineStr">
        <is>
          <t>Near 52W High Breakout</t>
        </is>
      </c>
      <c r="X4" s="31" t="inlineStr">
        <is>
          <t>Nifty Bank</t>
        </is>
      </c>
      <c r="Y4" s="32" t="n">
        <v>2.96</v>
      </c>
      <c r="Z4" s="32" t="n">
        <v>61.07</v>
      </c>
      <c r="AA4" s="32" t="n">
        <v>56.43</v>
      </c>
      <c r="AB4" s="32" t="n">
        <v>13.78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0 to 20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IF(B5=0,"",RANK(B5,$B$2:$B$6,0))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137.5</v>
      </c>
      <c r="E5" s="32" t="inlineStr">
        <is>
          <t>5%</t>
        </is>
      </c>
      <c r="F5" s="32" t="n">
        <v>50000</v>
      </c>
      <c r="G5" s="32" t="n">
        <v>134</v>
      </c>
      <c r="H5" s="31" t="inlineStr">
        <is>
          <t>MANAPPURAM</t>
        </is>
      </c>
      <c r="I5" s="31" t="inlineStr">
        <is>
          <t>Manappuram Finance Limited</t>
        </is>
      </c>
      <c r="J5" s="31" t="inlineStr">
        <is>
          <t>financials</t>
        </is>
      </c>
      <c r="K5" s="31" t="inlineStr">
        <is>
          <t>finance &amp; investments</t>
        </is>
      </c>
      <c r="L5" s="31" t="inlineStr">
        <is>
          <t>largecap</t>
        </is>
      </c>
      <c r="M5" s="32" t="n">
        <v>34600.45</v>
      </c>
      <c r="N5" s="32" t="n">
        <v>371.9</v>
      </c>
      <c r="O5" s="32" t="n">
        <v>0.96</v>
      </c>
      <c r="P5" s="32" t="n">
        <v>6553842</v>
      </c>
      <c r="Q5" s="31" t="n">
        <v>64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69.25</v>
      </c>
      <c r="U5" s="32" t="n">
        <v>17.04</v>
      </c>
      <c r="V5" s="32" t="n">
        <v>301.67</v>
      </c>
      <c r="W5" s="31" t="inlineStr">
        <is>
          <t>Volume Spike &amp; Near 52W High Breakout</t>
        </is>
      </c>
      <c r="X5" s="31" t="inlineStr">
        <is>
          <t>Nifty Bank</t>
        </is>
      </c>
      <c r="Y5" s="32" t="n">
        <v>2.96</v>
      </c>
      <c r="Z5" s="32" t="n">
        <v>51.06</v>
      </c>
      <c r="AA5" s="32" t="n">
        <v>46.72</v>
      </c>
      <c r="AB5" s="32" t="n">
        <v>14.31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less than 2.5x and Growth more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0 to 20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  <row r="6">
      <c r="A6" s="31">
        <f>IF(B6=0,"",RANK(B6,$B$2:$B$6,0))</f>
        <v/>
      </c>
      <c r="B6" s="32">
        <f>SUM(S6,AD6,AF6,AH6,AJ6,AL6,AN6,AP6,AR6,AT6,AV6,AX6,AZ6,BB6,BD6,BF6,BH6,BJ6,BL6,BN6,BP6,BR6,BT6,BV6,BX6,BZ6,CB6,CD6,CF6)</f>
        <v/>
      </c>
      <c r="C6" s="31" t="inlineStr">
        <is>
          <t>52W Breakout</t>
        </is>
      </c>
      <c r="D6" s="32" t="n">
        <v>139.1</v>
      </c>
      <c r="E6" s="32" t="inlineStr">
        <is>
          <t>5%</t>
        </is>
      </c>
      <c r="F6" s="32" t="n">
        <v>50000</v>
      </c>
      <c r="G6" s="32" t="n">
        <v>43</v>
      </c>
      <c r="H6" s="31" t="inlineStr">
        <is>
          <t>BAJFINANCE</t>
        </is>
      </c>
      <c r="I6" s="31" t="inlineStr">
        <is>
          <t>Bajaj Finance Limited</t>
        </is>
      </c>
      <c r="J6" s="31" t="inlineStr">
        <is>
          <t>financials</t>
        </is>
      </c>
      <c r="K6" s="31" t="inlineStr">
        <is>
          <t>finance &amp; investments</t>
        </is>
      </c>
      <c r="L6" s="31" t="inlineStr">
        <is>
          <t>largecap</t>
        </is>
      </c>
      <c r="M6" s="32" t="n">
        <v>655904.29</v>
      </c>
      <c r="N6" s="32" t="n">
        <v>1141.2</v>
      </c>
      <c r="O6" s="32" t="n">
        <v>8.32</v>
      </c>
      <c r="P6" s="32" t="n">
        <v>40814590</v>
      </c>
      <c r="Q6" s="31" t="n">
        <v>51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68</v>
      </c>
      <c r="U6" s="32" t="n">
        <v>14.78</v>
      </c>
      <c r="V6" s="32" t="n">
        <v>944.26</v>
      </c>
      <c r="W6" s="31" t="inlineStr">
        <is>
          <t>Near 52W High Breakout</t>
        </is>
      </c>
      <c r="X6" s="31" t="inlineStr">
        <is>
          <t>Nifty Bank</t>
        </is>
      </c>
      <c r="Y6" s="32" t="n">
        <v>2.96</v>
      </c>
      <c r="Z6" s="32" t="n">
        <v>31.13</v>
      </c>
      <c r="AA6" s="32" t="n">
        <v>27.36</v>
      </c>
      <c r="AB6" s="32" t="n">
        <v>10.91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Fragmented with High ROE</t>
        </is>
      </c>
      <c r="AF6" s="31">
        <f>IF(AE6="Fragmented with Low ROE",-5,IF(AE6="Fragmented with High ROE",10,IF(AE6= "highly cyclical",5,0)))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Consistency)",15,IF(AK6="Shallow Cyclical (2 to 3 years growth)",10,IF(AK6 = "Cyclical in an Uptick",5,IF(AK6 = "Cyclical in an Downtick",-10,0))))</f>
        <v/>
      </c>
      <c r="AM6" s="31" t="inlineStr">
        <is>
          <t>Yes</t>
        </is>
      </c>
      <c r="AN6" s="31">
        <f>IF(AM6="Yes",10,0)</f>
        <v/>
      </c>
      <c r="AO6" s="31" t="inlineStr">
        <is>
          <t>Yes</t>
        </is>
      </c>
      <c r="AP6" s="31">
        <f>IF(AO6="Yes",10,0)</f>
        <v/>
      </c>
      <c r="AQ6" s="31" t="n"/>
      <c r="AR6" s="31">
        <f>IF(AQ6="No",10,0)</f>
        <v/>
      </c>
      <c r="AS6" s="31" t="inlineStr">
        <is>
          <t>Yes</t>
        </is>
      </c>
      <c r="AT6" s="31">
        <f>IF(AS6="Yes",10,0)</f>
        <v/>
      </c>
      <c r="AU6" s="31" t="inlineStr">
        <is>
          <t>Yes</t>
        </is>
      </c>
      <c r="AV6" s="31">
        <f>IF(AU6="Yes",10,0)</f>
        <v/>
      </c>
      <c r="AW6" s="31" t="inlineStr">
        <is>
          <t>Yes</t>
        </is>
      </c>
      <c r="AX6" s="31">
        <f>IF(AW6="Yes",5,0)</f>
        <v/>
      </c>
      <c r="AY6" s="31" t="inlineStr">
        <is>
          <t>No</t>
        </is>
      </c>
      <c r="AZ6" s="31">
        <f>IF(AY6="No",10,IF(AY6="Yes",-10,0))</f>
        <v/>
      </c>
      <c r="BA6" s="31" t="inlineStr">
        <is>
          <t>No</t>
        </is>
      </c>
      <c r="BB6" s="31">
        <f>IF(BA6="No",10,0)</f>
        <v/>
      </c>
      <c r="BC6" s="31" t="inlineStr">
        <is>
          <t>No</t>
        </is>
      </c>
      <c r="BD6" s="31">
        <f>IF(BC6="No",10,IF(BC6= "Yes CEO Resignation",-5,0))</f>
        <v/>
      </c>
      <c r="BE6" s="31" t="inlineStr">
        <is>
          <t>No</t>
        </is>
      </c>
      <c r="BF6" s="31">
        <f>IF(BE6="No",10,IF(BE6="Yes",-5,0))</f>
        <v/>
      </c>
      <c r="BG6" s="31" t="inlineStr">
        <is>
          <t>No</t>
        </is>
      </c>
      <c r="BH6" s="31">
        <f>IF(BG6="No",5,IF(BG6="Yes",-5,0))</f>
        <v/>
      </c>
      <c r="BI6" s="31" t="inlineStr">
        <is>
          <t>Yes</t>
        </is>
      </c>
      <c r="BJ6" s="31">
        <f>IF(BI6="Yes",10,0)</f>
        <v/>
      </c>
      <c r="BK6" s="31" t="inlineStr">
        <is>
          <t>Yes</t>
        </is>
      </c>
      <c r="BL6" s="31">
        <f>IF(BK6="Yes",10,0)</f>
        <v/>
      </c>
      <c r="BM6" s="31" t="inlineStr">
        <is>
          <t>Yes</t>
        </is>
      </c>
      <c r="BN6" s="31">
        <f>IF(BM6="Yes",10,0)</f>
        <v/>
      </c>
      <c r="BO6" s="31" t="inlineStr">
        <is>
          <t>P/BV above 5x</t>
        </is>
      </c>
      <c r="BP6" s="31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1" t="inlineStr">
        <is>
          <t>0 to 20</t>
        </is>
      </c>
      <c r="BR6" s="31">
        <f>IF(BQ6="Above 40",20,IF(BQ6="20 to 40",10,IF(BQ6="0 to 20",-5,0)))</f>
        <v/>
      </c>
      <c r="BS6" s="31" t="inlineStr">
        <is>
          <t>Between 50 to 75</t>
        </is>
      </c>
      <c r="BT6" s="31">
        <f>IF(BS6="Between 50 to 75",10,IF(BS6="Above 75",0,0))</f>
        <v/>
      </c>
      <c r="BU6" s="31" t="inlineStr">
        <is>
          <t>Stage 2</t>
        </is>
      </c>
      <c r="BV6" s="31">
        <f>IF(BU6="Stage 2",20,IF(BU6="Stage 1",0,IF(BU6="Stage 3",5,IF(BU6="Stage 4",-5,0))))</f>
        <v/>
      </c>
      <c r="BW6" s="31" t="inlineStr">
        <is>
          <t>Positive Trend</t>
        </is>
      </c>
      <c r="BX6" s="31">
        <f>IF(BW6="Positive Trend",20,IF(BW6="Negative Trend",-10,0))</f>
        <v/>
      </c>
      <c r="BY6" s="31" t="inlineStr">
        <is>
          <t>Uptrend</t>
        </is>
      </c>
      <c r="BZ6" s="31">
        <f>IF(BY6="Uptrend",10,IF(BY6="Sideways",5,0))</f>
        <v/>
      </c>
      <c r="CA6" s="31" t="inlineStr">
        <is>
          <t>Uptrend</t>
        </is>
      </c>
      <c r="CB6" s="31">
        <f>IF(CA6="Uptrend",10,IF(CA6="Sideways",5,0))</f>
        <v/>
      </c>
      <c r="CC6" s="31" t="inlineStr">
        <is>
          <t>Blue sky scenario</t>
        </is>
      </c>
      <c r="CD6" s="31">
        <f>IF(CC6="Overhead supply in last 2 years in last 2 years",-5,IF(CC6="Close to 52 week high or retracement",5,IF(CC6="Blue sky scenario",10,IF(CC6="Long term Downtrend",-10,0))))</f>
        <v/>
      </c>
      <c r="CE6" s="31" t="inlineStr">
        <is>
          <t>Yes</t>
        </is>
      </c>
      <c r="CF6" s="31">
        <f>IF(CE6="Yes",10,0)</f>
        <v/>
      </c>
    </row>
  </sheetData>
  <autoFilter ref="A1:CF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6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6">
    <cfRule type="cellIs" priority="34" operator="equal" dxfId="3" stopIfTrue="1">
      <formula>"Underperforming"</formula>
    </cfRule>
  </conditionalFormatting>
  <conditionalFormatting sqref="S2:S6">
    <cfRule type="cellIs" priority="35" operator="equal" dxfId="3" stopIfTrue="1">
      <formula>-5</formula>
    </cfRule>
  </conditionalFormatting>
  <conditionalFormatting sqref="V2:V6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6" showDropDown="0" showInputMessage="0" showErrorMessage="0" allowBlank="1" type="list">
      <formula1>"Growing Industry,Stagnant Industry,Cyclical in an Upturn"</formula1>
    </dataValidation>
    <dataValidation sqref="AE2:AE6" showDropDown="0" showInputMessage="0" showErrorMessage="0" allowBlank="1" type="list">
      <formula1>"Fragmented with Low ROE,Fragmented with High ROE,Highly Cyclical"</formula1>
    </dataValidation>
    <dataValidation sqref="AG2:AG6" showDropDown="0" showInputMessage="0" showErrorMessage="0" allowBlank="1" type="list">
      <formula1>"Yes,No"</formula1>
    </dataValidation>
    <dataValidation sqref="AI2:AI6" showDropDown="0" showInputMessage="0" showErrorMessage="0" allowBlank="1" type="list">
      <formula1>"Tailwind,Headwind"</formula1>
    </dataValidation>
    <dataValidation sqref="AK2:AK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6" showDropDown="0" showInputMessage="0" showErrorMessage="0" allowBlank="1" type="list">
      <formula1>"Yes,No"</formula1>
    </dataValidation>
    <dataValidation sqref="AO2:AO6" showDropDown="0" showInputMessage="0" showErrorMessage="0" allowBlank="1" type="list">
      <formula1>"Yes,No,Not Applicable"</formula1>
    </dataValidation>
    <dataValidation sqref="AQ2:AQ6" showDropDown="0" showInputMessage="0" showErrorMessage="0" allowBlank="1" type="list">
      <formula1>"Yes,No"</formula1>
    </dataValidation>
    <dataValidation sqref="AS2:AS6" showDropDown="0" showInputMessage="0" showErrorMessage="0" allowBlank="1" type="list">
      <formula1>"Yes,No"</formula1>
    </dataValidation>
    <dataValidation sqref="AU2:AU6" showDropDown="0" showInputMessage="0" showErrorMessage="0" allowBlank="1" type="list">
      <formula1>"Yes,No"</formula1>
    </dataValidation>
    <dataValidation sqref="AW2:AW6" showDropDown="0" showInputMessage="0" showErrorMessage="0" allowBlank="1" type="list">
      <formula1>"Yes,No"</formula1>
    </dataValidation>
    <dataValidation sqref="AY2:AY6" showDropDown="0" showInputMessage="0" showErrorMessage="0" allowBlank="1" type="list">
      <formula1>"No,Yes"</formula1>
    </dataValidation>
    <dataValidation sqref="BA2:BA6" showDropDown="0" showInputMessage="0" showErrorMessage="0" allowBlank="1" type="list">
      <formula1>"No,Yes"</formula1>
    </dataValidation>
    <dataValidation sqref="BC2:BC6" showDropDown="0" showInputMessage="0" showErrorMessage="0" allowBlank="1" type="list">
      <formula1>"No,Yes CEO Resignation,Yes CEO Retirement"</formula1>
    </dataValidation>
    <dataValidation sqref="BE2:BE6" showDropDown="0" showInputMessage="0" showErrorMessage="0" allowBlank="1" type="list">
      <formula1>"No,Yes"</formula1>
    </dataValidation>
    <dataValidation sqref="BG2:BG6" showDropDown="0" showInputMessage="0" showErrorMessage="0" allowBlank="1" type="list">
      <formula1>"No,Yes"</formula1>
    </dataValidation>
    <dataValidation sqref="BI2:BI6" showDropDown="0" showInputMessage="0" showErrorMessage="0" allowBlank="1" type="list">
      <formula1>"Yes,No"</formula1>
    </dataValidation>
    <dataValidation sqref="BK2:BK6" showDropDown="0" showInputMessage="0" showErrorMessage="0" allowBlank="1" type="list">
      <formula1>"Yes,No"</formula1>
    </dataValidation>
    <dataValidation sqref="BM2:BM6" showDropDown="0" showInputMessage="0" showErrorMessage="0" allowBlank="1" type="list">
      <formula1>"Yes,No"</formula1>
    </dataValidation>
    <dataValidation sqref="BO2:BO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6" showDropDown="0" showInputMessage="0" showErrorMessage="0" allowBlank="1" type="list">
      <formula1>"Above 40,20 to 40,0 to 20"</formula1>
    </dataValidation>
    <dataValidation sqref="BS2:BS6" showDropDown="0" showInputMessage="0" showErrorMessage="0" allowBlank="1" type="list">
      <formula1>"Between 50 to 75,Above 75,Below 45"</formula1>
    </dataValidation>
    <dataValidation sqref="BU2:BU6" showDropDown="0" showInputMessage="0" showErrorMessage="0" allowBlank="1" type="list">
      <formula1>"Stage 1,Stage 2,Stage 3,Stage 4"</formula1>
    </dataValidation>
    <dataValidation sqref="BW2:BW6" showDropDown="0" showInputMessage="0" showErrorMessage="0" allowBlank="1" type="list">
      <formula1>"Positive Trend,Negative Trend"</formula1>
    </dataValidation>
    <dataValidation sqref="BY2:BY6" showDropDown="0" showInputMessage="0" showErrorMessage="0" allowBlank="1" type="list">
      <formula1>"Uptrend,Sideways,Downtrend"</formula1>
    </dataValidation>
    <dataValidation sqref="CA2:CA6" showDropDown="0" showInputMessage="0" showErrorMessage="0" allowBlank="1" type="list">
      <formula1>"Uptrend,Sideways,Downtrend"</formula1>
    </dataValidation>
    <dataValidation sqref="CC2:CC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9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IF(B2=0,"",RANK(B2,$B$2:$B$84,0))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E2E</t>
        </is>
      </c>
      <c r="D2" s="31" t="inlineStr">
        <is>
          <t>E2E Networks Ltd</t>
        </is>
      </c>
      <c r="E2" s="31" t="inlineStr">
        <is>
          <t>i.t</t>
        </is>
      </c>
      <c r="F2" s="31" t="inlineStr">
        <is>
          <t>Data Centre</t>
        </is>
      </c>
      <c r="G2" s="31" t="inlineStr">
        <is>
          <t>midcap</t>
        </is>
      </c>
      <c r="H2" s="32" t="n">
        <v>10630.79</v>
      </c>
      <c r="I2" s="32" t="n">
        <v>517.15</v>
      </c>
      <c r="J2" s="32" t="n">
        <v>4.99</v>
      </c>
      <c r="K2" s="32" t="n">
        <v>0</v>
      </c>
      <c r="L2" s="31" t="n">
        <v>97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71.18000000000001</v>
      </c>
      <c r="P2" s="32" t="n">
        <v>45.13</v>
      </c>
      <c r="Q2" s="32" t="n">
        <v>354.19</v>
      </c>
      <c r="R2" s="31" t="inlineStr">
        <is>
          <t>Near 52W High Breakout</t>
        </is>
      </c>
      <c r="S2" s="31" t="inlineStr">
        <is>
          <t>Nifty IT</t>
        </is>
      </c>
      <c r="T2" s="32" t="n">
        <v>-11.37</v>
      </c>
      <c r="U2" s="32" t="n">
        <v>150.34</v>
      </c>
      <c r="V2" s="32" t="n">
        <v>182.46</v>
      </c>
      <c r="W2" s="32" t="n">
        <v>41.64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Above 2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IF(B3=0,"",RANK(B3,$B$2:$B$84,0))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MENONBE</t>
        </is>
      </c>
      <c r="D3" s="31" t="inlineStr">
        <is>
          <t>Menon Bearings Ltd</t>
        </is>
      </c>
      <c r="E3" s="31" t="inlineStr">
        <is>
          <t>auto</t>
        </is>
      </c>
      <c r="F3" s="31" t="inlineStr">
        <is>
          <t>Auto Ancillaries - Bearings</t>
        </is>
      </c>
      <c r="G3" s="31" t="inlineStr">
        <is>
          <t>smallcap</t>
        </is>
      </c>
      <c r="H3" s="32" t="n">
        <v>1177.12</v>
      </c>
      <c r="I3" s="32" t="n">
        <v>210.05</v>
      </c>
      <c r="J3" s="32" t="n">
        <v>-2.29</v>
      </c>
      <c r="K3" s="32" t="n">
        <v>0</v>
      </c>
      <c r="L3" s="31" t="n">
        <v>91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75.01000000000001</v>
      </c>
      <c r="P3" s="32" t="n">
        <v>48.62</v>
      </c>
      <c r="Q3" s="32" t="n">
        <v>160.51</v>
      </c>
      <c r="R3" s="31" t="inlineStr">
        <is>
          <t>Near 52W High Breakout</t>
        </is>
      </c>
      <c r="S3" s="31" t="inlineStr">
        <is>
          <t>Nifty Auto</t>
        </is>
      </c>
      <c r="T3" s="32" t="n">
        <v>20.87</v>
      </c>
      <c r="U3" s="32" t="n">
        <v>65.7</v>
      </c>
      <c r="V3" s="32" t="n">
        <v>37.09</v>
      </c>
      <c r="W3" s="32" t="n">
        <v>30.08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18</t>
        </is>
      </c>
      <c r="CG3" s="31">
        <f>IF(CF3&gt;20,10,IF(CF3&gt;=10,5,2))</f>
        <v/>
      </c>
    </row>
    <row r="4">
      <c r="A4" s="31">
        <f>IF(B4=0,"",RANK(B4,$B$2:$B$84,0))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HUHTAMAKI</t>
        </is>
      </c>
      <c r="D4" s="31" t="inlineStr">
        <is>
          <t>Huhtamaki India Ltd</t>
        </is>
      </c>
      <c r="E4" s="31" t="inlineStr">
        <is>
          <t>industrials</t>
        </is>
      </c>
      <c r="F4" s="31" t="inlineStr">
        <is>
          <t>Packaging - FMCG/Consumers</t>
        </is>
      </c>
      <c r="G4" s="31" t="inlineStr">
        <is>
          <t>smallcap</t>
        </is>
      </c>
      <c r="H4" s="32" t="n">
        <v>2258.11</v>
      </c>
      <c r="I4" s="32" t="n">
        <v>299</v>
      </c>
      <c r="J4" s="32" t="n">
        <v>0.14</v>
      </c>
      <c r="K4" s="32" t="n">
        <v>0</v>
      </c>
      <c r="L4" s="31" t="n">
        <v>84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73.55</v>
      </c>
      <c r="P4" s="32" t="n">
        <v>24.12</v>
      </c>
      <c r="Q4" s="32" t="n">
        <v>242.45</v>
      </c>
      <c r="R4" s="31" t="inlineStr">
        <is>
          <t>Volume Spike / Accumulation</t>
        </is>
      </c>
      <c r="S4" s="31" t="inlineStr">
        <is>
          <t>Nifty 50</t>
        </is>
      </c>
      <c r="T4" s="32" t="n">
        <v>-0.74</v>
      </c>
      <c r="U4" s="32" t="n">
        <v>37.73</v>
      </c>
      <c r="V4" s="32" t="n">
        <v>38.76</v>
      </c>
      <c r="W4" s="32" t="n">
        <v>23.62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26</t>
        </is>
      </c>
      <c r="CG4" s="31">
        <f>IF(CF4&gt;20,10,IF(CF4&gt;=10,5,2))</f>
        <v/>
      </c>
    </row>
    <row r="5">
      <c r="A5" s="31">
        <f>IF(B5=0,"",RANK(B5,$B$2:$B$84,0))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TINNARUBR</t>
        </is>
      </c>
      <c r="D5" s="31" t="inlineStr">
        <is>
          <t>Tinna Rubber &amp; Infrastructure Ltd</t>
        </is>
      </c>
      <c r="E5" s="31" t="inlineStr">
        <is>
          <t>fmcg</t>
        </is>
      </c>
      <c r="F5" s="31" t="inlineStr">
        <is>
          <t>Rubber Processing/Rubber Products</t>
        </is>
      </c>
      <c r="G5" s="31" t="inlineStr">
        <is>
          <t>smallcap</t>
        </is>
      </c>
      <c r="H5" s="32" t="n">
        <v>2025.15</v>
      </c>
      <c r="I5" s="32" t="n">
        <v>1124.1</v>
      </c>
      <c r="J5" s="32" t="n">
        <v>7.75</v>
      </c>
      <c r="K5" s="32" t="n">
        <v>0</v>
      </c>
      <c r="L5" s="31" t="n">
        <v>79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72.51000000000001</v>
      </c>
      <c r="P5" s="32" t="n">
        <v>35.91</v>
      </c>
      <c r="Q5" s="32" t="n">
        <v>793.11</v>
      </c>
      <c r="R5" s="31" t="inlineStr">
        <is>
          <t>Near 52W High Breakout</t>
        </is>
      </c>
      <c r="S5" s="31" t="inlineStr">
        <is>
          <t>Nifty FMCG</t>
        </is>
      </c>
      <c r="T5" s="32" t="n">
        <v>-10</v>
      </c>
      <c r="U5" s="32" t="n">
        <v>21.05</v>
      </c>
      <c r="V5" s="32" t="n">
        <v>34.51</v>
      </c>
      <c r="W5" s="32" t="n">
        <v>19.62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18</t>
        </is>
      </c>
      <c r="CG5" s="31">
        <f>IF(CF5&gt;20,10,IF(CF5&gt;=10,5,2))</f>
        <v/>
      </c>
    </row>
    <row r="6">
      <c r="A6" s="31">
        <f>IF(B6=0,"",RANK(B6,$B$2:$B$84,0))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RPTECH</t>
        </is>
      </c>
      <c r="D6" s="31" t="inlineStr">
        <is>
          <t>Rashi Peripherals Ltd</t>
        </is>
      </c>
      <c r="E6" s="31" t="inlineStr">
        <is>
          <t>services</t>
        </is>
      </c>
      <c r="F6" s="31" t="inlineStr">
        <is>
          <t>Trading</t>
        </is>
      </c>
      <c r="G6" s="31" t="inlineStr">
        <is>
          <t>midcap</t>
        </is>
      </c>
      <c r="H6" s="32" t="n">
        <v>5492.74</v>
      </c>
      <c r="I6" s="32" t="n">
        <v>833.5</v>
      </c>
      <c r="J6" s="32" t="n">
        <v>2.52</v>
      </c>
      <c r="K6" s="32" t="n">
        <v>0</v>
      </c>
      <c r="L6" s="31" t="n">
        <v>97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80.56999999999999</v>
      </c>
      <c r="P6" s="32" t="n">
        <v>75.53</v>
      </c>
      <c r="Q6" s="32" t="n">
        <v>646.71</v>
      </c>
      <c r="R6" s="31" t="inlineStr">
        <is>
          <t>Near 52W High Breakout</t>
        </is>
      </c>
      <c r="S6" s="31" t="inlineStr">
        <is>
          <t>Nifty 50</t>
        </is>
      </c>
      <c r="T6" s="32" t="n">
        <v>-0.74</v>
      </c>
      <c r="U6" s="32" t="n">
        <v>190.15</v>
      </c>
      <c r="V6" s="32" t="n">
        <v>192.31</v>
      </c>
      <c r="W6" s="32" t="n">
        <v>42.97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Less than 50%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20</t>
        </is>
      </c>
      <c r="CG6" s="31">
        <f>IF(CF6&gt;20,10,IF(CF6&gt;=10,5,2))</f>
        <v/>
      </c>
    </row>
    <row r="7">
      <c r="A7" s="31">
        <f>IF(B7=0,"",RANK(B7,$B$2:$B$84,0))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TIMEX</t>
        </is>
      </c>
      <c r="D7" s="31" t="inlineStr">
        <is>
          <t>Timex Group India Ltd</t>
        </is>
      </c>
      <c r="E7" s="31" t="inlineStr">
        <is>
          <t>Consumer Cyclical</t>
        </is>
      </c>
      <c r="F7" s="31" t="inlineStr">
        <is>
          <t>Watches</t>
        </is>
      </c>
      <c r="G7" s="31" t="inlineStr">
        <is>
          <t>midcap</t>
        </is>
      </c>
      <c r="H7" s="32" t="n">
        <v>5377.61</v>
      </c>
      <c r="I7" s="32" t="n">
        <v>532.7</v>
      </c>
      <c r="J7" s="32" t="n">
        <v>0.47</v>
      </c>
      <c r="K7" s="32" t="n">
        <v>0</v>
      </c>
      <c r="L7" s="31" t="n">
        <v>93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64.73999999999999</v>
      </c>
      <c r="P7" s="32" t="n">
        <v>48.41</v>
      </c>
      <c r="Q7" s="32" t="n">
        <v>429.63</v>
      </c>
      <c r="R7" s="31" t="inlineStr">
        <is>
          <t>Earnings / Momentum Support</t>
        </is>
      </c>
      <c r="S7" s="31" t="inlineStr">
        <is>
          <t>Nifty 50</t>
        </is>
      </c>
      <c r="T7" s="32" t="n">
        <v>-0.74</v>
      </c>
      <c r="U7" s="32" t="n">
        <v>116.28</v>
      </c>
      <c r="V7" s="32" t="n">
        <v>117.89</v>
      </c>
      <c r="W7" s="32" t="n">
        <v>32.1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No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Close to 52 week high or retracement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17</t>
        </is>
      </c>
      <c r="CG7" s="31">
        <f>IF(CF7&gt;20,10,IF(CF7&gt;=10,5,2))</f>
        <v/>
      </c>
    </row>
    <row r="8">
      <c r="A8" s="31">
        <f>IF(B8=0,"",RANK(B8,$B$2:$B$84,0))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SAKAR</t>
        </is>
      </c>
      <c r="D8" s="31" t="inlineStr">
        <is>
          <t>Sakar Healthcare Ltd</t>
        </is>
      </c>
      <c r="E8" s="31" t="inlineStr">
        <is>
          <t>healthcare</t>
        </is>
      </c>
      <c r="F8" s="31" t="inlineStr">
        <is>
          <t>Hospitals</t>
        </is>
      </c>
      <c r="G8" s="31" t="inlineStr">
        <is>
          <t>smallcap</t>
        </is>
      </c>
      <c r="H8" s="32" t="n">
        <v>1973.57</v>
      </c>
      <c r="I8" s="32" t="n">
        <v>887</v>
      </c>
      <c r="J8" s="32" t="n">
        <v>5.05</v>
      </c>
      <c r="K8" s="32" t="n">
        <v>0</v>
      </c>
      <c r="L8" s="31" t="n">
        <v>92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69.34999999999999</v>
      </c>
      <c r="P8" s="32" t="n">
        <v>54.75</v>
      </c>
      <c r="Q8" s="32" t="n">
        <v>611.63</v>
      </c>
      <c r="R8" s="31" t="inlineStr">
        <is>
          <t>Near 52W High Breakout</t>
        </is>
      </c>
      <c r="S8" s="31" t="inlineStr">
        <is>
          <t>Nifty Pharma</t>
        </is>
      </c>
      <c r="T8" s="32" t="n">
        <v>20.55</v>
      </c>
      <c r="U8" s="32" t="n">
        <v>158.17</v>
      </c>
      <c r="V8" s="32" t="n">
        <v>114.16</v>
      </c>
      <c r="W8" s="32" t="n">
        <v>31.4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18</t>
        </is>
      </c>
      <c r="CG8" s="31">
        <f>IF(CF8&gt;20,10,IF(CF8&gt;=10,5,2))</f>
        <v/>
      </c>
    </row>
    <row r="9">
      <c r="A9" s="31">
        <f>IF(B9=0,"",RANK(B9,$B$2:$B$84,0))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RRKABEL</t>
        </is>
      </c>
      <c r="D9" s="31" t="inlineStr">
        <is>
          <t>R R Kabel Ltd</t>
        </is>
      </c>
      <c r="E9" s="31" t="inlineStr">
        <is>
          <t>industrials</t>
        </is>
      </c>
      <c r="F9" s="31" t="inlineStr">
        <is>
          <t>Cables - Power</t>
        </is>
      </c>
      <c r="G9" s="31" t="inlineStr">
        <is>
          <t>largecap</t>
        </is>
      </c>
      <c r="H9" s="32" t="n">
        <v>29407.43</v>
      </c>
      <c r="I9" s="32" t="n">
        <v>2600</v>
      </c>
      <c r="J9" s="32" t="n">
        <v>1.48</v>
      </c>
      <c r="K9" s="32" t="n">
        <v>0</v>
      </c>
      <c r="L9" s="31" t="n">
        <v>94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74.26000000000001</v>
      </c>
      <c r="P9" s="32" t="n">
        <v>64.17</v>
      </c>
      <c r="Q9" s="32" t="n">
        <v>2033.98</v>
      </c>
      <c r="R9" s="31" t="inlineStr">
        <is>
          <t>Volume Spike &amp; Near 52W High Breakout</t>
        </is>
      </c>
      <c r="S9" s="31" t="inlineStr">
        <is>
          <t>Nifty Energy</t>
        </is>
      </c>
      <c r="T9" s="32" t="n">
        <v>9.869999999999999</v>
      </c>
      <c r="U9" s="32" t="n">
        <v>87.43000000000001</v>
      </c>
      <c r="V9" s="32" t="n">
        <v>70.59</v>
      </c>
      <c r="W9" s="32" t="n">
        <v>33.31</v>
      </c>
      <c r="X9" s="31" t="inlineStr">
        <is>
          <t>Cyclical in an Upturn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25</t>
        </is>
      </c>
      <c r="CG9" s="31">
        <f>IF(CF9&gt;20,10,IF(CF9&gt;=10,5,2))</f>
        <v/>
      </c>
    </row>
    <row r="10">
      <c r="A10" s="31">
        <f>IF(B10=0,"",RANK(B10,$B$2:$B$84,0))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QUESS</t>
        </is>
      </c>
      <c r="D10" s="34" t="inlineStr">
        <is>
          <t>Quess Corp Ltd</t>
        </is>
      </c>
      <c r="E10" s="31" t="inlineStr">
        <is>
          <t>miscellaneous</t>
        </is>
      </c>
      <c r="F10" s="31" t="inlineStr">
        <is>
          <t>Facility Management</t>
        </is>
      </c>
      <c r="G10" s="31" t="inlineStr">
        <is>
          <t>smallcap</t>
        </is>
      </c>
      <c r="H10" s="32" t="n">
        <v>4943.81</v>
      </c>
      <c r="I10" s="32" t="n">
        <v>331</v>
      </c>
      <c r="J10" s="32" t="n">
        <v>6.88</v>
      </c>
      <c r="K10" s="32" t="n">
        <v>0</v>
      </c>
      <c r="L10" s="31" t="n">
        <v>82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79.39</v>
      </c>
      <c r="P10" s="32" t="n">
        <v>41.93</v>
      </c>
      <c r="Q10" s="32" t="n">
        <v>264.37</v>
      </c>
      <c r="R10" s="31" t="inlineStr">
        <is>
          <t>Volume Spike &amp; Near 52W High Breakout</t>
        </is>
      </c>
      <c r="S10" s="31" t="inlineStr">
        <is>
          <t>Nifty 50</t>
        </is>
      </c>
      <c r="T10" s="32" t="n">
        <v>-0.74</v>
      </c>
      <c r="U10" s="32" t="n">
        <v>21.31</v>
      </c>
      <c r="V10" s="32" t="n">
        <v>22.21</v>
      </c>
      <c r="W10" s="32" t="n">
        <v>21.84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Close to 52 week high or retracement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22</t>
        </is>
      </c>
      <c r="CG10" s="31">
        <f>IF(CF10&gt;20,10,IF(CF10&gt;=10,5,2))</f>
        <v/>
      </c>
    </row>
    <row r="11">
      <c r="A11" s="31">
        <f>IF(B11=0,"",RANK(B11,$B$2:$B$84,0))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REDINGTON</t>
        </is>
      </c>
      <c r="D11" s="34" t="inlineStr">
        <is>
          <t>Redington Ltd</t>
        </is>
      </c>
      <c r="E11" s="31" t="inlineStr">
        <is>
          <t>services</t>
        </is>
      </c>
      <c r="F11" s="31" t="inlineStr">
        <is>
          <t>Computer - Hardware</t>
        </is>
      </c>
      <c r="G11" s="31" t="inlineStr">
        <is>
          <t>largecap</t>
        </is>
      </c>
      <c r="H11" s="32" t="n">
        <v>25051.96</v>
      </c>
      <c r="I11" s="32" t="n">
        <v>320.45</v>
      </c>
      <c r="J11" s="32" t="n">
        <v>3.06</v>
      </c>
      <c r="K11" s="32" t="n">
        <v>0</v>
      </c>
      <c r="L11" s="31" t="n">
        <v>75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68.01000000000001</v>
      </c>
      <c r="P11" s="32" t="n">
        <v>24.09</v>
      </c>
      <c r="Q11" s="32" t="n">
        <v>244.11</v>
      </c>
      <c r="R11" s="31" t="inlineStr">
        <is>
          <t>Volume Spike &amp; Near 52W High Breakout</t>
        </is>
      </c>
      <c r="S11" s="31" t="inlineStr">
        <is>
          <t>Nifty 50</t>
        </is>
      </c>
      <c r="T11" s="32" t="n">
        <v>-0.74</v>
      </c>
      <c r="U11" s="32" t="n">
        <v>31.78</v>
      </c>
      <c r="V11" s="32" t="n">
        <v>32.76</v>
      </c>
      <c r="W11" s="32" t="n">
        <v>18.46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20 to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22</t>
        </is>
      </c>
      <c r="CG11" s="31">
        <f>IF(CF11&gt;20,10,IF(CF11&gt;=10,5,2))</f>
        <v/>
      </c>
    </row>
    <row r="12">
      <c r="A12" s="31">
        <f>IF(B12=0,"",RANK(B12,$B$2:$B$84,0))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UNIPARTS</t>
        </is>
      </c>
      <c r="D12" s="34" t="inlineStr">
        <is>
          <t>Uniparts India Ltd</t>
        </is>
      </c>
      <c r="E12" s="31" t="inlineStr">
        <is>
          <t>industrials</t>
        </is>
      </c>
      <c r="F12" s="31" t="inlineStr">
        <is>
          <t>Castings, Forgings &amp; Fastners</t>
        </is>
      </c>
      <c r="G12" s="31" t="inlineStr">
        <is>
          <t>smallcap</t>
        </is>
      </c>
      <c r="H12" s="32" t="n">
        <v>3284.61</v>
      </c>
      <c r="I12" s="32" t="n">
        <v>727.6</v>
      </c>
      <c r="J12" s="32" t="n">
        <v>-1.44</v>
      </c>
      <c r="K12" s="32" t="n">
        <v>0</v>
      </c>
      <c r="L12" s="31" t="n">
        <v>88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73.04000000000001</v>
      </c>
      <c r="P12" s="32" t="n">
        <v>57.32</v>
      </c>
      <c r="Q12" s="32" t="n">
        <v>574.29</v>
      </c>
      <c r="R12" s="31" t="inlineStr">
        <is>
          <t>Near 52W High Breakout</t>
        </is>
      </c>
      <c r="S12" s="31" t="inlineStr">
        <is>
          <t>Nifty 50</t>
        </is>
      </c>
      <c r="T12" s="32" t="n">
        <v>-0.74</v>
      </c>
      <c r="U12" s="32" t="n">
        <v>125.54</v>
      </c>
      <c r="V12" s="32" t="n">
        <v>127.22</v>
      </c>
      <c r="W12" s="32" t="n">
        <v>27.33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20</t>
        </is>
      </c>
      <c r="CG12" s="31">
        <f>IF(CF12&gt;20,10,IF(CF12&gt;=10,5,2))</f>
        <v/>
      </c>
    </row>
    <row r="13">
      <c r="A13" s="31">
        <f>IF(B13=0,"",RANK(B13,$B$2:$B$84,0))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SJS</t>
        </is>
      </c>
      <c r="D13" s="31" t="inlineStr">
        <is>
          <t>S J S Enterprises Ltd</t>
        </is>
      </c>
      <c r="E13" s="31" t="inlineStr">
        <is>
          <t>auto</t>
        </is>
      </c>
      <c r="F13" s="31" t="inlineStr">
        <is>
          <t>Auto Ancillaries - Diversified</t>
        </is>
      </c>
      <c r="G13" s="31" t="inlineStr">
        <is>
          <t>midcap</t>
        </is>
      </c>
      <c r="H13" s="32" t="n">
        <v>7651.81</v>
      </c>
      <c r="I13" s="32" t="n">
        <v>2389.2</v>
      </c>
      <c r="J13" s="32" t="n">
        <v>1.28</v>
      </c>
      <c r="K13" s="32" t="n">
        <v>0</v>
      </c>
      <c r="L13" s="31" t="n">
        <v>87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70.25</v>
      </c>
      <c r="P13" s="32" t="n">
        <v>39.14</v>
      </c>
      <c r="Q13" s="32" t="n">
        <v>1927.38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20.87</v>
      </c>
      <c r="U13" s="32" t="n">
        <v>91.73999999999999</v>
      </c>
      <c r="V13" s="32" t="n">
        <v>58.64</v>
      </c>
      <c r="W13" s="32" t="n">
        <v>24.83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19</t>
        </is>
      </c>
      <c r="CG13" s="31">
        <f>IF(CF13&gt;20,10,IF(CF13&gt;=10,5,2))</f>
        <v/>
      </c>
    </row>
    <row r="14">
      <c r="A14" s="31">
        <f>IF(B14=0,"",RANK(B14,$B$2:$B$84,0))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BHEL</t>
        </is>
      </c>
      <c r="D14" s="31" t="inlineStr">
        <is>
          <t>Bharat Heavy Electricals Ltd</t>
        </is>
      </c>
      <c r="E14" s="31" t="inlineStr">
        <is>
          <t>Industrials</t>
        </is>
      </c>
      <c r="F14" s="31" t="inlineStr">
        <is>
          <t>Capital Goods - Engineering Heavy</t>
        </is>
      </c>
      <c r="G14" s="31" t="inlineStr">
        <is>
          <t>largecap</t>
        </is>
      </c>
      <c r="H14" s="32" t="n">
        <v>141528.47</v>
      </c>
      <c r="I14" s="32" t="n">
        <v>406.45</v>
      </c>
      <c r="J14" s="32" t="n">
        <v>0.86</v>
      </c>
      <c r="K14" s="32" t="n">
        <v>0</v>
      </c>
      <c r="L14" s="31" t="n">
        <v>70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63.22</v>
      </c>
      <c r="P14" s="32" t="n">
        <v>45.74</v>
      </c>
      <c r="Q14" s="32" t="n">
        <v>334.79</v>
      </c>
      <c r="R14" s="31" t="inlineStr">
        <is>
          <t>Near 52W High Breakout</t>
        </is>
      </c>
      <c r="S14" s="31" t="inlineStr">
        <is>
          <t>Nifty 500</t>
        </is>
      </c>
      <c r="T14" s="32" t="n">
        <v>3.47</v>
      </c>
      <c r="U14" s="32" t="n">
        <v>76.3</v>
      </c>
      <c r="V14" s="32" t="n">
        <v>70.39</v>
      </c>
      <c r="W14" s="32" t="n">
        <v>16.22</v>
      </c>
      <c r="X14" s="31" t="inlineStr">
        <is>
          <t>Cyclical in an Upturn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17</t>
        </is>
      </c>
      <c r="CG14" s="31">
        <f>IF(CF14&gt;20,10,IF(CF14&gt;=10,5,2))</f>
        <v/>
      </c>
    </row>
    <row r="15">
      <c r="A15" s="31">
        <f>IF(B15=0,"",RANK(B15,$B$2:$B$84,0))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THYROCARE</t>
        </is>
      </c>
      <c r="D15" s="31" t="inlineStr">
        <is>
          <t>Thyrocare Technologies Ltd</t>
        </is>
      </c>
      <c r="E15" s="31" t="inlineStr">
        <is>
          <t>healthcare</t>
        </is>
      </c>
      <c r="F15" s="31" t="inlineStr">
        <is>
          <t>Diagnostics</t>
        </is>
      </c>
      <c r="G15" s="31" t="inlineStr">
        <is>
          <t>midcap</t>
        </is>
      </c>
      <c r="H15" s="32" t="n">
        <v>9199.76</v>
      </c>
      <c r="I15" s="32" t="n">
        <v>578</v>
      </c>
      <c r="J15" s="32" t="n">
        <v>-2.27</v>
      </c>
      <c r="K15" s="32" t="n">
        <v>0</v>
      </c>
      <c r="L15" s="31" t="n">
        <v>72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68.90000000000001</v>
      </c>
      <c r="P15" s="32" t="n">
        <v>52.18</v>
      </c>
      <c r="Q15" s="32" t="n">
        <v>436.57</v>
      </c>
      <c r="R15" s="31" t="inlineStr">
        <is>
          <t>Volume Spike &amp; Near 52W High Breakout</t>
        </is>
      </c>
      <c r="S15" s="31" t="inlineStr">
        <is>
          <t>Nifty Pharma</t>
        </is>
      </c>
      <c r="T15" s="32" t="n">
        <v>20.55</v>
      </c>
      <c r="U15" s="32" t="n">
        <v>33.97</v>
      </c>
      <c r="V15" s="32" t="n">
        <v>11.14</v>
      </c>
      <c r="W15" s="32" t="n">
        <v>17.08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Between 1.5 to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18</t>
        </is>
      </c>
      <c r="CG15" s="31">
        <f>IF(CF15&gt;20,10,IF(CF15&gt;=10,5,2))</f>
        <v/>
      </c>
    </row>
    <row r="16">
      <c r="A16" s="31">
        <f>IF(B16=0,"",RANK(B16,$B$2:$B$84,0))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CUPID</t>
        </is>
      </c>
      <c r="D16" s="31" t="inlineStr">
        <is>
          <t>Cupid Ltd</t>
        </is>
      </c>
      <c r="E16" s="31" t="inlineStr">
        <is>
          <t>fmcg</t>
        </is>
      </c>
      <c r="F16" s="31" t="inlineStr">
        <is>
          <t>Contraceptives/Protectives</t>
        </is>
      </c>
      <c r="G16" s="31" t="inlineStr">
        <is>
          <t>largecap</t>
        </is>
      </c>
      <c r="H16" s="32" t="n">
        <v>30968.88</v>
      </c>
      <c r="I16" s="32" t="n">
        <v>230.31</v>
      </c>
      <c r="J16" s="32" t="n">
        <v>0.6</v>
      </c>
      <c r="K16" s="32" t="n">
        <v>0</v>
      </c>
      <c r="L16" s="31" t="n">
        <v>99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89.56</v>
      </c>
      <c r="P16" s="32" t="n">
        <v>67.45999999999999</v>
      </c>
      <c r="Q16" s="32" t="n">
        <v>182.22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-10</v>
      </c>
      <c r="U16" s="32" t="n">
        <v>679.6</v>
      </c>
      <c r="V16" s="32" t="n">
        <v>766.23</v>
      </c>
      <c r="W16" s="32" t="n">
        <v>75.62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18</t>
        </is>
      </c>
      <c r="CG16" s="31">
        <f>IF(CF16&gt;20,10,IF(CF16&gt;=10,5,2))</f>
        <v/>
      </c>
    </row>
    <row r="17">
      <c r="A17" s="31">
        <f>IF(B17=0,"",RANK(B17,$B$2:$B$84,0))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4" t="inlineStr">
        <is>
          <t>CENTENKA</t>
        </is>
      </c>
      <c r="D17" s="34" t="inlineStr">
        <is>
          <t>Century Enka Ltd</t>
        </is>
      </c>
      <c r="E17" s="31" t="inlineStr">
        <is>
          <t>textiles</t>
        </is>
      </c>
      <c r="F17" s="31" t="inlineStr">
        <is>
          <t>Textiles - Manmade Fibre - PFY/PSF</t>
        </is>
      </c>
      <c r="G17" s="31" t="inlineStr">
        <is>
          <t>smallcap</t>
        </is>
      </c>
      <c r="H17" s="32" t="n">
        <v>1335.07</v>
      </c>
      <c r="I17" s="32" t="n">
        <v>611</v>
      </c>
      <c r="J17" s="32" t="n">
        <v>0.83</v>
      </c>
      <c r="K17" s="32" t="n">
        <v>0</v>
      </c>
      <c r="L17" s="31" t="n">
        <v>67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71.15000000000001</v>
      </c>
      <c r="P17" s="32" t="n">
        <v>56.6</v>
      </c>
      <c r="Q17" s="32" t="n">
        <v>463.71</v>
      </c>
      <c r="R17" s="31" t="inlineStr">
        <is>
          <t>Volume Spike &amp; Near 52W High Breakout</t>
        </is>
      </c>
      <c r="S17" s="31" t="inlineStr">
        <is>
          <t>Nifty 50</t>
        </is>
      </c>
      <c r="T17" s="32" t="n">
        <v>-0.74</v>
      </c>
      <c r="U17" s="32" t="n">
        <v>26.9</v>
      </c>
      <c r="V17" s="32" t="n">
        <v>27.85</v>
      </c>
      <c r="W17" s="32" t="n">
        <v>15.39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26</t>
        </is>
      </c>
      <c r="CG17" s="31">
        <f>IF(CF17&gt;20,10,IF(CF17&gt;=10,5,2))</f>
        <v/>
      </c>
    </row>
    <row r="18">
      <c r="A18" s="31">
        <f>IF(B18=0,"",RANK(B18,$B$2:$B$84,0))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1" t="inlineStr">
        <is>
          <t>ADOR</t>
        </is>
      </c>
      <c r="D18" s="31" t="inlineStr">
        <is>
          <t>Ador Welding Ltd</t>
        </is>
      </c>
      <c r="E18" s="31" t="inlineStr">
        <is>
          <t>industrials</t>
        </is>
      </c>
      <c r="F18" s="31" t="inlineStr">
        <is>
          <t>Welding Equipments</t>
        </is>
      </c>
      <c r="G18" s="31" t="inlineStr">
        <is>
          <t>smallcap</t>
        </is>
      </c>
      <c r="H18" s="32" t="n">
        <v>2514.71</v>
      </c>
      <c r="I18" s="32" t="n">
        <v>1445</v>
      </c>
      <c r="J18" s="32" t="n">
        <v>-2.38</v>
      </c>
      <c r="K18" s="32" t="n">
        <v>0</v>
      </c>
      <c r="L18" s="31" t="n">
        <v>71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75.20999999999999</v>
      </c>
      <c r="P18" s="32" t="n">
        <v>43.29</v>
      </c>
      <c r="Q18" s="32" t="n">
        <v>1196.72</v>
      </c>
      <c r="R18" s="31" t="inlineStr">
        <is>
          <t>Near 52W High Breakout</t>
        </is>
      </c>
      <c r="S18" s="31" t="inlineStr">
        <is>
          <t>Nifty 50</t>
        </is>
      </c>
      <c r="T18" s="32" t="n">
        <v>-0.74</v>
      </c>
      <c r="U18" s="32" t="n">
        <v>50.28</v>
      </c>
      <c r="V18" s="32" t="n">
        <v>51.4</v>
      </c>
      <c r="W18" s="32" t="n">
        <v>16.54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20</t>
        </is>
      </c>
      <c r="CG18" s="31">
        <f>IF(CF18&gt;20,10,IF(CF18&gt;=10,5,2))</f>
        <v/>
      </c>
    </row>
    <row r="19">
      <c r="A19" s="31">
        <f>IF(B19=0,"",RANK(B19,$B$2:$B$84,0))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INDNIPPON</t>
        </is>
      </c>
      <c r="D19" s="31" t="inlineStr">
        <is>
          <t>India Nippon Electricals Ltd</t>
        </is>
      </c>
      <c r="E19" s="31" t="inlineStr">
        <is>
          <t>auto</t>
        </is>
      </c>
      <c r="F19" s="31" t="inlineStr">
        <is>
          <t>Auto Ancillaries - Engine Parts</t>
        </is>
      </c>
      <c r="G19" s="31" t="inlineStr">
        <is>
          <t>smallcap</t>
        </is>
      </c>
      <c r="H19" s="32" t="n">
        <v>2660.05</v>
      </c>
      <c r="I19" s="32" t="n">
        <v>1175.9</v>
      </c>
      <c r="J19" s="32" t="n">
        <v>1.32</v>
      </c>
      <c r="K19" s="32" t="n">
        <v>0</v>
      </c>
      <c r="L19" s="31" t="n">
        <v>82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72.23</v>
      </c>
      <c r="P19" s="32" t="n">
        <v>35.25</v>
      </c>
      <c r="Q19" s="32" t="n">
        <v>968.41</v>
      </c>
      <c r="R19" s="31" t="inlineStr">
        <is>
          <t>Near 52W High Breakout</t>
        </is>
      </c>
      <c r="S19" s="31" t="inlineStr">
        <is>
          <t>Nifty Auto</t>
        </is>
      </c>
      <c r="T19" s="32" t="n">
        <v>20.87</v>
      </c>
      <c r="U19" s="32" t="n">
        <v>54.01</v>
      </c>
      <c r="V19" s="32" t="n">
        <v>27.42</v>
      </c>
      <c r="W19" s="32" t="n">
        <v>22.47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Less than 50%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19</t>
        </is>
      </c>
      <c r="CG19" s="31">
        <f>IF(CF19&gt;20,10,IF(CF19&gt;=10,5,2))</f>
        <v/>
      </c>
    </row>
    <row r="20">
      <c r="A20" s="31">
        <f>IF(B20=0,"",RANK(B20,$B$2:$B$84,0))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RAIN</t>
        </is>
      </c>
      <c r="D20" s="31" t="inlineStr">
        <is>
          <t>Rain Industries Ltd</t>
        </is>
      </c>
      <c r="E20" s="31" t="inlineStr">
        <is>
          <t>miscellaneous</t>
        </is>
      </c>
      <c r="F20" s="31" t="inlineStr">
        <is>
          <t>Cement</t>
        </is>
      </c>
      <c r="G20" s="31" t="inlineStr">
        <is>
          <t>midcap</t>
        </is>
      </c>
      <c r="H20" s="32" t="n">
        <v>7494.45</v>
      </c>
      <c r="I20" s="32" t="n">
        <v>222.82</v>
      </c>
      <c r="J20" s="32" t="n">
        <v>0.52</v>
      </c>
      <c r="K20" s="32" t="n">
        <v>0</v>
      </c>
      <c r="L20" s="31" t="n">
        <v>89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74.19</v>
      </c>
      <c r="P20" s="32" t="n">
        <v>43.92</v>
      </c>
      <c r="Q20" s="32" t="n">
        <v>173.6</v>
      </c>
      <c r="R20" s="31" t="inlineStr">
        <is>
          <t>Near 52W High Breakout</t>
        </is>
      </c>
      <c r="S20" s="31" t="inlineStr">
        <is>
          <t>Nifty 50</t>
        </is>
      </c>
      <c r="T20" s="32" t="n">
        <v>-0.74</v>
      </c>
      <c r="U20" s="32" t="n">
        <v>46.85</v>
      </c>
      <c r="V20" s="32" t="n">
        <v>47.95</v>
      </c>
      <c r="W20" s="32" t="n">
        <v>27.78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More than 1.2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19</t>
        </is>
      </c>
      <c r="CG20" s="31">
        <f>IF(CF20&gt;20,10,IF(CF20&gt;=10,5,2))</f>
        <v/>
      </c>
    </row>
    <row r="21">
      <c r="A21" s="31">
        <f>IF(B21=0,"",RANK(B21,$B$2:$B$84,0))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SONACOMS</t>
        </is>
      </c>
      <c r="D21" s="34" t="inlineStr">
        <is>
          <t>Sona BLW Precision Forgings Ltd</t>
        </is>
      </c>
      <c r="E21" s="31" t="inlineStr">
        <is>
          <t>auto</t>
        </is>
      </c>
      <c r="F21" s="31" t="inlineStr">
        <is>
          <t>Castings, Forgings &amp; Fastners</t>
        </is>
      </c>
      <c r="G21" s="31" t="inlineStr">
        <is>
          <t>largecap</t>
        </is>
      </c>
      <c r="H21" s="32" t="n">
        <v>47648.78</v>
      </c>
      <c r="I21" s="32" t="n">
        <v>765.2</v>
      </c>
      <c r="J21" s="32" t="n">
        <v>0.19</v>
      </c>
      <c r="K21" s="32" t="n">
        <v>0</v>
      </c>
      <c r="L21" s="31" t="n">
        <v>77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80.01000000000001</v>
      </c>
      <c r="P21" s="32" t="n">
        <v>44.16</v>
      </c>
      <c r="Q21" s="32" t="n">
        <v>650.6</v>
      </c>
      <c r="R21" s="31" t="inlineStr">
        <is>
          <t>Volume Spike &amp; Near 52W High Breakout</t>
        </is>
      </c>
      <c r="S21" s="31" t="inlineStr">
        <is>
          <t>Nifty Auto</t>
        </is>
      </c>
      <c r="T21" s="32" t="n">
        <v>20.87</v>
      </c>
      <c r="U21" s="32" t="n">
        <v>64.90000000000001</v>
      </c>
      <c r="V21" s="32" t="n">
        <v>36.43</v>
      </c>
      <c r="W21" s="32" t="n">
        <v>18.94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18</t>
        </is>
      </c>
      <c r="CG21" s="31">
        <f>IF(CF21&gt;20,10,IF(CF21&gt;=10,5,2))</f>
        <v/>
      </c>
    </row>
    <row r="22">
      <c r="A22" s="31">
        <f>IF(B22=0,"",RANK(B22,$B$2:$B$84,0))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SUNRAKSHAK</t>
        </is>
      </c>
      <c r="D22" s="31" t="inlineStr">
        <is>
          <t>Sunrakshakk Industries India Ltd</t>
        </is>
      </c>
      <c r="E22" s="31" t="inlineStr">
        <is>
          <t>Consumer Cyclical</t>
        </is>
      </c>
      <c r="F22" s="31" t="inlineStr">
        <is>
          <t>Textiles - Processing/Texturising</t>
        </is>
      </c>
      <c r="G22" s="31" t="inlineStr">
        <is>
          <t>smallcap</t>
        </is>
      </c>
      <c r="H22" s="32" t="n">
        <v>1097.02</v>
      </c>
      <c r="I22" s="32" t="n">
        <v>353.8</v>
      </c>
      <c r="J22" s="32" t="n">
        <v>3.83</v>
      </c>
      <c r="K22" s="32" t="n">
        <v>0</v>
      </c>
      <c r="L22" s="31" t="n">
        <v>53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65.09</v>
      </c>
      <c r="P22" s="32" t="n">
        <v>47.76</v>
      </c>
      <c r="Q22" s="32" t="n">
        <v>285.59</v>
      </c>
      <c r="R22" s="31" t="inlineStr">
        <is>
          <t>Near 52W High Breakout</t>
        </is>
      </c>
      <c r="S22" s="31" t="inlineStr">
        <is>
          <t>Nifty 50</t>
        </is>
      </c>
      <c r="T22" s="32" t="n">
        <v>-0.74</v>
      </c>
      <c r="U22" s="32" t="n">
        <v>52.82</v>
      </c>
      <c r="V22" s="32" t="n">
        <v>53.96</v>
      </c>
      <c r="W22" s="32" t="n">
        <v>11.55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B2C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Negative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18</t>
        </is>
      </c>
      <c r="CG22" s="31">
        <f>IF(CF22&gt;20,10,IF(CF22&gt;=10,5,2))</f>
        <v/>
      </c>
    </row>
    <row r="23">
      <c r="A23" s="31">
        <f>IF(B23=0,"",RANK(B23,$B$2:$B$84,0))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AVALON</t>
        </is>
      </c>
      <c r="D23" s="34" t="inlineStr">
        <is>
          <t>Avalon Technologies Ltd</t>
        </is>
      </c>
      <c r="E23" s="31" t="inlineStr">
        <is>
          <t>consumer discretionary</t>
        </is>
      </c>
      <c r="F23" s="31" t="inlineStr">
        <is>
          <t>Consumer Electronics - EMS</t>
        </is>
      </c>
      <c r="G23" s="31" t="inlineStr">
        <is>
          <t>midcap</t>
        </is>
      </c>
      <c r="H23" s="32" t="n">
        <v>12066.2</v>
      </c>
      <c r="I23" s="32" t="n">
        <v>1806</v>
      </c>
      <c r="J23" s="32" t="n">
        <v>2.64</v>
      </c>
      <c r="K23" s="32" t="n">
        <v>0</v>
      </c>
      <c r="L23" s="31" t="n">
        <v>95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75.65000000000001</v>
      </c>
      <c r="P23" s="32" t="n">
        <v>56.38</v>
      </c>
      <c r="Q23" s="32" t="n">
        <v>1352.43</v>
      </c>
      <c r="R23" s="31" t="inlineStr">
        <is>
          <t>Near 52W High Breakout</t>
        </is>
      </c>
      <c r="S23" s="31" t="inlineStr">
        <is>
          <t>Nifty 50</t>
        </is>
      </c>
      <c r="T23" s="32" t="n">
        <v>-0.74</v>
      </c>
      <c r="U23" s="32" t="n">
        <v>111.22</v>
      </c>
      <c r="V23" s="32" t="n">
        <v>112.79</v>
      </c>
      <c r="W23" s="32" t="n">
        <v>35.13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Less than 50%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17</t>
        </is>
      </c>
      <c r="CG23" s="31">
        <f>IF(CF23&gt;20,10,IF(CF23&gt;=10,5,2))</f>
        <v/>
      </c>
    </row>
    <row r="24">
      <c r="A24" s="31">
        <f>IF(B24=0,"",RANK(B24,$B$2:$B$84,0))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LAURUSLABS</t>
        </is>
      </c>
      <c r="D24" s="31" t="inlineStr">
        <is>
          <t>Laurus Labs Ltd</t>
        </is>
      </c>
      <c r="E24" s="31" t="inlineStr">
        <is>
          <t>healthcare</t>
        </is>
      </c>
      <c r="F24" s="31" t="inlineStr">
        <is>
          <t>Pharma - API &amp; CRAMS</t>
        </is>
      </c>
      <c r="G24" s="31" t="inlineStr">
        <is>
          <t>largecap</t>
        </is>
      </c>
      <c r="H24" s="32" t="n">
        <v>98066.67</v>
      </c>
      <c r="I24" s="32" t="n">
        <v>1815</v>
      </c>
      <c r="J24" s="32" t="n">
        <v>1.89</v>
      </c>
      <c r="K24" s="32" t="n">
        <v>0</v>
      </c>
      <c r="L24" s="31" t="n">
        <v>92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85.75</v>
      </c>
      <c r="P24" s="32" t="n">
        <v>58.3</v>
      </c>
      <c r="Q24" s="32" t="n">
        <v>1549.27</v>
      </c>
      <c r="R24" s="31" t="inlineStr">
        <is>
          <t>Volume Spike &amp; Near 52W High Breakout</t>
        </is>
      </c>
      <c r="S24" s="31" t="inlineStr">
        <is>
          <t>Nifty Pharma</t>
        </is>
      </c>
      <c r="T24" s="32" t="n">
        <v>20.55</v>
      </c>
      <c r="U24" s="32" t="n">
        <v>114.22</v>
      </c>
      <c r="V24" s="32" t="n">
        <v>77.70999999999999</v>
      </c>
      <c r="W24" s="32" t="n">
        <v>31.71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23</t>
        </is>
      </c>
      <c r="CG24" s="31">
        <f>IF(CF24&gt;20,10,IF(CF24&gt;=10,5,2))</f>
        <v/>
      </c>
    </row>
    <row r="25">
      <c r="A25" s="31">
        <f>IF(B25=0,"",RANK(B25,$B$2:$B$84,0))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GHCLTEXTIL</t>
        </is>
      </c>
      <c r="D25" s="34" t="inlineStr">
        <is>
          <t>GHCL Textiles Ltd</t>
        </is>
      </c>
      <c r="E25" s="31" t="inlineStr">
        <is>
          <t>textiles</t>
        </is>
      </c>
      <c r="F25" s="31" t="inlineStr">
        <is>
          <t>Textiles - General</t>
        </is>
      </c>
      <c r="G25" s="31" t="inlineStr">
        <is>
          <t>smallcap</t>
        </is>
      </c>
      <c r="H25" s="32" t="n">
        <v>1089.58</v>
      </c>
      <c r="I25" s="32" t="n">
        <v>113.99</v>
      </c>
      <c r="J25" s="32" t="n">
        <v>-0.11</v>
      </c>
      <c r="K25" s="32" t="n">
        <v>0</v>
      </c>
      <c r="L25" s="31" t="n">
        <v>57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69.15000000000001</v>
      </c>
      <c r="P25" s="32" t="n">
        <v>27.78</v>
      </c>
      <c r="Q25" s="32" t="n">
        <v>88.28</v>
      </c>
      <c r="R25" s="31" t="inlineStr">
        <is>
          <t>Volume Spike &amp; Near 52W High Breakout</t>
        </is>
      </c>
      <c r="S25" s="31" t="inlineStr">
        <is>
          <t>Nifty 50</t>
        </is>
      </c>
      <c r="T25" s="32" t="n">
        <v>-0.74</v>
      </c>
      <c r="U25" s="32" t="n">
        <v>31.61</v>
      </c>
      <c r="V25" s="32" t="n">
        <v>32.59</v>
      </c>
      <c r="W25" s="32" t="n">
        <v>12.35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22</t>
        </is>
      </c>
      <c r="CG25" s="31">
        <f>IF(CF25&gt;20,10,IF(CF25&gt;=10,5,2))</f>
        <v/>
      </c>
    </row>
    <row r="26">
      <c r="A26" s="31">
        <f>IF(B26=0,"",RANK(B26,$B$2:$B$84,0))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SIGMAADV</t>
        </is>
      </c>
      <c r="D26" s="34" t="inlineStr">
        <is>
          <t>Sigma Advanced System Ltd</t>
        </is>
      </c>
      <c r="E26" s="31" t="inlineStr">
        <is>
          <t>aerospace &amp; defence</t>
        </is>
      </c>
      <c r="F26" s="31" t="inlineStr">
        <is>
          <t>Aerospace &amp; Defence - Equipments</t>
        </is>
      </c>
      <c r="G26" s="31" t="inlineStr">
        <is>
          <t>midcap</t>
        </is>
      </c>
      <c r="H26" s="32" t="n">
        <v>11824.56</v>
      </c>
      <c r="I26" s="32" t="n">
        <v>624</v>
      </c>
      <c r="J26" s="32" t="n">
        <v>3.31</v>
      </c>
      <c r="K26" s="32" t="n">
        <v>0</v>
      </c>
      <c r="L26" s="31" t="n">
        <v>99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74.83</v>
      </c>
      <c r="P26" s="32" t="n">
        <v>66.70999999999999</v>
      </c>
      <c r="Q26" s="32" t="n">
        <v>449.53</v>
      </c>
      <c r="R26" s="31" t="inlineStr">
        <is>
          <t>Near 52W High Breakout</t>
        </is>
      </c>
      <c r="S26" s="31" t="inlineStr">
        <is>
          <t>Nifty 50</t>
        </is>
      </c>
      <c r="T26" s="32" t="n">
        <v>-0.74</v>
      </c>
      <c r="U26" s="32" t="n">
        <v>437.96</v>
      </c>
      <c r="V26" s="32" t="n">
        <v>441.97</v>
      </c>
      <c r="W26" s="32" t="n">
        <v>73.23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Negative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Between 0.7 to 1.2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21</t>
        </is>
      </c>
      <c r="CG26" s="31">
        <f>IF(CF26&gt;20,10,IF(CF26&gt;=10,5,2))</f>
        <v/>
      </c>
    </row>
    <row r="27">
      <c r="A27" s="31">
        <f>IF(B27=0,"",RANK(B27,$B$2:$B$84,0))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SSWL</t>
        </is>
      </c>
      <c r="D27" s="31" t="inlineStr">
        <is>
          <t>Steel Strips Wheels Ltd</t>
        </is>
      </c>
      <c r="E27" s="31" t="inlineStr">
        <is>
          <t>auto</t>
        </is>
      </c>
      <c r="F27" s="31" t="inlineStr">
        <is>
          <t>Auto Ancillaries - Wheels</t>
        </is>
      </c>
      <c r="G27" s="31" t="inlineStr">
        <is>
          <t>smallcap</t>
        </is>
      </c>
      <c r="H27" s="32" t="n">
        <v>4905.1</v>
      </c>
      <c r="I27" s="32" t="n">
        <v>311.9</v>
      </c>
      <c r="J27" s="32" t="n">
        <v>4.95</v>
      </c>
      <c r="K27" s="32" t="n">
        <v>0</v>
      </c>
      <c r="L27" s="31" t="n">
        <v>74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76.37</v>
      </c>
      <c r="P27" s="32" t="n">
        <v>20.46</v>
      </c>
      <c r="Q27" s="32" t="n">
        <v>245.38</v>
      </c>
      <c r="R27" s="31" t="inlineStr">
        <is>
          <t>Near 52W High Breakout</t>
        </is>
      </c>
      <c r="S27" s="31" t="inlineStr">
        <is>
          <t>Nifty Auto</t>
        </is>
      </c>
      <c r="T27" s="32" t="n">
        <v>20.87</v>
      </c>
      <c r="U27" s="32" t="n">
        <v>29.59</v>
      </c>
      <c r="V27" s="32" t="n">
        <v>7.21</v>
      </c>
      <c r="W27" s="32" t="n">
        <v>17.56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20</t>
        </is>
      </c>
      <c r="CG27" s="31">
        <f>IF(CF27&gt;20,10,IF(CF27&gt;=10,5,2))</f>
        <v/>
      </c>
    </row>
    <row r="28">
      <c r="A28" s="31">
        <f>IF(B28=0,"",RANK(B28,$B$2:$B$84,0))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SPECTRUM</t>
        </is>
      </c>
      <c r="D28" s="31" t="inlineStr">
        <is>
          <t>Spectrum Electrical Industries Ltd</t>
        </is>
      </c>
      <c r="E28" s="31" t="inlineStr">
        <is>
          <t>industrials</t>
        </is>
      </c>
      <c r="F28" s="31" t="inlineStr">
        <is>
          <t>Capital Goods - Electric General</t>
        </is>
      </c>
      <c r="G28" s="31" t="inlineStr">
        <is>
          <t>smallcap</t>
        </is>
      </c>
      <c r="H28" s="32" t="n">
        <v>3749.32</v>
      </c>
      <c r="I28" s="32" t="n">
        <v>2386</v>
      </c>
      <c r="J28" s="32" t="n">
        <v>-2.21</v>
      </c>
      <c r="K28" s="32" t="n">
        <v>0</v>
      </c>
      <c r="L28" s="31" t="n">
        <v>94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76.15000000000001</v>
      </c>
      <c r="P28" s="32" t="n">
        <v>47.82</v>
      </c>
      <c r="Q28" s="32" t="n">
        <v>1666.88</v>
      </c>
      <c r="R28" s="31" t="inlineStr">
        <is>
          <t>Near 52W High Breakout</t>
        </is>
      </c>
      <c r="S28" s="31" t="inlineStr">
        <is>
          <t>Nifty 50</t>
        </is>
      </c>
      <c r="T28" s="32" t="n">
        <v>-0.74</v>
      </c>
      <c r="U28" s="32" t="n">
        <v>47.59</v>
      </c>
      <c r="V28" s="32" t="n">
        <v>48.69</v>
      </c>
      <c r="W28" s="32" t="n">
        <v>33.05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Between 0.7 to 1.2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18</t>
        </is>
      </c>
      <c r="CG28" s="31">
        <f>IF(CF28&gt;20,10,IF(CF28&gt;=10,5,2))</f>
        <v/>
      </c>
    </row>
    <row r="29">
      <c r="A29" s="31">
        <f>IF(B29=0,"",RANK(B29,$B$2:$B$84,0))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NGLFINE</t>
        </is>
      </c>
      <c r="D29" s="34" t="inlineStr">
        <is>
          <t>NGL Fine Chem Ltd</t>
        </is>
      </c>
      <c r="E29" s="31" t="inlineStr">
        <is>
          <t>healthcare</t>
        </is>
      </c>
      <c r="F29" s="31" t="inlineStr">
        <is>
          <t>Pharma - Animal</t>
        </is>
      </c>
      <c r="G29" s="31" t="inlineStr">
        <is>
          <t>smallcap</t>
        </is>
      </c>
      <c r="H29" s="32" t="n">
        <v>2007.86</v>
      </c>
      <c r="I29" s="32" t="n">
        <v>3250</v>
      </c>
      <c r="J29" s="32" t="n">
        <v>-0.91</v>
      </c>
      <c r="K29" s="32" t="n">
        <v>0</v>
      </c>
      <c r="L29" s="31" t="n">
        <v>92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77.44</v>
      </c>
      <c r="P29" s="32" t="n">
        <v>67.7</v>
      </c>
      <c r="Q29" s="32" t="n">
        <v>2298.03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20.55</v>
      </c>
      <c r="U29" s="32" t="n">
        <v>148.67</v>
      </c>
      <c r="V29" s="32" t="n">
        <v>106.28</v>
      </c>
      <c r="W29" s="32" t="n">
        <v>30.45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17</t>
        </is>
      </c>
      <c r="CG29" s="31">
        <f>IF(CF29&gt;20,10,IF(CF29&gt;=10,5,2))</f>
        <v/>
      </c>
    </row>
    <row r="30">
      <c r="A30" s="31">
        <f>IF(B30=0,"",RANK(B30,$B$2:$B$84,0))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MPSLTD</t>
        </is>
      </c>
      <c r="D30" s="31" t="inlineStr">
        <is>
          <t>MPS Ltd</t>
        </is>
      </c>
      <c r="E30" s="31" t="inlineStr">
        <is>
          <t>i.t</t>
        </is>
      </c>
      <c r="F30" s="31" t="inlineStr">
        <is>
          <t>E-Commerce - Platform - Utility</t>
        </is>
      </c>
      <c r="G30" s="31" t="inlineStr">
        <is>
          <t>smallcap</t>
        </is>
      </c>
      <c r="H30" s="32" t="n">
        <v>4595.99</v>
      </c>
      <c r="I30" s="32" t="n">
        <v>2686.8</v>
      </c>
      <c r="J30" s="32" t="n">
        <v>1.38</v>
      </c>
      <c r="K30" s="32" t="n">
        <v>0</v>
      </c>
      <c r="L30" s="31" t="n">
        <v>77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75.01000000000001</v>
      </c>
      <c r="P30" s="32" t="n">
        <v>26.49</v>
      </c>
      <c r="Q30" s="32" t="n">
        <v>2168.67</v>
      </c>
      <c r="R30" s="31" t="inlineStr">
        <is>
          <t>Near 52W High Breakout</t>
        </is>
      </c>
      <c r="S30" s="31" t="inlineStr">
        <is>
          <t>Nifty IT</t>
        </is>
      </c>
      <c r="T30" s="32" t="n">
        <v>-11.37</v>
      </c>
      <c r="U30" s="32" t="n">
        <v>19.6</v>
      </c>
      <c r="V30" s="32" t="n">
        <v>34.95</v>
      </c>
      <c r="W30" s="32" t="n">
        <v>19.28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Oligopoly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27</t>
        </is>
      </c>
      <c r="CG30" s="31">
        <f>IF(CF30&gt;20,10,IF(CF30&gt;=10,5,2))</f>
        <v/>
      </c>
    </row>
    <row r="31">
      <c r="A31" s="31">
        <f>IF(B31=0,"",RANK(B31,$B$2:$B$84,0))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KRISHANA</t>
        </is>
      </c>
      <c r="D31" s="31" t="inlineStr">
        <is>
          <t>Krishana Phoschem Ltd</t>
        </is>
      </c>
      <c r="E31" s="31" t="inlineStr">
        <is>
          <t>chemicals</t>
        </is>
      </c>
      <c r="F31" s="31" t="inlineStr">
        <is>
          <t>Fertilisers</t>
        </is>
      </c>
      <c r="G31" s="31" t="inlineStr">
        <is>
          <t>midcap</t>
        </is>
      </c>
      <c r="H31" s="32" t="n">
        <v>5640.22</v>
      </c>
      <c r="I31" s="32" t="n">
        <v>182.45</v>
      </c>
      <c r="J31" s="32" t="n">
        <v>1.33</v>
      </c>
      <c r="K31" s="32" t="n">
        <v>0</v>
      </c>
      <c r="L31" s="31" t="n">
        <v>85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78.33</v>
      </c>
      <c r="P31" s="32" t="n">
        <v>45.29</v>
      </c>
      <c r="Q31" s="32" t="n">
        <v>138.72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-0.74</v>
      </c>
      <c r="U31" s="32" t="n">
        <v>70.5</v>
      </c>
      <c r="V31" s="32" t="n">
        <v>71.77</v>
      </c>
      <c r="W31" s="32" t="n">
        <v>24.01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More than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26</t>
        </is>
      </c>
      <c r="CG31" s="31">
        <f>IF(CF31&gt;20,10,IF(CF31&gt;=10,5,2))</f>
        <v/>
      </c>
    </row>
    <row r="32">
      <c r="A32" s="31">
        <f>IF(B32=0,"",RANK(B32,$B$2:$B$84,0))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CRAFTSMAN</t>
        </is>
      </c>
      <c r="D32" s="34" t="inlineStr">
        <is>
          <t>Craftsman Automation Ltd</t>
        </is>
      </c>
      <c r="E32" s="31" t="inlineStr">
        <is>
          <t>auto</t>
        </is>
      </c>
      <c r="F32" s="31" t="inlineStr">
        <is>
          <t>Auto &amp; Auto Ancl - CV</t>
        </is>
      </c>
      <c r="G32" s="31" t="inlineStr">
        <is>
          <t>largecap</t>
        </is>
      </c>
      <c r="H32" s="32" t="n">
        <v>25815.73</v>
      </c>
      <c r="I32" s="32" t="n">
        <v>9870.5</v>
      </c>
      <c r="J32" s="32" t="n">
        <v>-1.76</v>
      </c>
      <c r="K32" s="32" t="n">
        <v>0</v>
      </c>
      <c r="L32" s="31" t="n">
        <v>69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66.68000000000001</v>
      </c>
      <c r="P32" s="32" t="n">
        <v>58.26</v>
      </c>
      <c r="Q32" s="32" t="n">
        <v>7902.54</v>
      </c>
      <c r="R32" s="31" t="inlineStr">
        <is>
          <t>Volume Spike &amp; Near 52W High Breakout</t>
        </is>
      </c>
      <c r="S32" s="31" t="inlineStr">
        <is>
          <t>Nifty Auto</t>
        </is>
      </c>
      <c r="T32" s="32" t="n">
        <v>20.87</v>
      </c>
      <c r="U32" s="32" t="n">
        <v>57.5</v>
      </c>
      <c r="V32" s="32" t="n">
        <v>30.31</v>
      </c>
      <c r="W32" s="32" t="n">
        <v>16.12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Between 0.7 to 1.2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25</t>
        </is>
      </c>
      <c r="CG32" s="31">
        <f>IF(CF32&gt;20,10,IF(CF32&gt;=10,5,2))</f>
        <v/>
      </c>
    </row>
    <row r="33">
      <c r="A33" s="31">
        <f>IF(B33=0,"",RANK(B33,$B$2:$B$84,0))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IRISDOREME</t>
        </is>
      </c>
      <c r="D33" s="34" t="inlineStr">
        <is>
          <t>Iris Clothings Ltd</t>
        </is>
      </c>
      <c r="E33" s="31" t="inlineStr">
        <is>
          <t>consumer discretionary</t>
        </is>
      </c>
      <c r="F33" s="31" t="inlineStr">
        <is>
          <t>Textiles - Readymade Apparel</t>
        </is>
      </c>
      <c r="G33" s="31" t="inlineStr">
        <is>
          <t>smallcap</t>
        </is>
      </c>
      <c r="H33" s="32" t="n">
        <v>1008.19</v>
      </c>
      <c r="I33" s="32" t="n">
        <v>52.97</v>
      </c>
      <c r="J33" s="32" t="n">
        <v>6.73</v>
      </c>
      <c r="K33" s="32" t="n">
        <v>0</v>
      </c>
      <c r="L33" s="31" t="n">
        <v>81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81.06</v>
      </c>
      <c r="P33" s="32" t="n">
        <v>32.08</v>
      </c>
      <c r="Q33" s="32" t="n">
        <v>39.87</v>
      </c>
      <c r="R33" s="31" t="inlineStr">
        <is>
          <t>Volume Spike &amp; Near 52W High Breakout</t>
        </is>
      </c>
      <c r="S33" s="31" t="inlineStr">
        <is>
          <t>Nifty 50</t>
        </is>
      </c>
      <c r="T33" s="32" t="n">
        <v>-0.74</v>
      </c>
      <c r="U33" s="32" t="n">
        <v>68.93000000000001</v>
      </c>
      <c r="V33" s="32" t="n">
        <v>70.19</v>
      </c>
      <c r="W33" s="32" t="n">
        <v>21.64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23</t>
        </is>
      </c>
      <c r="CG33" s="31">
        <f>IF(CF33&gt;20,10,IF(CF33&gt;=10,5,2))</f>
        <v/>
      </c>
    </row>
    <row r="34">
      <c r="A34" s="31">
        <f>IF(B34=0,"",RANK(B34,$B$2:$B$84,0))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KABRAEXTRU</t>
        </is>
      </c>
      <c r="D34" s="31" t="inlineStr">
        <is>
          <t>Kabra Extrusion Technik Ltd</t>
        </is>
      </c>
      <c r="E34" s="31" t="inlineStr">
        <is>
          <t>industrials</t>
        </is>
      </c>
      <c r="F34" s="31" t="inlineStr">
        <is>
          <t>Capital Goods - Engineering Heavy</t>
        </is>
      </c>
      <c r="G34" s="31" t="inlineStr">
        <is>
          <t>smallcap</t>
        </is>
      </c>
      <c r="H34" s="32" t="n">
        <v>1390</v>
      </c>
      <c r="I34" s="32" t="n">
        <v>397.45</v>
      </c>
      <c r="J34" s="32" t="n">
        <v>8.83</v>
      </c>
      <c r="K34" s="32" t="n">
        <v>0</v>
      </c>
      <c r="L34" s="31" t="n">
        <v>83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79.09999999999999</v>
      </c>
      <c r="P34" s="32" t="n">
        <v>24.58</v>
      </c>
      <c r="Q34" s="32" t="n">
        <v>297.6</v>
      </c>
      <c r="R34" s="31" t="inlineStr">
        <is>
          <t>Volume Spike &amp; Near 52W High Breakout</t>
        </is>
      </c>
      <c r="S34" s="31" t="inlineStr">
        <is>
          <t>Nifty Infra</t>
        </is>
      </c>
      <c r="T34" s="32" t="n">
        <v>3.78</v>
      </c>
      <c r="U34" s="32" t="n">
        <v>35.82</v>
      </c>
      <c r="V34" s="32" t="n">
        <v>30.87</v>
      </c>
      <c r="W34" s="32" t="n">
        <v>22.55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23</t>
        </is>
      </c>
      <c r="CG34" s="31">
        <f>IF(CF34&gt;20,10,IF(CF34&gt;=10,5,2))</f>
        <v/>
      </c>
    </row>
    <row r="35">
      <c r="A35" s="31">
        <f>IF(B35=0,"",RANK(B35,$B$2:$B$84,0))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NILKAMAL</t>
        </is>
      </c>
      <c r="D35" s="31" t="inlineStr">
        <is>
          <t>Nilkamal Ltd</t>
        </is>
      </c>
      <c r="E35" s="31" t="inlineStr">
        <is>
          <t>plastic products</t>
        </is>
      </c>
      <c r="F35" s="31" t="inlineStr">
        <is>
          <t>Plastics - Plastic &amp; Plastic Products</t>
        </is>
      </c>
      <c r="G35" s="31" t="inlineStr">
        <is>
          <t>smallcap</t>
        </is>
      </c>
      <c r="H35" s="32" t="n">
        <v>2699.48</v>
      </c>
      <c r="I35" s="32" t="n">
        <v>1809</v>
      </c>
      <c r="J35" s="32" t="n">
        <v>3.17</v>
      </c>
      <c r="K35" s="32" t="n">
        <v>0</v>
      </c>
      <c r="L35" s="31" t="n">
        <v>56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78.73999999999999</v>
      </c>
      <c r="P35" s="32" t="n">
        <v>21.34</v>
      </c>
      <c r="Q35" s="32" t="n">
        <v>1449.68</v>
      </c>
      <c r="R35" s="31" t="inlineStr">
        <is>
          <t>Volume Spike &amp; Near 52W High Breakout</t>
        </is>
      </c>
      <c r="S35" s="31" t="inlineStr">
        <is>
          <t>Nifty 50</t>
        </is>
      </c>
      <c r="T35" s="32" t="n">
        <v>-0.74</v>
      </c>
      <c r="U35" s="32" t="n">
        <v>12.47</v>
      </c>
      <c r="V35" s="32" t="n">
        <v>13.3</v>
      </c>
      <c r="W35" s="32" t="n">
        <v>11.94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IF(B36=0,"",RANK(B36,$B$2:$B$84,0))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CYIENTDLM</t>
        </is>
      </c>
      <c r="D36" s="31" t="inlineStr">
        <is>
          <t>Cyient DLM Ltd</t>
        </is>
      </c>
      <c r="E36" s="31" t="inlineStr">
        <is>
          <t>consumer discretionary</t>
        </is>
      </c>
      <c r="F36" s="31" t="inlineStr">
        <is>
          <t>Consumer Electronics - EMS</t>
        </is>
      </c>
      <c r="G36" s="31" t="inlineStr">
        <is>
          <t>midcap</t>
        </is>
      </c>
      <c r="H36" s="32" t="n">
        <v>5294.87</v>
      </c>
      <c r="I36" s="32" t="n">
        <v>667</v>
      </c>
      <c r="J36" s="32" t="n">
        <v>-1.64</v>
      </c>
      <c r="K36" s="32" t="n">
        <v>0</v>
      </c>
      <c r="L36" s="31" t="n">
        <v>88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82.87</v>
      </c>
      <c r="P36" s="32" t="n">
        <v>53.06</v>
      </c>
      <c r="Q36" s="32" t="n">
        <v>509.38</v>
      </c>
      <c r="R36" s="31" t="inlineStr">
        <is>
          <t>Near 52W High Breakout</t>
        </is>
      </c>
      <c r="S36" s="31" t="inlineStr">
        <is>
          <t>Nifty 50</t>
        </is>
      </c>
      <c r="T36" s="32" t="n">
        <v>-0.74</v>
      </c>
      <c r="U36" s="32" t="n">
        <v>50.34</v>
      </c>
      <c r="V36" s="32" t="n">
        <v>51.46</v>
      </c>
      <c r="W36" s="32" t="n">
        <v>26.09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19</t>
        </is>
      </c>
      <c r="CG36" s="31">
        <f>IF(CF36&gt;20,10,IF(CF36&gt;=10,5,2))</f>
        <v/>
      </c>
    </row>
    <row r="37">
      <c r="A37" s="31">
        <f>IF(B37=0,"",RANK(B37,$B$2:$B$84,0))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KMEW</t>
        </is>
      </c>
      <c r="D37" s="31" t="inlineStr">
        <is>
          <t>Knowledge Marine &amp; Engineering Works Ltd</t>
        </is>
      </c>
      <c r="E37" s="31" t="inlineStr">
        <is>
          <t>transportation</t>
        </is>
      </c>
      <c r="F37" s="31" t="inlineStr">
        <is>
          <t>Shipping</t>
        </is>
      </c>
      <c r="G37" s="31" t="inlineStr">
        <is>
          <t>midcap</t>
        </is>
      </c>
      <c r="H37" s="32" t="n">
        <v>6126.63</v>
      </c>
      <c r="I37" s="32" t="n">
        <v>2490.5</v>
      </c>
      <c r="J37" s="32" t="n">
        <v>-1.73</v>
      </c>
      <c r="K37" s="32" t="n">
        <v>0</v>
      </c>
      <c r="L37" s="31" t="n">
        <v>94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71.67</v>
      </c>
      <c r="P37" s="32" t="n">
        <v>47.87</v>
      </c>
      <c r="Q37" s="32" t="n">
        <v>1743.31</v>
      </c>
      <c r="R37" s="31" t="inlineStr">
        <is>
          <t>Near 52W High Breakout</t>
        </is>
      </c>
      <c r="S37" s="31" t="inlineStr">
        <is>
          <t>Nifty 50</t>
        </is>
      </c>
      <c r="T37" s="32" t="n">
        <v>-0.74</v>
      </c>
      <c r="U37" s="32" t="n">
        <v>200.48</v>
      </c>
      <c r="V37" s="32" t="n">
        <v>202.72</v>
      </c>
      <c r="W37" s="32" t="n">
        <v>34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Negative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17</t>
        </is>
      </c>
      <c r="CG37" s="31">
        <f>IF(CF37&gt;20,10,IF(CF37&gt;=10,5,2))</f>
        <v/>
      </c>
    </row>
    <row r="38">
      <c r="A38" s="31">
        <f>IF(B38=0,"",RANK(B38,$B$2:$B$84,0))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GNA</t>
        </is>
      </c>
      <c r="D38" s="31" t="inlineStr">
        <is>
          <t>GNA Axles Ltd</t>
        </is>
      </c>
      <c r="E38" s="31" t="inlineStr">
        <is>
          <t>auto</t>
        </is>
      </c>
      <c r="F38" s="31" t="inlineStr">
        <is>
          <t>Auto &amp; Auto Ancl - CV</t>
        </is>
      </c>
      <c r="G38" s="31" t="inlineStr">
        <is>
          <t>smallcap</t>
        </is>
      </c>
      <c r="H38" s="32" t="n">
        <v>2283.92</v>
      </c>
      <c r="I38" s="32" t="n">
        <v>532</v>
      </c>
      <c r="J38" s="32" t="n">
        <v>0.23</v>
      </c>
      <c r="K38" s="32" t="n">
        <v>0</v>
      </c>
      <c r="L38" s="31" t="n">
        <v>73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66.84</v>
      </c>
      <c r="P38" s="32" t="n">
        <v>26.19</v>
      </c>
      <c r="Q38" s="32" t="n">
        <v>418.09</v>
      </c>
      <c r="R38" s="31" t="inlineStr">
        <is>
          <t>Earnings / Momentum Support</t>
        </is>
      </c>
      <c r="S38" s="31" t="inlineStr">
        <is>
          <t>Nifty Auto</t>
        </is>
      </c>
      <c r="T38" s="32" t="n">
        <v>20.87</v>
      </c>
      <c r="U38" s="32" t="n">
        <v>72.28</v>
      </c>
      <c r="V38" s="32" t="n">
        <v>42.54</v>
      </c>
      <c r="W38" s="32" t="n">
        <v>17.2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17</t>
        </is>
      </c>
      <c r="CG38" s="31">
        <f>IF(CF38&gt;20,10,IF(CF38&gt;=10,5,2))</f>
        <v/>
      </c>
    </row>
    <row r="39">
      <c r="A39" s="31">
        <f>IF(B39=0,"",RANK(B39,$B$2:$B$84,0))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COFORGE</t>
        </is>
      </c>
      <c r="D39" s="34" t="inlineStr">
        <is>
          <t>Coforge Ltd</t>
        </is>
      </c>
      <c r="E39" s="31" t="inlineStr">
        <is>
          <t>i.t</t>
        </is>
      </c>
      <c r="F39" s="31" t="inlineStr">
        <is>
          <t>IT - Software</t>
        </is>
      </c>
      <c r="G39" s="31" t="inlineStr">
        <is>
          <t>largecap</t>
        </is>
      </c>
      <c r="H39" s="32" t="n">
        <v>76200.03999999999</v>
      </c>
      <c r="I39" s="32" t="n">
        <v>1720.4</v>
      </c>
      <c r="J39" s="32" t="n">
        <v>-1.52</v>
      </c>
      <c r="K39" s="32" t="n">
        <v>0</v>
      </c>
      <c r="L39" s="31" t="n">
        <v>55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64.59</v>
      </c>
      <c r="P39" s="32" t="n">
        <v>9.85</v>
      </c>
      <c r="Q39" s="32" t="n">
        <v>1321.16</v>
      </c>
      <c r="R39" s="31" t="inlineStr">
        <is>
          <t>Volume Spike / Accumulation</t>
        </is>
      </c>
      <c r="S39" s="31" t="inlineStr">
        <is>
          <t>Nifty IT</t>
        </is>
      </c>
      <c r="T39" s="32" t="n">
        <v>-11.37</v>
      </c>
      <c r="U39" s="32" t="n">
        <v>1.56</v>
      </c>
      <c r="V39" s="32" t="n">
        <v>14.59</v>
      </c>
      <c r="W39" s="32" t="n">
        <v>11.7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0 to 20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IF(B40=0,"",RANK(B40,$B$2:$B$84,0))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63MOONS</t>
        </is>
      </c>
      <c r="D40" s="34" t="inlineStr">
        <is>
          <t>63 Moons Technologies Ltd</t>
        </is>
      </c>
      <c r="E40" s="31" t="inlineStr">
        <is>
          <t>i.t</t>
        </is>
      </c>
      <c r="F40" s="31" t="inlineStr">
        <is>
          <t>IT - Software</t>
        </is>
      </c>
      <c r="G40" s="31" t="inlineStr">
        <is>
          <t>smallcap</t>
        </is>
      </c>
      <c r="H40" s="32" t="n">
        <v>4363.64</v>
      </c>
      <c r="I40" s="32" t="n">
        <v>947</v>
      </c>
      <c r="J40" s="32" t="n">
        <v>11.76</v>
      </c>
      <c r="K40" s="32" t="n">
        <v>0</v>
      </c>
      <c r="L40" s="31" t="n">
        <v>28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69.45999999999999</v>
      </c>
      <c r="P40" s="32" t="n">
        <v>16.84</v>
      </c>
      <c r="Q40" s="32" t="n">
        <v>685.0599999999999</v>
      </c>
      <c r="R40" s="31" t="inlineStr">
        <is>
          <t>Volume Spike &amp; Near 52W High Breakout</t>
        </is>
      </c>
      <c r="S40" s="31" t="inlineStr">
        <is>
          <t>Nifty IT</t>
        </is>
      </c>
      <c r="T40" s="32" t="n">
        <v>-11.37</v>
      </c>
      <c r="U40" s="32" t="n">
        <v>-5.68</v>
      </c>
      <c r="V40" s="32" t="n">
        <v>6.42</v>
      </c>
      <c r="W40" s="32" t="n">
        <v>5.56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0 to 20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Close to 52 week high or retracement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19</t>
        </is>
      </c>
      <c r="CG40" s="31">
        <f>IF(CF40&gt;20,10,IF(CF40&gt;=10,5,2))</f>
        <v/>
      </c>
    </row>
    <row r="41">
      <c r="A41" s="31">
        <f>IF(B41=0,"",RANK(B41,$B$2:$B$84,0))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4" t="inlineStr">
        <is>
          <t>YASHO</t>
        </is>
      </c>
      <c r="D41" s="34" t="inlineStr">
        <is>
          <t>Yasho Industries Ltd</t>
        </is>
      </c>
      <c r="E41" s="31" t="inlineStr">
        <is>
          <t>chemicals</t>
        </is>
      </c>
      <c r="F41" s="31" t="inlineStr">
        <is>
          <t>Speciality Chemicals</t>
        </is>
      </c>
      <c r="G41" s="31" t="inlineStr">
        <is>
          <t>smallcap</t>
        </is>
      </c>
      <c r="H41" s="32" t="n">
        <v>4652.47</v>
      </c>
      <c r="I41" s="32" t="n">
        <v>3858.7</v>
      </c>
      <c r="J41" s="32" t="n">
        <v>20</v>
      </c>
      <c r="K41" s="32" t="n">
        <v>0</v>
      </c>
      <c r="L41" s="31" t="n">
        <v>98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90.06</v>
      </c>
      <c r="P41" s="32" t="n">
        <v>54.85</v>
      </c>
      <c r="Q41" s="32" t="n">
        <v>2959.28</v>
      </c>
      <c r="R41" s="31" t="inlineStr">
        <is>
          <t>Volume Spike &amp; Near 52W High Breakout</t>
        </is>
      </c>
      <c r="S41" s="31" t="inlineStr">
        <is>
          <t>Nifty 50</t>
        </is>
      </c>
      <c r="T41" s="32" t="n">
        <v>-0.74</v>
      </c>
      <c r="U41" s="32" t="n">
        <v>110.63</v>
      </c>
      <c r="V41" s="32" t="n">
        <v>112.2</v>
      </c>
      <c r="W41" s="32" t="n">
        <v>60.48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More than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24</t>
        </is>
      </c>
      <c r="CG41" s="31">
        <f>IF(CF41&gt;20,10,IF(CF41&gt;=10,5,2))</f>
        <v/>
      </c>
    </row>
    <row r="42">
      <c r="A42" s="31">
        <f>IF(B42=0,"",RANK(B42,$B$2:$B$84,0))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SKYGOLD</t>
        </is>
      </c>
      <c r="D42" s="31" t="inlineStr">
        <is>
          <t>Sky Gold &amp; Diamonds Ltd</t>
        </is>
      </c>
      <c r="E42" s="31" t="inlineStr">
        <is>
          <t>consumer discretionary</t>
        </is>
      </c>
      <c r="F42" s="31" t="inlineStr">
        <is>
          <t>Diamond, Gems &amp; Jewellery</t>
        </is>
      </c>
      <c r="G42" s="31" t="inlineStr">
        <is>
          <t>midcap</t>
        </is>
      </c>
      <c r="H42" s="32" t="n">
        <v>10034.28</v>
      </c>
      <c r="I42" s="32" t="n">
        <v>647.9</v>
      </c>
      <c r="J42" s="32" t="n">
        <v>1.51</v>
      </c>
      <c r="K42" s="32" t="n">
        <v>0</v>
      </c>
      <c r="L42" s="31" t="n">
        <v>91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72.59999999999999</v>
      </c>
      <c r="P42" s="32" t="n">
        <v>57.95</v>
      </c>
      <c r="Q42" s="32" t="n">
        <v>485.22</v>
      </c>
      <c r="R42" s="31" t="inlineStr">
        <is>
          <t>Near 52W High Breakout</t>
        </is>
      </c>
      <c r="S42" s="31" t="inlineStr">
        <is>
          <t>Nifty 50</t>
        </is>
      </c>
      <c r="T42" s="32" t="n">
        <v>-0.74</v>
      </c>
      <c r="U42" s="32" t="n">
        <v>134.58</v>
      </c>
      <c r="V42" s="32" t="n">
        <v>136.33</v>
      </c>
      <c r="W42" s="32" t="n">
        <v>29.4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Negative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Between 0.7 to 1.2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22</t>
        </is>
      </c>
      <c r="CG42" s="31">
        <f>IF(CF42&gt;20,10,IF(CF42&gt;=10,5,2))</f>
        <v/>
      </c>
    </row>
    <row r="43">
      <c r="A43" s="31">
        <f>IF(B43=0,"",RANK(B43,$B$2:$B$84,0))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CHENNPETRO</t>
        </is>
      </c>
      <c r="D43" s="31" t="inlineStr">
        <is>
          <t>Chennai Petroleum Corporation Ltd</t>
        </is>
      </c>
      <c r="E43" s="31" t="inlineStr">
        <is>
          <t>energy</t>
        </is>
      </c>
      <c r="F43" s="31" t="inlineStr">
        <is>
          <t>Refineries</t>
        </is>
      </c>
      <c r="G43" s="31" t="inlineStr">
        <is>
          <t>midcap</t>
        </is>
      </c>
      <c r="H43" s="32" t="n">
        <v>18786.66</v>
      </c>
      <c r="I43" s="32" t="n">
        <v>1261.6</v>
      </c>
      <c r="J43" s="32" t="n">
        <v>1.89</v>
      </c>
      <c r="K43" s="32" t="n">
        <v>0</v>
      </c>
      <c r="L43" s="31" t="n">
        <v>74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66.68000000000001</v>
      </c>
      <c r="P43" s="32" t="n">
        <v>48.57</v>
      </c>
      <c r="Q43" s="32" t="n">
        <v>923.04</v>
      </c>
      <c r="R43" s="31" t="inlineStr">
        <is>
          <t>Near 52W High Breakout</t>
        </is>
      </c>
      <c r="S43" s="31" t="inlineStr">
        <is>
          <t>Nifty Energy</t>
        </is>
      </c>
      <c r="T43" s="32" t="n">
        <v>9.869999999999999</v>
      </c>
      <c r="U43" s="32" t="n">
        <v>86.15000000000001</v>
      </c>
      <c r="V43" s="32" t="n">
        <v>69.43000000000001</v>
      </c>
      <c r="W43" s="32" t="n">
        <v>17.93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Oligopoly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Cyclical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Volatile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21</t>
        </is>
      </c>
      <c r="CG43" s="31">
        <f>IF(CF43&gt;20,10,IF(CF43&gt;=10,5,2))</f>
        <v/>
      </c>
    </row>
    <row r="44">
      <c r="A44" s="31">
        <f>IF(B44=0,"",RANK(B44,$B$2:$B$84,0))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AETHER</t>
        </is>
      </c>
      <c r="D44" s="34" t="inlineStr">
        <is>
          <t>Aether Industries Ltd</t>
        </is>
      </c>
      <c r="E44" s="31" t="inlineStr">
        <is>
          <t>chemicals</t>
        </is>
      </c>
      <c r="F44" s="31" t="inlineStr">
        <is>
          <t>Speciality Chemicals</t>
        </is>
      </c>
      <c r="G44" s="31" t="inlineStr">
        <is>
          <t>largecap</t>
        </is>
      </c>
      <c r="H44" s="32" t="n">
        <v>20769.59</v>
      </c>
      <c r="I44" s="32" t="n">
        <v>1565</v>
      </c>
      <c r="J44" s="32" t="n">
        <v>4.98</v>
      </c>
      <c r="K44" s="32" t="n">
        <v>0</v>
      </c>
      <c r="L44" s="31" t="n">
        <v>83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73.05</v>
      </c>
      <c r="P44" s="32" t="n">
        <v>45.34</v>
      </c>
      <c r="Q44" s="32" t="n">
        <v>1204.3</v>
      </c>
      <c r="R44" s="31" t="inlineStr">
        <is>
          <t>Volume Spike &amp; Near 52W High Breakout</t>
        </is>
      </c>
      <c r="S44" s="31" t="inlineStr">
        <is>
          <t>Nifty 50</t>
        </is>
      </c>
      <c r="T44" s="32" t="n">
        <v>-0.74</v>
      </c>
      <c r="U44" s="32" t="n">
        <v>104.33</v>
      </c>
      <c r="V44" s="32" t="n">
        <v>105.85</v>
      </c>
      <c r="W44" s="32" t="n">
        <v>22.55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Less than 12%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IF(B45=0,"",RANK(B45,$B$2:$B$84,0))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NYKAA</t>
        </is>
      </c>
      <c r="D45" s="34" t="inlineStr">
        <is>
          <t>FSN E-Commerce Ventures Ltd</t>
        </is>
      </c>
      <c r="E45" s="31" t="inlineStr">
        <is>
          <t>i.t</t>
        </is>
      </c>
      <c r="F45" s="31" t="inlineStr">
        <is>
          <t>New age - Platform - E-Retail</t>
        </is>
      </c>
      <c r="G45" s="31" t="inlineStr">
        <is>
          <t>largecap</t>
        </is>
      </c>
      <c r="H45" s="32" t="n">
        <v>95367.46000000001</v>
      </c>
      <c r="I45" s="32" t="n">
        <v>333</v>
      </c>
      <c r="J45" s="32" t="n">
        <v>-0.22</v>
      </c>
      <c r="K45" s="32" t="n">
        <v>0</v>
      </c>
      <c r="L45" s="31" t="n">
        <v>67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72.40000000000001</v>
      </c>
      <c r="P45" s="32" t="n">
        <v>38.28</v>
      </c>
      <c r="Q45" s="32" t="n">
        <v>282.83</v>
      </c>
      <c r="R45" s="31" t="inlineStr">
        <is>
          <t>Near 52W High Breakout</t>
        </is>
      </c>
      <c r="S45" s="31" t="inlineStr">
        <is>
          <t>Nifty IT</t>
        </is>
      </c>
      <c r="T45" s="32" t="n">
        <v>-11.37</v>
      </c>
      <c r="U45" s="32" t="n">
        <v>58.72</v>
      </c>
      <c r="V45" s="32" t="n">
        <v>79.08</v>
      </c>
      <c r="W45" s="32" t="n">
        <v>15.4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B2C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Between 0.7 to 1.2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18</t>
        </is>
      </c>
      <c r="CG45" s="31">
        <f>IF(CF45&gt;20,10,IF(CF45&gt;=10,5,2))</f>
        <v/>
      </c>
    </row>
    <row r="46">
      <c r="A46" s="31">
        <f>IF(B46=0,"",RANK(B46,$B$2:$B$84,0))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INDOTECH</t>
        </is>
      </c>
      <c r="D46" s="31" t="inlineStr">
        <is>
          <t>Indo Tech Transformers Ltd</t>
        </is>
      </c>
      <c r="E46" s="31" t="inlineStr">
        <is>
          <t>industrials</t>
        </is>
      </c>
      <c r="F46" s="31" t="inlineStr">
        <is>
          <t>Capital Goods - Transformers</t>
        </is>
      </c>
      <c r="G46" s="31" t="inlineStr">
        <is>
          <t>smallcap</t>
        </is>
      </c>
      <c r="H46" s="32" t="n">
        <v>3651.16</v>
      </c>
      <c r="I46" s="32" t="n">
        <v>3438</v>
      </c>
      <c r="J46" s="32" t="n">
        <v>1.48</v>
      </c>
      <c r="K46" s="32" t="n">
        <v>0</v>
      </c>
      <c r="L46" s="31" t="n">
        <v>91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75.84</v>
      </c>
      <c r="P46" s="32" t="n">
        <v>48.96</v>
      </c>
      <c r="Q46" s="32" t="n">
        <v>2539.59</v>
      </c>
      <c r="R46" s="31" t="inlineStr">
        <is>
          <t>Near 52W High Breakout</t>
        </is>
      </c>
      <c r="S46" s="31" t="inlineStr">
        <is>
          <t>Nifty 50</t>
        </is>
      </c>
      <c r="T46" s="32" t="n">
        <v>-0.74</v>
      </c>
      <c r="U46" s="32" t="n">
        <v>106.73</v>
      </c>
      <c r="V46" s="32" t="n">
        <v>108.27</v>
      </c>
      <c r="W46" s="32" t="n">
        <v>29.32</v>
      </c>
      <c r="X46" s="31" t="inlineStr">
        <is>
          <t>Cyclical in an Upturn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Between 12 to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17</t>
        </is>
      </c>
      <c r="CG46" s="31">
        <f>IF(CF46&gt;20,10,IF(CF46&gt;=10,5,2))</f>
        <v/>
      </c>
    </row>
    <row r="47">
      <c r="A47" s="31">
        <f>IF(B47=0,"",RANK(B47,$B$2:$B$84,0))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SAREGAMA</t>
        </is>
      </c>
      <c r="D47" s="31" t="inlineStr">
        <is>
          <t>Saregama India Ltd</t>
        </is>
      </c>
      <c r="E47" s="31" t="inlineStr">
        <is>
          <t>media</t>
        </is>
      </c>
      <c r="F47" s="31" t="inlineStr">
        <is>
          <t>Music Licensing</t>
        </is>
      </c>
      <c r="G47" s="31" t="inlineStr">
        <is>
          <t>midcap</t>
        </is>
      </c>
      <c r="H47" s="32" t="n">
        <v>9997.17</v>
      </c>
      <c r="I47" s="32" t="n">
        <v>518.5</v>
      </c>
      <c r="J47" s="32" t="n">
        <v>-0.5600000000000001</v>
      </c>
      <c r="K47" s="32" t="n">
        <v>0</v>
      </c>
      <c r="L47" s="31" t="n">
        <v>67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73.73999999999999</v>
      </c>
      <c r="P47" s="32" t="n">
        <v>44.32</v>
      </c>
      <c r="Q47" s="32" t="n">
        <v>410.71</v>
      </c>
      <c r="R47" s="31" t="inlineStr">
        <is>
          <t>Near 52W High Breakout</t>
        </is>
      </c>
      <c r="S47" s="31" t="inlineStr">
        <is>
          <t>Nifty IT</t>
        </is>
      </c>
      <c r="T47" s="32" t="n">
        <v>-11.37</v>
      </c>
      <c r="U47" s="32" t="n">
        <v>11.61</v>
      </c>
      <c r="V47" s="32" t="n">
        <v>25.93</v>
      </c>
      <c r="W47" s="32" t="n">
        <v>15.41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17</t>
        </is>
      </c>
      <c r="CG47" s="31">
        <f>IF(CF47&gt;20,10,IF(CF47&gt;=10,5,2))</f>
        <v/>
      </c>
    </row>
    <row r="48">
      <c r="A48" s="31">
        <f>IF(B48=0,"",RANK(B48,$B$2:$B$84,0))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ARTEMISMED</t>
        </is>
      </c>
      <c r="D48" s="34" t="inlineStr">
        <is>
          <t>Artemis Medicare Services Ltd</t>
        </is>
      </c>
      <c r="E48" s="31" t="inlineStr">
        <is>
          <t>healthcare</t>
        </is>
      </c>
      <c r="F48" s="31" t="inlineStr">
        <is>
          <t>Hospitals</t>
        </is>
      </c>
      <c r="G48" s="31" t="inlineStr">
        <is>
          <t>smallcap</t>
        </is>
      </c>
      <c r="H48" s="32" t="n">
        <v>4733.36</v>
      </c>
      <c r="I48" s="32" t="n">
        <v>299</v>
      </c>
      <c r="J48" s="32" t="n">
        <v>-1.04</v>
      </c>
      <c r="K48" s="32" t="n">
        <v>0</v>
      </c>
      <c r="L48" s="31" t="n">
        <v>44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66.75</v>
      </c>
      <c r="P48" s="32" t="n">
        <v>21.95</v>
      </c>
      <c r="Q48" s="32" t="n">
        <v>240.99</v>
      </c>
      <c r="R48" s="31" t="inlineStr">
        <is>
          <t>Volume Spike &amp; Near 52W High Breakout</t>
        </is>
      </c>
      <c r="S48" s="31" t="inlineStr">
        <is>
          <t>Nifty Pharma</t>
        </is>
      </c>
      <c r="T48" s="32" t="n">
        <v>20.55</v>
      </c>
      <c r="U48" s="32" t="n">
        <v>22.08</v>
      </c>
      <c r="V48" s="32" t="n">
        <v>1.27</v>
      </c>
      <c r="W48" s="32" t="n">
        <v>8.93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19</t>
        </is>
      </c>
      <c r="CG48" s="31">
        <f>IF(CF48&gt;20,10,IF(CF48&gt;=10,5,2))</f>
        <v/>
      </c>
    </row>
    <row r="49">
      <c r="A49" s="31">
        <f>IF(B49=0,"",RANK(B49,$B$2:$B$84,0))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TATVA</t>
        </is>
      </c>
      <c r="D49" s="31" t="inlineStr">
        <is>
          <t>Tatva Chintan Pharma Chem Ltd</t>
        </is>
      </c>
      <c r="E49" s="31" t="inlineStr">
        <is>
          <t>chemicals</t>
        </is>
      </c>
      <c r="F49" s="31" t="inlineStr">
        <is>
          <t>Speciality Chemicals</t>
        </is>
      </c>
      <c r="G49" s="31" t="inlineStr">
        <is>
          <t>smallcap</t>
        </is>
      </c>
      <c r="H49" s="32" t="n">
        <v>4182.5</v>
      </c>
      <c r="I49" s="32" t="n">
        <v>1788</v>
      </c>
      <c r="J49" s="32" t="n">
        <v>6.42</v>
      </c>
      <c r="K49" s="32" t="n">
        <v>0</v>
      </c>
      <c r="L49" s="31" t="n">
        <v>78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75.67</v>
      </c>
      <c r="P49" s="32" t="n">
        <v>22.46</v>
      </c>
      <c r="Q49" s="32" t="n">
        <v>1360.9</v>
      </c>
      <c r="R49" s="31" t="inlineStr">
        <is>
          <t>Near 52W High Breakout</t>
        </is>
      </c>
      <c r="S49" s="31" t="inlineStr">
        <is>
          <t>Nifty 50</t>
        </is>
      </c>
      <c r="T49" s="32" t="n">
        <v>-0.74</v>
      </c>
      <c r="U49" s="32" t="n">
        <v>60.52</v>
      </c>
      <c r="V49" s="32" t="n">
        <v>61.72</v>
      </c>
      <c r="W49" s="32" t="n">
        <v>19.48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24</t>
        </is>
      </c>
      <c r="CG49" s="31">
        <f>IF(CF49&gt;20,10,IF(CF49&gt;=10,5,2))</f>
        <v/>
      </c>
    </row>
    <row r="50">
      <c r="A50" s="31">
        <f>IF(B50=0,"",RANK(B50,$B$2:$B$84,0))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BLUESTONE</t>
        </is>
      </c>
      <c r="D50" s="31" t="inlineStr">
        <is>
          <t>Bluestone Jewellery &amp; Lifestyle Ltd</t>
        </is>
      </c>
      <c r="E50" s="31" t="inlineStr">
        <is>
          <t>Consumer Cyclical</t>
        </is>
      </c>
      <c r="F50" s="31" t="inlineStr">
        <is>
          <t>Diamond, Gems &amp; Jewellery</t>
        </is>
      </c>
      <c r="G50" s="31" t="inlineStr">
        <is>
          <t>midcap</t>
        </is>
      </c>
      <c r="H50" s="32" t="n">
        <v>12268.73</v>
      </c>
      <c r="I50" s="32" t="n">
        <v>805</v>
      </c>
      <c r="J50" s="32" t="n">
        <v>5.56</v>
      </c>
      <c r="K50" s="32" t="n">
        <v>0</v>
      </c>
      <c r="L50" s="31" t="n">
        <v>86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76.37</v>
      </c>
      <c r="P50" s="32" t="n">
        <v>24.73</v>
      </c>
      <c r="Q50" s="32" t="n">
        <v>597.14</v>
      </c>
      <c r="R50" s="31" t="inlineStr">
        <is>
          <t>Volume Spike &amp; Near 52W High Breakout</t>
        </is>
      </c>
      <c r="S50" s="31" t="inlineStr">
        <is>
          <t>Nifty 50</t>
        </is>
      </c>
      <c r="T50" s="32" t="n">
        <v>-1.96</v>
      </c>
      <c r="U50" s="32" t="n">
        <v>49.39</v>
      </c>
      <c r="V50" s="32" t="n">
        <v>52.37</v>
      </c>
      <c r="W50" s="32" t="n">
        <v>24.25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B2C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Between 0.7 to 1.2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23</t>
        </is>
      </c>
      <c r="CG50" s="31">
        <f>IF(CF50&gt;20,10,IF(CF50&gt;=10,5,2))</f>
        <v/>
      </c>
    </row>
    <row r="51">
      <c r="A51" s="31">
        <f>IF(B51=0,"",RANK(B51,$B$2:$B$84,0))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DIACABS</t>
        </is>
      </c>
      <c r="D51" s="31" t="inlineStr">
        <is>
          <t>Diamond Power Infrastructure Ltd</t>
        </is>
      </c>
      <c r="E51" s="31" t="inlineStr">
        <is>
          <t>industrials</t>
        </is>
      </c>
      <c r="F51" s="31" t="inlineStr">
        <is>
          <t>Cables - Power</t>
        </is>
      </c>
      <c r="G51" s="31" t="inlineStr">
        <is>
          <t>midcap</t>
        </is>
      </c>
      <c r="H51" s="32" t="n">
        <v>19568.89</v>
      </c>
      <c r="I51" s="32" t="n">
        <v>327.2</v>
      </c>
      <c r="J51" s="32" t="n">
        <v>-0.4</v>
      </c>
      <c r="K51" s="32" t="n">
        <v>0</v>
      </c>
      <c r="L51" s="31" t="n">
        <v>96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86.04000000000001</v>
      </c>
      <c r="P51" s="32" t="n">
        <v>56.84</v>
      </c>
      <c r="Q51" s="32" t="n">
        <v>247.38</v>
      </c>
      <c r="R51" s="31" t="inlineStr">
        <is>
          <t>Near 52W High Breakout</t>
        </is>
      </c>
      <c r="S51" s="31" t="inlineStr">
        <is>
          <t>Nifty Energy</t>
        </is>
      </c>
      <c r="T51" s="32" t="n">
        <v>9.869999999999999</v>
      </c>
      <c r="U51" s="32" t="n">
        <v>98.91</v>
      </c>
      <c r="V51" s="32" t="n">
        <v>81.05</v>
      </c>
      <c r="W51" s="32" t="n">
        <v>41.16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Negative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22</t>
        </is>
      </c>
      <c r="CG51" s="31">
        <f>IF(CF51&gt;20,10,IF(CF51&gt;=10,5,2))</f>
        <v/>
      </c>
    </row>
    <row r="52">
      <c r="A52" s="31">
        <f>IF(B52=0,"",RANK(B52,$B$2:$B$84,0))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4" t="inlineStr">
        <is>
          <t>MACPOWER</t>
        </is>
      </c>
      <c r="D52" s="34" t="inlineStr">
        <is>
          <t>Macpower CNC Machines Ltd</t>
        </is>
      </c>
      <c r="E52" s="31" t="inlineStr">
        <is>
          <t>industrials</t>
        </is>
      </c>
      <c r="F52" s="31" t="inlineStr">
        <is>
          <t>CNC - Machines</t>
        </is>
      </c>
      <c r="G52" s="31" t="inlineStr">
        <is>
          <t>smallcap</t>
        </is>
      </c>
      <c r="H52" s="32" t="n">
        <v>1451.8</v>
      </c>
      <c r="I52" s="32" t="n">
        <v>1451.2</v>
      </c>
      <c r="J52" s="32" t="n">
        <v>-2.03</v>
      </c>
      <c r="K52" s="32" t="n">
        <v>0</v>
      </c>
      <c r="L52" s="31" t="n">
        <v>64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67.31999999999999</v>
      </c>
      <c r="P52" s="32" t="n">
        <v>29.08</v>
      </c>
      <c r="Q52" s="32" t="n">
        <v>1003.53</v>
      </c>
      <c r="R52" s="31" t="inlineStr">
        <is>
          <t>Volume Spike &amp; Near 52W High Breakout</t>
        </is>
      </c>
      <c r="S52" s="31" t="inlineStr">
        <is>
          <t>Nifty 50</t>
        </is>
      </c>
      <c r="T52" s="32" t="n">
        <v>-0.74</v>
      </c>
      <c r="U52" s="32" t="n">
        <v>40.31</v>
      </c>
      <c r="V52" s="32" t="n">
        <v>41.36</v>
      </c>
      <c r="W52" s="32" t="n">
        <v>14.48</v>
      </c>
      <c r="X52" s="31" t="inlineStr">
        <is>
          <t>Cyclical in an Upturn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22</t>
        </is>
      </c>
      <c r="CG52" s="31">
        <f>IF(CF52&gt;20,10,IF(CF52&gt;=10,5,2))</f>
        <v/>
      </c>
    </row>
    <row r="53">
      <c r="A53" s="31">
        <f>IF(B53=0,"",RANK(B53,$B$2:$B$84,0))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ACCENTMIC</t>
        </is>
      </c>
      <c r="D53" s="31" t="inlineStr">
        <is>
          <t>Accent Microcell Ltd</t>
        </is>
      </c>
      <c r="E53" s="31" t="inlineStr">
        <is>
          <t>unknown</t>
        </is>
      </c>
      <c r="F53" s="31" t="inlineStr">
        <is>
          <t>Pharma - Formulators</t>
        </is>
      </c>
      <c r="G53" s="31" t="inlineStr">
        <is>
          <t>smallcap</t>
        </is>
      </c>
      <c r="H53" s="32" t="n">
        <v>1220.44</v>
      </c>
      <c r="I53" s="32" t="n">
        <v>508.75</v>
      </c>
      <c r="J53" s="32" t="n">
        <v>2.89</v>
      </c>
      <c r="K53" s="32" t="n">
        <v>0</v>
      </c>
      <c r="L53" s="31" t="n">
        <v>64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67.2</v>
      </c>
      <c r="P53" s="32" t="n">
        <v>61.54</v>
      </c>
      <c r="Q53" s="32" t="n">
        <v>406.41</v>
      </c>
      <c r="R53" s="31" t="inlineStr">
        <is>
          <t>Near 52W High Breakout</t>
        </is>
      </c>
      <c r="S53" s="31" t="inlineStr">
        <is>
          <t>Nifty 50</t>
        </is>
      </c>
      <c r="T53" s="32" t="n">
        <v>-0.74</v>
      </c>
      <c r="U53" s="32" t="n">
        <v>59.43</v>
      </c>
      <c r="V53" s="32" t="n">
        <v>60.62</v>
      </c>
      <c r="W53" s="32" t="n">
        <v>14.05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Negative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19</t>
        </is>
      </c>
      <c r="CG53" s="31">
        <f>IF(CF53&gt;20,10,IF(CF53&gt;=10,5,2))</f>
        <v/>
      </c>
    </row>
    <row r="54">
      <c r="A54" s="31">
        <f>IF(B54=0,"",RANK(B54,$B$2:$B$84,0))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MAHLIFE</t>
        </is>
      </c>
      <c r="D54" s="31" t="inlineStr">
        <is>
          <t>Mahindra Lifespace Developers Ltd</t>
        </is>
      </c>
      <c r="E54" s="31" t="inlineStr">
        <is>
          <t>realty</t>
        </is>
      </c>
      <c r="F54" s="31" t="inlineStr">
        <is>
          <t>Construction &amp; Contracting</t>
        </is>
      </c>
      <c r="G54" s="31" t="inlineStr">
        <is>
          <t>midcap</t>
        </is>
      </c>
      <c r="H54" s="32" t="n">
        <v>8363.030000000001</v>
      </c>
      <c r="I54" s="32" t="n">
        <v>392</v>
      </c>
      <c r="J54" s="32" t="n">
        <v>1.71</v>
      </c>
      <c r="K54" s="32" t="n">
        <v>0</v>
      </c>
      <c r="L54" s="31" t="n">
        <v>34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62.96</v>
      </c>
      <c r="P54" s="32" t="n">
        <v>12.34</v>
      </c>
      <c r="Q54" s="32" t="n">
        <v>319.3</v>
      </c>
      <c r="R54" s="31" t="inlineStr">
        <is>
          <t>Earnings / Momentum Support</t>
        </is>
      </c>
      <c r="S54" s="31" t="inlineStr">
        <is>
          <t>Nifty Realty</t>
        </is>
      </c>
      <c r="T54" s="32" t="n">
        <v>-5.17</v>
      </c>
      <c r="U54" s="32" t="n">
        <v>7.13</v>
      </c>
      <c r="V54" s="32" t="n">
        <v>12.97</v>
      </c>
      <c r="W54" s="32" t="n">
        <v>7.03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No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0 to 20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27</t>
        </is>
      </c>
      <c r="CG54" s="31">
        <f>IF(CF54&gt;20,10,IF(CF54&gt;=10,5,2))</f>
        <v/>
      </c>
    </row>
    <row r="55">
      <c r="A55" s="31">
        <f>IF(B55=0,"",RANK(B55,$B$2:$B$84,0))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LODHA</t>
        </is>
      </c>
      <c r="D55" s="31" t="inlineStr">
        <is>
          <t>Lodha Developers Ltd</t>
        </is>
      </c>
      <c r="E55" s="31" t="inlineStr">
        <is>
          <t>realty</t>
        </is>
      </c>
      <c r="F55" s="31" t="inlineStr">
        <is>
          <t>Realty - National</t>
        </is>
      </c>
      <c r="G55" s="31" t="inlineStr">
        <is>
          <t>largecap</t>
        </is>
      </c>
      <c r="H55" s="32" t="n">
        <v>124186.75</v>
      </c>
      <c r="I55" s="32" t="n">
        <v>1242.95</v>
      </c>
      <c r="J55" s="32" t="n">
        <v>-3.43</v>
      </c>
      <c r="K55" s="32" t="n">
        <v>0</v>
      </c>
      <c r="L55" s="31" t="n">
        <v>54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64.63</v>
      </c>
      <c r="P55" s="32" t="n">
        <v>16.04</v>
      </c>
      <c r="Q55" s="32" t="n">
        <v>955.15</v>
      </c>
      <c r="R55" s="31" t="inlineStr">
        <is>
          <t>Volume Spike &amp; Near 52W High Breakout</t>
        </is>
      </c>
      <c r="S55" s="31" t="inlineStr">
        <is>
          <t>Nifty Realty</t>
        </is>
      </c>
      <c r="T55" s="32" t="n">
        <v>-5.17</v>
      </c>
      <c r="U55" s="32" t="n">
        <v>-2.45</v>
      </c>
      <c r="V55" s="32" t="n">
        <v>2.87</v>
      </c>
      <c r="W55" s="32" t="n">
        <v>11.61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0 to 20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24</t>
        </is>
      </c>
      <c r="CG55" s="31">
        <f>IF(CF55&gt;20,10,IF(CF55&gt;=10,5,2))</f>
        <v/>
      </c>
    </row>
    <row r="56">
      <c r="A56" s="31">
        <f>IF(B56=0,"",RANK(B56,$B$2:$B$84,0))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PNGJL</t>
        </is>
      </c>
      <c r="D56" s="31" t="inlineStr">
        <is>
          <t>P N Gadgil Jewellers Ltd</t>
        </is>
      </c>
      <c r="E56" s="31" t="inlineStr">
        <is>
          <t>consumer discretionary</t>
        </is>
      </c>
      <c r="F56" s="31" t="inlineStr">
        <is>
          <t>Diamond, Gems &amp; Jewellery</t>
        </is>
      </c>
      <c r="G56" s="31" t="inlineStr">
        <is>
          <t>midcap</t>
        </is>
      </c>
      <c r="H56" s="32" t="n">
        <v>9078.889999999999</v>
      </c>
      <c r="I56" s="32" t="n">
        <v>669</v>
      </c>
      <c r="J56" s="32" t="n">
        <v>0.43</v>
      </c>
      <c r="K56" s="32" t="n">
        <v>0</v>
      </c>
      <c r="L56" s="31" t="n">
        <v>19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60.42</v>
      </c>
      <c r="P56" s="32" t="n">
        <v>12.37</v>
      </c>
      <c r="Q56" s="32" t="n">
        <v>572.4400000000001</v>
      </c>
      <c r="R56" s="31" t="inlineStr">
        <is>
          <t>Volume Spike / Accumulation</t>
        </is>
      </c>
      <c r="S56" s="31" t="inlineStr">
        <is>
          <t>Nifty 50</t>
        </is>
      </c>
      <c r="T56" s="32" t="n">
        <v>-0.74</v>
      </c>
      <c r="U56" s="32" t="n">
        <v>15.86</v>
      </c>
      <c r="V56" s="32" t="n">
        <v>16.72</v>
      </c>
      <c r="W56" s="32" t="n">
        <v>4.18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0 to 20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Between 0.7 to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23</t>
        </is>
      </c>
      <c r="CG56" s="31">
        <f>IF(CF56&gt;20,10,IF(CF56&gt;=10,5,2))</f>
        <v/>
      </c>
    </row>
    <row r="57">
      <c r="A57" s="31">
        <f>IF(B57=0,"",RANK(B57,$B$2:$B$84,0))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SOTL</t>
        </is>
      </c>
      <c r="D57" s="31" t="inlineStr">
        <is>
          <t>Savita Oil Technologies Ltd</t>
        </is>
      </c>
      <c r="E57" s="31" t="inlineStr">
        <is>
          <t>Basic Materials</t>
        </is>
      </c>
      <c r="F57" s="31" t="inlineStr">
        <is>
          <t>Petrochem - Others</t>
        </is>
      </c>
      <c r="G57" s="31" t="inlineStr">
        <is>
          <t>smallcap</t>
        </is>
      </c>
      <c r="H57" s="32" t="n">
        <v>4113.62</v>
      </c>
      <c r="I57" s="32" t="n">
        <v>600</v>
      </c>
      <c r="J57" s="32" t="n">
        <v>2.02</v>
      </c>
      <c r="K57" s="32" t="n">
        <v>0</v>
      </c>
      <c r="L57" s="31" t="n">
        <v>87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63.82</v>
      </c>
      <c r="P57" s="32" t="n">
        <v>43.27</v>
      </c>
      <c r="Q57" s="32" t="n">
        <v>469.94</v>
      </c>
      <c r="R57" s="31" t="inlineStr">
        <is>
          <t>Earnings / Momentum Support</t>
        </is>
      </c>
      <c r="S57" s="31" t="inlineStr">
        <is>
          <t>Nifty 50</t>
        </is>
      </c>
      <c r="T57" s="32" t="n">
        <v>-0.74</v>
      </c>
      <c r="U57" s="32" t="n">
        <v>51.59</v>
      </c>
      <c r="V57" s="32" t="n">
        <v>52.72</v>
      </c>
      <c r="W57" s="32" t="n">
        <v>24.93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Cyclical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Volatile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Between 50% to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18</t>
        </is>
      </c>
      <c r="CG57" s="31">
        <f>IF(CF57&gt;20,10,IF(CF57&gt;=10,5,2))</f>
        <v/>
      </c>
    </row>
    <row r="58">
      <c r="A58" s="31">
        <f>IF(B58=0,"",RANK(B58,$B$2:$B$84,0))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LLOYDSENT</t>
        </is>
      </c>
      <c r="D58" s="31" t="inlineStr">
        <is>
          <t>Lloyds Enterprises Ltd</t>
        </is>
      </c>
      <c r="E58" s="31" t="inlineStr">
        <is>
          <t>services</t>
        </is>
      </c>
      <c r="F58" s="31" t="inlineStr">
        <is>
          <t>Trading</t>
        </is>
      </c>
      <c r="G58" s="31" t="inlineStr">
        <is>
          <t>midcap</t>
        </is>
      </c>
      <c r="H58" s="32" t="n">
        <v>12200.48</v>
      </c>
      <c r="I58" s="32" t="n">
        <v>80.05</v>
      </c>
      <c r="J58" s="32" t="n">
        <v>1.29</v>
      </c>
      <c r="K58" s="32" t="n">
        <v>0</v>
      </c>
      <c r="L58" s="31" t="n">
        <v>21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64.13</v>
      </c>
      <c r="P58" s="32" t="n">
        <v>34.96</v>
      </c>
      <c r="Q58" s="32" t="n">
        <v>59.62</v>
      </c>
      <c r="R58" s="31" t="inlineStr">
        <is>
          <t>Near 52W High Breakout</t>
        </is>
      </c>
      <c r="S58" s="31" t="inlineStr">
        <is>
          <t>Nifty 50</t>
        </is>
      </c>
      <c r="T58" s="32" t="n">
        <v>-0.74</v>
      </c>
      <c r="U58" s="32" t="n">
        <v>-0.67</v>
      </c>
      <c r="V58" s="32" t="n">
        <v>0.07000000000000001</v>
      </c>
      <c r="W58" s="32" t="n">
        <v>4.54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Negative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17</t>
        </is>
      </c>
      <c r="CG58" s="31">
        <f>IF(CF58&gt;20,10,IF(CF58&gt;=10,5,2))</f>
        <v/>
      </c>
    </row>
    <row r="59">
      <c r="A59" s="31">
        <f>IF(B59=0,"",RANK(B59,$B$2:$B$84,0))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TBZ</t>
        </is>
      </c>
      <c r="D59" s="31" t="inlineStr">
        <is>
          <t>Tribhovandas Bhimji Zaveri Ltd</t>
        </is>
      </c>
      <c r="E59" s="31" t="inlineStr">
        <is>
          <t>consumer discretionary</t>
        </is>
      </c>
      <c r="F59" s="31" t="inlineStr">
        <is>
          <t>Diamond, Gems &amp; Jewellery</t>
        </is>
      </c>
      <c r="G59" s="31" t="inlineStr">
        <is>
          <t>smallcap</t>
        </is>
      </c>
      <c r="H59" s="32" t="n">
        <v>1830.09</v>
      </c>
      <c r="I59" s="32" t="n">
        <v>274.25</v>
      </c>
      <c r="J59" s="32" t="n">
        <v>-1.9</v>
      </c>
      <c r="K59" s="32" t="n">
        <v>0</v>
      </c>
      <c r="L59" s="31" t="n">
        <v>92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80.66</v>
      </c>
      <c r="P59" s="32" t="n">
        <v>33.52</v>
      </c>
      <c r="Q59" s="32" t="n">
        <v>206.54</v>
      </c>
      <c r="R59" s="31" t="inlineStr">
        <is>
          <t>Near 52W High Breakout</t>
        </is>
      </c>
      <c r="S59" s="31" t="inlineStr">
        <is>
          <t>Nifty 50</t>
        </is>
      </c>
      <c r="T59" s="32" t="n">
        <v>-0.74</v>
      </c>
      <c r="U59" s="32" t="n">
        <v>46.03</v>
      </c>
      <c r="V59" s="32" t="n">
        <v>47.12</v>
      </c>
      <c r="W59" s="32" t="n">
        <v>30.64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Less than 50% and Borrowings are increasing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17</t>
        </is>
      </c>
      <c r="CG59" s="31">
        <f>IF(CF59&gt;20,10,IF(CF59&gt;=10,5,2))</f>
        <v/>
      </c>
    </row>
    <row r="60">
      <c r="A60" s="31">
        <f>IF(B60=0,"",RANK(B60,$B$2:$B$84,0))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PAYTM</t>
        </is>
      </c>
      <c r="D60" s="34" t="inlineStr">
        <is>
          <t>One 97 Communications Ltd</t>
        </is>
      </c>
      <c r="E60" s="31" t="inlineStr">
        <is>
          <t>i.t</t>
        </is>
      </c>
      <c r="F60" s="31" t="inlineStr">
        <is>
          <t>E-Commerce - Platform - Utility</t>
        </is>
      </c>
      <c r="G60" s="31" t="inlineStr">
        <is>
          <t>largecap</t>
        </is>
      </c>
      <c r="H60" s="32" t="n">
        <v>85691.55</v>
      </c>
      <c r="I60" s="32" t="n">
        <v>1337.5</v>
      </c>
      <c r="J60" s="32" t="n">
        <v>0.38</v>
      </c>
      <c r="K60" s="32" t="n">
        <v>0</v>
      </c>
      <c r="L60" s="31" t="n">
        <v>47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62.39</v>
      </c>
      <c r="P60" s="32" t="n">
        <v>16.25</v>
      </c>
      <c r="Q60" s="32" t="n">
        <v>1050.36</v>
      </c>
      <c r="R60" s="31" t="inlineStr">
        <is>
          <t>Near 52W High Breakout</t>
        </is>
      </c>
      <c r="S60" s="31" t="inlineStr">
        <is>
          <t>Nifty IT</t>
        </is>
      </c>
      <c r="T60" s="32" t="n">
        <v>-11.37</v>
      </c>
      <c r="U60" s="32" t="n">
        <v>24.77</v>
      </c>
      <c r="V60" s="32" t="n">
        <v>40.78</v>
      </c>
      <c r="W60" s="32" t="n">
        <v>9.93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Oligopoly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Between 1.5 to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17</t>
        </is>
      </c>
      <c r="CG60" s="31">
        <f>IF(CF60&gt;20,10,IF(CF60&gt;=10,5,2))</f>
        <v/>
      </c>
    </row>
    <row r="61">
      <c r="A61" s="31">
        <f>IF(B61=0,"",RANK(B61,$B$2:$B$84,0))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BLSE</t>
        </is>
      </c>
      <c r="D61" s="31" t="inlineStr">
        <is>
          <t>BLS E-Services Ltd</t>
        </is>
      </c>
      <c r="E61" s="31" t="inlineStr">
        <is>
          <t>i.t</t>
        </is>
      </c>
      <c r="F61" s="31" t="inlineStr">
        <is>
          <t>IT - Software</t>
        </is>
      </c>
      <c r="G61" s="31" t="inlineStr">
        <is>
          <t>smallcap</t>
        </is>
      </c>
      <c r="H61" s="32" t="n">
        <v>2725.69</v>
      </c>
      <c r="I61" s="32" t="n">
        <v>300</v>
      </c>
      <c r="J61" s="32" t="n">
        <v>1.79</v>
      </c>
      <c r="K61" s="32" t="n">
        <v>0</v>
      </c>
      <c r="L61" s="31" t="n">
        <v>83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81.42</v>
      </c>
      <c r="P61" s="32" t="n">
        <v>38.89</v>
      </c>
      <c r="Q61" s="32" t="n">
        <v>236.85</v>
      </c>
      <c r="R61" s="31" t="inlineStr">
        <is>
          <t>Near 52W High Breakout</t>
        </is>
      </c>
      <c r="S61" s="31" t="inlineStr">
        <is>
          <t>Nifty IT</t>
        </is>
      </c>
      <c r="T61" s="32" t="n">
        <v>-11.37</v>
      </c>
      <c r="U61" s="32" t="n">
        <v>65.53</v>
      </c>
      <c r="V61" s="32" t="n">
        <v>86.77</v>
      </c>
      <c r="W61" s="32" t="n">
        <v>23.15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Less than 12%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Between 50% to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19</t>
        </is>
      </c>
      <c r="CG61" s="31">
        <f>IF(CF61&gt;20,10,IF(CF61&gt;=10,5,2))</f>
        <v/>
      </c>
    </row>
    <row r="62">
      <c r="A62" s="31">
        <f>IF(B62=0,"",RANK(B62,$B$2:$B$84,0))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KALYANKJIL</t>
        </is>
      </c>
      <c r="D62" s="31" t="inlineStr">
        <is>
          <t>Kalyan Jewellers India Ltd</t>
        </is>
      </c>
      <c r="E62" s="31" t="inlineStr">
        <is>
          <t>consumer discretionary</t>
        </is>
      </c>
      <c r="F62" s="31" t="inlineStr">
        <is>
          <t>Diamond, Gems &amp; Jewellery</t>
        </is>
      </c>
      <c r="G62" s="31" t="inlineStr">
        <is>
          <t>largecap</t>
        </is>
      </c>
      <c r="H62" s="32" t="n">
        <v>63348.28</v>
      </c>
      <c r="I62" s="32" t="n">
        <v>613.4</v>
      </c>
      <c r="J62" s="32" t="n">
        <v>-3.34</v>
      </c>
      <c r="K62" s="32" t="n">
        <v>0</v>
      </c>
      <c r="L62" s="31" t="n">
        <v>61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72.88</v>
      </c>
      <c r="P62" s="32" t="n">
        <v>26.25</v>
      </c>
      <c r="Q62" s="32" t="n">
        <v>465.28</v>
      </c>
      <c r="R62" s="31" t="inlineStr">
        <is>
          <t>Near 52W High Breakout</t>
        </is>
      </c>
      <c r="S62" s="31" t="inlineStr">
        <is>
          <t>Nifty 500</t>
        </is>
      </c>
      <c r="T62" s="32" t="n">
        <v>3.47</v>
      </c>
      <c r="U62" s="32" t="n">
        <v>5.41</v>
      </c>
      <c r="V62" s="32" t="n">
        <v>1.88</v>
      </c>
      <c r="W62" s="32" t="n">
        <v>13.76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25</t>
        </is>
      </c>
      <c r="CG62" s="31">
        <f>IF(CF62&gt;20,10,IF(CF62&gt;=10,5,2))</f>
        <v/>
      </c>
    </row>
    <row r="63">
      <c r="A63" s="31">
        <f>IF(B63=0,"",RANK(B63,$B$2:$B$84,0))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SMLMAH</t>
        </is>
      </c>
      <c r="D63" s="34" t="inlineStr">
        <is>
          <t>SML Mahindra Ltd</t>
        </is>
      </c>
      <c r="E63" s="31" t="inlineStr">
        <is>
          <t>auto</t>
        </is>
      </c>
      <c r="F63" s="31" t="inlineStr">
        <is>
          <t>Auto - Bus/LCVs</t>
        </is>
      </c>
      <c r="G63" s="31" t="inlineStr">
        <is>
          <t>midcap</t>
        </is>
      </c>
      <c r="H63" s="32" t="n">
        <v>8228.58</v>
      </c>
      <c r="I63" s="32" t="n">
        <v>5686</v>
      </c>
      <c r="J63" s="32" t="n">
        <v>3.77</v>
      </c>
      <c r="K63" s="32" t="n">
        <v>0</v>
      </c>
      <c r="L63" s="31" t="n">
        <v>80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71.17</v>
      </c>
      <c r="P63" s="32" t="n">
        <v>6.98</v>
      </c>
      <c r="Q63" s="32" t="n">
        <v>4106.82</v>
      </c>
      <c r="R63" s="31" t="inlineStr">
        <is>
          <t>Volume Spike &amp; Near 52W High Breakout</t>
        </is>
      </c>
      <c r="S63" s="31" t="inlineStr">
        <is>
          <t>Nifty Auto</t>
        </is>
      </c>
      <c r="T63" s="32" t="n">
        <v>20.87</v>
      </c>
      <c r="U63" s="32" t="n">
        <v>50.53</v>
      </c>
      <c r="V63" s="32" t="n">
        <v>24.54</v>
      </c>
      <c r="W63" s="32" t="n">
        <v>20.69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0 to 20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Less than 12%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20</t>
        </is>
      </c>
      <c r="CG63" s="31">
        <f>IF(CF63&gt;20,10,IF(CF63&gt;=10,5,2))</f>
        <v/>
      </c>
    </row>
    <row r="64">
      <c r="A64" s="31">
        <f>IF(B64=0,"",RANK(B64,$B$2:$B$84,0))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ANTELOPUS</t>
        </is>
      </c>
      <c r="D64" s="34" t="inlineStr">
        <is>
          <t>Antelopus Selan Energy Ltd</t>
        </is>
      </c>
      <c r="E64" s="31" t="inlineStr">
        <is>
          <t>Energy</t>
        </is>
      </c>
      <c r="F64" s="31" t="inlineStr">
        <is>
          <t>Oil Drilling &amp; Exploration</t>
        </is>
      </c>
      <c r="G64" s="31" t="inlineStr">
        <is>
          <t>smallcap</t>
        </is>
      </c>
      <c r="H64" s="32" t="n">
        <v>2876.28</v>
      </c>
      <c r="I64" s="32" t="n">
        <v>818</v>
      </c>
      <c r="J64" s="32" t="n">
        <v>2.56</v>
      </c>
      <c r="K64" s="32" t="n">
        <v>0</v>
      </c>
      <c r="L64" s="31" t="n">
        <v>61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59.15</v>
      </c>
      <c r="P64" s="32" t="n">
        <v>50.95</v>
      </c>
      <c r="Q64" s="32" t="n">
        <v>622.54</v>
      </c>
      <c r="R64" s="31" t="inlineStr">
        <is>
          <t>Volume Spike / Accumulation</t>
        </is>
      </c>
      <c r="S64" s="31" t="inlineStr">
        <is>
          <t>Nifty Energy</t>
        </is>
      </c>
      <c r="T64" s="32" t="n">
        <v>9.869999999999999</v>
      </c>
      <c r="U64" s="32" t="n">
        <v>31.77</v>
      </c>
      <c r="V64" s="32" t="n">
        <v>19.93</v>
      </c>
      <c r="W64" s="32" t="n">
        <v>13.71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Oligopoly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Yes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Cyclical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Volatile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IF(B65=0,"",RANK(B65,$B$2:$B$84,0))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MAHLOG</t>
        </is>
      </c>
      <c r="D65" s="31" t="inlineStr">
        <is>
          <t>Mahindra Logistics Ltd</t>
        </is>
      </c>
      <c r="E65" s="31" t="inlineStr">
        <is>
          <t>transportation</t>
        </is>
      </c>
      <c r="F65" s="31" t="inlineStr">
        <is>
          <t>Logistics - Warehousing/Supply Chain</t>
        </is>
      </c>
      <c r="G65" s="31" t="inlineStr">
        <is>
          <t>smallcap</t>
        </is>
      </c>
      <c r="H65" s="32" t="n">
        <v>4071.59</v>
      </c>
      <c r="I65" s="32" t="n">
        <v>410.35</v>
      </c>
      <c r="J65" s="32" t="n">
        <v>1.91</v>
      </c>
      <c r="K65" s="32" t="n">
        <v>0</v>
      </c>
      <c r="L65" s="31" t="n">
        <v>27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59.85</v>
      </c>
      <c r="P65" s="32" t="n">
        <v>19.47</v>
      </c>
      <c r="Q65" s="32" t="n">
        <v>320.55</v>
      </c>
      <c r="R65" s="31" t="inlineStr">
        <is>
          <t>Near 52W High Breakout</t>
        </is>
      </c>
      <c r="S65" s="31" t="inlineStr">
        <is>
          <t>Nifty 50</t>
        </is>
      </c>
      <c r="T65" s="32" t="n">
        <v>-0.74</v>
      </c>
      <c r="U65" s="32" t="n">
        <v>25.87</v>
      </c>
      <c r="V65" s="32" t="n">
        <v>26.8</v>
      </c>
      <c r="W65" s="32" t="n">
        <v>5.33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17</t>
        </is>
      </c>
      <c r="CG65" s="31">
        <f>IF(CF65&gt;20,10,IF(CF65&gt;=10,5,2))</f>
        <v/>
      </c>
    </row>
    <row r="66">
      <c r="A66" s="31">
        <f>IF(B66=0,"",RANK(B66,$B$2:$B$84,0))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MBAPL</t>
        </is>
      </c>
      <c r="D66" s="31" t="inlineStr">
        <is>
          <t>Madhya Bharat Agro Products Ltd</t>
        </is>
      </c>
      <c r="E66" s="31" t="inlineStr">
        <is>
          <t>chemicals</t>
        </is>
      </c>
      <c r="F66" s="31" t="inlineStr">
        <is>
          <t>Fertilisers</t>
        </is>
      </c>
      <c r="G66" s="31" t="inlineStr">
        <is>
          <t>midcap</t>
        </is>
      </c>
      <c r="H66" s="32" t="n">
        <v>7036.44</v>
      </c>
      <c r="I66" s="32" t="n">
        <v>160.6</v>
      </c>
      <c r="J66" s="32" t="n">
        <v>-3.17</v>
      </c>
      <c r="K66" s="32" t="n">
        <v>0</v>
      </c>
      <c r="L66" s="31" t="n">
        <v>88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86.94</v>
      </c>
      <c r="P66" s="32" t="n">
        <v>60.94</v>
      </c>
      <c r="Q66" s="32" t="n">
        <v>127.32</v>
      </c>
      <c r="R66" s="31" t="inlineStr">
        <is>
          <t>Volume Spike &amp; Near 52W High Breakout</t>
        </is>
      </c>
      <c r="S66" s="31" t="inlineStr">
        <is>
          <t>Nifty 50</t>
        </is>
      </c>
      <c r="T66" s="32" t="n">
        <v>-0.74</v>
      </c>
      <c r="U66" s="32" t="n">
        <v>84.23999999999999</v>
      </c>
      <c r="V66" s="32" t="n">
        <v>85.61</v>
      </c>
      <c r="W66" s="32" t="n">
        <v>25.39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Between 12 to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More than 1.2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17</t>
        </is>
      </c>
      <c r="CG66" s="31">
        <f>IF(CF66&gt;20,10,IF(CF66&gt;=10,5,2))</f>
        <v/>
      </c>
    </row>
    <row r="67">
      <c r="A67" s="31">
        <f>IF(B67=0,"",RANK(B67,$B$2:$B$84,0))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SENORES</t>
        </is>
      </c>
      <c r="D67" s="31" t="inlineStr">
        <is>
          <t>Senores Pharmaceuticals Ltd</t>
        </is>
      </c>
      <c r="E67" s="31" t="inlineStr">
        <is>
          <t>Healthcare</t>
        </is>
      </c>
      <c r="F67" s="31" t="inlineStr">
        <is>
          <t>Pharma - API</t>
        </is>
      </c>
      <c r="G67" s="31" t="inlineStr">
        <is>
          <t>midcap</t>
        </is>
      </c>
      <c r="H67" s="32" t="n">
        <v>6009.99</v>
      </c>
      <c r="I67" s="32" t="n">
        <v>1305</v>
      </c>
      <c r="J67" s="32" t="n">
        <v>0.97</v>
      </c>
      <c r="K67" s="32" t="n">
        <v>0</v>
      </c>
      <c r="L67" s="31" t="n">
        <v>86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66.28</v>
      </c>
      <c r="P67" s="32" t="n">
        <v>62.15</v>
      </c>
      <c r="Q67" s="32" t="n">
        <v>1079.15</v>
      </c>
      <c r="R67" s="31" t="inlineStr">
        <is>
          <t>Earnings / Momentum Support</t>
        </is>
      </c>
      <c r="S67" s="31" t="inlineStr">
        <is>
          <t>Nifty Pharma</t>
        </is>
      </c>
      <c r="T67" s="32" t="n">
        <v>20.55</v>
      </c>
      <c r="U67" s="32" t="n">
        <v>96.23999999999999</v>
      </c>
      <c r="V67" s="32" t="n">
        <v>62.79</v>
      </c>
      <c r="W67" s="32" t="n">
        <v>24.53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No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Negative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18</t>
        </is>
      </c>
      <c r="CG67" s="31">
        <f>IF(CF67&gt;20,10,IF(CF67&gt;=10,5,2))</f>
        <v/>
      </c>
    </row>
    <row r="68">
      <c r="A68" s="31">
        <f>IF(B68=0,"",RANK(B68,$B$2:$B$84,0))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KPL</t>
        </is>
      </c>
      <c r="D68" s="31" t="inlineStr">
        <is>
          <t>Kwality Pharmaceuticals Ltd</t>
        </is>
      </c>
      <c r="E68" s="31" t="inlineStr">
        <is>
          <t>Healthcare</t>
        </is>
      </c>
      <c r="F68" s="31" t="inlineStr">
        <is>
          <t>Pharma - Formulators</t>
        </is>
      </c>
      <c r="G68" s="31" t="inlineStr">
        <is>
          <t>smallcap</t>
        </is>
      </c>
      <c r="H68" s="32" t="n">
        <v>2647.07</v>
      </c>
      <c r="I68" s="32" t="n">
        <v>2551.1</v>
      </c>
      <c r="J68" s="32" t="n">
        <v>0.35</v>
      </c>
      <c r="K68" s="32" t="n">
        <v>0</v>
      </c>
      <c r="L68" s="31" t="n">
        <v>94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69.13</v>
      </c>
      <c r="P68" s="32" t="n">
        <v>64.44</v>
      </c>
      <c r="Q68" s="32" t="n">
        <v>2050.9</v>
      </c>
      <c r="R68" s="31" t="inlineStr">
        <is>
          <t>Earnings / Momentum Support</t>
        </is>
      </c>
      <c r="S68" s="31" t="inlineStr">
        <is>
          <t>Nifty Pharma</t>
        </is>
      </c>
      <c r="T68" s="32" t="n">
        <v>20.55</v>
      </c>
      <c r="U68" s="32" t="n">
        <v>129.98</v>
      </c>
      <c r="V68" s="32" t="n">
        <v>90.78</v>
      </c>
      <c r="W68" s="32" t="n">
        <v>34.88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Yes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Negative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17</t>
        </is>
      </c>
      <c r="CG68" s="31">
        <f>IF(CF68&gt;20,10,IF(CF68&gt;=10,5,2))</f>
        <v/>
      </c>
    </row>
    <row r="69">
      <c r="A69" s="31">
        <f>IF(B69=0,"",RANK(B69,$B$2:$B$84,0))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HFCL</t>
        </is>
      </c>
      <c r="D69" s="31" t="inlineStr">
        <is>
          <t>HFCL Ltd</t>
        </is>
      </c>
      <c r="E69" s="31" t="inlineStr">
        <is>
          <t>Technology</t>
        </is>
      </c>
      <c r="F69" s="31" t="inlineStr">
        <is>
          <t>Telecom Services</t>
        </is>
      </c>
      <c r="G69" s="31" t="inlineStr">
        <is>
          <t>largecap</t>
        </is>
      </c>
      <c r="H69" s="32" t="n">
        <v>29681.44</v>
      </c>
      <c r="I69" s="32" t="n">
        <v>193.92</v>
      </c>
      <c r="J69" s="32" t="n">
        <v>5</v>
      </c>
      <c r="K69" s="32" t="n">
        <v>0</v>
      </c>
      <c r="L69" s="31" t="n">
        <v>96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70.03</v>
      </c>
      <c r="P69" s="32" t="n">
        <v>69.5</v>
      </c>
      <c r="Q69" s="32" t="n">
        <v>159.48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-0.74</v>
      </c>
      <c r="U69" s="32" t="n">
        <v>165.08</v>
      </c>
      <c r="V69" s="32" t="n">
        <v>167.06</v>
      </c>
      <c r="W69" s="32" t="n">
        <v>40.11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17</t>
        </is>
      </c>
      <c r="CG69" s="31">
        <f>IF(CF69&gt;20,10,IF(CF69&gt;=10,5,2))</f>
        <v/>
      </c>
    </row>
    <row r="70">
      <c r="A70" s="31">
        <f>IF(B70=0,"",RANK(B70,$B$2:$B$84,0))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TVSMOTOR</t>
        </is>
      </c>
      <c r="D70" s="31" t="inlineStr">
        <is>
          <t>TVS Motor Company Ltd</t>
        </is>
      </c>
      <c r="E70" s="31" t="inlineStr">
        <is>
          <t>auto</t>
        </is>
      </c>
      <c r="F70" s="31" t="inlineStr">
        <is>
          <t>Auto - 2 &amp; 3 Wheelers</t>
        </is>
      </c>
      <c r="G70" s="31" t="inlineStr">
        <is>
          <t>largecap</t>
        </is>
      </c>
      <c r="H70" s="32" t="n">
        <v>204810.05</v>
      </c>
      <c r="I70" s="32" t="n">
        <v>4311</v>
      </c>
      <c r="J70" s="32" t="n">
        <v>2.44</v>
      </c>
      <c r="K70" s="32" t="n">
        <v>0</v>
      </c>
      <c r="L70" s="31" t="n">
        <v>65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70.56</v>
      </c>
      <c r="P70" s="32" t="n">
        <v>13.42</v>
      </c>
      <c r="Q70" s="32" t="n">
        <v>3578.55</v>
      </c>
      <c r="R70" s="31" t="inlineStr">
        <is>
          <t>Volume Spike &amp; Near 52W High Breakout</t>
        </is>
      </c>
      <c r="S70" s="31" t="inlineStr">
        <is>
          <t>Nifty Auto</t>
        </is>
      </c>
      <c r="T70" s="32" t="n">
        <v>20.87</v>
      </c>
      <c r="U70" s="32" t="n">
        <v>56</v>
      </c>
      <c r="V70" s="32" t="n">
        <v>29.07</v>
      </c>
      <c r="W70" s="32" t="n">
        <v>14.85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More than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22</t>
        </is>
      </c>
      <c r="CG70" s="31">
        <f>IF(CF70&gt;20,10,IF(CF70&gt;=10,5,2))</f>
        <v/>
      </c>
    </row>
    <row r="71">
      <c r="A71" s="31">
        <f>IF(B71=0,"",RANK(B71,$B$2:$B$84,0))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APCOTEXIND</t>
        </is>
      </c>
      <c r="D71" s="31" t="inlineStr">
        <is>
          <t>Apcotex Industries Ltd</t>
        </is>
      </c>
      <c r="E71" s="31" t="inlineStr">
        <is>
          <t>chemicals</t>
        </is>
      </c>
      <c r="F71" s="31" t="inlineStr">
        <is>
          <t>Rubber Processing/Rubber Products</t>
        </is>
      </c>
      <c r="G71" s="31" t="inlineStr">
        <is>
          <t>smallcap</t>
        </is>
      </c>
      <c r="H71" s="32" t="n">
        <v>3188.47</v>
      </c>
      <c r="I71" s="32" t="n">
        <v>615</v>
      </c>
      <c r="J71" s="32" t="n">
        <v>-3.52</v>
      </c>
      <c r="K71" s="32" t="n">
        <v>0</v>
      </c>
      <c r="L71" s="31" t="n">
        <v>80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73.56</v>
      </c>
      <c r="P71" s="32" t="n">
        <v>58.7</v>
      </c>
      <c r="Q71" s="32" t="n">
        <v>453.21</v>
      </c>
      <c r="R71" s="31" t="inlineStr">
        <is>
          <t>Volume Spike &amp; Near 52W High Breakout</t>
        </is>
      </c>
      <c r="S71" s="31" t="inlineStr">
        <is>
          <t>Nifty 50</t>
        </is>
      </c>
      <c r="T71" s="32" t="n">
        <v>-0.74</v>
      </c>
      <c r="U71" s="32" t="n">
        <v>46.64</v>
      </c>
      <c r="V71" s="32" t="n">
        <v>47.73</v>
      </c>
      <c r="W71" s="32" t="n">
        <v>20.92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Oligopoly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Cyclical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Fully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1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Sideways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Overhead supply in last 2 years in last 2 years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Between 50% to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23</t>
        </is>
      </c>
      <c r="CG71" s="31">
        <f>IF(CF71&gt;20,10,IF(CF71&gt;=10,5,2))</f>
        <v/>
      </c>
    </row>
    <row r="72">
      <c r="A72" s="31">
        <f>IF(B72=0,"",RANK(B72,$B$2:$B$84,0))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DEEPINDS</t>
        </is>
      </c>
      <c r="D72" s="34" t="inlineStr">
        <is>
          <t>Deep Industries Ltd</t>
        </is>
      </c>
      <c r="E72" s="31" t="inlineStr">
        <is>
          <t>energy</t>
        </is>
      </c>
      <c r="F72" s="31" t="inlineStr">
        <is>
          <t>Oil Drilling &amp; Exploration</t>
        </is>
      </c>
      <c r="G72" s="31" t="inlineStr">
        <is>
          <t>smallcap</t>
        </is>
      </c>
      <c r="H72" s="32" t="n">
        <v>3832.96</v>
      </c>
      <c r="I72" s="32" t="n">
        <v>598.9</v>
      </c>
      <c r="J72" s="32" t="n">
        <v>9.130000000000001</v>
      </c>
      <c r="K72" s="32" t="n">
        <v>0</v>
      </c>
      <c r="L72" s="31" t="n">
        <v>58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69.67</v>
      </c>
      <c r="P72" s="32" t="n">
        <v>14.68</v>
      </c>
      <c r="Q72" s="32" t="n">
        <v>455</v>
      </c>
      <c r="R72" s="31" t="inlineStr">
        <is>
          <t>Volume Spike &amp; Near 52W High Breakout</t>
        </is>
      </c>
      <c r="S72" s="31" t="inlineStr">
        <is>
          <t>Nifty Energy</t>
        </is>
      </c>
      <c r="T72" s="32" t="n">
        <v>9.869999999999999</v>
      </c>
      <c r="U72" s="32" t="n">
        <v>33.13</v>
      </c>
      <c r="V72" s="32" t="n">
        <v>21.17</v>
      </c>
      <c r="W72" s="32" t="n">
        <v>12.62</v>
      </c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Oligopoly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0 to 20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24</t>
        </is>
      </c>
      <c r="CG72" s="31">
        <f>IF(CF72&gt;20,10,IF(CF72&gt;=10,5,2))</f>
        <v/>
      </c>
    </row>
    <row r="73">
      <c r="A73" s="31">
        <f>IF(B73=0,"",RANK(B73,$B$2:$B$84,0))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KERNEX</t>
        </is>
      </c>
      <c r="D73" s="31" t="inlineStr">
        <is>
          <t>Kernex Microsystems (India) Ltd</t>
        </is>
      </c>
      <c r="E73" s="31" t="inlineStr">
        <is>
          <t>consumer discretionary</t>
        </is>
      </c>
      <c r="F73" s="31" t="inlineStr">
        <is>
          <t>Railways - Kavach/Springs</t>
        </is>
      </c>
      <c r="G73" s="31" t="inlineStr">
        <is>
          <t>smallcap</t>
        </is>
      </c>
      <c r="H73" s="32" t="n">
        <v>3836.27</v>
      </c>
      <c r="I73" s="32" t="n">
        <v>2283</v>
      </c>
      <c r="J73" s="32" t="n">
        <v>3.07</v>
      </c>
      <c r="K73" s="32" t="n">
        <v>0</v>
      </c>
      <c r="L73" s="31" t="n">
        <v>93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69.56</v>
      </c>
      <c r="P73" s="32" t="n">
        <v>56.59</v>
      </c>
      <c r="Q73" s="32" t="n">
        <v>1729.98</v>
      </c>
      <c r="R73" s="31" t="inlineStr">
        <is>
          <t>Near 52W High Breakout</t>
        </is>
      </c>
      <c r="S73" s="31" t="inlineStr">
        <is>
          <t>Nifty 50</t>
        </is>
      </c>
      <c r="T73" s="32" t="n">
        <v>-0.74</v>
      </c>
      <c r="U73" s="32" t="n">
        <v>106.85</v>
      </c>
      <c r="V73" s="32" t="n">
        <v>108.39</v>
      </c>
      <c r="W73" s="32" t="n">
        <v>32.36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Negative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19</t>
        </is>
      </c>
      <c r="CG73" s="31">
        <f>IF(CF73&gt;20,10,IF(CF73&gt;=10,5,2))</f>
        <v/>
      </c>
    </row>
    <row r="74">
      <c r="A74" s="31">
        <f>IF(B74=0,"",RANK(B74,$B$2:$B$84,0))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CNL</t>
        </is>
      </c>
      <c r="D74" s="31" t="inlineStr">
        <is>
          <t>Creative Newtech Ltd</t>
        </is>
      </c>
      <c r="E74" s="31" t="inlineStr">
        <is>
          <t>Technology</t>
        </is>
      </c>
      <c r="F74" s="31" t="inlineStr">
        <is>
          <t>E-Commerce - Platform - Utility</t>
        </is>
      </c>
      <c r="G74" s="31" t="inlineStr">
        <is>
          <t>smallcap</t>
        </is>
      </c>
      <c r="H74" s="32" t="n">
        <v>1495.66</v>
      </c>
      <c r="I74" s="32" t="n">
        <v>996</v>
      </c>
      <c r="J74" s="32" t="n">
        <v>-0.12</v>
      </c>
      <c r="K74" s="32" t="n">
        <v>0</v>
      </c>
      <c r="L74" s="31" t="n">
        <v>86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81.40000000000001</v>
      </c>
      <c r="P74" s="32" t="n">
        <v>38.81</v>
      </c>
      <c r="Q74" s="32" t="n">
        <v>745.85</v>
      </c>
      <c r="R74" s="31" t="inlineStr">
        <is>
          <t>Volume Spike &amp; Near 52W High Breakout</t>
        </is>
      </c>
      <c r="S74" s="31" t="inlineStr">
        <is>
          <t>Nifty 50</t>
        </is>
      </c>
      <c r="T74" s="32" t="n">
        <v>-0.74</v>
      </c>
      <c r="U74" s="32" t="n">
        <v>57.52</v>
      </c>
      <c r="V74" s="32" t="n">
        <v>58.69</v>
      </c>
      <c r="W74" s="32" t="n">
        <v>24.25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Oligopoly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Negative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21</t>
        </is>
      </c>
      <c r="CG74" s="31">
        <f>IF(CF74&gt;20,10,IF(CF74&gt;=10,5,2))</f>
        <v/>
      </c>
    </row>
    <row r="75">
      <c r="A75" s="31">
        <f>IF(B75=0,"",RANK(B75,$B$2:$B$84,0))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RKFORGE</t>
        </is>
      </c>
      <c r="D75" s="31" t="inlineStr">
        <is>
          <t>Ramkrishna Forgings Ltd</t>
        </is>
      </c>
      <c r="E75" s="31" t="inlineStr">
        <is>
          <t>industrials</t>
        </is>
      </c>
      <c r="F75" s="31" t="inlineStr">
        <is>
          <t>Castings, Forgings &amp; Fastners</t>
        </is>
      </c>
      <c r="G75" s="31" t="inlineStr">
        <is>
          <t>midcap</t>
        </is>
      </c>
      <c r="H75" s="32" t="n">
        <v>11885.68</v>
      </c>
      <c r="I75" s="32" t="n">
        <v>652.45</v>
      </c>
      <c r="J75" s="32" t="n">
        <v>4.16</v>
      </c>
      <c r="K75" s="32" t="n">
        <v>0</v>
      </c>
      <c r="L75" s="31" t="n">
        <v>25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64.55</v>
      </c>
      <c r="P75" s="32" t="n">
        <v>8.550000000000001</v>
      </c>
      <c r="Q75" s="32" t="n">
        <v>519.26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-0.74</v>
      </c>
      <c r="U75" s="32" t="n">
        <v>15.28</v>
      </c>
      <c r="V75" s="32" t="n">
        <v>16.14</v>
      </c>
      <c r="W75" s="32" t="n">
        <v>5.05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18</t>
        </is>
      </c>
      <c r="CG75" s="31">
        <f>IF(CF75&gt;20,10,IF(CF75&gt;=10,5,2))</f>
        <v/>
      </c>
    </row>
    <row r="76">
      <c r="A76" s="31">
        <f>IF(B76=0,"",RANK(B76,$B$2:$B$84,0))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PRICOLLTD</t>
        </is>
      </c>
      <c r="D76" s="34" t="inlineStr">
        <is>
          <t>Pricol Ltd</t>
        </is>
      </c>
      <c r="E76" s="31" t="inlineStr">
        <is>
          <t>auto</t>
        </is>
      </c>
      <c r="F76" s="31" t="inlineStr">
        <is>
          <t>Auto Ancillaries - 2 Wheelers</t>
        </is>
      </c>
      <c r="G76" s="31" t="inlineStr">
        <is>
          <t>midcap</t>
        </is>
      </c>
      <c r="H76" s="32" t="n">
        <v>8482.34</v>
      </c>
      <c r="I76" s="32" t="n">
        <v>695.95</v>
      </c>
      <c r="J76" s="32" t="n">
        <v>2.19</v>
      </c>
      <c r="K76" s="32" t="n">
        <v>0</v>
      </c>
      <c r="L76" s="31" t="n">
        <v>60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67.20999999999999</v>
      </c>
      <c r="P76" s="32" t="n">
        <v>21.37</v>
      </c>
      <c r="Q76" s="32" t="n">
        <v>556.0700000000001</v>
      </c>
      <c r="R76" s="31" t="inlineStr">
        <is>
          <t>Volume Spike &amp; Near 52W High Breakout</t>
        </is>
      </c>
      <c r="S76" s="31" t="inlineStr">
        <is>
          <t>Nifty Auto</t>
        </is>
      </c>
      <c r="T76" s="32" t="n">
        <v>20.87</v>
      </c>
      <c r="U76" s="32" t="n">
        <v>59.72</v>
      </c>
      <c r="V76" s="32" t="n">
        <v>32.15</v>
      </c>
      <c r="W76" s="32" t="n">
        <v>13.52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Shallow Cyclical (2 to 3 Years Growth)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Fully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Allocated capital in Non-core Areas</t>
        </is>
      </c>
      <c r="AU76" s="31">
        <f>IF(AT76="Good",10,0)</f>
        <v/>
      </c>
      <c r="AV76" s="31" t="inlineStr">
        <is>
          <t>Yes only for next 1 to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Between 12 to 20%</t>
        </is>
      </c>
      <c r="BO76" s="31">
        <f>IF(BN76="More than 20%",10,IF(BN76="Between 12 to 20%",5,IF(BN76="Less than 12%",0,0)))</f>
        <v/>
      </c>
      <c r="BP76" s="31" t="inlineStr">
        <is>
          <t>Yes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Between 1.5 to 2</t>
        </is>
      </c>
      <c r="BU76" s="31">
        <f>IF(BT76="Above 2",0,IF(BT76="Between 1.5 to 2",5,IF(BT76="Less than 1.5",10,0)))</f>
        <v/>
      </c>
      <c r="BV76" s="31" t="inlineStr">
        <is>
          <t>Between 50% to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22</t>
        </is>
      </c>
      <c r="CG76" s="31">
        <f>IF(CF76&gt;20,10,IF(CF76&gt;=10,5,2))</f>
        <v/>
      </c>
    </row>
    <row r="77">
      <c r="A77" s="31">
        <f>IF(B77=0,"",RANK(B77,$B$2:$B$84,0))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3" t="inlineStr">
        <is>
          <t>RAJRATAN</t>
        </is>
      </c>
      <c r="D77" s="33" t="inlineStr">
        <is>
          <t>Rajratan Global Wire Ltd</t>
        </is>
      </c>
      <c r="E77" s="31" t="inlineStr">
        <is>
          <t>metals &amp; mining</t>
        </is>
      </c>
      <c r="F77" s="31" t="inlineStr">
        <is>
          <t>Tyres &amp; Tubes</t>
        </is>
      </c>
      <c r="G77" s="31" t="inlineStr">
        <is>
          <t>smallcap</t>
        </is>
      </c>
      <c r="H77" s="32" t="n">
        <v>2525.86</v>
      </c>
      <c r="I77" s="32" t="n">
        <v>497.5</v>
      </c>
      <c r="J77" s="32" t="n">
        <v>3.21</v>
      </c>
      <c r="K77" s="32" t="n">
        <v>0</v>
      </c>
      <c r="L77" s="31" t="n">
        <v>43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62.7</v>
      </c>
      <c r="P77" s="32" t="n">
        <v>13.72</v>
      </c>
      <c r="Q77" s="32" t="n">
        <v>362.96</v>
      </c>
      <c r="R77" s="31" t="inlineStr">
        <is>
          <t>Earnings / Momentum Support</t>
        </is>
      </c>
      <c r="S77" s="31" t="inlineStr">
        <is>
          <t>Nifty Metal</t>
        </is>
      </c>
      <c r="T77" s="32" t="n">
        <v>34.95</v>
      </c>
      <c r="U77" s="32" t="n">
        <v>23.85</v>
      </c>
      <c r="V77" s="32" t="n">
        <v>-8.220000000000001</v>
      </c>
      <c r="W77" s="32" t="n">
        <v>8.57</v>
      </c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Cyclical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Volatile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0 to 20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18</t>
        </is>
      </c>
      <c r="CG77" s="31">
        <f>IF(CF77&gt;20,10,IF(CF77&gt;=10,5,2))</f>
        <v/>
      </c>
    </row>
    <row r="78">
      <c r="A78" s="31">
        <f>IF(B78=0,"",RANK(B78,$B$2:$B$84,0))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AEGISLOG</t>
        </is>
      </c>
      <c r="D78" s="34" t="inlineStr">
        <is>
          <t>Aegis Logistics Ltd</t>
        </is>
      </c>
      <c r="E78" s="31" t="inlineStr">
        <is>
          <t>Energy</t>
        </is>
      </c>
      <c r="F78" s="31" t="inlineStr">
        <is>
          <t>Logistics</t>
        </is>
      </c>
      <c r="G78" s="31" t="inlineStr">
        <is>
          <t>largecap</t>
        </is>
      </c>
      <c r="H78" s="32" t="n">
        <v>44854.29</v>
      </c>
      <c r="I78" s="32" t="n">
        <v>1277.9</v>
      </c>
      <c r="J78" s="32" t="n">
        <v>2.29</v>
      </c>
      <c r="K78" s="32" t="n">
        <v>0</v>
      </c>
      <c r="L78" s="31" t="n">
        <v>93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73.27</v>
      </c>
      <c r="P78" s="32" t="n">
        <v>46.38</v>
      </c>
      <c r="Q78" s="32" t="n">
        <v>1010.91</v>
      </c>
      <c r="R78" s="31" t="inlineStr">
        <is>
          <t>Earnings / Momentum Support</t>
        </is>
      </c>
      <c r="S78" s="31" t="inlineStr">
        <is>
          <t>Nifty Energy</t>
        </is>
      </c>
      <c r="T78" s="32" t="n">
        <v>9.869999999999999</v>
      </c>
      <c r="U78" s="32" t="n">
        <v>74.90000000000001</v>
      </c>
      <c r="V78" s="32" t="n">
        <v>59.19</v>
      </c>
      <c r="W78" s="32" t="n">
        <v>31.93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No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Negative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17</t>
        </is>
      </c>
      <c r="CG78" s="31">
        <f>IF(CF78&gt;20,10,IF(CF78&gt;=10,5,2))</f>
        <v/>
      </c>
    </row>
    <row r="79">
      <c r="A79" s="31">
        <f>IF(B79=0,"",RANK(B79,$B$2:$B$84,0))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SILVERTUC</t>
        </is>
      </c>
      <c r="D79" s="34" t="inlineStr">
        <is>
          <t>Silver Touch Technologies Ltd</t>
        </is>
      </c>
      <c r="E79" s="31" t="inlineStr">
        <is>
          <t>i.t</t>
        </is>
      </c>
      <c r="F79" s="31" t="inlineStr">
        <is>
          <t>IT - Software</t>
        </is>
      </c>
      <c r="G79" s="31" t="inlineStr">
        <is>
          <t>smallcap</t>
        </is>
      </c>
      <c r="H79" s="32" t="n">
        <v>2528.59</v>
      </c>
      <c r="I79" s="32" t="n">
        <v>199.4</v>
      </c>
      <c r="J79" s="32" t="n">
        <v>-3.58</v>
      </c>
      <c r="K79" s="32" t="n">
        <v>0</v>
      </c>
      <c r="L79" s="31" t="n">
        <v>1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44.05</v>
      </c>
      <c r="P79" s="32" t="n">
        <v>22.26</v>
      </c>
      <c r="Q79" s="32" t="n">
        <v>104.61</v>
      </c>
      <c r="R79" s="31" t="inlineStr">
        <is>
          <t>Volume Spike / Accumulation</t>
        </is>
      </c>
      <c r="S79" s="31" t="inlineStr">
        <is>
          <t>Nifty IT</t>
        </is>
      </c>
      <c r="T79" s="32" t="n">
        <v>-11.37</v>
      </c>
      <c r="U79" s="32" t="n">
        <v>-72.84999999999999</v>
      </c>
      <c r="V79" s="32" t="n">
        <v>-69.36</v>
      </c>
      <c r="W79" s="32" t="n">
        <v>-3.62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Below 45</t>
        </is>
      </c>
      <c r="BA79" s="31">
        <f>IF(AZ79="Between 50 to 75",10,IF(AZ79="Above 75",0,0))</f>
        <v/>
      </c>
      <c r="BB79" s="31" t="inlineStr">
        <is>
          <t>Stage 4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Between 1.5 to 2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20</t>
        </is>
      </c>
      <c r="CG79" s="31">
        <f>IF(CF79&gt;20,10,IF(CF79&gt;=10,5,2))</f>
        <v/>
      </c>
    </row>
    <row r="80">
      <c r="A80" s="31">
        <f>IF(B80=0,"",RANK(B80,$B$2:$B$84,0))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3" t="inlineStr">
        <is>
          <t>FAIRCHEMOR</t>
        </is>
      </c>
      <c r="D80" s="33" t="inlineStr">
        <is>
          <t>Fairchem Organics Ltd</t>
        </is>
      </c>
      <c r="E80" s="31" t="inlineStr">
        <is>
          <t>Basic Materials</t>
        </is>
      </c>
      <c r="F80" s="31" t="inlineStr">
        <is>
          <t>Chemicals - Organic</t>
        </is>
      </c>
      <c r="G80" s="31" t="inlineStr">
        <is>
          <t>smallcap</t>
        </is>
      </c>
      <c r="H80" s="32" t="n">
        <v>1004.02</v>
      </c>
      <c r="I80" s="32" t="n">
        <v>797.1</v>
      </c>
      <c r="J80" s="32" t="n">
        <v>-2</v>
      </c>
      <c r="K80" s="32" t="n">
        <v>0</v>
      </c>
      <c r="L80" s="31" t="n">
        <v>40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68.75</v>
      </c>
      <c r="P80" s="32" t="n">
        <v>19.79</v>
      </c>
      <c r="Q80" s="32" t="n">
        <v>600.83</v>
      </c>
      <c r="R80" s="31" t="inlineStr">
        <is>
          <t>Volume Spike / Accumulation</t>
        </is>
      </c>
      <c r="S80" s="31" t="inlineStr">
        <is>
          <t>Nifty 50</t>
        </is>
      </c>
      <c r="T80" s="32" t="n">
        <v>-0.74</v>
      </c>
      <c r="U80" s="32" t="n">
        <v>-9.800000000000001</v>
      </c>
      <c r="V80" s="32" t="n">
        <v>-9.130000000000001</v>
      </c>
      <c r="W80" s="32" t="n">
        <v>7.83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Cyclical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Volatile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17</t>
        </is>
      </c>
      <c r="CG80" s="31">
        <f>IF(CF80&gt;20,10,IF(CF80&gt;=10,5,2))</f>
        <v/>
      </c>
    </row>
    <row r="81">
      <c r="A81" s="31">
        <f>IF(B81=0,"",RANK(B81,$B$2:$B$84,0))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LLOYDSME</t>
        </is>
      </c>
      <c r="D81" s="31" t="inlineStr">
        <is>
          <t>Lloyds Metals &amp; Energy Ltd</t>
        </is>
      </c>
      <c r="E81" s="31" t="inlineStr">
        <is>
          <t>metals &amp; mining</t>
        </is>
      </c>
      <c r="F81" s="31" t="inlineStr">
        <is>
          <t>Mining/Minerals - Iron Ore</t>
        </is>
      </c>
      <c r="G81" s="31" t="inlineStr">
        <is>
          <t>largecap</t>
        </is>
      </c>
      <c r="H81" s="32" t="n">
        <v>114607.86</v>
      </c>
      <c r="I81" s="32" t="n">
        <v>2036</v>
      </c>
      <c r="J81" s="32" t="n">
        <v>1.04</v>
      </c>
      <c r="K81" s="32" t="n">
        <v>0</v>
      </c>
      <c r="L81" s="31" t="n">
        <v>59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78.12</v>
      </c>
      <c r="P81" s="32" t="n">
        <v>44.98</v>
      </c>
      <c r="Q81" s="32" t="n">
        <v>1695.81</v>
      </c>
      <c r="R81" s="31" t="inlineStr">
        <is>
          <t>Volume Spike &amp; Near 52W High Breakout</t>
        </is>
      </c>
      <c r="S81" s="31" t="inlineStr">
        <is>
          <t>Nifty Metal</t>
        </is>
      </c>
      <c r="T81" s="32" t="n">
        <v>34.95</v>
      </c>
      <c r="U81" s="32" t="n">
        <v>36.16</v>
      </c>
      <c r="V81" s="32" t="n">
        <v>0.9</v>
      </c>
      <c r="W81" s="32" t="n">
        <v>13.18</v>
      </c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Less than 50% and Borrowings are increasing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More than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19</t>
        </is>
      </c>
      <c r="CG81" s="31">
        <f>IF(CF81&gt;20,10,IF(CF81&gt;=10,5,2))</f>
        <v/>
      </c>
    </row>
    <row r="82">
      <c r="A82" s="31">
        <f>IF(B82=0,"",RANK(B82,$B$2:$B$84,0))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GAEL</t>
        </is>
      </c>
      <c r="D82" s="34" t="inlineStr">
        <is>
          <t>Gujarat Ambuja Exports Ltd</t>
        </is>
      </c>
      <c r="E82" s="31" t="inlineStr">
        <is>
          <t>fmcg</t>
        </is>
      </c>
      <c r="F82" s="31" t="inlineStr">
        <is>
          <t>Agricultural Processing - Maize</t>
        </is>
      </c>
      <c r="G82" s="31" t="inlineStr">
        <is>
          <t>midcap</t>
        </is>
      </c>
      <c r="H82" s="32" t="n">
        <v>7843.27</v>
      </c>
      <c r="I82" s="32" t="n">
        <v>171</v>
      </c>
      <c r="J82" s="32" t="n">
        <v>-0.92</v>
      </c>
      <c r="K82" s="32" t="n">
        <v>0</v>
      </c>
      <c r="L82" s="31" t="n">
        <v>61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63.78</v>
      </c>
      <c r="P82" s="32" t="n">
        <v>37.99</v>
      </c>
      <c r="Q82" s="32" t="n">
        <v>135.93</v>
      </c>
      <c r="R82" s="31" t="inlineStr">
        <is>
          <t>Volume Spike &amp; Near 52W High Breakout</t>
        </is>
      </c>
      <c r="S82" s="31" t="inlineStr">
        <is>
          <t>Nifty FMCG</t>
        </is>
      </c>
      <c r="T82" s="32" t="n">
        <v>-10</v>
      </c>
      <c r="U82" s="32" t="n">
        <v>63.54</v>
      </c>
      <c r="V82" s="32" t="n">
        <v>81.72</v>
      </c>
      <c r="W82" s="32" t="n">
        <v>13.62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Oligopoly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Shallow Cyclical (2 to 3 Years Growth)</t>
        </is>
      </c>
      <c r="AG82" s="31">
        <f>IF(AF82="Structural (10 Years Consistency)",10,IF(AF82="Shallow Cyclical (2 to 3 years growth)",5,0))</f>
        <v/>
      </c>
      <c r="AH82" s="31" t="inlineStr">
        <is>
          <t>Yes due to Product Mix change or Operating Leverage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Allocated capital in Non-core Areas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3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Sideways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Overhead supply in last 2 years in last 2 years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More than 15%</t>
        </is>
      </c>
      <c r="CC82" s="31">
        <f>IF(CB82="More than 15%",-10,IF(CB82="Less than 15%",10,0))</f>
        <v/>
      </c>
      <c r="CD82" s="31" t="inlineStr">
        <is>
          <t>Yes Upto 10%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IF(B83=0,"",RANK(B83,$B$2:$B$84,0))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SHADOWFAX</t>
        </is>
      </c>
      <c r="D83" s="34" t="inlineStr">
        <is>
          <t>Shadowfax Technologies Ltd</t>
        </is>
      </c>
      <c r="E83" s="31" t="inlineStr">
        <is>
          <t>unknown</t>
        </is>
      </c>
      <c r="F83" s="31" t="inlineStr">
        <is>
          <t>Logistics</t>
        </is>
      </c>
      <c r="G83" s="31" t="inlineStr">
        <is>
          <t>midcap</t>
        </is>
      </c>
      <c r="H83" s="32" t="n">
        <v>14211.56</v>
      </c>
      <c r="I83" s="32" t="n">
        <v>242.8</v>
      </c>
      <c r="J83" s="32" t="n">
        <v>10.28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inlineStr"/>
      <c r="P83" s="32" t="inlineStr"/>
      <c r="Q83" s="32" t="inlineStr"/>
      <c r="R83" s="31" t="inlineStr"/>
      <c r="S83" s="31" t="inlineStr"/>
      <c r="T83" s="32" t="inlineStr"/>
      <c r="U83" s="32" t="inlineStr"/>
      <c r="V83" s="32" t="inlineStr"/>
      <c r="W83" s="32" t="inlineStr"/>
      <c r="X83" s="31" t="n"/>
      <c r="Y83" s="31">
        <f>IF(X83="Growing Industry",10,IF(X83="Cyclical in an Upturn",5,0))</f>
        <v/>
      </c>
      <c r="Z83" s="31" t="n"/>
      <c r="AA83" s="31">
        <f>IF(Z83="Monopoly",10,IF(Z83="Oligopoly",5,IF(Z83="Duopoly that cooperate",10,IF(Z83="Duopoly that compete",5,IF(Z83="Too many players with High ROCE",5,0)))))</f>
        <v/>
      </c>
      <c r="AB83" s="31" t="n"/>
      <c r="AC83" s="31">
        <f>IF(AB83="No",5,0)</f>
        <v/>
      </c>
      <c r="AD83" s="31" t="n"/>
      <c r="AE83" s="31">
        <f>IF(AD83="Tailwind",10,0)</f>
        <v/>
      </c>
      <c r="AF83" s="31" t="n"/>
      <c r="AG83" s="31">
        <f>IF(AF83="Structural (10 Years Consistency)",10,IF(AF83="Shallow Cyclical (2 to 3 years growth)",5,0))</f>
        <v/>
      </c>
      <c r="AH83" s="31" t="n"/>
      <c r="AI83" s="31">
        <f>IF(AH83="Yes due to Product Mix change or Operating Leverage",10,IF(AH83="Yes, these are peak margins",-5,IF(AH83="No",5,0)))</f>
        <v/>
      </c>
      <c r="AJ83" s="31" t="n"/>
      <c r="AK83" s="31">
        <f>IF(AJ83="Stable",10,0)</f>
        <v/>
      </c>
      <c r="AL83" s="31" t="n"/>
      <c r="AM83" s="31">
        <f>IF(AL83="Yes",10,0)</f>
        <v/>
      </c>
      <c r="AN83" s="31" t="n"/>
      <c r="AO83" s="31">
        <f>IF(AN83="B2C",10,IF(AN83="B2B",5,0))</f>
        <v/>
      </c>
      <c r="AP83" s="31" t="n"/>
      <c r="AQ83" s="31">
        <f>IF(AP83="Yes",10,0)</f>
        <v/>
      </c>
      <c r="AR83" s="31" t="n"/>
      <c r="AS83" s="31">
        <f>IF(AR83="Fully Annuity",10,IF(AR83="Higher Annuity, Lower One Time",5,IF(AR83="Higher One Time, Lower Annuity",3,0)))</f>
        <v/>
      </c>
      <c r="AT83" s="31" t="n"/>
      <c r="AU83" s="31">
        <f>IF(AT83="Good",10,0)</f>
        <v/>
      </c>
      <c r="AV83" s="31" t="n"/>
      <c r="AW83" s="31">
        <f>IF(AV83="Yes for more than 2 years",10,IF(AV83="Yes only for next 1 to 2 years",5,0))</f>
        <v/>
      </c>
      <c r="AX83" s="31" t="n"/>
      <c r="AY83" s="31">
        <f>IF(AX83="Above 40",20,IF(AX83="20 to 40",10,IF(AX83="0 to 20",-5,0)))</f>
        <v/>
      </c>
      <c r="AZ83" s="31" t="n"/>
      <c r="BA83" s="31">
        <f>IF(AZ83="Between 50 to 75",10,IF(AZ83="Above 75",0,0))</f>
        <v/>
      </c>
      <c r="BB83" s="31" t="n"/>
      <c r="BC83" s="31">
        <f>IF(BB83="Stage 2",20,IF(BB83="Stage 1",0,IF(BB83="Stage 3",5,IF(BB83="Stage 4",-5,0))))</f>
        <v/>
      </c>
      <c r="BD83" s="31" t="n"/>
      <c r="BE83" s="31">
        <f>IF(BD83="Positive Trend",20,IF(BD83="Negative Trend",-10,0))</f>
        <v/>
      </c>
      <c r="BF83" s="31" t="n"/>
      <c r="BG83" s="31">
        <f>IF(BF83="Uptrend",10,IF(BF83="Sideways",5,0))</f>
        <v/>
      </c>
      <c r="BH83" s="31" t="n"/>
      <c r="BI83" s="31">
        <f>IF(BH83="Uptrend",10,IF(BH83="Sideways",5,0))</f>
        <v/>
      </c>
      <c r="BJ83" s="31" t="n"/>
      <c r="BK83" s="31">
        <f>IF(BJ83="Overhead supply in last 2 years in last 2 years",-5,IF(BJ83="Close to 52 week high or retracement",5,IF(BJ83="Blue sky scenario",10,IF(BJ83="Long term Downtrend",-10,0))))</f>
        <v/>
      </c>
      <c r="BL83" s="31" t="n"/>
      <c r="BM83" s="31">
        <f>IF(BL83="Yes",10,0)</f>
        <v/>
      </c>
      <c r="BN83" s="31" t="n"/>
      <c r="BO83" s="31">
        <f>IF(BN83="More than 20%",10,IF(BN83="Between 12 to 20%",5,IF(BN83="Less than 12%",0,0)))</f>
        <v/>
      </c>
      <c r="BP83" s="31" t="n"/>
      <c r="BQ83" s="31">
        <f>IF(BP83="No",10,0)</f>
        <v/>
      </c>
      <c r="BR83" s="31" t="n"/>
      <c r="BS83" s="31">
        <f>IF(BR83="NO",5,0)</f>
        <v/>
      </c>
      <c r="BT83" s="31" t="n"/>
      <c r="BU83" s="31">
        <f>IF(BT83="Above 2",0,IF(BT83="Between 1.5 to 2",5,IF(BT83="Less than 1.5",10,0)))</f>
        <v/>
      </c>
      <c r="BV83" s="31" t="n"/>
      <c r="BW83" s="31">
        <f>IF(BV83="Above 70%",10,IF(BV83="Between 50% to 70%",5,IF(BV83="Less than 50%",0,IF(BV83="Negative",-10,IF(BV83="Less than 50% and Borrowings are increasing",-5,0)))))</f>
        <v/>
      </c>
      <c r="BX83" s="31" t="n"/>
      <c r="BY83" s="31">
        <f>IF(BX83="More than 1.2",-10,IF(BX83="Between 0.7 to 1.2",0,IF(BX83="Less than 0.7",10,0)))</f>
        <v/>
      </c>
      <c r="BZ83" s="31" t="n"/>
      <c r="CA83" s="31">
        <f>IF(BZ83="Yes",-10,0)</f>
        <v/>
      </c>
      <c r="CB83" s="31" t="n"/>
      <c r="CC83" s="31">
        <f>IF(CB83="More than 15%",-10,IF(CB83="Less than 15%",10,0))</f>
        <v/>
      </c>
      <c r="CD83" s="31" t="n"/>
      <c r="CE83" s="31">
        <f>IF(CD83="Yes, more than 10%",-10,IF(CD83="No",10,0))</f>
        <v/>
      </c>
      <c r="CF83" s="31" t="n"/>
      <c r="CG83" s="31">
        <f>IF(CF83&gt;20,10,IF(CF83&gt;=10,5,2))</f>
        <v/>
      </c>
    </row>
    <row r="84">
      <c r="A84" s="31">
        <f>IF(B84=0,"",RANK(B84,$B$2:$B$84,0))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MONOLITH</t>
        </is>
      </c>
      <c r="D84" s="31" t="inlineStr">
        <is>
          <t>Monolithisch India Ltd</t>
        </is>
      </c>
      <c r="E84" s="31" t="inlineStr">
        <is>
          <t>unknown</t>
        </is>
      </c>
      <c r="F84" s="31" t="inlineStr">
        <is>
          <t>Refractories</t>
        </is>
      </c>
      <c r="G84" s="31" t="inlineStr">
        <is>
          <t>smallcap</t>
        </is>
      </c>
      <c r="H84" s="32" t="n">
        <v>1851.04</v>
      </c>
      <c r="I84" s="32" t="n">
        <v>851.6</v>
      </c>
      <c r="J84" s="32" t="n">
        <v>1.55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inlineStr"/>
      <c r="P84" s="32" t="inlineStr"/>
      <c r="Q84" s="32" t="inlineStr"/>
      <c r="R84" s="31" t="inlineStr"/>
      <c r="S84" s="31" t="inlineStr"/>
      <c r="T84" s="32" t="inlineStr"/>
      <c r="U84" s="32" t="inlineStr"/>
      <c r="V84" s="32" t="inlineStr"/>
      <c r="W84" s="32" t="inlineStr"/>
      <c r="X84" s="31" t="n"/>
      <c r="Y84" s="31">
        <f>IF(X84="Growing Industry",10,IF(X84="Cyclical in an Upturn",5,0))</f>
        <v/>
      </c>
      <c r="Z84" s="31" t="n"/>
      <c r="AA84" s="31">
        <f>IF(Z84="Monopoly",10,IF(Z84="Oligopoly",5,IF(Z84="Duopoly that cooperate",10,IF(Z84="Duopoly that compete",5,IF(Z84="Too many players with High ROCE",5,0)))))</f>
        <v/>
      </c>
      <c r="AB84" s="31" t="n"/>
      <c r="AC84" s="31">
        <f>IF(AB84="No",5,0)</f>
        <v/>
      </c>
      <c r="AD84" s="31" t="n"/>
      <c r="AE84" s="31">
        <f>IF(AD84="Tailwind",10,0)</f>
        <v/>
      </c>
      <c r="AF84" s="31" t="n"/>
      <c r="AG84" s="31">
        <f>IF(AF84="Structural (10 Years Consistency)",10,IF(AF84="Shallow Cyclical (2 to 3 years growth)",5,0))</f>
        <v/>
      </c>
      <c r="AH84" s="31" t="n"/>
      <c r="AI84" s="31">
        <f>IF(AH84="Yes due to Product Mix change or Operating Leverage",10,IF(AH84="Yes, these are peak margins",-5,IF(AH84="No",5,0)))</f>
        <v/>
      </c>
      <c r="AJ84" s="31" t="n"/>
      <c r="AK84" s="31">
        <f>IF(AJ84="Stable",10,0)</f>
        <v/>
      </c>
      <c r="AL84" s="31" t="n"/>
      <c r="AM84" s="31">
        <f>IF(AL84="Yes",10,0)</f>
        <v/>
      </c>
      <c r="AN84" s="31" t="n"/>
      <c r="AO84" s="31">
        <f>IF(AN84="B2C",10,IF(AN84="B2B",5,0))</f>
        <v/>
      </c>
      <c r="AP84" s="31" t="n"/>
      <c r="AQ84" s="31">
        <f>IF(AP84="Yes",10,0)</f>
        <v/>
      </c>
      <c r="AR84" s="31" t="n"/>
      <c r="AS84" s="31">
        <f>IF(AR84="Fully Annuity",10,IF(AR84="Higher Annuity, Lower One Time",5,IF(AR84="Higher One Time, Lower Annuity",3,0)))</f>
        <v/>
      </c>
      <c r="AT84" s="31" t="n"/>
      <c r="AU84" s="31">
        <f>IF(AT84="Good",10,0)</f>
        <v/>
      </c>
      <c r="AV84" s="31" t="n"/>
      <c r="AW84" s="31">
        <f>IF(AV84="Yes for more than 2 years",10,IF(AV84="Yes only for next 1 to 2 years",5,0))</f>
        <v/>
      </c>
      <c r="AX84" s="31" t="n"/>
      <c r="AY84" s="31">
        <f>IF(AX84="Above 40",20,IF(AX84="20 to 40",10,IF(AX84="0 to 20",-5,0)))</f>
        <v/>
      </c>
      <c r="AZ84" s="31" t="n"/>
      <c r="BA84" s="31">
        <f>IF(AZ84="Between 50 to 75",10,IF(AZ84="Above 75",0,0))</f>
        <v/>
      </c>
      <c r="BB84" s="31" t="n"/>
      <c r="BC84" s="31">
        <f>IF(BB84="Stage 2",20,IF(BB84="Stage 1",0,IF(BB84="Stage 3",5,IF(BB84="Stage 4",-5,0))))</f>
        <v/>
      </c>
      <c r="BD84" s="31" t="n"/>
      <c r="BE84" s="31">
        <f>IF(BD84="Positive Trend",20,IF(BD84="Negative Trend",-10,0))</f>
        <v/>
      </c>
      <c r="BF84" s="31" t="n"/>
      <c r="BG84" s="31">
        <f>IF(BF84="Uptrend",10,IF(BF84="Sideways",5,0))</f>
        <v/>
      </c>
      <c r="BH84" s="31" t="n"/>
      <c r="BI84" s="31">
        <f>IF(BH84="Uptrend",10,IF(BH84="Sideways",5,0))</f>
        <v/>
      </c>
      <c r="BJ84" s="31" t="n"/>
      <c r="BK84" s="31">
        <f>IF(BJ84="Overhead supply in last 2 years in last 2 years",-5,IF(BJ84="Close to 52 week high or retracement",5,IF(BJ84="Blue sky scenario",10,IF(BJ84="Long term Downtrend",-10,0))))</f>
        <v/>
      </c>
      <c r="BL84" s="31" t="n"/>
      <c r="BM84" s="31">
        <f>IF(BL84="Yes",10,0)</f>
        <v/>
      </c>
      <c r="BN84" s="31" t="n"/>
      <c r="BO84" s="31">
        <f>IF(BN84="More than 20%",10,IF(BN84="Between 12 to 20%",5,IF(BN84="Less than 12%",0,0)))</f>
        <v/>
      </c>
      <c r="BP84" s="31" t="n"/>
      <c r="BQ84" s="31">
        <f>IF(BP84="No",10,0)</f>
        <v/>
      </c>
      <c r="BR84" s="31" t="n"/>
      <c r="BS84" s="31">
        <f>IF(BR84="NO",5,0)</f>
        <v/>
      </c>
      <c r="BT84" s="31" t="n"/>
      <c r="BU84" s="31">
        <f>IF(BT84="Above 2",0,IF(BT84="Between 1.5 to 2",5,IF(BT84="Less than 1.5",10,0)))</f>
        <v/>
      </c>
      <c r="BV84" s="31" t="n"/>
      <c r="BW84" s="31">
        <f>IF(BV84="Above 70%",10,IF(BV84="Between 50% to 70%",5,IF(BV84="Less than 50%",0,IF(BV84="Negative",-10,IF(BV84="Less than 50% and Borrowings are increasing",-5,0)))))</f>
        <v/>
      </c>
      <c r="BX84" s="31" t="n"/>
      <c r="BY84" s="31">
        <f>IF(BX84="More than 1.2",-10,IF(BX84="Between 0.7 to 1.2",0,IF(BX84="Less than 0.7",10,0)))</f>
        <v/>
      </c>
      <c r="BZ84" s="31" t="n"/>
      <c r="CA84" s="31">
        <f>IF(BZ84="Yes",-10,0)</f>
        <v/>
      </c>
      <c r="CB84" s="31" t="n"/>
      <c r="CC84" s="31">
        <f>IF(CB84="More than 15%",-10,IF(CB84="Less than 15%",10,0))</f>
        <v/>
      </c>
      <c r="CD84" s="31" t="n"/>
      <c r="CE84" s="31">
        <f>IF(CD84="Yes, more than 10%",-10,IF(CD84="No",10,0))</f>
        <v/>
      </c>
      <c r="CF84" s="31" t="n"/>
      <c r="CG84" s="31">
        <f>IF(CF84&gt;20,10,IF(CF84&gt;=10,5,2))</f>
        <v/>
      </c>
    </row>
    <row r="88">
      <c r="A88" s="25" t="inlineStr">
        <is>
          <t>❌ REMOVED SCAN MATCH STOCKS (THIS WEEK)</t>
        </is>
      </c>
    </row>
    <row r="89">
      <c r="A89" s="35" t="inlineStr">
        <is>
          <t>Symbol</t>
        </is>
      </c>
      <c r="B89" s="35" t="inlineStr">
        <is>
          <t>Company Name</t>
        </is>
      </c>
      <c r="C89" s="35" t="inlineStr">
        <is>
          <t>Sector</t>
        </is>
      </c>
      <c r="D89" s="35" t="inlineStr">
        <is>
          <t>Date of Removal</t>
        </is>
      </c>
    </row>
    <row r="90">
      <c r="A90" s="36" t="inlineStr">
        <is>
          <t>ACE</t>
        </is>
      </c>
      <c r="B90" s="37" t="inlineStr">
        <is>
          <t>Action Construction Equipment Limited</t>
        </is>
      </c>
      <c r="C90" s="37" t="inlineStr">
        <is>
          <t>Industrials</t>
        </is>
      </c>
      <c r="D90" s="38" t="inlineStr">
        <is>
          <t>2026-07-31</t>
        </is>
      </c>
    </row>
    <row r="91">
      <c r="A91" s="36" t="inlineStr">
        <is>
          <t>ACUTAAS</t>
        </is>
      </c>
      <c r="B91" s="37" t="inlineStr">
        <is>
          <t>ACUTAAS</t>
        </is>
      </c>
      <c r="C91" s="37" t="inlineStr">
        <is>
          <t>unknown</t>
        </is>
      </c>
      <c r="D91" s="38" t="inlineStr">
        <is>
          <t>2026-07-31</t>
        </is>
      </c>
    </row>
    <row r="92">
      <c r="A92" s="36" t="inlineStr">
        <is>
          <t>ADANIENSOL</t>
        </is>
      </c>
      <c r="B92" s="37" t="inlineStr">
        <is>
          <t>ADANIENSOL</t>
        </is>
      </c>
      <c r="C92" s="37" t="inlineStr">
        <is>
          <t>unknown</t>
        </is>
      </c>
      <c r="D92" s="38" t="inlineStr">
        <is>
          <t>2026-07-31</t>
        </is>
      </c>
    </row>
    <row r="93">
      <c r="A93" s="36" t="inlineStr">
        <is>
          <t>AEGISVOPAK</t>
        </is>
      </c>
      <c r="B93" s="37" t="inlineStr">
        <is>
          <t>AEGISVOPAK</t>
        </is>
      </c>
      <c r="C93" s="37" t="inlineStr">
        <is>
          <t>Energy</t>
        </is>
      </c>
      <c r="D93" s="38" t="inlineStr">
        <is>
          <t>2026-07-28</t>
        </is>
      </c>
    </row>
    <row r="94">
      <c r="A94" s="36" t="inlineStr">
        <is>
          <t>AEROFLEX</t>
        </is>
      </c>
      <c r="B94" s="37" t="inlineStr">
        <is>
          <t>AEROFLEX</t>
        </is>
      </c>
      <c r="C94" s="37" t="inlineStr">
        <is>
          <t>unknown</t>
        </is>
      </c>
      <c r="D94" s="38" t="inlineStr">
        <is>
          <t>2026-07-30</t>
        </is>
      </c>
    </row>
    <row r="95">
      <c r="A95" s="36" t="inlineStr">
        <is>
          <t>ANGELONE</t>
        </is>
      </c>
      <c r="B95" s="37" t="inlineStr">
        <is>
          <t>ANGELONE</t>
        </is>
      </c>
      <c r="C95" s="37" t="inlineStr">
        <is>
          <t>unknown</t>
        </is>
      </c>
      <c r="D95" s="38" t="inlineStr">
        <is>
          <t>2026-07-30</t>
        </is>
      </c>
    </row>
    <row r="96">
      <c r="A96" s="36" t="inlineStr">
        <is>
          <t>APOLLO</t>
        </is>
      </c>
      <c r="B96" s="37" t="inlineStr">
        <is>
          <t>APOLLO</t>
        </is>
      </c>
      <c r="C96" s="37" t="inlineStr">
        <is>
          <t>unknown</t>
        </is>
      </c>
      <c r="D96" s="38" t="inlineStr">
        <is>
          <t>2026-07-30</t>
        </is>
      </c>
    </row>
    <row r="97">
      <c r="A97" s="36" t="inlineStr">
        <is>
          <t>ASHAPURMIN</t>
        </is>
      </c>
      <c r="B97" s="37" t="inlineStr">
        <is>
          <t>ASHAPURMIN</t>
        </is>
      </c>
      <c r="C97" s="37" t="inlineStr">
        <is>
          <t>unknown</t>
        </is>
      </c>
      <c r="D97" s="38" t="inlineStr">
        <is>
          <t>2026-07-30</t>
        </is>
      </c>
    </row>
    <row r="98">
      <c r="A98" s="36" t="inlineStr">
        <is>
          <t>ASKAUTOLTD</t>
        </is>
      </c>
      <c r="B98" s="37" t="inlineStr">
        <is>
          <t>ASKAUTOLTD</t>
        </is>
      </c>
      <c r="C98" s="37" t="inlineStr">
        <is>
          <t>Consumer Cyclical</t>
        </is>
      </c>
      <c r="D98" s="38" t="inlineStr">
        <is>
          <t>2026-07-30</t>
        </is>
      </c>
    </row>
    <row r="99">
      <c r="A99" s="36" t="inlineStr">
        <is>
          <t>ASMTEC</t>
        </is>
      </c>
      <c r="B99" s="37" t="inlineStr">
        <is>
          <t>ASMTEC</t>
        </is>
      </c>
      <c r="C99" s="37" t="inlineStr">
        <is>
          <t>unknown</t>
        </is>
      </c>
      <c r="D99" s="38" t="inlineStr">
        <is>
          <t>2026-07-30</t>
        </is>
      </c>
    </row>
    <row r="100">
      <c r="A100" s="36" t="inlineStr">
        <is>
          <t>AURUM</t>
        </is>
      </c>
      <c r="B100" s="37" t="inlineStr">
        <is>
          <t>AURUM</t>
        </is>
      </c>
      <c r="C100" s="37" t="inlineStr">
        <is>
          <t>unknown</t>
        </is>
      </c>
      <c r="D100" s="38" t="inlineStr">
        <is>
          <t>2026-07-30</t>
        </is>
      </c>
    </row>
    <row r="101">
      <c r="A101" s="36" t="inlineStr">
        <is>
          <t>BAJAJ-AUTO</t>
        </is>
      </c>
      <c r="B101" s="37" t="inlineStr">
        <is>
          <t>Bajaj Auto Limited</t>
        </is>
      </c>
      <c r="C101" s="37" t="inlineStr">
        <is>
          <t>Consumer Cyclical</t>
        </is>
      </c>
      <c r="D101" s="38" t="inlineStr">
        <is>
          <t>2026-07-30</t>
        </is>
      </c>
    </row>
    <row r="102">
      <c r="A102" s="36" t="inlineStr">
        <is>
          <t>BAJAJCON</t>
        </is>
      </c>
      <c r="B102" s="37" t="inlineStr">
        <is>
          <t>BAJAJCON</t>
        </is>
      </c>
      <c r="C102" s="37" t="inlineStr">
        <is>
          <t>unknown</t>
        </is>
      </c>
      <c r="D102" s="38" t="inlineStr">
        <is>
          <t>2026-07-30</t>
        </is>
      </c>
    </row>
    <row r="103">
      <c r="A103" s="36" t="inlineStr">
        <is>
          <t>BHAGYANGR</t>
        </is>
      </c>
      <c r="B103" s="37" t="inlineStr">
        <is>
          <t>BHAGYANGR</t>
        </is>
      </c>
      <c r="C103" s="37" t="inlineStr">
        <is>
          <t>unknown</t>
        </is>
      </c>
      <c r="D103" s="38" t="inlineStr">
        <is>
          <t>2026-07-30</t>
        </is>
      </c>
    </row>
    <row r="104">
      <c r="A104" s="36" t="inlineStr">
        <is>
          <t>BLISSGVS</t>
        </is>
      </c>
      <c r="B104" s="37" t="inlineStr">
        <is>
          <t>BLISSGVS</t>
        </is>
      </c>
      <c r="C104" s="37" t="inlineStr">
        <is>
          <t>unknown</t>
        </is>
      </c>
      <c r="D104" s="38" t="inlineStr">
        <is>
          <t>2026-07-30</t>
        </is>
      </c>
    </row>
    <row r="105">
      <c r="A105" s="36" t="inlineStr">
        <is>
          <t>CEMPRO</t>
        </is>
      </c>
      <c r="B105" s="37" t="inlineStr">
        <is>
          <t>CEMPRO</t>
        </is>
      </c>
      <c r="C105" s="37" t="inlineStr">
        <is>
          <t>unknown</t>
        </is>
      </c>
      <c r="D105" s="38" t="inlineStr">
        <is>
          <t>2026-07-30</t>
        </is>
      </c>
    </row>
    <row r="106">
      <c r="A106" s="36" t="inlineStr">
        <is>
          <t>CFF</t>
        </is>
      </c>
      <c r="B106" s="37" t="inlineStr">
        <is>
          <t>CFF</t>
        </is>
      </c>
      <c r="C106" s="37" t="inlineStr">
        <is>
          <t>unknown</t>
        </is>
      </c>
      <c r="D106" s="38" t="inlineStr">
        <is>
          <t>2026-07-30</t>
        </is>
      </c>
    </row>
    <row r="107">
      <c r="A107" s="36" t="inlineStr">
        <is>
          <t>COCKERILL</t>
        </is>
      </c>
      <c r="B107" s="37" t="inlineStr">
        <is>
          <t>COCKERILL</t>
        </is>
      </c>
      <c r="C107" s="37" t="inlineStr">
        <is>
          <t>unknown</t>
        </is>
      </c>
      <c r="D107" s="38" t="inlineStr">
        <is>
          <t>2026-07-30</t>
        </is>
      </c>
    </row>
    <row r="108">
      <c r="A108" s="36" t="inlineStr">
        <is>
          <t>CPPLUS</t>
        </is>
      </c>
      <c r="B108" s="37" t="inlineStr">
        <is>
          <t>CPPLUS</t>
        </is>
      </c>
      <c r="C108" s="37" t="inlineStr">
        <is>
          <t>unknown</t>
        </is>
      </c>
      <c r="D108" s="38" t="inlineStr">
        <is>
          <t>2026-07-30</t>
        </is>
      </c>
    </row>
    <row r="109">
      <c r="A109" s="36" t="inlineStr">
        <is>
          <t>CUB</t>
        </is>
      </c>
      <c r="B109" s="37" t="inlineStr">
        <is>
          <t>CUB</t>
        </is>
      </c>
      <c r="C109" s="37" t="inlineStr">
        <is>
          <t>unknown</t>
        </is>
      </c>
      <c r="D109" s="38" t="inlineStr">
        <is>
          <t>2026-07-30</t>
        </is>
      </c>
    </row>
    <row r="110">
      <c r="A110" s="36" t="inlineStr">
        <is>
          <t>DIVGIITTS</t>
        </is>
      </c>
      <c r="B110" s="37" t="inlineStr">
        <is>
          <t>Divgi TorqTransfer Systems Limited</t>
        </is>
      </c>
      <c r="C110" s="37" t="inlineStr">
        <is>
          <t>Consumer Cyclical</t>
        </is>
      </c>
      <c r="D110" s="38" t="inlineStr">
        <is>
          <t>2026-07-30</t>
        </is>
      </c>
    </row>
    <row r="111">
      <c r="A111" s="36" t="inlineStr">
        <is>
          <t>DPABHUSHAN</t>
        </is>
      </c>
      <c r="B111" s="37" t="inlineStr">
        <is>
          <t>D. P. Abhushan Limited</t>
        </is>
      </c>
      <c r="C111" s="37" t="inlineStr">
        <is>
          <t>Consumer Cyclical</t>
        </is>
      </c>
      <c r="D111" s="38" t="inlineStr">
        <is>
          <t>2026-07-31</t>
        </is>
      </c>
    </row>
    <row r="112">
      <c r="A112" s="36" t="inlineStr">
        <is>
          <t>DYCL</t>
        </is>
      </c>
      <c r="B112" s="37" t="inlineStr">
        <is>
          <t>DYCL</t>
        </is>
      </c>
      <c r="C112" s="37" t="inlineStr">
        <is>
          <t>unknown</t>
        </is>
      </c>
      <c r="D112" s="38" t="inlineStr">
        <is>
          <t>2026-07-28</t>
        </is>
      </c>
    </row>
    <row r="113">
      <c r="A113" s="36" t="inlineStr">
        <is>
          <t>EXIDEIND</t>
        </is>
      </c>
      <c r="B113" s="37" t="inlineStr">
        <is>
          <t>Exide Industries Limited</t>
        </is>
      </c>
      <c r="C113" s="37" t="inlineStr">
        <is>
          <t>Consumer Cyclical</t>
        </is>
      </c>
      <c r="D113" s="38" t="inlineStr">
        <is>
          <t>2026-07-31</t>
        </is>
      </c>
    </row>
    <row r="114">
      <c r="A114" s="36" t="inlineStr">
        <is>
          <t>FCL</t>
        </is>
      </c>
      <c r="B114" s="37" t="inlineStr">
        <is>
          <t>FCL</t>
        </is>
      </c>
      <c r="C114" s="37" t="inlineStr">
        <is>
          <t>unknown</t>
        </is>
      </c>
      <c r="D114" s="38" t="inlineStr">
        <is>
          <t>2026-07-30</t>
        </is>
      </c>
    </row>
    <row r="115">
      <c r="A115" s="36" t="inlineStr">
        <is>
          <t>FILATEX</t>
        </is>
      </c>
      <c r="B115" s="37" t="inlineStr">
        <is>
          <t>Filatex India Limited</t>
        </is>
      </c>
      <c r="C115" s="37" t="inlineStr">
        <is>
          <t>Consumer Cyclical</t>
        </is>
      </c>
      <c r="D115" s="38" t="inlineStr">
        <is>
          <t>2026-07-30</t>
        </is>
      </c>
    </row>
    <row r="116">
      <c r="A116" s="36" t="inlineStr">
        <is>
          <t>FREDUN</t>
        </is>
      </c>
      <c r="B116" s="37" t="inlineStr">
        <is>
          <t>FREDUN</t>
        </is>
      </c>
      <c r="C116" s="37" t="inlineStr">
        <is>
          <t>unknown</t>
        </is>
      </c>
      <c r="D116" s="38" t="inlineStr">
        <is>
          <t>2026-07-30</t>
        </is>
      </c>
    </row>
    <row r="117">
      <c r="A117" s="36" t="inlineStr">
        <is>
          <t>GANDHAR</t>
        </is>
      </c>
      <c r="B117" s="37" t="inlineStr">
        <is>
          <t>GANDHAR</t>
        </is>
      </c>
      <c r="C117" s="37" t="inlineStr">
        <is>
          <t>unknown</t>
        </is>
      </c>
      <c r="D117" s="38" t="inlineStr">
        <is>
          <t>2026-07-31</t>
        </is>
      </c>
    </row>
    <row r="118">
      <c r="A118" s="36" t="inlineStr">
        <is>
          <t>GLAND</t>
        </is>
      </c>
      <c r="B118" s="37" t="inlineStr">
        <is>
          <t>Gland Pharma Limited</t>
        </is>
      </c>
      <c r="C118" s="37" t="inlineStr">
        <is>
          <t>Healthcare</t>
        </is>
      </c>
      <c r="D118" s="38" t="inlineStr">
        <is>
          <t>2026-07-30</t>
        </is>
      </c>
    </row>
    <row r="119">
      <c r="A119" s="36" t="inlineStr">
        <is>
          <t>GOCLCORP</t>
        </is>
      </c>
      <c r="B119" s="37" t="inlineStr">
        <is>
          <t>GOCLCORP</t>
        </is>
      </c>
      <c r="C119" s="37" t="inlineStr">
        <is>
          <t>unknown</t>
        </is>
      </c>
      <c r="D119" s="38" t="inlineStr">
        <is>
          <t>2026-07-30</t>
        </is>
      </c>
    </row>
    <row r="120">
      <c r="A120" s="36" t="inlineStr">
        <is>
          <t>GRANULES</t>
        </is>
      </c>
      <c r="B120" s="37" t="inlineStr">
        <is>
          <t>GRANULES</t>
        </is>
      </c>
      <c r="C120" s="37" t="inlineStr">
        <is>
          <t>unknown</t>
        </is>
      </c>
      <c r="D120" s="38" t="inlineStr">
        <is>
          <t>2026-07-30</t>
        </is>
      </c>
    </row>
    <row r="121">
      <c r="A121" s="36" t="inlineStr">
        <is>
          <t>GVPIL</t>
        </is>
      </c>
      <c r="B121" s="37" t="inlineStr">
        <is>
          <t>GVPIL</t>
        </is>
      </c>
      <c r="C121" s="37" t="inlineStr">
        <is>
          <t>unknown</t>
        </is>
      </c>
      <c r="D121" s="38" t="inlineStr">
        <is>
          <t>2026-07-30</t>
        </is>
      </c>
    </row>
    <row r="122">
      <c r="A122" s="36" t="inlineStr">
        <is>
          <t>GVT&amp;D</t>
        </is>
      </c>
      <c r="B122" s="37" t="inlineStr">
        <is>
          <t>GVT&amp;D</t>
        </is>
      </c>
      <c r="C122" s="37" t="inlineStr">
        <is>
          <t>unknown</t>
        </is>
      </c>
      <c r="D122" s="38" t="inlineStr">
        <is>
          <t>2026-07-30</t>
        </is>
      </c>
    </row>
    <row r="123">
      <c r="A123" s="36" t="inlineStr">
        <is>
          <t>HEG</t>
        </is>
      </c>
      <c r="B123" s="37" t="inlineStr">
        <is>
          <t>HEG Limited</t>
        </is>
      </c>
      <c r="C123" s="37" t="inlineStr">
        <is>
          <t>Industrials</t>
        </is>
      </c>
      <c r="D123" s="38" t="inlineStr">
        <is>
          <t>2026-07-31</t>
        </is>
      </c>
    </row>
    <row r="124">
      <c r="A124" s="36" t="inlineStr">
        <is>
          <t>HESTERBIO</t>
        </is>
      </c>
      <c r="B124" s="37" t="inlineStr">
        <is>
          <t>HESTERBIO</t>
        </is>
      </c>
      <c r="C124" s="37" t="inlineStr">
        <is>
          <t>Healthcare</t>
        </is>
      </c>
      <c r="D124" s="38" t="inlineStr">
        <is>
          <t>2026-07-30</t>
        </is>
      </c>
    </row>
    <row r="125">
      <c r="A125" s="36" t="inlineStr">
        <is>
          <t>HONASA</t>
        </is>
      </c>
      <c r="B125" s="37" t="inlineStr">
        <is>
          <t>HONASA</t>
        </is>
      </c>
      <c r="C125" s="37" t="inlineStr">
        <is>
          <t>unknown</t>
        </is>
      </c>
      <c r="D125" s="38" t="inlineStr">
        <is>
          <t>2026-07-30</t>
        </is>
      </c>
    </row>
    <row r="126">
      <c r="A126" s="36" t="inlineStr">
        <is>
          <t>HSCL</t>
        </is>
      </c>
      <c r="B126" s="37" t="inlineStr">
        <is>
          <t>Himadri Speciality Chemical Limited</t>
        </is>
      </c>
      <c r="C126" s="37" t="inlineStr">
        <is>
          <t>Basic Materials</t>
        </is>
      </c>
      <c r="D126" s="38" t="inlineStr">
        <is>
          <t>2026-07-28</t>
        </is>
      </c>
    </row>
    <row r="127">
      <c r="A127" s="36" t="inlineStr">
        <is>
          <t>IBULLSLTD</t>
        </is>
      </c>
      <c r="B127" s="37" t="inlineStr">
        <is>
          <t>IBULLSLTD</t>
        </is>
      </c>
      <c r="C127" s="37" t="inlineStr">
        <is>
          <t>unknown</t>
        </is>
      </c>
      <c r="D127" s="38" t="inlineStr">
        <is>
          <t>2026-07-30</t>
        </is>
      </c>
    </row>
    <row r="128">
      <c r="A128" s="36" t="inlineStr">
        <is>
          <t>INDIAGLYCO</t>
        </is>
      </c>
      <c r="B128" s="37" t="inlineStr">
        <is>
          <t>India Glycols Limited</t>
        </is>
      </c>
      <c r="C128" s="37" t="inlineStr">
        <is>
          <t>Basic Materials</t>
        </is>
      </c>
      <c r="D128" s="38" t="inlineStr">
        <is>
          <t>2026-07-30</t>
        </is>
      </c>
    </row>
    <row r="129">
      <c r="A129" s="36" t="inlineStr">
        <is>
          <t>INDOBORAX</t>
        </is>
      </c>
      <c r="B129" s="37" t="inlineStr">
        <is>
          <t>INDOBORAX</t>
        </is>
      </c>
      <c r="C129" s="37" t="inlineStr">
        <is>
          <t>unknown</t>
        </is>
      </c>
      <c r="D129" s="38" t="inlineStr">
        <is>
          <t>2026-07-30</t>
        </is>
      </c>
    </row>
    <row r="130">
      <c r="A130" s="36" t="inlineStr">
        <is>
          <t>IOLCP</t>
        </is>
      </c>
      <c r="B130" s="37" t="inlineStr">
        <is>
          <t>IOLCP</t>
        </is>
      </c>
      <c r="C130" s="37" t="inlineStr">
        <is>
          <t>unknown</t>
        </is>
      </c>
      <c r="D130" s="38" t="inlineStr">
        <is>
          <t>2026-07-30</t>
        </is>
      </c>
    </row>
    <row r="131">
      <c r="A131" s="36" t="inlineStr">
        <is>
          <t>JAYBARMARU</t>
        </is>
      </c>
      <c r="B131" s="37" t="inlineStr">
        <is>
          <t>JAYBARMARU</t>
        </is>
      </c>
      <c r="C131" s="37" t="inlineStr">
        <is>
          <t>unknown</t>
        </is>
      </c>
      <c r="D131" s="38" t="inlineStr">
        <is>
          <t>2026-07-30</t>
        </is>
      </c>
    </row>
    <row r="132">
      <c r="A132" s="36" t="inlineStr">
        <is>
          <t>JKPAPER</t>
        </is>
      </c>
      <c r="B132" s="37" t="inlineStr">
        <is>
          <t>JK Paper Limited</t>
        </is>
      </c>
      <c r="C132" s="37" t="inlineStr">
        <is>
          <t>Basic Materials</t>
        </is>
      </c>
      <c r="D132" s="38" t="inlineStr">
        <is>
          <t>2026-07-28</t>
        </is>
      </c>
    </row>
    <row r="133">
      <c r="A133" s="36" t="inlineStr">
        <is>
          <t>JLHL</t>
        </is>
      </c>
      <c r="B133" s="37" t="inlineStr">
        <is>
          <t>JLHL</t>
        </is>
      </c>
      <c r="C133" s="37" t="inlineStr">
        <is>
          <t>unknown</t>
        </is>
      </c>
      <c r="D133" s="38" t="inlineStr">
        <is>
          <t>2026-07-31</t>
        </is>
      </c>
    </row>
    <row r="134">
      <c r="A134" s="36" t="inlineStr">
        <is>
          <t>JNKINDIA</t>
        </is>
      </c>
      <c r="B134" s="37" t="inlineStr">
        <is>
          <t>JNKINDIA</t>
        </is>
      </c>
      <c r="C134" s="37" t="inlineStr">
        <is>
          <t>unknown</t>
        </is>
      </c>
      <c r="D134" s="38" t="inlineStr">
        <is>
          <t>2026-07-30</t>
        </is>
      </c>
    </row>
    <row r="135">
      <c r="A135" s="36" t="inlineStr">
        <is>
          <t>JUBLINGREA</t>
        </is>
      </c>
      <c r="B135" s="37" t="inlineStr">
        <is>
          <t>Jubilant Ingrevia Limited</t>
        </is>
      </c>
      <c r="C135" s="37" t="inlineStr">
        <is>
          <t>Basic Materials</t>
        </is>
      </c>
      <c r="D135" s="38" t="inlineStr">
        <is>
          <t>2026-07-28</t>
        </is>
      </c>
    </row>
    <row r="136">
      <c r="A136" s="36" t="inlineStr">
        <is>
          <t>KINGFA</t>
        </is>
      </c>
      <c r="B136" s="37" t="inlineStr">
        <is>
          <t>Kingfa Science &amp; Technology (India) Limited</t>
        </is>
      </c>
      <c r="C136" s="37" t="inlineStr">
        <is>
          <t>Basic Materials</t>
        </is>
      </c>
      <c r="D136" s="38" t="inlineStr">
        <is>
          <t>2026-07-30</t>
        </is>
      </c>
    </row>
    <row r="137">
      <c r="A137" s="36" t="inlineStr">
        <is>
          <t>KMCSHIL</t>
        </is>
      </c>
      <c r="B137" s="37" t="inlineStr">
        <is>
          <t>KMCSHIL</t>
        </is>
      </c>
      <c r="C137" s="37" t="inlineStr">
        <is>
          <t>unknown</t>
        </is>
      </c>
      <c r="D137" s="38" t="inlineStr">
        <is>
          <t>2026-07-30</t>
        </is>
      </c>
    </row>
    <row r="138">
      <c r="A138" s="36" t="inlineStr">
        <is>
          <t>KSHINTL</t>
        </is>
      </c>
      <c r="B138" s="37" t="inlineStr">
        <is>
          <t>KSHINTL</t>
        </is>
      </c>
      <c r="C138" s="37" t="inlineStr">
        <is>
          <t>unknown</t>
        </is>
      </c>
      <c r="D138" s="38" t="inlineStr">
        <is>
          <t>2026-07-30</t>
        </is>
      </c>
    </row>
    <row r="139">
      <c r="A139" s="36" t="inlineStr">
        <is>
          <t>LOTUSDEV</t>
        </is>
      </c>
      <c r="B139" s="37" t="inlineStr">
        <is>
          <t>LOTUSDEV</t>
        </is>
      </c>
      <c r="C139" s="37" t="inlineStr">
        <is>
          <t>unknown</t>
        </is>
      </c>
      <c r="D139" s="38" t="inlineStr">
        <is>
          <t>2026-07-28</t>
        </is>
      </c>
    </row>
    <row r="140">
      <c r="A140" s="36" t="inlineStr">
        <is>
          <t>LXCHEM</t>
        </is>
      </c>
      <c r="B140" s="37" t="inlineStr">
        <is>
          <t>LXCHEM</t>
        </is>
      </c>
      <c r="C140" s="37" t="inlineStr">
        <is>
          <t>unknown</t>
        </is>
      </c>
      <c r="D140" s="38" t="inlineStr">
        <is>
          <t>2026-07-31</t>
        </is>
      </c>
    </row>
    <row r="141">
      <c r="A141" s="36" t="inlineStr">
        <is>
          <t>MARKSANS</t>
        </is>
      </c>
      <c r="B141" s="37" t="inlineStr">
        <is>
          <t>MARKSANS</t>
        </is>
      </c>
      <c r="C141" s="37" t="inlineStr">
        <is>
          <t>unknown</t>
        </is>
      </c>
      <c r="D141" s="38" t="inlineStr">
        <is>
          <t>2026-07-30</t>
        </is>
      </c>
    </row>
    <row r="142">
      <c r="A142" s="36" t="inlineStr">
        <is>
          <t>MAYURUNIQ</t>
        </is>
      </c>
      <c r="B142" s="37" t="inlineStr">
        <is>
          <t>MAYURUNIQ</t>
        </is>
      </c>
      <c r="C142" s="37" t="inlineStr">
        <is>
          <t>unknown</t>
        </is>
      </c>
      <c r="D142" s="38" t="inlineStr">
        <is>
          <t>2026-07-30</t>
        </is>
      </c>
    </row>
    <row r="143">
      <c r="A143" s="36" t="inlineStr">
        <is>
          <t>MINDACORP</t>
        </is>
      </c>
      <c r="B143" s="37" t="inlineStr">
        <is>
          <t>Minda Corporation Limited</t>
        </is>
      </c>
      <c r="C143" s="37" t="inlineStr">
        <is>
          <t>Consumer Cyclical</t>
        </is>
      </c>
      <c r="D143" s="38" t="inlineStr">
        <is>
          <t>2026-07-30</t>
        </is>
      </c>
    </row>
    <row r="144">
      <c r="A144" s="36" t="inlineStr">
        <is>
          <t>MODINSU</t>
        </is>
      </c>
      <c r="B144" s="37" t="inlineStr">
        <is>
          <t>MODINSU</t>
        </is>
      </c>
      <c r="C144" s="37" t="inlineStr">
        <is>
          <t>unknown</t>
        </is>
      </c>
      <c r="D144" s="38" t="inlineStr">
        <is>
          <t>2026-07-30</t>
        </is>
      </c>
    </row>
    <row r="145">
      <c r="A145" s="36" t="inlineStr">
        <is>
          <t>MODISONLTD</t>
        </is>
      </c>
      <c r="B145" s="37" t="inlineStr">
        <is>
          <t>MODISONLTD</t>
        </is>
      </c>
      <c r="C145" s="37" t="inlineStr">
        <is>
          <t>unknown</t>
        </is>
      </c>
      <c r="D145" s="38" t="inlineStr">
        <is>
          <t>2026-07-30</t>
        </is>
      </c>
    </row>
    <row r="146">
      <c r="A146" s="36" t="inlineStr">
        <is>
          <t>MOTHERSON</t>
        </is>
      </c>
      <c r="B146" s="37" t="inlineStr">
        <is>
          <t>Samvardhana Motherson International Limited</t>
        </is>
      </c>
      <c r="C146" s="37" t="inlineStr">
        <is>
          <t>Consumer Cyclical</t>
        </is>
      </c>
      <c r="D146" s="38" t="inlineStr">
        <is>
          <t>2026-07-30</t>
        </is>
      </c>
    </row>
    <row r="147">
      <c r="A147" s="36" t="inlineStr">
        <is>
          <t>MTARTECH</t>
        </is>
      </c>
      <c r="B147" s="37" t="inlineStr">
        <is>
          <t>MTARTECH</t>
        </is>
      </c>
      <c r="C147" s="37" t="inlineStr">
        <is>
          <t>unknown</t>
        </is>
      </c>
      <c r="D147" s="38" t="inlineStr">
        <is>
          <t>2026-07-30</t>
        </is>
      </c>
    </row>
    <row r="148">
      <c r="A148" s="36" t="inlineStr">
        <is>
          <t>NEOGEN</t>
        </is>
      </c>
      <c r="B148" s="37" t="inlineStr">
        <is>
          <t>NEOGEN</t>
        </is>
      </c>
      <c r="C148" s="37" t="inlineStr">
        <is>
          <t>unknown</t>
        </is>
      </c>
      <c r="D148" s="38" t="inlineStr">
        <is>
          <t>2026-07-30</t>
        </is>
      </c>
    </row>
    <row r="149">
      <c r="A149" s="36" t="inlineStr">
        <is>
          <t>NETWEB</t>
        </is>
      </c>
      <c r="B149" s="37" t="inlineStr">
        <is>
          <t>Netweb Technologies India Limited</t>
        </is>
      </c>
      <c r="C149" s="37" t="inlineStr">
        <is>
          <t>Technology</t>
        </is>
      </c>
      <c r="D149" s="38" t="inlineStr">
        <is>
          <t>2026-07-30</t>
        </is>
      </c>
    </row>
    <row r="150">
      <c r="A150" s="36" t="inlineStr">
        <is>
          <t>NITTAGELA</t>
        </is>
      </c>
      <c r="B150" s="37" t="inlineStr">
        <is>
          <t>NITTAGELA</t>
        </is>
      </c>
      <c r="C150" s="37" t="inlineStr">
        <is>
          <t>unknown</t>
        </is>
      </c>
      <c r="D150" s="38" t="inlineStr">
        <is>
          <t>2026-07-30</t>
        </is>
      </c>
    </row>
    <row r="151">
      <c r="A151" s="36" t="inlineStr">
        <is>
          <t>NOVARTIND</t>
        </is>
      </c>
      <c r="B151" s="37" t="inlineStr">
        <is>
          <t>NOVARTIND</t>
        </is>
      </c>
      <c r="C151" s="37" t="inlineStr">
        <is>
          <t>unknown</t>
        </is>
      </c>
      <c r="D151" s="38" t="inlineStr">
        <is>
          <t>2026-07-28</t>
        </is>
      </c>
    </row>
    <row r="152">
      <c r="A152" s="36" t="inlineStr">
        <is>
          <t>NSLNISP</t>
        </is>
      </c>
      <c r="B152" s="37" t="inlineStr">
        <is>
          <t>NSLNISP</t>
        </is>
      </c>
      <c r="C152" s="37" t="inlineStr">
        <is>
          <t>unknown</t>
        </is>
      </c>
      <c r="D152" s="38" t="inlineStr">
        <is>
          <t>2026-07-30</t>
        </is>
      </c>
    </row>
    <row r="153">
      <c r="A153" s="36" t="inlineStr">
        <is>
          <t>OBSCP</t>
        </is>
      </c>
      <c r="B153" s="37" t="inlineStr">
        <is>
          <t>OBSCP</t>
        </is>
      </c>
      <c r="C153" s="37" t="inlineStr">
        <is>
          <t>unknown</t>
        </is>
      </c>
      <c r="D153" s="38" t="inlineStr">
        <is>
          <t>2026-07-30</t>
        </is>
      </c>
    </row>
    <row r="154">
      <c r="A154" s="36" t="inlineStr">
        <is>
          <t>ONIXSOLAR</t>
        </is>
      </c>
      <c r="B154" s="37" t="inlineStr">
        <is>
          <t>ONIXSOLAR</t>
        </is>
      </c>
      <c r="C154" s="37" t="inlineStr">
        <is>
          <t>unknown</t>
        </is>
      </c>
      <c r="D154" s="38" t="inlineStr">
        <is>
          <t>2026-07-30</t>
        </is>
      </c>
    </row>
    <row r="155">
      <c r="A155" s="36" t="inlineStr">
        <is>
          <t>PGHL</t>
        </is>
      </c>
      <c r="B155" s="37" t="inlineStr">
        <is>
          <t>PGHL</t>
        </is>
      </c>
      <c r="C155" s="37" t="inlineStr">
        <is>
          <t>unknown</t>
        </is>
      </c>
      <c r="D155" s="38" t="inlineStr">
        <is>
          <t>2026-07-30</t>
        </is>
      </c>
    </row>
    <row r="156">
      <c r="A156" s="36" t="inlineStr">
        <is>
          <t>POWERINDIA</t>
        </is>
      </c>
      <c r="B156" s="37" t="inlineStr">
        <is>
          <t>POWERINDIA</t>
        </is>
      </c>
      <c r="C156" s="37" t="inlineStr">
        <is>
          <t>unknown</t>
        </is>
      </c>
      <c r="D156" s="38" t="inlineStr">
        <is>
          <t>2026-07-30</t>
        </is>
      </c>
    </row>
    <row r="157">
      <c r="A157" s="36" t="inlineStr">
        <is>
          <t>PRECWIRE</t>
        </is>
      </c>
      <c r="B157" s="37" t="inlineStr">
        <is>
          <t>PRECWIRE</t>
        </is>
      </c>
      <c r="C157" s="37" t="inlineStr">
        <is>
          <t>unknown</t>
        </is>
      </c>
      <c r="D157" s="38" t="inlineStr">
        <is>
          <t>2026-07-30</t>
        </is>
      </c>
    </row>
    <row r="158">
      <c r="A158" s="36" t="inlineStr">
        <is>
          <t>PREMIERENE</t>
        </is>
      </c>
      <c r="B158" s="37" t="inlineStr">
        <is>
          <t>PREMIERENE</t>
        </is>
      </c>
      <c r="C158" s="37" t="inlineStr">
        <is>
          <t>unknown</t>
        </is>
      </c>
      <c r="D158" s="38" t="inlineStr">
        <is>
          <t>2026-07-30</t>
        </is>
      </c>
    </row>
    <row r="159">
      <c r="A159" s="36" t="inlineStr">
        <is>
          <t>PTCIL</t>
        </is>
      </c>
      <c r="B159" s="37" t="inlineStr">
        <is>
          <t>PTCIL</t>
        </is>
      </c>
      <c r="C159" s="37" t="inlineStr">
        <is>
          <t>unknown</t>
        </is>
      </c>
      <c r="D159" s="38" t="inlineStr">
        <is>
          <t>2026-07-30</t>
        </is>
      </c>
    </row>
    <row r="160">
      <c r="A160" s="36" t="inlineStr">
        <is>
          <t>RADICO</t>
        </is>
      </c>
      <c r="B160" s="37" t="inlineStr">
        <is>
          <t>Radico Khaitan Limited</t>
        </is>
      </c>
      <c r="C160" s="37" t="inlineStr">
        <is>
          <t>Consumer Defensive</t>
        </is>
      </c>
      <c r="D160" s="38" t="inlineStr">
        <is>
          <t>2026-07-31</t>
        </is>
      </c>
    </row>
    <row r="161">
      <c r="A161" s="36" t="inlineStr">
        <is>
          <t>RATEGAIN</t>
        </is>
      </c>
      <c r="B161" s="37" t="inlineStr">
        <is>
          <t>RATEGAIN</t>
        </is>
      </c>
      <c r="C161" s="37" t="inlineStr">
        <is>
          <t>unknown</t>
        </is>
      </c>
      <c r="D161" s="38" t="inlineStr">
        <is>
          <t>2026-07-30</t>
        </is>
      </c>
    </row>
    <row r="162">
      <c r="A162" s="36" t="inlineStr">
        <is>
          <t>RATNAVEER</t>
        </is>
      </c>
      <c r="B162" s="37" t="inlineStr">
        <is>
          <t>RATNAVEER</t>
        </is>
      </c>
      <c r="C162" s="37" t="inlineStr">
        <is>
          <t>unknown</t>
        </is>
      </c>
      <c r="D162" s="38" t="inlineStr">
        <is>
          <t>2026-07-28</t>
        </is>
      </c>
    </row>
    <row r="163">
      <c r="A163" s="36" t="inlineStr">
        <is>
          <t>ROBU</t>
        </is>
      </c>
      <c r="B163" s="37" t="inlineStr">
        <is>
          <t>ROBU</t>
        </is>
      </c>
      <c r="C163" s="37" t="inlineStr">
        <is>
          <t>unknown</t>
        </is>
      </c>
      <c r="D163" s="38" t="inlineStr">
        <is>
          <t>2026-07-30</t>
        </is>
      </c>
    </row>
    <row r="164">
      <c r="A164" s="36" t="inlineStr">
        <is>
          <t>RPEL</t>
        </is>
      </c>
      <c r="B164" s="37" t="inlineStr">
        <is>
          <t>RPEL</t>
        </is>
      </c>
      <c r="C164" s="37" t="inlineStr">
        <is>
          <t>unknown</t>
        </is>
      </c>
      <c r="D164" s="38" t="inlineStr">
        <is>
          <t>2026-07-31</t>
        </is>
      </c>
    </row>
    <row r="165">
      <c r="A165" s="36" t="inlineStr">
        <is>
          <t>SANDHAR</t>
        </is>
      </c>
      <c r="B165" s="37" t="inlineStr">
        <is>
          <t>SANDHAR</t>
        </is>
      </c>
      <c r="C165" s="37" t="inlineStr">
        <is>
          <t>unknown</t>
        </is>
      </c>
      <c r="D165" s="38" t="inlineStr">
        <is>
          <t>2026-07-30</t>
        </is>
      </c>
    </row>
    <row r="166">
      <c r="A166" s="36" t="inlineStr">
        <is>
          <t>SANGHVIMOV</t>
        </is>
      </c>
      <c r="B166" s="37" t="inlineStr">
        <is>
          <t>SANGHVIMOV</t>
        </is>
      </c>
      <c r="C166" s="37" t="inlineStr">
        <is>
          <t>unknown</t>
        </is>
      </c>
      <c r="D166" s="38" t="inlineStr">
        <is>
          <t>2026-07-30</t>
        </is>
      </c>
    </row>
    <row r="167">
      <c r="A167" s="36" t="inlineStr">
        <is>
          <t>SANSERA</t>
        </is>
      </c>
      <c r="B167" s="37" t="inlineStr">
        <is>
          <t>Sansera Engineering Limited</t>
        </is>
      </c>
      <c r="C167" s="37" t="inlineStr">
        <is>
          <t>Consumer Cyclical</t>
        </is>
      </c>
      <c r="D167" s="38" t="inlineStr">
        <is>
          <t>2026-07-30</t>
        </is>
      </c>
    </row>
    <row r="168">
      <c r="A168" s="36" t="inlineStr">
        <is>
          <t>SASKEN</t>
        </is>
      </c>
      <c r="B168" s="37" t="inlineStr">
        <is>
          <t>SASKEN</t>
        </is>
      </c>
      <c r="C168" s="37" t="inlineStr">
        <is>
          <t>unknown</t>
        </is>
      </c>
      <c r="D168" s="38" t="inlineStr">
        <is>
          <t>2026-07-30</t>
        </is>
      </c>
    </row>
    <row r="169">
      <c r="A169" s="36" t="inlineStr">
        <is>
          <t>SATIN</t>
        </is>
      </c>
      <c r="B169" s="37" t="inlineStr">
        <is>
          <t>SATIN</t>
        </is>
      </c>
      <c r="C169" s="37" t="inlineStr">
        <is>
          <t>unknown</t>
        </is>
      </c>
      <c r="D169" s="38" t="inlineStr">
        <is>
          <t>2026-07-30</t>
        </is>
      </c>
    </row>
    <row r="170">
      <c r="A170" s="36" t="inlineStr">
        <is>
          <t>SEAMECLTD</t>
        </is>
      </c>
      <c r="B170" s="37" t="inlineStr">
        <is>
          <t>Seamec Limited</t>
        </is>
      </c>
      <c r="C170" s="37" t="inlineStr">
        <is>
          <t>Industrials</t>
        </is>
      </c>
      <c r="D170" s="38" t="inlineStr">
        <is>
          <t>2026-07-30</t>
        </is>
      </c>
    </row>
    <row r="171">
      <c r="A171" s="36" t="inlineStr">
        <is>
          <t>SEKURITIND</t>
        </is>
      </c>
      <c r="B171" s="37" t="inlineStr">
        <is>
          <t>SEKURITIND</t>
        </is>
      </c>
      <c r="C171" s="37" t="inlineStr">
        <is>
          <t>unknown</t>
        </is>
      </c>
      <c r="D171" s="38" t="inlineStr">
        <is>
          <t>2026-07-30</t>
        </is>
      </c>
    </row>
    <row r="172">
      <c r="A172" s="36" t="inlineStr">
        <is>
          <t>SENCO</t>
        </is>
      </c>
      <c r="B172" s="37" t="inlineStr">
        <is>
          <t>Senco Gold Limited</t>
        </is>
      </c>
      <c r="C172" s="37" t="inlineStr">
        <is>
          <t>Consumer Cyclical</t>
        </is>
      </c>
      <c r="D172" s="38" t="inlineStr">
        <is>
          <t>2026-07-31</t>
        </is>
      </c>
    </row>
    <row r="173">
      <c r="A173" s="36" t="inlineStr">
        <is>
          <t>SGMART</t>
        </is>
      </c>
      <c r="B173" s="37" t="inlineStr">
        <is>
          <t>SGMART</t>
        </is>
      </c>
      <c r="C173" s="37" t="inlineStr">
        <is>
          <t>unknown</t>
        </is>
      </c>
      <c r="D173" s="38" t="inlineStr">
        <is>
          <t>2026-07-28</t>
        </is>
      </c>
    </row>
    <row r="174">
      <c r="A174" s="36" t="inlineStr">
        <is>
          <t>SHILPAMED</t>
        </is>
      </c>
      <c r="B174" s="37" t="inlineStr">
        <is>
          <t>SHILPAMED</t>
        </is>
      </c>
      <c r="C174" s="37" t="inlineStr">
        <is>
          <t>unknown</t>
        </is>
      </c>
      <c r="D174" s="38" t="inlineStr">
        <is>
          <t>2026-07-30</t>
        </is>
      </c>
    </row>
    <row r="175">
      <c r="A175" s="36" t="inlineStr">
        <is>
          <t>SIS</t>
        </is>
      </c>
      <c r="B175" s="37" t="inlineStr">
        <is>
          <t>SIS</t>
        </is>
      </c>
      <c r="C175" s="37" t="inlineStr">
        <is>
          <t>unknown</t>
        </is>
      </c>
      <c r="D175" s="38" t="inlineStr">
        <is>
          <t>2026-07-30</t>
        </is>
      </c>
    </row>
    <row r="176">
      <c r="A176" s="36" t="inlineStr">
        <is>
          <t>SKIPPER</t>
        </is>
      </c>
      <c r="B176" s="37" t="inlineStr">
        <is>
          <t>SKIPPER</t>
        </is>
      </c>
      <c r="C176" s="37" t="inlineStr">
        <is>
          <t>unknown</t>
        </is>
      </c>
      <c r="D176" s="38" t="inlineStr">
        <is>
          <t>2026-07-30</t>
        </is>
      </c>
    </row>
    <row r="177">
      <c r="A177" s="36" t="inlineStr">
        <is>
          <t>SKMEGGPROD</t>
        </is>
      </c>
      <c r="B177" s="37" t="inlineStr">
        <is>
          <t>SKMEGGPROD</t>
        </is>
      </c>
      <c r="C177" s="37" t="inlineStr">
        <is>
          <t>unknown</t>
        </is>
      </c>
      <c r="D177" s="38" t="inlineStr">
        <is>
          <t>2026-07-30</t>
        </is>
      </c>
    </row>
    <row r="178">
      <c r="A178" s="36" t="inlineStr">
        <is>
          <t>SPARC</t>
        </is>
      </c>
      <c r="B178" s="37" t="inlineStr">
        <is>
          <t>SPARC</t>
        </is>
      </c>
      <c r="C178" s="37" t="inlineStr">
        <is>
          <t>unknown</t>
        </is>
      </c>
      <c r="D178" s="38" t="inlineStr">
        <is>
          <t>2026-07-30</t>
        </is>
      </c>
    </row>
    <row r="179">
      <c r="A179" s="36" t="inlineStr">
        <is>
          <t>SPORTKING</t>
        </is>
      </c>
      <c r="B179" s="37" t="inlineStr">
        <is>
          <t>Sportking India Limited</t>
        </is>
      </c>
      <c r="C179" s="37" t="inlineStr">
        <is>
          <t>Consumer Cyclical</t>
        </is>
      </c>
      <c r="D179" s="38" t="inlineStr">
        <is>
          <t>2026-07-28</t>
        </is>
      </c>
    </row>
    <row r="180">
      <c r="A180" s="36" t="inlineStr">
        <is>
          <t>STALLION</t>
        </is>
      </c>
      <c r="B180" s="37" t="inlineStr">
        <is>
          <t>STALLION</t>
        </is>
      </c>
      <c r="C180" s="37" t="inlineStr">
        <is>
          <t>unknown</t>
        </is>
      </c>
      <c r="D180" s="38" t="inlineStr">
        <is>
          <t>2026-07-28</t>
        </is>
      </c>
    </row>
    <row r="181">
      <c r="A181" s="36" t="inlineStr">
        <is>
          <t>STLTECH</t>
        </is>
      </c>
      <c r="B181" s="37" t="inlineStr">
        <is>
          <t>STLTECH</t>
        </is>
      </c>
      <c r="C181" s="37" t="inlineStr">
        <is>
          <t>unknown</t>
        </is>
      </c>
      <c r="D181" s="38" t="inlineStr">
        <is>
          <t>2026-07-30</t>
        </is>
      </c>
    </row>
    <row r="182">
      <c r="A182" s="36" t="inlineStr">
        <is>
          <t>SUPRIYA</t>
        </is>
      </c>
      <c r="B182" s="37" t="inlineStr">
        <is>
          <t>SUPRIYA</t>
        </is>
      </c>
      <c r="C182" s="37" t="inlineStr">
        <is>
          <t>unknown</t>
        </is>
      </c>
      <c r="D182" s="38" t="inlineStr">
        <is>
          <t>2026-07-30</t>
        </is>
      </c>
    </row>
    <row r="183">
      <c r="A183" s="36" t="inlineStr">
        <is>
          <t>SYRMA</t>
        </is>
      </c>
      <c r="B183" s="37" t="inlineStr">
        <is>
          <t>SYRMA</t>
        </is>
      </c>
      <c r="C183" s="37" t="inlineStr">
        <is>
          <t>unknown</t>
        </is>
      </c>
      <c r="D183" s="38" t="inlineStr">
        <is>
          <t>2026-07-31</t>
        </is>
      </c>
    </row>
    <row r="184">
      <c r="A184" s="36" t="inlineStr">
        <is>
          <t>THANGAMAYL</t>
        </is>
      </c>
      <c r="B184" s="37" t="inlineStr">
        <is>
          <t>THANGAMAYL</t>
        </is>
      </c>
      <c r="C184" s="37" t="inlineStr">
        <is>
          <t>unknown</t>
        </is>
      </c>
      <c r="D184" s="38" t="inlineStr">
        <is>
          <t>2026-07-31</t>
        </is>
      </c>
    </row>
    <row r="185">
      <c r="A185" s="36" t="inlineStr">
        <is>
          <t>TTKPRESTIG</t>
        </is>
      </c>
      <c r="B185" s="37" t="inlineStr">
        <is>
          <t>TTK Prestige Limited</t>
        </is>
      </c>
      <c r="C185" s="37" t="inlineStr">
        <is>
          <t>Consumer Cyclical</t>
        </is>
      </c>
      <c r="D185" s="38" t="inlineStr">
        <is>
          <t>2026-07-31</t>
        </is>
      </c>
    </row>
    <row r="186">
      <c r="A186" s="36" t="inlineStr">
        <is>
          <t>UNIVCABLES</t>
        </is>
      </c>
      <c r="B186" s="37" t="inlineStr">
        <is>
          <t>Universal Cables Limited</t>
        </is>
      </c>
      <c r="C186" s="37" t="inlineStr">
        <is>
          <t>Industrials</t>
        </is>
      </c>
      <c r="D186" s="38" t="inlineStr">
        <is>
          <t>2026-07-30</t>
        </is>
      </c>
    </row>
    <row r="187">
      <c r="A187" s="36" t="inlineStr">
        <is>
          <t>V2RETAIL</t>
        </is>
      </c>
      <c r="B187" s="37" t="inlineStr">
        <is>
          <t>V2RETAIL</t>
        </is>
      </c>
      <c r="C187" s="37" t="inlineStr">
        <is>
          <t>unknown</t>
        </is>
      </c>
      <c r="D187" s="38" t="inlineStr">
        <is>
          <t>2026-07-30</t>
        </is>
      </c>
    </row>
    <row r="188">
      <c r="A188" s="36" t="inlineStr">
        <is>
          <t>VADILALIND</t>
        </is>
      </c>
      <c r="B188" s="37" t="inlineStr">
        <is>
          <t>Vadilal Industries Limited</t>
        </is>
      </c>
      <c r="C188" s="37" t="inlineStr">
        <is>
          <t>Consumer Defensive</t>
        </is>
      </c>
      <c r="D188" s="38" t="inlineStr">
        <is>
          <t>2026-07-30</t>
        </is>
      </c>
    </row>
    <row r="189">
      <c r="A189" s="36" t="inlineStr">
        <is>
          <t>VALIANT</t>
        </is>
      </c>
      <c r="B189" s="37" t="inlineStr">
        <is>
          <t>VALIANT</t>
        </is>
      </c>
      <c r="C189" s="37" t="inlineStr">
        <is>
          <t>unknown</t>
        </is>
      </c>
      <c r="D189" s="38" t="inlineStr">
        <is>
          <t>2026-07-30</t>
        </is>
      </c>
    </row>
    <row r="190">
      <c r="A190" s="36" t="inlineStr">
        <is>
          <t>VEDL</t>
        </is>
      </c>
      <c r="B190" s="37" t="inlineStr">
        <is>
          <t>VEDL</t>
        </is>
      </c>
      <c r="C190" s="37" t="inlineStr">
        <is>
          <t>unknown</t>
        </is>
      </c>
      <c r="D190" s="38" t="inlineStr">
        <is>
          <t>2026-07-30</t>
        </is>
      </c>
    </row>
    <row r="191">
      <c r="A191" s="36" t="inlineStr">
        <is>
          <t>VENUSREM</t>
        </is>
      </c>
      <c r="B191" s="37" t="inlineStr">
        <is>
          <t>VENUSREM</t>
        </is>
      </c>
      <c r="C191" s="37" t="inlineStr">
        <is>
          <t>unknown</t>
        </is>
      </c>
      <c r="D191" s="38" t="inlineStr">
        <is>
          <t>2026-07-30</t>
        </is>
      </c>
    </row>
    <row r="192">
      <c r="A192" s="36" t="inlineStr">
        <is>
          <t>VERANDA</t>
        </is>
      </c>
      <c r="B192" s="37" t="inlineStr">
        <is>
          <t>Veranda Learning Solutions Limited</t>
        </is>
      </c>
      <c r="C192" s="37" t="inlineStr">
        <is>
          <t>Consumer Defensive</t>
        </is>
      </c>
      <c r="D192" s="38" t="inlineStr">
        <is>
          <t>2026-07-30</t>
        </is>
      </c>
    </row>
    <row r="193">
      <c r="A193" s="36" t="inlineStr">
        <is>
          <t>VIYASH</t>
        </is>
      </c>
      <c r="B193" s="37" t="inlineStr">
        <is>
          <t>VIYASH</t>
        </is>
      </c>
      <c r="C193" s="37" t="inlineStr">
        <is>
          <t>unknown</t>
        </is>
      </c>
      <c r="D193" s="38" t="inlineStr">
        <is>
          <t>2026-07-30</t>
        </is>
      </c>
    </row>
    <row r="194">
      <c r="A194" s="36" t="inlineStr">
        <is>
          <t>VMARCIND</t>
        </is>
      </c>
      <c r="B194" s="37" t="inlineStr">
        <is>
          <t>VMARCIND</t>
        </is>
      </c>
      <c r="C194" s="37" t="inlineStr">
        <is>
          <t>unknown</t>
        </is>
      </c>
      <c r="D194" s="38" t="inlineStr">
        <is>
          <t>2026-07-30</t>
        </is>
      </c>
    </row>
    <row r="195">
      <c r="A195" s="36" t="inlineStr">
        <is>
          <t>WELCORP</t>
        </is>
      </c>
      <c r="B195" s="37" t="inlineStr">
        <is>
          <t>Welspun Corp Limited</t>
        </is>
      </c>
      <c r="C195" s="37" t="inlineStr">
        <is>
          <t>Basic Materials</t>
        </is>
      </c>
      <c r="D195" s="38" t="inlineStr">
        <is>
          <t>2026-07-31</t>
        </is>
      </c>
    </row>
    <row r="196">
      <c r="A196" s="36" t="inlineStr">
        <is>
          <t>WHEELS</t>
        </is>
      </c>
      <c r="B196" s="37" t="inlineStr">
        <is>
          <t>WHEELS</t>
        </is>
      </c>
      <c r="C196" s="37" t="inlineStr">
        <is>
          <t>unknown</t>
        </is>
      </c>
      <c r="D196" s="38" t="inlineStr">
        <is>
          <t>2026-07-30</t>
        </is>
      </c>
    </row>
  </sheetData>
  <autoFilter ref="A1:CG84"/>
  <conditionalFormatting sqref="B2:B8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4">
    <cfRule type="cellIs" priority="37" operator="equal" dxfId="3" stopIfTrue="1">
      <formula>"Underperforming"</formula>
    </cfRule>
  </conditionalFormatting>
  <conditionalFormatting sqref="N2:N84">
    <cfRule type="cellIs" priority="38" operator="equal" dxfId="3" stopIfTrue="1">
      <formula>-5</formula>
    </cfRule>
  </conditionalFormatting>
  <conditionalFormatting sqref="Q2:Q8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4" showDropDown="0" showInputMessage="0" showErrorMessage="0" allowBlank="1" type="list">
      <formula1>"Growing Industry,Stagnant Industry,Cyclical in an Upturn"</formula1>
    </dataValidation>
    <dataValidation sqref="Z2:Z8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4" showDropDown="0" showInputMessage="0" showErrorMessage="0" allowBlank="1" type="list">
      <formula1>"Yes,No"</formula1>
    </dataValidation>
    <dataValidation sqref="AD2:AD84" showDropDown="0" showInputMessage="0" showErrorMessage="0" allowBlank="1" type="list">
      <formula1>"Tailwind,Headwind"</formula1>
    </dataValidation>
    <dataValidation sqref="AF2:AF84" showDropDown="0" showInputMessage="0" showErrorMessage="0" allowBlank="1" type="list">
      <formula1>"Structural (10 Years Consistency),Shallow Cyclical (2 to 3 Years Growth),Cyclical"</formula1>
    </dataValidation>
    <dataValidation sqref="AH2:AH84" showDropDown="0" showInputMessage="0" showErrorMessage="0" allowBlank="1" type="list">
      <formula1>"Yes due to Product Mix change or Operating Leverage,Yes, these are peak margins,No"</formula1>
    </dataValidation>
    <dataValidation sqref="AJ2:AJ84" showDropDown="0" showInputMessage="0" showErrorMessage="0" allowBlank="1" type="list">
      <formula1>"Stable,Volatile"</formula1>
    </dataValidation>
    <dataValidation sqref="AL2:AL84" showDropDown="0" showInputMessage="0" showErrorMessage="0" allowBlank="1" type="list">
      <formula1>"Yes,No"</formula1>
    </dataValidation>
    <dataValidation sqref="AN2:AN84" showDropDown="0" showInputMessage="0" showErrorMessage="0" allowBlank="1" type="list">
      <formula1>"B2C,B2B,B2G"</formula1>
    </dataValidation>
    <dataValidation sqref="AP2:AP84" showDropDown="0" showInputMessage="0" showErrorMessage="0" allowBlank="1" type="list">
      <formula1>"Yes,No"</formula1>
    </dataValidation>
    <dataValidation sqref="AR2:AR84" showDropDown="0" showInputMessage="0" showErrorMessage="0" allowBlank="1" type="list">
      <formula1>"Fully Annuity,Higher Annuity, Lower One time,Higher One Time, Lower Annuity,Fully One Time"</formula1>
    </dataValidation>
    <dataValidation sqref="AT2:AT84" showDropDown="0" showInputMessage="0" showErrorMessage="0" allowBlank="1" type="list">
      <formula1>"Good,Allocated capital in Non-core Areas"</formula1>
    </dataValidation>
    <dataValidation sqref="AV2:AV84" showDropDown="0" showInputMessage="0" showErrorMessage="0" allowBlank="1" type="list">
      <formula1>"Yes for more than 2 years,Yes only for next 1 to 2 years,No"</formula1>
    </dataValidation>
    <dataValidation sqref="AX2:AX84" showDropDown="0" showInputMessage="0" showErrorMessage="0" allowBlank="1" type="list">
      <formula1>"Above 40,20 to 40,0 to 20"</formula1>
    </dataValidation>
    <dataValidation sqref="AZ2:AZ84" showDropDown="0" showInputMessage="0" showErrorMessage="0" allowBlank="1" type="list">
      <formula1>"Between 50 to 75,Above 75,Below 45"</formula1>
    </dataValidation>
    <dataValidation sqref="BB2:BB84" showDropDown="0" showInputMessage="0" showErrorMessage="0" allowBlank="1" type="list">
      <formula1>"Stage 1,Stage 2,Stage 3,Stage 4"</formula1>
    </dataValidation>
    <dataValidation sqref="BD2:BD84" showDropDown="0" showInputMessage="0" showErrorMessage="0" allowBlank="1" type="list">
      <formula1>"Positive Trend,Negative Trend"</formula1>
    </dataValidation>
    <dataValidation sqref="BF2:BF84" showDropDown="0" showInputMessage="0" showErrorMessage="0" allowBlank="1" type="list">
      <formula1>"Uptrend,Sideways,Downtrend"</formula1>
    </dataValidation>
    <dataValidation sqref="BH2:BH84" showDropDown="0" showInputMessage="0" showErrorMessage="0" allowBlank="1" type="list">
      <formula1>"Uptrend,Sideways,Downtrend"</formula1>
    </dataValidation>
    <dataValidation sqref="BJ2:BJ8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4" showDropDown="0" showInputMessage="0" showErrorMessage="0" allowBlank="1" type="list">
      <formula1>"Yes,No"</formula1>
    </dataValidation>
    <dataValidation sqref="BN2:BN84" showDropDown="0" showInputMessage="0" showErrorMessage="0" allowBlank="1" type="list">
      <formula1>"More than 20%,Between 12 to 20%,Less than 12%"</formula1>
    </dataValidation>
    <dataValidation sqref="BP2:BP84" showDropDown="0" showInputMessage="0" showErrorMessage="0" allowBlank="1" type="list">
      <formula1>"Yes,No"</formula1>
    </dataValidation>
    <dataValidation sqref="BR2:BR84" showDropDown="0" showInputMessage="0" showErrorMessage="0" allowBlank="1" type="list">
      <formula1>"Yes,No"</formula1>
    </dataValidation>
    <dataValidation sqref="BT2:BT84" showDropDown="0" showInputMessage="0" showErrorMessage="0" allowBlank="1" type="list">
      <formula1>"Above 2,Between 1.5 to 2,Less than 1.5"</formula1>
    </dataValidation>
    <dataValidation sqref="BV2:BV84" showDropDown="0" showInputMessage="0" showErrorMessage="0" allowBlank="1" type="list">
      <formula1>"Above 70%,Between 50% to 70%,Less than 50%,Less than 50% and Borrowings are increasing,Negative"</formula1>
    </dataValidation>
    <dataValidation sqref="BX2:BX84" showDropDown="0" showInputMessage="0" showErrorMessage="0" allowBlank="1" type="list">
      <formula1>"More than 1.2,Between 0.7 to 1.2,Less than 0.7"</formula1>
    </dataValidation>
    <dataValidation sqref="BZ2:BZ84" showDropDown="0" showInputMessage="0" showErrorMessage="0" allowBlank="1" type="list">
      <formula1>"Yes,No"</formula1>
    </dataValidation>
    <dataValidation sqref="CB2:CB84" showDropDown="0" showInputMessage="0" showErrorMessage="0" allowBlank="1" type="list">
      <formula1>"More than 15%,Less than 15%"</formula1>
    </dataValidation>
    <dataValidation sqref="CD2:CD8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IF(B2=0,"",RANK(B2,$B$2:$B$18,0))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TFCILTD</t>
        </is>
      </c>
      <c r="D2" s="31" t="inlineStr">
        <is>
          <t>Tourism Finance Corporation of India Ltd</t>
        </is>
      </c>
      <c r="E2" s="31" t="inlineStr">
        <is>
          <t>financials</t>
        </is>
      </c>
      <c r="F2" s="31" t="inlineStr">
        <is>
          <t>Finance - PSU Lending</t>
        </is>
      </c>
      <c r="G2" s="31" t="inlineStr">
        <is>
          <t>smallcap</t>
        </is>
      </c>
      <c r="H2" s="32" t="n">
        <v>4713.57</v>
      </c>
      <c r="I2" s="32" t="n">
        <v>101.81</v>
      </c>
      <c r="J2" s="32" t="n">
        <v>0.8</v>
      </c>
      <c r="K2" s="32" t="n">
        <v>0</v>
      </c>
      <c r="L2" s="31" t="n">
        <v>82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73.88</v>
      </c>
      <c r="P2" s="32" t="n">
        <v>44.76</v>
      </c>
      <c r="Q2" s="32" t="n">
        <v>78.31</v>
      </c>
      <c r="R2" s="31" t="inlineStr">
        <is>
          <t>Volume Spike &amp; Near 52W High Breakout</t>
        </is>
      </c>
      <c r="S2" s="31" t="inlineStr">
        <is>
          <t>Nifty Bank</t>
        </is>
      </c>
      <c r="T2" s="32" t="n">
        <v>2.96</v>
      </c>
      <c r="U2" s="32" t="n">
        <v>80.73</v>
      </c>
      <c r="V2" s="32" t="n">
        <v>75.53</v>
      </c>
      <c r="W2" s="32" t="n">
        <v>22.14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25</t>
        </is>
      </c>
      <c r="CC2" s="31">
        <f>IF(CB2&gt;20,10,IF(CB2&gt;=10,5,2))</f>
        <v/>
      </c>
    </row>
    <row r="3">
      <c r="A3" s="31">
        <f>IF(B3=0,"",RANK(B3,$B$2:$B$18,0))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ESAFSFB</t>
        </is>
      </c>
      <c r="D3" s="34" t="inlineStr">
        <is>
          <t>ESAF Small Finance Bank Ltd</t>
        </is>
      </c>
      <c r="E3" s="31" t="inlineStr">
        <is>
          <t>bank</t>
        </is>
      </c>
      <c r="F3" s="31" t="inlineStr">
        <is>
          <t>Banks - Small Finance</t>
        </is>
      </c>
      <c r="G3" s="31" t="inlineStr">
        <is>
          <t>smallcap</t>
        </is>
      </c>
      <c r="H3" s="32" t="n">
        <v>2203.4</v>
      </c>
      <c r="I3" s="32" t="n">
        <v>42.7</v>
      </c>
      <c r="J3" s="32" t="n">
        <v>17.05</v>
      </c>
      <c r="K3" s="32" t="n">
        <v>0</v>
      </c>
      <c r="L3" s="31" t="n">
        <v>80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73.15000000000001</v>
      </c>
      <c r="P3" s="32" t="n">
        <v>26.8</v>
      </c>
      <c r="Q3" s="32" t="n">
        <v>31.78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2.96</v>
      </c>
      <c r="U3" s="32" t="n">
        <v>34.73</v>
      </c>
      <c r="V3" s="32" t="n">
        <v>30.86</v>
      </c>
      <c r="W3" s="32" t="n">
        <v>20.56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Close to 52 week high or retracement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24</t>
        </is>
      </c>
      <c r="CC3" s="31">
        <f>IF(CB3&gt;20,10,IF(CB3&gt;=10,5,2))</f>
        <v/>
      </c>
    </row>
    <row r="4">
      <c r="A4" s="31">
        <f>IF(B4=0,"",RANK(B4,$B$2:$B$18,0))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UJJIVANSFB</t>
        </is>
      </c>
      <c r="D4" s="31" t="inlineStr">
        <is>
          <t>Ujjivan Small Finance Bank Ltd</t>
        </is>
      </c>
      <c r="E4" s="31" t="inlineStr">
        <is>
          <t>bank</t>
        </is>
      </c>
      <c r="F4" s="31" t="inlineStr">
        <is>
          <t>Banks - Small Finance</t>
        </is>
      </c>
      <c r="G4" s="31" t="inlineStr">
        <is>
          <t>midcap</t>
        </is>
      </c>
      <c r="H4" s="32" t="n">
        <v>13971.05</v>
      </c>
      <c r="I4" s="32" t="n">
        <v>71.8</v>
      </c>
      <c r="J4" s="32" t="n">
        <v>2.09</v>
      </c>
      <c r="K4" s="32" t="n">
        <v>0</v>
      </c>
      <c r="L4" s="31" t="n">
        <v>71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69.14</v>
      </c>
      <c r="P4" s="32" t="n">
        <v>31.4</v>
      </c>
      <c r="Q4" s="32" t="n">
        <v>56.53</v>
      </c>
      <c r="R4" s="31" t="inlineStr">
        <is>
          <t>Near 52W High Breakout</t>
        </is>
      </c>
      <c r="S4" s="31" t="inlineStr">
        <is>
          <t>Nifty Bank</t>
        </is>
      </c>
      <c r="T4" s="32" t="n">
        <v>2.96</v>
      </c>
      <c r="U4" s="32" t="n">
        <v>66.01000000000001</v>
      </c>
      <c r="V4" s="32" t="n">
        <v>61.24</v>
      </c>
      <c r="W4" s="32" t="n">
        <v>16.75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23</t>
        </is>
      </c>
      <c r="CC4" s="31">
        <f>IF(CB4&gt;20,10,IF(CB4&gt;=10,5,2))</f>
        <v/>
      </c>
    </row>
    <row r="5">
      <c r="A5" s="31">
        <f>IF(B5=0,"",RANK(B5,$B$2:$B$18,0))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CREDITACC</t>
        </is>
      </c>
      <c r="D5" s="31" t="inlineStr">
        <is>
          <t>CreditAccess Grameen Ltd</t>
        </is>
      </c>
      <c r="E5" s="31" t="inlineStr">
        <is>
          <t>financials</t>
        </is>
      </c>
      <c r="F5" s="31" t="inlineStr">
        <is>
          <t>Finance &amp; Investments - Microfinance</t>
        </is>
      </c>
      <c r="G5" s="31" t="inlineStr">
        <is>
          <t>largecap</t>
        </is>
      </c>
      <c r="H5" s="32" t="n">
        <v>25489.29</v>
      </c>
      <c r="I5" s="32" t="n">
        <v>1590</v>
      </c>
      <c r="J5" s="32" t="n">
        <v>-1.49</v>
      </c>
      <c r="K5" s="32" t="n">
        <v>0</v>
      </c>
      <c r="L5" s="31" t="n">
        <v>48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64.98999999999999</v>
      </c>
      <c r="P5" s="32" t="n">
        <v>45.51</v>
      </c>
      <c r="Q5" s="32" t="n">
        <v>1266.27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2.96</v>
      </c>
      <c r="U5" s="32" t="n">
        <v>27.8</v>
      </c>
      <c r="V5" s="32" t="n">
        <v>24.13</v>
      </c>
      <c r="W5" s="32" t="n">
        <v>10.16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21</t>
        </is>
      </c>
      <c r="CC5" s="31">
        <f>IF(CB5&gt;20,10,IF(CB5&gt;=10,5,2))</f>
        <v/>
      </c>
    </row>
    <row r="6">
      <c r="A6" s="31">
        <f>IF(B6=0,"",RANK(B6,$B$2:$B$18,0))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SGFIN</t>
        </is>
      </c>
      <c r="D6" s="31" t="inlineStr">
        <is>
          <t>SG Finserve Ltd</t>
        </is>
      </c>
      <c r="E6" s="31" t="inlineStr">
        <is>
          <t>Financial Services</t>
        </is>
      </c>
      <c r="F6" s="31" t="inlineStr">
        <is>
          <t>Finance &amp; Investments - MSME Lending</t>
        </is>
      </c>
      <c r="G6" s="31" t="inlineStr">
        <is>
          <t>smallcap</t>
        </is>
      </c>
      <c r="H6" s="32" t="n">
        <v>4506.89</v>
      </c>
      <c r="I6" s="32" t="n">
        <v>683.95</v>
      </c>
      <c r="J6" s="32" t="n">
        <v>3.68</v>
      </c>
      <c r="K6" s="32" t="n">
        <v>0</v>
      </c>
      <c r="L6" s="31" t="n">
        <v>71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69.68000000000001</v>
      </c>
      <c r="P6" s="32" t="n">
        <v>58.67</v>
      </c>
      <c r="Q6" s="32" t="n">
        <v>521.76</v>
      </c>
      <c r="R6" s="31" t="inlineStr">
        <is>
          <t>Near 52W High Breakout</t>
        </is>
      </c>
      <c r="S6" s="31" t="inlineStr">
        <is>
          <t>Nifty Bank</t>
        </is>
      </c>
      <c r="T6" s="32" t="n">
        <v>4.11</v>
      </c>
      <c r="U6" s="32" t="n">
        <v>74.18000000000001</v>
      </c>
      <c r="V6" s="32" t="n">
        <v>67.3</v>
      </c>
      <c r="W6" s="32" t="n">
        <v>16.73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20</t>
        </is>
      </c>
      <c r="CC6" s="31">
        <f>IF(CB6&gt;20,10,IF(CB6&gt;=10,5,2))</f>
        <v/>
      </c>
    </row>
    <row r="7">
      <c r="A7" s="31">
        <f>IF(B7=0,"",RANK(B7,$B$2:$B$18,0))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TMB</t>
        </is>
      </c>
      <c r="D7" s="31" t="inlineStr">
        <is>
          <t>Tamilnad Mercantile Bank Ltd</t>
        </is>
      </c>
      <c r="E7" s="31" t="inlineStr">
        <is>
          <t>bank</t>
        </is>
      </c>
      <c r="F7" s="31" t="inlineStr">
        <is>
          <t>Banks - Private</t>
        </is>
      </c>
      <c r="G7" s="31" t="inlineStr">
        <is>
          <t>midcap</t>
        </is>
      </c>
      <c r="H7" s="32" t="n">
        <v>13523.21</v>
      </c>
      <c r="I7" s="32" t="n">
        <v>854</v>
      </c>
      <c r="J7" s="32" t="n">
        <v>0.26</v>
      </c>
      <c r="K7" s="32" t="n">
        <v>0</v>
      </c>
      <c r="L7" s="31" t="n">
        <v>74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71.68000000000001</v>
      </c>
      <c r="P7" s="32" t="n">
        <v>37.3</v>
      </c>
      <c r="Q7" s="32" t="n">
        <v>678.26</v>
      </c>
      <c r="R7" s="31" t="inlineStr">
        <is>
          <t>Volume Spike &amp; Near 52W High Breakout</t>
        </is>
      </c>
      <c r="S7" s="31" t="inlineStr">
        <is>
          <t>Nifty Bank</t>
        </is>
      </c>
      <c r="T7" s="32" t="n">
        <v>2.96</v>
      </c>
      <c r="U7" s="32" t="n">
        <v>95</v>
      </c>
      <c r="V7" s="32" t="n">
        <v>89.39</v>
      </c>
      <c r="W7" s="32" t="n">
        <v>18.02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17</t>
        </is>
      </c>
      <c r="CC7" s="31">
        <f>IF(CB7&gt;20,10,IF(CB7&gt;=10,5,2))</f>
        <v/>
      </c>
    </row>
    <row r="8">
      <c r="A8" s="31">
        <f>IF(B8=0,"",RANK(B8,$B$2:$B$18,0))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JSFB</t>
        </is>
      </c>
      <c r="D8" s="31" t="inlineStr">
        <is>
          <t>Jana Small Finance Bank Ltd</t>
        </is>
      </c>
      <c r="E8" s="31" t="inlineStr">
        <is>
          <t>bank</t>
        </is>
      </c>
      <c r="F8" s="31" t="inlineStr">
        <is>
          <t>Banks - Small Finance</t>
        </is>
      </c>
      <c r="G8" s="31" t="inlineStr">
        <is>
          <t>midcap</t>
        </is>
      </c>
      <c r="H8" s="32" t="n">
        <v>6057.44</v>
      </c>
      <c r="I8" s="32" t="n">
        <v>573</v>
      </c>
      <c r="J8" s="32" t="n">
        <v>1.71</v>
      </c>
      <c r="K8" s="32" t="n">
        <v>0</v>
      </c>
      <c r="L8" s="31" t="n">
        <v>53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71.65000000000001</v>
      </c>
      <c r="P8" s="32" t="n">
        <v>34.68</v>
      </c>
      <c r="Q8" s="32" t="n">
        <v>446.09</v>
      </c>
      <c r="R8" s="31" t="inlineStr">
        <is>
          <t>Near 52W High Breakout</t>
        </is>
      </c>
      <c r="S8" s="31" t="inlineStr">
        <is>
          <t>Nifty Bank</t>
        </is>
      </c>
      <c r="T8" s="32" t="n">
        <v>2.96</v>
      </c>
      <c r="U8" s="32" t="n">
        <v>24.97</v>
      </c>
      <c r="V8" s="32" t="n">
        <v>21.38</v>
      </c>
      <c r="W8" s="32" t="n">
        <v>11.26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20</t>
        </is>
      </c>
      <c r="CC8" s="31">
        <f>IF(CB8&gt;20,10,IF(CB8&gt;=10,5,2))</f>
        <v/>
      </c>
    </row>
    <row r="9">
      <c r="A9" s="31">
        <f>IF(B9=0,"",RANK(B9,$B$2:$B$18,0))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MONARCH</t>
        </is>
      </c>
      <c r="D9" s="31" t="inlineStr">
        <is>
          <t>Monarch Networth Capital Ltd</t>
        </is>
      </c>
      <c r="E9" s="31" t="inlineStr">
        <is>
          <t>financials</t>
        </is>
      </c>
      <c r="F9" s="31" t="inlineStr">
        <is>
          <t>Finance - Capital Markets - Brokers</t>
        </is>
      </c>
      <c r="G9" s="31" t="inlineStr">
        <is>
          <t>smallcap</t>
        </is>
      </c>
      <c r="H9" s="32" t="n">
        <v>3070.03</v>
      </c>
      <c r="I9" s="32" t="n">
        <v>387.1</v>
      </c>
      <c r="J9" s="32" t="n">
        <v>0.23</v>
      </c>
      <c r="K9" s="32" t="n">
        <v>0</v>
      </c>
      <c r="L9" s="31" t="n">
        <v>47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72.06</v>
      </c>
      <c r="P9" s="32" t="n">
        <v>25.84</v>
      </c>
      <c r="Q9" s="32" t="n">
        <v>316.13</v>
      </c>
      <c r="R9" s="31" t="inlineStr">
        <is>
          <t>Volume Spike &amp; Near 52W High Breakout</t>
        </is>
      </c>
      <c r="S9" s="31" t="inlineStr">
        <is>
          <t>Nifty Bank</t>
        </is>
      </c>
      <c r="T9" s="32" t="n">
        <v>2.96</v>
      </c>
      <c r="U9" s="32" t="n">
        <v>13</v>
      </c>
      <c r="V9" s="32" t="n">
        <v>9.75</v>
      </c>
      <c r="W9" s="32" t="n">
        <v>9.949999999999999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Close to 52 week high or retracement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25</t>
        </is>
      </c>
      <c r="CC9" s="31">
        <f>IF(CB9&gt;20,10,IF(CB9&gt;=10,5,2))</f>
        <v/>
      </c>
    </row>
    <row r="10">
      <c r="A10" s="31">
        <f>IF(B10=0,"",RANK(B10,$B$2:$B$18,0))</f>
        <v/>
      </c>
      <c r="B10" s="32">
        <f>SUM(N10,Y10,AA10,AC10,AE10,AG10,AI10,AK10,AM10,AO10,AQ10,AS10,AU10,AW10,AY10,BA10,BC10,BE10,BG10,BI10,BK10,BM10,BO10,BQ10,BS10,BU10,BW10,BY10,CA10,CC10)</f>
        <v/>
      </c>
      <c r="C10" s="31" t="inlineStr">
        <is>
          <t>KARURVYSYA</t>
        </is>
      </c>
      <c r="D10" s="31" t="inlineStr">
        <is>
          <t>Karur Vysya Bank Ltd</t>
        </is>
      </c>
      <c r="E10" s="31" t="inlineStr">
        <is>
          <t>bank</t>
        </is>
      </c>
      <c r="F10" s="31" t="inlineStr">
        <is>
          <t>Banks - Private</t>
        </is>
      </c>
      <c r="G10" s="31" t="inlineStr">
        <is>
          <t>largecap</t>
        </is>
      </c>
      <c r="H10" s="32" t="n">
        <v>33123.75</v>
      </c>
      <c r="I10" s="32" t="n">
        <v>342.7</v>
      </c>
      <c r="J10" s="32" t="n">
        <v>0.71</v>
      </c>
      <c r="K10" s="32" t="n">
        <v>0</v>
      </c>
      <c r="L10" s="31" t="n">
        <v>62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70.36</v>
      </c>
      <c r="P10" s="32" t="n">
        <v>17.16</v>
      </c>
      <c r="Q10" s="32" t="n">
        <v>281.41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2.96</v>
      </c>
      <c r="U10" s="32" t="n">
        <v>61.07</v>
      </c>
      <c r="V10" s="32" t="n">
        <v>56.43</v>
      </c>
      <c r="W10" s="32" t="n">
        <v>13.78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0 to 20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22</t>
        </is>
      </c>
      <c r="CC10" s="31">
        <f>IF(CB10&gt;20,10,IF(CB10&gt;=10,5,2))</f>
        <v/>
      </c>
    </row>
    <row r="11">
      <c r="A11" s="31">
        <f>IF(B11=0,"",RANK(B11,$B$2:$B$18,0))</f>
        <v/>
      </c>
      <c r="B11" s="32">
        <f>SUM(N11,Y11,AA11,AC11,AE11,AG11,AI11,AK11,AM11,AO11,AQ11,AS11,AU11,AW11,AY11,BA11,BC11,BE11,BG11,BI11,BK11,BM11,BO11,BQ11,BS11,BU11,BW11,BY11,CA11,CC11)</f>
        <v/>
      </c>
      <c r="C11" s="34" t="inlineStr">
        <is>
          <t>IIFL</t>
        </is>
      </c>
      <c r="D11" s="34" t="inlineStr">
        <is>
          <t>IIFL Finance Ltd</t>
        </is>
      </c>
      <c r="E11" s="31" t="inlineStr">
        <is>
          <t>financials</t>
        </is>
      </c>
      <c r="F11" s="31" t="inlineStr">
        <is>
          <t>Finance &amp; Investments - Gold Loan</t>
        </is>
      </c>
      <c r="G11" s="31" t="inlineStr">
        <is>
          <t>largecap</t>
        </is>
      </c>
      <c r="H11" s="32" t="n">
        <v>25820.63</v>
      </c>
      <c r="I11" s="32" t="n">
        <v>607</v>
      </c>
      <c r="J11" s="32" t="n">
        <v>-0.14</v>
      </c>
      <c r="K11" s="32" t="n">
        <v>0</v>
      </c>
      <c r="L11" s="31" t="n">
        <v>67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68.51000000000001</v>
      </c>
      <c r="P11" s="32" t="n">
        <v>18.63</v>
      </c>
      <c r="Q11" s="32" t="n">
        <v>476.37</v>
      </c>
      <c r="R11" s="31" t="inlineStr">
        <is>
          <t>Earnings / Momentum Support</t>
        </is>
      </c>
      <c r="S11" s="31" t="inlineStr">
        <is>
          <t>Nifty Bank</t>
        </is>
      </c>
      <c r="T11" s="32" t="n">
        <v>2.96</v>
      </c>
      <c r="U11" s="32" t="n">
        <v>43.53</v>
      </c>
      <c r="V11" s="32" t="n">
        <v>39.4</v>
      </c>
      <c r="W11" s="32" t="n">
        <v>15.3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No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0 to 20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20</t>
        </is>
      </c>
      <c r="CC11" s="31">
        <f>IF(CB11&gt;20,10,IF(CB11&gt;=10,5,2))</f>
        <v/>
      </c>
    </row>
    <row r="12">
      <c r="A12" s="31">
        <f>IF(B12=0,"",RANK(B12,$B$2:$B$18,0))</f>
        <v/>
      </c>
      <c r="B12" s="32">
        <f>SUM(N12,Y12,AA12,AC12,AE12,AG12,AI12,AK12,AM12,AO12,AQ12,AS12,AU12,AW12,AY12,BA12,BC12,BE12,BG12,BI12,BK12,BM12,BO12,BQ12,BS12,BU12,BW12,BY12,CA12,CC12)</f>
        <v/>
      </c>
      <c r="C12" s="34" t="inlineStr">
        <is>
          <t>PRUDENT</t>
        </is>
      </c>
      <c r="D12" s="34" t="inlineStr">
        <is>
          <t>Prudent Corporate Advisory Services Ltd</t>
        </is>
      </c>
      <c r="E12" s="31" t="inlineStr">
        <is>
          <t>financials</t>
        </is>
      </c>
      <c r="F12" s="31" t="inlineStr">
        <is>
          <t>Finance - Capital Markets</t>
        </is>
      </c>
      <c r="G12" s="31" t="inlineStr">
        <is>
          <t>midcap</t>
        </is>
      </c>
      <c r="H12" s="32" t="n">
        <v>13594.64</v>
      </c>
      <c r="I12" s="32" t="n">
        <v>3283.2</v>
      </c>
      <c r="J12" s="32" t="n">
        <v>1.92</v>
      </c>
      <c r="K12" s="32" t="n">
        <v>0</v>
      </c>
      <c r="L12" s="31" t="n">
        <v>42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69.03</v>
      </c>
      <c r="P12" s="32" t="n">
        <v>27.59</v>
      </c>
      <c r="Q12" s="32" t="n">
        <v>2607.17</v>
      </c>
      <c r="R12" s="31" t="inlineStr">
        <is>
          <t>Volume Spike &amp; Near 52W High Breakout</t>
        </is>
      </c>
      <c r="S12" s="31" t="inlineStr">
        <is>
          <t>Nifty Bank</t>
        </is>
      </c>
      <c r="T12" s="32" t="n">
        <v>2.96</v>
      </c>
      <c r="U12" s="32" t="n">
        <v>23.49</v>
      </c>
      <c r="V12" s="32" t="n">
        <v>19.94</v>
      </c>
      <c r="W12" s="32" t="n">
        <v>8.19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above 5x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17</t>
        </is>
      </c>
      <c r="CC12" s="31">
        <f>IF(CB12&gt;20,10,IF(CB12&gt;=10,5,2))</f>
        <v/>
      </c>
    </row>
    <row r="13">
      <c r="A13" s="31">
        <f>IF(B13=0,"",RANK(B13,$B$2:$B$18,0))</f>
        <v/>
      </c>
      <c r="B13" s="32">
        <f>SUM(N13,Y13,AA13,AC13,AE13,AG13,AI13,AK13,AM13,AO13,AQ13,AS13,AU13,AW13,AY13,BA13,BC13,BE13,BG13,BI13,BK13,BM13,BO13,BQ13,BS13,BU13,BW13,BY13,CA13,CC13)</f>
        <v/>
      </c>
      <c r="C13" s="31" t="inlineStr">
        <is>
          <t>TVSHLTD</t>
        </is>
      </c>
      <c r="D13" s="31" t="inlineStr">
        <is>
          <t>TVS Holdings Ltd</t>
        </is>
      </c>
      <c r="E13" s="31" t="inlineStr">
        <is>
          <t>financials</t>
        </is>
      </c>
      <c r="F13" s="31" t="inlineStr">
        <is>
          <t>Finance - Holding Company</t>
        </is>
      </c>
      <c r="G13" s="31" t="inlineStr">
        <is>
          <t>largecap</t>
        </is>
      </c>
      <c r="H13" s="32" t="n">
        <v>29743.22</v>
      </c>
      <c r="I13" s="32" t="n">
        <v>14701</v>
      </c>
      <c r="J13" s="32" t="n">
        <v>-1.91</v>
      </c>
      <c r="K13" s="32" t="n">
        <v>0</v>
      </c>
      <c r="L13" s="31" t="n">
        <v>30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59.18</v>
      </c>
      <c r="P13" s="32" t="n">
        <v>14.01</v>
      </c>
      <c r="Q13" s="32" t="n">
        <v>12030.58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2.96</v>
      </c>
      <c r="U13" s="32" t="n">
        <v>27.02</v>
      </c>
      <c r="V13" s="32" t="n">
        <v>23.36</v>
      </c>
      <c r="W13" s="32" t="n">
        <v>6.21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Headwind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between 2.5x to 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23</t>
        </is>
      </c>
      <c r="CC13" s="31">
        <f>IF(CB13&gt;20,10,IF(CB13&gt;=10,5,2))</f>
        <v/>
      </c>
    </row>
    <row r="14">
      <c r="A14" s="31">
        <f>IF(B14=0,"",RANK(B14,$B$2:$B$18,0))</f>
        <v/>
      </c>
      <c r="B14" s="32">
        <f>SUM(N14,Y14,AA14,AC14,AE14,AG14,AI14,AK14,AM14,AO14,AQ14,AS14,AU14,AW14,AY14,BA14,BC14,BE14,BG14,BI14,BK14,BM14,BO14,BQ14,BS14,BU14,BW14,BY14,CA14,CC14)</f>
        <v/>
      </c>
      <c r="C14" s="34" t="inlineStr">
        <is>
          <t>CHOLAFIN</t>
        </is>
      </c>
      <c r="D14" s="34" t="inlineStr">
        <is>
          <t>Cholamandalam Investment &amp; Finance Company Ltd</t>
        </is>
      </c>
      <c r="E14" s="31" t="inlineStr">
        <is>
          <t>financials</t>
        </is>
      </c>
      <c r="F14" s="31" t="inlineStr">
        <is>
          <t>Conglomerate Backed NBFC</t>
        </is>
      </c>
      <c r="G14" s="31" t="inlineStr">
        <is>
          <t>largecap</t>
        </is>
      </c>
      <c r="H14" s="32" t="n">
        <v>157485.95</v>
      </c>
      <c r="I14" s="32" t="n">
        <v>1847</v>
      </c>
      <c r="J14" s="32" t="n">
        <v>4.13</v>
      </c>
      <c r="K14" s="32" t="n">
        <v>0</v>
      </c>
      <c r="L14" s="31" t="n">
        <v>46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61.92</v>
      </c>
      <c r="P14" s="32" t="n">
        <v>14.15</v>
      </c>
      <c r="Q14" s="32" t="n">
        <v>1495.73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2.96</v>
      </c>
      <c r="U14" s="32" t="n">
        <v>30.19</v>
      </c>
      <c r="V14" s="32" t="n">
        <v>26.45</v>
      </c>
      <c r="W14" s="32" t="n">
        <v>9.640000000000001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above 5x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18</t>
        </is>
      </c>
      <c r="CC14" s="31">
        <f>IF(CB14&gt;20,10,IF(CB14&gt;=10,5,2))</f>
        <v/>
      </c>
    </row>
    <row r="15">
      <c r="A15" s="31">
        <f>IF(B15=0,"",RANK(B15,$B$2:$B$18,0))</f>
        <v/>
      </c>
      <c r="B15" s="32">
        <f>SUM(N15,Y15,AA15,AC15,AE15,AG15,AI15,AK15,AM15,AO15,AQ15,AS15,AU15,AW15,AY15,BA15,BC15,BE15,BG15,BI15,BK15,BM15,BO15,BQ15,BS15,BU15,BW15,BY15,CA15,CC15)</f>
        <v/>
      </c>
      <c r="C15" s="34" t="inlineStr">
        <is>
          <t>BAJFINANCE</t>
        </is>
      </c>
      <c r="D15" s="34" t="inlineStr">
        <is>
          <t>Bajaj Finance Ltd</t>
        </is>
      </c>
      <c r="E15" s="31" t="inlineStr">
        <is>
          <t>financials</t>
        </is>
      </c>
      <c r="F15" s="31" t="inlineStr">
        <is>
          <t>Conglomerate Backed NBFC</t>
        </is>
      </c>
      <c r="G15" s="31" t="inlineStr">
        <is>
          <t>largecap</t>
        </is>
      </c>
      <c r="H15" s="32" t="n">
        <v>710381.39</v>
      </c>
      <c r="I15" s="32" t="n">
        <v>1141</v>
      </c>
      <c r="J15" s="32" t="n">
        <v>8.31</v>
      </c>
      <c r="K15" s="32" t="n">
        <v>0</v>
      </c>
      <c r="L15" s="31" t="n">
        <v>51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68</v>
      </c>
      <c r="P15" s="32" t="n">
        <v>14.78</v>
      </c>
      <c r="Q15" s="32" t="n">
        <v>944.26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2.96</v>
      </c>
      <c r="U15" s="32" t="n">
        <v>31.13</v>
      </c>
      <c r="V15" s="32" t="n">
        <v>27.36</v>
      </c>
      <c r="W15" s="32" t="n">
        <v>10.91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18</t>
        </is>
      </c>
      <c r="CC15" s="31">
        <f>IF(CB15&gt;20,10,IF(CB15&gt;=10,5,2))</f>
        <v/>
      </c>
    </row>
    <row r="16">
      <c r="A16" s="31">
        <f>IF(B16=0,"",RANK(B16,$B$2:$B$18,0))</f>
        <v/>
      </c>
      <c r="B16" s="32">
        <f>SUM(N16,Y16,AA16,AC16,AE16,AG16,AI16,AK16,AM16,AO16,AQ16,AS16,AU16,AW16,AY16,BA16,BC16,BE16,BG16,BI16,BK16,BM16,BO16,BQ16,BS16,BU16,BW16,BY16,CA16,CC16)</f>
        <v/>
      </c>
      <c r="C16" s="31" t="inlineStr">
        <is>
          <t>POONAWALLA</t>
        </is>
      </c>
      <c r="D16" s="31" t="inlineStr">
        <is>
          <t>Poonawalla Fincorp Ltd</t>
        </is>
      </c>
      <c r="E16" s="31" t="inlineStr">
        <is>
          <t>Financial Services</t>
        </is>
      </c>
      <c r="F16" s="31" t="inlineStr">
        <is>
          <t>Conglomerate Backed NBFC</t>
        </is>
      </c>
      <c r="G16" s="31" t="inlineStr">
        <is>
          <t>largecap</t>
        </is>
      </c>
      <c r="H16" s="32" t="n">
        <v>40913</v>
      </c>
      <c r="I16" s="32" t="n">
        <v>464.65</v>
      </c>
      <c r="J16" s="32" t="n">
        <v>-2.57</v>
      </c>
      <c r="K16" s="32" t="n">
        <v>0</v>
      </c>
      <c r="L16" s="31" t="n">
        <v>25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56.72</v>
      </c>
      <c r="P16" s="32" t="n">
        <v>13.43</v>
      </c>
      <c r="Q16" s="32" t="n">
        <v>377.69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2.96</v>
      </c>
      <c r="U16" s="32" t="n">
        <v>10.54</v>
      </c>
      <c r="V16" s="32" t="n">
        <v>7.36</v>
      </c>
      <c r="W16" s="32" t="n">
        <v>5.01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17</t>
        </is>
      </c>
      <c r="CC16" s="31">
        <f>IF(CB16&gt;20,10,IF(CB16&gt;=10,5,2))</f>
        <v/>
      </c>
    </row>
    <row r="17">
      <c r="A17" s="31">
        <f>IF(B17=0,"",RANK(B17,$B$2:$B$18,0))</f>
        <v/>
      </c>
      <c r="B17" s="32">
        <f>SUM(N17,Y17,AA17,AC17,AE17,AG17,AI17,AK17,AM17,AO17,AQ17,AS17,AU17,AW17,AY17,BA17,BC17,BE17,BG17,BI17,BK17,BM17,BO17,BQ17,BS17,BU17,BW17,BY17,CA17,CC17)</f>
        <v/>
      </c>
      <c r="C17" s="31" t="inlineStr">
        <is>
          <t>CGCL</t>
        </is>
      </c>
      <c r="D17" s="31" t="inlineStr">
        <is>
          <t>Capri Global Capital Ltd</t>
        </is>
      </c>
      <c r="E17" s="31" t="inlineStr">
        <is>
          <t>Financial Services</t>
        </is>
      </c>
      <c r="F17" s="31" t="inlineStr">
        <is>
          <t>Finance &amp; Investments - Gold Loan</t>
        </is>
      </c>
      <c r="G17" s="31" t="inlineStr">
        <is>
          <t>largecap</t>
        </is>
      </c>
      <c r="H17" s="32" t="n">
        <v>22245.96</v>
      </c>
      <c r="I17" s="32" t="n">
        <v>231.21</v>
      </c>
      <c r="J17" s="32" t="n">
        <v>4.71</v>
      </c>
      <c r="K17" s="32" t="n">
        <v>0</v>
      </c>
      <c r="L17" s="31" t="n">
        <v>55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62.68</v>
      </c>
      <c r="P17" s="32" t="n">
        <v>36.13</v>
      </c>
      <c r="Q17" s="32" t="n">
        <v>205.37</v>
      </c>
      <c r="R17" s="31" t="inlineStr">
        <is>
          <t>Volume Spike / Accumulation</t>
        </is>
      </c>
      <c r="S17" s="31" t="inlineStr">
        <is>
          <t>Nifty Bank</t>
        </is>
      </c>
      <c r="T17" s="32" t="n">
        <v>2.96</v>
      </c>
      <c r="U17" s="32" t="n">
        <v>32.66</v>
      </c>
      <c r="V17" s="32" t="n">
        <v>28.84</v>
      </c>
      <c r="W17" s="32" t="n">
        <v>11.88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Negative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  <c r="CB17" s="31" t="inlineStr">
        <is>
          <t>19</t>
        </is>
      </c>
      <c r="CC17" s="31">
        <f>IF(CB17&gt;20,10,IF(CB17&gt;=10,5,2))</f>
        <v/>
      </c>
    </row>
    <row r="18">
      <c r="A18" s="31">
        <f>IF(B18=0,"",RANK(B18,$B$2:$B$18,0))</f>
        <v/>
      </c>
      <c r="B18" s="32">
        <f>SUM(N18,Y18,AA18,AC18,AE18,AG18,AI18,AK18,AM18,AO18,AQ18,AS18,AU18,AW18,AY18,BA18,BC18,BE18,BG18,BI18,BK18,BM18,BO18,BQ18,BS18,BU18,BW18,BY18,CA18,CC18)</f>
        <v/>
      </c>
      <c r="C18" s="31" t="inlineStr">
        <is>
          <t>OFSS</t>
        </is>
      </c>
      <c r="D18" s="31" t="inlineStr">
        <is>
          <t>Oracle Financial Services Software Ltd</t>
        </is>
      </c>
      <c r="E18" s="31" t="inlineStr">
        <is>
          <t>Technology</t>
        </is>
      </c>
      <c r="F18" s="31" t="inlineStr">
        <is>
          <t>IT Product Companies</t>
        </is>
      </c>
      <c r="G18" s="31" t="inlineStr">
        <is>
          <t>largecap</t>
        </is>
      </c>
      <c r="H18" s="32" t="n">
        <v>97524.57000000001</v>
      </c>
      <c r="I18" s="32" t="n">
        <v>11200</v>
      </c>
      <c r="J18" s="32" t="n">
        <v>0.57</v>
      </c>
      <c r="K18" s="32" t="n">
        <v>0</v>
      </c>
      <c r="L18" s="31" t="n">
        <v>52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65.72</v>
      </c>
      <c r="P18" s="32" t="n">
        <v>33.81</v>
      </c>
      <c r="Q18" s="32" t="n">
        <v>9258.42</v>
      </c>
      <c r="R18" s="31" t="inlineStr">
        <is>
          <t>Near 52W High Breakout</t>
        </is>
      </c>
      <c r="S18" s="31" t="inlineStr">
        <is>
          <t>Nifty IT</t>
        </is>
      </c>
      <c r="T18" s="32" t="n">
        <v>-11.37</v>
      </c>
      <c r="U18" s="32" t="n">
        <v>39.46</v>
      </c>
      <c r="V18" s="32" t="n">
        <v>57.36</v>
      </c>
      <c r="W18" s="32" t="n">
        <v>11.23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Negative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  <c r="CB18" s="31" t="inlineStr">
        <is>
          <t>20</t>
        </is>
      </c>
      <c r="CC18" s="31">
        <f>IF(CB18&gt;20,10,IF(CB18&gt;=10,5,2))</f>
        <v/>
      </c>
    </row>
    <row r="22">
      <c r="A22" s="25" t="inlineStr">
        <is>
          <t>❌ REMOVED SCAN MATCH STOCKS (THIS WEEK)</t>
        </is>
      </c>
    </row>
    <row r="23">
      <c r="A23" s="35" t="inlineStr">
        <is>
          <t>Symbol</t>
        </is>
      </c>
      <c r="B23" s="35" t="inlineStr">
        <is>
          <t>Company Name</t>
        </is>
      </c>
      <c r="C23" s="35" t="inlineStr">
        <is>
          <t>Sector</t>
        </is>
      </c>
      <c r="D23" s="35" t="inlineStr">
        <is>
          <t>Date of Removal</t>
        </is>
      </c>
    </row>
    <row r="24">
      <c r="A24" s="36" t="inlineStr">
        <is>
          <t>DHANBANK</t>
        </is>
      </c>
      <c r="B24" s="37" t="inlineStr">
        <is>
          <t>DHANBANK</t>
        </is>
      </c>
      <c r="C24" s="37" t="inlineStr">
        <is>
          <t>unknown</t>
        </is>
      </c>
      <c r="D24" s="38" t="inlineStr">
        <is>
          <t>2026-07-30</t>
        </is>
      </c>
    </row>
    <row r="25">
      <c r="A25" s="36" t="inlineStr">
        <is>
          <t>M&amp;MFIN</t>
        </is>
      </c>
      <c r="B25" s="37" t="inlineStr">
        <is>
          <t>Mahindra &amp; Mahindra Financial Services Limited</t>
        </is>
      </c>
      <c r="C25" s="37" t="inlineStr">
        <is>
          <t>Financial Services</t>
        </is>
      </c>
      <c r="D25" s="38" t="inlineStr">
        <is>
          <t>2026-07-31</t>
        </is>
      </c>
    </row>
    <row r="26">
      <c r="A26" s="36" t="inlineStr">
        <is>
          <t>PAISALO</t>
        </is>
      </c>
      <c r="B26" s="37" t="inlineStr">
        <is>
          <t>Paisalo Digital Limited</t>
        </is>
      </c>
      <c r="C26" s="37" t="inlineStr">
        <is>
          <t>Financial Services</t>
        </is>
      </c>
      <c r="D26" s="38" t="inlineStr">
        <is>
          <t>2026-07-31</t>
        </is>
      </c>
    </row>
    <row r="27">
      <c r="A27" s="36" t="inlineStr">
        <is>
          <t>SHAREINDIA</t>
        </is>
      </c>
      <c r="B27" s="37" t="inlineStr">
        <is>
          <t>Share India Securities Limited</t>
        </is>
      </c>
      <c r="C27" s="37" t="inlineStr">
        <is>
          <t>Financial Services</t>
        </is>
      </c>
      <c r="D27" s="38" t="inlineStr">
        <is>
          <t>2026-07-28</t>
        </is>
      </c>
    </row>
  </sheetData>
  <autoFilter ref="A1:CC18"/>
  <conditionalFormatting sqref="B2:B1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8">
    <cfRule type="cellIs" priority="35" operator="equal" dxfId="3" stopIfTrue="1">
      <formula>"Underperforming"</formula>
    </cfRule>
  </conditionalFormatting>
  <conditionalFormatting sqref="N2:N18">
    <cfRule type="cellIs" priority="36" operator="equal" dxfId="3" stopIfTrue="1">
      <formula>-5</formula>
    </cfRule>
  </conditionalFormatting>
  <conditionalFormatting sqref="Q2:Q1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8" showDropDown="0" showInputMessage="0" showErrorMessage="0" allowBlank="1" type="list">
      <formula1>"Growing Industry,Stagnant Industry,Cyclical in an Upturn"</formula1>
    </dataValidation>
    <dataValidation sqref="Z2:Z18" showDropDown="0" showInputMessage="0" showErrorMessage="0" allowBlank="1" type="list">
      <formula1>"Fragmented with Low ROE,Fragmented with High ROE,Highly Cyclical"</formula1>
    </dataValidation>
    <dataValidation sqref="AB2:AB18" showDropDown="0" showInputMessage="0" showErrorMessage="0" allowBlank="1" type="list">
      <formula1>"Yes,No"</formula1>
    </dataValidation>
    <dataValidation sqref="AD2:AD18" showDropDown="0" showInputMessage="0" showErrorMessage="0" allowBlank="1" type="list">
      <formula1>"Tailwind,Headwind"</formula1>
    </dataValidation>
    <dataValidation sqref="AF2:AF1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8" showDropDown="0" showInputMessage="0" showErrorMessage="0" allowBlank="1" type="list">
      <formula1>"Yes,No"</formula1>
    </dataValidation>
    <dataValidation sqref="AJ2:AJ18" showDropDown="0" showInputMessage="0" showErrorMessage="0" allowBlank="1" type="list">
      <formula1>"Yes,No,Not Applicable"</formula1>
    </dataValidation>
    <dataValidation sqref="AL2:AL18" showDropDown="0" showInputMessage="0" showErrorMessage="0" allowBlank="1" type="list">
      <formula1>"Yes,No"</formula1>
    </dataValidation>
    <dataValidation sqref="AN2:AN18" showDropDown="0" showInputMessage="0" showErrorMessage="0" allowBlank="1" type="list">
      <formula1>"Yes,No"</formula1>
    </dataValidation>
    <dataValidation sqref="AP2:AP18" showDropDown="0" showInputMessage="0" showErrorMessage="0" allowBlank="1" type="list">
      <formula1>"Yes,No"</formula1>
    </dataValidation>
    <dataValidation sqref="AR2:AR18" showDropDown="0" showInputMessage="0" showErrorMessage="0" allowBlank="1" type="list">
      <formula1>"Yes,No"</formula1>
    </dataValidation>
    <dataValidation sqref="AT2:AT18" showDropDown="0" showInputMessage="0" showErrorMessage="0" allowBlank="1" type="list">
      <formula1>"No,Yes"</formula1>
    </dataValidation>
    <dataValidation sqref="AV2:AV18" showDropDown="0" showInputMessage="0" showErrorMessage="0" allowBlank="1" type="list">
      <formula1>"No,Yes"</formula1>
    </dataValidation>
    <dataValidation sqref="AX2:AX18" showDropDown="0" showInputMessage="0" showErrorMessage="0" allowBlank="1" type="list">
      <formula1>"No,Yes CEO Resignation,Yes CEO Retirement"</formula1>
    </dataValidation>
    <dataValidation sqref="AZ2:AZ18" showDropDown="0" showInputMessage="0" showErrorMessage="0" allowBlank="1" type="list">
      <formula1>"No,Yes"</formula1>
    </dataValidation>
    <dataValidation sqref="BB2:BB18" showDropDown="0" showInputMessage="0" showErrorMessage="0" allowBlank="1" type="list">
      <formula1>"No,Yes"</formula1>
    </dataValidation>
    <dataValidation sqref="BD2:BD18" showDropDown="0" showInputMessage="0" showErrorMessage="0" allowBlank="1" type="list">
      <formula1>"Yes,No"</formula1>
    </dataValidation>
    <dataValidation sqref="BF2:BF18" showDropDown="0" showInputMessage="0" showErrorMessage="0" allowBlank="1" type="list">
      <formula1>"Yes,No"</formula1>
    </dataValidation>
    <dataValidation sqref="BH2:BH18" showDropDown="0" showInputMessage="0" showErrorMessage="0" allowBlank="1" type="list">
      <formula1>"Yes,No"</formula1>
    </dataValidation>
    <dataValidation sqref="BJ2:BJ1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8" showDropDown="0" showInputMessage="0" showErrorMessage="0" allowBlank="1" type="list">
      <formula1>"Above 40,20 to 40,0 to 20"</formula1>
    </dataValidation>
    <dataValidation sqref="BN2:BN18" showDropDown="0" showInputMessage="0" showErrorMessage="0" allowBlank="1" type="list">
      <formula1>"Between 50 to 75,Above 75,Below 45"</formula1>
    </dataValidation>
    <dataValidation sqref="BP2:BP18" showDropDown="0" showInputMessage="0" showErrorMessage="0" allowBlank="1" type="list">
      <formula1>"Stage 1,Stage 2,Stage 3,Stage 4"</formula1>
    </dataValidation>
    <dataValidation sqref="BR2:BR18" showDropDown="0" showInputMessage="0" showErrorMessage="0" allowBlank="1" type="list">
      <formula1>"Positive Trend,Negative Trend"</formula1>
    </dataValidation>
    <dataValidation sqref="BT2:BT18" showDropDown="0" showInputMessage="0" showErrorMessage="0" allowBlank="1" type="list">
      <formula1>"Uptrend,Sideways,Downtrend"</formula1>
    </dataValidation>
    <dataValidation sqref="BV2:BV18" showDropDown="0" showInputMessage="0" showErrorMessage="0" allowBlank="1" type="list">
      <formula1>"Uptrend,Sideways,Downtrend"</formula1>
    </dataValidation>
    <dataValidation sqref="BX2:BX1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2026-07-31T12:22:26Z</dcterms:created>
  <dcterms:modified xmlns:dcterms="http://purl.org/dc/terms/" xmlns:xsi="http://www.w3.org/2001/XMLSchema-instance" xsi:type="dcterms:W3CDTF">2026-07-31T12:24:19Z</dcterms:modified>
</cp:coreProperties>
</file>