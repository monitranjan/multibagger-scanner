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Universe'!$A$1:$J$431</definedName>
    <definedName name="_xlnm._FilterDatabase" localSheetId="3" hidden="1">'Confluence Overlap'!$A$1:$K$97</definedName>
    <definedName name="_xlnm._FilterDatabase" localSheetId="4" hidden="1">'Monit Non Financial'!$A$1:$CE$389</definedName>
    <definedName name="_xlnm._FilterDatabase" localSheetId="5" hidden="1">'Monit Banks NBFC'!$A$1:$CA$43</definedName>
    <definedName name="_xlnm._FilterDatabase" localSheetId="6" hidden="1">'Scanner Non Financial'!$A$1:$CJ$20</definedName>
    <definedName name="_xlnm._FilterDatabase" localSheetId="7" hidden="1">'Scanner Banks NBFC'!$A$1:$CF$4</definedName>
    <definedName name="_xlnm._FilterDatabase" localSheetId="8" hidden="1">'Scan Match Non Financial'!$A$1:$CG$97</definedName>
    <definedName name="_xlnm._FilterDatabase" localSheetId="9" hidden="1">'Scan Match Banks NBFC'!$A$1:$CC$5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7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20" fillId="0" borderId="0" pivotButton="0" quotePrefix="0" xfId="0"/>
    <xf numFmtId="0" fontId="14" fillId="9" borderId="6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1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Monday, 24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3" customWidth="1" min="2" max="2"/>
    <col width="25" customWidth="1" min="3" max="3"/>
    <col width="38" customWidth="1" min="4" max="4"/>
    <col width="25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636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91</v>
      </c>
      <c r="G6" s="19" t="n">
        <v>60985.76</v>
      </c>
      <c r="H6" s="18" t="inlineStr">
        <is>
          <t>Potential Leader</t>
        </is>
      </c>
      <c r="J6" s="18" t="inlineStr">
        <is>
          <t>co-working</t>
        </is>
      </c>
      <c r="K6" s="16" t="n">
        <v>5</v>
      </c>
      <c r="L6" s="16" t="n">
        <v>1</v>
      </c>
      <c r="M6" s="20" t="inlineStr">
        <is>
          <t>400.0%</t>
        </is>
      </c>
    </row>
    <row r="7">
      <c r="A7" s="16" t="n">
        <v>2</v>
      </c>
      <c r="B7" s="17" t="n">
        <v>528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73</v>
      </c>
      <c r="G7" s="19" t="n">
        <v>2915.58</v>
      </c>
      <c r="H7" s="18" t="inlineStr">
        <is>
          <t>Potential Leader</t>
        </is>
      </c>
      <c r="J7" s="18" t="inlineStr">
        <is>
          <t>services</t>
        </is>
      </c>
      <c r="K7" s="16" t="n">
        <v>45</v>
      </c>
      <c r="L7" s="16" t="n">
        <v>36</v>
      </c>
      <c r="M7" s="20" t="inlineStr">
        <is>
          <t>25.0%</t>
        </is>
      </c>
    </row>
    <row r="8">
      <c r="A8" s="16" t="n">
        <v>3</v>
      </c>
      <c r="B8" s="17" t="n">
        <v>522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72</v>
      </c>
      <c r="G8" s="19" t="n">
        <v>97352.97</v>
      </c>
      <c r="H8" s="18" t="inlineStr">
        <is>
          <t>Potential Leader</t>
        </is>
      </c>
      <c r="J8" s="18" t="inlineStr">
        <is>
          <t>realty</t>
        </is>
      </c>
      <c r="K8" s="16" t="n">
        <v>89</v>
      </c>
      <c r="L8" s="16" t="n">
        <v>74</v>
      </c>
      <c r="M8" s="20" t="inlineStr">
        <is>
          <t>20.3%</t>
        </is>
      </c>
    </row>
    <row r="9">
      <c r="A9" s="16" t="n">
        <v>4</v>
      </c>
      <c r="B9" s="17" t="n">
        <v>456</v>
      </c>
      <c r="C9" s="17" t="inlineStr">
        <is>
          <t>YASHO</t>
        </is>
      </c>
      <c r="D9" s="18" t="inlineStr">
        <is>
          <t>Yasho Industries Ltd</t>
        </is>
      </c>
      <c r="E9" s="18" t="inlineStr">
        <is>
          <t>chemicals</t>
        </is>
      </c>
      <c r="F9" s="16" t="n">
        <v>61</v>
      </c>
      <c r="G9" s="19" t="n">
        <v>5305.12</v>
      </c>
      <c r="H9" s="18" t="inlineStr">
        <is>
          <t>Potential Leader</t>
        </is>
      </c>
      <c r="J9" s="18" t="inlineStr">
        <is>
          <t>fmcg</t>
        </is>
      </c>
      <c r="K9" s="16" t="n">
        <v>150</v>
      </c>
      <c r="L9" s="16" t="n">
        <v>127</v>
      </c>
      <c r="M9" s="20" t="inlineStr">
        <is>
          <t>18.1%</t>
        </is>
      </c>
    </row>
    <row r="10">
      <c r="A10" s="16" t="n">
        <v>5</v>
      </c>
      <c r="B10" s="17" t="n">
        <v>450</v>
      </c>
      <c r="C10" s="17" t="inlineStr">
        <is>
          <t>CUPID</t>
        </is>
      </c>
      <c r="D10" s="18" t="inlineStr">
        <is>
          <t>Cupid Limited</t>
        </is>
      </c>
      <c r="E10" s="18" t="inlineStr">
        <is>
          <t>fmcg</t>
        </is>
      </c>
      <c r="F10" s="16" t="n">
        <v>60</v>
      </c>
      <c r="G10" s="19" t="n">
        <v>38266.35</v>
      </c>
      <c r="H10" s="18" t="inlineStr">
        <is>
          <t>Potential Leader</t>
        </is>
      </c>
      <c r="J10" s="18" t="inlineStr">
        <is>
          <t>textiles</t>
        </is>
      </c>
      <c r="K10" s="16" t="n">
        <v>51</v>
      </c>
      <c r="L10" s="16" t="n">
        <v>44</v>
      </c>
      <c r="M10" s="20" t="inlineStr">
        <is>
          <t>15.9%</t>
        </is>
      </c>
    </row>
    <row r="11">
      <c r="A11" s="16" t="n">
        <v>6</v>
      </c>
      <c r="B11" s="17" t="n">
        <v>390</v>
      </c>
      <c r="C11" s="17" t="inlineStr">
        <is>
          <t>VADILALIND</t>
        </is>
      </c>
      <c r="D11" s="18" t="inlineStr">
        <is>
          <t>Vadilal Industries Limited</t>
        </is>
      </c>
      <c r="E11" s="18" t="inlineStr">
        <is>
          <t>fmcg</t>
        </is>
      </c>
      <c r="F11" s="16" t="n">
        <v>50</v>
      </c>
      <c r="G11" s="19" t="n">
        <v>5331.57</v>
      </c>
      <c r="H11" s="18" t="inlineStr">
        <is>
          <t>Potential Leader</t>
        </is>
      </c>
      <c r="J11" s="18" t="inlineStr">
        <is>
          <t>metals &amp; mining</t>
        </is>
      </c>
      <c r="K11" s="16" t="n">
        <v>106</v>
      </c>
      <c r="L11" s="16" t="n">
        <v>93</v>
      </c>
      <c r="M11" s="20" t="inlineStr">
        <is>
          <t>14.0%</t>
        </is>
      </c>
    </row>
    <row r="12">
      <c r="A12" s="16" t="n">
        <v>7</v>
      </c>
      <c r="B12" s="17" t="n">
        <v>372</v>
      </c>
      <c r="C12" s="17" t="inlineStr">
        <is>
          <t>HITECHCORP</t>
        </is>
      </c>
      <c r="D12" s="18" t="inlineStr">
        <is>
          <t>Hitech Corporation</t>
        </is>
      </c>
      <c r="E12" s="18" t="inlineStr">
        <is>
          <t>industrials</t>
        </is>
      </c>
      <c r="F12" s="16" t="n">
        <v>47</v>
      </c>
      <c r="G12" s="19" t="n">
        <v>569.37</v>
      </c>
      <c r="H12" s="18" t="inlineStr">
        <is>
          <t>Potential Leader</t>
        </is>
      </c>
      <c r="J12" s="18" t="inlineStr">
        <is>
          <t>plastic products</t>
        </is>
      </c>
      <c r="K12" s="16" t="n">
        <v>31</v>
      </c>
      <c r="L12" s="16" t="n">
        <v>28</v>
      </c>
      <c r="M12" s="20" t="inlineStr">
        <is>
          <t>10.7%</t>
        </is>
      </c>
    </row>
    <row r="13">
      <c r="A13" s="16" t="n">
        <v>8</v>
      </c>
      <c r="B13" s="17" t="n">
        <v>324</v>
      </c>
      <c r="C13" s="17" t="inlineStr">
        <is>
          <t>ADOR</t>
        </is>
      </c>
      <c r="D13" s="18" t="inlineStr">
        <is>
          <t>Ador Welding Ltd</t>
        </is>
      </c>
      <c r="E13" s="18" t="inlineStr">
        <is>
          <t>industrials</t>
        </is>
      </c>
      <c r="F13" s="16" t="n">
        <v>39</v>
      </c>
      <c r="G13" s="19" t="n">
        <v>2815.08</v>
      </c>
      <c r="H13" s="18" t="inlineStr">
        <is>
          <t>Potential Leader</t>
        </is>
      </c>
      <c r="J13" s="18" t="inlineStr">
        <is>
          <t>financials</t>
        </is>
      </c>
      <c r="K13" s="16" t="n">
        <v>137</v>
      </c>
      <c r="L13" s="16" t="n">
        <v>125</v>
      </c>
      <c r="M13" s="20" t="inlineStr">
        <is>
          <t>9.6%</t>
        </is>
      </c>
    </row>
    <row r="14">
      <c r="A14" s="16" t="n">
        <v>9</v>
      </c>
      <c r="B14" s="17" t="n">
        <v>324</v>
      </c>
      <c r="C14" s="17" t="inlineStr">
        <is>
          <t>CYIENTDLM</t>
        </is>
      </c>
      <c r="D14" s="18" t="inlineStr">
        <is>
          <t>Cyient DLM Ltd</t>
        </is>
      </c>
      <c r="E14" s="18" t="inlineStr">
        <is>
          <t>aerospace &amp; defence</t>
        </is>
      </c>
      <c r="F14" s="16" t="n">
        <v>39</v>
      </c>
      <c r="G14" s="19" t="n">
        <v>5724.73</v>
      </c>
      <c r="H14" s="18" t="inlineStr">
        <is>
          <t>Potential Leader</t>
        </is>
      </c>
      <c r="J14" s="18" t="inlineStr">
        <is>
          <t>bank</t>
        </is>
      </c>
      <c r="K14" s="16" t="n">
        <v>65</v>
      </c>
      <c r="L14" s="16" t="n">
        <v>60</v>
      </c>
      <c r="M14" s="20" t="inlineStr">
        <is>
          <t>8.3%</t>
        </is>
      </c>
    </row>
    <row r="15">
      <c r="A15" s="16" t="n">
        <v>10</v>
      </c>
      <c r="B15" s="17" t="n">
        <v>324</v>
      </c>
      <c r="C15" s="17" t="inlineStr">
        <is>
          <t>IRISDOREME</t>
        </is>
      </c>
      <c r="D15" s="18" t="inlineStr">
        <is>
          <t>Iris Clothings Ltd</t>
        </is>
      </c>
      <c r="E15" s="18" t="inlineStr">
        <is>
          <t>consumer discretionary</t>
        </is>
      </c>
      <c r="F15" s="16" t="n">
        <v>39</v>
      </c>
      <c r="G15" s="19" t="n">
        <v>1084.89</v>
      </c>
      <c r="H15" s="18" t="inlineStr">
        <is>
          <t>Potential Leader</t>
        </is>
      </c>
      <c r="J15" s="18" t="inlineStr">
        <is>
          <t>energy</t>
        </is>
      </c>
      <c r="K15" s="16" t="n">
        <v>62</v>
      </c>
      <c r="L15" s="16" t="n">
        <v>59</v>
      </c>
      <c r="M15" s="20" t="inlineStr">
        <is>
          <t>5.1%</t>
        </is>
      </c>
    </row>
    <row r="16">
      <c r="A16" s="16" t="n">
        <v>11</v>
      </c>
      <c r="B16" s="17" t="n">
        <v>324</v>
      </c>
      <c r="C16" s="17" t="inlineStr">
        <is>
          <t>RADICO</t>
        </is>
      </c>
      <c r="D16" s="18" t="inlineStr">
        <is>
          <t>Radico Khaitan Limited</t>
        </is>
      </c>
      <c r="E16" s="18" t="inlineStr">
        <is>
          <t>fmcg</t>
        </is>
      </c>
      <c r="F16" s="16" t="n">
        <v>39</v>
      </c>
      <c r="G16" s="19" t="n">
        <v>62141.47</v>
      </c>
      <c r="H16" s="18" t="inlineStr">
        <is>
          <t>Potential Leader</t>
        </is>
      </c>
      <c r="J16" s="18" t="inlineStr">
        <is>
          <t>aerospace &amp; defence</t>
        </is>
      </c>
      <c r="K16" s="16" t="n">
        <v>69</v>
      </c>
      <c r="L16" s="16" t="n">
        <v>66</v>
      </c>
      <c r="M16" s="20" t="inlineStr">
        <is>
          <t>4.5%</t>
        </is>
      </c>
    </row>
    <row r="17">
      <c r="A17" s="16" t="n">
        <v>12</v>
      </c>
      <c r="B17" s="17" t="n">
        <v>318</v>
      </c>
      <c r="C17" s="17" t="inlineStr">
        <is>
          <t>SETL</t>
        </is>
      </c>
      <c r="D17" s="18" t="inlineStr">
        <is>
          <t>Standard Enginnering Technology Ltd</t>
        </is>
      </c>
      <c r="E17" s="18" t="inlineStr">
        <is>
          <t>industrials</t>
        </is>
      </c>
      <c r="F17" s="16" t="n">
        <v>38</v>
      </c>
      <c r="G17" s="19" t="n">
        <v>5939.86</v>
      </c>
      <c r="H17" s="18" t="inlineStr">
        <is>
          <t>Potential Leader</t>
        </is>
      </c>
      <c r="J17" s="18" t="inlineStr">
        <is>
          <t>industrials</t>
        </is>
      </c>
      <c r="K17" s="16" t="n">
        <v>307</v>
      </c>
      <c r="L17" s="16" t="n">
        <v>304</v>
      </c>
      <c r="M17" s="20" t="inlineStr">
        <is>
          <t>1.0%</t>
        </is>
      </c>
    </row>
    <row r="18">
      <c r="A18" s="16" t="n">
        <v>13</v>
      </c>
      <c r="B18" s="17" t="n">
        <v>306</v>
      </c>
      <c r="C18" s="17" t="inlineStr">
        <is>
          <t>HAPPYFORGE</t>
        </is>
      </c>
      <c r="D18" s="18" t="inlineStr">
        <is>
          <t>Happy Forgings Ltd</t>
        </is>
      </c>
      <c r="E18" s="18" t="inlineStr">
        <is>
          <t>industrials</t>
        </is>
      </c>
      <c r="F18" s="16" t="n">
        <v>36</v>
      </c>
      <c r="G18" s="19" t="n">
        <v>20874.69</v>
      </c>
      <c r="H18" s="18" t="inlineStr">
        <is>
          <t>Potential Leader</t>
        </is>
      </c>
      <c r="J18" s="18" t="inlineStr">
        <is>
          <t>transportation</t>
        </is>
      </c>
      <c r="K18" s="16" t="n">
        <v>39</v>
      </c>
      <c r="L18" s="16" t="n">
        <v>39</v>
      </c>
      <c r="M18" s="20" t="inlineStr">
        <is>
          <t>0.0%</t>
        </is>
      </c>
    </row>
    <row r="19">
      <c r="A19" s="16" t="n">
        <v>14</v>
      </c>
      <c r="B19" s="17" t="n">
        <v>300</v>
      </c>
      <c r="C19" s="17" t="inlineStr">
        <is>
          <t>SONACOMS</t>
        </is>
      </c>
      <c r="D19" s="18" t="inlineStr">
        <is>
          <t>Sona BLW Precision Forgings Ltd</t>
        </is>
      </c>
      <c r="E19" s="18" t="inlineStr">
        <is>
          <t>auto</t>
        </is>
      </c>
      <c r="F19" s="16" t="n">
        <v>35</v>
      </c>
      <c r="G19" s="19" t="n">
        <v>50857.57</v>
      </c>
      <c r="H19" s="18" t="inlineStr">
        <is>
          <t>Potential Leader</t>
        </is>
      </c>
      <c r="J19" s="18" t="inlineStr">
        <is>
          <t>media</t>
        </is>
      </c>
      <c r="K19" s="16" t="n">
        <v>11</v>
      </c>
      <c r="L19" s="16" t="n">
        <v>11</v>
      </c>
      <c r="M19" s="20" t="inlineStr">
        <is>
          <t>0.0%</t>
        </is>
      </c>
    </row>
    <row r="20">
      <c r="A20" s="16" t="n">
        <v>15</v>
      </c>
      <c r="B20" s="17" t="n">
        <v>294</v>
      </c>
      <c r="C20" s="17" t="inlineStr">
        <is>
          <t>AETHER</t>
        </is>
      </c>
      <c r="D20" s="18" t="inlineStr">
        <is>
          <t>Aether Industries Ltd</t>
        </is>
      </c>
      <c r="E20" s="18" t="inlineStr">
        <is>
          <t>chemicals</t>
        </is>
      </c>
      <c r="F20" s="16" t="n">
        <v>34</v>
      </c>
      <c r="G20" s="19" t="n">
        <v>21587.03</v>
      </c>
      <c r="H20" s="18" t="inlineStr">
        <is>
          <t>Potential Leader</t>
        </is>
      </c>
      <c r="J20" s="18" t="inlineStr">
        <is>
          <t>consumer discretionary</t>
        </is>
      </c>
      <c r="K20" s="16" t="n">
        <v>120</v>
      </c>
      <c r="L20" s="16" t="n">
        <v>131</v>
      </c>
      <c r="M20" s="21" t="inlineStr">
        <is>
          <t>-8.4%</t>
        </is>
      </c>
    </row>
    <row r="21">
      <c r="A21" s="16" t="n">
        <v>16</v>
      </c>
      <c r="B21" s="17" t="n">
        <v>276</v>
      </c>
      <c r="C21" s="17" t="inlineStr">
        <is>
          <t>DIACABS</t>
        </is>
      </c>
      <c r="D21" s="18" t="inlineStr">
        <is>
          <t>Diamond Power Infrastructure Ltd</t>
        </is>
      </c>
      <c r="E21" s="18" t="inlineStr">
        <is>
          <t>industrials</t>
        </is>
      </c>
      <c r="F21" s="16" t="n">
        <v>31</v>
      </c>
      <c r="G21" s="19" t="n">
        <v>18765.44</v>
      </c>
      <c r="H21" s="18" t="inlineStr">
        <is>
          <t>Potential Leader</t>
        </is>
      </c>
    </row>
    <row r="22">
      <c r="A22" s="16" t="n">
        <v>17</v>
      </c>
      <c r="B22" s="17" t="n">
        <v>276</v>
      </c>
      <c r="C22" s="17" t="inlineStr">
        <is>
          <t>SUNDRMFAST</t>
        </is>
      </c>
      <c r="D22" s="18" t="inlineStr">
        <is>
          <t>Sundram Fasteners Limited</t>
        </is>
      </c>
      <c r="E22" s="18" t="inlineStr">
        <is>
          <t>auto</t>
        </is>
      </c>
      <c r="F22" s="16" t="n">
        <v>31</v>
      </c>
      <c r="G22" s="19" t="n">
        <v>25803.76</v>
      </c>
      <c r="H22" s="18" t="inlineStr">
        <is>
          <t>Potential Leader</t>
        </is>
      </c>
    </row>
    <row r="23">
      <c r="A23" s="16" t="n">
        <v>18</v>
      </c>
      <c r="B23" s="17" t="n">
        <v>249</v>
      </c>
      <c r="C23" s="17" t="inlineStr">
        <is>
          <t>UNITDSPR</t>
        </is>
      </c>
      <c r="D23" s="18" t="inlineStr">
        <is>
          <t>United Spirits Ltd</t>
        </is>
      </c>
      <c r="E23" s="18" t="inlineStr">
        <is>
          <t>fmcg</t>
        </is>
      </c>
      <c r="F23" s="16" t="n">
        <v>27</v>
      </c>
      <c r="G23" s="19" t="n">
        <v>113175.79</v>
      </c>
      <c r="H23" s="18" t="inlineStr">
        <is>
          <t>Potential Leader</t>
        </is>
      </c>
    </row>
    <row r="24">
      <c r="A24" s="16" t="n">
        <v>19</v>
      </c>
      <c r="B24" s="17" t="n">
        <v>243</v>
      </c>
      <c r="C24" s="17" t="inlineStr">
        <is>
          <t>KABRAEXTRU</t>
        </is>
      </c>
      <c r="D24" s="18" t="inlineStr">
        <is>
          <t>Kabra Extrusion Technik Limited</t>
        </is>
      </c>
      <c r="E24" s="18" t="inlineStr">
        <is>
          <t>industrials</t>
        </is>
      </c>
      <c r="F24" s="16" t="n">
        <v>27</v>
      </c>
      <c r="G24" s="19" t="n">
        <v>1980.16</v>
      </c>
      <c r="H24" s="18" t="inlineStr">
        <is>
          <t>Potential Leader</t>
        </is>
      </c>
    </row>
    <row r="25">
      <c r="A25" s="16" t="n">
        <v>20</v>
      </c>
      <c r="B25" s="17" t="n">
        <v>243</v>
      </c>
      <c r="C25" s="17" t="inlineStr">
        <is>
          <t>QUESS</t>
        </is>
      </c>
      <c r="D25" s="18" t="inlineStr">
        <is>
          <t>Quess Corp Limited</t>
        </is>
      </c>
      <c r="E25" s="18" t="inlineStr">
        <is>
          <t>miscellaneous</t>
        </is>
      </c>
      <c r="F25" s="16" t="n">
        <v>27</v>
      </c>
      <c r="G25" s="19" t="n">
        <v>5016.25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GIPCL</t>
        </is>
      </c>
      <c r="B30" s="18" t="inlineStr">
        <is>
          <t>Gujarat Industries Power Company Limited</t>
        </is>
      </c>
      <c r="C30" s="18" t="inlineStr">
        <is>
          <t>power &amp; utilities</t>
        </is>
      </c>
      <c r="D30" s="16" t="n">
        <v>10</v>
      </c>
      <c r="E30" s="16" t="n">
        <v>1</v>
      </c>
      <c r="F30" s="19" t="n">
        <v>2679.65</v>
      </c>
      <c r="J30" s="17" t="inlineStr">
        <is>
          <t>SBCL</t>
        </is>
      </c>
      <c r="K30" s="18" t="inlineStr">
        <is>
          <t>metals &amp; mining</t>
        </is>
      </c>
      <c r="L30" s="19" t="n">
        <v>250</v>
      </c>
      <c r="M30" s="19" t="n">
        <v>5721.54</v>
      </c>
      <c r="N30" s="16" t="n">
        <v>23</v>
      </c>
    </row>
    <row r="31">
      <c r="A31" s="17" t="inlineStr">
        <is>
          <t>SHANTIGOLD</t>
        </is>
      </c>
      <c r="B31" s="18" t="inlineStr">
        <is>
          <t>Shanti Gold International Ltd</t>
        </is>
      </c>
      <c r="C31" s="18" t="inlineStr">
        <is>
          <t>consumer discretionary</t>
        </is>
      </c>
      <c r="D31" s="16" t="n">
        <v>10</v>
      </c>
      <c r="E31" s="16" t="n">
        <v>1</v>
      </c>
      <c r="F31" s="19" t="n">
        <v>1943.56</v>
      </c>
      <c r="J31" s="17" t="inlineStr">
        <is>
          <t>APOLLOPIPE</t>
        </is>
      </c>
      <c r="K31" s="18" t="inlineStr">
        <is>
          <t>plastic products</t>
        </is>
      </c>
      <c r="L31" s="19" t="n">
        <v>240</v>
      </c>
      <c r="M31" s="19" t="n">
        <v>2649.72</v>
      </c>
      <c r="N31" s="16" t="n">
        <v>13</v>
      </c>
    </row>
    <row r="32">
      <c r="A32" s="17" t="inlineStr">
        <is>
          <t>BEML</t>
        </is>
      </c>
      <c r="B32" s="18" t="inlineStr">
        <is>
          <t>Beml Limited</t>
        </is>
      </c>
      <c r="C32" s="18" t="inlineStr">
        <is>
          <t>aerospace &amp; defence</t>
        </is>
      </c>
      <c r="D32" s="16" t="n">
        <v>10</v>
      </c>
      <c r="E32" s="16" t="n">
        <v>1</v>
      </c>
      <c r="F32" s="19" t="n">
        <v>16119.75</v>
      </c>
      <c r="J32" s="17" t="inlineStr">
        <is>
          <t>APCOTEXIND</t>
        </is>
      </c>
      <c r="K32" s="18" t="inlineStr">
        <is>
          <t>chemicals</t>
        </is>
      </c>
      <c r="L32" s="19" t="n">
        <v>230</v>
      </c>
      <c r="M32" s="19" t="n">
        <v>3240.57</v>
      </c>
      <c r="N32" s="16" t="n">
        <v>22</v>
      </c>
    </row>
    <row r="33">
      <c r="A33" s="17" t="inlineStr">
        <is>
          <t>MATRIMONY</t>
        </is>
      </c>
      <c r="B33" s="18" t="inlineStr">
        <is>
          <t>Matrimony.com Ltd</t>
        </is>
      </c>
      <c r="C33" s="18" t="inlineStr">
        <is>
          <t>miscellaneous</t>
        </is>
      </c>
      <c r="D33" s="16" t="n">
        <v>10</v>
      </c>
      <c r="E33" s="16" t="n">
        <v>2</v>
      </c>
      <c r="F33" s="19" t="n">
        <v>1110.26</v>
      </c>
      <c r="J33" s="17" t="inlineStr">
        <is>
          <t>TMB</t>
        </is>
      </c>
      <c r="K33" s="18" t="inlineStr">
        <is>
          <t>bank</t>
        </is>
      </c>
      <c r="L33" s="19" t="n">
        <v>230</v>
      </c>
      <c r="M33" s="19" t="n">
        <v>13911.97</v>
      </c>
      <c r="N33" s="16" t="n">
        <v>20</v>
      </c>
    </row>
    <row r="34">
      <c r="A34" s="17" t="inlineStr">
        <is>
          <t>AARTIPHARM</t>
        </is>
      </c>
      <c r="B34" s="18" t="inlineStr">
        <is>
          <t>Aarti Pharmalabs Ltd</t>
        </is>
      </c>
      <c r="C34" s="18" t="inlineStr">
        <is>
          <t>healthcare</t>
        </is>
      </c>
      <c r="D34" s="16" t="n">
        <v>10</v>
      </c>
      <c r="E34" s="16" t="n">
        <v>1</v>
      </c>
      <c r="F34" s="19" t="n">
        <v>7406.73</v>
      </c>
      <c r="J34" s="17" t="inlineStr">
        <is>
          <t>BLUSPRING</t>
        </is>
      </c>
      <c r="K34" s="18" t="inlineStr">
        <is>
          <t>miscellaneous</t>
        </is>
      </c>
      <c r="L34" s="19" t="n">
        <v>228</v>
      </c>
      <c r="M34" s="19" t="n">
        <v>1927.49</v>
      </c>
      <c r="N34" s="16" t="n">
        <v>16</v>
      </c>
    </row>
    <row r="35">
      <c r="A35" s="17" t="inlineStr">
        <is>
          <t>CHEMBONDCH</t>
        </is>
      </c>
      <c r="B35" s="18" t="inlineStr">
        <is>
          <t>Chembond Chemicals Ltd</t>
        </is>
      </c>
      <c r="C35" s="18" t="inlineStr">
        <is>
          <t>chemicals</t>
        </is>
      </c>
      <c r="D35" s="16" t="n">
        <v>10</v>
      </c>
      <c r="E35" s="16" t="n">
        <v>1</v>
      </c>
      <c r="F35" s="19" t="n">
        <v>764.88</v>
      </c>
      <c r="J35" s="17" t="inlineStr">
        <is>
          <t>VADILALIND</t>
        </is>
      </c>
      <c r="K35" s="18" t="inlineStr">
        <is>
          <t>fmcg</t>
        </is>
      </c>
      <c r="L35" s="19" t="n">
        <v>227</v>
      </c>
      <c r="M35" s="19" t="n">
        <v>5331.57</v>
      </c>
      <c r="N35" s="16" t="n">
        <v>30</v>
      </c>
    </row>
    <row r="36">
      <c r="A36" s="17" t="inlineStr">
        <is>
          <t>WINDLAS</t>
        </is>
      </c>
      <c r="B36" s="18" t="inlineStr">
        <is>
          <t>Windlas Biotech Ltd</t>
        </is>
      </c>
      <c r="C36" s="18" t="inlineStr">
        <is>
          <t>healthcare</t>
        </is>
      </c>
      <c r="D36" s="16" t="n">
        <v>10</v>
      </c>
      <c r="E36" s="16" t="n">
        <v>2</v>
      </c>
      <c r="F36" s="19" t="n">
        <v>2050.42</v>
      </c>
      <c r="J36" s="17" t="inlineStr">
        <is>
          <t>PRICOLLTD</t>
        </is>
      </c>
      <c r="K36" s="18" t="inlineStr">
        <is>
          <t>auto</t>
        </is>
      </c>
      <c r="L36" s="19" t="n">
        <v>227</v>
      </c>
      <c r="M36" s="19" t="n">
        <v>9716.389999999999</v>
      </c>
      <c r="N36" s="16" t="n">
        <v>28</v>
      </c>
    </row>
    <row r="37">
      <c r="A37" s="17" t="inlineStr">
        <is>
          <t>STYLEBAAZA</t>
        </is>
      </c>
      <c r="B37" s="18" t="inlineStr">
        <is>
          <t>Baazar Style Retail Ltd</t>
        </is>
      </c>
      <c r="C37" s="18" t="inlineStr">
        <is>
          <t>consumer discretionary</t>
        </is>
      </c>
      <c r="D37" s="16" t="n">
        <v>10</v>
      </c>
      <c r="E37" s="16" t="n">
        <v>0</v>
      </c>
      <c r="F37" s="19" t="n">
        <v>3179.04</v>
      </c>
      <c r="J37" s="17" t="inlineStr">
        <is>
          <t>UJJIVANSFB</t>
        </is>
      </c>
      <c r="K37" s="18" t="inlineStr">
        <is>
          <t>Financial Services</t>
        </is>
      </c>
      <c r="L37" s="19" t="n">
        <v>227</v>
      </c>
      <c r="M37" s="19" t="n">
        <v>13696.29</v>
      </c>
      <c r="N37" s="16" t="n">
        <v>26</v>
      </c>
    </row>
    <row r="38">
      <c r="A38" s="17" t="inlineStr">
        <is>
          <t>TNPETRO</t>
        </is>
      </c>
      <c r="B38" s="18" t="inlineStr">
        <is>
          <t>Tamilnadu Petroproducts Limited</t>
        </is>
      </c>
      <c r="C38" s="18" t="inlineStr">
        <is>
          <t>energy</t>
        </is>
      </c>
      <c r="D38" s="16" t="n">
        <v>9</v>
      </c>
      <c r="E38" s="16" t="n">
        <v>0</v>
      </c>
      <c r="F38" s="19" t="n">
        <v>1036.56</v>
      </c>
      <c r="J38" s="17" t="inlineStr">
        <is>
          <t>PGIL</t>
        </is>
      </c>
      <c r="K38" s="18" t="inlineStr">
        <is>
          <t>consumer discretionary</t>
        </is>
      </c>
      <c r="L38" s="19" t="n">
        <v>225</v>
      </c>
      <c r="M38" s="19" t="n">
        <v>11019.99</v>
      </c>
      <c r="N38" s="16" t="n">
        <v>27</v>
      </c>
    </row>
    <row r="39">
      <c r="A39" s="17" t="inlineStr">
        <is>
          <t>VGUARD</t>
        </is>
      </c>
      <c r="B39" s="18" t="inlineStr">
        <is>
          <t>V-guard Industries Limited</t>
        </is>
      </c>
      <c r="C39" s="18" t="inlineStr">
        <is>
          <t>industrials</t>
        </is>
      </c>
      <c r="D39" s="16" t="n">
        <v>9</v>
      </c>
      <c r="E39" s="16" t="n">
        <v>0</v>
      </c>
      <c r="F39" s="19" t="n">
        <v>14504.78</v>
      </c>
      <c r="J39" s="17" t="inlineStr">
        <is>
          <t>RPTECH</t>
        </is>
      </c>
      <c r="K39" s="18" t="inlineStr">
        <is>
          <t>i.t</t>
        </is>
      </c>
      <c r="L39" s="19" t="n">
        <v>225</v>
      </c>
      <c r="M39" s="19" t="n">
        <v>5778.74</v>
      </c>
      <c r="N39" s="16" t="n">
        <v>28</v>
      </c>
    </row>
    <row r="40">
      <c r="A40" s="17" t="inlineStr">
        <is>
          <t>TIIL</t>
        </is>
      </c>
      <c r="B40" s="18" t="inlineStr">
        <is>
          <t>Technocraft Industries (india) Limited</t>
        </is>
      </c>
      <c r="C40" s="18" t="inlineStr">
        <is>
          <t>metals &amp; mining</t>
        </is>
      </c>
      <c r="D40" s="16" t="n">
        <v>9</v>
      </c>
      <c r="E40" s="16" t="n">
        <v>2</v>
      </c>
      <c r="F40" s="19" t="n">
        <v>7524.65</v>
      </c>
      <c r="J40" s="17" t="inlineStr">
        <is>
          <t>CLSEL</t>
        </is>
      </c>
      <c r="K40" s="18" t="inlineStr">
        <is>
          <t>fmcg</t>
        </is>
      </c>
      <c r="L40" s="19" t="n">
        <v>225</v>
      </c>
      <c r="M40" s="19" t="n">
        <v>1433.84</v>
      </c>
      <c r="N40" s="16" t="n">
        <v>5</v>
      </c>
    </row>
    <row r="41">
      <c r="A41" s="17" t="inlineStr">
        <is>
          <t>CONCORDBIO</t>
        </is>
      </c>
      <c r="B41" s="18" t="inlineStr">
        <is>
          <t>Concord Biotech Ltd</t>
        </is>
      </c>
      <c r="C41" s="18" t="inlineStr">
        <is>
          <t>healthcare</t>
        </is>
      </c>
      <c r="D41" s="16" t="n">
        <v>9</v>
      </c>
      <c r="E41" s="16" t="n">
        <v>0</v>
      </c>
      <c r="F41" s="19" t="n">
        <v>16438.34</v>
      </c>
      <c r="J41" s="17" t="inlineStr">
        <is>
          <t>PREMIERPOL</t>
        </is>
      </c>
      <c r="K41" s="18" t="inlineStr">
        <is>
          <t>plastic products</t>
        </is>
      </c>
      <c r="L41" s="19" t="n">
        <v>223</v>
      </c>
      <c r="M41" s="19" t="n">
        <v>910.95</v>
      </c>
      <c r="N41" s="16" t="n">
        <v>21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67.36</v>
      </c>
      <c r="D47" s="28" t="n">
        <v>207</v>
      </c>
      <c r="E47" s="17" t="inlineStr">
        <is>
          <t>INDSWFTLAB</t>
        </is>
      </c>
      <c r="F47" s="18" t="inlineStr">
        <is>
          <t>Ind-swift Laboratories Limited</t>
        </is>
      </c>
      <c r="G47" s="18" t="inlineStr">
        <is>
          <t>healthcare</t>
        </is>
      </c>
      <c r="H47" s="19" t="n">
        <v>2866.17</v>
      </c>
    </row>
    <row r="48">
      <c r="A48" s="16" t="n">
        <v>2</v>
      </c>
      <c r="B48" s="27" t="n">
        <v>99</v>
      </c>
      <c r="C48" s="28" t="n">
        <v>57.94</v>
      </c>
      <c r="D48" s="28" t="n">
        <v>205</v>
      </c>
      <c r="E48" s="17" t="inlineStr">
        <is>
          <t>KABRAEXTRU</t>
        </is>
      </c>
      <c r="F48" s="18" t="inlineStr">
        <is>
          <t>Kabra Extrusion Technik Limited</t>
        </is>
      </c>
      <c r="G48" s="18" t="inlineStr">
        <is>
          <t>industrials</t>
        </is>
      </c>
      <c r="H48" s="19" t="n">
        <v>1980.16</v>
      </c>
    </row>
    <row r="49">
      <c r="A49" s="16" t="n">
        <v>3</v>
      </c>
      <c r="B49" s="27" t="n">
        <v>98</v>
      </c>
      <c r="C49" s="28" t="n">
        <v>52.29</v>
      </c>
      <c r="D49" s="28" t="n">
        <v>220</v>
      </c>
      <c r="E49" s="17" t="inlineStr">
        <is>
          <t>MODISONLTD</t>
        </is>
      </c>
      <c r="F49" s="18" t="inlineStr">
        <is>
          <t>Modison Ltd</t>
        </is>
      </c>
      <c r="G49" s="18" t="inlineStr">
        <is>
          <t>industrials</t>
        </is>
      </c>
      <c r="H49" s="19" t="n">
        <v>1256.3</v>
      </c>
    </row>
    <row r="50">
      <c r="A50" s="16" t="n">
        <v>4</v>
      </c>
      <c r="B50" s="27" t="n">
        <v>98</v>
      </c>
      <c r="C50" s="28" t="n">
        <v>52</v>
      </c>
      <c r="D50" s="28" t="n">
        <v>200</v>
      </c>
      <c r="E50" s="17" t="inlineStr">
        <is>
          <t>BLISSGVS</t>
        </is>
      </c>
      <c r="F50" s="18" t="inlineStr">
        <is>
          <t>Bliss Gvs Pharma Limited</t>
        </is>
      </c>
      <c r="G50" s="18" t="inlineStr">
        <is>
          <t>healthcare</t>
        </is>
      </c>
      <c r="H50" s="19" t="n">
        <v>6141.72</v>
      </c>
    </row>
    <row r="51">
      <c r="A51" s="16" t="n">
        <v>5</v>
      </c>
      <c r="B51" s="27" t="n">
        <v>98</v>
      </c>
      <c r="C51" s="28" t="n">
        <v>51.58</v>
      </c>
      <c r="D51" s="28" t="n">
        <v>190</v>
      </c>
      <c r="E51" s="17" t="inlineStr">
        <is>
          <t>YASHO</t>
        </is>
      </c>
      <c r="F51" s="18" t="inlineStr">
        <is>
          <t>Yasho Industries Ltd</t>
        </is>
      </c>
      <c r="G51" s="18" t="inlineStr">
        <is>
          <t>chemicals</t>
        </is>
      </c>
      <c r="H51" s="19" t="n">
        <v>5305.12</v>
      </c>
    </row>
    <row r="52">
      <c r="A52" s="16" t="n">
        <v>6</v>
      </c>
      <c r="B52" s="27" t="n">
        <v>97</v>
      </c>
      <c r="C52" s="28" t="n">
        <v>48.79</v>
      </c>
      <c r="D52" s="28" t="n">
        <v>198</v>
      </c>
      <c r="E52" s="17" t="inlineStr">
        <is>
          <t>UFBL</t>
        </is>
      </c>
      <c r="F52" s="18" t="inlineStr">
        <is>
          <t>United Foodbrands Ltd</t>
        </is>
      </c>
      <c r="G52" s="18" t="inlineStr">
        <is>
          <t>consumer discretionary</t>
        </is>
      </c>
      <c r="H52" s="19" t="n">
        <v>3215.25</v>
      </c>
    </row>
    <row r="53">
      <c r="A53" s="16" t="n">
        <v>7</v>
      </c>
      <c r="B53" s="27" t="n">
        <v>97</v>
      </c>
      <c r="C53" s="28" t="n">
        <v>47.23</v>
      </c>
      <c r="D53" s="28" t="n">
        <v>212</v>
      </c>
      <c r="E53" s="17" t="inlineStr">
        <is>
          <t>MOREPENLAB</t>
        </is>
      </c>
      <c r="F53" s="18" t="inlineStr">
        <is>
          <t>Morepen Laboratories Limited</t>
        </is>
      </c>
      <c r="G53" s="18" t="inlineStr">
        <is>
          <t>healthcare</t>
        </is>
      </c>
      <c r="H53" s="19" t="n">
        <v>5260.9</v>
      </c>
    </row>
    <row r="54">
      <c r="A54" s="16" t="n">
        <v>8</v>
      </c>
      <c r="B54" s="27" t="n">
        <v>97</v>
      </c>
      <c r="C54" s="28" t="n">
        <v>41.62</v>
      </c>
      <c r="D54" s="28" t="n">
        <v>207</v>
      </c>
      <c r="E54" s="17" t="inlineStr">
        <is>
          <t>KPL</t>
        </is>
      </c>
      <c r="F54" s="18" t="inlineStr">
        <is>
          <t>Kwality Pharmaceuticals Limited</t>
        </is>
      </c>
      <c r="G54" s="18" t="inlineStr">
        <is>
          <t>Healthcare</t>
        </is>
      </c>
      <c r="H54" s="19" t="n">
        <v>3590.16</v>
      </c>
    </row>
    <row r="55">
      <c r="A55" s="16" t="n">
        <v>9</v>
      </c>
      <c r="B55" s="27" t="n">
        <v>96</v>
      </c>
      <c r="C55" s="28" t="n">
        <v>39.91</v>
      </c>
      <c r="D55" s="28" t="n">
        <v>225</v>
      </c>
      <c r="E55" s="17" t="inlineStr">
        <is>
          <t>RPTECH</t>
        </is>
      </c>
      <c r="F55" s="18" t="inlineStr">
        <is>
          <t>Rashi Peripherals Ltd</t>
        </is>
      </c>
      <c r="G55" s="18" t="inlineStr">
        <is>
          <t>i.t</t>
        </is>
      </c>
      <c r="H55" s="19" t="n">
        <v>5778.74</v>
      </c>
    </row>
    <row r="56">
      <c r="A56" s="16" t="n">
        <v>10</v>
      </c>
      <c r="B56" s="27" t="n">
        <v>96</v>
      </c>
      <c r="C56" s="28" t="n">
        <v>38.72</v>
      </c>
      <c r="D56" s="28" t="n">
        <v>220</v>
      </c>
      <c r="E56" s="17" t="inlineStr">
        <is>
          <t>E2E</t>
        </is>
      </c>
      <c r="F56" s="18" t="inlineStr">
        <is>
          <t>E2E Networks Ltd</t>
        </is>
      </c>
      <c r="G56" s="18" t="inlineStr">
        <is>
          <t>i.t</t>
        </is>
      </c>
      <c r="H56" s="19" t="n">
        <v>12777.91</v>
      </c>
    </row>
    <row r="57">
      <c r="A57" s="16" t="n">
        <v>11</v>
      </c>
      <c r="B57" s="27" t="n">
        <v>95</v>
      </c>
      <c r="C57" s="28" t="n">
        <v>38.4</v>
      </c>
      <c r="D57" s="28" t="n">
        <v>203</v>
      </c>
      <c r="E57" s="17" t="inlineStr">
        <is>
          <t>COMSYN</t>
        </is>
      </c>
      <c r="F57" s="18" t="inlineStr">
        <is>
          <t>Commercial Syn Bags Ltd</t>
        </is>
      </c>
      <c r="G57" s="18" t="inlineStr">
        <is>
          <t>industrials</t>
        </is>
      </c>
      <c r="H57" s="19" t="n">
        <v>1154.39</v>
      </c>
    </row>
    <row r="58">
      <c r="A58" s="16" t="n">
        <v>12</v>
      </c>
      <c r="B58" s="27" t="n">
        <v>95</v>
      </c>
      <c r="C58" s="28" t="n">
        <v>38.06</v>
      </c>
      <c r="D58" s="28" t="n">
        <v>220</v>
      </c>
      <c r="E58" s="17" t="inlineStr">
        <is>
          <t>PARAS</t>
        </is>
      </c>
      <c r="F58" s="18" t="inlineStr">
        <is>
          <t>Paras Defence and Space Technologies Ltd</t>
        </is>
      </c>
      <c r="G58" s="18" t="inlineStr">
        <is>
          <t>aerospace &amp; defence</t>
        </is>
      </c>
      <c r="H58" s="19" t="n">
        <v>12084.88</v>
      </c>
    </row>
    <row r="59">
      <c r="A59" s="16" t="n">
        <v>13</v>
      </c>
      <c r="B59" s="27" t="n">
        <v>95</v>
      </c>
      <c r="C59" s="28" t="n">
        <v>38.02</v>
      </c>
      <c r="D59" s="28" t="n">
        <v>205</v>
      </c>
      <c r="E59" s="17" t="inlineStr">
        <is>
          <t>SKYGOLD</t>
        </is>
      </c>
      <c r="F59" s="18" t="inlineStr">
        <is>
          <t>Sky Gold Ltd</t>
        </is>
      </c>
      <c r="G59" s="18" t="inlineStr">
        <is>
          <t>consumer discretionary</t>
        </is>
      </c>
      <c r="H59" s="19" t="n">
        <v>12444.12</v>
      </c>
    </row>
    <row r="60">
      <c r="A60" s="16" t="n">
        <v>14</v>
      </c>
      <c r="B60" s="29" t="n">
        <v>94</v>
      </c>
      <c r="C60" s="28" t="n">
        <v>36.82</v>
      </c>
      <c r="D60" s="28" t="n">
        <v>218</v>
      </c>
      <c r="E60" s="17" t="inlineStr">
        <is>
          <t>TBZ</t>
        </is>
      </c>
      <c r="F60" s="18" t="inlineStr">
        <is>
          <t>Tribhovandas Bhimji Zaveri Limited</t>
        </is>
      </c>
      <c r="G60" s="18" t="inlineStr">
        <is>
          <t>consumer discretionary</t>
        </is>
      </c>
      <c r="H60" s="19" t="n">
        <v>1865.12</v>
      </c>
    </row>
    <row r="61">
      <c r="A61" s="16" t="n">
        <v>15</v>
      </c>
      <c r="B61" s="29" t="n">
        <v>94</v>
      </c>
      <c r="C61" s="28" t="n">
        <v>35.74</v>
      </c>
      <c r="D61" s="28" t="n">
        <v>213</v>
      </c>
      <c r="E61" s="17" t="inlineStr">
        <is>
          <t>HITECHCORP</t>
        </is>
      </c>
      <c r="F61" s="18" t="inlineStr">
        <is>
          <t>Hitech Corporation</t>
        </is>
      </c>
      <c r="G61" s="18" t="inlineStr">
        <is>
          <t>industrials</t>
        </is>
      </c>
      <c r="H61" s="19" t="n">
        <v>569.37</v>
      </c>
    </row>
    <row r="62">
      <c r="A62" s="16" t="n">
        <v>16</v>
      </c>
      <c r="B62" s="29" t="n">
        <v>94</v>
      </c>
      <c r="C62" s="28" t="n">
        <v>35.24</v>
      </c>
      <c r="D62" s="28" t="n">
        <v>217</v>
      </c>
      <c r="E62" s="17" t="inlineStr">
        <is>
          <t>TFCILTD</t>
        </is>
      </c>
      <c r="F62" s="18" t="inlineStr">
        <is>
          <t>Tourism Finance Corporation Of India Limited</t>
        </is>
      </c>
      <c r="G62" s="18" t="inlineStr">
        <is>
          <t>financials</t>
        </is>
      </c>
      <c r="H62" s="19" t="n">
        <v>6064.54</v>
      </c>
    </row>
    <row r="63">
      <c r="A63" s="16" t="n">
        <v>17</v>
      </c>
      <c r="B63" s="29" t="n">
        <v>93</v>
      </c>
      <c r="C63" s="28" t="n">
        <v>34.75</v>
      </c>
      <c r="D63" s="28" t="n">
        <v>213</v>
      </c>
      <c r="E63" s="17" t="inlineStr">
        <is>
          <t>FILATEX</t>
        </is>
      </c>
      <c r="F63" s="18" t="inlineStr">
        <is>
          <t>Filatex India Limited</t>
        </is>
      </c>
      <c r="G63" s="18" t="inlineStr">
        <is>
          <t>textiles</t>
        </is>
      </c>
      <c r="H63" s="19" t="n">
        <v>3688.35</v>
      </c>
    </row>
    <row r="64">
      <c r="A64" s="16" t="n">
        <v>18</v>
      </c>
      <c r="B64" s="29" t="n">
        <v>93</v>
      </c>
      <c r="C64" s="28" t="n">
        <v>34.57</v>
      </c>
      <c r="D64" s="28" t="n">
        <v>220</v>
      </c>
      <c r="E64" s="17" t="inlineStr">
        <is>
          <t>INDOBORAX</t>
        </is>
      </c>
      <c r="F64" s="18" t="inlineStr">
        <is>
          <t>Indo Borax &amp; Chemicals Ltd</t>
        </is>
      </c>
      <c r="G64" s="18" t="inlineStr">
        <is>
          <t>chemicals</t>
        </is>
      </c>
      <c r="H64" s="19" t="n">
        <v>1642.53</v>
      </c>
    </row>
    <row r="65">
      <c r="A65" s="16" t="n">
        <v>19</v>
      </c>
      <c r="B65" s="29" t="n">
        <v>93</v>
      </c>
      <c r="C65" s="28" t="n">
        <v>33.8</v>
      </c>
      <c r="D65" s="28" t="n">
        <v>228</v>
      </c>
      <c r="E65" s="17" t="inlineStr">
        <is>
          <t>BLUSPRING</t>
        </is>
      </c>
      <c r="F65" s="18" t="inlineStr">
        <is>
          <t>Bluspring Enterprises Ltd</t>
        </is>
      </c>
      <c r="G65" s="18" t="inlineStr">
        <is>
          <t>miscellaneous</t>
        </is>
      </c>
      <c r="H65" s="19" t="n">
        <v>1927.49</v>
      </c>
    </row>
    <row r="66">
      <c r="A66" s="16" t="n">
        <v>20</v>
      </c>
      <c r="B66" s="29" t="n">
        <v>92</v>
      </c>
      <c r="C66" s="28" t="n">
        <v>33.69</v>
      </c>
      <c r="D66" s="28" t="n">
        <v>190</v>
      </c>
      <c r="E66" s="17" t="inlineStr">
        <is>
          <t>MACPOWER</t>
        </is>
      </c>
      <c r="F66" s="18" t="inlineStr">
        <is>
          <t>Macpower CNC Machines Ltd</t>
        </is>
      </c>
      <c r="G66" s="18" t="inlineStr">
        <is>
          <t>industrials</t>
        </is>
      </c>
      <c r="H66" s="19" t="n">
        <v>1875.58</v>
      </c>
    </row>
    <row r="67">
      <c r="A67" s="16" t="n">
        <v>21</v>
      </c>
      <c r="B67" s="29" t="n">
        <v>92</v>
      </c>
      <c r="C67" s="28" t="n">
        <v>32.77</v>
      </c>
      <c r="D67" s="28" t="n">
        <v>203</v>
      </c>
      <c r="E67" s="17" t="inlineStr">
        <is>
          <t>MARINE</t>
        </is>
      </c>
      <c r="F67" s="18" t="inlineStr">
        <is>
          <t>Marine Electricals (India) Ltd</t>
        </is>
      </c>
      <c r="G67" s="18" t="inlineStr">
        <is>
          <t>industrials</t>
        </is>
      </c>
      <c r="H67" s="19" t="n">
        <v>5257.01</v>
      </c>
    </row>
    <row r="68">
      <c r="A68" s="16" t="n">
        <v>22</v>
      </c>
      <c r="B68" s="29" t="n">
        <v>92</v>
      </c>
      <c r="C68" s="28" t="n">
        <v>31.89</v>
      </c>
      <c r="D68" s="28" t="n">
        <v>205</v>
      </c>
      <c r="E68" s="17" t="inlineStr">
        <is>
          <t>AVALON</t>
        </is>
      </c>
      <c r="F68" s="18" t="inlineStr">
        <is>
          <t>Avalon Technologies Ltd</t>
        </is>
      </c>
      <c r="G68" s="18" t="inlineStr">
        <is>
          <t>consumer discretionary</t>
        </is>
      </c>
      <c r="H68" s="19" t="n">
        <v>14590.35</v>
      </c>
    </row>
    <row r="69">
      <c r="A69" s="16" t="n">
        <v>23</v>
      </c>
      <c r="B69" s="29" t="n">
        <v>91</v>
      </c>
      <c r="C69" s="28" t="n">
        <v>31.69</v>
      </c>
      <c r="D69" s="28" t="n">
        <v>202</v>
      </c>
      <c r="E69" s="17" t="inlineStr">
        <is>
          <t>SHILPAMED</t>
        </is>
      </c>
      <c r="F69" s="18" t="inlineStr">
        <is>
          <t>Shilpa Medicare Limited</t>
        </is>
      </c>
      <c r="G69" s="18" t="inlineStr">
        <is>
          <t>healthcare</t>
        </is>
      </c>
      <c r="H69" s="19" t="n">
        <v>15938.94</v>
      </c>
    </row>
    <row r="70">
      <c r="A70" s="16" t="n">
        <v>24</v>
      </c>
      <c r="B70" s="29" t="n">
        <v>91</v>
      </c>
      <c r="C70" s="28" t="n">
        <v>31.53</v>
      </c>
      <c r="D70" s="28" t="n">
        <v>218</v>
      </c>
      <c r="E70" s="17" t="inlineStr">
        <is>
          <t>KANORICHEM</t>
        </is>
      </c>
      <c r="F70" s="18" t="inlineStr">
        <is>
          <t>Kanoria Chemicals &amp; Industries Limited</t>
        </is>
      </c>
      <c r="G70" s="18" t="inlineStr">
        <is>
          <t>chemicals</t>
        </is>
      </c>
      <c r="H70" s="19" t="n">
        <v>672.4</v>
      </c>
    </row>
    <row r="71">
      <c r="A71" s="16" t="n">
        <v>25</v>
      </c>
      <c r="B71" s="29" t="n">
        <v>91</v>
      </c>
      <c r="C71" s="28" t="n">
        <v>31.29</v>
      </c>
      <c r="D71" s="28" t="n">
        <v>0</v>
      </c>
      <c r="E71" s="17" t="inlineStr">
        <is>
          <t>TIMEX</t>
        </is>
      </c>
      <c r="F71" s="18" t="inlineStr">
        <is>
          <t>Timex Group India Limited</t>
        </is>
      </c>
      <c r="G71" s="18" t="inlineStr">
        <is>
          <t>Consumer Cyclical</t>
        </is>
      </c>
      <c r="H71" s="19" t="n">
        <v>6041.86</v>
      </c>
    </row>
    <row r="72">
      <c r="A72" s="16" t="n">
        <v>26</v>
      </c>
      <c r="B72" s="29" t="n">
        <v>90</v>
      </c>
      <c r="C72" s="28" t="n">
        <v>30.81</v>
      </c>
      <c r="D72" s="28" t="n">
        <v>208</v>
      </c>
      <c r="E72" s="17" t="inlineStr">
        <is>
          <t>RUBYMILLS</t>
        </is>
      </c>
      <c r="F72" s="18" t="inlineStr">
        <is>
          <t>The Ruby Mills Limited</t>
        </is>
      </c>
      <c r="G72" s="18" t="inlineStr">
        <is>
          <t>textiles</t>
        </is>
      </c>
      <c r="H72" s="19" t="n">
        <v>1344.62</v>
      </c>
    </row>
    <row r="73">
      <c r="A73" s="16" t="n">
        <v>27</v>
      </c>
      <c r="B73" s="29" t="n">
        <v>90</v>
      </c>
      <c r="C73" s="28" t="n">
        <v>30.56</v>
      </c>
      <c r="D73" s="28" t="n">
        <v>203</v>
      </c>
      <c r="E73" s="17" t="inlineStr">
        <is>
          <t>PANACHE</t>
        </is>
      </c>
      <c r="F73" s="18" t="inlineStr">
        <is>
          <t>Panache Digilife Ltd</t>
        </is>
      </c>
      <c r="G73" s="18" t="inlineStr">
        <is>
          <t>i.t</t>
        </is>
      </c>
      <c r="H73" s="19" t="n">
        <v>853.79</v>
      </c>
    </row>
    <row r="74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SHANTIGEAR</t>
        </is>
      </c>
      <c r="B2" s="31" t="inlineStr">
        <is>
          <t>Shanthi Gears Limited</t>
        </is>
      </c>
      <c r="C2" s="31" t="inlineStr">
        <is>
          <t>industrials</t>
        </is>
      </c>
      <c r="D2" s="31" t="inlineStr">
        <is>
          <t>engineering</t>
        </is>
      </c>
      <c r="E2" s="31" t="inlineStr">
        <is>
          <t>smallcap</t>
        </is>
      </c>
      <c r="F2" s="31" t="n">
        <v>3561.53</v>
      </c>
      <c r="G2" s="31" t="n">
        <v>549</v>
      </c>
      <c r="H2" s="31" t="n">
        <v>18.26</v>
      </c>
      <c r="I2" s="31" t="n">
        <v>12216406</v>
      </c>
      <c r="J2" s="31" t="inlineStr">
        <is>
          <t>522034</t>
        </is>
      </c>
    </row>
    <row r="3">
      <c r="A3" s="31" t="inlineStr">
        <is>
          <t>NAHARINDUS</t>
        </is>
      </c>
      <c r="B3" s="31" t="inlineStr">
        <is>
          <t>Nahar Industrial Enterprises Limited</t>
        </is>
      </c>
      <c r="C3" s="31" t="inlineStr">
        <is>
          <t>textiles</t>
        </is>
      </c>
      <c r="D3" s="31" t="inlineStr">
        <is>
          <t>textiles - cotton/blended</t>
        </is>
      </c>
      <c r="E3" s="31" t="inlineStr">
        <is>
          <t>smallcap</t>
        </is>
      </c>
      <c r="F3" s="31" t="n">
        <v>542.71</v>
      </c>
      <c r="G3" s="31" t="n">
        <v>147.6</v>
      </c>
      <c r="H3" s="31" t="n">
        <v>17.51</v>
      </c>
      <c r="I3" s="31" t="n">
        <v>940785</v>
      </c>
      <c r="J3" s="31" t="inlineStr">
        <is>
          <t>519136</t>
        </is>
      </c>
    </row>
    <row r="4">
      <c r="A4" s="31" t="inlineStr">
        <is>
          <t>RATNAMANI</t>
        </is>
      </c>
      <c r="B4" s="31" t="inlineStr">
        <is>
          <t>Ratnamani Metals &amp; Tubes Limited</t>
        </is>
      </c>
      <c r="C4" s="31" t="inlineStr">
        <is>
          <t>industrials</t>
        </is>
      </c>
      <c r="D4" s="31" t="inlineStr">
        <is>
          <t>steel - medium / small</t>
        </is>
      </c>
      <c r="E4" s="31" t="inlineStr">
        <is>
          <t>midcap</t>
        </is>
      </c>
      <c r="F4" s="31" t="n">
        <v>16502.46</v>
      </c>
      <c r="G4" s="31" t="n">
        <v>2697</v>
      </c>
      <c r="H4" s="31" t="n">
        <v>14.55</v>
      </c>
      <c r="I4" s="31" t="n">
        <v>1237765</v>
      </c>
      <c r="J4" s="31" t="inlineStr">
        <is>
          <t>520111</t>
        </is>
      </c>
    </row>
    <row r="5">
      <c r="A5" s="31" t="inlineStr">
        <is>
          <t>BALUFORGE</t>
        </is>
      </c>
      <c r="B5" s="31" t="inlineStr">
        <is>
          <t>Balu Forge Industries Ltd</t>
        </is>
      </c>
      <c r="C5" s="31" t="inlineStr">
        <is>
          <t>industrials</t>
        </is>
      </c>
      <c r="D5" s="31" t="inlineStr">
        <is>
          <t>castings &amp; forgings</t>
        </is>
      </c>
      <c r="E5" s="31" t="inlineStr">
        <is>
          <t>midcap</t>
        </is>
      </c>
      <c r="F5" s="31" t="n">
        <v>6647.13</v>
      </c>
      <c r="G5" s="31" t="n">
        <v>632.2</v>
      </c>
      <c r="H5" s="31" t="n">
        <v>13.83</v>
      </c>
      <c r="I5" s="31" t="n">
        <v>17061706</v>
      </c>
      <c r="J5" s="31" t="inlineStr">
        <is>
          <t>531112</t>
        </is>
      </c>
    </row>
    <row r="6">
      <c r="A6" s="31" t="inlineStr">
        <is>
          <t>THEMISMED</t>
        </is>
      </c>
      <c r="B6" s="31" t="inlineStr">
        <is>
          <t>Themis Medicare Limited</t>
        </is>
      </c>
      <c r="C6" s="31" t="inlineStr">
        <is>
          <t>healthcare</t>
        </is>
      </c>
      <c r="D6" s="31" t="inlineStr">
        <is>
          <t>pharmaceuticals - indian - bulk drugs &amp; formln</t>
        </is>
      </c>
      <c r="E6" s="31" t="inlineStr">
        <is>
          <t>smallcap</t>
        </is>
      </c>
      <c r="F6" s="31" t="n">
        <v>977.55</v>
      </c>
      <c r="G6" s="31" t="n">
        <v>120.81</v>
      </c>
      <c r="H6" s="31" t="n">
        <v>13.82</v>
      </c>
      <c r="I6" s="31" t="n">
        <v>1461744</v>
      </c>
      <c r="J6" s="31" t="inlineStr">
        <is>
          <t>530199</t>
        </is>
      </c>
    </row>
    <row r="7">
      <c r="A7" s="31" t="inlineStr">
        <is>
          <t>MAXESTATES</t>
        </is>
      </c>
      <c r="B7" s="31" t="inlineStr">
        <is>
          <t>Max Estates Ltd</t>
        </is>
      </c>
      <c r="C7" s="31" t="inlineStr">
        <is>
          <t>realty</t>
        </is>
      </c>
      <c r="D7" s="31" t="inlineStr">
        <is>
          <t>construction</t>
        </is>
      </c>
      <c r="E7" s="31" t="inlineStr">
        <is>
          <t>midcap</t>
        </is>
      </c>
      <c r="F7" s="31" t="n">
        <v>8090.66</v>
      </c>
      <c r="G7" s="31" t="n">
        <v>549.15</v>
      </c>
      <c r="H7" s="31" t="n">
        <v>10.97</v>
      </c>
      <c r="I7" s="31" t="n">
        <v>2180752</v>
      </c>
      <c r="J7" s="31" t="inlineStr">
        <is>
          <t>544008</t>
        </is>
      </c>
    </row>
    <row r="8">
      <c r="A8" s="31" t="inlineStr">
        <is>
          <t>QUADFUTURE</t>
        </is>
      </c>
      <c r="B8" s="31" t="inlineStr">
        <is>
          <t>Quadrant Future Tek Ltd</t>
        </is>
      </c>
      <c r="C8" s="31" t="inlineStr">
        <is>
          <t>industrials</t>
        </is>
      </c>
      <c r="D8" s="31" t="inlineStr">
        <is>
          <t>cables - power</t>
        </is>
      </c>
      <c r="E8" s="31" t="inlineStr">
        <is>
          <t>smallcap</t>
        </is>
      </c>
      <c r="F8" s="31" t="n">
        <v>1621.4</v>
      </c>
      <c r="G8" s="31" t="n">
        <v>447.3</v>
      </c>
      <c r="H8" s="31" t="n">
        <v>10.35</v>
      </c>
      <c r="I8" s="31" t="n">
        <v>25987917</v>
      </c>
      <c r="J8" s="31" t="inlineStr">
        <is>
          <t>544336</t>
        </is>
      </c>
    </row>
    <row r="9">
      <c r="A9" s="31" t="inlineStr">
        <is>
          <t>ALLCARGO</t>
        </is>
      </c>
      <c r="B9" s="31" t="inlineStr">
        <is>
          <t>Allcargo Logistics Limited</t>
        </is>
      </c>
      <c r="C9" s="31" t="inlineStr">
        <is>
          <t>transportation</t>
        </is>
      </c>
      <c r="D9" s="31" t="inlineStr">
        <is>
          <t>miscellaneous</t>
        </is>
      </c>
      <c r="E9" s="31" t="inlineStr">
        <is>
          <t>smallcap</t>
        </is>
      </c>
      <c r="F9" s="31" t="n">
        <v>1822.8</v>
      </c>
      <c r="G9" s="31" t="n">
        <v>13.33</v>
      </c>
      <c r="H9" s="31" t="n">
        <v>9.529999999999999</v>
      </c>
      <c r="I9" s="31" t="n">
        <v>137257888</v>
      </c>
      <c r="J9" s="31" t="inlineStr">
        <is>
          <t>532749</t>
        </is>
      </c>
    </row>
    <row r="10">
      <c r="A10" s="31" t="inlineStr">
        <is>
          <t>TVSSCS</t>
        </is>
      </c>
      <c r="B10" s="31" t="inlineStr">
        <is>
          <t>TVS Supply Chain Solutions Ltd</t>
        </is>
      </c>
      <c r="C10" s="31" t="inlineStr">
        <is>
          <t>transportation</t>
        </is>
      </c>
      <c r="D10" s="31" t="inlineStr">
        <is>
          <t>miscellaneous</t>
        </is>
      </c>
      <c r="E10" s="31" t="inlineStr">
        <is>
          <t>midcap</t>
        </is>
      </c>
      <c r="F10" s="31" t="n">
        <v>5357.69</v>
      </c>
      <c r="G10" s="31" t="n">
        <v>132.99</v>
      </c>
      <c r="H10" s="31" t="n">
        <v>9.51</v>
      </c>
      <c r="I10" s="31" t="n">
        <v>43355786</v>
      </c>
      <c r="J10" s="31" t="inlineStr">
        <is>
          <t>543965</t>
        </is>
      </c>
    </row>
    <row r="11">
      <c r="A11" s="31" t="inlineStr">
        <is>
          <t>CLSEL</t>
        </is>
      </c>
      <c r="B11" s="31" t="inlineStr">
        <is>
          <t>Chamanlal Setia Exports Ltd</t>
        </is>
      </c>
      <c r="C11" s="31" t="inlineStr">
        <is>
          <t>fmcg</t>
        </is>
      </c>
      <c r="D11" s="31" t="inlineStr">
        <is>
          <t>food - processing - indian</t>
        </is>
      </c>
      <c r="E11" s="31" t="inlineStr">
        <is>
          <t>smallcap</t>
        </is>
      </c>
      <c r="F11" s="31" t="n">
        <v>1433.84</v>
      </c>
      <c r="G11" s="31" t="n">
        <v>312.75</v>
      </c>
      <c r="H11" s="31" t="n">
        <v>8.460000000000001</v>
      </c>
      <c r="I11" s="31" t="n">
        <v>3204653</v>
      </c>
      <c r="J11" s="31" t="inlineStr">
        <is>
          <t>530307</t>
        </is>
      </c>
    </row>
    <row r="12">
      <c r="A12" s="31" t="inlineStr">
        <is>
          <t>OPTIEMUS</t>
        </is>
      </c>
      <c r="B12" s="31" t="inlineStr">
        <is>
          <t>Optiemus Infracom Ltd</t>
        </is>
      </c>
      <c r="C12" s="31" t="inlineStr">
        <is>
          <t>telecom</t>
        </is>
      </c>
      <c r="D12" s="31" t="inlineStr">
        <is>
          <t>trading</t>
        </is>
      </c>
      <c r="E12" s="31" t="inlineStr">
        <is>
          <t>smallcap</t>
        </is>
      </c>
      <c r="F12" s="31" t="n">
        <v>4870.79</v>
      </c>
      <c r="G12" s="31" t="n">
        <v>585.7</v>
      </c>
      <c r="H12" s="31" t="n">
        <v>8.42</v>
      </c>
      <c r="I12" s="31" t="n">
        <v>2451071</v>
      </c>
      <c r="J12" s="31" t="inlineStr">
        <is>
          <t>530135</t>
        </is>
      </c>
    </row>
    <row r="13">
      <c r="A13" s="31" t="inlineStr">
        <is>
          <t>GUJTHEM</t>
        </is>
      </c>
      <c r="B13" s="31" t="inlineStr">
        <is>
          <t>Gujarat Themis Biosyn Ltd</t>
        </is>
      </c>
      <c r="C13" s="31" t="inlineStr">
        <is>
          <t>healthcare</t>
        </is>
      </c>
      <c r="D13" s="31" t="inlineStr">
        <is>
          <t>pharmaceuticals - indian - bulk drugs</t>
        </is>
      </c>
      <c r="E13" s="31" t="inlineStr">
        <is>
          <t>smallcap</t>
        </is>
      </c>
      <c r="F13" s="31" t="n">
        <v>4153.76</v>
      </c>
      <c r="G13" s="31" t="n">
        <v>411.7</v>
      </c>
      <c r="H13" s="31" t="n">
        <v>8</v>
      </c>
      <c r="I13" s="31" t="n">
        <v>1337706</v>
      </c>
      <c r="J13" s="31" t="inlineStr">
        <is>
          <t>506879</t>
        </is>
      </c>
    </row>
    <row r="14">
      <c r="A14" s="31" t="inlineStr">
        <is>
          <t>KABRAEXTRU</t>
        </is>
      </c>
      <c r="B14" s="31" t="inlineStr">
        <is>
          <t>Kabra Extrusion Technik Limited</t>
        </is>
      </c>
      <c r="C14" s="31" t="inlineStr">
        <is>
          <t>industrials</t>
        </is>
      </c>
      <c r="D14" s="31" t="inlineStr">
        <is>
          <t>engineering</t>
        </is>
      </c>
      <c r="E14" s="31" t="inlineStr">
        <is>
          <t>smallcap</t>
        </is>
      </c>
      <c r="F14" s="31" t="n">
        <v>1980.16</v>
      </c>
      <c r="G14" s="31" t="n">
        <v>611.1</v>
      </c>
      <c r="H14" s="31" t="n">
        <v>7.93</v>
      </c>
      <c r="I14" s="31" t="n">
        <v>1260590</v>
      </c>
      <c r="J14" s="31" t="inlineStr">
        <is>
          <t>524109</t>
        </is>
      </c>
    </row>
    <row r="15">
      <c r="A15" s="31" t="inlineStr">
        <is>
          <t>KRBL</t>
        </is>
      </c>
      <c r="B15" s="31" t="inlineStr">
        <is>
          <t>Krbl Limited</t>
        </is>
      </c>
      <c r="C15" s="31" t="inlineStr">
        <is>
          <t>fmcg</t>
        </is>
      </c>
      <c r="D15" s="31" t="inlineStr">
        <is>
          <t>food - processing - indian</t>
        </is>
      </c>
      <c r="E15" s="31" t="inlineStr">
        <is>
          <t>midcap</t>
        </is>
      </c>
      <c r="F15" s="31" t="n">
        <v>9314.67</v>
      </c>
      <c r="G15" s="31" t="n">
        <v>437.8</v>
      </c>
      <c r="H15" s="31" t="n">
        <v>7.58</v>
      </c>
      <c r="I15" s="31" t="n">
        <v>6572732</v>
      </c>
      <c r="J15" s="31" t="inlineStr">
        <is>
          <t>530813</t>
        </is>
      </c>
    </row>
    <row r="16">
      <c r="A16" s="31" t="inlineStr">
        <is>
          <t>ENTERO</t>
        </is>
      </c>
      <c r="B16" s="31" t="inlineStr">
        <is>
          <t>Entero Healthcare Solutions Ltd</t>
        </is>
      </c>
      <c r="C16" s="31" t="inlineStr">
        <is>
          <t>healthcare</t>
        </is>
      </c>
      <c r="D16" s="31" t="inlineStr">
        <is>
          <t>trading</t>
        </is>
      </c>
      <c r="E16" s="31" t="inlineStr">
        <is>
          <t>midcap</t>
        </is>
      </c>
      <c r="F16" s="31" t="n">
        <v>6195.94</v>
      </c>
      <c r="G16" s="31" t="n">
        <v>1529.8</v>
      </c>
      <c r="H16" s="31" t="n">
        <v>7.46</v>
      </c>
      <c r="I16" s="31" t="n">
        <v>1343377</v>
      </c>
      <c r="J16" s="31" t="inlineStr">
        <is>
          <t>544122</t>
        </is>
      </c>
    </row>
    <row r="17">
      <c r="A17" s="31" t="inlineStr">
        <is>
          <t>LTFOODS</t>
        </is>
      </c>
      <c r="B17" s="31" t="inlineStr">
        <is>
          <t>L T Foods Ltd</t>
        </is>
      </c>
      <c r="C17" s="31" t="inlineStr">
        <is>
          <t>fmcg</t>
        </is>
      </c>
      <c r="D17" s="31" t="inlineStr">
        <is>
          <t>food - processing - indian</t>
        </is>
      </c>
      <c r="E17" s="31" t="inlineStr">
        <is>
          <t>midcap</t>
        </is>
      </c>
      <c r="F17" s="31" t="n">
        <v>14848.54</v>
      </c>
      <c r="G17" s="31" t="n">
        <v>459</v>
      </c>
      <c r="H17" s="31" t="n">
        <v>7.34</v>
      </c>
      <c r="I17" s="31" t="n">
        <v>45196387</v>
      </c>
      <c r="J17" s="31" t="inlineStr">
        <is>
          <t>532783</t>
        </is>
      </c>
    </row>
    <row r="18">
      <c r="A18" s="31" t="inlineStr">
        <is>
          <t>LANDMARK</t>
        </is>
      </c>
      <c r="B18" s="31" t="inlineStr">
        <is>
          <t>Landmark Cars Ltd</t>
        </is>
      </c>
      <c r="C18" s="31" t="inlineStr">
        <is>
          <t>consumer discretionary</t>
        </is>
      </c>
      <c r="D18" s="31" t="inlineStr">
        <is>
          <t>trading</t>
        </is>
      </c>
      <c r="E18" s="31" t="inlineStr">
        <is>
          <t>smallcap</t>
        </is>
      </c>
      <c r="F18" s="31" t="n">
        <v>2093.77</v>
      </c>
      <c r="G18" s="31" t="n">
        <v>541.75</v>
      </c>
      <c r="H18" s="31" t="n">
        <v>7.29</v>
      </c>
      <c r="I18" s="31" t="n">
        <v>403038</v>
      </c>
      <c r="J18" s="31" t="inlineStr">
        <is>
          <t>543714</t>
        </is>
      </c>
    </row>
    <row r="19">
      <c r="A19" s="31" t="inlineStr">
        <is>
          <t>PVP</t>
        </is>
      </c>
      <c r="B19" s="31" t="inlineStr">
        <is>
          <t>Pvp Ventures Limited</t>
        </is>
      </c>
      <c r="C19" s="31" t="inlineStr">
        <is>
          <t>realty</t>
        </is>
      </c>
      <c r="D19" s="31" t="inlineStr">
        <is>
          <t>construction</t>
        </is>
      </c>
      <c r="E19" s="31" t="inlineStr">
        <is>
          <t>smallcap</t>
        </is>
      </c>
      <c r="F19" s="31" t="n">
        <v>1180.93</v>
      </c>
      <c r="G19" s="31" t="n">
        <v>48.59</v>
      </c>
      <c r="H19" s="31" t="n">
        <v>7.14</v>
      </c>
      <c r="I19" s="31" t="n">
        <v>5411350</v>
      </c>
      <c r="J19" s="31" t="inlineStr">
        <is>
          <t>517556</t>
        </is>
      </c>
    </row>
    <row r="20">
      <c r="A20" s="31" t="inlineStr">
        <is>
          <t>BALAMINES</t>
        </is>
      </c>
      <c r="B20" s="31" t="inlineStr">
        <is>
          <t>Balaji Amines Limited</t>
        </is>
      </c>
      <c r="C20" s="31" t="inlineStr">
        <is>
          <t>chemicals</t>
        </is>
      </c>
      <c r="D20" s="31" t="inlineStr">
        <is>
          <t>chemicals</t>
        </is>
      </c>
      <c r="E20" s="31" t="inlineStr">
        <is>
          <t>midcap</t>
        </is>
      </c>
      <c r="F20" s="31" t="n">
        <v>6733.58</v>
      </c>
      <c r="G20" s="31" t="n">
        <v>2224.5</v>
      </c>
      <c r="H20" s="31" t="n">
        <v>7.04</v>
      </c>
      <c r="I20" s="31" t="n">
        <v>690175</v>
      </c>
      <c r="J20" s="31" t="inlineStr">
        <is>
          <t>530999</t>
        </is>
      </c>
    </row>
    <row r="21">
      <c r="A21" s="31" t="inlineStr">
        <is>
          <t>KCP</t>
        </is>
      </c>
      <c r="B21" s="31" t="inlineStr">
        <is>
          <t>Kcp Limited</t>
        </is>
      </c>
      <c r="C21" s="31" t="inlineStr">
        <is>
          <t>building materials</t>
        </is>
      </c>
      <c r="D21" s="31" t="inlineStr">
        <is>
          <t>cement - south india</t>
        </is>
      </c>
      <c r="E21" s="31" t="inlineStr">
        <is>
          <t>smallcap</t>
        </is>
      </c>
      <c r="F21" s="31" t="n">
        <v>2112.12</v>
      </c>
      <c r="G21" s="31" t="n">
        <v>175.35</v>
      </c>
      <c r="H21" s="31" t="n">
        <v>7.03</v>
      </c>
      <c r="I21" s="31" t="n">
        <v>1718818</v>
      </c>
      <c r="J21" s="31" t="inlineStr">
        <is>
          <t>590066</t>
        </is>
      </c>
    </row>
    <row r="22">
      <c r="A22" s="31" t="inlineStr">
        <is>
          <t>SYNCOMF</t>
        </is>
      </c>
      <c r="B22" s="31" t="inlineStr">
        <is>
          <t>Syncom Formulations (India) Ltd</t>
        </is>
      </c>
      <c r="C22" s="31" t="inlineStr">
        <is>
          <t>healthcare</t>
        </is>
      </c>
      <c r="D22" s="31" t="inlineStr">
        <is>
          <t>pharmaceuticals - indian - bulk drugs &amp; formln</t>
        </is>
      </c>
      <c r="E22" s="31" t="inlineStr">
        <is>
          <t>smallcap</t>
        </is>
      </c>
      <c r="F22" s="31" t="n">
        <v>1517.16</v>
      </c>
      <c r="G22" s="31" t="n">
        <v>17.18</v>
      </c>
      <c r="H22" s="31" t="n">
        <v>6.44</v>
      </c>
      <c r="I22" s="31" t="n">
        <v>19557309</v>
      </c>
      <c r="J22" s="31" t="inlineStr">
        <is>
          <t>524470</t>
        </is>
      </c>
    </row>
    <row r="23">
      <c r="A23" s="31" t="inlineStr">
        <is>
          <t>SHREEPUSHK</t>
        </is>
      </c>
      <c r="B23" s="31" t="inlineStr">
        <is>
          <t>Shree Pushkar Chemicals &amp; Fertilisers Limited</t>
        </is>
      </c>
      <c r="C23" s="31" t="inlineStr">
        <is>
          <t>chemicals</t>
        </is>
      </c>
      <c r="D23" s="31" t="inlineStr">
        <is>
          <t>dyes and pigments</t>
        </is>
      </c>
      <c r="E23" s="31" t="inlineStr">
        <is>
          <t>smallcap</t>
        </is>
      </c>
      <c r="F23" s="31" t="n">
        <v>1297.23</v>
      </c>
      <c r="G23" s="31" t="n">
        <v>426.9</v>
      </c>
      <c r="H23" s="31" t="n">
        <v>6.42</v>
      </c>
      <c r="I23" s="31" t="n">
        <v>306964</v>
      </c>
      <c r="J23" s="31" t="inlineStr">
        <is>
          <t>539334</t>
        </is>
      </c>
    </row>
    <row r="24">
      <c r="A24" s="31" t="inlineStr">
        <is>
          <t>VIDHIING</t>
        </is>
      </c>
      <c r="B24" s="31" t="inlineStr">
        <is>
          <t>Vidhi Specialty Food Ingredients</t>
        </is>
      </c>
      <c r="C24" s="31" t="inlineStr">
        <is>
          <t>chemicals</t>
        </is>
      </c>
      <c r="D24" s="31" t="inlineStr">
        <is>
          <t>dyes and pigments</t>
        </is>
      </c>
      <c r="E24" s="31" t="inlineStr">
        <is>
          <t>smallcap</t>
        </is>
      </c>
      <c r="F24" s="31" t="n">
        <v>1640.94</v>
      </c>
      <c r="G24" s="31" t="n">
        <v>349</v>
      </c>
      <c r="H24" s="31" t="n">
        <v>6.22</v>
      </c>
      <c r="I24" s="31" t="n">
        <v>152800</v>
      </c>
      <c r="J24" s="31" t="inlineStr">
        <is>
          <t>531717</t>
        </is>
      </c>
    </row>
    <row r="25">
      <c r="A25" s="31" t="inlineStr">
        <is>
          <t>SOMANYCERA</t>
        </is>
      </c>
      <c r="B25" s="31" t="inlineStr">
        <is>
          <t>Somany Ceramics Limited</t>
        </is>
      </c>
      <c r="C25" s="31" t="inlineStr">
        <is>
          <t>building materials</t>
        </is>
      </c>
      <c r="D25" s="31" t="inlineStr">
        <is>
          <t>ceramics - tiles / sanitaryware</t>
        </is>
      </c>
      <c r="E25" s="31" t="inlineStr">
        <is>
          <t>smallcap</t>
        </is>
      </c>
      <c r="F25" s="31" t="n">
        <v>2133.28</v>
      </c>
      <c r="G25" s="31" t="n">
        <v>552.1</v>
      </c>
      <c r="H25" s="31" t="n">
        <v>6.14</v>
      </c>
      <c r="I25" s="31" t="n">
        <v>642372</v>
      </c>
      <c r="J25" s="31" t="inlineStr">
        <is>
          <t>531548</t>
        </is>
      </c>
    </row>
    <row r="26">
      <c r="A26" s="31" t="inlineStr">
        <is>
          <t>YATHARTH</t>
        </is>
      </c>
      <c r="B26" s="31" t="inlineStr">
        <is>
          <t>Yatharth Hospital &amp; Trauma Care Services Ltd</t>
        </is>
      </c>
      <c r="C26" s="31" t="inlineStr">
        <is>
          <t>healthcare</t>
        </is>
      </c>
      <c r="D26" s="31" t="inlineStr">
        <is>
          <t>healthcare</t>
        </is>
      </c>
      <c r="E26" s="31" t="inlineStr">
        <is>
          <t>midcap</t>
        </is>
      </c>
      <c r="F26" s="31" t="n">
        <v>8239.74</v>
      </c>
      <c r="G26" s="31" t="n">
        <v>907.55</v>
      </c>
      <c r="H26" s="31" t="n">
        <v>6.13</v>
      </c>
      <c r="I26" s="31" t="n">
        <v>1470710</v>
      </c>
      <c r="J26" s="31" t="inlineStr">
        <is>
          <t>543950</t>
        </is>
      </c>
    </row>
    <row r="27">
      <c r="A27" s="31" t="inlineStr">
        <is>
          <t>HATSUN</t>
        </is>
      </c>
      <c r="B27" s="31" t="inlineStr">
        <is>
          <t>Hatsun Agro Product Limited</t>
        </is>
      </c>
      <c r="C27" s="31" t="inlineStr">
        <is>
          <t>fmcg</t>
        </is>
      </c>
      <c r="D27" s="31" t="inlineStr">
        <is>
          <t>food - processing - indian</t>
        </is>
      </c>
      <c r="E27" s="31" t="inlineStr">
        <is>
          <t>largecap</t>
        </is>
      </c>
      <c r="F27" s="31" t="n">
        <v>21934.02</v>
      </c>
      <c r="G27" s="31" t="n">
        <v>1044.5</v>
      </c>
      <c r="H27" s="31" t="n">
        <v>6.07</v>
      </c>
      <c r="I27" s="31" t="n">
        <v>294862</v>
      </c>
      <c r="J27" s="31" t="inlineStr">
        <is>
          <t>531531</t>
        </is>
      </c>
    </row>
    <row r="28">
      <c r="A28" s="31" t="inlineStr">
        <is>
          <t>STOVEKRAFT</t>
        </is>
      </c>
      <c r="B28" s="31" t="inlineStr">
        <is>
          <t>Stove Kraft Ltd</t>
        </is>
      </c>
      <c r="C28" s="31" t="inlineStr">
        <is>
          <t>consumer discretionary</t>
        </is>
      </c>
      <c r="D28" s="31" t="inlineStr">
        <is>
          <t>domestic appliances</t>
        </is>
      </c>
      <c r="E28" s="31" t="inlineStr">
        <is>
          <t>smallcap</t>
        </is>
      </c>
      <c r="F28" s="31" t="n">
        <v>2567.31</v>
      </c>
      <c r="G28" s="31" t="n">
        <v>821.25</v>
      </c>
      <c r="H28" s="31" t="n">
        <v>5.91</v>
      </c>
      <c r="I28" s="31" t="n">
        <v>459015</v>
      </c>
      <c r="J28" s="31" t="inlineStr">
        <is>
          <t>543260</t>
        </is>
      </c>
    </row>
    <row r="29">
      <c r="A29" s="31" t="inlineStr">
        <is>
          <t>NIITLTD</t>
        </is>
      </c>
      <c r="B29" s="31" t="inlineStr">
        <is>
          <t>Niit Limited</t>
        </is>
      </c>
      <c r="C29" s="31" t="inlineStr">
        <is>
          <t>i.t</t>
        </is>
      </c>
      <c r="D29" s="31" t="inlineStr">
        <is>
          <t>computers - education</t>
        </is>
      </c>
      <c r="E29" s="31" t="inlineStr">
        <is>
          <t>smallcap</t>
        </is>
      </c>
      <c r="F29" s="31" t="n">
        <v>1279.35</v>
      </c>
      <c r="G29" s="31" t="n">
        <v>99.09999999999999</v>
      </c>
      <c r="H29" s="31" t="n">
        <v>5.85</v>
      </c>
      <c r="I29" s="31" t="n">
        <v>1636235</v>
      </c>
      <c r="J29" s="31" t="inlineStr">
        <is>
          <t>500304</t>
        </is>
      </c>
    </row>
    <row r="30">
      <c r="A30" s="31" t="inlineStr">
        <is>
          <t>GUJALKALI</t>
        </is>
      </c>
      <c r="B30" s="31" t="inlineStr">
        <is>
          <t>Gujarat Alkalies And Chemicals Limited</t>
        </is>
      </c>
      <c r="C30" s="31" t="inlineStr">
        <is>
          <t>chemicals</t>
        </is>
      </c>
      <c r="D30" s="31" t="inlineStr">
        <is>
          <t>chemicals</t>
        </is>
      </c>
      <c r="E30" s="31" t="inlineStr">
        <is>
          <t>midcap</t>
        </is>
      </c>
      <c r="F30" s="31" t="n">
        <v>5024.92</v>
      </c>
      <c r="G30" s="31" t="n">
        <v>723</v>
      </c>
      <c r="H30" s="31" t="n">
        <v>5.66</v>
      </c>
      <c r="I30" s="31" t="n">
        <v>1413898</v>
      </c>
      <c r="J30" s="31" t="inlineStr">
        <is>
          <t>530001</t>
        </is>
      </c>
    </row>
    <row r="31">
      <c r="A31" s="31" t="inlineStr">
        <is>
          <t>ORIENTBELL</t>
        </is>
      </c>
      <c r="B31" s="31" t="inlineStr">
        <is>
          <t>Orient Bell Limited</t>
        </is>
      </c>
      <c r="C31" s="31" t="inlineStr">
        <is>
          <t>building materials</t>
        </is>
      </c>
      <c r="D31" s="31" t="inlineStr">
        <is>
          <t>ceramics - tiles / sanitaryware</t>
        </is>
      </c>
      <c r="E31" s="31" t="inlineStr">
        <is>
          <t>smallcap</t>
        </is>
      </c>
      <c r="F31" s="31" t="n">
        <v>528.77</v>
      </c>
      <c r="G31" s="31" t="n">
        <v>379.7</v>
      </c>
      <c r="H31" s="31" t="n">
        <v>5.63</v>
      </c>
      <c r="I31" s="31" t="n">
        <v>147868</v>
      </c>
      <c r="J31" s="31" t="inlineStr">
        <is>
          <t>530365</t>
        </is>
      </c>
    </row>
    <row r="32">
      <c r="A32" s="31" t="inlineStr">
        <is>
          <t>IGPL</t>
        </is>
      </c>
      <c r="B32" s="31" t="inlineStr">
        <is>
          <t>Ig Petrochemicals Limited</t>
        </is>
      </c>
      <c r="C32" s="31" t="inlineStr">
        <is>
          <t>chemicals</t>
        </is>
      </c>
      <c r="D32" s="31" t="inlineStr">
        <is>
          <t>chemicals</t>
        </is>
      </c>
      <c r="E32" s="31" t="inlineStr">
        <is>
          <t>smallcap</t>
        </is>
      </c>
      <c r="F32" s="31" t="n">
        <v>1463.37</v>
      </c>
      <c r="G32" s="31" t="n">
        <v>501.05</v>
      </c>
      <c r="H32" s="31" t="n">
        <v>5.44</v>
      </c>
      <c r="I32" s="31" t="n">
        <v>531303</v>
      </c>
      <c r="J32" s="31" t="inlineStr">
        <is>
          <t>500199</t>
        </is>
      </c>
    </row>
    <row r="33">
      <c r="A33" s="31" t="inlineStr">
        <is>
          <t>RML</t>
        </is>
      </c>
      <c r="B33" s="31" t="inlineStr">
        <is>
          <t>Rane (madras) Limited</t>
        </is>
      </c>
      <c r="C33" s="31" t="inlineStr">
        <is>
          <t>auto</t>
        </is>
      </c>
      <c r="D33" s="31" t="inlineStr">
        <is>
          <t>auto ancillaries</t>
        </is>
      </c>
      <c r="E33" s="31" t="inlineStr">
        <is>
          <t>smallcap</t>
        </is>
      </c>
      <c r="F33" s="31" t="n">
        <v>3042.85</v>
      </c>
      <c r="G33" s="31" t="n">
        <v>1160.8</v>
      </c>
      <c r="H33" s="31" t="n">
        <v>5.43</v>
      </c>
      <c r="I33" s="31" t="n">
        <v>155346</v>
      </c>
      <c r="J33" s="31" t="inlineStr">
        <is>
          <t>532661</t>
        </is>
      </c>
    </row>
    <row r="34">
      <c r="A34" s="31" t="inlineStr">
        <is>
          <t>KANPRPLA</t>
        </is>
      </c>
      <c r="B34" s="31" t="inlineStr">
        <is>
          <t>Kanpur Plastipack Ltd</t>
        </is>
      </c>
      <c r="C34" s="31" t="inlineStr">
        <is>
          <t>industrials</t>
        </is>
      </c>
      <c r="D34" s="31" t="inlineStr">
        <is>
          <t>packaging</t>
        </is>
      </c>
      <c r="E34" s="31" t="inlineStr">
        <is>
          <t>smallcap</t>
        </is>
      </c>
      <c r="F34" s="31" t="n">
        <v>638.6799999999999</v>
      </c>
      <c r="G34" s="31" t="n">
        <v>275.05</v>
      </c>
      <c r="H34" s="31" t="n">
        <v>5.42</v>
      </c>
      <c r="I34" s="31" t="n">
        <v>98184</v>
      </c>
      <c r="J34" s="31" t="inlineStr">
        <is>
          <t>507779</t>
        </is>
      </c>
    </row>
    <row r="35">
      <c r="A35" s="31" t="inlineStr">
        <is>
          <t>SMARTWORKS</t>
        </is>
      </c>
      <c r="B35" s="31" t="inlineStr">
        <is>
          <t>Smartworks Coworking Spaces Ltd</t>
        </is>
      </c>
      <c r="C35" s="31" t="inlineStr">
        <is>
          <t>co-working</t>
        </is>
      </c>
      <c r="D35" s="31" t="inlineStr">
        <is>
          <t>miscellaneous</t>
        </is>
      </c>
      <c r="E35" s="31" t="inlineStr">
        <is>
          <t>midcap</t>
        </is>
      </c>
      <c r="F35" s="31" t="n">
        <v>5978.76</v>
      </c>
      <c r="G35" s="31" t="n">
        <v>550.5</v>
      </c>
      <c r="H35" s="31" t="n">
        <v>5.21</v>
      </c>
      <c r="I35" s="31" t="n">
        <v>696042</v>
      </c>
      <c r="J35" s="31" t="inlineStr">
        <is>
          <t>544447</t>
        </is>
      </c>
    </row>
    <row r="36">
      <c r="A36" s="31" t="inlineStr">
        <is>
          <t>PTCIL</t>
        </is>
      </c>
      <c r="B36" s="31" t="inlineStr">
        <is>
          <t>PTC Industries Ltd</t>
        </is>
      </c>
      <c r="C36" s="31" t="inlineStr">
        <is>
          <t>industrials</t>
        </is>
      </c>
      <c r="D36" s="31" t="inlineStr">
        <is>
          <t>castings &amp; forgings</t>
        </is>
      </c>
      <c r="E36" s="31" t="inlineStr">
        <is>
          <t>largecap</t>
        </is>
      </c>
      <c r="F36" s="31" t="n">
        <v>30928.13</v>
      </c>
      <c r="G36" s="31" t="n">
        <v>21672</v>
      </c>
      <c r="H36" s="31" t="n">
        <v>5.06</v>
      </c>
      <c r="I36" s="31" t="n">
        <v>92265</v>
      </c>
      <c r="J36" s="31" t="inlineStr">
        <is>
          <t>539006</t>
        </is>
      </c>
    </row>
    <row r="37">
      <c r="A37" s="31" t="inlineStr">
        <is>
          <t>SHILPAMED</t>
        </is>
      </c>
      <c r="B37" s="31" t="inlineStr">
        <is>
          <t>Shilpa Medicare Limited</t>
        </is>
      </c>
      <c r="C37" s="31" t="inlineStr">
        <is>
          <t>healthcare</t>
        </is>
      </c>
      <c r="D37" s="31" t="inlineStr">
        <is>
          <t>pharmaceuticals - indian - formulations</t>
        </is>
      </c>
      <c r="E37" s="31" t="inlineStr">
        <is>
          <t>midcap</t>
        </is>
      </c>
      <c r="F37" s="31" t="n">
        <v>15938.94</v>
      </c>
      <c r="G37" s="31" t="n">
        <v>855.8</v>
      </c>
      <c r="H37" s="31" t="n">
        <v>5.01</v>
      </c>
      <c r="I37" s="31" t="n">
        <v>3176968</v>
      </c>
      <c r="J37" s="31" t="inlineStr">
        <is>
          <t>530549</t>
        </is>
      </c>
    </row>
    <row r="38">
      <c r="A38" s="31" t="inlineStr">
        <is>
          <t>BHAGERIA</t>
        </is>
      </c>
      <c r="B38" s="31" t="inlineStr">
        <is>
          <t>Bhageria Industries Limited</t>
        </is>
      </c>
      <c r="C38" s="31" t="inlineStr">
        <is>
          <t>chemicals</t>
        </is>
      </c>
      <c r="D38" s="31" t="inlineStr">
        <is>
          <t>dyes and pigments</t>
        </is>
      </c>
      <c r="E38" s="31" t="inlineStr">
        <is>
          <t>smallcap</t>
        </is>
      </c>
      <c r="F38" s="31" t="n">
        <v>928.3099999999999</v>
      </c>
      <c r="G38" s="31" t="n">
        <v>223.33</v>
      </c>
      <c r="H38" s="31" t="n">
        <v>5</v>
      </c>
      <c r="I38" s="31" t="n">
        <v>79139</v>
      </c>
      <c r="J38" s="31" t="inlineStr">
        <is>
          <t>530803</t>
        </is>
      </c>
    </row>
    <row r="39">
      <c r="A39" s="31" t="inlineStr">
        <is>
          <t>STLTECH</t>
        </is>
      </c>
      <c r="B39" s="31" t="inlineStr">
        <is>
          <t>Sterlite Technologies Limited</t>
        </is>
      </c>
      <c r="C39" s="31" t="inlineStr">
        <is>
          <t>industrials</t>
        </is>
      </c>
      <c r="D39" s="31" t="inlineStr">
        <is>
          <t>cables - telephone</t>
        </is>
      </c>
      <c r="E39" s="31" t="inlineStr">
        <is>
          <t>largecap</t>
        </is>
      </c>
      <c r="F39" s="31" t="n">
        <v>32229</v>
      </c>
      <c r="G39" s="31" t="n">
        <v>658.5</v>
      </c>
      <c r="H39" s="31" t="n">
        <v>5</v>
      </c>
      <c r="I39" s="31" t="n">
        <v>2301953</v>
      </c>
      <c r="J39" s="31" t="inlineStr">
        <is>
          <t>532374</t>
        </is>
      </c>
    </row>
    <row r="40">
      <c r="A40" s="31" t="inlineStr">
        <is>
          <t>WELINV</t>
        </is>
      </c>
      <c r="B40" s="31" t="inlineStr">
        <is>
          <t>Welspun Investments And Commercials Limited</t>
        </is>
      </c>
      <c r="C40" s="31" t="inlineStr">
        <is>
          <t>financials</t>
        </is>
      </c>
      <c r="D40" s="31" t="inlineStr">
        <is>
          <t>finance &amp; investments</t>
        </is>
      </c>
      <c r="E40" s="31" t="inlineStr">
        <is>
          <t>smallcap</t>
        </is>
      </c>
      <c r="F40" s="31" t="n">
        <v>738.9400000000001</v>
      </c>
      <c r="G40" s="31" t="n">
        <v>2123.1</v>
      </c>
      <c r="H40" s="31" t="n">
        <v>5</v>
      </c>
      <c r="I40" s="31" t="n">
        <v>421</v>
      </c>
      <c r="J40" s="31" t="inlineStr">
        <is>
          <t>533252</t>
        </is>
      </c>
    </row>
    <row r="41">
      <c r="A41" s="31" t="inlineStr">
        <is>
          <t>VALIANTLAB</t>
        </is>
      </c>
      <c r="B41" s="31" t="inlineStr">
        <is>
          <t>Valiant Laboratories Ltd</t>
        </is>
      </c>
      <c r="C41" s="31" t="inlineStr">
        <is>
          <t>healthcare</t>
        </is>
      </c>
      <c r="D41" s="31" t="inlineStr">
        <is>
          <t>pharmaceuticals - indian - bulk drugs &amp; formln</t>
        </is>
      </c>
      <c r="E41" s="31" t="inlineStr">
        <is>
          <t>smallcap</t>
        </is>
      </c>
      <c r="F41" s="31" t="n">
        <v>519.99</v>
      </c>
      <c r="G41" s="31" t="n">
        <v>100.52</v>
      </c>
      <c r="H41" s="31" t="n">
        <v>4.99</v>
      </c>
      <c r="I41" s="31" t="n">
        <v>186900</v>
      </c>
      <c r="J41" s="31" t="n"/>
    </row>
    <row r="42">
      <c r="A42" s="31" t="inlineStr">
        <is>
          <t>BODALCHEM</t>
        </is>
      </c>
      <c r="B42" s="31" t="inlineStr">
        <is>
          <t>Bodal Chemicals Limited</t>
        </is>
      </c>
      <c r="C42" s="31" t="inlineStr">
        <is>
          <t>chemicals</t>
        </is>
      </c>
      <c r="D42" s="31" t="inlineStr">
        <is>
          <t>dyes and pigments</t>
        </is>
      </c>
      <c r="E42" s="31" t="inlineStr">
        <is>
          <t>smallcap</t>
        </is>
      </c>
      <c r="F42" s="31" t="n">
        <v>994.58</v>
      </c>
      <c r="G42" s="31" t="n">
        <v>82.91</v>
      </c>
      <c r="H42" s="31" t="n">
        <v>4.99</v>
      </c>
      <c r="I42" s="31" t="n">
        <v>450317</v>
      </c>
      <c r="J42" s="31" t="inlineStr">
        <is>
          <t>524370</t>
        </is>
      </c>
    </row>
    <row r="43">
      <c r="A43" s="31" t="inlineStr">
        <is>
          <t>SHALPAINTS</t>
        </is>
      </c>
      <c r="B43" s="31" t="inlineStr">
        <is>
          <t>Shalimar Paints Limited</t>
        </is>
      </c>
      <c r="C43" s="31" t="inlineStr">
        <is>
          <t>building materials</t>
        </is>
      </c>
      <c r="D43" s="31" t="inlineStr">
        <is>
          <t>paints / varnishes</t>
        </is>
      </c>
      <c r="E43" s="31" t="inlineStr">
        <is>
          <t>smallcap</t>
        </is>
      </c>
      <c r="F43" s="31" t="n">
        <v>677.14</v>
      </c>
      <c r="G43" s="31" t="n">
        <v>84.93000000000001</v>
      </c>
      <c r="H43" s="31" t="n">
        <v>4.99</v>
      </c>
      <c r="I43" s="31" t="n">
        <v>228778</v>
      </c>
      <c r="J43" s="31" t="inlineStr">
        <is>
          <t>509874</t>
        </is>
      </c>
    </row>
    <row r="44">
      <c r="A44" s="31" t="inlineStr">
        <is>
          <t>SIEMENS</t>
        </is>
      </c>
      <c r="B44" s="31" t="inlineStr">
        <is>
          <t>Siemens Limited</t>
        </is>
      </c>
      <c r="C44" s="31" t="inlineStr">
        <is>
          <t>industrials</t>
        </is>
      </c>
      <c r="D44" s="31" t="inlineStr">
        <is>
          <t>electric equipment</t>
        </is>
      </c>
      <c r="E44" s="31" t="inlineStr">
        <is>
          <t>largecap</t>
        </is>
      </c>
      <c r="F44" s="31" t="n">
        <v>139599.24</v>
      </c>
      <c r="G44" s="31" t="n">
        <v>4114</v>
      </c>
      <c r="H44" s="31" t="n">
        <v>4.95</v>
      </c>
      <c r="I44" s="31" t="n">
        <v>1308359</v>
      </c>
      <c r="J44" s="31" t="inlineStr">
        <is>
          <t>500550</t>
        </is>
      </c>
    </row>
    <row r="45">
      <c r="A45" s="31" t="inlineStr">
        <is>
          <t>SETL</t>
        </is>
      </c>
      <c r="B45" s="31" t="inlineStr">
        <is>
          <t>Standard Enginnering Technology Ltd</t>
        </is>
      </c>
      <c r="C45" s="31" t="inlineStr">
        <is>
          <t>industrials</t>
        </is>
      </c>
      <c r="D45" s="31" t="inlineStr">
        <is>
          <t>engineering</t>
        </is>
      </c>
      <c r="E45" s="31" t="inlineStr">
        <is>
          <t>midcap</t>
        </is>
      </c>
      <c r="F45" s="31" t="n">
        <v>5939.86</v>
      </c>
      <c r="G45" s="31" t="n">
        <v>312.35</v>
      </c>
      <c r="H45" s="31" t="n">
        <v>4.9</v>
      </c>
      <c r="I45" s="31" t="n">
        <v>4637679</v>
      </c>
      <c r="J45" s="31" t="inlineStr">
        <is>
          <t>544333</t>
        </is>
      </c>
    </row>
    <row r="46">
      <c r="A46" s="31" t="inlineStr">
        <is>
          <t>BAJAJHIND</t>
        </is>
      </c>
      <c r="B46" s="31" t="inlineStr">
        <is>
          <t>Bajaj Hindusthan Sugar Limited</t>
        </is>
      </c>
      <c r="C46" s="31" t="inlineStr">
        <is>
          <t>fmcg</t>
        </is>
      </c>
      <c r="D46" s="31" t="inlineStr">
        <is>
          <t>sugar</t>
        </is>
      </c>
      <c r="E46" s="31" t="inlineStr">
        <is>
          <t>midcap</t>
        </is>
      </c>
      <c r="F46" s="31" t="n">
        <v>5529.61</v>
      </c>
      <c r="G46" s="31" t="n">
        <v>24.23</v>
      </c>
      <c r="H46" s="31" t="n">
        <v>4.76</v>
      </c>
      <c r="I46" s="31" t="n">
        <v>269992670</v>
      </c>
      <c r="J46" s="31" t="inlineStr">
        <is>
          <t>500032</t>
        </is>
      </c>
    </row>
    <row r="47">
      <c r="A47" s="31" t="inlineStr">
        <is>
          <t>MACPOWER</t>
        </is>
      </c>
      <c r="B47" s="31" t="inlineStr">
        <is>
          <t>Macpower CNC Machines Ltd</t>
        </is>
      </c>
      <c r="C47" s="31" t="inlineStr">
        <is>
          <t>industrials</t>
        </is>
      </c>
      <c r="D47" s="31" t="inlineStr">
        <is>
          <t>engineering</t>
        </is>
      </c>
      <c r="E47" s="31" t="inlineStr">
        <is>
          <t>smallcap</t>
        </is>
      </c>
      <c r="F47" s="31" t="n">
        <v>1875.58</v>
      </c>
      <c r="G47" s="31" t="n">
        <v>1963.4</v>
      </c>
      <c r="H47" s="31" t="n">
        <v>4.73</v>
      </c>
      <c r="I47" s="31" t="n">
        <v>80501</v>
      </c>
      <c r="J47" s="31" t="inlineStr">
        <is>
          <t>535057</t>
        </is>
      </c>
    </row>
    <row r="48">
      <c r="A48" s="31" t="inlineStr">
        <is>
          <t>KENNAMET</t>
        </is>
      </c>
      <c r="B48" s="31" t="inlineStr">
        <is>
          <t>Kennametal India Ltd</t>
        </is>
      </c>
      <c r="C48" s="31" t="inlineStr">
        <is>
          <t>industrials</t>
        </is>
      </c>
      <c r="D48" s="31" t="inlineStr">
        <is>
          <t>castings &amp; forgings</t>
        </is>
      </c>
      <c r="E48" s="31" t="inlineStr">
        <is>
          <t>midcap</t>
        </is>
      </c>
      <c r="F48" s="31" t="n">
        <v>8889.540000000001</v>
      </c>
      <c r="G48" s="31" t="n">
        <v>4235.5</v>
      </c>
      <c r="H48" s="31" t="n">
        <v>4.72</v>
      </c>
      <c r="I48" s="31" t="n">
        <v>96674</v>
      </c>
      <c r="J48" s="31" t="inlineStr">
        <is>
          <t>505890</t>
        </is>
      </c>
    </row>
    <row r="49">
      <c r="A49" s="31" t="inlineStr">
        <is>
          <t>FCL</t>
        </is>
      </c>
      <c r="B49" s="31" t="inlineStr">
        <is>
          <t>Fineotex Chemical Limited</t>
        </is>
      </c>
      <c r="C49" s="31" t="inlineStr">
        <is>
          <t>chemicals</t>
        </is>
      </c>
      <c r="D49" s="31" t="inlineStr">
        <is>
          <t>chemicals</t>
        </is>
      </c>
      <c r="E49" s="31" t="inlineStr">
        <is>
          <t>midcap</t>
        </is>
      </c>
      <c r="F49" s="31" t="n">
        <v>5523.23</v>
      </c>
      <c r="G49" s="31" t="n">
        <v>49.62</v>
      </c>
      <c r="H49" s="31" t="n">
        <v>4.62</v>
      </c>
      <c r="I49" s="31" t="n">
        <v>43120999</v>
      </c>
      <c r="J49" s="31" t="inlineStr">
        <is>
          <t>533333</t>
        </is>
      </c>
    </row>
    <row r="50">
      <c r="A50" s="31" t="inlineStr">
        <is>
          <t>HFCL</t>
        </is>
      </c>
      <c r="B50" s="31" t="inlineStr">
        <is>
          <t>HFCL Ltd</t>
        </is>
      </c>
      <c r="C50" s="31" t="inlineStr">
        <is>
          <t>telecom</t>
        </is>
      </c>
      <c r="D50" s="31" t="inlineStr">
        <is>
          <t>cables - telephone</t>
        </is>
      </c>
      <c r="E50" s="31" t="inlineStr">
        <is>
          <t>largecap</t>
        </is>
      </c>
      <c r="F50" s="31" t="n">
        <v>34899.27</v>
      </c>
      <c r="G50" s="31" t="n">
        <v>238.42</v>
      </c>
      <c r="H50" s="31" t="n">
        <v>4.57</v>
      </c>
      <c r="I50" s="31" t="n">
        <v>53433328</v>
      </c>
      <c r="J50" s="31" t="inlineStr">
        <is>
          <t>500183</t>
        </is>
      </c>
    </row>
    <row r="51">
      <c r="A51" s="31" t="inlineStr">
        <is>
          <t>RISHABH</t>
        </is>
      </c>
      <c r="B51" s="31" t="inlineStr">
        <is>
          <t>Rishabh Instruments Ltd</t>
        </is>
      </c>
      <c r="C51" s="31" t="inlineStr">
        <is>
          <t>industrials</t>
        </is>
      </c>
      <c r="D51" s="31" t="inlineStr">
        <is>
          <t>electric equipment</t>
        </is>
      </c>
      <c r="E51" s="31" t="inlineStr">
        <is>
          <t>smallcap</t>
        </is>
      </c>
      <c r="F51" s="31" t="n">
        <v>2579.88</v>
      </c>
      <c r="G51" s="31" t="n">
        <v>699.55</v>
      </c>
      <c r="H51" s="31" t="n">
        <v>4.52</v>
      </c>
      <c r="I51" s="31" t="n">
        <v>754676</v>
      </c>
      <c r="J51" s="31" t="inlineStr">
        <is>
          <t>543977</t>
        </is>
      </c>
    </row>
    <row r="52">
      <c r="A52" s="31" t="inlineStr">
        <is>
          <t>20MICRONS</t>
        </is>
      </c>
      <c r="B52" s="31" t="inlineStr">
        <is>
          <t>20 Microns Limited</t>
        </is>
      </c>
      <c r="C52" s="31" t="inlineStr">
        <is>
          <t>metals &amp; mining</t>
        </is>
      </c>
      <c r="D52" s="31" t="inlineStr">
        <is>
          <t>mining / minerals / metals</t>
        </is>
      </c>
      <c r="E52" s="31" t="inlineStr">
        <is>
          <t>smallcap</t>
        </is>
      </c>
      <c r="F52" s="31" t="n">
        <v>720.52</v>
      </c>
      <c r="G52" s="31" t="n">
        <v>213.26</v>
      </c>
      <c r="H52" s="31" t="n">
        <v>4.44</v>
      </c>
      <c r="I52" s="31" t="n">
        <v>712672</v>
      </c>
      <c r="J52" s="31" t="inlineStr">
        <is>
          <t>533022</t>
        </is>
      </c>
    </row>
    <row r="53">
      <c r="A53" s="31" t="inlineStr">
        <is>
          <t>PITTIENG</t>
        </is>
      </c>
      <c r="B53" s="31" t="inlineStr">
        <is>
          <t>Pitti Engineering Ltd</t>
        </is>
      </c>
      <c r="C53" s="31" t="inlineStr">
        <is>
          <t>industrials</t>
        </is>
      </c>
      <c r="D53" s="31" t="inlineStr">
        <is>
          <t>engineering</t>
        </is>
      </c>
      <c r="E53" s="31" t="inlineStr">
        <is>
          <t>smallcap</t>
        </is>
      </c>
      <c r="F53" s="31" t="n">
        <v>3961.91</v>
      </c>
      <c r="G53" s="31" t="n">
        <v>1098.25</v>
      </c>
      <c r="H53" s="31" t="n">
        <v>4.38</v>
      </c>
      <c r="I53" s="31" t="n">
        <v>540305</v>
      </c>
      <c r="J53" s="31" t="inlineStr">
        <is>
          <t>513519</t>
        </is>
      </c>
    </row>
    <row r="54">
      <c r="A54" s="31" t="inlineStr">
        <is>
          <t>JAYNECOIND</t>
        </is>
      </c>
      <c r="B54" s="31" t="inlineStr">
        <is>
          <t>Jayaswal Neco Industries Limited</t>
        </is>
      </c>
      <c r="C54" s="31" t="inlineStr">
        <is>
          <t>metals &amp; mining</t>
        </is>
      </c>
      <c r="D54" s="31" t="inlineStr">
        <is>
          <t>steel - large</t>
        </is>
      </c>
      <c r="E54" s="31" t="inlineStr">
        <is>
          <t>midcap</t>
        </is>
      </c>
      <c r="F54" s="31" t="n">
        <v>9699.299999999999</v>
      </c>
      <c r="G54" s="31" t="n">
        <v>104.22</v>
      </c>
      <c r="H54" s="31" t="n">
        <v>4.33</v>
      </c>
      <c r="I54" s="31" t="n">
        <v>13196903</v>
      </c>
      <c r="J54" s="31" t="inlineStr">
        <is>
          <t>522285</t>
        </is>
      </c>
    </row>
    <row r="55">
      <c r="A55" s="31" t="inlineStr">
        <is>
          <t>SPECIALITY</t>
        </is>
      </c>
      <c r="B55" s="31" t="inlineStr">
        <is>
          <t>Speciality Restaurants Limited</t>
        </is>
      </c>
      <c r="C55" s="31" t="inlineStr">
        <is>
          <t>services</t>
        </is>
      </c>
      <c r="D55" s="31" t="inlineStr">
        <is>
          <t>hotels</t>
        </is>
      </c>
      <c r="E55" s="31" t="inlineStr">
        <is>
          <t>smallcap</t>
        </is>
      </c>
      <c r="F55" s="31" t="n">
        <v>679.21</v>
      </c>
      <c r="G55" s="31" t="n">
        <v>146.9</v>
      </c>
      <c r="H55" s="31" t="n">
        <v>4.33</v>
      </c>
      <c r="I55" s="31" t="n">
        <v>96373</v>
      </c>
      <c r="J55" s="31" t="inlineStr">
        <is>
          <t>534425</t>
        </is>
      </c>
    </row>
    <row r="56">
      <c r="A56" s="31" t="inlineStr">
        <is>
          <t>WELCORP</t>
        </is>
      </c>
      <c r="B56" s="31" t="inlineStr">
        <is>
          <t>Welspun Corp Limited</t>
        </is>
      </c>
      <c r="C56" s="31" t="inlineStr">
        <is>
          <t>industrials</t>
        </is>
      </c>
      <c r="D56" s="31" t="inlineStr">
        <is>
          <t>steel - large</t>
        </is>
      </c>
      <c r="E56" s="31" t="inlineStr">
        <is>
          <t>largecap</t>
        </is>
      </c>
      <c r="F56" s="31" t="n">
        <v>60985.76</v>
      </c>
      <c r="G56" s="31" t="n">
        <v>2409.2</v>
      </c>
      <c r="H56" s="31" t="n">
        <v>4.21</v>
      </c>
      <c r="I56" s="31" t="n">
        <v>6562559</v>
      </c>
      <c r="J56" s="31" t="inlineStr">
        <is>
          <t>532144</t>
        </is>
      </c>
    </row>
    <row r="57">
      <c r="A57" s="31" t="inlineStr">
        <is>
          <t>NRAIL</t>
        </is>
      </c>
      <c r="B57" s="31" t="inlineStr">
        <is>
          <t>N R Agarwal Industries Ltd</t>
        </is>
      </c>
      <c r="C57" s="31" t="inlineStr">
        <is>
          <t>building materials</t>
        </is>
      </c>
      <c r="D57" s="31" t="inlineStr">
        <is>
          <t>paper</t>
        </is>
      </c>
      <c r="E57" s="31" t="inlineStr">
        <is>
          <t>smallcap</t>
        </is>
      </c>
      <c r="F57" s="31" t="n">
        <v>857.51</v>
      </c>
      <c r="G57" s="31" t="n">
        <v>525</v>
      </c>
      <c r="H57" s="31" t="n">
        <v>4.2</v>
      </c>
      <c r="I57" s="31" t="n">
        <v>16857</v>
      </c>
      <c r="J57" s="31" t="inlineStr">
        <is>
          <t>516082</t>
        </is>
      </c>
    </row>
    <row r="58">
      <c r="A58" s="31" t="inlineStr">
        <is>
          <t>ARVSMART</t>
        </is>
      </c>
      <c r="B58" s="31" t="inlineStr">
        <is>
          <t>Arvind Smartspaces Limited</t>
        </is>
      </c>
      <c r="C58" s="31" t="inlineStr">
        <is>
          <t>realty</t>
        </is>
      </c>
      <c r="D58" s="31" t="inlineStr">
        <is>
          <t>construction</t>
        </is>
      </c>
      <c r="E58" s="31" t="inlineStr">
        <is>
          <t>smallcap</t>
        </is>
      </c>
      <c r="F58" s="31" t="n">
        <v>3059.33</v>
      </c>
      <c r="G58" s="31" t="n">
        <v>694.85</v>
      </c>
      <c r="H58" s="31" t="n">
        <v>4.18</v>
      </c>
      <c r="I58" s="31" t="n">
        <v>393842</v>
      </c>
      <c r="J58" s="31" t="inlineStr">
        <is>
          <t>539301</t>
        </is>
      </c>
    </row>
    <row r="59">
      <c r="A59" s="31" t="inlineStr">
        <is>
          <t>MSTCLTD</t>
        </is>
      </c>
      <c r="B59" s="31" t="inlineStr">
        <is>
          <t>MSTC Ltd</t>
        </is>
      </c>
      <c r="C59" s="31" t="inlineStr">
        <is>
          <t>i.t</t>
        </is>
      </c>
      <c r="D59" s="31" t="inlineStr">
        <is>
          <t>trading</t>
        </is>
      </c>
      <c r="E59" s="31" t="inlineStr">
        <is>
          <t>smallcap</t>
        </is>
      </c>
      <c r="F59" s="31" t="n">
        <v>4938.21</v>
      </c>
      <c r="G59" s="31" t="n">
        <v>730.6</v>
      </c>
      <c r="H59" s="31" t="n">
        <v>4.16</v>
      </c>
      <c r="I59" s="31" t="n">
        <v>985941</v>
      </c>
      <c r="J59" s="31" t="inlineStr">
        <is>
          <t>542597</t>
        </is>
      </c>
    </row>
    <row r="60">
      <c r="A60" s="31" t="inlineStr">
        <is>
          <t>REDINGTON</t>
        </is>
      </c>
      <c r="B60" s="31" t="inlineStr">
        <is>
          <t>Redington (india) Limited</t>
        </is>
      </c>
      <c r="C60" s="31" t="inlineStr">
        <is>
          <t>services</t>
        </is>
      </c>
      <c r="D60" s="31" t="inlineStr">
        <is>
          <t>trading</t>
        </is>
      </c>
      <c r="E60" s="31" t="inlineStr">
        <is>
          <t>largecap</t>
        </is>
      </c>
      <c r="F60" s="31" t="n">
        <v>27405.1</v>
      </c>
      <c r="G60" s="31" t="n">
        <v>365.1</v>
      </c>
      <c r="H60" s="31" t="n">
        <v>4.15</v>
      </c>
      <c r="I60" s="31" t="n">
        <v>10532939</v>
      </c>
      <c r="J60" s="31" t="inlineStr">
        <is>
          <t>532805</t>
        </is>
      </c>
    </row>
    <row r="61">
      <c r="A61" s="31" t="inlineStr">
        <is>
          <t>BCLIND</t>
        </is>
      </c>
      <c r="B61" s="31" t="inlineStr">
        <is>
          <t>BCL Industries Ltd</t>
        </is>
      </c>
      <c r="C61" s="31" t="inlineStr">
        <is>
          <t>fmcg</t>
        </is>
      </c>
      <c r="D61" s="31" t="inlineStr">
        <is>
          <t>breweries &amp; distilleries</t>
        </is>
      </c>
      <c r="E61" s="31" t="inlineStr">
        <is>
          <t>smallcap</t>
        </is>
      </c>
      <c r="F61" s="31" t="n">
        <v>1077.35</v>
      </c>
      <c r="G61" s="31" t="n">
        <v>37.99</v>
      </c>
      <c r="H61" s="31" t="n">
        <v>4.08</v>
      </c>
      <c r="I61" s="31" t="n">
        <v>4441354</v>
      </c>
      <c r="J61" s="31" t="inlineStr">
        <is>
          <t>524332</t>
        </is>
      </c>
    </row>
    <row r="62">
      <c r="A62" s="31" t="inlineStr">
        <is>
          <t>VENKEYS</t>
        </is>
      </c>
      <c r="B62" s="31" t="inlineStr">
        <is>
          <t>Venky's (india) Limited</t>
        </is>
      </c>
      <c r="C62" s="31" t="inlineStr">
        <is>
          <t>fmcg</t>
        </is>
      </c>
      <c r="D62" s="31" t="inlineStr">
        <is>
          <t>miscellaneous</t>
        </is>
      </c>
      <c r="E62" s="31" t="inlineStr">
        <is>
          <t>smallcap</t>
        </is>
      </c>
      <c r="F62" s="31" t="n">
        <v>2123.53</v>
      </c>
      <c r="G62" s="31" t="n">
        <v>1568.5</v>
      </c>
      <c r="H62" s="31" t="n">
        <v>4.05</v>
      </c>
      <c r="I62" s="31" t="n">
        <v>121412</v>
      </c>
      <c r="J62" s="31" t="inlineStr">
        <is>
          <t>523261</t>
        </is>
      </c>
    </row>
    <row r="63">
      <c r="A63" s="31" t="inlineStr">
        <is>
          <t>ENGINERSIN</t>
        </is>
      </c>
      <c r="B63" s="31" t="inlineStr">
        <is>
          <t>Engineers India Limited</t>
        </is>
      </c>
      <c r="C63" s="31" t="inlineStr">
        <is>
          <t>realty</t>
        </is>
      </c>
      <c r="D63" s="31" t="inlineStr">
        <is>
          <t>engineering - turnkey services</t>
        </is>
      </c>
      <c r="E63" s="31" t="inlineStr">
        <is>
          <t>midcap</t>
        </is>
      </c>
      <c r="F63" s="31" t="n">
        <v>13764.98</v>
      </c>
      <c r="G63" s="31" t="n">
        <v>254.83</v>
      </c>
      <c r="H63" s="31" t="n">
        <v>4.05</v>
      </c>
      <c r="I63" s="31" t="n">
        <v>6608048</v>
      </c>
      <c r="J63" s="31" t="inlineStr">
        <is>
          <t>532178</t>
        </is>
      </c>
    </row>
    <row r="64">
      <c r="A64" s="31" t="inlineStr">
        <is>
          <t>INDIAGLYCO</t>
        </is>
      </c>
      <c r="B64" s="31" t="inlineStr">
        <is>
          <t>India Glycols Limited</t>
        </is>
      </c>
      <c r="C64" s="31" t="inlineStr">
        <is>
          <t>fmcg</t>
        </is>
      </c>
      <c r="D64" s="31" t="inlineStr">
        <is>
          <t>breweries &amp; distilleries</t>
        </is>
      </c>
      <c r="E64" s="31" t="inlineStr">
        <is>
          <t>midcap</t>
        </is>
      </c>
      <c r="F64" s="31" t="n">
        <v>7684.62</v>
      </c>
      <c r="G64" s="31" t="n">
        <v>1191.3</v>
      </c>
      <c r="H64" s="31" t="n">
        <v>3.91</v>
      </c>
      <c r="I64" s="31" t="n">
        <v>762365</v>
      </c>
      <c r="J64" s="31" t="inlineStr">
        <is>
          <t>500201</t>
        </is>
      </c>
    </row>
    <row r="65">
      <c r="A65" s="31" t="inlineStr">
        <is>
          <t>VOLTAMP</t>
        </is>
      </c>
      <c r="B65" s="31" t="inlineStr">
        <is>
          <t>Voltamp Transformers Limited</t>
        </is>
      </c>
      <c r="C65" s="31" t="inlineStr">
        <is>
          <t>industrials</t>
        </is>
      </c>
      <c r="D65" s="31" t="inlineStr">
        <is>
          <t>electric equipment</t>
        </is>
      </c>
      <c r="E65" s="31" t="inlineStr">
        <is>
          <t>midcap</t>
        </is>
      </c>
      <c r="F65" s="31" t="n">
        <v>10996.8</v>
      </c>
      <c r="G65" s="31" t="n">
        <v>11292</v>
      </c>
      <c r="H65" s="31" t="n">
        <v>3.89</v>
      </c>
      <c r="I65" s="31" t="n">
        <v>137437</v>
      </c>
      <c r="J65" s="31" t="inlineStr">
        <is>
          <t>532757</t>
        </is>
      </c>
    </row>
    <row r="66">
      <c r="A66" s="31" t="inlineStr">
        <is>
          <t>SKIPPER</t>
        </is>
      </c>
      <c r="B66" s="31" t="inlineStr">
        <is>
          <t>Skipper Limited</t>
        </is>
      </c>
      <c r="C66" s="31" t="inlineStr">
        <is>
          <t>industrials</t>
        </is>
      </c>
      <c r="D66" s="31" t="inlineStr">
        <is>
          <t>engineering</t>
        </is>
      </c>
      <c r="E66" s="31" t="inlineStr">
        <is>
          <t>midcap</t>
        </is>
      </c>
      <c r="F66" s="31" t="n">
        <v>6765.86</v>
      </c>
      <c r="G66" s="31" t="n">
        <v>575</v>
      </c>
      <c r="H66" s="31" t="n">
        <v>3.79</v>
      </c>
      <c r="I66" s="31" t="n">
        <v>3482029</v>
      </c>
      <c r="J66" s="31" t="inlineStr">
        <is>
          <t>538562</t>
        </is>
      </c>
    </row>
    <row r="67">
      <c r="A67" s="31" t="inlineStr">
        <is>
          <t>TIIL</t>
        </is>
      </c>
      <c r="B67" s="31" t="inlineStr">
        <is>
          <t>Technocraft Industries (india) Limited</t>
        </is>
      </c>
      <c r="C67" s="31" t="inlineStr">
        <is>
          <t>metals &amp; mining</t>
        </is>
      </c>
      <c r="D67" s="31" t="inlineStr">
        <is>
          <t>steel - medium / small</t>
        </is>
      </c>
      <c r="E67" s="31" t="inlineStr">
        <is>
          <t>midcap</t>
        </is>
      </c>
      <c r="F67" s="31" t="n">
        <v>7524.65</v>
      </c>
      <c r="G67" s="31" t="n">
        <v>3441.3</v>
      </c>
      <c r="H67" s="31" t="n">
        <v>3.69</v>
      </c>
      <c r="I67" s="31" t="n">
        <v>89375</v>
      </c>
      <c r="J67" s="31" t="inlineStr">
        <is>
          <t>532804</t>
        </is>
      </c>
    </row>
    <row r="68">
      <c r="A68" s="31" t="inlineStr">
        <is>
          <t>INDOSTAR</t>
        </is>
      </c>
      <c r="B68" s="31" t="inlineStr">
        <is>
          <t>Indostar Capital Finance Ltd</t>
        </is>
      </c>
      <c r="C68" s="31" t="inlineStr">
        <is>
          <t>financials</t>
        </is>
      </c>
      <c r="D68" s="31" t="inlineStr">
        <is>
          <t>finance &amp; investments</t>
        </is>
      </c>
      <c r="E68" s="31" t="inlineStr">
        <is>
          <t>smallcap</t>
        </is>
      </c>
      <c r="F68" s="31" t="n">
        <v>4090.52</v>
      </c>
      <c r="G68" s="31" t="n">
        <v>262.5</v>
      </c>
      <c r="H68" s="31" t="n">
        <v>3.69</v>
      </c>
      <c r="I68" s="31" t="n">
        <v>173105</v>
      </c>
      <c r="J68" s="31" t="inlineStr">
        <is>
          <t>541336</t>
        </is>
      </c>
    </row>
    <row r="69">
      <c r="A69" s="31" t="inlineStr">
        <is>
          <t>SREEL</t>
        </is>
      </c>
      <c r="B69" s="31" t="inlineStr">
        <is>
          <t>Sreeleathers Limited</t>
        </is>
      </c>
      <c r="C69" s="31" t="inlineStr">
        <is>
          <t>consumer discretionary</t>
        </is>
      </c>
      <c r="D69" s="31" t="inlineStr">
        <is>
          <t>trading</t>
        </is>
      </c>
      <c r="E69" s="31" t="inlineStr">
        <is>
          <t>smallcap</t>
        </is>
      </c>
      <c r="F69" s="31" t="n">
        <v>557.67</v>
      </c>
      <c r="G69" s="31" t="n">
        <v>249.71</v>
      </c>
      <c r="H69" s="31" t="n">
        <v>3.68</v>
      </c>
      <c r="I69" s="31" t="n">
        <v>42986</v>
      </c>
      <c r="J69" s="31" t="inlineStr">
        <is>
          <t>535601</t>
        </is>
      </c>
    </row>
    <row r="70">
      <c r="A70" s="31" t="inlineStr">
        <is>
          <t>PFOCUS</t>
        </is>
      </c>
      <c r="B70" s="31" t="inlineStr">
        <is>
          <t>Prime Focus Limited</t>
        </is>
      </c>
      <c r="C70" s="31" t="inlineStr">
        <is>
          <t>realty</t>
        </is>
      </c>
      <c r="D70" s="31" t="inlineStr">
        <is>
          <t>miscellaneous</t>
        </is>
      </c>
      <c r="E70" s="31" t="inlineStr">
        <is>
          <t>largecap</t>
        </is>
      </c>
      <c r="F70" s="31" t="n">
        <v>23057.89</v>
      </c>
      <c r="G70" s="31" t="n">
        <v>307.8</v>
      </c>
      <c r="H70" s="31" t="n">
        <v>3.65</v>
      </c>
      <c r="I70" s="31" t="n">
        <v>2085799</v>
      </c>
      <c r="J70" s="31" t="inlineStr">
        <is>
          <t>532748</t>
        </is>
      </c>
    </row>
    <row r="71">
      <c r="A71" s="31" t="inlineStr">
        <is>
          <t>ORCHPHARMA</t>
        </is>
      </c>
      <c r="B71" s="31" t="inlineStr">
        <is>
          <t>Orchid Pharma Ltd</t>
        </is>
      </c>
      <c r="C71" s="31" t="inlineStr">
        <is>
          <t>healthcare</t>
        </is>
      </c>
      <c r="D71" s="31" t="inlineStr">
        <is>
          <t>pharmaceuticals - indian - bulk drugs &amp; formln</t>
        </is>
      </c>
      <c r="E71" s="31" t="inlineStr">
        <is>
          <t>midcap</t>
        </is>
      </c>
      <c r="F71" s="31" t="n">
        <v>5082.31</v>
      </c>
      <c r="G71" s="31" t="n">
        <v>1038.1</v>
      </c>
      <c r="H71" s="31" t="n">
        <v>3.6</v>
      </c>
      <c r="I71" s="31" t="n">
        <v>161873</v>
      </c>
      <c r="J71" s="31" t="inlineStr">
        <is>
          <t>524372</t>
        </is>
      </c>
    </row>
    <row r="72">
      <c r="A72" s="31" t="inlineStr">
        <is>
          <t>SAIL</t>
        </is>
      </c>
      <c r="B72" s="31" t="inlineStr">
        <is>
          <t>Steel Authority Of India Limited</t>
        </is>
      </c>
      <c r="C72" s="31" t="inlineStr">
        <is>
          <t>metals &amp; mining</t>
        </is>
      </c>
      <c r="D72" s="31" t="inlineStr">
        <is>
          <t>steel - large</t>
        </is>
      </c>
      <c r="E72" s="31" t="inlineStr">
        <is>
          <t>largecap</t>
        </is>
      </c>
      <c r="F72" s="31" t="n">
        <v>71648.09</v>
      </c>
      <c r="G72" s="31" t="n">
        <v>179.65</v>
      </c>
      <c r="H72" s="31" t="n">
        <v>3.57</v>
      </c>
      <c r="I72" s="31" t="n">
        <v>48023572</v>
      </c>
      <c r="J72" s="31" t="inlineStr">
        <is>
          <t>500113</t>
        </is>
      </c>
    </row>
    <row r="73">
      <c r="A73" s="31" t="inlineStr">
        <is>
          <t>DPABHUSHAN</t>
        </is>
      </c>
      <c r="B73" s="31" t="inlineStr">
        <is>
          <t>D.P. Abhushan Ltd</t>
        </is>
      </c>
      <c r="C73" s="31" t="inlineStr">
        <is>
          <t>consumer discretionary</t>
        </is>
      </c>
      <c r="D73" s="31" t="inlineStr">
        <is>
          <t>diamond cutting / jewellery</t>
        </is>
      </c>
      <c r="E73" s="31" t="inlineStr">
        <is>
          <t>smallcap</t>
        </is>
      </c>
      <c r="F73" s="31" t="n">
        <v>3384.01</v>
      </c>
      <c r="G73" s="31" t="n">
        <v>1533.3</v>
      </c>
      <c r="H73" s="31" t="n">
        <v>3.43</v>
      </c>
      <c r="I73" s="31" t="n">
        <v>94100</v>
      </c>
      <c r="J73" s="31" t="inlineStr">
        <is>
          <t>535026</t>
        </is>
      </c>
    </row>
    <row r="74">
      <c r="A74" s="31" t="inlineStr">
        <is>
          <t>GIPCL</t>
        </is>
      </c>
      <c r="B74" s="31" t="inlineStr">
        <is>
          <t>Gujarat Industries Power Company Limited</t>
        </is>
      </c>
      <c r="C74" s="31" t="inlineStr">
        <is>
          <t>power &amp; utilities</t>
        </is>
      </c>
      <c r="D74" s="31" t="inlineStr">
        <is>
          <t>power generation and supply</t>
        </is>
      </c>
      <c r="E74" s="31" t="inlineStr">
        <is>
          <t>smallcap</t>
        </is>
      </c>
      <c r="F74" s="31" t="n">
        <v>2679.65</v>
      </c>
      <c r="G74" s="31" t="n">
        <v>178.39</v>
      </c>
      <c r="H74" s="31" t="n">
        <v>3.33</v>
      </c>
      <c r="I74" s="31" t="n">
        <v>2016433</v>
      </c>
      <c r="J74" s="31" t="inlineStr">
        <is>
          <t>517300</t>
        </is>
      </c>
    </row>
    <row r="75">
      <c r="A75" s="31" t="inlineStr">
        <is>
          <t>SHRIPISTON</t>
        </is>
      </c>
      <c r="B75" s="31" t="inlineStr">
        <is>
          <t>Shriram Pistons &amp; Rings Limited</t>
        </is>
      </c>
      <c r="C75" s="31" t="inlineStr">
        <is>
          <t>auto</t>
        </is>
      </c>
      <c r="D75" s="31" t="inlineStr">
        <is>
          <t>auto ancillaries</t>
        </is>
      </c>
      <c r="E75" s="31" t="inlineStr">
        <is>
          <t>largecap</t>
        </is>
      </c>
      <c r="F75" s="31" t="n">
        <v>20263.36</v>
      </c>
      <c r="G75" s="31" t="n">
        <v>4750</v>
      </c>
      <c r="H75" s="31" t="n">
        <v>3.26</v>
      </c>
      <c r="I75" s="31" t="n">
        <v>191669</v>
      </c>
      <c r="J75" s="31" t="n"/>
    </row>
    <row r="76">
      <c r="A76" s="31" t="inlineStr">
        <is>
          <t>AARTIPHARM</t>
        </is>
      </c>
      <c r="B76" s="31" t="inlineStr">
        <is>
          <t>Aarti Pharmalabs Ltd</t>
        </is>
      </c>
      <c r="C76" s="31" t="inlineStr">
        <is>
          <t>healthcare</t>
        </is>
      </c>
      <c r="D76" s="31" t="inlineStr">
        <is>
          <t>pharmaceuticals - indian - bulk drugs &amp; formln</t>
        </is>
      </c>
      <c r="E76" s="31" t="inlineStr">
        <is>
          <t>midcap</t>
        </is>
      </c>
      <c r="F76" s="31" t="n">
        <v>7406.73</v>
      </c>
      <c r="G76" s="31" t="n">
        <v>843.15</v>
      </c>
      <c r="H76" s="31" t="n">
        <v>3.23</v>
      </c>
      <c r="I76" s="31" t="n">
        <v>789520</v>
      </c>
      <c r="J76" s="31" t="inlineStr">
        <is>
          <t>543748</t>
        </is>
      </c>
    </row>
    <row r="77">
      <c r="A77" s="31" t="inlineStr">
        <is>
          <t>WHEELS</t>
        </is>
      </c>
      <c r="B77" s="31" t="inlineStr">
        <is>
          <t>Wheels India Limited</t>
        </is>
      </c>
      <c r="C77" s="31" t="inlineStr">
        <is>
          <t>auto</t>
        </is>
      </c>
      <c r="D77" s="31" t="inlineStr">
        <is>
          <t>auto ancillaries</t>
        </is>
      </c>
      <c r="E77" s="31" t="inlineStr">
        <is>
          <t>smallcap</t>
        </is>
      </c>
      <c r="F77" s="31" t="n">
        <v>3696.23</v>
      </c>
      <c r="G77" s="31" t="n">
        <v>1561.4</v>
      </c>
      <c r="H77" s="31" t="n">
        <v>3.21</v>
      </c>
      <c r="I77" s="31" t="n">
        <v>145920</v>
      </c>
      <c r="J77" s="31" t="inlineStr">
        <is>
          <t>590073</t>
        </is>
      </c>
    </row>
    <row r="78">
      <c r="A78" s="31" t="inlineStr">
        <is>
          <t>PANACHE</t>
        </is>
      </c>
      <c r="B78" s="31" t="inlineStr">
        <is>
          <t>Panache Digilife Ltd</t>
        </is>
      </c>
      <c r="C78" s="31" t="inlineStr">
        <is>
          <t>i.t</t>
        </is>
      </c>
      <c r="D78" s="31" t="inlineStr">
        <is>
          <t>computers - hardware</t>
        </is>
      </c>
      <c r="E78" s="31" t="inlineStr">
        <is>
          <t>smallcap</t>
        </is>
      </c>
      <c r="F78" s="31" t="n">
        <v>853.79</v>
      </c>
      <c r="G78" s="31" t="n">
        <v>550</v>
      </c>
      <c r="H78" s="31" t="n">
        <v>3.16</v>
      </c>
      <c r="I78" s="31" t="n">
        <v>9336</v>
      </c>
      <c r="J78" s="31" t="inlineStr">
        <is>
          <t>538424</t>
        </is>
      </c>
    </row>
    <row r="79">
      <c r="A79" s="31" t="inlineStr">
        <is>
          <t>GLENMARK</t>
        </is>
      </c>
      <c r="B79" s="31" t="inlineStr">
        <is>
          <t>Glenmark Pharmaceuticals Limited</t>
        </is>
      </c>
      <c r="C79" s="31" t="inlineStr">
        <is>
          <t>healthcare</t>
        </is>
      </c>
      <c r="D79" s="31" t="inlineStr">
        <is>
          <t>pharmaceuticals - indian - bulk drugs &amp; formln</t>
        </is>
      </c>
      <c r="E79" s="31" t="inlineStr">
        <is>
          <t>largecap</t>
        </is>
      </c>
      <c r="F79" s="31" t="n">
        <v>65411.33</v>
      </c>
      <c r="G79" s="31" t="n">
        <v>2390.7</v>
      </c>
      <c r="H79" s="31" t="n">
        <v>3.14</v>
      </c>
      <c r="I79" s="31" t="n">
        <v>698055</v>
      </c>
      <c r="J79" s="31" t="inlineStr">
        <is>
          <t>532296</t>
        </is>
      </c>
    </row>
    <row r="80">
      <c r="A80" s="31" t="inlineStr">
        <is>
          <t>BLUSPRING</t>
        </is>
      </c>
      <c r="B80" s="31" t="inlineStr">
        <is>
          <t>Bluspring Enterprises Ltd</t>
        </is>
      </c>
      <c r="C80" s="31" t="inlineStr">
        <is>
          <t>miscellaneous</t>
        </is>
      </c>
      <c r="D80" s="31" t="inlineStr">
        <is>
          <t>diversified - large</t>
        </is>
      </c>
      <c r="E80" s="31" t="inlineStr">
        <is>
          <t>smallcap</t>
        </is>
      </c>
      <c r="F80" s="31" t="n">
        <v>1927.49</v>
      </c>
      <c r="G80" s="31" t="n">
        <v>133.01</v>
      </c>
      <c r="H80" s="31" t="n">
        <v>3.12</v>
      </c>
      <c r="I80" s="31" t="n">
        <v>2381309</v>
      </c>
      <c r="J80" s="31" t="inlineStr">
        <is>
          <t>544414</t>
        </is>
      </c>
    </row>
    <row r="81">
      <c r="A81" s="31" t="inlineStr">
        <is>
          <t>AARTIIND</t>
        </is>
      </c>
      <c r="B81" s="31" t="inlineStr">
        <is>
          <t>Aarti Industries Limited</t>
        </is>
      </c>
      <c r="C81" s="31" t="inlineStr">
        <is>
          <t>chemicals</t>
        </is>
      </c>
      <c r="D81" s="31" t="inlineStr">
        <is>
          <t>chemicals</t>
        </is>
      </c>
      <c r="E81" s="31" t="inlineStr">
        <is>
          <t>midcap</t>
        </is>
      </c>
      <c r="F81" s="31" t="n">
        <v>19122.95</v>
      </c>
      <c r="G81" s="31" t="n">
        <v>543.15</v>
      </c>
      <c r="H81" s="31" t="n">
        <v>3.03</v>
      </c>
      <c r="I81" s="31" t="n">
        <v>2435854</v>
      </c>
      <c r="J81" s="31" t="inlineStr">
        <is>
          <t>524208</t>
        </is>
      </c>
    </row>
    <row r="82">
      <c r="A82" s="31" t="inlineStr">
        <is>
          <t>PREMIERPOL</t>
        </is>
      </c>
      <c r="B82" s="31" t="inlineStr">
        <is>
          <t>Premier Polyfilm Limited</t>
        </is>
      </c>
      <c r="C82" s="31" t="inlineStr">
        <is>
          <t>plastic products</t>
        </is>
      </c>
      <c r="D82" s="31" t="inlineStr">
        <is>
          <t>plastics products</t>
        </is>
      </c>
      <c r="E82" s="31" t="inlineStr">
        <is>
          <t>smallcap</t>
        </is>
      </c>
      <c r="F82" s="31" t="n">
        <v>910.95</v>
      </c>
      <c r="G82" s="31" t="n">
        <v>89.59999999999999</v>
      </c>
      <c r="H82" s="31" t="n">
        <v>3.02</v>
      </c>
      <c r="I82" s="31" t="n">
        <v>634397</v>
      </c>
      <c r="J82" s="31" t="inlineStr">
        <is>
          <t>514354</t>
        </is>
      </c>
    </row>
    <row r="83">
      <c r="A83" s="31" t="inlineStr">
        <is>
          <t>GAYAPROJ</t>
        </is>
      </c>
      <c r="B83" s="31" t="inlineStr">
        <is>
          <t>Gayatri Projects Limited</t>
        </is>
      </c>
      <c r="C83" s="31" t="inlineStr">
        <is>
          <t>realty</t>
        </is>
      </c>
      <c r="D83" s="31" t="inlineStr">
        <is>
          <t>construction</t>
        </is>
      </c>
      <c r="E83" s="31" t="inlineStr">
        <is>
          <t>smallcap</t>
        </is>
      </c>
      <c r="F83" s="31" t="n">
        <v>1010.31</v>
      </c>
      <c r="G83" s="31" t="n">
        <v>22.39</v>
      </c>
      <c r="H83" s="31" t="n">
        <v>2.9</v>
      </c>
      <c r="I83" s="31" t="n">
        <v>1022944</v>
      </c>
      <c r="J83" s="31" t="inlineStr">
        <is>
          <t>532767</t>
        </is>
      </c>
    </row>
    <row r="84">
      <c r="A84" s="31" t="inlineStr">
        <is>
          <t>EIMCOELECO</t>
        </is>
      </c>
      <c r="B84" s="31" t="inlineStr">
        <is>
          <t>Eimco Elecon (india) Limited</t>
        </is>
      </c>
      <c r="C84" s="31" t="inlineStr">
        <is>
          <t>industrials</t>
        </is>
      </c>
      <c r="D84" s="31" t="inlineStr">
        <is>
          <t>engineering</t>
        </is>
      </c>
      <c r="E84" s="31" t="inlineStr">
        <is>
          <t>smallcap</t>
        </is>
      </c>
      <c r="F84" s="31" t="n">
        <v>1259.18</v>
      </c>
      <c r="G84" s="31" t="n">
        <v>2245.8</v>
      </c>
      <c r="H84" s="31" t="n">
        <v>2.88</v>
      </c>
      <c r="I84" s="31" t="n">
        <v>120438</v>
      </c>
      <c r="J84" s="31" t="inlineStr">
        <is>
          <t>523708</t>
        </is>
      </c>
    </row>
    <row r="85">
      <c r="A85" s="31" t="inlineStr">
        <is>
          <t>GEOJITFSL</t>
        </is>
      </c>
      <c r="B85" s="31" t="inlineStr">
        <is>
          <t>Geojit Financial Services Ltd</t>
        </is>
      </c>
      <c r="C85" s="31" t="inlineStr">
        <is>
          <t>financials</t>
        </is>
      </c>
      <c r="D85" s="31" t="inlineStr">
        <is>
          <t>finance &amp; investments</t>
        </is>
      </c>
      <c r="E85" s="31" t="inlineStr">
        <is>
          <t>smallcap</t>
        </is>
      </c>
      <c r="F85" s="31" t="n">
        <v>2253.07</v>
      </c>
      <c r="G85" s="31" t="n">
        <v>82.98</v>
      </c>
      <c r="H85" s="31" t="n">
        <v>2.8</v>
      </c>
      <c r="I85" s="31" t="n">
        <v>1890394</v>
      </c>
      <c r="J85" s="31" t="inlineStr">
        <is>
          <t>532285</t>
        </is>
      </c>
    </row>
    <row r="86">
      <c r="A86" s="31" t="inlineStr">
        <is>
          <t>AKUMS</t>
        </is>
      </c>
      <c r="B86" s="31" t="inlineStr">
        <is>
          <t>Akums Drugs &amp; Pharmaceuticals Ltd</t>
        </is>
      </c>
      <c r="C86" s="31" t="inlineStr">
        <is>
          <t>healthcare</t>
        </is>
      </c>
      <c r="D86" s="31" t="inlineStr">
        <is>
          <t>pharmaceuticals - indian - bulk drugs &amp; formln</t>
        </is>
      </c>
      <c r="E86" s="31" t="inlineStr">
        <is>
          <t>midcap</t>
        </is>
      </c>
      <c r="F86" s="31" t="n">
        <v>11804.55</v>
      </c>
      <c r="G86" s="31" t="n">
        <v>770.35</v>
      </c>
      <c r="H86" s="31" t="n">
        <v>2.71</v>
      </c>
      <c r="I86" s="31" t="n">
        <v>616758</v>
      </c>
      <c r="J86" s="31" t="inlineStr">
        <is>
          <t>544222</t>
        </is>
      </c>
    </row>
    <row r="87">
      <c r="A87" s="31" t="inlineStr">
        <is>
          <t>UGARSUGAR</t>
        </is>
      </c>
      <c r="B87" s="31" t="inlineStr">
        <is>
          <t>The Ugar Sugar Works Limited</t>
        </is>
      </c>
      <c r="C87" s="31" t="inlineStr">
        <is>
          <t>fmcg</t>
        </is>
      </c>
      <c r="D87" s="31" t="inlineStr">
        <is>
          <t>sugar</t>
        </is>
      </c>
      <c r="E87" s="31" t="inlineStr">
        <is>
          <t>smallcap</t>
        </is>
      </c>
      <c r="F87" s="31" t="n">
        <v>635.63</v>
      </c>
      <c r="G87" s="31" t="n">
        <v>58.01</v>
      </c>
      <c r="H87" s="31" t="n">
        <v>2.67</v>
      </c>
      <c r="I87" s="31" t="n">
        <v>2552909</v>
      </c>
      <c r="J87" s="31" t="inlineStr">
        <is>
          <t>530363</t>
        </is>
      </c>
    </row>
    <row r="88">
      <c r="A88" s="31" t="inlineStr">
        <is>
          <t>WELENT</t>
        </is>
      </c>
      <c r="B88" s="31" t="inlineStr">
        <is>
          <t>Welspun Enterprises Limited</t>
        </is>
      </c>
      <c r="C88" s="31" t="inlineStr">
        <is>
          <t>realty</t>
        </is>
      </c>
      <c r="D88" s="31" t="inlineStr">
        <is>
          <t>construction</t>
        </is>
      </c>
      <c r="E88" s="31" t="inlineStr">
        <is>
          <t>midcap</t>
        </is>
      </c>
      <c r="F88" s="31" t="n">
        <v>8740.139999999999</v>
      </c>
      <c r="G88" s="31" t="n">
        <v>647.9</v>
      </c>
      <c r="H88" s="31" t="n">
        <v>2.61</v>
      </c>
      <c r="I88" s="31" t="n">
        <v>2321895</v>
      </c>
      <c r="J88" s="31" t="inlineStr">
        <is>
          <t>532553</t>
        </is>
      </c>
    </row>
    <row r="89">
      <c r="A89" s="31" t="inlineStr">
        <is>
          <t>MCX</t>
        </is>
      </c>
      <c r="B89" s="31" t="inlineStr">
        <is>
          <t>Multi Commodity Exchange Of India Limited</t>
        </is>
      </c>
      <c r="C89" s="31" t="inlineStr">
        <is>
          <t>financials</t>
        </is>
      </c>
      <c r="D89" s="31" t="inlineStr">
        <is>
          <t>miscellaneous</t>
        </is>
      </c>
      <c r="E89" s="31" t="inlineStr">
        <is>
          <t>largecap</t>
        </is>
      </c>
      <c r="F89" s="31" t="n">
        <v>81214.89999999999</v>
      </c>
      <c r="G89" s="31" t="n">
        <v>3268</v>
      </c>
      <c r="H89" s="31" t="n">
        <v>2.61</v>
      </c>
      <c r="I89" s="31" t="n">
        <v>3378063</v>
      </c>
      <c r="J89" s="31" t="inlineStr">
        <is>
          <t>534091</t>
        </is>
      </c>
    </row>
    <row r="90">
      <c r="A90" s="31" t="inlineStr">
        <is>
          <t>JSWSTEEL</t>
        </is>
      </c>
      <c r="B90" s="31" t="inlineStr">
        <is>
          <t>Jsw Steel Limited</t>
        </is>
      </c>
      <c r="C90" s="31" t="inlineStr">
        <is>
          <t>metals &amp; mining</t>
        </is>
      </c>
      <c r="D90" s="31" t="inlineStr">
        <is>
          <t>steel - large</t>
        </is>
      </c>
      <c r="E90" s="31" t="inlineStr">
        <is>
          <t>largecap</t>
        </is>
      </c>
      <c r="F90" s="31" t="n">
        <v>316368.38</v>
      </c>
      <c r="G90" s="31" t="n">
        <v>1327</v>
      </c>
      <c r="H90" s="31" t="n">
        <v>2.57</v>
      </c>
      <c r="I90" s="31" t="n">
        <v>3600760</v>
      </c>
      <c r="J90" s="31" t="inlineStr">
        <is>
          <t>500228</t>
        </is>
      </c>
    </row>
    <row r="91">
      <c r="A91" s="31" t="inlineStr">
        <is>
          <t>SJS</t>
        </is>
      </c>
      <c r="B91" s="31" t="inlineStr">
        <is>
          <t>S J S Enterprises Ltd</t>
        </is>
      </c>
      <c r="C91" s="31" t="inlineStr">
        <is>
          <t>auto</t>
        </is>
      </c>
      <c r="D91" s="31" t="inlineStr">
        <is>
          <t>plastics products</t>
        </is>
      </c>
      <c r="E91" s="31" t="inlineStr">
        <is>
          <t>midcap</t>
        </is>
      </c>
      <c r="F91" s="31" t="n">
        <v>7992.97</v>
      </c>
      <c r="G91" s="31" t="n">
        <v>2561.7</v>
      </c>
      <c r="H91" s="31" t="n">
        <v>2.57</v>
      </c>
      <c r="I91" s="31" t="n">
        <v>194561</v>
      </c>
      <c r="J91" s="31" t="inlineStr">
        <is>
          <t>543387</t>
        </is>
      </c>
    </row>
    <row r="92">
      <c r="A92" s="31" t="inlineStr">
        <is>
          <t>MODISONLTD</t>
        </is>
      </c>
      <c r="B92" s="31" t="inlineStr">
        <is>
          <t>Modison Ltd</t>
        </is>
      </c>
      <c r="C92" s="31" t="inlineStr">
        <is>
          <t>industrials</t>
        </is>
      </c>
      <c r="D92" s="31" t="inlineStr">
        <is>
          <t>electric equipment</t>
        </is>
      </c>
      <c r="E92" s="31" t="inlineStr">
        <is>
          <t>smallcap</t>
        </is>
      </c>
      <c r="F92" s="31" t="n">
        <v>1256.3</v>
      </c>
      <c r="G92" s="31" t="n">
        <v>397</v>
      </c>
      <c r="H92" s="31" t="n">
        <v>2.54</v>
      </c>
      <c r="I92" s="31" t="n">
        <v>164183</v>
      </c>
      <c r="J92" s="31" t="inlineStr">
        <is>
          <t>506261</t>
        </is>
      </c>
    </row>
    <row r="93">
      <c r="A93" s="31" t="inlineStr">
        <is>
          <t>AETHER</t>
        </is>
      </c>
      <c r="B93" s="31" t="inlineStr">
        <is>
          <t>Aether Industries Ltd</t>
        </is>
      </c>
      <c r="C93" s="31" t="inlineStr">
        <is>
          <t>chemicals</t>
        </is>
      </c>
      <c r="D93" s="31" t="inlineStr">
        <is>
          <t>chemicals</t>
        </is>
      </c>
      <c r="E93" s="31" t="inlineStr">
        <is>
          <t>largecap</t>
        </is>
      </c>
      <c r="F93" s="31" t="n">
        <v>21587.03</v>
      </c>
      <c r="G93" s="31" t="n">
        <v>1667.8</v>
      </c>
      <c r="H93" s="31" t="n">
        <v>2.53</v>
      </c>
      <c r="I93" s="31" t="n">
        <v>352448</v>
      </c>
      <c r="J93" s="31" t="inlineStr">
        <is>
          <t>543534</t>
        </is>
      </c>
    </row>
    <row r="94">
      <c r="A94" s="31" t="inlineStr">
        <is>
          <t>UDS</t>
        </is>
      </c>
      <c r="B94" s="31" t="inlineStr">
        <is>
          <t>Updater Services Ltd</t>
        </is>
      </c>
      <c r="C94" s="31" t="inlineStr">
        <is>
          <t>miscellaneous</t>
        </is>
      </c>
      <c r="D94" s="31" t="inlineStr">
        <is>
          <t>miscellaneous</t>
        </is>
      </c>
      <c r="E94" s="31" t="inlineStr">
        <is>
          <t>smallcap</t>
        </is>
      </c>
      <c r="F94" s="31" t="n">
        <v>1443.98</v>
      </c>
      <c r="G94" s="31" t="n">
        <v>221.1</v>
      </c>
      <c r="H94" s="31" t="n">
        <v>2.52</v>
      </c>
      <c r="I94" s="31" t="n">
        <v>936894</v>
      </c>
      <c r="J94" s="31" t="inlineStr">
        <is>
          <t>543996</t>
        </is>
      </c>
    </row>
    <row r="95">
      <c r="A95" s="31" t="inlineStr">
        <is>
          <t>GANDHAR</t>
        </is>
      </c>
      <c r="B95" s="31" t="inlineStr">
        <is>
          <t>Gandhar Oil Refinery (India) Ltd</t>
        </is>
      </c>
      <c r="C95" s="31" t="inlineStr">
        <is>
          <t>energy</t>
        </is>
      </c>
      <c r="D95" s="31" t="inlineStr">
        <is>
          <t>refineries</t>
        </is>
      </c>
      <c r="E95" s="31" t="inlineStr">
        <is>
          <t>smallcap</t>
        </is>
      </c>
      <c r="F95" s="31" t="n">
        <v>2451.2</v>
      </c>
      <c r="G95" s="31" t="n">
        <v>256.62</v>
      </c>
      <c r="H95" s="31" t="n">
        <v>2.47</v>
      </c>
      <c r="I95" s="31" t="n">
        <v>1907135</v>
      </c>
      <c r="J95" s="31" t="inlineStr">
        <is>
          <t>544029</t>
        </is>
      </c>
    </row>
    <row r="96">
      <c r="A96" s="31" t="inlineStr">
        <is>
          <t>FINCABLES</t>
        </is>
      </c>
      <c r="B96" s="31" t="inlineStr">
        <is>
          <t>Finolex Cables Limited</t>
        </is>
      </c>
      <c r="C96" s="31" t="inlineStr">
        <is>
          <t>industrials</t>
        </is>
      </c>
      <c r="D96" s="31" t="inlineStr">
        <is>
          <t>cables - power</t>
        </is>
      </c>
      <c r="E96" s="31" t="inlineStr">
        <is>
          <t>midcap</t>
        </is>
      </c>
      <c r="F96" s="31" t="n">
        <v>19278</v>
      </c>
      <c r="G96" s="31" t="n">
        <v>1291.6</v>
      </c>
      <c r="H96" s="31" t="n">
        <v>2.47</v>
      </c>
      <c r="I96" s="31" t="n">
        <v>895327</v>
      </c>
      <c r="J96" s="31" t="inlineStr">
        <is>
          <t>500144</t>
        </is>
      </c>
    </row>
    <row r="97">
      <c r="A97" s="31" t="inlineStr">
        <is>
          <t>DWARKESH</t>
        </is>
      </c>
      <c r="B97" s="31" t="inlineStr">
        <is>
          <t>Dwarikesh Sugar Industries Limited</t>
        </is>
      </c>
      <c r="C97" s="31" t="inlineStr">
        <is>
          <t>fmcg</t>
        </is>
      </c>
      <c r="D97" s="31" t="inlineStr">
        <is>
          <t>sugar</t>
        </is>
      </c>
      <c r="E97" s="31" t="inlineStr">
        <is>
          <t>smallcap</t>
        </is>
      </c>
      <c r="F97" s="31" t="n">
        <v>993.77</v>
      </c>
      <c r="G97" s="31" t="n">
        <v>54.94</v>
      </c>
      <c r="H97" s="31" t="n">
        <v>2.44</v>
      </c>
      <c r="I97" s="31" t="n">
        <v>30769661</v>
      </c>
      <c r="J97" s="31" t="inlineStr">
        <is>
          <t>532610</t>
        </is>
      </c>
    </row>
    <row r="98">
      <c r="A98" s="31" t="inlineStr">
        <is>
          <t>IIFL</t>
        </is>
      </c>
      <c r="B98" s="31" t="inlineStr">
        <is>
          <t>IIFL Finance Ltd</t>
        </is>
      </c>
      <c r="C98" s="31" t="inlineStr">
        <is>
          <t>financials</t>
        </is>
      </c>
      <c r="D98" s="31" t="inlineStr">
        <is>
          <t>finance &amp; investments</t>
        </is>
      </c>
      <c r="E98" s="31" t="inlineStr">
        <is>
          <t>largecap</t>
        </is>
      </c>
      <c r="F98" s="31" t="n">
        <v>28913.59</v>
      </c>
      <c r="G98" s="31" t="n">
        <v>696.4</v>
      </c>
      <c r="H98" s="31" t="n">
        <v>2.44</v>
      </c>
      <c r="I98" s="31" t="n">
        <v>5378730</v>
      </c>
      <c r="J98" s="31" t="inlineStr">
        <is>
          <t>532636</t>
        </is>
      </c>
    </row>
    <row r="99">
      <c r="A99" s="31" t="inlineStr">
        <is>
          <t>JAYAGROGN</t>
        </is>
      </c>
      <c r="B99" s="31" t="inlineStr">
        <is>
          <t>Jayant Agro Organics Limited</t>
        </is>
      </c>
      <c r="C99" s="31" t="inlineStr">
        <is>
          <t>chemicals</t>
        </is>
      </c>
      <c r="D99" s="31" t="inlineStr">
        <is>
          <t>chemicals</t>
        </is>
      </c>
      <c r="E99" s="31" t="inlineStr">
        <is>
          <t>smallcap</t>
        </is>
      </c>
      <c r="F99" s="31" t="n">
        <v>662.0700000000001</v>
      </c>
      <c r="G99" s="31" t="n">
        <v>226</v>
      </c>
      <c r="H99" s="31" t="n">
        <v>2.41</v>
      </c>
      <c r="I99" s="31" t="n">
        <v>11684</v>
      </c>
      <c r="J99" s="31" t="inlineStr">
        <is>
          <t>524330</t>
        </is>
      </c>
    </row>
    <row r="100">
      <c r="A100" s="31" t="inlineStr">
        <is>
          <t>TBZ</t>
        </is>
      </c>
      <c r="B100" s="31" t="inlineStr">
        <is>
          <t>Tribhovandas Bhimji Zaveri Limited</t>
        </is>
      </c>
      <c r="C100" s="31" t="inlineStr">
        <is>
          <t>consumer discretionary</t>
        </is>
      </c>
      <c r="D100" s="31" t="inlineStr">
        <is>
          <t>diamond cutting / jewellery</t>
        </is>
      </c>
      <c r="E100" s="31" t="inlineStr">
        <is>
          <t>smallcap</t>
        </is>
      </c>
      <c r="F100" s="31" t="n">
        <v>1865.12</v>
      </c>
      <c r="G100" s="31" t="n">
        <v>286.2</v>
      </c>
      <c r="H100" s="31" t="n">
        <v>2.4</v>
      </c>
      <c r="I100" s="31" t="n">
        <v>1573670</v>
      </c>
      <c r="J100" s="31" t="inlineStr">
        <is>
          <t>534369</t>
        </is>
      </c>
    </row>
    <row r="101">
      <c r="A101" s="31" t="inlineStr">
        <is>
          <t>HINDALCO</t>
        </is>
      </c>
      <c r="B101" s="31" t="inlineStr">
        <is>
          <t>Hindalco Industries Limited</t>
        </is>
      </c>
      <c r="C101" s="31" t="inlineStr">
        <is>
          <t>metals &amp; mining</t>
        </is>
      </c>
      <c r="D101" s="31" t="inlineStr">
        <is>
          <t>aluminium and aluminium products</t>
        </is>
      </c>
      <c r="E101" s="31" t="inlineStr">
        <is>
          <t>largecap</t>
        </is>
      </c>
      <c r="F101" s="31" t="n">
        <v>232363.22</v>
      </c>
      <c r="G101" s="31" t="n">
        <v>1058.5</v>
      </c>
      <c r="H101" s="31" t="n">
        <v>2.37</v>
      </c>
      <c r="I101" s="31" t="n">
        <v>3954751</v>
      </c>
      <c r="J101" s="31" t="inlineStr">
        <is>
          <t>500440</t>
        </is>
      </c>
    </row>
    <row r="102">
      <c r="A102" s="31" t="inlineStr">
        <is>
          <t>PVRINOX</t>
        </is>
      </c>
      <c r="B102" s="31" t="inlineStr">
        <is>
          <t>PVR Inox Ltd</t>
        </is>
      </c>
      <c r="C102" s="31" t="inlineStr">
        <is>
          <t>media</t>
        </is>
      </c>
      <c r="D102" s="31" t="inlineStr">
        <is>
          <t>entertainment / electronic media software</t>
        </is>
      </c>
      <c r="E102" s="31" t="inlineStr">
        <is>
          <t>midcap</t>
        </is>
      </c>
      <c r="F102" s="31" t="n">
        <v>11948.97</v>
      </c>
      <c r="G102" s="31" t="n">
        <v>1245</v>
      </c>
      <c r="H102" s="31" t="n">
        <v>2.32</v>
      </c>
      <c r="I102" s="31" t="n">
        <v>1281972</v>
      </c>
      <c r="J102" s="31" t="inlineStr">
        <is>
          <t>532689</t>
        </is>
      </c>
    </row>
    <row r="103">
      <c r="A103" s="31" t="inlineStr">
        <is>
          <t>BRIGADE</t>
        </is>
      </c>
      <c r="B103" s="31" t="inlineStr">
        <is>
          <t>Brigade Enterprises Limited</t>
        </is>
      </c>
      <c r="C103" s="31" t="inlineStr">
        <is>
          <t>realty</t>
        </is>
      </c>
      <c r="D103" s="31" t="inlineStr">
        <is>
          <t>construction</t>
        </is>
      </c>
      <c r="E103" s="31" t="inlineStr">
        <is>
          <t>largecap</t>
        </is>
      </c>
      <c r="F103" s="31" t="n">
        <v>20851.56</v>
      </c>
      <c r="G103" s="31" t="n">
        <v>654.1</v>
      </c>
      <c r="H103" s="31" t="n">
        <v>2.32</v>
      </c>
      <c r="I103" s="31" t="n">
        <v>1489110</v>
      </c>
      <c r="J103" s="31" t="inlineStr">
        <is>
          <t>532929</t>
        </is>
      </c>
    </row>
    <row r="104">
      <c r="A104" s="31" t="inlineStr">
        <is>
          <t>FMGOETZE</t>
        </is>
      </c>
      <c r="B104" s="31" t="inlineStr">
        <is>
          <t>Federal-mogul Goetze (india) Limited.</t>
        </is>
      </c>
      <c r="C104" s="31" t="inlineStr">
        <is>
          <t>auto</t>
        </is>
      </c>
      <c r="D104" s="31" t="inlineStr">
        <is>
          <t>auto ancillaries</t>
        </is>
      </c>
      <c r="E104" s="31" t="inlineStr">
        <is>
          <t>smallcap</t>
        </is>
      </c>
      <c r="F104" s="31" t="n">
        <v>2626.39</v>
      </c>
      <c r="G104" s="31" t="n">
        <v>483</v>
      </c>
      <c r="H104" s="31" t="n">
        <v>2.31</v>
      </c>
      <c r="I104" s="31" t="n">
        <v>63434</v>
      </c>
      <c r="J104" s="31" t="inlineStr">
        <is>
          <t>505744</t>
        </is>
      </c>
    </row>
    <row r="105">
      <c r="A105" s="31" t="inlineStr">
        <is>
          <t>DMCC</t>
        </is>
      </c>
      <c r="B105" s="31" t="inlineStr">
        <is>
          <t>DMCC Speciality Chemicals Ltd</t>
        </is>
      </c>
      <c r="C105" s="31" t="inlineStr">
        <is>
          <t>chemicals</t>
        </is>
      </c>
      <c r="D105" s="31" t="inlineStr">
        <is>
          <t>chemicals</t>
        </is>
      </c>
      <c r="E105" s="31" t="inlineStr">
        <is>
          <t>smallcap</t>
        </is>
      </c>
      <c r="F105" s="31" t="n">
        <v>709.04</v>
      </c>
      <c r="G105" s="31" t="n">
        <v>290.85</v>
      </c>
      <c r="H105" s="31" t="n">
        <v>2.3</v>
      </c>
      <c r="I105" s="31" t="n">
        <v>59736</v>
      </c>
      <c r="J105" s="31" t="inlineStr">
        <is>
          <t>506405</t>
        </is>
      </c>
    </row>
    <row r="106">
      <c r="A106" s="31" t="inlineStr">
        <is>
          <t>STEL</t>
        </is>
      </c>
      <c r="B106" s="31" t="inlineStr">
        <is>
          <t>Stel Holdings Limited</t>
        </is>
      </c>
      <c r="C106" s="31" t="inlineStr">
        <is>
          <t>financials</t>
        </is>
      </c>
      <c r="D106" s="31" t="inlineStr">
        <is>
          <t>finance &amp; investments</t>
        </is>
      </c>
      <c r="E106" s="31" t="inlineStr">
        <is>
          <t>smallcap</t>
        </is>
      </c>
      <c r="F106" s="31" t="n">
        <v>1127.72</v>
      </c>
      <c r="G106" s="31" t="n">
        <v>625</v>
      </c>
      <c r="H106" s="31" t="n">
        <v>2.28</v>
      </c>
      <c r="I106" s="31" t="n">
        <v>19609</v>
      </c>
      <c r="J106" s="31" t="n"/>
    </row>
    <row r="107">
      <c r="A107" s="31" t="inlineStr">
        <is>
          <t>FINEORG</t>
        </is>
      </c>
      <c r="B107" s="31" t="inlineStr">
        <is>
          <t>Fine Organic Industries Ltd</t>
        </is>
      </c>
      <c r="C107" s="31" t="inlineStr">
        <is>
          <t>chemicals</t>
        </is>
      </c>
      <c r="D107" s="31" t="inlineStr">
        <is>
          <t>chemicals</t>
        </is>
      </c>
      <c r="E107" s="31" t="inlineStr">
        <is>
          <t>midcap</t>
        </is>
      </c>
      <c r="F107" s="31" t="n">
        <v>15820.24</v>
      </c>
      <c r="G107" s="31" t="n">
        <v>5277.4</v>
      </c>
      <c r="H107" s="31" t="n">
        <v>2.28</v>
      </c>
      <c r="I107" s="31" t="n">
        <v>93520</v>
      </c>
      <c r="J107" s="31" t="inlineStr">
        <is>
          <t>541557</t>
        </is>
      </c>
    </row>
    <row r="108">
      <c r="A108" s="31" t="inlineStr">
        <is>
          <t>AURUM</t>
        </is>
      </c>
      <c r="B108" s="31" t="inlineStr">
        <is>
          <t>Aurum Proptech Ltd</t>
        </is>
      </c>
      <c r="C108" s="31" t="inlineStr">
        <is>
          <t>i.t</t>
        </is>
      </c>
      <c r="D108" s="31" t="inlineStr">
        <is>
          <t>computers - software - medium / small</t>
        </is>
      </c>
      <c r="E108" s="31" t="inlineStr">
        <is>
          <t>smallcap</t>
        </is>
      </c>
      <c r="F108" s="31" t="n">
        <v>1748.2</v>
      </c>
      <c r="G108" s="31" t="n">
        <v>233</v>
      </c>
      <c r="H108" s="31" t="n">
        <v>2.27</v>
      </c>
      <c r="I108" s="31" t="n">
        <v>317099</v>
      </c>
      <c r="J108" s="31" t="inlineStr">
        <is>
          <t>539289</t>
        </is>
      </c>
    </row>
    <row r="109">
      <c r="A109" s="31" t="inlineStr">
        <is>
          <t>ORIENTHOT</t>
        </is>
      </c>
      <c r="B109" s="31" t="inlineStr">
        <is>
          <t>Oriental Hotels Limited</t>
        </is>
      </c>
      <c r="C109" s="31" t="inlineStr">
        <is>
          <t>services</t>
        </is>
      </c>
      <c r="D109" s="31" t="inlineStr">
        <is>
          <t>hotels</t>
        </is>
      </c>
      <c r="E109" s="31" t="inlineStr">
        <is>
          <t>smallcap</t>
        </is>
      </c>
      <c r="F109" s="31" t="n">
        <v>2476.63</v>
      </c>
      <c r="G109" s="31" t="n">
        <v>141.78</v>
      </c>
      <c r="H109" s="31" t="n">
        <v>2.24</v>
      </c>
      <c r="I109" s="31" t="n">
        <v>8374995</v>
      </c>
      <c r="J109" s="31" t="inlineStr">
        <is>
          <t>500314</t>
        </is>
      </c>
    </row>
    <row r="110">
      <c r="A110" s="31" t="inlineStr">
        <is>
          <t>NATIONALUM</t>
        </is>
      </c>
      <c r="B110" s="31" t="inlineStr">
        <is>
          <t>National Aluminium Company Limited</t>
        </is>
      </c>
      <c r="C110" s="31" t="inlineStr">
        <is>
          <t>metals &amp; mining</t>
        </is>
      </c>
      <c r="D110" s="31" t="inlineStr">
        <is>
          <t>aluminium and aluminium products</t>
        </is>
      </c>
      <c r="E110" s="31" t="inlineStr">
        <is>
          <t>largecap</t>
        </is>
      </c>
      <c r="F110" s="31" t="n">
        <v>72445.94</v>
      </c>
      <c r="G110" s="31" t="n">
        <v>403.3</v>
      </c>
      <c r="H110" s="31" t="n">
        <v>2.24</v>
      </c>
      <c r="I110" s="31" t="n">
        <v>7163993</v>
      </c>
      <c r="J110" s="31" t="inlineStr">
        <is>
          <t>532234</t>
        </is>
      </c>
    </row>
    <row r="111">
      <c r="A111" s="31" t="inlineStr">
        <is>
          <t>UNIVCABLES</t>
        </is>
      </c>
      <c r="B111" s="31" t="inlineStr">
        <is>
          <t>Universal Cables Limited</t>
        </is>
      </c>
      <c r="C111" s="31" t="inlineStr">
        <is>
          <t>industrials</t>
        </is>
      </c>
      <c r="D111" s="31" t="inlineStr">
        <is>
          <t>cables - power</t>
        </is>
      </c>
      <c r="E111" s="31" t="inlineStr">
        <is>
          <t>midcap</t>
        </is>
      </c>
      <c r="F111" s="31" t="n">
        <v>5525.24</v>
      </c>
      <c r="G111" s="31" t="n">
        <v>1627</v>
      </c>
      <c r="H111" s="31" t="n">
        <v>2.17</v>
      </c>
      <c r="I111" s="31" t="n">
        <v>223419</v>
      </c>
      <c r="J111" s="31" t="inlineStr">
        <is>
          <t>504212</t>
        </is>
      </c>
    </row>
    <row r="112">
      <c r="A112" s="31" t="inlineStr">
        <is>
          <t>CARTRADE</t>
        </is>
      </c>
      <c r="B112" s="31" t="inlineStr">
        <is>
          <t>Cartrade Tech Ltd</t>
        </is>
      </c>
      <c r="C112" s="31" t="inlineStr">
        <is>
          <t>consumer discretionary</t>
        </is>
      </c>
      <c r="D112" s="31" t="inlineStr">
        <is>
          <t>miscellaneous</t>
        </is>
      </c>
      <c r="E112" s="31" t="inlineStr">
        <is>
          <t>midcap</t>
        </is>
      </c>
      <c r="F112" s="31" t="n">
        <v>14757</v>
      </c>
      <c r="G112" s="31" t="n">
        <v>3138.6</v>
      </c>
      <c r="H112" s="31" t="n">
        <v>2.14</v>
      </c>
      <c r="I112" s="31" t="n">
        <v>543868</v>
      </c>
      <c r="J112" s="31" t="inlineStr">
        <is>
          <t>543333</t>
        </is>
      </c>
    </row>
    <row r="113">
      <c r="A113" s="31" t="inlineStr">
        <is>
          <t>RBA</t>
        </is>
      </c>
      <c r="B113" s="31" t="inlineStr">
        <is>
          <t>Restaurant Brands Asia Ltd</t>
        </is>
      </c>
      <c r="C113" s="31" t="inlineStr">
        <is>
          <t>consumer discretionary</t>
        </is>
      </c>
      <c r="D113" s="31" t="inlineStr">
        <is>
          <t>hotels</t>
        </is>
      </c>
      <c r="E113" s="31" t="inlineStr">
        <is>
          <t>midcap</t>
        </is>
      </c>
      <c r="F113" s="31" t="n">
        <v>7418.96</v>
      </c>
      <c r="G113" s="31" t="n">
        <v>106.45</v>
      </c>
      <c r="H113" s="31" t="n">
        <v>2.12</v>
      </c>
      <c r="I113" s="31" t="n">
        <v>9573599</v>
      </c>
      <c r="J113" s="31" t="inlineStr">
        <is>
          <t>543248</t>
        </is>
      </c>
    </row>
    <row r="114">
      <c r="A114" s="31" t="inlineStr">
        <is>
          <t>GULFOILLUB</t>
        </is>
      </c>
      <c r="B114" s="31" t="inlineStr">
        <is>
          <t>Gulf Oil Lubricants India Limited</t>
        </is>
      </c>
      <c r="C114" s="31" t="inlineStr">
        <is>
          <t>chemicals</t>
        </is>
      </c>
      <c r="D114" s="31" t="inlineStr">
        <is>
          <t>chemicals</t>
        </is>
      </c>
      <c r="E114" s="31" t="inlineStr">
        <is>
          <t>midcap</t>
        </is>
      </c>
      <c r="F114" s="31" t="n">
        <v>5644.42</v>
      </c>
      <c r="G114" s="31" t="n">
        <v>1164.1</v>
      </c>
      <c r="H114" s="31" t="n">
        <v>2.12</v>
      </c>
      <c r="I114" s="31" t="n">
        <v>191771</v>
      </c>
      <c r="J114" s="31" t="inlineStr">
        <is>
          <t>538567</t>
        </is>
      </c>
    </row>
    <row r="115">
      <c r="A115" s="31" t="inlineStr">
        <is>
          <t>MANAPPURAM</t>
        </is>
      </c>
      <c r="B115" s="31" t="inlineStr">
        <is>
          <t>Manappuram Finance Limited</t>
        </is>
      </c>
      <c r="C115" s="31" t="inlineStr">
        <is>
          <t>financials</t>
        </is>
      </c>
      <c r="D115" s="31" t="inlineStr">
        <is>
          <t>finance &amp; investments</t>
        </is>
      </c>
      <c r="E115" s="31" t="inlineStr">
        <is>
          <t>largecap</t>
        </is>
      </c>
      <c r="F115" s="31" t="n">
        <v>33581.27</v>
      </c>
      <c r="G115" s="31" t="n">
        <v>365.05</v>
      </c>
      <c r="H115" s="31" t="n">
        <v>2.11</v>
      </c>
      <c r="I115" s="31" t="n">
        <v>10480176</v>
      </c>
      <c r="J115" s="31" t="inlineStr">
        <is>
          <t>531213</t>
        </is>
      </c>
    </row>
    <row r="116">
      <c r="A116" s="31" t="inlineStr">
        <is>
          <t>VMART</t>
        </is>
      </c>
      <c r="B116" s="31" t="inlineStr">
        <is>
          <t>V-mart Retail Limited</t>
        </is>
      </c>
      <c r="C116" s="31" t="inlineStr">
        <is>
          <t>consumer discretionary</t>
        </is>
      </c>
      <c r="D116" s="31" t="inlineStr">
        <is>
          <t>trading</t>
        </is>
      </c>
      <c r="E116" s="31" t="inlineStr">
        <is>
          <t>midcap</t>
        </is>
      </c>
      <c r="F116" s="31" t="n">
        <v>6672.88</v>
      </c>
      <c r="G116" s="31" t="n">
        <v>856.55</v>
      </c>
      <c r="H116" s="31" t="n">
        <v>2.11</v>
      </c>
      <c r="I116" s="31" t="n">
        <v>352432</v>
      </c>
      <c r="J116" s="31" t="inlineStr">
        <is>
          <t>534976</t>
        </is>
      </c>
    </row>
    <row r="117">
      <c r="A117" s="31" t="inlineStr">
        <is>
          <t>CYIENTDLM</t>
        </is>
      </c>
      <c r="B117" s="31" t="inlineStr">
        <is>
          <t>Cyient DLM Ltd</t>
        </is>
      </c>
      <c r="C117" s="31" t="inlineStr">
        <is>
          <t>aerospace &amp; defence</t>
        </is>
      </c>
      <c r="D117" s="31" t="inlineStr">
        <is>
          <t>electronics - components</t>
        </is>
      </c>
      <c r="E117" s="31" t="inlineStr">
        <is>
          <t>midcap</t>
        </is>
      </c>
      <c r="F117" s="31" t="n">
        <v>5724.73</v>
      </c>
      <c r="G117" s="31" t="n">
        <v>735.85</v>
      </c>
      <c r="H117" s="31" t="n">
        <v>2.04</v>
      </c>
      <c r="I117" s="31" t="n">
        <v>1184889</v>
      </c>
      <c r="J117" s="31" t="inlineStr">
        <is>
          <t>543933</t>
        </is>
      </c>
    </row>
    <row r="118">
      <c r="A118" s="31" t="inlineStr">
        <is>
          <t>UFBL</t>
        </is>
      </c>
      <c r="B118" s="31" t="inlineStr">
        <is>
          <t>United Foodbrands Ltd</t>
        </is>
      </c>
      <c r="C118" s="31" t="inlineStr">
        <is>
          <t>consumer discretionary</t>
        </is>
      </c>
      <c r="D118" s="31" t="inlineStr">
        <is>
          <t>hotels</t>
        </is>
      </c>
      <c r="E118" s="31" t="inlineStr">
        <is>
          <t>smallcap</t>
        </is>
      </c>
      <c r="F118" s="31" t="n">
        <v>3215.25</v>
      </c>
      <c r="G118" s="31" t="n">
        <v>838.85</v>
      </c>
      <c r="H118" s="31" t="n">
        <v>1.98</v>
      </c>
      <c r="I118" s="31" t="n">
        <v>67553</v>
      </c>
      <c r="J118" s="31" t="inlineStr">
        <is>
          <t>543283</t>
        </is>
      </c>
    </row>
    <row r="119">
      <c r="A119" s="31" t="inlineStr">
        <is>
          <t>SOLARA</t>
        </is>
      </c>
      <c r="B119" s="31" t="inlineStr">
        <is>
          <t>Solara Active Pharma Sciences Ltd</t>
        </is>
      </c>
      <c r="C119" s="31" t="inlineStr">
        <is>
          <t>healthcare</t>
        </is>
      </c>
      <c r="D119" s="31" t="inlineStr">
        <is>
          <t>pharmaceuticals - indian - bulk drugs &amp; formln</t>
        </is>
      </c>
      <c r="E119" s="31" t="inlineStr">
        <is>
          <t>smallcap</t>
        </is>
      </c>
      <c r="F119" s="31" t="n">
        <v>2976.3</v>
      </c>
      <c r="G119" s="31" t="n">
        <v>629.1</v>
      </c>
      <c r="H119" s="31" t="n">
        <v>1.98</v>
      </c>
      <c r="I119" s="31" t="n">
        <v>660132</v>
      </c>
      <c r="J119" s="31" t="inlineStr">
        <is>
          <t>541540</t>
        </is>
      </c>
    </row>
    <row r="120">
      <c r="A120" s="31" t="inlineStr">
        <is>
          <t>IFCI</t>
        </is>
      </c>
      <c r="B120" s="31" t="inlineStr">
        <is>
          <t>Ifci Limited</t>
        </is>
      </c>
      <c r="C120" s="31" t="inlineStr">
        <is>
          <t>financials</t>
        </is>
      </c>
      <c r="D120" s="31" t="inlineStr">
        <is>
          <t>finance - term-lending institutions</t>
        </is>
      </c>
      <c r="E120" s="31" t="inlineStr">
        <is>
          <t>largecap</t>
        </is>
      </c>
      <c r="F120" s="31" t="n">
        <v>21799.7</v>
      </c>
      <c r="G120" s="31" t="n">
        <v>82.48</v>
      </c>
      <c r="H120" s="31" t="n">
        <v>1.94</v>
      </c>
      <c r="I120" s="31" t="n">
        <v>35494504</v>
      </c>
      <c r="J120" s="31" t="inlineStr">
        <is>
          <t>500106</t>
        </is>
      </c>
    </row>
    <row r="121">
      <c r="A121" s="31" t="inlineStr">
        <is>
          <t>MARINE</t>
        </is>
      </c>
      <c r="B121" s="31" t="inlineStr">
        <is>
          <t>Marine Electricals (India) Ltd</t>
        </is>
      </c>
      <c r="C121" s="31" t="inlineStr">
        <is>
          <t>industrials</t>
        </is>
      </c>
      <c r="D121" s="31" t="inlineStr">
        <is>
          <t>electric equipment</t>
        </is>
      </c>
      <c r="E121" s="31" t="inlineStr">
        <is>
          <t>midcap</t>
        </is>
      </c>
      <c r="F121" s="31" t="n">
        <v>5257.01</v>
      </c>
      <c r="G121" s="31" t="n">
        <v>382.9</v>
      </c>
      <c r="H121" s="31" t="n">
        <v>1.93</v>
      </c>
      <c r="I121" s="31" t="n">
        <v>685459</v>
      </c>
      <c r="J121" s="31" t="inlineStr">
        <is>
          <t>535119</t>
        </is>
      </c>
    </row>
    <row r="122">
      <c r="A122" s="31" t="inlineStr">
        <is>
          <t>SANDHAR</t>
        </is>
      </c>
      <c r="B122" s="31" t="inlineStr">
        <is>
          <t>Sandhar Technologies Limited</t>
        </is>
      </c>
      <c r="C122" s="31" t="inlineStr">
        <is>
          <t>auto</t>
        </is>
      </c>
      <c r="D122" s="31" t="inlineStr">
        <is>
          <t>auto ancillaries</t>
        </is>
      </c>
      <c r="E122" s="31" t="inlineStr">
        <is>
          <t>smallcap</t>
        </is>
      </c>
      <c r="F122" s="31" t="n">
        <v>4019.23</v>
      </c>
      <c r="G122" s="31" t="n">
        <v>680.6</v>
      </c>
      <c r="H122" s="31" t="n">
        <v>1.92</v>
      </c>
      <c r="I122" s="31" t="n">
        <v>631257</v>
      </c>
      <c r="J122" s="31" t="inlineStr">
        <is>
          <t>541163</t>
        </is>
      </c>
    </row>
    <row r="123">
      <c r="A123" s="31" t="inlineStr">
        <is>
          <t>MOLDTECH</t>
        </is>
      </c>
      <c r="B123" s="31" t="inlineStr">
        <is>
          <t>Mold-tek Technologies Limited</t>
        </is>
      </c>
      <c r="C123" s="31" t="inlineStr">
        <is>
          <t>realty</t>
        </is>
      </c>
      <c r="D123" s="31" t="inlineStr">
        <is>
          <t>engineering - turnkey services</t>
        </is>
      </c>
      <c r="E123" s="31" t="inlineStr">
        <is>
          <t>smallcap</t>
        </is>
      </c>
      <c r="F123" s="31" t="n">
        <v>547.3</v>
      </c>
      <c r="G123" s="31" t="n">
        <v>193.62</v>
      </c>
      <c r="H123" s="31" t="n">
        <v>1.91</v>
      </c>
      <c r="I123" s="31" t="n">
        <v>516419</v>
      </c>
      <c r="J123" s="31" t="inlineStr">
        <is>
          <t>526263</t>
        </is>
      </c>
    </row>
    <row r="124">
      <c r="A124" s="31" t="inlineStr">
        <is>
          <t>JINDALSTEL</t>
        </is>
      </c>
      <c r="B124" s="31" t="inlineStr">
        <is>
          <t>Jindal Steel Ltd</t>
        </is>
      </c>
      <c r="C124" s="31" t="inlineStr">
        <is>
          <t>metals &amp; mining</t>
        </is>
      </c>
      <c r="D124" s="31" t="inlineStr">
        <is>
          <t>steel - large</t>
        </is>
      </c>
      <c r="E124" s="31" t="inlineStr">
        <is>
          <t>largecap</t>
        </is>
      </c>
      <c r="F124" s="31" t="n">
        <v>115045.54</v>
      </c>
      <c r="G124" s="31" t="n">
        <v>1149</v>
      </c>
      <c r="H124" s="31" t="n">
        <v>1.88</v>
      </c>
      <c r="I124" s="31" t="n">
        <v>895537</v>
      </c>
      <c r="J124" s="31" t="inlineStr">
        <is>
          <t>532286</t>
        </is>
      </c>
    </row>
    <row r="125">
      <c r="A125" s="31" t="inlineStr">
        <is>
          <t>ACMESOLAR</t>
        </is>
      </c>
      <c r="B125" s="31" t="inlineStr">
        <is>
          <t>ACME Solar Holdings Ltd</t>
        </is>
      </c>
      <c r="C125" s="31" t="inlineStr">
        <is>
          <t>realty</t>
        </is>
      </c>
      <c r="D125" s="31" t="inlineStr">
        <is>
          <t>engineering - turnkey services</t>
        </is>
      </c>
      <c r="E125" s="31" t="inlineStr">
        <is>
          <t>largecap</t>
        </is>
      </c>
      <c r="F125" s="31" t="n">
        <v>28388.07</v>
      </c>
      <c r="G125" s="31" t="n">
        <v>409.15</v>
      </c>
      <c r="H125" s="31" t="n">
        <v>1.88</v>
      </c>
      <c r="I125" s="31" t="n">
        <v>3368613</v>
      </c>
      <c r="J125" s="31" t="inlineStr">
        <is>
          <t>544283</t>
        </is>
      </c>
    </row>
    <row r="126">
      <c r="A126" s="31" t="inlineStr">
        <is>
          <t>HONASA</t>
        </is>
      </c>
      <c r="B126" s="31" t="inlineStr">
        <is>
          <t>Honasa Consumer Ltd</t>
        </is>
      </c>
      <c r="C126" s="31" t="inlineStr">
        <is>
          <t>services</t>
        </is>
      </c>
      <c r="D126" s="31" t="inlineStr">
        <is>
          <t>trading</t>
        </is>
      </c>
      <c r="E126" s="31" t="inlineStr">
        <is>
          <t>midcap</t>
        </is>
      </c>
      <c r="F126" s="31" t="n">
        <v>15711.11</v>
      </c>
      <c r="G126" s="31" t="n">
        <v>490.8</v>
      </c>
      <c r="H126" s="31" t="n">
        <v>1.85</v>
      </c>
      <c r="I126" s="31" t="n">
        <v>759353</v>
      </c>
      <c r="J126" s="31" t="inlineStr">
        <is>
          <t>544014</t>
        </is>
      </c>
    </row>
    <row r="127">
      <c r="A127" s="31" t="inlineStr">
        <is>
          <t>MANAKSTEEL</t>
        </is>
      </c>
      <c r="B127" s="31" t="inlineStr">
        <is>
          <t>Manaksia Steels Limited</t>
        </is>
      </c>
      <c r="C127" s="31" t="inlineStr">
        <is>
          <t>metals &amp; mining</t>
        </is>
      </c>
      <c r="D127" s="31" t="inlineStr">
        <is>
          <t>steel - medium / small</t>
        </is>
      </c>
      <c r="E127" s="31" t="inlineStr">
        <is>
          <t>smallcap</t>
        </is>
      </c>
      <c r="F127" s="31" t="n">
        <v>560.05</v>
      </c>
      <c r="G127" s="31" t="n">
        <v>87</v>
      </c>
      <c r="H127" s="31" t="n">
        <v>1.8</v>
      </c>
      <c r="I127" s="31" t="n">
        <v>66534</v>
      </c>
      <c r="J127" s="31" t="inlineStr">
        <is>
          <t>539044</t>
        </is>
      </c>
    </row>
    <row r="128">
      <c r="A128" s="31" t="inlineStr">
        <is>
          <t>JAGSNPHARM</t>
        </is>
      </c>
      <c r="B128" s="31" t="inlineStr">
        <is>
          <t>Jagsonpal Pharmaceuticals Limited</t>
        </is>
      </c>
      <c r="C128" s="31" t="inlineStr">
        <is>
          <t>healthcare</t>
        </is>
      </c>
      <c r="D128" s="31" t="inlineStr">
        <is>
          <t>pharmaceuticals - indian - bulk drugs &amp; formln</t>
        </is>
      </c>
      <c r="E128" s="31" t="inlineStr">
        <is>
          <t>smallcap</t>
        </is>
      </c>
      <c r="F128" s="31" t="n">
        <v>1557.27</v>
      </c>
      <c r="G128" s="31" t="n">
        <v>240.77</v>
      </c>
      <c r="H128" s="31" t="n">
        <v>1.79</v>
      </c>
      <c r="I128" s="31" t="n">
        <v>283021</v>
      </c>
      <c r="J128" s="31" t="inlineStr">
        <is>
          <t>507789</t>
        </is>
      </c>
    </row>
    <row r="129">
      <c r="A129" s="31" t="inlineStr">
        <is>
          <t>MAHASTEEL</t>
        </is>
      </c>
      <c r="B129" s="31" t="inlineStr">
        <is>
          <t>Mahamaya Steel Industries Limited</t>
        </is>
      </c>
      <c r="C129" s="31" t="inlineStr">
        <is>
          <t>metals &amp; mining</t>
        </is>
      </c>
      <c r="D129" s="31" t="inlineStr">
        <is>
          <t>steel - medium / small</t>
        </is>
      </c>
      <c r="E129" s="31" t="inlineStr">
        <is>
          <t>smallcap</t>
        </is>
      </c>
      <c r="F129" s="31" t="n">
        <v>1897.02</v>
      </c>
      <c r="G129" s="31" t="n">
        <v>1175</v>
      </c>
      <c r="H129" s="31" t="n">
        <v>1.79</v>
      </c>
      <c r="I129" s="31" t="n">
        <v>34895</v>
      </c>
      <c r="J129" s="31" t="inlineStr">
        <is>
          <t>513554</t>
        </is>
      </c>
    </row>
    <row r="130">
      <c r="A130" s="31" t="inlineStr">
        <is>
          <t>RAMRAT</t>
        </is>
      </c>
      <c r="B130" s="31" t="inlineStr">
        <is>
          <t>Ram Ratna Wires Ltd</t>
        </is>
      </c>
      <c r="C130" s="31" t="inlineStr">
        <is>
          <t>metals &amp; mining</t>
        </is>
      </c>
      <c r="D130" s="31" t="inlineStr">
        <is>
          <t>mining / minerals / metals</t>
        </is>
      </c>
      <c r="E130" s="31" t="inlineStr">
        <is>
          <t>smallcap</t>
        </is>
      </c>
      <c r="F130" s="31" t="n">
        <v>4456.02</v>
      </c>
      <c r="G130" s="31" t="n">
        <v>485.85</v>
      </c>
      <c r="H130" s="31" t="n">
        <v>1.78</v>
      </c>
      <c r="I130" s="31" t="n">
        <v>109408</v>
      </c>
      <c r="J130" s="31" t="inlineStr">
        <is>
          <t>522281</t>
        </is>
      </c>
    </row>
    <row r="131">
      <c r="A131" s="31" t="inlineStr">
        <is>
          <t>ETHOSLTD</t>
        </is>
      </c>
      <c r="B131" s="31" t="inlineStr">
        <is>
          <t>Ethos Ltd</t>
        </is>
      </c>
      <c r="C131" s="31" t="inlineStr">
        <is>
          <t>consumer discretionary</t>
        </is>
      </c>
      <c r="D131" s="31" t="inlineStr">
        <is>
          <t>trading</t>
        </is>
      </c>
      <c r="E131" s="31" t="inlineStr">
        <is>
          <t>midcap</t>
        </is>
      </c>
      <c r="F131" s="31" t="n">
        <v>7600.52</v>
      </c>
      <c r="G131" s="31" t="n">
        <v>2891</v>
      </c>
      <c r="H131" s="31" t="n">
        <v>1.78</v>
      </c>
      <c r="I131" s="31" t="n">
        <v>51735</v>
      </c>
      <c r="J131" s="31" t="inlineStr">
        <is>
          <t>543532</t>
        </is>
      </c>
    </row>
    <row r="132">
      <c r="A132" s="31" t="inlineStr">
        <is>
          <t>GNFC</t>
        </is>
      </c>
      <c r="B132" s="31" t="inlineStr">
        <is>
          <t>Gujarat Narmada Valley Fertilizers And Chemicals Limited</t>
        </is>
      </c>
      <c r="C132" s="31" t="inlineStr">
        <is>
          <t>chemicals</t>
        </is>
      </c>
      <c r="D132" s="31" t="inlineStr">
        <is>
          <t>chemicals</t>
        </is>
      </c>
      <c r="E132" s="31" t="inlineStr">
        <is>
          <t>midcap</t>
        </is>
      </c>
      <c r="F132" s="31" t="n">
        <v>8563.700000000001</v>
      </c>
      <c r="G132" s="31" t="n">
        <v>593</v>
      </c>
      <c r="H132" s="31" t="n">
        <v>1.75</v>
      </c>
      <c r="I132" s="31" t="n">
        <v>413426</v>
      </c>
      <c r="J132" s="31" t="inlineStr">
        <is>
          <t>500670</t>
        </is>
      </c>
    </row>
    <row r="133">
      <c r="A133" s="31" t="inlineStr">
        <is>
          <t>GAEL</t>
        </is>
      </c>
      <c r="B133" s="31" t="inlineStr">
        <is>
          <t>Gujarat Ambuja Exports Limited</t>
        </is>
      </c>
      <c r="C133" s="31" t="inlineStr">
        <is>
          <t>fmcg</t>
        </is>
      </c>
      <c r="D133" s="31" t="inlineStr">
        <is>
          <t>miscellaneous</t>
        </is>
      </c>
      <c r="E133" s="31" t="inlineStr">
        <is>
          <t>midcap</t>
        </is>
      </c>
      <c r="F133" s="31" t="n">
        <v>8139.57</v>
      </c>
      <c r="G133" s="31" t="n">
        <v>180.5</v>
      </c>
      <c r="H133" s="31" t="n">
        <v>1.71</v>
      </c>
      <c r="I133" s="31" t="n">
        <v>2502491</v>
      </c>
      <c r="J133" s="31" t="inlineStr">
        <is>
          <t>524226</t>
        </is>
      </c>
    </row>
    <row r="134">
      <c r="A134" s="31" t="inlineStr">
        <is>
          <t>MANGLMCEM</t>
        </is>
      </c>
      <c r="B134" s="31" t="inlineStr">
        <is>
          <t>Mangalam Cement Limited</t>
        </is>
      </c>
      <c r="C134" s="31" t="inlineStr">
        <is>
          <t>building materials</t>
        </is>
      </c>
      <c r="D134" s="31" t="inlineStr">
        <is>
          <t>cement - north india</t>
        </is>
      </c>
      <c r="E134" s="31" t="inlineStr">
        <is>
          <t>smallcap</t>
        </is>
      </c>
      <c r="F134" s="31" t="n">
        <v>2826.58</v>
      </c>
      <c r="G134" s="31" t="n">
        <v>1045.4</v>
      </c>
      <c r="H134" s="31" t="n">
        <v>1.7</v>
      </c>
      <c r="I134" s="31" t="n">
        <v>502008</v>
      </c>
      <c r="J134" s="31" t="inlineStr">
        <is>
          <t>502157</t>
        </is>
      </c>
    </row>
    <row r="135">
      <c r="A135" s="31" t="inlineStr">
        <is>
          <t>HEG</t>
        </is>
      </c>
      <c r="B135" s="31" t="inlineStr">
        <is>
          <t>Heg Limited</t>
        </is>
      </c>
      <c r="C135" s="31" t="inlineStr">
        <is>
          <t>industrials</t>
        </is>
      </c>
      <c r="D135" s="31" t="inlineStr">
        <is>
          <t>electrodes - graphites</t>
        </is>
      </c>
      <c r="E135" s="31" t="inlineStr">
        <is>
          <t>midcap</t>
        </is>
      </c>
      <c r="F135" s="31" t="n">
        <v>13715.88</v>
      </c>
      <c r="G135" s="31" t="n">
        <v>722.75</v>
      </c>
      <c r="H135" s="31" t="n">
        <v>1.69</v>
      </c>
      <c r="I135" s="31" t="n">
        <v>1083240</v>
      </c>
      <c r="J135" s="31" t="inlineStr">
        <is>
          <t>509631</t>
        </is>
      </c>
    </row>
    <row r="136">
      <c r="A136" s="31" t="inlineStr">
        <is>
          <t>KKCL</t>
        </is>
      </c>
      <c r="B136" s="31" t="inlineStr">
        <is>
          <t>Kewal Kiran Clothing Limited</t>
        </is>
      </c>
      <c r="C136" s="31" t="inlineStr">
        <is>
          <t>consumer discretionary</t>
        </is>
      </c>
      <c r="D136" s="31" t="inlineStr">
        <is>
          <t>textiles - products</t>
        </is>
      </c>
      <c r="E136" s="31" t="inlineStr">
        <is>
          <t>smallcap</t>
        </is>
      </c>
      <c r="F136" s="31" t="n">
        <v>3182.63</v>
      </c>
      <c r="G136" s="31" t="n">
        <v>525</v>
      </c>
      <c r="H136" s="31" t="n">
        <v>1.66</v>
      </c>
      <c r="I136" s="31" t="n">
        <v>296663</v>
      </c>
      <c r="J136" s="31" t="inlineStr">
        <is>
          <t>532732</t>
        </is>
      </c>
    </row>
    <row r="137">
      <c r="A137" s="31" t="inlineStr">
        <is>
          <t>DLF</t>
        </is>
      </c>
      <c r="B137" s="31" t="inlineStr">
        <is>
          <t>Dlf Limited</t>
        </is>
      </c>
      <c r="C137" s="31" t="inlineStr">
        <is>
          <t>realty</t>
        </is>
      </c>
      <c r="D137" s="31" t="inlineStr">
        <is>
          <t>construction</t>
        </is>
      </c>
      <c r="E137" s="31" t="inlineStr">
        <is>
          <t>largecap</t>
        </is>
      </c>
      <c r="F137" s="31" t="n">
        <v>167850.89</v>
      </c>
      <c r="G137" s="31" t="n">
        <v>689</v>
      </c>
      <c r="H137" s="31" t="n">
        <v>1.61</v>
      </c>
      <c r="I137" s="31" t="n">
        <v>5008291</v>
      </c>
      <c r="J137" s="31" t="inlineStr">
        <is>
          <t>532868</t>
        </is>
      </c>
    </row>
    <row r="138">
      <c r="A138" s="31" t="inlineStr">
        <is>
          <t>RATNAVEER</t>
        </is>
      </c>
      <c r="B138" s="31" t="inlineStr">
        <is>
          <t>Ratnaveer Precision Engineering Ltd</t>
        </is>
      </c>
      <c r="C138" s="31" t="inlineStr">
        <is>
          <t>metals &amp; mining</t>
        </is>
      </c>
      <c r="D138" s="31" t="inlineStr">
        <is>
          <t>steel - medium / small</t>
        </is>
      </c>
      <c r="E138" s="31" t="inlineStr">
        <is>
          <t>smallcap</t>
        </is>
      </c>
      <c r="F138" s="31" t="n">
        <v>1907.38</v>
      </c>
      <c r="G138" s="31" t="n">
        <v>271.32</v>
      </c>
      <c r="H138" s="31" t="n">
        <v>1.6</v>
      </c>
      <c r="I138" s="31" t="n">
        <v>10419922</v>
      </c>
      <c r="J138" s="31" t="inlineStr">
        <is>
          <t>543978</t>
        </is>
      </c>
    </row>
    <row r="139">
      <c r="A139" s="31" t="inlineStr">
        <is>
          <t>UTTAMSUGAR</t>
        </is>
      </c>
      <c r="B139" s="31" t="inlineStr">
        <is>
          <t>Uttam Sugar Mills Limited</t>
        </is>
      </c>
      <c r="C139" s="31" t="inlineStr">
        <is>
          <t>fmcg</t>
        </is>
      </c>
      <c r="D139" s="31" t="inlineStr">
        <is>
          <t>sugar</t>
        </is>
      </c>
      <c r="E139" s="31" t="inlineStr">
        <is>
          <t>smallcap</t>
        </is>
      </c>
      <c r="F139" s="31" t="n">
        <v>1233.01</v>
      </c>
      <c r="G139" s="31" t="n">
        <v>328.36</v>
      </c>
      <c r="H139" s="31" t="n">
        <v>1.57</v>
      </c>
      <c r="I139" s="31" t="n">
        <v>2139886</v>
      </c>
      <c r="J139" s="31" t="inlineStr">
        <is>
          <t>532729</t>
        </is>
      </c>
    </row>
    <row r="140">
      <c r="A140" s="31" t="inlineStr">
        <is>
          <t>GRWRHITECH</t>
        </is>
      </c>
      <c r="B140" s="31" t="inlineStr">
        <is>
          <t>Garware Hi Tech Films Ltd</t>
        </is>
      </c>
      <c r="C140" s="31" t="inlineStr">
        <is>
          <t>industrials</t>
        </is>
      </c>
      <c r="D140" s="31" t="inlineStr">
        <is>
          <t>packaging</t>
        </is>
      </c>
      <c r="E140" s="31" t="inlineStr">
        <is>
          <t>midcap</t>
        </is>
      </c>
      <c r="F140" s="31" t="n">
        <v>16549.6</v>
      </c>
      <c r="G140" s="31" t="n">
        <v>7234.5</v>
      </c>
      <c r="H140" s="31" t="n">
        <v>1.56</v>
      </c>
      <c r="I140" s="31" t="n">
        <v>62358</v>
      </c>
      <c r="J140" s="31" t="inlineStr">
        <is>
          <t>500655</t>
        </is>
      </c>
    </row>
    <row r="141">
      <c r="A141" s="31" t="inlineStr">
        <is>
          <t>HINDZINC</t>
        </is>
      </c>
      <c r="B141" s="31" t="inlineStr">
        <is>
          <t>Hindustan Zinc Limited</t>
        </is>
      </c>
      <c r="C141" s="31" t="inlineStr">
        <is>
          <t>metals &amp; mining</t>
        </is>
      </c>
      <c r="D141" s="31" t="inlineStr">
        <is>
          <t>mining / minerals / metals</t>
        </is>
      </c>
      <c r="E141" s="31" t="inlineStr">
        <is>
          <t>largecap</t>
        </is>
      </c>
      <c r="F141" s="31" t="n">
        <v>251364.23</v>
      </c>
      <c r="G141" s="31" t="n">
        <v>604</v>
      </c>
      <c r="H141" s="31" t="n">
        <v>1.53</v>
      </c>
      <c r="I141" s="31" t="n">
        <v>12714573</v>
      </c>
      <c r="J141" s="31" t="inlineStr">
        <is>
          <t>500188</t>
        </is>
      </c>
    </row>
    <row r="142">
      <c r="A142" s="31" t="inlineStr">
        <is>
          <t>ALKYLAMINE</t>
        </is>
      </c>
      <c r="B142" s="31" t="inlineStr">
        <is>
          <t>Alkyl Amines Chemicals Limited</t>
        </is>
      </c>
      <c r="C142" s="31" t="inlineStr">
        <is>
          <t>chemicals</t>
        </is>
      </c>
      <c r="D142" s="31" t="inlineStr">
        <is>
          <t>chemicals</t>
        </is>
      </c>
      <c r="E142" s="31" t="inlineStr">
        <is>
          <t>midcap</t>
        </is>
      </c>
      <c r="F142" s="31" t="n">
        <v>10498.78</v>
      </c>
      <c r="G142" s="31" t="n">
        <v>2083.8</v>
      </c>
      <c r="H142" s="31" t="n">
        <v>1.52</v>
      </c>
      <c r="I142" s="31" t="n">
        <v>286239</v>
      </c>
      <c r="J142" s="31" t="inlineStr">
        <is>
          <t>506767</t>
        </is>
      </c>
    </row>
    <row r="143">
      <c r="A143" s="31" t="inlineStr">
        <is>
          <t>KTKBANK</t>
        </is>
      </c>
      <c r="B143" s="31" t="inlineStr">
        <is>
          <t>The Karnataka Bank Limited</t>
        </is>
      </c>
      <c r="C143" s="31" t="inlineStr">
        <is>
          <t>bank</t>
        </is>
      </c>
      <c r="D143" s="31" t="inlineStr">
        <is>
          <t>banks - private sector</t>
        </is>
      </c>
      <c r="E143" s="31" t="inlineStr">
        <is>
          <t>midcap</t>
        </is>
      </c>
      <c r="F143" s="31" t="n">
        <v>12416.42</v>
      </c>
      <c r="G143" s="31" t="n">
        <v>333.25</v>
      </c>
      <c r="H143" s="31" t="n">
        <v>1.51</v>
      </c>
      <c r="I143" s="31" t="n">
        <v>2850485</v>
      </c>
      <c r="J143" s="31" t="inlineStr">
        <is>
          <t>532652</t>
        </is>
      </c>
    </row>
    <row r="144">
      <c r="A144" s="31" t="inlineStr">
        <is>
          <t>IRISDOREME</t>
        </is>
      </c>
      <c r="B144" s="31" t="inlineStr">
        <is>
          <t>Iris Clothings Ltd</t>
        </is>
      </c>
      <c r="C144" s="31" t="inlineStr">
        <is>
          <t>consumer discretionary</t>
        </is>
      </c>
      <c r="D144" s="31" t="inlineStr">
        <is>
          <t>textiles - products</t>
        </is>
      </c>
      <c r="E144" s="31" t="inlineStr">
        <is>
          <t>smallcap</t>
        </is>
      </c>
      <c r="F144" s="31" t="n">
        <v>1084.89</v>
      </c>
      <c r="G144" s="31" t="n">
        <v>57.84</v>
      </c>
      <c r="H144" s="31" t="n">
        <v>1.47</v>
      </c>
      <c r="I144" s="31" t="n">
        <v>1757274</v>
      </c>
      <c r="J144" s="31" t="inlineStr">
        <is>
          <t>535123</t>
        </is>
      </c>
    </row>
    <row r="145">
      <c r="A145" s="31" t="inlineStr">
        <is>
          <t>SYRMA</t>
        </is>
      </c>
      <c r="B145" s="31" t="inlineStr">
        <is>
          <t>Syrma SGS Technology Ltd</t>
        </is>
      </c>
      <c r="C145" s="31" t="inlineStr">
        <is>
          <t>consumer discretionary</t>
        </is>
      </c>
      <c r="D145" s="31" t="inlineStr">
        <is>
          <t>electronics - components</t>
        </is>
      </c>
      <c r="E145" s="31" t="inlineStr">
        <is>
          <t>largecap</t>
        </is>
      </c>
      <c r="F145" s="31" t="n">
        <v>27754.09</v>
      </c>
      <c r="G145" s="31" t="n">
        <v>1459.9</v>
      </c>
      <c r="H145" s="31" t="n">
        <v>1.43</v>
      </c>
      <c r="I145" s="31" t="n">
        <v>852007</v>
      </c>
      <c r="J145" s="31" t="inlineStr">
        <is>
          <t>543573</t>
        </is>
      </c>
    </row>
    <row r="146">
      <c r="A146" s="31" t="inlineStr">
        <is>
          <t>FEDFINA</t>
        </is>
      </c>
      <c r="B146" s="31" t="inlineStr">
        <is>
          <t>Fedbank Financial Services Ltd</t>
        </is>
      </c>
      <c r="C146" s="31" t="inlineStr">
        <is>
          <t>financials</t>
        </is>
      </c>
      <c r="D146" s="31" t="inlineStr">
        <is>
          <t>finance &amp; investments</t>
        </is>
      </c>
      <c r="E146" s="31" t="inlineStr">
        <is>
          <t>midcap</t>
        </is>
      </c>
      <c r="F146" s="31" t="n">
        <v>5880.03</v>
      </c>
      <c r="G146" s="31" t="n">
        <v>159.05</v>
      </c>
      <c r="H146" s="31" t="n">
        <v>1.41</v>
      </c>
      <c r="I146" s="31" t="n">
        <v>1428949</v>
      </c>
      <c r="J146" s="31" t="inlineStr">
        <is>
          <t>544027</t>
        </is>
      </c>
    </row>
    <row r="147">
      <c r="A147" s="31" t="inlineStr">
        <is>
          <t>APOLLOTYRE</t>
        </is>
      </c>
      <c r="B147" s="31" t="inlineStr">
        <is>
          <t>Apollo Tyres Limited</t>
        </is>
      </c>
      <c r="C147" s="31" t="inlineStr">
        <is>
          <t>auto</t>
        </is>
      </c>
      <c r="D147" s="31" t="inlineStr">
        <is>
          <t>tyres</t>
        </is>
      </c>
      <c r="E147" s="31" t="inlineStr">
        <is>
          <t>largecap</t>
        </is>
      </c>
      <c r="F147" s="31" t="n">
        <v>27925.39</v>
      </c>
      <c r="G147" s="31" t="n">
        <v>445.85</v>
      </c>
      <c r="H147" s="31" t="n">
        <v>1.4</v>
      </c>
      <c r="I147" s="31" t="n">
        <v>5972214</v>
      </c>
      <c r="J147" s="31" t="inlineStr">
        <is>
          <t>500877</t>
        </is>
      </c>
    </row>
    <row r="148">
      <c r="A148" s="31" t="inlineStr">
        <is>
          <t>ARIES</t>
        </is>
      </c>
      <c r="B148" s="31" t="inlineStr">
        <is>
          <t>Aries Agro Limited</t>
        </is>
      </c>
      <c r="C148" s="31" t="inlineStr">
        <is>
          <t>chemicals</t>
        </is>
      </c>
      <c r="D148" s="31" t="inlineStr">
        <is>
          <t>fertilizers</t>
        </is>
      </c>
      <c r="E148" s="31" t="inlineStr">
        <is>
          <t>smallcap</t>
        </is>
      </c>
      <c r="F148" s="31" t="n">
        <v>588.71</v>
      </c>
      <c r="G148" s="31" t="n">
        <v>459.05</v>
      </c>
      <c r="H148" s="31" t="n">
        <v>1.4</v>
      </c>
      <c r="I148" s="31" t="n">
        <v>118146</v>
      </c>
      <c r="J148" s="31" t="inlineStr">
        <is>
          <t>532935</t>
        </is>
      </c>
    </row>
    <row r="149">
      <c r="A149" s="31" t="inlineStr">
        <is>
          <t>GHCLTEXTIL</t>
        </is>
      </c>
      <c r="B149" s="31" t="inlineStr">
        <is>
          <t>GHCL Textiles Ltd</t>
        </is>
      </c>
      <c r="C149" s="31" t="inlineStr">
        <is>
          <t>textiles</t>
        </is>
      </c>
      <c r="D149" s="31" t="inlineStr">
        <is>
          <t>textiles - spinning - synthetic / blended</t>
        </is>
      </c>
      <c r="E149" s="31" t="inlineStr">
        <is>
          <t>smallcap</t>
        </is>
      </c>
      <c r="F149" s="31" t="n">
        <v>1170.83</v>
      </c>
      <c r="G149" s="31" t="n">
        <v>124.21</v>
      </c>
      <c r="H149" s="31" t="n">
        <v>1.4</v>
      </c>
      <c r="I149" s="31" t="n">
        <v>1655077</v>
      </c>
      <c r="J149" s="31" t="inlineStr">
        <is>
          <t>543918</t>
        </is>
      </c>
    </row>
    <row r="150">
      <c r="A150" s="31" t="inlineStr">
        <is>
          <t>ANTHEM</t>
        </is>
      </c>
      <c r="B150" s="31" t="inlineStr">
        <is>
          <t>Anthem Biosciences Ltd</t>
        </is>
      </c>
      <c r="C150" s="31" t="inlineStr">
        <is>
          <t>healthcare</t>
        </is>
      </c>
      <c r="D150" s="31" t="inlineStr">
        <is>
          <t>pharmaceuticals - indian - bulk drugs &amp; formln</t>
        </is>
      </c>
      <c r="E150" s="31" t="inlineStr">
        <is>
          <t>largecap</t>
        </is>
      </c>
      <c r="F150" s="31" t="n">
        <v>49096.16</v>
      </c>
      <c r="G150" s="31" t="n">
        <v>883.35</v>
      </c>
      <c r="H150" s="31" t="n">
        <v>1.37</v>
      </c>
      <c r="I150" s="31" t="n">
        <v>1175514</v>
      </c>
      <c r="J150" s="31" t="inlineStr">
        <is>
          <t>544449</t>
        </is>
      </c>
    </row>
    <row r="151">
      <c r="A151" s="31" t="inlineStr">
        <is>
          <t>PARAS</t>
        </is>
      </c>
      <c r="B151" s="31" t="inlineStr">
        <is>
          <t>Paras Defence and Space Technologies Ltd</t>
        </is>
      </c>
      <c r="C151" s="31" t="inlineStr">
        <is>
          <t>aerospace &amp; defence</t>
        </is>
      </c>
      <c r="D151" s="31" t="inlineStr">
        <is>
          <t>engineering</t>
        </is>
      </c>
      <c r="E151" s="31" t="inlineStr">
        <is>
          <t>midcap</t>
        </is>
      </c>
      <c r="F151" s="31" t="n">
        <v>12084.88</v>
      </c>
      <c r="G151" s="31" t="n">
        <v>1520</v>
      </c>
      <c r="H151" s="31" t="n">
        <v>1.36</v>
      </c>
      <c r="I151" s="31" t="n">
        <v>1507897</v>
      </c>
      <c r="J151" s="31" t="inlineStr">
        <is>
          <t>543367</t>
        </is>
      </c>
    </row>
    <row r="152">
      <c r="A152" s="31" t="inlineStr">
        <is>
          <t>ARIS</t>
        </is>
      </c>
      <c r="B152" s="31" t="inlineStr">
        <is>
          <t>Arisinfra Solutions Ltd</t>
        </is>
      </c>
      <c r="C152" s="31" t="inlineStr">
        <is>
          <t>services</t>
        </is>
      </c>
      <c r="D152" s="31" t="inlineStr">
        <is>
          <t>trading</t>
        </is>
      </c>
      <c r="E152" s="31" t="inlineStr">
        <is>
          <t>smallcap</t>
        </is>
      </c>
      <c r="F152" s="31" t="n">
        <v>1173.01</v>
      </c>
      <c r="G152" s="31" t="n">
        <v>145.35</v>
      </c>
      <c r="H152" s="31" t="n">
        <v>1.35</v>
      </c>
      <c r="I152" s="31" t="n">
        <v>7857520</v>
      </c>
      <c r="J152" s="31" t="inlineStr">
        <is>
          <t>544419</t>
        </is>
      </c>
    </row>
    <row r="153">
      <c r="A153" s="31" t="inlineStr">
        <is>
          <t>IMAGICAA</t>
        </is>
      </c>
      <c r="B153" s="31" t="inlineStr">
        <is>
          <t>Imagicaaworld Entertainment Ltd</t>
        </is>
      </c>
      <c r="C153" s="31" t="inlineStr">
        <is>
          <t>media</t>
        </is>
      </c>
      <c r="D153" s="31" t="inlineStr">
        <is>
          <t>recreation / amusement parks</t>
        </is>
      </c>
      <c r="E153" s="31" t="inlineStr">
        <is>
          <t>smallcap</t>
        </is>
      </c>
      <c r="F153" s="31" t="n">
        <v>2765.36</v>
      </c>
      <c r="G153" s="31" t="n">
        <v>49.53</v>
      </c>
      <c r="H153" s="31" t="n">
        <v>1.35</v>
      </c>
      <c r="I153" s="31" t="n">
        <v>1153794</v>
      </c>
      <c r="J153" s="31" t="inlineStr">
        <is>
          <t>539056</t>
        </is>
      </c>
    </row>
    <row r="154">
      <c r="A154" s="31" t="inlineStr">
        <is>
          <t>VISHNU</t>
        </is>
      </c>
      <c r="B154" s="31" t="inlineStr">
        <is>
          <t>Vishnu Chemicals Limited</t>
        </is>
      </c>
      <c r="C154" s="31" t="inlineStr">
        <is>
          <t>chemicals</t>
        </is>
      </c>
      <c r="D154" s="31" t="inlineStr">
        <is>
          <t>chemicals</t>
        </is>
      </c>
      <c r="E154" s="31" t="inlineStr">
        <is>
          <t>smallcap</t>
        </is>
      </c>
      <c r="F154" s="31" t="n">
        <v>4235.81</v>
      </c>
      <c r="G154" s="31" t="n">
        <v>637.7</v>
      </c>
      <c r="H154" s="31" t="n">
        <v>1.34</v>
      </c>
      <c r="I154" s="31" t="n">
        <v>166036</v>
      </c>
      <c r="J154" s="31" t="inlineStr">
        <is>
          <t>516072</t>
        </is>
      </c>
    </row>
    <row r="155">
      <c r="A155" s="31" t="inlineStr">
        <is>
          <t>JSWINFRA</t>
        </is>
      </c>
      <c r="B155" s="31" t="inlineStr">
        <is>
          <t>JSW Infrastructure Ltd</t>
        </is>
      </c>
      <c r="C155" s="31" t="inlineStr">
        <is>
          <t>transportation</t>
        </is>
      </c>
      <c r="D155" s="31" t="inlineStr">
        <is>
          <t>miscellaneous</t>
        </is>
      </c>
      <c r="E155" s="31" t="inlineStr">
        <is>
          <t>largecap</t>
        </is>
      </c>
      <c r="F155" s="31" t="n">
        <v>78218.14999999999</v>
      </c>
      <c r="G155" s="31" t="n">
        <v>340.2</v>
      </c>
      <c r="H155" s="31" t="n">
        <v>1.34</v>
      </c>
      <c r="I155" s="31" t="n">
        <v>2127970</v>
      </c>
      <c r="J155" s="31" t="inlineStr">
        <is>
          <t>543994</t>
        </is>
      </c>
    </row>
    <row r="156">
      <c r="A156" s="31" t="inlineStr">
        <is>
          <t>KROSS</t>
        </is>
      </c>
      <c r="B156" s="31" t="inlineStr">
        <is>
          <t>Kross Ltd</t>
        </is>
      </c>
      <c r="C156" s="31" t="inlineStr">
        <is>
          <t>auto</t>
        </is>
      </c>
      <c r="D156" s="31" t="inlineStr">
        <is>
          <t>auto ancillaries</t>
        </is>
      </c>
      <c r="E156" s="31" t="inlineStr">
        <is>
          <t>smallcap</t>
        </is>
      </c>
      <c r="F156" s="31" t="n">
        <v>1334.31</v>
      </c>
      <c r="G156" s="31" t="n">
        <v>209.6</v>
      </c>
      <c r="H156" s="31" t="n">
        <v>1.33</v>
      </c>
      <c r="I156" s="31" t="n">
        <v>444382</v>
      </c>
      <c r="J156" s="31" t="inlineStr">
        <is>
          <t>544253</t>
        </is>
      </c>
    </row>
    <row r="157">
      <c r="A157" s="31" t="inlineStr">
        <is>
          <t>CHENNPETRO</t>
        </is>
      </c>
      <c r="B157" s="31" t="inlineStr">
        <is>
          <t>Chennai Petroleum Corporation Limited</t>
        </is>
      </c>
      <c r="C157" s="31" t="inlineStr">
        <is>
          <t>energy</t>
        </is>
      </c>
      <c r="D157" s="31" t="inlineStr">
        <is>
          <t>refineries</t>
        </is>
      </c>
      <c r="E157" s="31" t="inlineStr">
        <is>
          <t>largecap</t>
        </is>
      </c>
      <c r="F157" s="31" t="n">
        <v>20750.8</v>
      </c>
      <c r="G157" s="31" t="n">
        <v>1412.1</v>
      </c>
      <c r="H157" s="31" t="n">
        <v>1.33</v>
      </c>
      <c r="I157" s="31" t="n">
        <v>1858879</v>
      </c>
      <c r="J157" s="31" t="inlineStr">
        <is>
          <t>500110</t>
        </is>
      </c>
    </row>
    <row r="158">
      <c r="A158" s="31" t="inlineStr">
        <is>
          <t>LODHA</t>
        </is>
      </c>
      <c r="B158" s="31" t="inlineStr">
        <is>
          <t>Lodha Developers Ltd</t>
        </is>
      </c>
      <c r="C158" s="31" t="inlineStr">
        <is>
          <t>realty</t>
        </is>
      </c>
      <c r="D158" s="31" t="inlineStr">
        <is>
          <t>construction</t>
        </is>
      </c>
      <c r="E158" s="31" t="inlineStr">
        <is>
          <t>largecap</t>
        </is>
      </c>
      <c r="F158" s="31" t="n">
        <v>124087.53</v>
      </c>
      <c r="G158" s="31" t="n">
        <v>1258.4</v>
      </c>
      <c r="H158" s="31" t="n">
        <v>1.32</v>
      </c>
      <c r="I158" s="31" t="n">
        <v>1244700</v>
      </c>
      <c r="J158" s="31" t="inlineStr">
        <is>
          <t>543287</t>
        </is>
      </c>
    </row>
    <row r="159">
      <c r="A159" s="31" t="inlineStr">
        <is>
          <t>TIRUPATIFL</t>
        </is>
      </c>
      <c r="B159" s="31" t="inlineStr">
        <is>
          <t>Tirupati Forge Ltd</t>
        </is>
      </c>
      <c r="C159" s="31" t="inlineStr">
        <is>
          <t>industrials</t>
        </is>
      </c>
      <c r="D159" s="31" t="inlineStr">
        <is>
          <t>castings &amp; forgings</t>
        </is>
      </c>
      <c r="E159" s="31" t="inlineStr">
        <is>
          <t>smallcap</t>
        </is>
      </c>
      <c r="F159" s="31" t="n">
        <v>905.34</v>
      </c>
      <c r="G159" s="31" t="n">
        <v>70.52</v>
      </c>
      <c r="H159" s="31" t="n">
        <v>1.29</v>
      </c>
      <c r="I159" s="31" t="n">
        <v>452221</v>
      </c>
      <c r="J159" s="31" t="inlineStr">
        <is>
          <t>535021</t>
        </is>
      </c>
    </row>
    <row r="160">
      <c r="A160" s="31" t="inlineStr">
        <is>
          <t>APOLLOPIPE</t>
        </is>
      </c>
      <c r="B160" s="31" t="inlineStr">
        <is>
          <t>Apollo Pipes Ltd</t>
        </is>
      </c>
      <c r="C160" s="31" t="inlineStr">
        <is>
          <t>plastic products</t>
        </is>
      </c>
      <c r="D160" s="31" t="inlineStr">
        <is>
          <t>plastics products</t>
        </is>
      </c>
      <c r="E160" s="31" t="inlineStr">
        <is>
          <t>smallcap</t>
        </is>
      </c>
      <c r="F160" s="31" t="n">
        <v>2649.72</v>
      </c>
      <c r="G160" s="31" t="n">
        <v>609.25</v>
      </c>
      <c r="H160" s="31" t="n">
        <v>1.28</v>
      </c>
      <c r="I160" s="31" t="n">
        <v>530555</v>
      </c>
      <c r="J160" s="31" t="inlineStr">
        <is>
          <t>531761</t>
        </is>
      </c>
    </row>
    <row r="161">
      <c r="A161" s="31" t="inlineStr">
        <is>
          <t>INDIANHUME</t>
        </is>
      </c>
      <c r="B161" s="31" t="inlineStr">
        <is>
          <t>Indian Hume Pipe Company Limited</t>
        </is>
      </c>
      <c r="C161" s="31" t="inlineStr">
        <is>
          <t>realty</t>
        </is>
      </c>
      <c r="D161" s="31" t="inlineStr">
        <is>
          <t>construction</t>
        </is>
      </c>
      <c r="E161" s="31" t="inlineStr">
        <is>
          <t>smallcap</t>
        </is>
      </c>
      <c r="F161" s="31" t="n">
        <v>2068.02</v>
      </c>
      <c r="G161" s="31" t="n">
        <v>397.5</v>
      </c>
      <c r="H161" s="31" t="n">
        <v>1.26</v>
      </c>
      <c r="I161" s="31" t="n">
        <v>256677</v>
      </c>
      <c r="J161" s="31" t="inlineStr">
        <is>
          <t>504741</t>
        </is>
      </c>
    </row>
    <row r="162">
      <c r="A162" s="31" t="inlineStr">
        <is>
          <t>QUESS</t>
        </is>
      </c>
      <c r="B162" s="31" t="inlineStr">
        <is>
          <t>Quess Corp Limited</t>
        </is>
      </c>
      <c r="C162" s="31" t="inlineStr">
        <is>
          <t>miscellaneous</t>
        </is>
      </c>
      <c r="D162" s="31" t="inlineStr">
        <is>
          <t>diversified - large</t>
        </is>
      </c>
      <c r="E162" s="31" t="inlineStr">
        <is>
          <t>midcap</t>
        </is>
      </c>
      <c r="F162" s="31" t="n">
        <v>5016.25</v>
      </c>
      <c r="G162" s="31" t="n">
        <v>340</v>
      </c>
      <c r="H162" s="31" t="n">
        <v>1.24</v>
      </c>
      <c r="I162" s="31" t="n">
        <v>356471</v>
      </c>
      <c r="J162" s="31" t="inlineStr">
        <is>
          <t>539978</t>
        </is>
      </c>
    </row>
    <row r="163">
      <c r="A163" s="31" t="inlineStr">
        <is>
          <t>MANALIPETC</t>
        </is>
      </c>
      <c r="B163" s="31" t="inlineStr">
        <is>
          <t>Manali Petrochemicals Limited</t>
        </is>
      </c>
      <c r="C163" s="31" t="inlineStr">
        <is>
          <t>energy</t>
        </is>
      </c>
      <c r="D163" s="31" t="inlineStr">
        <is>
          <t>petrochemicals</t>
        </is>
      </c>
      <c r="E163" s="31" t="inlineStr">
        <is>
          <t>smallcap</t>
        </is>
      </c>
      <c r="F163" s="31" t="n">
        <v>1273.14</v>
      </c>
      <c r="G163" s="31" t="n">
        <v>74.91</v>
      </c>
      <c r="H163" s="31" t="n">
        <v>1.2</v>
      </c>
      <c r="I163" s="31" t="n">
        <v>1781580</v>
      </c>
      <c r="J163" s="31" t="inlineStr">
        <is>
          <t>500268</t>
        </is>
      </c>
    </row>
    <row r="164">
      <c r="A164" s="31" t="inlineStr">
        <is>
          <t>FILATEX</t>
        </is>
      </c>
      <c r="B164" s="31" t="inlineStr">
        <is>
          <t>Filatex India Limited</t>
        </is>
      </c>
      <c r="C164" s="31" t="inlineStr">
        <is>
          <t>textiles</t>
        </is>
      </c>
      <c r="D164" s="31" t="inlineStr">
        <is>
          <t>textiles - manmade</t>
        </is>
      </c>
      <c r="E164" s="31" t="inlineStr">
        <is>
          <t>smallcap</t>
        </is>
      </c>
      <c r="F164" s="31" t="n">
        <v>3688.35</v>
      </c>
      <c r="G164" s="31" t="n">
        <v>84.05</v>
      </c>
      <c r="H164" s="31" t="n">
        <v>1.19</v>
      </c>
      <c r="I164" s="31" t="n">
        <v>1673340</v>
      </c>
      <c r="J164" s="31" t="inlineStr">
        <is>
          <t>526227</t>
        </is>
      </c>
    </row>
    <row r="165">
      <c r="A165" s="31" t="inlineStr">
        <is>
          <t>COMSYN</t>
        </is>
      </c>
      <c r="B165" s="31" t="inlineStr">
        <is>
          <t>Commercial Syn Bags Ltd</t>
        </is>
      </c>
      <c r="C165" s="31" t="inlineStr">
        <is>
          <t>industrials</t>
        </is>
      </c>
      <c r="D165" s="31" t="inlineStr">
        <is>
          <t>packaging</t>
        </is>
      </c>
      <c r="E165" s="31" t="inlineStr">
        <is>
          <t>smallcap</t>
        </is>
      </c>
      <c r="F165" s="31" t="n">
        <v>1154.39</v>
      </c>
      <c r="G165" s="31" t="n">
        <v>289.5</v>
      </c>
      <c r="H165" s="31" t="n">
        <v>1.16</v>
      </c>
      <c r="I165" s="31" t="n">
        <v>513462</v>
      </c>
      <c r="J165" s="31" t="inlineStr">
        <is>
          <t>539986</t>
        </is>
      </c>
    </row>
    <row r="166">
      <c r="A166" s="31" t="inlineStr">
        <is>
          <t>TVSSRICHAK</t>
        </is>
      </c>
      <c r="B166" s="31" t="inlineStr">
        <is>
          <t>Tvs Srichakra Limited</t>
        </is>
      </c>
      <c r="C166" s="31" t="inlineStr">
        <is>
          <t>auto</t>
        </is>
      </c>
      <c r="D166" s="31" t="inlineStr">
        <is>
          <t>tyres</t>
        </is>
      </c>
      <c r="E166" s="31" t="inlineStr">
        <is>
          <t>smallcap</t>
        </is>
      </c>
      <c r="F166" s="31" t="n">
        <v>3735.95</v>
      </c>
      <c r="G166" s="31" t="n">
        <v>4934.5</v>
      </c>
      <c r="H166" s="31" t="n">
        <v>1.14</v>
      </c>
      <c r="I166" s="31" t="n">
        <v>22134</v>
      </c>
      <c r="J166" s="31" t="inlineStr">
        <is>
          <t>509243</t>
        </is>
      </c>
    </row>
    <row r="167">
      <c r="A167" s="31" t="inlineStr">
        <is>
          <t>GRAPHITE</t>
        </is>
      </c>
      <c r="B167" s="31" t="inlineStr">
        <is>
          <t>Graphite India Limited</t>
        </is>
      </c>
      <c r="C167" s="31" t="inlineStr">
        <is>
          <t>industrials</t>
        </is>
      </c>
      <c r="D167" s="31" t="inlineStr">
        <is>
          <t>electrodes - graphites</t>
        </is>
      </c>
      <c r="E167" s="31" t="inlineStr">
        <is>
          <t>midcap</t>
        </is>
      </c>
      <c r="F167" s="31" t="n">
        <v>13886.32</v>
      </c>
      <c r="G167" s="31" t="n">
        <v>718.75</v>
      </c>
      <c r="H167" s="31" t="n">
        <v>1.13</v>
      </c>
      <c r="I167" s="31" t="n">
        <v>663514</v>
      </c>
      <c r="J167" s="31" t="inlineStr">
        <is>
          <t>509488</t>
        </is>
      </c>
    </row>
    <row r="168">
      <c r="A168" s="31" t="inlineStr">
        <is>
          <t>ALIVUS</t>
        </is>
      </c>
      <c r="B168" s="31" t="inlineStr">
        <is>
          <t>Alivus Life Sciences Ltd</t>
        </is>
      </c>
      <c r="C168" s="31" t="inlineStr">
        <is>
          <t>healthcare</t>
        </is>
      </c>
      <c r="D168" s="31" t="inlineStr">
        <is>
          <t>pharmaceuticals - indian - bulk drugs &amp; formln</t>
        </is>
      </c>
      <c r="E168" s="31" t="inlineStr">
        <is>
          <t>midcap</t>
        </is>
      </c>
      <c r="F168" s="31" t="n">
        <v>16580.45</v>
      </c>
      <c r="G168" s="31" t="n">
        <v>1366</v>
      </c>
      <c r="H168" s="31" t="n">
        <v>1.12</v>
      </c>
      <c r="I168" s="31" t="n">
        <v>54573</v>
      </c>
      <c r="J168" s="31" t="inlineStr">
        <is>
          <t>543322</t>
        </is>
      </c>
    </row>
    <row r="169">
      <c r="A169" s="31" t="inlineStr">
        <is>
          <t>MOLDTKPAC</t>
        </is>
      </c>
      <c r="B169" s="31" t="inlineStr">
        <is>
          <t>Mold-tek Packaging Limited</t>
        </is>
      </c>
      <c r="C169" s="31" t="inlineStr">
        <is>
          <t>industrials</t>
        </is>
      </c>
      <c r="D169" s="31" t="inlineStr">
        <is>
          <t>packaging</t>
        </is>
      </c>
      <c r="E169" s="31" t="inlineStr">
        <is>
          <t>smallcap</t>
        </is>
      </c>
      <c r="F169" s="31" t="n">
        <v>2355.76</v>
      </c>
      <c r="G169" s="31" t="n">
        <v>716.25</v>
      </c>
      <c r="H169" s="31" t="n">
        <v>1.03</v>
      </c>
      <c r="I169" s="31" t="n">
        <v>171529</v>
      </c>
      <c r="J169" s="31" t="inlineStr">
        <is>
          <t>533080</t>
        </is>
      </c>
    </row>
    <row r="170">
      <c r="A170" s="31" t="inlineStr">
        <is>
          <t>GLAXO</t>
        </is>
      </c>
      <c r="B170" s="31" t="inlineStr">
        <is>
          <t>Glaxosmithkline Pharmaceuticals Limited</t>
        </is>
      </c>
      <c r="C170" s="31" t="inlineStr">
        <is>
          <t>healthcare</t>
        </is>
      </c>
      <c r="D170" s="31" t="inlineStr">
        <is>
          <t>pharmaceuticals - multinational</t>
        </is>
      </c>
      <c r="E170" s="31" t="inlineStr">
        <is>
          <t>largecap</t>
        </is>
      </c>
      <c r="F170" s="31" t="n">
        <v>49165.02</v>
      </c>
      <c r="G170" s="31" t="n">
        <v>2931.7</v>
      </c>
      <c r="H170" s="31" t="n">
        <v>1.02</v>
      </c>
      <c r="I170" s="31" t="n">
        <v>99260</v>
      </c>
      <c r="J170" s="31" t="inlineStr">
        <is>
          <t>500660</t>
        </is>
      </c>
    </row>
    <row r="171">
      <c r="A171" s="31" t="inlineStr">
        <is>
          <t>PETRONET</t>
        </is>
      </c>
      <c r="B171" s="31" t="inlineStr">
        <is>
          <t>Petronet Lng Limited</t>
        </is>
      </c>
      <c r="C171" s="31" t="inlineStr">
        <is>
          <t>energy</t>
        </is>
      </c>
      <c r="D171" s="31" t="inlineStr">
        <is>
          <t>miscellaneous</t>
        </is>
      </c>
      <c r="E171" s="31" t="inlineStr">
        <is>
          <t>largecap</t>
        </is>
      </c>
      <c r="F171" s="31" t="n">
        <v>43950</v>
      </c>
      <c r="G171" s="31" t="n">
        <v>295.95</v>
      </c>
      <c r="H171" s="31" t="n">
        <v>1.01</v>
      </c>
      <c r="I171" s="31" t="n">
        <v>1705131</v>
      </c>
      <c r="J171" s="31" t="inlineStr">
        <is>
          <t>532522</t>
        </is>
      </c>
    </row>
    <row r="172">
      <c r="A172" s="31" t="inlineStr">
        <is>
          <t>HARSHA</t>
        </is>
      </c>
      <c r="B172" s="31" t="inlineStr">
        <is>
          <t>Harsha Engineers International Ltd</t>
        </is>
      </c>
      <c r="C172" s="31" t="inlineStr">
        <is>
          <t>industrials</t>
        </is>
      </c>
      <c r="D172" s="31" t="inlineStr">
        <is>
          <t>engineering</t>
        </is>
      </c>
      <c r="E172" s="31" t="inlineStr">
        <is>
          <t>smallcap</t>
        </is>
      </c>
      <c r="F172" s="31" t="n">
        <v>3984.09</v>
      </c>
      <c r="G172" s="31" t="n">
        <v>442</v>
      </c>
      <c r="H172" s="31" t="n">
        <v>1.01</v>
      </c>
      <c r="I172" s="31" t="n">
        <v>123826</v>
      </c>
      <c r="J172" s="31" t="inlineStr">
        <is>
          <t>543600</t>
        </is>
      </c>
    </row>
    <row r="173">
      <c r="A173" s="31" t="inlineStr">
        <is>
          <t>TNPETRO</t>
        </is>
      </c>
      <c r="B173" s="31" t="inlineStr">
        <is>
          <t>Tamilnadu Petroproducts Limited</t>
        </is>
      </c>
      <c r="C173" s="31" t="inlineStr">
        <is>
          <t>energy</t>
        </is>
      </c>
      <c r="D173" s="31" t="inlineStr">
        <is>
          <t>petrochemicals</t>
        </is>
      </c>
      <c r="E173" s="31" t="inlineStr">
        <is>
          <t>smallcap</t>
        </is>
      </c>
      <c r="F173" s="31" t="n">
        <v>1036.56</v>
      </c>
      <c r="G173" s="31" t="n">
        <v>116.34</v>
      </c>
      <c r="H173" s="31" t="n">
        <v>0.98</v>
      </c>
      <c r="I173" s="31" t="n">
        <v>637043</v>
      </c>
      <c r="J173" s="31" t="inlineStr">
        <is>
          <t>500777</t>
        </is>
      </c>
    </row>
    <row r="174">
      <c r="A174" s="31" t="inlineStr">
        <is>
          <t>BECTORFOOD</t>
        </is>
      </c>
      <c r="B174" s="31" t="inlineStr">
        <is>
          <t>Mrs Bectors Food Specialities Ltd</t>
        </is>
      </c>
      <c r="C174" s="31" t="inlineStr">
        <is>
          <t>fmcg</t>
        </is>
      </c>
      <c r="D174" s="31" t="inlineStr">
        <is>
          <t>food - processing - indian</t>
        </is>
      </c>
      <c r="E174" s="31" t="inlineStr">
        <is>
          <t>midcap</t>
        </is>
      </c>
      <c r="F174" s="31" t="n">
        <v>7823.04</v>
      </c>
      <c r="G174" s="31" t="n">
        <v>257.29</v>
      </c>
      <c r="H174" s="31" t="n">
        <v>0.97</v>
      </c>
      <c r="I174" s="31" t="n">
        <v>2404672</v>
      </c>
      <c r="J174" s="31" t="inlineStr">
        <is>
          <t>543253</t>
        </is>
      </c>
    </row>
    <row r="175">
      <c r="A175" s="31" t="inlineStr">
        <is>
          <t>VSSL</t>
        </is>
      </c>
      <c r="B175" s="31" t="inlineStr">
        <is>
          <t>Vardhman Special Steels Limited</t>
        </is>
      </c>
      <c r="C175" s="31" t="inlineStr">
        <is>
          <t>metals &amp; mining</t>
        </is>
      </c>
      <c r="D175" s="31" t="inlineStr">
        <is>
          <t>steel - medium / small</t>
        </is>
      </c>
      <c r="E175" s="31" t="inlineStr">
        <is>
          <t>smallcap</t>
        </is>
      </c>
      <c r="F175" s="31" t="n">
        <v>3371.43</v>
      </c>
      <c r="G175" s="31" t="n">
        <v>352</v>
      </c>
      <c r="H175" s="31" t="n">
        <v>0.95</v>
      </c>
      <c r="I175" s="31" t="n">
        <v>114944</v>
      </c>
      <c r="J175" s="31" t="inlineStr">
        <is>
          <t>534392</t>
        </is>
      </c>
    </row>
    <row r="176">
      <c r="A176" s="31" t="inlineStr">
        <is>
          <t>ANURAS</t>
        </is>
      </c>
      <c r="B176" s="31" t="inlineStr">
        <is>
          <t>Anupam Rasayan India Ltd</t>
        </is>
      </c>
      <c r="C176" s="31" t="inlineStr">
        <is>
          <t>chemicals</t>
        </is>
      </c>
      <c r="D176" s="31" t="inlineStr">
        <is>
          <t>chemicals</t>
        </is>
      </c>
      <c r="E176" s="31" t="inlineStr">
        <is>
          <t>midcap</t>
        </is>
      </c>
      <c r="F176" s="31" t="n">
        <v>14159.31</v>
      </c>
      <c r="G176" s="31" t="n">
        <v>1255.5</v>
      </c>
      <c r="H176" s="31" t="n">
        <v>0.95</v>
      </c>
      <c r="I176" s="31" t="n">
        <v>633272</v>
      </c>
      <c r="J176" s="31" t="inlineStr">
        <is>
          <t>543275</t>
        </is>
      </c>
    </row>
    <row r="177">
      <c r="A177" s="31" t="inlineStr">
        <is>
          <t>SBCL</t>
        </is>
      </c>
      <c r="B177" s="31" t="inlineStr">
        <is>
          <t>Shivalik Bimetal Controls Ltd</t>
        </is>
      </c>
      <c r="C177" s="31" t="inlineStr">
        <is>
          <t>metals &amp; mining</t>
        </is>
      </c>
      <c r="D177" s="31" t="inlineStr">
        <is>
          <t>mining / minerals / metals</t>
        </is>
      </c>
      <c r="E177" s="31" t="inlineStr">
        <is>
          <t>midcap</t>
        </is>
      </c>
      <c r="F177" s="31" t="n">
        <v>5721.54</v>
      </c>
      <c r="G177" s="31" t="n">
        <v>1002.5</v>
      </c>
      <c r="H177" s="31" t="n">
        <v>0.93</v>
      </c>
      <c r="I177" s="31" t="n">
        <v>264950</v>
      </c>
      <c r="J177" s="31" t="inlineStr">
        <is>
          <t>513097</t>
        </is>
      </c>
    </row>
    <row r="178">
      <c r="A178" s="31" t="inlineStr">
        <is>
          <t>IDEA</t>
        </is>
      </c>
      <c r="B178" s="31" t="inlineStr">
        <is>
          <t>Vodafone Idea Ltd</t>
        </is>
      </c>
      <c r="C178" s="31" t="inlineStr">
        <is>
          <t>telecom-service</t>
        </is>
      </c>
      <c r="D178" s="31" t="inlineStr">
        <is>
          <t>telecommunications - service provider</t>
        </is>
      </c>
      <c r="E178" s="31" t="inlineStr">
        <is>
          <t>largecap</t>
        </is>
      </c>
      <c r="F178" s="31" t="n">
        <v>151030.19</v>
      </c>
      <c r="G178" s="31" t="n">
        <v>14.07</v>
      </c>
      <c r="H178" s="31" t="n">
        <v>0.93</v>
      </c>
      <c r="I178" s="31" t="n">
        <v>226811251</v>
      </c>
      <c r="J178" s="31" t="inlineStr">
        <is>
          <t>532822</t>
        </is>
      </c>
    </row>
    <row r="179">
      <c r="A179" s="31" t="inlineStr">
        <is>
          <t>CHALET</t>
        </is>
      </c>
      <c r="B179" s="31" t="inlineStr">
        <is>
          <t>Chalet Hotels Ltd</t>
        </is>
      </c>
      <c r="C179" s="31" t="inlineStr">
        <is>
          <t>services</t>
        </is>
      </c>
      <c r="D179" s="31" t="inlineStr">
        <is>
          <t>hotels</t>
        </is>
      </c>
      <c r="E179" s="31" t="inlineStr">
        <is>
          <t>midcap</t>
        </is>
      </c>
      <c r="F179" s="31" t="n">
        <v>18876.2</v>
      </c>
      <c r="G179" s="31" t="n">
        <v>869.55</v>
      </c>
      <c r="H179" s="31" t="n">
        <v>0.88</v>
      </c>
      <c r="I179" s="31" t="n">
        <v>263446</v>
      </c>
      <c r="J179" s="31" t="inlineStr">
        <is>
          <t>542399</t>
        </is>
      </c>
    </row>
    <row r="180">
      <c r="A180" s="31" t="inlineStr">
        <is>
          <t>ARTEMISMED</t>
        </is>
      </c>
      <c r="B180" s="31" t="inlineStr">
        <is>
          <t>Artemis Medicare Services Ltd</t>
        </is>
      </c>
      <c r="C180" s="31" t="inlineStr">
        <is>
          <t>healthcare</t>
        </is>
      </c>
      <c r="D180" s="31" t="inlineStr">
        <is>
          <t>healthcare</t>
        </is>
      </c>
      <c r="E180" s="31" t="inlineStr">
        <is>
          <t>midcap</t>
        </is>
      </c>
      <c r="F180" s="31" t="n">
        <v>5162.37</v>
      </c>
      <c r="G180" s="31" t="n">
        <v>328.9</v>
      </c>
      <c r="H180" s="31" t="n">
        <v>0.86</v>
      </c>
      <c r="I180" s="31" t="n">
        <v>537116</v>
      </c>
      <c r="J180" s="31" t="inlineStr">
        <is>
          <t>542919</t>
        </is>
      </c>
    </row>
    <row r="181">
      <c r="A181" s="31" t="inlineStr">
        <is>
          <t>BAJAJ-AUTO</t>
        </is>
      </c>
      <c r="B181" s="31" t="inlineStr">
        <is>
          <t>Bajaj Auto Limited</t>
        </is>
      </c>
      <c r="C181" s="31" t="inlineStr">
        <is>
          <t>auto</t>
        </is>
      </c>
      <c r="D181" s="31" t="inlineStr">
        <is>
          <t>automobiles - scooters and 3 - wheelers</t>
        </is>
      </c>
      <c r="E181" s="31" t="inlineStr">
        <is>
          <t>largecap</t>
        </is>
      </c>
      <c r="F181" s="31" t="n">
        <v>327012.47</v>
      </c>
      <c r="G181" s="31" t="n">
        <v>11800</v>
      </c>
      <c r="H181" s="31" t="n">
        <v>0.85</v>
      </c>
      <c r="I181" s="31" t="n">
        <v>216086</v>
      </c>
      <c r="J181" s="31" t="inlineStr">
        <is>
          <t>532977</t>
        </is>
      </c>
    </row>
    <row r="182">
      <c r="A182" s="31" t="inlineStr">
        <is>
          <t>SPORTKING</t>
        </is>
      </c>
      <c r="B182" s="31" t="inlineStr">
        <is>
          <t>Sportking India Ltd</t>
        </is>
      </c>
      <c r="C182" s="31" t="inlineStr">
        <is>
          <t>textiles</t>
        </is>
      </c>
      <c r="D182" s="31" t="inlineStr">
        <is>
          <t>textiles - spinning - synthetic / blended</t>
        </is>
      </c>
      <c r="E182" s="31" t="inlineStr">
        <is>
          <t>smallcap</t>
        </is>
      </c>
      <c r="F182" s="31" t="n">
        <v>2707.52</v>
      </c>
      <c r="G182" s="31" t="n">
        <v>214.86</v>
      </c>
      <c r="H182" s="31" t="n">
        <v>0.84</v>
      </c>
      <c r="I182" s="31" t="n">
        <v>845807</v>
      </c>
      <c r="J182" s="31" t="inlineStr">
        <is>
          <t>539221</t>
        </is>
      </c>
    </row>
    <row r="183">
      <c r="A183" s="31" t="inlineStr">
        <is>
          <t>DHANBANK</t>
        </is>
      </c>
      <c r="B183" s="31" t="inlineStr">
        <is>
          <t>Dhanlaxmi Bank Limited</t>
        </is>
      </c>
      <c r="C183" s="31" t="inlineStr">
        <is>
          <t>bank</t>
        </is>
      </c>
      <c r="D183" s="31" t="inlineStr">
        <is>
          <t>banks - private sector</t>
        </is>
      </c>
      <c r="E183" s="31" t="inlineStr">
        <is>
          <t>smallcap</t>
        </is>
      </c>
      <c r="F183" s="31" t="n">
        <v>1331.32</v>
      </c>
      <c r="G183" s="31" t="n">
        <v>34.01</v>
      </c>
      <c r="H183" s="31" t="n">
        <v>0.83</v>
      </c>
      <c r="I183" s="31" t="n">
        <v>1900946</v>
      </c>
      <c r="J183" s="31" t="inlineStr">
        <is>
          <t>532180</t>
        </is>
      </c>
    </row>
    <row r="184">
      <c r="A184" s="31" t="inlineStr">
        <is>
          <t>MARKSANS</t>
        </is>
      </c>
      <c r="B184" s="31" t="inlineStr">
        <is>
          <t>Marksans Pharma Limited</t>
        </is>
      </c>
      <c r="C184" s="31" t="inlineStr">
        <is>
          <t>healthcare</t>
        </is>
      </c>
      <c r="D184" s="31" t="inlineStr">
        <is>
          <t>pharmaceuticals - indian - formulations</t>
        </is>
      </c>
      <c r="E184" s="31" t="inlineStr">
        <is>
          <t>midcap</t>
        </is>
      </c>
      <c r="F184" s="31" t="n">
        <v>14560.15</v>
      </c>
      <c r="G184" s="31" t="n">
        <v>323.9</v>
      </c>
      <c r="H184" s="31" t="n">
        <v>0.8100000000000001</v>
      </c>
      <c r="I184" s="31" t="n">
        <v>2199285</v>
      </c>
      <c r="J184" s="31" t="inlineStr">
        <is>
          <t>524404</t>
        </is>
      </c>
    </row>
    <row r="185">
      <c r="A185" s="31" t="inlineStr">
        <is>
          <t>RGL</t>
        </is>
      </c>
      <c r="B185" s="31" t="inlineStr">
        <is>
          <t>Renaissance Global Ltd</t>
        </is>
      </c>
      <c r="C185" s="31" t="inlineStr">
        <is>
          <t>consumer discretionary</t>
        </is>
      </c>
      <c r="D185" s="31" t="inlineStr">
        <is>
          <t>diamond cutting / jewellery</t>
        </is>
      </c>
      <c r="E185" s="31" t="inlineStr">
        <is>
          <t>smallcap</t>
        </is>
      </c>
      <c r="F185" s="31" t="n">
        <v>1409.32</v>
      </c>
      <c r="G185" s="31" t="n">
        <v>132.32</v>
      </c>
      <c r="H185" s="31" t="n">
        <v>0.8100000000000001</v>
      </c>
      <c r="I185" s="31" t="n">
        <v>878481</v>
      </c>
      <c r="J185" s="31" t="inlineStr">
        <is>
          <t>532923</t>
        </is>
      </c>
    </row>
    <row r="186">
      <c r="A186" s="31" t="inlineStr">
        <is>
          <t>KAMDHENU</t>
        </is>
      </c>
      <c r="B186" s="31" t="inlineStr">
        <is>
          <t>Kamdhenu Limited</t>
        </is>
      </c>
      <c r="C186" s="31" t="inlineStr">
        <is>
          <t>metals &amp; mining</t>
        </is>
      </c>
      <c r="D186" s="31" t="inlineStr">
        <is>
          <t>steel - medium / small</t>
        </is>
      </c>
      <c r="E186" s="31" t="inlineStr">
        <is>
          <t>smallcap</t>
        </is>
      </c>
      <c r="F186" s="31" t="n">
        <v>992.79</v>
      </c>
      <c r="G186" s="31" t="n">
        <v>35.5</v>
      </c>
      <c r="H186" s="31" t="n">
        <v>0.8</v>
      </c>
      <c r="I186" s="31" t="n">
        <v>976035</v>
      </c>
      <c r="J186" s="31" t="inlineStr">
        <is>
          <t>532741</t>
        </is>
      </c>
    </row>
    <row r="187">
      <c r="A187" s="31" t="inlineStr">
        <is>
          <t>GARFIBRES</t>
        </is>
      </c>
      <c r="B187" s="31" t="inlineStr">
        <is>
          <t>Garware Technical Fibres Ltd</t>
        </is>
      </c>
      <c r="C187" s="31" t="inlineStr">
        <is>
          <t>textiles</t>
        </is>
      </c>
      <c r="D187" s="31" t="inlineStr">
        <is>
          <t>textiles - products</t>
        </is>
      </c>
      <c r="E187" s="31" t="inlineStr">
        <is>
          <t>midcap</t>
        </is>
      </c>
      <c r="F187" s="31" t="n">
        <v>7837.26</v>
      </c>
      <c r="G187" s="31" t="n">
        <v>809</v>
      </c>
      <c r="H187" s="31" t="n">
        <v>0.8</v>
      </c>
      <c r="I187" s="31" t="n">
        <v>164401</v>
      </c>
      <c r="J187" s="31" t="inlineStr">
        <is>
          <t>509557</t>
        </is>
      </c>
    </row>
    <row r="188">
      <c r="A188" s="31" t="inlineStr">
        <is>
          <t>KARURVYSYA</t>
        </is>
      </c>
      <c r="B188" s="31" t="inlineStr">
        <is>
          <t>Karur Vysya Bank Limited</t>
        </is>
      </c>
      <c r="C188" s="31" t="inlineStr">
        <is>
          <t>bank</t>
        </is>
      </c>
      <c r="D188" s="31" t="inlineStr">
        <is>
          <t>banks - private sector</t>
        </is>
      </c>
      <c r="E188" s="31" t="inlineStr">
        <is>
          <t>largecap</t>
        </is>
      </c>
      <c r="F188" s="31" t="n">
        <v>32431.74</v>
      </c>
      <c r="G188" s="31" t="n">
        <v>338.15</v>
      </c>
      <c r="H188" s="31" t="n">
        <v>0.79</v>
      </c>
      <c r="I188" s="31" t="n">
        <v>1319495</v>
      </c>
      <c r="J188" s="31" t="inlineStr">
        <is>
          <t>590003</t>
        </is>
      </c>
    </row>
    <row r="189">
      <c r="A189" s="31" t="inlineStr">
        <is>
          <t>UFLEX</t>
        </is>
      </c>
      <c r="B189" s="31" t="inlineStr">
        <is>
          <t>Uflex Limited</t>
        </is>
      </c>
      <c r="C189" s="31" t="inlineStr">
        <is>
          <t>industrials</t>
        </is>
      </c>
      <c r="D189" s="31" t="inlineStr">
        <is>
          <t>packaging</t>
        </is>
      </c>
      <c r="E189" s="31" t="inlineStr">
        <is>
          <t>smallcap</t>
        </is>
      </c>
      <c r="F189" s="31" t="n">
        <v>4438.12</v>
      </c>
      <c r="G189" s="31" t="n">
        <v>619.2</v>
      </c>
      <c r="H189" s="31" t="n">
        <v>0.75</v>
      </c>
      <c r="I189" s="31" t="n">
        <v>245729</v>
      </c>
      <c r="J189" s="31" t="inlineStr">
        <is>
          <t>500148</t>
        </is>
      </c>
    </row>
    <row r="190">
      <c r="A190" s="31" t="inlineStr">
        <is>
          <t>HITECHCORP</t>
        </is>
      </c>
      <c r="B190" s="31" t="inlineStr">
        <is>
          <t>Hitech Corporation</t>
        </is>
      </c>
      <c r="C190" s="31" t="inlineStr">
        <is>
          <t>industrials</t>
        </is>
      </c>
      <c r="D190" s="31" t="inlineStr">
        <is>
          <t>packaging</t>
        </is>
      </c>
      <c r="E190" s="31" t="inlineStr">
        <is>
          <t>smallcap</t>
        </is>
      </c>
      <c r="F190" s="31" t="n">
        <v>569.37</v>
      </c>
      <c r="G190" s="31" t="n">
        <v>334</v>
      </c>
      <c r="H190" s="31" t="n">
        <v>0.75</v>
      </c>
      <c r="I190" s="31" t="n">
        <v>9962</v>
      </c>
      <c r="J190" s="31" t="inlineStr">
        <is>
          <t>526217</t>
        </is>
      </c>
    </row>
    <row r="191">
      <c r="A191" s="31" t="inlineStr">
        <is>
          <t>KALYANKJIL</t>
        </is>
      </c>
      <c r="B191" s="31" t="inlineStr">
        <is>
          <t>Kalyan Jewellers India Ltd</t>
        </is>
      </c>
      <c r="C191" s="31" t="inlineStr">
        <is>
          <t>consumer discretionary</t>
        </is>
      </c>
      <c r="D191" s="31" t="inlineStr">
        <is>
          <t>diamond cutting / jewellery</t>
        </is>
      </c>
      <c r="E191" s="31" t="inlineStr">
        <is>
          <t>largecap</t>
        </is>
      </c>
      <c r="F191" s="31" t="n">
        <v>62331.04</v>
      </c>
      <c r="G191" s="31" t="n">
        <v>607.95</v>
      </c>
      <c r="H191" s="31" t="n">
        <v>0.73</v>
      </c>
      <c r="I191" s="31" t="n">
        <v>5936916</v>
      </c>
      <c r="J191" s="31" t="inlineStr">
        <is>
          <t>543278</t>
        </is>
      </c>
    </row>
    <row r="192">
      <c r="A192" s="31" t="inlineStr">
        <is>
          <t>BDL</t>
        </is>
      </c>
      <c r="B192" s="31" t="inlineStr">
        <is>
          <t>Bharat Dynamics Ltd</t>
        </is>
      </c>
      <c r="C192" s="31" t="inlineStr">
        <is>
          <t>aerospace &amp; defence</t>
        </is>
      </c>
      <c r="D192" s="31" t="inlineStr">
        <is>
          <t>engineering</t>
        </is>
      </c>
      <c r="E192" s="31" t="inlineStr">
        <is>
          <t>largecap</t>
        </is>
      </c>
      <c r="F192" s="31" t="n">
        <v>49815.84</v>
      </c>
      <c r="G192" s="31" t="n">
        <v>1368</v>
      </c>
      <c r="H192" s="31" t="n">
        <v>0.66</v>
      </c>
      <c r="I192" s="31" t="n">
        <v>920568</v>
      </c>
      <c r="J192" s="31" t="inlineStr">
        <is>
          <t>541143</t>
        </is>
      </c>
    </row>
    <row r="193">
      <c r="A193" s="31" t="inlineStr">
        <is>
          <t>KANORICHEM</t>
        </is>
      </c>
      <c r="B193" s="31" t="inlineStr">
        <is>
          <t>Kanoria Chemicals &amp; Industries Limited</t>
        </is>
      </c>
      <c r="C193" s="31" t="inlineStr">
        <is>
          <t>chemicals</t>
        </is>
      </c>
      <c r="D193" s="31" t="inlineStr">
        <is>
          <t>chemicals</t>
        </is>
      </c>
      <c r="E193" s="31" t="inlineStr">
        <is>
          <t>smallcap</t>
        </is>
      </c>
      <c r="F193" s="31" t="n">
        <v>672.4</v>
      </c>
      <c r="G193" s="31" t="n">
        <v>154.9</v>
      </c>
      <c r="H193" s="31" t="n">
        <v>0.66</v>
      </c>
      <c r="I193" s="31" t="n">
        <v>49457</v>
      </c>
      <c r="J193" s="31" t="inlineStr">
        <is>
          <t>506525</t>
        </is>
      </c>
    </row>
    <row r="194">
      <c r="A194" s="31" t="inlineStr">
        <is>
          <t>WINDMACHIN</t>
        </is>
      </c>
      <c r="B194" s="31" t="inlineStr">
        <is>
          <t>Windsor Machines Limited</t>
        </is>
      </c>
      <c r="C194" s="31" t="inlineStr">
        <is>
          <t>industrials</t>
        </is>
      </c>
      <c r="D194" s="31" t="inlineStr">
        <is>
          <t>engineering</t>
        </is>
      </c>
      <c r="E194" s="31" t="inlineStr">
        <is>
          <t>smallcap</t>
        </is>
      </c>
      <c r="F194" s="31" t="n">
        <v>3200.33</v>
      </c>
      <c r="G194" s="31" t="n">
        <v>316.65</v>
      </c>
      <c r="H194" s="31" t="n">
        <v>0.65</v>
      </c>
      <c r="I194" s="31" t="n">
        <v>78727</v>
      </c>
      <c r="J194" s="31" t="inlineStr">
        <is>
          <t>522029</t>
        </is>
      </c>
    </row>
    <row r="195">
      <c r="A195" s="31" t="inlineStr">
        <is>
          <t>CUPID</t>
        </is>
      </c>
      <c r="B195" s="31" t="inlineStr">
        <is>
          <t>Cupid Limited</t>
        </is>
      </c>
      <c r="C195" s="31" t="inlineStr">
        <is>
          <t>fmcg</t>
        </is>
      </c>
      <c r="D195" s="31" t="inlineStr">
        <is>
          <t>personal care - indian</t>
        </is>
      </c>
      <c r="E195" s="31" t="inlineStr">
        <is>
          <t>largecap</t>
        </is>
      </c>
      <c r="F195" s="31" t="n">
        <v>38266.35</v>
      </c>
      <c r="G195" s="31" t="n">
        <v>286.41</v>
      </c>
      <c r="H195" s="31" t="n">
        <v>0.64</v>
      </c>
      <c r="I195" s="31" t="n">
        <v>18518167</v>
      </c>
      <c r="J195" s="31" t="inlineStr">
        <is>
          <t>530843</t>
        </is>
      </c>
    </row>
    <row r="196">
      <c r="A196" s="31" t="inlineStr">
        <is>
          <t>WELSPUNLIV</t>
        </is>
      </c>
      <c r="B196" s="31" t="inlineStr">
        <is>
          <t>Welspun Living Ltd</t>
        </is>
      </c>
      <c r="C196" s="31" t="inlineStr">
        <is>
          <t>textiles</t>
        </is>
      </c>
      <c r="D196" s="31" t="inlineStr">
        <is>
          <t>textiles - products</t>
        </is>
      </c>
      <c r="E196" s="31" t="inlineStr">
        <is>
          <t>midcap</t>
        </is>
      </c>
      <c r="F196" s="31" t="n">
        <v>17876.61</v>
      </c>
      <c r="G196" s="31" t="n">
        <v>190.43</v>
      </c>
      <c r="H196" s="31" t="n">
        <v>0.64</v>
      </c>
      <c r="I196" s="31" t="n">
        <v>5479675</v>
      </c>
      <c r="J196" s="31" t="inlineStr">
        <is>
          <t>514162</t>
        </is>
      </c>
    </row>
    <row r="197">
      <c r="A197" s="31" t="inlineStr">
        <is>
          <t>EMAMIPAP</t>
        </is>
      </c>
      <c r="B197" s="31" t="inlineStr">
        <is>
          <t>Emami Paper Mills Ltd</t>
        </is>
      </c>
      <c r="C197" s="31" t="inlineStr">
        <is>
          <t>building materials</t>
        </is>
      </c>
      <c r="D197" s="31" t="inlineStr">
        <is>
          <t>paper</t>
        </is>
      </c>
      <c r="E197" s="31" t="inlineStr">
        <is>
          <t>smallcap</t>
        </is>
      </c>
      <c r="F197" s="31" t="n">
        <v>700.64</v>
      </c>
      <c r="G197" s="31" t="n">
        <v>116.5</v>
      </c>
      <c r="H197" s="31" t="n">
        <v>0.6</v>
      </c>
      <c r="I197" s="31" t="n">
        <v>36955</v>
      </c>
      <c r="J197" s="31" t="inlineStr">
        <is>
          <t>533208</t>
        </is>
      </c>
    </row>
    <row r="198">
      <c r="A198" s="31" t="inlineStr">
        <is>
          <t>QPOWER</t>
        </is>
      </c>
      <c r="B198" s="31" t="inlineStr">
        <is>
          <t>Quality Power Electrical Equipments Ltd</t>
        </is>
      </c>
      <c r="C198" s="31" t="inlineStr">
        <is>
          <t>industrials</t>
        </is>
      </c>
      <c r="D198" s="31" t="inlineStr">
        <is>
          <t>electric equipment</t>
        </is>
      </c>
      <c r="E198" s="31" t="inlineStr">
        <is>
          <t>midcap</t>
        </is>
      </c>
      <c r="F198" s="31" t="n">
        <v>10111.1</v>
      </c>
      <c r="G198" s="31" t="n">
        <v>1313.2</v>
      </c>
      <c r="H198" s="31" t="n">
        <v>0.58</v>
      </c>
      <c r="I198" s="31" t="n">
        <v>330055</v>
      </c>
      <c r="J198" s="31" t="inlineStr">
        <is>
          <t>544367</t>
        </is>
      </c>
    </row>
    <row r="199">
      <c r="A199" s="31" t="inlineStr">
        <is>
          <t>STCINDIA</t>
        </is>
      </c>
      <c r="B199" s="31" t="inlineStr">
        <is>
          <t>The State Trading Corporation Of India Limited</t>
        </is>
      </c>
      <c r="C199" s="31" t="inlineStr">
        <is>
          <t>services</t>
        </is>
      </c>
      <c r="D199" s="31" t="inlineStr">
        <is>
          <t>trading</t>
        </is>
      </c>
      <c r="E199" s="31" t="inlineStr">
        <is>
          <t>smallcap</t>
        </is>
      </c>
      <c r="F199" s="31" t="n">
        <v>727.26</v>
      </c>
      <c r="G199" s="31" t="n">
        <v>121.89</v>
      </c>
      <c r="H199" s="31" t="n">
        <v>0.5600000000000001</v>
      </c>
      <c r="I199" s="31" t="n">
        <v>66152</v>
      </c>
      <c r="J199" s="31" t="inlineStr">
        <is>
          <t>512531</t>
        </is>
      </c>
    </row>
    <row r="200">
      <c r="A200" s="31" t="inlineStr">
        <is>
          <t>OCCLLTD</t>
        </is>
      </c>
      <c r="B200" s="31" t="inlineStr">
        <is>
          <t>OCCL Ltd</t>
        </is>
      </c>
      <c r="C200" s="31" t="inlineStr">
        <is>
          <t>chemicals</t>
        </is>
      </c>
      <c r="D200" s="31" t="inlineStr">
        <is>
          <t>chemicals</t>
        </is>
      </c>
      <c r="E200" s="31" t="inlineStr">
        <is>
          <t>smallcap</t>
        </is>
      </c>
      <c r="F200" s="31" t="n">
        <v>792.36</v>
      </c>
      <c r="G200" s="31" t="n">
        <v>159.5</v>
      </c>
      <c r="H200" s="31" t="n">
        <v>0.55</v>
      </c>
      <c r="I200" s="31" t="n">
        <v>33525</v>
      </c>
      <c r="J200" s="31" t="inlineStr">
        <is>
          <t>544278</t>
        </is>
      </c>
    </row>
    <row r="201">
      <c r="A201" s="31" t="inlineStr">
        <is>
          <t>AUBANK</t>
        </is>
      </c>
      <c r="B201" s="31" t="inlineStr">
        <is>
          <t>AU Small Finance Bank Ltd</t>
        </is>
      </c>
      <c r="C201" s="31" t="inlineStr">
        <is>
          <t>bank</t>
        </is>
      </c>
      <c r="D201" s="31" t="inlineStr">
        <is>
          <t>banks - private sector</t>
        </is>
      </c>
      <c r="E201" s="31" t="inlineStr">
        <is>
          <t>largecap</t>
        </is>
      </c>
      <c r="F201" s="31" t="n">
        <v>83001.07000000001</v>
      </c>
      <c r="G201" s="31" t="n">
        <v>1114</v>
      </c>
      <c r="H201" s="31" t="n">
        <v>0.52</v>
      </c>
      <c r="I201" s="31" t="n">
        <v>1584997</v>
      </c>
      <c r="J201" s="31" t="inlineStr">
        <is>
          <t>540611</t>
        </is>
      </c>
    </row>
    <row r="202">
      <c r="A202" s="31" t="inlineStr">
        <is>
          <t>TI</t>
        </is>
      </c>
      <c r="B202" s="31" t="inlineStr">
        <is>
          <t>Tilaknagar Industries Limited</t>
        </is>
      </c>
      <c r="C202" s="31" t="inlineStr">
        <is>
          <t>fmcg</t>
        </is>
      </c>
      <c r="D202" s="31" t="inlineStr">
        <is>
          <t>breweries &amp; distilleries</t>
        </is>
      </c>
      <c r="E202" s="31" t="inlineStr">
        <is>
          <t>midcap</t>
        </is>
      </c>
      <c r="F202" s="31" t="n">
        <v>14245.83</v>
      </c>
      <c r="G202" s="31" t="n">
        <v>578.6</v>
      </c>
      <c r="H202" s="31" t="n">
        <v>0.51</v>
      </c>
      <c r="I202" s="31" t="n">
        <v>935876</v>
      </c>
      <c r="J202" s="31" t="inlineStr">
        <is>
          <t>507205</t>
        </is>
      </c>
    </row>
    <row r="203">
      <c r="A203" s="31" t="inlineStr">
        <is>
          <t>GOKULAGRO</t>
        </is>
      </c>
      <c r="B203" s="31" t="inlineStr">
        <is>
          <t>Gokul Agro Resources Limited</t>
        </is>
      </c>
      <c r="C203" s="31" t="inlineStr">
        <is>
          <t>fmcg</t>
        </is>
      </c>
      <c r="D203" s="31" t="inlineStr">
        <is>
          <t>solvent extraction</t>
        </is>
      </c>
      <c r="E203" s="31" t="inlineStr">
        <is>
          <t>midcap</t>
        </is>
      </c>
      <c r="F203" s="31" t="n">
        <v>7164.71</v>
      </c>
      <c r="G203" s="31" t="n">
        <v>244.05</v>
      </c>
      <c r="H203" s="31" t="n">
        <v>0.51</v>
      </c>
      <c r="I203" s="31" t="n">
        <v>554544</v>
      </c>
      <c r="J203" s="31" t="inlineStr">
        <is>
          <t>539725</t>
        </is>
      </c>
    </row>
    <row r="204">
      <c r="A204" s="31" t="inlineStr">
        <is>
          <t>DYNAMATECH</t>
        </is>
      </c>
      <c r="B204" s="31" t="inlineStr">
        <is>
          <t>Dynamatic Technologies Limited</t>
        </is>
      </c>
      <c r="C204" s="31" t="inlineStr">
        <is>
          <t>aerospace &amp; defence</t>
        </is>
      </c>
      <c r="D204" s="31" t="inlineStr">
        <is>
          <t>engineering</t>
        </is>
      </c>
      <c r="E204" s="31" t="inlineStr">
        <is>
          <t>midcap</t>
        </is>
      </c>
      <c r="F204" s="31" t="n">
        <v>7869.92</v>
      </c>
      <c r="G204" s="31" t="n">
        <v>11646</v>
      </c>
      <c r="H204" s="31" t="n">
        <v>0.5</v>
      </c>
      <c r="I204" s="31" t="n">
        <v>16876</v>
      </c>
      <c r="J204" s="31" t="inlineStr">
        <is>
          <t>505242</t>
        </is>
      </c>
    </row>
    <row r="205">
      <c r="A205" s="31" t="inlineStr">
        <is>
          <t>BIL</t>
        </is>
      </c>
      <c r="B205" s="31" t="inlineStr">
        <is>
          <t>Bhartiya International Limited</t>
        </is>
      </c>
      <c r="C205" s="31" t="inlineStr">
        <is>
          <t>consumer discretionary</t>
        </is>
      </c>
      <c r="D205" s="31" t="inlineStr">
        <is>
          <t>leather / leather products</t>
        </is>
      </c>
      <c r="E205" s="31" t="inlineStr">
        <is>
          <t>smallcap</t>
        </is>
      </c>
      <c r="F205" s="31" t="n">
        <v>1114.54</v>
      </c>
      <c r="G205" s="31" t="n">
        <v>835.15</v>
      </c>
      <c r="H205" s="31" t="n">
        <v>0.49</v>
      </c>
      <c r="I205" s="31" t="n">
        <v>5644</v>
      </c>
      <c r="J205" s="31" t="inlineStr">
        <is>
          <t>526666</t>
        </is>
      </c>
    </row>
    <row r="206">
      <c r="A206" s="31" t="inlineStr">
        <is>
          <t>GENUSPOWER</t>
        </is>
      </c>
      <c r="B206" s="31" t="inlineStr">
        <is>
          <t>Genus Power Infrastructures Limited</t>
        </is>
      </c>
      <c r="C206" s="31" t="inlineStr">
        <is>
          <t>consumer discretionary</t>
        </is>
      </c>
      <c r="D206" s="31" t="inlineStr">
        <is>
          <t>electronics - components</t>
        </is>
      </c>
      <c r="E206" s="31" t="inlineStr">
        <is>
          <t>midcap</t>
        </is>
      </c>
      <c r="F206" s="31" t="n">
        <v>10281.88</v>
      </c>
      <c r="G206" s="31" t="n">
        <v>339.6</v>
      </c>
      <c r="H206" s="31" t="n">
        <v>0.49</v>
      </c>
      <c r="I206" s="31" t="n">
        <v>3456459</v>
      </c>
      <c r="J206" s="31" t="inlineStr">
        <is>
          <t>530343</t>
        </is>
      </c>
    </row>
    <row r="207">
      <c r="A207" s="31" t="inlineStr">
        <is>
          <t>GLOBAL</t>
        </is>
      </c>
      <c r="B207" s="31" t="inlineStr">
        <is>
          <t>Global Education Ltd</t>
        </is>
      </c>
      <c r="C207" s="31" t="inlineStr">
        <is>
          <t>services</t>
        </is>
      </c>
      <c r="D207" s="31" t="inlineStr">
        <is>
          <t>miscellaneous</t>
        </is>
      </c>
      <c r="E207" s="31" t="inlineStr">
        <is>
          <t>smallcap</t>
        </is>
      </c>
      <c r="F207" s="31" t="n">
        <v>544.54</v>
      </c>
      <c r="G207" s="31" t="n">
        <v>107.5</v>
      </c>
      <c r="H207" s="31" t="n">
        <v>0.49</v>
      </c>
      <c r="I207" s="31" t="n">
        <v>150061</v>
      </c>
      <c r="J207" s="31" t="inlineStr">
        <is>
          <t>538406</t>
        </is>
      </c>
    </row>
    <row r="208">
      <c r="A208" s="31" t="inlineStr">
        <is>
          <t>IPCALAB</t>
        </is>
      </c>
      <c r="B208" s="31" t="inlineStr">
        <is>
          <t>Ipca Laboratories Limited</t>
        </is>
      </c>
      <c r="C208" s="31" t="inlineStr">
        <is>
          <t>healthcare</t>
        </is>
      </c>
      <c r="D208" s="31" t="inlineStr">
        <is>
          <t>pharmaceuticals - indian - bulk drugs &amp; formln</t>
        </is>
      </c>
      <c r="E208" s="31" t="inlineStr">
        <is>
          <t>largecap</t>
        </is>
      </c>
      <c r="F208" s="31" t="n">
        <v>48487.95</v>
      </c>
      <c r="G208" s="31" t="n">
        <v>1920.4</v>
      </c>
      <c r="H208" s="31" t="n">
        <v>0.48</v>
      </c>
      <c r="I208" s="31" t="n">
        <v>288479</v>
      </c>
      <c r="J208" s="31" t="inlineStr">
        <is>
          <t>524494</t>
        </is>
      </c>
    </row>
    <row r="209">
      <c r="A209" s="31" t="inlineStr">
        <is>
          <t>PERSISTENT</t>
        </is>
      </c>
      <c r="B209" s="31" t="inlineStr">
        <is>
          <t>Persistent Systems Limited</t>
        </is>
      </c>
      <c r="C209" s="31" t="inlineStr">
        <is>
          <t>i.t</t>
        </is>
      </c>
      <c r="D209" s="31" t="inlineStr">
        <is>
          <t>computers - software - large</t>
        </is>
      </c>
      <c r="E209" s="31" t="inlineStr">
        <is>
          <t>largecap</t>
        </is>
      </c>
      <c r="F209" s="31" t="n">
        <v>89404.81</v>
      </c>
      <c r="G209" s="31" t="n">
        <v>5694</v>
      </c>
      <c r="H209" s="31" t="n">
        <v>0.47</v>
      </c>
      <c r="I209" s="31" t="n">
        <v>362910</v>
      </c>
      <c r="J209" s="31" t="inlineStr">
        <is>
          <t>533179</t>
        </is>
      </c>
    </row>
    <row r="210">
      <c r="A210" s="31" t="inlineStr">
        <is>
          <t>EICHERMOT</t>
        </is>
      </c>
      <c r="B210" s="31" t="inlineStr">
        <is>
          <t>Eicher Motors Limited</t>
        </is>
      </c>
      <c r="C210" s="31" t="inlineStr">
        <is>
          <t>auto</t>
        </is>
      </c>
      <c r="D210" s="31" t="inlineStr">
        <is>
          <t>automobiles - motorcycles / mopeds</t>
        </is>
      </c>
      <c r="E210" s="31" t="inlineStr">
        <is>
          <t>largecap</t>
        </is>
      </c>
      <c r="F210" s="31" t="n">
        <v>219872.52</v>
      </c>
      <c r="G210" s="31" t="n">
        <v>8047</v>
      </c>
      <c r="H210" s="31" t="n">
        <v>0.46</v>
      </c>
      <c r="I210" s="31" t="n">
        <v>200731</v>
      </c>
      <c r="J210" s="31" t="inlineStr">
        <is>
          <t>505200</t>
        </is>
      </c>
    </row>
    <row r="211">
      <c r="A211" s="31" t="inlineStr">
        <is>
          <t>KRISHANA</t>
        </is>
      </c>
      <c r="B211" s="31" t="inlineStr">
        <is>
          <t>Krishana Phoschem Ltd</t>
        </is>
      </c>
      <c r="C211" s="31" t="inlineStr">
        <is>
          <t>chemicals</t>
        </is>
      </c>
      <c r="D211" s="31" t="inlineStr">
        <is>
          <t>fertilizers</t>
        </is>
      </c>
      <c r="E211" s="31" t="inlineStr">
        <is>
          <t>smallcap</t>
        </is>
      </c>
      <c r="F211" s="31" t="n">
        <v>1226.72</v>
      </c>
      <c r="G211" s="31" t="n">
        <v>199.3</v>
      </c>
      <c r="H211" s="31" t="n">
        <v>0.45</v>
      </c>
      <c r="I211" s="31" t="n">
        <v>879731</v>
      </c>
      <c r="J211" s="31" t="inlineStr">
        <is>
          <t>538405</t>
        </is>
      </c>
    </row>
    <row r="212">
      <c r="A212" s="31" t="inlineStr">
        <is>
          <t>ANDHRSUGAR</t>
        </is>
      </c>
      <c r="B212" s="31" t="inlineStr">
        <is>
          <t>The Andhra Sugars Limited</t>
        </is>
      </c>
      <c r="C212" s="31" t="inlineStr">
        <is>
          <t>chemicals</t>
        </is>
      </c>
      <c r="D212" s="31" t="inlineStr">
        <is>
          <t>chlor alkali / soda ash</t>
        </is>
      </c>
      <c r="E212" s="31" t="inlineStr">
        <is>
          <t>smallcap</t>
        </is>
      </c>
      <c r="F212" s="31" t="n">
        <v>1339.63</v>
      </c>
      <c r="G212" s="31" t="n">
        <v>99.28</v>
      </c>
      <c r="H212" s="31" t="n">
        <v>0.45</v>
      </c>
      <c r="I212" s="31" t="n">
        <v>1599814</v>
      </c>
      <c r="J212" s="31" t="inlineStr">
        <is>
          <t>590062</t>
        </is>
      </c>
    </row>
    <row r="213">
      <c r="A213" s="31" t="inlineStr">
        <is>
          <t>DCI</t>
        </is>
      </c>
      <c r="B213" s="31" t="inlineStr">
        <is>
          <t>DC Infotech &amp; Communication Ltd</t>
        </is>
      </c>
      <c r="C213" s="31" t="inlineStr">
        <is>
          <t>i.t</t>
        </is>
      </c>
      <c r="D213" s="31" t="inlineStr">
        <is>
          <t>trading</t>
        </is>
      </c>
      <c r="E213" s="31" t="inlineStr">
        <is>
          <t>smallcap</t>
        </is>
      </c>
      <c r="F213" s="31" t="n">
        <v>625.41</v>
      </c>
      <c r="G213" s="31" t="n">
        <v>383</v>
      </c>
      <c r="H213" s="31" t="n">
        <v>0.43</v>
      </c>
      <c r="I213" s="31" t="n">
        <v>67624</v>
      </c>
      <c r="J213" s="31" t="inlineStr">
        <is>
          <t>535351</t>
        </is>
      </c>
    </row>
    <row r="214">
      <c r="A214" s="31" t="inlineStr">
        <is>
          <t>OIL</t>
        </is>
      </c>
      <c r="B214" s="31" t="inlineStr">
        <is>
          <t>Oil India Limited</t>
        </is>
      </c>
      <c r="C214" s="31" t="inlineStr">
        <is>
          <t>energy</t>
        </is>
      </c>
      <c r="D214" s="31" t="inlineStr">
        <is>
          <t>oil drilling / allied services</t>
        </is>
      </c>
      <c r="E214" s="31" t="inlineStr">
        <is>
          <t>largecap</t>
        </is>
      </c>
      <c r="F214" s="31" t="n">
        <v>77263.87</v>
      </c>
      <c r="G214" s="31" t="n">
        <v>477</v>
      </c>
      <c r="H214" s="31" t="n">
        <v>0.42</v>
      </c>
      <c r="I214" s="31" t="n">
        <v>746725</v>
      </c>
      <c r="J214" s="31" t="inlineStr">
        <is>
          <t>533106</t>
        </is>
      </c>
    </row>
    <row r="215">
      <c r="A215" s="31" t="inlineStr">
        <is>
          <t>TBOTEK</t>
        </is>
      </c>
      <c r="B215" s="31" t="inlineStr">
        <is>
          <t>TBO Tek Ltd</t>
        </is>
      </c>
      <c r="C215" s="31" t="inlineStr">
        <is>
          <t>i.t</t>
        </is>
      </c>
      <c r="D215" s="31" t="inlineStr">
        <is>
          <t>travel agencies</t>
        </is>
      </c>
      <c r="E215" s="31" t="inlineStr">
        <is>
          <t>midcap</t>
        </is>
      </c>
      <c r="F215" s="31" t="n">
        <v>18421.92</v>
      </c>
      <c r="G215" s="31" t="n">
        <v>1703.5</v>
      </c>
      <c r="H215" s="31" t="n">
        <v>0.41</v>
      </c>
      <c r="I215" s="31" t="n">
        <v>152539</v>
      </c>
      <c r="J215" s="31" t="inlineStr">
        <is>
          <t>544174</t>
        </is>
      </c>
    </row>
    <row r="216">
      <c r="A216" s="31" t="inlineStr">
        <is>
          <t>MANINDS</t>
        </is>
      </c>
      <c r="B216" s="31" t="inlineStr">
        <is>
          <t>Man Industries (india) Limited</t>
        </is>
      </c>
      <c r="C216" s="31" t="inlineStr">
        <is>
          <t>metals &amp; mining</t>
        </is>
      </c>
      <c r="D216" s="31" t="inlineStr">
        <is>
          <t>steel - medium / small</t>
        </is>
      </c>
      <c r="E216" s="31" t="inlineStr">
        <is>
          <t>midcap</t>
        </is>
      </c>
      <c r="F216" s="31" t="n">
        <v>5366.18</v>
      </c>
      <c r="G216" s="31" t="n">
        <v>718.1</v>
      </c>
      <c r="H216" s="31" t="n">
        <v>0.38</v>
      </c>
      <c r="I216" s="31" t="n">
        <v>636152</v>
      </c>
      <c r="J216" s="31" t="inlineStr">
        <is>
          <t>513269</t>
        </is>
      </c>
    </row>
    <row r="217">
      <c r="A217" s="31" t="inlineStr">
        <is>
          <t>JKPAPER</t>
        </is>
      </c>
      <c r="B217" s="31" t="inlineStr">
        <is>
          <t>Jk Paper Limited</t>
        </is>
      </c>
      <c r="C217" s="31" t="inlineStr">
        <is>
          <t>building materials</t>
        </is>
      </c>
      <c r="D217" s="31" t="inlineStr">
        <is>
          <t>paper</t>
        </is>
      </c>
      <c r="E217" s="31" t="inlineStr">
        <is>
          <t>midcap</t>
        </is>
      </c>
      <c r="F217" s="31" t="n">
        <v>7104.07</v>
      </c>
      <c r="G217" s="31" t="n">
        <v>393.3</v>
      </c>
      <c r="H217" s="31" t="n">
        <v>0.38</v>
      </c>
      <c r="I217" s="31" t="n">
        <v>403571</v>
      </c>
      <c r="J217" s="31" t="inlineStr">
        <is>
          <t>532162</t>
        </is>
      </c>
    </row>
    <row r="218">
      <c r="A218" s="31" t="inlineStr">
        <is>
          <t>UNIMECH</t>
        </is>
      </c>
      <c r="B218" s="31" t="inlineStr">
        <is>
          <t>Unimech Aerospace and Manufacturing Ltd</t>
        </is>
      </c>
      <c r="C218" s="31" t="inlineStr">
        <is>
          <t>aerospace &amp; defence</t>
        </is>
      </c>
      <c r="D218" s="31" t="inlineStr">
        <is>
          <t>engineering</t>
        </is>
      </c>
      <c r="E218" s="31" t="inlineStr">
        <is>
          <t>midcap</t>
        </is>
      </c>
      <c r="F218" s="31" t="n">
        <v>7584.8</v>
      </c>
      <c r="G218" s="31" t="n">
        <v>1496.9</v>
      </c>
      <c r="H218" s="31" t="n">
        <v>0.37</v>
      </c>
      <c r="I218" s="31" t="n">
        <v>235425</v>
      </c>
      <c r="J218" s="31" t="inlineStr">
        <is>
          <t>544322</t>
        </is>
      </c>
    </row>
    <row r="219">
      <c r="A219" s="31" t="inlineStr">
        <is>
          <t>SHANTIGOLD</t>
        </is>
      </c>
      <c r="B219" s="31" t="inlineStr">
        <is>
          <t>Shanti Gold International Ltd</t>
        </is>
      </c>
      <c r="C219" s="31" t="inlineStr">
        <is>
          <t>consumer discretionary</t>
        </is>
      </c>
      <c r="D219" s="31" t="inlineStr">
        <is>
          <t>diamond cutting / jewellery</t>
        </is>
      </c>
      <c r="E219" s="31" t="inlineStr">
        <is>
          <t>smallcap</t>
        </is>
      </c>
      <c r="F219" s="31" t="n">
        <v>1943.56</v>
      </c>
      <c r="G219" s="31" t="n">
        <v>270.52</v>
      </c>
      <c r="H219" s="31" t="n">
        <v>0.35</v>
      </c>
      <c r="I219" s="31" t="n">
        <v>3383118</v>
      </c>
      <c r="J219" s="31" t="inlineStr">
        <is>
          <t>544459</t>
        </is>
      </c>
    </row>
    <row r="220">
      <c r="A220" s="31" t="inlineStr">
        <is>
          <t>SAMBHV</t>
        </is>
      </c>
      <c r="B220" s="31" t="inlineStr">
        <is>
          <t>Sambhv Steel Tubes Ltd</t>
        </is>
      </c>
      <c r="C220" s="31" t="inlineStr">
        <is>
          <t>metals &amp; mining</t>
        </is>
      </c>
      <c r="D220" s="31" t="inlineStr">
        <is>
          <t>steel - medium / small</t>
        </is>
      </c>
      <c r="E220" s="31" t="inlineStr">
        <is>
          <t>smallcap</t>
        </is>
      </c>
      <c r="F220" s="31" t="n">
        <v>3811.57</v>
      </c>
      <c r="G220" s="31" t="n">
        <v>129.78</v>
      </c>
      <c r="H220" s="31" t="n">
        <v>0.33</v>
      </c>
      <c r="I220" s="31" t="n">
        <v>1469390</v>
      </c>
      <c r="J220" s="31" t="inlineStr">
        <is>
          <t>544430</t>
        </is>
      </c>
    </row>
    <row r="221">
      <c r="A221" s="31" t="inlineStr">
        <is>
          <t>ESABINDIA</t>
        </is>
      </c>
      <c r="B221" s="31" t="inlineStr">
        <is>
          <t>Esab India Limited</t>
        </is>
      </c>
      <c r="C221" s="31" t="inlineStr">
        <is>
          <t>industrials</t>
        </is>
      </c>
      <c r="D221" s="31" t="inlineStr">
        <is>
          <t>electrodes - welding equipment</t>
        </is>
      </c>
      <c r="E221" s="31" t="inlineStr">
        <is>
          <t>midcap</t>
        </is>
      </c>
      <c r="F221" s="31" t="n">
        <v>9559.07</v>
      </c>
      <c r="G221" s="31" t="n">
        <v>6230</v>
      </c>
      <c r="H221" s="31" t="n">
        <v>0.32</v>
      </c>
      <c r="I221" s="31" t="n">
        <v>7615</v>
      </c>
      <c r="J221" s="31" t="inlineStr">
        <is>
          <t>500133</t>
        </is>
      </c>
    </row>
    <row r="222">
      <c r="A222" s="31" t="inlineStr">
        <is>
          <t>HDFCAMC</t>
        </is>
      </c>
      <c r="B222" s="31" t="inlineStr">
        <is>
          <t>HDFC Asset Management Company Ltd</t>
        </is>
      </c>
      <c r="C222" s="31" t="inlineStr">
        <is>
          <t>financials</t>
        </is>
      </c>
      <c r="D222" s="31" t="inlineStr">
        <is>
          <t>finance &amp; investments</t>
        </is>
      </c>
      <c r="E222" s="31" t="inlineStr">
        <is>
          <t>largecap</t>
        </is>
      </c>
      <c r="F222" s="31" t="n">
        <v>111878.5</v>
      </c>
      <c r="G222" s="31" t="n">
        <v>2618</v>
      </c>
      <c r="H222" s="31" t="n">
        <v>0.31</v>
      </c>
      <c r="I222" s="31" t="n">
        <v>649177</v>
      </c>
      <c r="J222" s="31" t="inlineStr">
        <is>
          <t>541729</t>
        </is>
      </c>
    </row>
    <row r="223">
      <c r="A223" s="31" t="inlineStr">
        <is>
          <t>AVTNPL</t>
        </is>
      </c>
      <c r="B223" s="31" t="inlineStr">
        <is>
          <t>Avt Natural Products Limited</t>
        </is>
      </c>
      <c r="C223" s="31" t="inlineStr">
        <is>
          <t>fmcg</t>
        </is>
      </c>
      <c r="D223" s="31" t="inlineStr">
        <is>
          <t>solvent extraction</t>
        </is>
      </c>
      <c r="E223" s="31" t="inlineStr">
        <is>
          <t>smallcap</t>
        </is>
      </c>
      <c r="F223" s="31" t="n">
        <v>1332.94</v>
      </c>
      <c r="G223" s="31" t="n">
        <v>87.8</v>
      </c>
      <c r="H223" s="31" t="n">
        <v>0.31</v>
      </c>
      <c r="I223" s="31" t="n">
        <v>319225</v>
      </c>
      <c r="J223" s="31" t="inlineStr">
        <is>
          <t>519105</t>
        </is>
      </c>
    </row>
    <row r="224">
      <c r="A224" s="31" t="inlineStr">
        <is>
          <t>SUNDRMFAST</t>
        </is>
      </c>
      <c r="B224" s="31" t="inlineStr">
        <is>
          <t>Sundram Fasteners Limited</t>
        </is>
      </c>
      <c r="C224" s="31" t="inlineStr">
        <is>
          <t>auto</t>
        </is>
      </c>
      <c r="D224" s="31" t="inlineStr">
        <is>
          <t>auto ancillaries</t>
        </is>
      </c>
      <c r="E224" s="31" t="inlineStr">
        <is>
          <t>largecap</t>
        </is>
      </c>
      <c r="F224" s="31" t="n">
        <v>25803.76</v>
      </c>
      <c r="G224" s="31" t="n">
        <v>1231.6</v>
      </c>
      <c r="H224" s="31" t="n">
        <v>0.29</v>
      </c>
      <c r="I224" s="31" t="n">
        <v>194173</v>
      </c>
      <c r="J224" s="31" t="inlineStr">
        <is>
          <t>500403</t>
        </is>
      </c>
    </row>
    <row r="225">
      <c r="A225" s="31" t="inlineStr">
        <is>
          <t>PRESTIGE</t>
        </is>
      </c>
      <c r="B225" s="31" t="inlineStr">
        <is>
          <t>Prestige Estates Projects Limited</t>
        </is>
      </c>
      <c r="C225" s="31" t="inlineStr">
        <is>
          <t>realty</t>
        </is>
      </c>
      <c r="D225" s="31" t="inlineStr">
        <is>
          <t>construction</t>
        </is>
      </c>
      <c r="E225" s="31" t="inlineStr">
        <is>
          <t>largecap</t>
        </is>
      </c>
      <c r="F225" s="31" t="n">
        <v>70252.10000000001</v>
      </c>
      <c r="G225" s="31" t="n">
        <v>1635.8</v>
      </c>
      <c r="H225" s="31" t="n">
        <v>0.29</v>
      </c>
      <c r="I225" s="31" t="n">
        <v>240241</v>
      </c>
      <c r="J225" s="31" t="inlineStr">
        <is>
          <t>533274</t>
        </is>
      </c>
    </row>
    <row r="226">
      <c r="A226" s="31" t="inlineStr">
        <is>
          <t>FLUOROCHEM</t>
        </is>
      </c>
      <c r="B226" s="31" t="inlineStr">
        <is>
          <t>Gujarat Fluorochemicals Ltd</t>
        </is>
      </c>
      <c r="C226" s="31" t="inlineStr">
        <is>
          <t>chemicals</t>
        </is>
      </c>
      <c r="D226" s="31" t="inlineStr">
        <is>
          <t>chemicals</t>
        </is>
      </c>
      <c r="E226" s="31" t="inlineStr">
        <is>
          <t>largecap</t>
        </is>
      </c>
      <c r="F226" s="31" t="n">
        <v>50771.57</v>
      </c>
      <c r="G226" s="31" t="n">
        <v>4635</v>
      </c>
      <c r="H226" s="31" t="n">
        <v>0.28</v>
      </c>
      <c r="I226" s="31" t="n">
        <v>144575</v>
      </c>
      <c r="J226" s="31" t="inlineStr">
        <is>
          <t>542812</t>
        </is>
      </c>
    </row>
    <row r="227">
      <c r="A227" s="31" t="inlineStr">
        <is>
          <t>APLAPOLLO</t>
        </is>
      </c>
      <c r="B227" s="31" t="inlineStr">
        <is>
          <t>Apl Apollo Tubes Limited</t>
        </is>
      </c>
      <c r="C227" s="31" t="inlineStr">
        <is>
          <t>industrials</t>
        </is>
      </c>
      <c r="D227" s="31" t="inlineStr">
        <is>
          <t>steel - large</t>
        </is>
      </c>
      <c r="E227" s="31" t="inlineStr">
        <is>
          <t>largecap</t>
        </is>
      </c>
      <c r="F227" s="31" t="n">
        <v>59391.13</v>
      </c>
      <c r="G227" s="31" t="n">
        <v>2145</v>
      </c>
      <c r="H227" s="31" t="n">
        <v>0.28</v>
      </c>
      <c r="I227" s="31" t="n">
        <v>228173</v>
      </c>
      <c r="J227" s="31" t="inlineStr">
        <is>
          <t>533758</t>
        </is>
      </c>
    </row>
    <row r="228">
      <c r="A228" s="31" t="inlineStr">
        <is>
          <t>ADOR</t>
        </is>
      </c>
      <c r="B228" s="31" t="inlineStr">
        <is>
          <t>Ador Welding Ltd</t>
        </is>
      </c>
      <c r="C228" s="31" t="inlineStr">
        <is>
          <t>industrials</t>
        </is>
      </c>
      <c r="D228" s="31" t="inlineStr">
        <is>
          <t>electrodes - welding equipment</t>
        </is>
      </c>
      <c r="E228" s="31" t="inlineStr">
        <is>
          <t>smallcap</t>
        </is>
      </c>
      <c r="F228" s="31" t="n">
        <v>2815.08</v>
      </c>
      <c r="G228" s="31" t="n">
        <v>1622.1</v>
      </c>
      <c r="H228" s="31" t="n">
        <v>0.28</v>
      </c>
      <c r="I228" s="31" t="n">
        <v>47258</v>
      </c>
      <c r="J228" s="31" t="inlineStr">
        <is>
          <t>517041</t>
        </is>
      </c>
    </row>
    <row r="229">
      <c r="A229" s="31" t="inlineStr">
        <is>
          <t>ASTRAL</t>
        </is>
      </c>
      <c r="B229" s="31" t="inlineStr">
        <is>
          <t>Astral Ltd</t>
        </is>
      </c>
      <c r="C229" s="31" t="inlineStr">
        <is>
          <t>plastic products</t>
        </is>
      </c>
      <c r="D229" s="31" t="inlineStr">
        <is>
          <t>plastics products</t>
        </is>
      </c>
      <c r="E229" s="31" t="inlineStr">
        <is>
          <t>largecap</t>
        </is>
      </c>
      <c r="F229" s="31" t="n">
        <v>41063.18</v>
      </c>
      <c r="G229" s="31" t="n">
        <v>1532.8</v>
      </c>
      <c r="H229" s="31" t="n">
        <v>0.28</v>
      </c>
      <c r="I229" s="31" t="n">
        <v>304807</v>
      </c>
      <c r="J229" s="31" t="inlineStr">
        <is>
          <t>532830</t>
        </is>
      </c>
    </row>
    <row r="230">
      <c r="A230" s="31" t="inlineStr">
        <is>
          <t>ELECTHERM</t>
        </is>
      </c>
      <c r="B230" s="31" t="inlineStr">
        <is>
          <t>Electrotherm (india) Limited</t>
        </is>
      </c>
      <c r="C230" s="31" t="inlineStr">
        <is>
          <t>metals &amp; mining</t>
        </is>
      </c>
      <c r="D230" s="31" t="inlineStr">
        <is>
          <t>steel - medium / small</t>
        </is>
      </c>
      <c r="E230" s="31" t="inlineStr">
        <is>
          <t>smallcap</t>
        </is>
      </c>
      <c r="F230" s="31" t="n">
        <v>1340.8</v>
      </c>
      <c r="G230" s="31" t="n">
        <v>1055</v>
      </c>
      <c r="H230" s="31" t="n">
        <v>0.27</v>
      </c>
      <c r="I230" s="31" t="n">
        <v>6498</v>
      </c>
      <c r="J230" s="31" t="inlineStr">
        <is>
          <t>526608</t>
        </is>
      </c>
    </row>
    <row r="231">
      <c r="A231" s="31" t="inlineStr">
        <is>
          <t>DIVGIITTS</t>
        </is>
      </c>
      <c r="B231" s="31" t="inlineStr">
        <is>
          <t>Divgi Torqtransfer Systems Ltd</t>
        </is>
      </c>
      <c r="C231" s="31" t="inlineStr">
        <is>
          <t>auto</t>
        </is>
      </c>
      <c r="D231" s="31" t="inlineStr">
        <is>
          <t>auto ancillaries</t>
        </is>
      </c>
      <c r="E231" s="31" t="inlineStr">
        <is>
          <t>smallcap</t>
        </is>
      </c>
      <c r="F231" s="31" t="n">
        <v>3724.69</v>
      </c>
      <c r="G231" s="31" t="n">
        <v>1221.05</v>
      </c>
      <c r="H231" s="31" t="n">
        <v>0.26</v>
      </c>
      <c r="I231" s="31" t="n">
        <v>289993</v>
      </c>
      <c r="J231" s="31" t="inlineStr">
        <is>
          <t>543812</t>
        </is>
      </c>
    </row>
    <row r="232">
      <c r="A232" s="31" t="inlineStr">
        <is>
          <t>RACLGEAR</t>
        </is>
      </c>
      <c r="B232" s="31" t="inlineStr">
        <is>
          <t>RACL Geartech Ltd</t>
        </is>
      </c>
      <c r="C232" s="31" t="inlineStr">
        <is>
          <t>auto</t>
        </is>
      </c>
      <c r="D232" s="31" t="inlineStr">
        <is>
          <t>auto ancillaries</t>
        </is>
      </c>
      <c r="E232" s="31" t="inlineStr">
        <is>
          <t>smallcap</t>
        </is>
      </c>
      <c r="F232" s="31" t="n">
        <v>1782.36</v>
      </c>
      <c r="G232" s="31" t="n">
        <v>1516</v>
      </c>
      <c r="H232" s="31" t="n">
        <v>0.26</v>
      </c>
      <c r="I232" s="31" t="n">
        <v>117689</v>
      </c>
      <c r="J232" s="31" t="inlineStr">
        <is>
          <t>520073</t>
        </is>
      </c>
    </row>
    <row r="233">
      <c r="A233" s="31" t="inlineStr">
        <is>
          <t>LALPATHLAB</t>
        </is>
      </c>
      <c r="B233" s="31" t="inlineStr">
        <is>
          <t>Dr. Lal Path Labs Ltd.</t>
        </is>
      </c>
      <c r="C233" s="31" t="inlineStr">
        <is>
          <t>healthcare</t>
        </is>
      </c>
      <c r="D233" s="31" t="inlineStr">
        <is>
          <t>healthcare</t>
        </is>
      </c>
      <c r="E233" s="31" t="inlineStr">
        <is>
          <t>largecap</t>
        </is>
      </c>
      <c r="F233" s="31" t="n">
        <v>31753.95</v>
      </c>
      <c r="G233" s="31" t="n">
        <v>1899</v>
      </c>
      <c r="H233" s="31" t="n">
        <v>0.25</v>
      </c>
      <c r="I233" s="31" t="n">
        <v>176236</v>
      </c>
      <c r="J233" s="31" t="inlineStr">
        <is>
          <t>539524</t>
        </is>
      </c>
    </row>
    <row r="234">
      <c r="A234" s="31" t="inlineStr">
        <is>
          <t>AEROFLEX</t>
        </is>
      </c>
      <c r="B234" s="31" t="inlineStr">
        <is>
          <t>Aeroflex Industries Ltd</t>
        </is>
      </c>
      <c r="C234" s="31" t="inlineStr">
        <is>
          <t>metals &amp; mining</t>
        </is>
      </c>
      <c r="D234" s="31" t="inlineStr">
        <is>
          <t>steel - medium / small</t>
        </is>
      </c>
      <c r="E234" s="31" t="inlineStr">
        <is>
          <t>midcap</t>
        </is>
      </c>
      <c r="F234" s="31" t="n">
        <v>6656.24</v>
      </c>
      <c r="G234" s="31" t="n">
        <v>504.25</v>
      </c>
      <c r="H234" s="31" t="n">
        <v>0.25</v>
      </c>
      <c r="I234" s="31" t="n">
        <v>1626805</v>
      </c>
      <c r="J234" s="31" t="inlineStr">
        <is>
          <t>543972</t>
        </is>
      </c>
    </row>
    <row r="235">
      <c r="A235" s="31" t="inlineStr">
        <is>
          <t>SGFIN</t>
        </is>
      </c>
      <c r="B235" s="31" t="inlineStr">
        <is>
          <t>SG Finserve Ltd</t>
        </is>
      </c>
      <c r="C235" s="31" t="inlineStr">
        <is>
          <t>financials</t>
        </is>
      </c>
      <c r="D235" s="31" t="inlineStr">
        <is>
          <t>finance &amp; investments</t>
        </is>
      </c>
      <c r="E235" s="31" t="inlineStr">
        <is>
          <t>smallcap</t>
        </is>
      </c>
      <c r="F235" s="31" t="n">
        <v>4527.97</v>
      </c>
      <c r="G235" s="31" t="n">
        <v>688.4</v>
      </c>
      <c r="H235" s="31" t="n">
        <v>0.18</v>
      </c>
      <c r="I235" s="31" t="n">
        <v>347295</v>
      </c>
      <c r="J235" s="31" t="inlineStr">
        <is>
          <t>539199</t>
        </is>
      </c>
    </row>
    <row r="236">
      <c r="A236" s="31" t="inlineStr">
        <is>
          <t>ASHOKLEY</t>
        </is>
      </c>
      <c r="B236" s="31" t="inlineStr">
        <is>
          <t>Ashok Leyland Limited</t>
        </is>
      </c>
      <c r="C236" s="31" t="inlineStr">
        <is>
          <t>auto</t>
        </is>
      </c>
      <c r="D236" s="31" t="inlineStr">
        <is>
          <t>automobiles - lcvs / hcvs</t>
        </is>
      </c>
      <c r="E236" s="31" t="inlineStr">
        <is>
          <t>largecap</t>
        </is>
      </c>
      <c r="F236" s="31" t="n">
        <v>101617.68</v>
      </c>
      <c r="G236" s="31" t="n">
        <v>173.29</v>
      </c>
      <c r="H236" s="31" t="n">
        <v>0.17</v>
      </c>
      <c r="I236" s="31" t="n">
        <v>8830319</v>
      </c>
      <c r="J236" s="31" t="inlineStr">
        <is>
          <t>500477</t>
        </is>
      </c>
    </row>
    <row r="237">
      <c r="A237" s="31" t="inlineStr">
        <is>
          <t>SENORES</t>
        </is>
      </c>
      <c r="B237" s="31" t="inlineStr">
        <is>
          <t>Senores Pharmaceuticals Ltd</t>
        </is>
      </c>
      <c r="C237" s="31" t="inlineStr">
        <is>
          <t>healthcare</t>
        </is>
      </c>
      <c r="D237" s="31" t="inlineStr">
        <is>
          <t>pharmaceuticals - indian - formulations</t>
        </is>
      </c>
      <c r="E237" s="31" t="inlineStr">
        <is>
          <t>midcap</t>
        </is>
      </c>
      <c r="F237" s="31" t="n">
        <v>6969.29</v>
      </c>
      <c r="G237" s="31" t="n">
        <v>1515.7</v>
      </c>
      <c r="H237" s="31" t="n">
        <v>0.16</v>
      </c>
      <c r="I237" s="31" t="n">
        <v>557883</v>
      </c>
      <c r="J237" s="31" t="inlineStr">
        <is>
          <t>544319</t>
        </is>
      </c>
    </row>
    <row r="238">
      <c r="A238" s="31" t="inlineStr">
        <is>
          <t>BAJEL</t>
        </is>
      </c>
      <c r="B238" s="31" t="inlineStr">
        <is>
          <t>Bajel Projects Ltd</t>
        </is>
      </c>
      <c r="C238" s="31" t="inlineStr">
        <is>
          <t>realty</t>
        </is>
      </c>
      <c r="D238" s="31" t="inlineStr">
        <is>
          <t>engineering - turnkey services</t>
        </is>
      </c>
      <c r="E238" s="31" t="inlineStr">
        <is>
          <t>smallcap</t>
        </is>
      </c>
      <c r="F238" s="31" t="n">
        <v>2218.84</v>
      </c>
      <c r="G238" s="31" t="n">
        <v>192.09</v>
      </c>
      <c r="H238" s="31" t="n">
        <v>0.16</v>
      </c>
      <c r="I238" s="31" t="n">
        <v>324224</v>
      </c>
      <c r="J238" s="31" t="n"/>
    </row>
    <row r="239">
      <c r="A239" s="31" t="inlineStr">
        <is>
          <t>SOLARINDS</t>
        </is>
      </c>
      <c r="B239" s="31" t="inlineStr">
        <is>
          <t>Solar Industries India Limited</t>
        </is>
      </c>
      <c r="C239" s="31" t="inlineStr">
        <is>
          <t>aerospace &amp; defence</t>
        </is>
      </c>
      <c r="D239" s="31" t="inlineStr">
        <is>
          <t>chemicals</t>
        </is>
      </c>
      <c r="E239" s="31" t="inlineStr">
        <is>
          <t>largecap</t>
        </is>
      </c>
      <c r="F239" s="31" t="n">
        <v>180075.21</v>
      </c>
      <c r="G239" s="31" t="n">
        <v>19925</v>
      </c>
      <c r="H239" s="31" t="n">
        <v>0.13</v>
      </c>
      <c r="I239" s="31" t="n">
        <v>66249</v>
      </c>
      <c r="J239" s="31" t="inlineStr">
        <is>
          <t>532725</t>
        </is>
      </c>
    </row>
    <row r="240">
      <c r="A240" s="31" t="inlineStr">
        <is>
          <t>VADILALIND</t>
        </is>
      </c>
      <c r="B240" s="31" t="inlineStr">
        <is>
          <t>Vadilal Industries Limited</t>
        </is>
      </c>
      <c r="C240" s="31" t="inlineStr">
        <is>
          <t>fmcg</t>
        </is>
      </c>
      <c r="D240" s="31" t="inlineStr">
        <is>
          <t>food - processing - indian</t>
        </is>
      </c>
      <c r="E240" s="31" t="inlineStr">
        <is>
          <t>midcap</t>
        </is>
      </c>
      <c r="F240" s="31" t="n">
        <v>5331.57</v>
      </c>
      <c r="G240" s="31" t="n">
        <v>7425.5</v>
      </c>
      <c r="H240" s="31" t="n">
        <v>0.11</v>
      </c>
      <c r="I240" s="31" t="n">
        <v>21158</v>
      </c>
      <c r="J240" s="31" t="inlineStr">
        <is>
          <t>519156</t>
        </is>
      </c>
    </row>
    <row r="241">
      <c r="A241" s="31" t="inlineStr">
        <is>
          <t>GEECEE</t>
        </is>
      </c>
      <c r="B241" s="31" t="inlineStr">
        <is>
          <t>Geecee Ventures Limited</t>
        </is>
      </c>
      <c r="C241" s="31" t="inlineStr">
        <is>
          <t>financials</t>
        </is>
      </c>
      <c r="D241" s="31" t="inlineStr">
        <is>
          <t>finance &amp; investments</t>
        </is>
      </c>
      <c r="E241" s="31" t="inlineStr">
        <is>
          <t>smallcap</t>
        </is>
      </c>
      <c r="F241" s="31" t="n">
        <v>766.73</v>
      </c>
      <c r="G241" s="31" t="n">
        <v>367</v>
      </c>
      <c r="H241" s="31" t="n">
        <v>0.1</v>
      </c>
      <c r="I241" s="31" t="n">
        <v>3955</v>
      </c>
      <c r="J241" s="31" t="inlineStr">
        <is>
          <t>532764</t>
        </is>
      </c>
    </row>
    <row r="242">
      <c r="A242" s="31" t="inlineStr">
        <is>
          <t>MAHSEAMLES</t>
        </is>
      </c>
      <c r="B242" s="31" t="inlineStr">
        <is>
          <t>Maharashtra Seamless Limited</t>
        </is>
      </c>
      <c r="C242" s="31" t="inlineStr">
        <is>
          <t>industrials</t>
        </is>
      </c>
      <c r="D242" s="31" t="inlineStr">
        <is>
          <t>steel - large</t>
        </is>
      </c>
      <c r="E242" s="31" t="inlineStr">
        <is>
          <t>midcap</t>
        </is>
      </c>
      <c r="F242" s="31" t="n">
        <v>8497.559999999999</v>
      </c>
      <c r="G242" s="31" t="n">
        <v>634.75</v>
      </c>
      <c r="H242" s="31" t="n">
        <v>0.09</v>
      </c>
      <c r="I242" s="31" t="n">
        <v>274888</v>
      </c>
      <c r="J242" s="31" t="inlineStr">
        <is>
          <t>500265</t>
        </is>
      </c>
    </row>
    <row r="243">
      <c r="A243" s="31" t="inlineStr">
        <is>
          <t>MONARCH</t>
        </is>
      </c>
      <c r="B243" s="31" t="inlineStr">
        <is>
          <t>Monarch Networth Capital Ltd</t>
        </is>
      </c>
      <c r="C243" s="31" t="inlineStr">
        <is>
          <t>financials</t>
        </is>
      </c>
      <c r="D243" s="31" t="inlineStr">
        <is>
          <t>finance &amp; investments</t>
        </is>
      </c>
      <c r="E243" s="31" t="inlineStr">
        <is>
          <t>smallcap</t>
        </is>
      </c>
      <c r="F243" s="31" t="n">
        <v>3056.94</v>
      </c>
      <c r="G243" s="31" t="n">
        <v>385.8</v>
      </c>
      <c r="H243" s="31" t="n">
        <v>0.09</v>
      </c>
      <c r="I243" s="31" t="n">
        <v>90824</v>
      </c>
      <c r="J243" s="31" t="inlineStr">
        <is>
          <t>511551</t>
        </is>
      </c>
    </row>
    <row r="244">
      <c r="A244" s="31" t="inlineStr">
        <is>
          <t>UNIONBANK</t>
        </is>
      </c>
      <c r="B244" s="31" t="inlineStr">
        <is>
          <t>Union Bank Of India Ltd</t>
        </is>
      </c>
      <c r="C244" s="31" t="inlineStr">
        <is>
          <t>bank</t>
        </is>
      </c>
      <c r="D244" s="31" t="inlineStr">
        <is>
          <t>banks - public sector</t>
        </is>
      </c>
      <c r="E244" s="31" t="inlineStr">
        <is>
          <t>largecap</t>
        </is>
      </c>
      <c r="F244" s="31" t="n">
        <v>140038.49</v>
      </c>
      <c r="G244" s="31" t="n">
        <v>183.6</v>
      </c>
      <c r="H244" s="31" t="n">
        <v>0.08</v>
      </c>
      <c r="I244" s="31" t="n">
        <v>4409057</v>
      </c>
      <c r="J244" s="31" t="inlineStr">
        <is>
          <t>532477</t>
        </is>
      </c>
    </row>
    <row r="245">
      <c r="A245" s="31" t="inlineStr">
        <is>
          <t>M&amp;M</t>
        </is>
      </c>
      <c r="B245" s="31" t="inlineStr">
        <is>
          <t>Mahindra &amp; Mahindra Limited</t>
        </is>
      </c>
      <c r="C245" s="31" t="inlineStr">
        <is>
          <t>auto</t>
        </is>
      </c>
      <c r="D245" s="31" t="inlineStr">
        <is>
          <t>automobiles - passenger cars</t>
        </is>
      </c>
      <c r="E245" s="31" t="inlineStr">
        <is>
          <t>largecap</t>
        </is>
      </c>
      <c r="F245" s="31" t="n">
        <v>424316.91</v>
      </c>
      <c r="G245" s="31" t="n">
        <v>3414.1</v>
      </c>
      <c r="H245" s="31" t="n">
        <v>0.06</v>
      </c>
      <c r="I245" s="31" t="n">
        <v>1127126</v>
      </c>
      <c r="J245" s="31" t="inlineStr">
        <is>
          <t>500520</t>
        </is>
      </c>
    </row>
    <row r="246">
      <c r="A246" s="31" t="inlineStr">
        <is>
          <t>VARROC</t>
        </is>
      </c>
      <c r="B246" s="31" t="inlineStr">
        <is>
          <t>Varroc Engineering Ltd</t>
        </is>
      </c>
      <c r="C246" s="31" t="inlineStr">
        <is>
          <t>auto</t>
        </is>
      </c>
      <c r="D246" s="31" t="inlineStr">
        <is>
          <t>auto ancillaries</t>
        </is>
      </c>
      <c r="E246" s="31" t="inlineStr">
        <is>
          <t>midcap</t>
        </is>
      </c>
      <c r="F246" s="31" t="n">
        <v>12451.33</v>
      </c>
      <c r="G246" s="31" t="n">
        <v>815</v>
      </c>
      <c r="H246" s="31" t="n">
        <v>0.01</v>
      </c>
      <c r="I246" s="31" t="n">
        <v>267556</v>
      </c>
      <c r="J246" s="31" t="inlineStr">
        <is>
          <t>541578</t>
        </is>
      </c>
    </row>
    <row r="247">
      <c r="A247" s="31" t="inlineStr">
        <is>
          <t>MOTILALOFS</t>
        </is>
      </c>
      <c r="B247" s="31" t="inlineStr">
        <is>
          <t>Motilal Oswal Financial Services Limited</t>
        </is>
      </c>
      <c r="C247" s="31" t="inlineStr">
        <is>
          <t>financials</t>
        </is>
      </c>
      <c r="D247" s="31" t="inlineStr">
        <is>
          <t>finance &amp; investments</t>
        </is>
      </c>
      <c r="E247" s="31" t="inlineStr">
        <is>
          <t>largecap</t>
        </is>
      </c>
      <c r="F247" s="31" t="n">
        <v>59612.52</v>
      </c>
      <c r="G247" s="31" t="n">
        <v>990</v>
      </c>
      <c r="H247" s="31" t="n">
        <v>0</v>
      </c>
      <c r="I247" s="31" t="n">
        <v>879318</v>
      </c>
      <c r="J247" s="31" t="inlineStr">
        <is>
          <t>532892</t>
        </is>
      </c>
    </row>
    <row r="248">
      <c r="A248" s="31" t="inlineStr">
        <is>
          <t>JTLIND</t>
        </is>
      </c>
      <c r="B248" s="31" t="inlineStr">
        <is>
          <t>JTL Industries Ltd</t>
        </is>
      </c>
      <c r="C248" s="31" t="inlineStr">
        <is>
          <t>metals &amp; mining</t>
        </is>
      </c>
      <c r="D248" s="31" t="inlineStr">
        <is>
          <t>steel - medium / small</t>
        </is>
      </c>
      <c r="E248" s="31" t="inlineStr">
        <is>
          <t>smallcap</t>
        </is>
      </c>
      <c r="F248" s="31" t="n">
        <v>3125.79</v>
      </c>
      <c r="G248" s="31" t="n">
        <v>79.52</v>
      </c>
      <c r="H248" s="31" t="n">
        <v>0</v>
      </c>
      <c r="I248" s="31" t="n">
        <v>2117821</v>
      </c>
      <c r="J248" s="31" t="inlineStr">
        <is>
          <t>534600</t>
        </is>
      </c>
    </row>
    <row r="249">
      <c r="A249" s="31" t="inlineStr">
        <is>
          <t>INGERRAND</t>
        </is>
      </c>
      <c r="B249" s="31" t="inlineStr">
        <is>
          <t>Ingersoll Rand (india) Limited</t>
        </is>
      </c>
      <c r="C249" s="31" t="inlineStr">
        <is>
          <t>industrials</t>
        </is>
      </c>
      <c r="D249" s="31" t="inlineStr">
        <is>
          <t>compressors / drilling equipment</t>
        </is>
      </c>
      <c r="E249" s="31" t="inlineStr">
        <is>
          <t>midcap</t>
        </is>
      </c>
      <c r="F249" s="31" t="n">
        <v>14712.58</v>
      </c>
      <c r="G249" s="31" t="n">
        <v>4660</v>
      </c>
      <c r="H249" s="31" t="n">
        <v>-0.01</v>
      </c>
      <c r="I249" s="31" t="n">
        <v>13246</v>
      </c>
      <c r="J249" s="31" t="inlineStr">
        <is>
          <t>500210</t>
        </is>
      </c>
    </row>
    <row r="250">
      <c r="A250" s="31" t="inlineStr">
        <is>
          <t>ABCAPITAL</t>
        </is>
      </c>
      <c r="B250" s="31" t="inlineStr">
        <is>
          <t>Aditya Birla Capital Ltd</t>
        </is>
      </c>
      <c r="C250" s="31" t="inlineStr">
        <is>
          <t>financials</t>
        </is>
      </c>
      <c r="D250" s="31" t="inlineStr">
        <is>
          <t>finance &amp; investments</t>
        </is>
      </c>
      <c r="E250" s="31" t="inlineStr">
        <is>
          <t>largecap</t>
        </is>
      </c>
      <c r="F250" s="31" t="n">
        <v>112922.72</v>
      </c>
      <c r="G250" s="31" t="n">
        <v>412.9</v>
      </c>
      <c r="H250" s="31" t="n">
        <v>-0.02</v>
      </c>
      <c r="I250" s="31" t="n">
        <v>2082136</v>
      </c>
      <c r="J250" s="31" t="inlineStr">
        <is>
          <t>540691</t>
        </is>
      </c>
    </row>
    <row r="251">
      <c r="A251" s="31" t="inlineStr">
        <is>
          <t>LAURUSLABS</t>
        </is>
      </c>
      <c r="B251" s="31" t="inlineStr">
        <is>
          <t>Laurus Labs Limited</t>
        </is>
      </c>
      <c r="C251" s="31" t="inlineStr">
        <is>
          <t>healthcare</t>
        </is>
      </c>
      <c r="D251" s="31" t="inlineStr">
        <is>
          <t>pharmaceuticals - indian - bulk drugs &amp; formln</t>
        </is>
      </c>
      <c r="E251" s="31" t="inlineStr">
        <is>
          <t>largecap</t>
        </is>
      </c>
      <c r="F251" s="31" t="n">
        <v>97352.97</v>
      </c>
      <c r="G251" s="31" t="n">
        <v>1801</v>
      </c>
      <c r="H251" s="31" t="n">
        <v>-0.06</v>
      </c>
      <c r="I251" s="31" t="n">
        <v>2879883</v>
      </c>
      <c r="J251" s="31" t="inlineStr">
        <is>
          <t>540222</t>
        </is>
      </c>
    </row>
    <row r="252">
      <c r="A252" s="31" t="inlineStr">
        <is>
          <t>UNITDSPR</t>
        </is>
      </c>
      <c r="B252" s="31" t="inlineStr">
        <is>
          <t>United Spirits Ltd</t>
        </is>
      </c>
      <c r="C252" s="31" t="inlineStr">
        <is>
          <t>fmcg</t>
        </is>
      </c>
      <c r="D252" s="31" t="inlineStr">
        <is>
          <t>breweries &amp; distilleries</t>
        </is>
      </c>
      <c r="E252" s="31" t="inlineStr">
        <is>
          <t>largecap</t>
        </is>
      </c>
      <c r="F252" s="31" t="n">
        <v>113175.79</v>
      </c>
      <c r="G252" s="31" t="n">
        <v>1555</v>
      </c>
      <c r="H252" s="31" t="n">
        <v>-0.06</v>
      </c>
      <c r="I252" s="31" t="n">
        <v>392740</v>
      </c>
      <c r="J252" s="31" t="inlineStr">
        <is>
          <t>532432</t>
        </is>
      </c>
    </row>
    <row r="253">
      <c r="A253" s="31" t="inlineStr">
        <is>
          <t>LT</t>
        </is>
      </c>
      <c r="B253" s="31" t="inlineStr">
        <is>
          <t>Larsen &amp; Toubro Limited</t>
        </is>
      </c>
      <c r="C253" s="31" t="inlineStr">
        <is>
          <t>realty</t>
        </is>
      </c>
      <c r="D253" s="31" t="inlineStr">
        <is>
          <t>engineering - turnkey services</t>
        </is>
      </c>
      <c r="E253" s="31" t="inlineStr">
        <is>
          <t>largecap</t>
        </is>
      </c>
      <c r="F253" s="31" t="n">
        <v>563085.95</v>
      </c>
      <c r="G253" s="31" t="n">
        <v>4090</v>
      </c>
      <c r="H253" s="31" t="n">
        <v>-0.07000000000000001</v>
      </c>
      <c r="I253" s="31" t="n">
        <v>1337714</v>
      </c>
      <c r="J253" s="31" t="inlineStr">
        <is>
          <t>500510</t>
        </is>
      </c>
    </row>
    <row r="254">
      <c r="A254" s="31" t="inlineStr">
        <is>
          <t>GPPL</t>
        </is>
      </c>
      <c r="B254" s="31" t="inlineStr">
        <is>
          <t>Gujarat Pipavav Port Limited</t>
        </is>
      </c>
      <c r="C254" s="31" t="inlineStr">
        <is>
          <t>transportation</t>
        </is>
      </c>
      <c r="D254" s="31" t="inlineStr">
        <is>
          <t>miscellaneous</t>
        </is>
      </c>
      <c r="E254" s="31" t="inlineStr">
        <is>
          <t>midcap</t>
        </is>
      </c>
      <c r="F254" s="31" t="n">
        <v>7906.18</v>
      </c>
      <c r="G254" s="31" t="n">
        <v>163.43</v>
      </c>
      <c r="H254" s="31" t="n">
        <v>-0.07000000000000001</v>
      </c>
      <c r="I254" s="31" t="n">
        <v>2328365</v>
      </c>
      <c r="J254" s="31" t="inlineStr">
        <is>
          <t>533248</t>
        </is>
      </c>
    </row>
    <row r="255">
      <c r="A255" s="31" t="inlineStr">
        <is>
          <t>NAUKRI</t>
        </is>
      </c>
      <c r="B255" s="31" t="inlineStr">
        <is>
          <t>Info Edge (india) Limited</t>
        </is>
      </c>
      <c r="C255" s="31" t="inlineStr">
        <is>
          <t>i.t</t>
        </is>
      </c>
      <c r="D255" s="31" t="inlineStr">
        <is>
          <t>miscellaneous</t>
        </is>
      </c>
      <c r="E255" s="31" t="inlineStr">
        <is>
          <t>largecap</t>
        </is>
      </c>
      <c r="F255" s="31" t="n">
        <v>87543.27</v>
      </c>
      <c r="G255" s="31" t="n">
        <v>1349</v>
      </c>
      <c r="H255" s="31" t="n">
        <v>-0.08</v>
      </c>
      <c r="I255" s="31" t="n">
        <v>1095522</v>
      </c>
      <c r="J255" s="31" t="inlineStr">
        <is>
          <t>532777</t>
        </is>
      </c>
    </row>
    <row r="256">
      <c r="A256" s="31" t="inlineStr">
        <is>
          <t>LICI</t>
        </is>
      </c>
      <c r="B256" s="31" t="inlineStr">
        <is>
          <t>Life Insurance Corporation of India Ltd</t>
        </is>
      </c>
      <c r="C256" s="31" t="inlineStr">
        <is>
          <t>financials</t>
        </is>
      </c>
      <c r="D256" s="31" t="inlineStr">
        <is>
          <t>finance &amp; investments</t>
        </is>
      </c>
      <c r="E256" s="31" t="inlineStr">
        <is>
          <t>largecap</t>
        </is>
      </c>
      <c r="F256" s="31" t="n">
        <v>534146.0600000001</v>
      </c>
      <c r="G256" s="31" t="n">
        <v>421.85</v>
      </c>
      <c r="H256" s="31" t="n">
        <v>-0.09</v>
      </c>
      <c r="I256" s="31" t="n">
        <v>10783798</v>
      </c>
      <c r="J256" s="31" t="inlineStr">
        <is>
          <t>543526</t>
        </is>
      </c>
    </row>
    <row r="257">
      <c r="A257" s="31" t="inlineStr">
        <is>
          <t>VRLLOG</t>
        </is>
      </c>
      <c r="B257" s="31" t="inlineStr">
        <is>
          <t>Vrl Logistics Limited</t>
        </is>
      </c>
      <c r="C257" s="31" t="inlineStr">
        <is>
          <t>transportation</t>
        </is>
      </c>
      <c r="D257" s="31" t="inlineStr">
        <is>
          <t>miscellaneous</t>
        </is>
      </c>
      <c r="E257" s="31" t="inlineStr">
        <is>
          <t>midcap</t>
        </is>
      </c>
      <c r="F257" s="31" t="n">
        <v>5051.31</v>
      </c>
      <c r="G257" s="31" t="n">
        <v>288.4</v>
      </c>
      <c r="H257" s="31" t="n">
        <v>-0.12</v>
      </c>
      <c r="I257" s="31" t="n">
        <v>113348</v>
      </c>
      <c r="J257" s="31" t="inlineStr">
        <is>
          <t>539118</t>
        </is>
      </c>
    </row>
    <row r="258">
      <c r="A258" s="31" t="inlineStr">
        <is>
          <t>NIACL</t>
        </is>
      </c>
      <c r="B258" s="31" t="inlineStr">
        <is>
          <t>New India Assurance Company Ltd</t>
        </is>
      </c>
      <c r="C258" s="31" t="inlineStr">
        <is>
          <t>financials</t>
        </is>
      </c>
      <c r="D258" s="31" t="inlineStr">
        <is>
          <t>finance &amp; investments</t>
        </is>
      </c>
      <c r="E258" s="31" t="inlineStr">
        <is>
          <t>largecap</t>
        </is>
      </c>
      <c r="F258" s="31" t="n">
        <v>30344.62</v>
      </c>
      <c r="G258" s="31" t="n">
        <v>183.9</v>
      </c>
      <c r="H258" s="31" t="n">
        <v>-0.12</v>
      </c>
      <c r="I258" s="31" t="n">
        <v>748595</v>
      </c>
      <c r="J258" s="31" t="inlineStr">
        <is>
          <t>540769</t>
        </is>
      </c>
    </row>
    <row r="259">
      <c r="A259" s="31" t="inlineStr">
        <is>
          <t>INDORAMA</t>
        </is>
      </c>
      <c r="B259" s="31" t="inlineStr">
        <is>
          <t>Indo Rama Synthetics (india) Limited</t>
        </is>
      </c>
      <c r="C259" s="31" t="inlineStr">
        <is>
          <t>textiles</t>
        </is>
      </c>
      <c r="D259" s="31" t="inlineStr">
        <is>
          <t>textiles - manmade</t>
        </is>
      </c>
      <c r="E259" s="31" t="inlineStr">
        <is>
          <t>smallcap</t>
        </is>
      </c>
      <c r="F259" s="31" t="n">
        <v>1636.92</v>
      </c>
      <c r="G259" s="31" t="n">
        <v>62.61</v>
      </c>
      <c r="H259" s="31" t="n">
        <v>-0.13</v>
      </c>
      <c r="I259" s="31" t="n">
        <v>327201</v>
      </c>
      <c r="J259" s="31" t="inlineStr">
        <is>
          <t>500207</t>
        </is>
      </c>
    </row>
    <row r="260">
      <c r="A260" s="31" t="inlineStr">
        <is>
          <t>TITAN</t>
        </is>
      </c>
      <c r="B260" s="31" t="inlineStr">
        <is>
          <t>Titan Company Limited</t>
        </is>
      </c>
      <c r="C260" s="31" t="inlineStr">
        <is>
          <t>consumer discretionary</t>
        </is>
      </c>
      <c r="D260" s="31" t="inlineStr">
        <is>
          <t>diamond cutting / jewellery</t>
        </is>
      </c>
      <c r="E260" s="31" t="inlineStr">
        <is>
          <t>largecap</t>
        </is>
      </c>
      <c r="F260" s="31" t="n">
        <v>451536.92</v>
      </c>
      <c r="G260" s="31" t="n">
        <v>5079</v>
      </c>
      <c r="H260" s="31" t="n">
        <v>-0.14</v>
      </c>
      <c r="I260" s="31" t="n">
        <v>237587</v>
      </c>
      <c r="J260" s="31" t="inlineStr">
        <is>
          <t>500114</t>
        </is>
      </c>
    </row>
    <row r="261">
      <c r="A261" s="31" t="inlineStr">
        <is>
          <t>JSFB</t>
        </is>
      </c>
      <c r="B261" s="31" t="inlineStr">
        <is>
          <t>Jana Small Finance Bank Ltd</t>
        </is>
      </c>
      <c r="C261" s="31" t="inlineStr">
        <is>
          <t>bank</t>
        </is>
      </c>
      <c r="D261" s="31" t="inlineStr">
        <is>
          <t>banks - private sector</t>
        </is>
      </c>
      <c r="E261" s="31" t="inlineStr">
        <is>
          <t>midcap</t>
        </is>
      </c>
      <c r="F261" s="31" t="n">
        <v>6134.54</v>
      </c>
      <c r="G261" s="31" t="n">
        <v>581.55</v>
      </c>
      <c r="H261" s="31" t="n">
        <v>-0.14</v>
      </c>
      <c r="I261" s="31" t="n">
        <v>3680416</v>
      </c>
      <c r="J261" s="31" t="n"/>
    </row>
    <row r="262">
      <c r="A262" s="31" t="inlineStr">
        <is>
          <t>INDGN</t>
        </is>
      </c>
      <c r="B262" s="31" t="inlineStr">
        <is>
          <t>Indegene Ltd</t>
        </is>
      </c>
      <c r="C262" s="31" t="inlineStr">
        <is>
          <t>healthcare</t>
        </is>
      </c>
      <c r="D262" s="31" t="inlineStr">
        <is>
          <t>miscellaneous</t>
        </is>
      </c>
      <c r="E262" s="31" t="inlineStr">
        <is>
          <t>midcap</t>
        </is>
      </c>
      <c r="F262" s="31" t="n">
        <v>13681.39</v>
      </c>
      <c r="G262" s="31" t="n">
        <v>566.75</v>
      </c>
      <c r="H262" s="31" t="n">
        <v>-0.18</v>
      </c>
      <c r="I262" s="31" t="n">
        <v>344465</v>
      </c>
      <c r="J262" s="31" t="inlineStr">
        <is>
          <t>544172</t>
        </is>
      </c>
    </row>
    <row r="263">
      <c r="A263" s="31" t="inlineStr">
        <is>
          <t>TASTYBITE</t>
        </is>
      </c>
      <c r="B263" s="31" t="inlineStr">
        <is>
          <t>Tasty Bite Eatables Ltd</t>
        </is>
      </c>
      <c r="C263" s="31" t="inlineStr">
        <is>
          <t>fmcg</t>
        </is>
      </c>
      <c r="D263" s="31" t="inlineStr">
        <is>
          <t>food - processing - indian</t>
        </is>
      </c>
      <c r="E263" s="31" t="inlineStr">
        <is>
          <t>smallcap</t>
        </is>
      </c>
      <c r="F263" s="31" t="n">
        <v>2600.77</v>
      </c>
      <c r="G263" s="31" t="n">
        <v>10116</v>
      </c>
      <c r="H263" s="31" t="n">
        <v>-0.19</v>
      </c>
      <c r="I263" s="31" t="n">
        <v>5459</v>
      </c>
      <c r="J263" s="31" t="inlineStr">
        <is>
          <t>519091</t>
        </is>
      </c>
    </row>
    <row r="264">
      <c r="A264" s="31" t="inlineStr">
        <is>
          <t>WINDLAS</t>
        </is>
      </c>
      <c r="B264" s="31" t="inlineStr">
        <is>
          <t>Windlas Biotech Ltd</t>
        </is>
      </c>
      <c r="C264" s="31" t="inlineStr">
        <is>
          <t>healthcare</t>
        </is>
      </c>
      <c r="D264" s="31" t="inlineStr">
        <is>
          <t>pharmaceuticals - indian - formulations</t>
        </is>
      </c>
      <c r="E264" s="31" t="inlineStr">
        <is>
          <t>smallcap</t>
        </is>
      </c>
      <c r="F264" s="31" t="n">
        <v>2050.42</v>
      </c>
      <c r="G264" s="31" t="n">
        <v>991.75</v>
      </c>
      <c r="H264" s="31" t="n">
        <v>-0.19</v>
      </c>
      <c r="I264" s="31" t="n">
        <v>200656</v>
      </c>
      <c r="J264" s="31" t="inlineStr">
        <is>
          <t>543329</t>
        </is>
      </c>
    </row>
    <row r="265">
      <c r="A265" s="31" t="inlineStr">
        <is>
          <t>MAMATA</t>
        </is>
      </c>
      <c r="B265" s="31" t="inlineStr">
        <is>
          <t>Mamata Machinery Ltd</t>
        </is>
      </c>
      <c r="C265" s="31" t="inlineStr">
        <is>
          <t>industrials</t>
        </is>
      </c>
      <c r="D265" s="31" t="inlineStr">
        <is>
          <t>engineering</t>
        </is>
      </c>
      <c r="E265" s="31" t="inlineStr">
        <is>
          <t>smallcap</t>
        </is>
      </c>
      <c r="F265" s="31" t="n">
        <v>1034.39</v>
      </c>
      <c r="G265" s="31" t="n">
        <v>419.5</v>
      </c>
      <c r="H265" s="31" t="n">
        <v>-0.2</v>
      </c>
      <c r="I265" s="31" t="n">
        <v>54591</v>
      </c>
      <c r="J265" s="31" t="inlineStr">
        <is>
          <t>544318</t>
        </is>
      </c>
    </row>
    <row r="266">
      <c r="A266" s="31" t="inlineStr">
        <is>
          <t>BOSCHLTD</t>
        </is>
      </c>
      <c r="B266" s="31" t="inlineStr">
        <is>
          <t>Bosch Limited</t>
        </is>
      </c>
      <c r="C266" s="31" t="inlineStr">
        <is>
          <t>auto</t>
        </is>
      </c>
      <c r="D266" s="31" t="inlineStr">
        <is>
          <t>auto ancillaries</t>
        </is>
      </c>
      <c r="E266" s="31" t="inlineStr">
        <is>
          <t>largecap</t>
        </is>
      </c>
      <c r="F266" s="31" t="n">
        <v>142171.2</v>
      </c>
      <c r="G266" s="31" t="n">
        <v>48100</v>
      </c>
      <c r="H266" s="31" t="n">
        <v>-0.21</v>
      </c>
      <c r="I266" s="31" t="n">
        <v>27805</v>
      </c>
      <c r="J266" s="31" t="inlineStr">
        <is>
          <t>500530</t>
        </is>
      </c>
    </row>
    <row r="267">
      <c r="A267" s="31" t="inlineStr">
        <is>
          <t>MOTHERSON</t>
        </is>
      </c>
      <c r="B267" s="31" t="inlineStr">
        <is>
          <t>Samvardhana Motherson International Ltd</t>
        </is>
      </c>
      <c r="C267" s="31" t="inlineStr">
        <is>
          <t>auto</t>
        </is>
      </c>
      <c r="D267" s="31" t="inlineStr">
        <is>
          <t>auto ancillaries</t>
        </is>
      </c>
      <c r="E267" s="31" t="inlineStr">
        <is>
          <t>largecap</t>
        </is>
      </c>
      <c r="F267" s="31" t="n">
        <v>178771.15</v>
      </c>
      <c r="G267" s="31" t="n">
        <v>169</v>
      </c>
      <c r="H267" s="31" t="n">
        <v>-0.22</v>
      </c>
      <c r="I267" s="31" t="n">
        <v>5012279</v>
      </c>
      <c r="J267" s="31" t="inlineStr">
        <is>
          <t>517334</t>
        </is>
      </c>
    </row>
    <row r="268">
      <c r="A268" s="31" t="inlineStr">
        <is>
          <t>TARSONS</t>
        </is>
      </c>
      <c r="B268" s="31" t="inlineStr">
        <is>
          <t>Tarsons Products Ltd</t>
        </is>
      </c>
      <c r="C268" s="31" t="inlineStr">
        <is>
          <t>healthcare</t>
        </is>
      </c>
      <c r="D268" s="31" t="inlineStr">
        <is>
          <t>miscellaneous</t>
        </is>
      </c>
      <c r="E268" s="31" t="inlineStr">
        <is>
          <t>smallcap</t>
        </is>
      </c>
      <c r="F268" s="31" t="n">
        <v>1835.35</v>
      </c>
      <c r="G268" s="31" t="n">
        <v>344.2</v>
      </c>
      <c r="H268" s="31" t="n">
        <v>-0.22</v>
      </c>
      <c r="I268" s="31" t="n">
        <v>238706</v>
      </c>
      <c r="J268" s="31" t="inlineStr">
        <is>
          <t>543399</t>
        </is>
      </c>
    </row>
    <row r="269">
      <c r="A269" s="31" t="inlineStr">
        <is>
          <t>NAVINFLUOR</t>
        </is>
      </c>
      <c r="B269" s="31" t="inlineStr">
        <is>
          <t>Navin Fluorine International Limited</t>
        </is>
      </c>
      <c r="C269" s="31" t="inlineStr">
        <is>
          <t>chemicals</t>
        </is>
      </c>
      <c r="D269" s="31" t="inlineStr">
        <is>
          <t>chemicals</t>
        </is>
      </c>
      <c r="E269" s="31" t="inlineStr">
        <is>
          <t>largecap</t>
        </is>
      </c>
      <c r="F269" s="31" t="n">
        <v>42092.09</v>
      </c>
      <c r="G269" s="31" t="n">
        <v>8187</v>
      </c>
      <c r="H269" s="31" t="n">
        <v>-0.24</v>
      </c>
      <c r="I269" s="31" t="n">
        <v>100574</v>
      </c>
      <c r="J269" s="31" t="inlineStr">
        <is>
          <t>532504</t>
        </is>
      </c>
    </row>
    <row r="270">
      <c r="A270" s="31" t="inlineStr">
        <is>
          <t>IOLCP</t>
        </is>
      </c>
      <c r="B270" s="31" t="inlineStr">
        <is>
          <t>Iol Chemicals And Pharmaceuticals Limited</t>
        </is>
      </c>
      <c r="C270" s="31" t="inlineStr">
        <is>
          <t>healthcare</t>
        </is>
      </c>
      <c r="D270" s="31" t="inlineStr">
        <is>
          <t>pharmaceuticals - indian - bulk drugs &amp; formln</t>
        </is>
      </c>
      <c r="E270" s="31" t="inlineStr">
        <is>
          <t>smallcap</t>
        </is>
      </c>
      <c r="F270" s="31" t="n">
        <v>4975.88</v>
      </c>
      <c r="G270" s="31" t="n">
        <v>169.08</v>
      </c>
      <c r="H270" s="31" t="n">
        <v>-0.26</v>
      </c>
      <c r="I270" s="31" t="n">
        <v>3884485</v>
      </c>
      <c r="J270" s="31" t="inlineStr">
        <is>
          <t>524164</t>
        </is>
      </c>
    </row>
    <row r="271">
      <c r="A271" s="31" t="inlineStr">
        <is>
          <t>ETERNAL</t>
        </is>
      </c>
      <c r="B271" s="31" t="inlineStr">
        <is>
          <t>Eternal Ltd</t>
        </is>
      </c>
      <c r="C271" s="31" t="inlineStr">
        <is>
          <t>i.t</t>
        </is>
      </c>
      <c r="D271" s="31" t="inlineStr">
        <is>
          <t>miscellaneous</t>
        </is>
      </c>
      <c r="E271" s="31" t="inlineStr">
        <is>
          <t>largecap</t>
        </is>
      </c>
      <c r="F271" s="31" t="n">
        <v>316531.5</v>
      </c>
      <c r="G271" s="31" t="n">
        <v>327.15</v>
      </c>
      <c r="H271" s="31" t="n">
        <v>-0.26</v>
      </c>
      <c r="I271" s="31" t="n">
        <v>21578322</v>
      </c>
      <c r="J271" s="31" t="inlineStr">
        <is>
          <t>543320</t>
        </is>
      </c>
    </row>
    <row r="272">
      <c r="A272" s="31" t="inlineStr">
        <is>
          <t>GLAND</t>
        </is>
      </c>
      <c r="B272" s="31" t="inlineStr">
        <is>
          <t>Gland Pharma Ltd</t>
        </is>
      </c>
      <c r="C272" s="31" t="inlineStr">
        <is>
          <t>healthcare</t>
        </is>
      </c>
      <c r="D272" s="31" t="inlineStr">
        <is>
          <t>pharmaceuticals - indian - formulations</t>
        </is>
      </c>
      <c r="E272" s="31" t="inlineStr">
        <is>
          <t>largecap</t>
        </is>
      </c>
      <c r="F272" s="31" t="n">
        <v>46507.08</v>
      </c>
      <c r="G272" s="31" t="n">
        <v>2811.9</v>
      </c>
      <c r="H272" s="31" t="n">
        <v>-0.26</v>
      </c>
      <c r="I272" s="31" t="n">
        <v>576230</v>
      </c>
      <c r="J272" s="31" t="inlineStr">
        <is>
          <t>543245</t>
        </is>
      </c>
    </row>
    <row r="273">
      <c r="A273" s="31" t="inlineStr">
        <is>
          <t>NAM-INDIA</t>
        </is>
      </c>
      <c r="B273" s="31" t="inlineStr">
        <is>
          <t>Nippon Life India Asset Management Ltd</t>
        </is>
      </c>
      <c r="C273" s="31" t="inlineStr">
        <is>
          <t>financials</t>
        </is>
      </c>
      <c r="D273" s="31" t="inlineStr">
        <is>
          <t>finance &amp; investments</t>
        </is>
      </c>
      <c r="E273" s="31" t="inlineStr">
        <is>
          <t>largecap</t>
        </is>
      </c>
      <c r="F273" s="31" t="n">
        <v>79975.92</v>
      </c>
      <c r="G273" s="31" t="n">
        <v>1247.8</v>
      </c>
      <c r="H273" s="31" t="n">
        <v>-0.26</v>
      </c>
      <c r="I273" s="31" t="n">
        <v>859964</v>
      </c>
      <c r="J273" s="31" t="inlineStr">
        <is>
          <t>540767</t>
        </is>
      </c>
    </row>
    <row r="274">
      <c r="A274" s="31" t="inlineStr">
        <is>
          <t>CDSL</t>
        </is>
      </c>
      <c r="B274" s="31" t="inlineStr">
        <is>
          <t>Central Depository Services Ltd</t>
        </is>
      </c>
      <c r="C274" s="31" t="inlineStr">
        <is>
          <t>financials</t>
        </is>
      </c>
      <c r="D274" s="31" t="inlineStr">
        <is>
          <t>miscellaneous</t>
        </is>
      </c>
      <c r="E274" s="31" t="inlineStr">
        <is>
          <t>largecap</t>
        </is>
      </c>
      <c r="F274" s="31" t="n">
        <v>29028.01</v>
      </c>
      <c r="G274" s="31" t="n">
        <v>1385.1</v>
      </c>
      <c r="H274" s="31" t="n">
        <v>-0.27</v>
      </c>
      <c r="I274" s="31" t="n">
        <v>2218068</v>
      </c>
      <c r="J274" s="31" t="n"/>
    </row>
    <row r="275">
      <c r="A275" s="31" t="inlineStr">
        <is>
          <t>ASAHIINDIA</t>
        </is>
      </c>
      <c r="B275" s="31" t="inlineStr">
        <is>
          <t>Asahi India Glass Limited</t>
        </is>
      </c>
      <c r="C275" s="31" t="inlineStr">
        <is>
          <t>building materials</t>
        </is>
      </c>
      <c r="D275" s="31" t="inlineStr">
        <is>
          <t>glass &amp; glass products</t>
        </is>
      </c>
      <c r="E275" s="31" t="inlineStr">
        <is>
          <t>largecap</t>
        </is>
      </c>
      <c r="F275" s="31" t="n">
        <v>24619.59</v>
      </c>
      <c r="G275" s="31" t="n">
        <v>963</v>
      </c>
      <c r="H275" s="31" t="n">
        <v>-0.28</v>
      </c>
      <c r="I275" s="31" t="n">
        <v>173306</v>
      </c>
      <c r="J275" s="31" t="inlineStr">
        <is>
          <t>515030</t>
        </is>
      </c>
    </row>
    <row r="276">
      <c r="A276" s="31" t="inlineStr">
        <is>
          <t>VGUARD</t>
        </is>
      </c>
      <c r="B276" s="31" t="inlineStr">
        <is>
          <t>V-guard Industries Limited</t>
        </is>
      </c>
      <c r="C276" s="31" t="inlineStr">
        <is>
          <t>industrials</t>
        </is>
      </c>
      <c r="D276" s="31" t="inlineStr">
        <is>
          <t>electric equipment</t>
        </is>
      </c>
      <c r="E276" s="31" t="inlineStr">
        <is>
          <t>midcap</t>
        </is>
      </c>
      <c r="F276" s="31" t="n">
        <v>14504.78</v>
      </c>
      <c r="G276" s="31" t="n">
        <v>331</v>
      </c>
      <c r="H276" s="31" t="n">
        <v>-0.3</v>
      </c>
      <c r="I276" s="31" t="n">
        <v>528831</v>
      </c>
      <c r="J276" s="31" t="inlineStr">
        <is>
          <t>532953</t>
        </is>
      </c>
    </row>
    <row r="277">
      <c r="A277" s="31" t="inlineStr">
        <is>
          <t>AVADHSUGAR</t>
        </is>
      </c>
      <c r="B277" s="31" t="inlineStr">
        <is>
          <t>Avadh Sugar &amp; Energy</t>
        </is>
      </c>
      <c r="C277" s="31" t="inlineStr">
        <is>
          <t>fmcg</t>
        </is>
      </c>
      <c r="D277" s="31" t="inlineStr">
        <is>
          <t>sugar</t>
        </is>
      </c>
      <c r="E277" s="31" t="inlineStr">
        <is>
          <t>smallcap</t>
        </is>
      </c>
      <c r="F277" s="31" t="n">
        <v>1671.14</v>
      </c>
      <c r="G277" s="31" t="n">
        <v>832.2</v>
      </c>
      <c r="H277" s="31" t="n">
        <v>-0.31</v>
      </c>
      <c r="I277" s="31" t="n">
        <v>1053359</v>
      </c>
      <c r="J277" s="31" t="inlineStr">
        <is>
          <t>540649</t>
        </is>
      </c>
    </row>
    <row r="278">
      <c r="A278" s="31" t="inlineStr">
        <is>
          <t>DICIND</t>
        </is>
      </c>
      <c r="B278" s="31" t="inlineStr">
        <is>
          <t>Dic India Limited</t>
        </is>
      </c>
      <c r="C278" s="31" t="inlineStr">
        <is>
          <t>chemicals</t>
        </is>
      </c>
      <c r="D278" s="31" t="inlineStr">
        <is>
          <t>chemicals</t>
        </is>
      </c>
      <c r="E278" s="31" t="inlineStr">
        <is>
          <t>smallcap</t>
        </is>
      </c>
      <c r="F278" s="31" t="n">
        <v>545.14</v>
      </c>
      <c r="G278" s="31" t="n">
        <v>592.05</v>
      </c>
      <c r="H278" s="31" t="n">
        <v>-0.31</v>
      </c>
      <c r="I278" s="31" t="n">
        <v>13355</v>
      </c>
      <c r="J278" s="31" t="inlineStr">
        <is>
          <t>500089</t>
        </is>
      </c>
    </row>
    <row r="279">
      <c r="A279" s="31" t="inlineStr">
        <is>
          <t>SANSERA</t>
        </is>
      </c>
      <c r="B279" s="31" t="inlineStr">
        <is>
          <t>Sansera Engineering Ltd</t>
        </is>
      </c>
      <c r="C279" s="31" t="inlineStr">
        <is>
          <t>auto</t>
        </is>
      </c>
      <c r="D279" s="31" t="inlineStr">
        <is>
          <t>auto ancillaries</t>
        </is>
      </c>
      <c r="E279" s="31" t="inlineStr">
        <is>
          <t>largecap</t>
        </is>
      </c>
      <c r="F279" s="31" t="n">
        <v>24193.24</v>
      </c>
      <c r="G279" s="31" t="n">
        <v>3865</v>
      </c>
      <c r="H279" s="31" t="n">
        <v>-0.31</v>
      </c>
      <c r="I279" s="31" t="n">
        <v>168686</v>
      </c>
      <c r="J279" s="31" t="inlineStr">
        <is>
          <t>543358</t>
        </is>
      </c>
    </row>
    <row r="280">
      <c r="A280" s="31" t="inlineStr">
        <is>
          <t>KOTAKBANK</t>
        </is>
      </c>
      <c r="B280" s="31" t="inlineStr">
        <is>
          <t>Kotak Mahindra Bank Limited</t>
        </is>
      </c>
      <c r="C280" s="31" t="inlineStr">
        <is>
          <t>bank</t>
        </is>
      </c>
      <c r="D280" s="31" t="inlineStr">
        <is>
          <t>banks - private sector</t>
        </is>
      </c>
      <c r="E280" s="31" t="inlineStr">
        <is>
          <t>largecap</t>
        </is>
      </c>
      <c r="F280" s="31" t="n">
        <v>400653.44</v>
      </c>
      <c r="G280" s="31" t="n">
        <v>401.45</v>
      </c>
      <c r="H280" s="31" t="n">
        <v>-0.34</v>
      </c>
      <c r="I280" s="31" t="n">
        <v>14607148</v>
      </c>
      <c r="J280" s="31" t="inlineStr">
        <is>
          <t>500247</t>
        </is>
      </c>
    </row>
    <row r="281">
      <c r="A281" s="31" t="inlineStr">
        <is>
          <t>TMB</t>
        </is>
      </c>
      <c r="B281" s="31" t="inlineStr">
        <is>
          <t>Tamilnad Mercantile Bank Ltd</t>
        </is>
      </c>
      <c r="C281" s="31" t="inlineStr">
        <is>
          <t>bank</t>
        </is>
      </c>
      <c r="D281" s="31" t="inlineStr">
        <is>
          <t>banks - private sector</t>
        </is>
      </c>
      <c r="E281" s="31" t="inlineStr">
        <is>
          <t>midcap</t>
        </is>
      </c>
      <c r="F281" s="31" t="n">
        <v>13911.97</v>
      </c>
      <c r="G281" s="31" t="n">
        <v>875.4</v>
      </c>
      <c r="H281" s="31" t="n">
        <v>-0.36</v>
      </c>
      <c r="I281" s="31" t="n">
        <v>177454</v>
      </c>
      <c r="J281" s="31" t="inlineStr">
        <is>
          <t>543596</t>
        </is>
      </c>
    </row>
    <row r="282">
      <c r="A282" s="31" t="inlineStr">
        <is>
          <t>MBAPL</t>
        </is>
      </c>
      <c r="B282" s="31" t="inlineStr">
        <is>
          <t>Madhya Bharat Agro Products Ltd</t>
        </is>
      </c>
      <c r="C282" s="31" t="inlineStr">
        <is>
          <t>chemicals</t>
        </is>
      </c>
      <c r="D282" s="31" t="inlineStr">
        <is>
          <t>fertilizers</t>
        </is>
      </c>
      <c r="E282" s="31" t="inlineStr">
        <is>
          <t>smallcap</t>
        </is>
      </c>
      <c r="F282" s="31" t="n">
        <v>1485.45</v>
      </c>
      <c r="G282" s="31" t="n">
        <v>168.91</v>
      </c>
      <c r="H282" s="31" t="n">
        <v>-0.36</v>
      </c>
      <c r="I282" s="31" t="n">
        <v>1591886</v>
      </c>
      <c r="J282" s="31" t="inlineStr">
        <is>
          <t>538370</t>
        </is>
      </c>
    </row>
    <row r="283">
      <c r="A283" s="31" t="inlineStr">
        <is>
          <t>HAPPYFORGE</t>
        </is>
      </c>
      <c r="B283" s="31" t="inlineStr">
        <is>
          <t>Happy Forgings Ltd</t>
        </is>
      </c>
      <c r="C283" s="31" t="inlineStr">
        <is>
          <t>industrials</t>
        </is>
      </c>
      <c r="D283" s="31" t="inlineStr">
        <is>
          <t>castings &amp; forgings</t>
        </is>
      </c>
      <c r="E283" s="31" t="inlineStr">
        <is>
          <t>largecap</t>
        </is>
      </c>
      <c r="F283" s="31" t="n">
        <v>20874.69</v>
      </c>
      <c r="G283" s="31" t="n">
        <v>2203.6</v>
      </c>
      <c r="H283" s="31" t="n">
        <v>-0.37</v>
      </c>
      <c r="I283" s="31" t="n">
        <v>128940</v>
      </c>
      <c r="J283" s="31" t="inlineStr">
        <is>
          <t>544057</t>
        </is>
      </c>
    </row>
    <row r="284">
      <c r="A284" s="31" t="inlineStr">
        <is>
          <t>BEPL</t>
        </is>
      </c>
      <c r="B284" s="31" t="inlineStr">
        <is>
          <t>Bhansali Engineering Polymers Limited</t>
        </is>
      </c>
      <c r="C284" s="31" t="inlineStr">
        <is>
          <t>energy</t>
        </is>
      </c>
      <c r="D284" s="31" t="inlineStr">
        <is>
          <t>petrochemicals</t>
        </is>
      </c>
      <c r="E284" s="31" t="inlineStr">
        <is>
          <t>smallcap</t>
        </is>
      </c>
      <c r="F284" s="31" t="n">
        <v>3131.14</v>
      </c>
      <c r="G284" s="31" t="n">
        <v>125.26</v>
      </c>
      <c r="H284" s="31" t="n">
        <v>-0.45</v>
      </c>
      <c r="I284" s="31" t="n">
        <v>1672976</v>
      </c>
      <c r="J284" s="31" t="inlineStr">
        <is>
          <t>500052</t>
        </is>
      </c>
    </row>
    <row r="285">
      <c r="A285" s="31" t="inlineStr">
        <is>
          <t>PNBHOUSING</t>
        </is>
      </c>
      <c r="B285" s="31" t="inlineStr">
        <is>
          <t>Pnb Housing Finance Limited</t>
        </is>
      </c>
      <c r="C285" s="31" t="inlineStr">
        <is>
          <t>financials</t>
        </is>
      </c>
      <c r="D285" s="31" t="inlineStr">
        <is>
          <t>finance - housing</t>
        </is>
      </c>
      <c r="E285" s="31" t="inlineStr">
        <is>
          <t>largecap</t>
        </is>
      </c>
      <c r="F285" s="31" t="n">
        <v>30496.84</v>
      </c>
      <c r="G285" s="31" t="n">
        <v>1165</v>
      </c>
      <c r="H285" s="31" t="n">
        <v>-0.45</v>
      </c>
      <c r="I285" s="31" t="n">
        <v>504930</v>
      </c>
      <c r="J285" s="31" t="inlineStr">
        <is>
          <t>540173</t>
        </is>
      </c>
    </row>
    <row r="286">
      <c r="A286" s="31" t="inlineStr">
        <is>
          <t>MAZDOCK</t>
        </is>
      </c>
      <c r="B286" s="31" t="inlineStr">
        <is>
          <t>Mazagon Dock Shipbuilders Ltd</t>
        </is>
      </c>
      <c r="C286" s="31" t="inlineStr">
        <is>
          <t>aerospace &amp; defence</t>
        </is>
      </c>
      <c r="D286" s="31" t="inlineStr">
        <is>
          <t>miscellaneous</t>
        </is>
      </c>
      <c r="E286" s="31" t="inlineStr">
        <is>
          <t>largecap</t>
        </is>
      </c>
      <c r="F286" s="31" t="n">
        <v>102942.58</v>
      </c>
      <c r="G286" s="31" t="n">
        <v>2540</v>
      </c>
      <c r="H286" s="31" t="n">
        <v>-0.47</v>
      </c>
      <c r="I286" s="31" t="n">
        <v>370213</v>
      </c>
      <c r="J286" s="31" t="inlineStr">
        <is>
          <t>543237</t>
        </is>
      </c>
    </row>
    <row r="287">
      <c r="A287" s="31" t="inlineStr">
        <is>
          <t>KMEW</t>
        </is>
      </c>
      <c r="B287" s="31" t="inlineStr">
        <is>
          <t>Knowledge Marine &amp; Engineering Works Ltd</t>
        </is>
      </c>
      <c r="C287" s="31" t="inlineStr">
        <is>
          <t>transportation</t>
        </is>
      </c>
      <c r="D287" s="31" t="inlineStr">
        <is>
          <t>miscellaneous</t>
        </is>
      </c>
      <c r="E287" s="31" t="inlineStr">
        <is>
          <t>midcap</t>
        </is>
      </c>
      <c r="F287" s="31" t="n">
        <v>6662.49</v>
      </c>
      <c r="G287" s="31" t="n">
        <v>2712.7</v>
      </c>
      <c r="H287" s="31" t="n">
        <v>-0.47</v>
      </c>
      <c r="I287" s="31" t="n">
        <v>56026</v>
      </c>
      <c r="J287" s="31" t="inlineStr">
        <is>
          <t>543273</t>
        </is>
      </c>
    </row>
    <row r="288">
      <c r="A288" s="31" t="inlineStr">
        <is>
          <t>EBGNG</t>
        </is>
      </c>
      <c r="B288" s="31" t="inlineStr">
        <is>
          <t>GNG Electronics Ltd</t>
        </is>
      </c>
      <c r="C288" s="31" t="inlineStr">
        <is>
          <t>services</t>
        </is>
      </c>
      <c r="D288" s="31" t="inlineStr">
        <is>
          <t>trading</t>
        </is>
      </c>
      <c r="E288" s="31" t="inlineStr">
        <is>
          <t>midcap</t>
        </is>
      </c>
      <c r="F288" s="31" t="n">
        <v>6911.38</v>
      </c>
      <c r="G288" s="31" t="n">
        <v>603.3</v>
      </c>
      <c r="H288" s="31" t="n">
        <v>-0.48</v>
      </c>
      <c r="I288" s="31" t="n">
        <v>809792</v>
      </c>
      <c r="J288" s="31" t="inlineStr">
        <is>
          <t>544455</t>
        </is>
      </c>
    </row>
    <row r="289">
      <c r="A289" s="31" t="inlineStr">
        <is>
          <t>CRISIL</t>
        </is>
      </c>
      <c r="B289" s="31" t="inlineStr">
        <is>
          <t>Crisil Limited</t>
        </is>
      </c>
      <c r="C289" s="31" t="inlineStr">
        <is>
          <t>financials</t>
        </is>
      </c>
      <c r="D289" s="31" t="inlineStr">
        <is>
          <t>miscellaneous</t>
        </is>
      </c>
      <c r="E289" s="31" t="inlineStr">
        <is>
          <t>largecap</t>
        </is>
      </c>
      <c r="F289" s="31" t="n">
        <v>33014.55</v>
      </c>
      <c r="G289" s="31" t="n">
        <v>4493</v>
      </c>
      <c r="H289" s="31" t="n">
        <v>-0.48</v>
      </c>
      <c r="I289" s="31" t="n">
        <v>35298</v>
      </c>
      <c r="J289" s="31" t="inlineStr">
        <is>
          <t>500092</t>
        </is>
      </c>
    </row>
    <row r="290">
      <c r="A290" s="31" t="inlineStr">
        <is>
          <t>SONACOMS</t>
        </is>
      </c>
      <c r="B290" s="31" t="inlineStr">
        <is>
          <t>Sona BLW Precision Forgings Ltd</t>
        </is>
      </c>
      <c r="C290" s="31" t="inlineStr">
        <is>
          <t>auto</t>
        </is>
      </c>
      <c r="D290" s="31" t="inlineStr">
        <is>
          <t>auto ancillaries</t>
        </is>
      </c>
      <c r="E290" s="31" t="inlineStr">
        <is>
          <t>largecap</t>
        </is>
      </c>
      <c r="F290" s="31" t="n">
        <v>50857.57</v>
      </c>
      <c r="G290" s="31" t="n">
        <v>813.5</v>
      </c>
      <c r="H290" s="31" t="n">
        <v>-0.5</v>
      </c>
      <c r="I290" s="31" t="n">
        <v>1634457</v>
      </c>
      <c r="J290" s="31" t="inlineStr">
        <is>
          <t>543300</t>
        </is>
      </c>
    </row>
    <row r="291">
      <c r="A291" s="31" t="inlineStr">
        <is>
          <t>PAYTM</t>
        </is>
      </c>
      <c r="B291" s="31" t="inlineStr">
        <is>
          <t>One 97 Communications Ltd</t>
        </is>
      </c>
      <c r="C291" s="31" t="inlineStr">
        <is>
          <t>i.t</t>
        </is>
      </c>
      <c r="D291" s="31" t="inlineStr">
        <is>
          <t>miscellaneous</t>
        </is>
      </c>
      <c r="E291" s="31" t="inlineStr">
        <is>
          <t>largecap</t>
        </is>
      </c>
      <c r="F291" s="31" t="n">
        <v>104503</v>
      </c>
      <c r="G291" s="31" t="n">
        <v>1623.5</v>
      </c>
      <c r="H291" s="31" t="n">
        <v>-0.52</v>
      </c>
      <c r="I291" s="31" t="n">
        <v>2795150</v>
      </c>
      <c r="J291" s="31" t="inlineStr">
        <is>
          <t>543396</t>
        </is>
      </c>
    </row>
    <row r="292">
      <c r="A292" s="31" t="inlineStr">
        <is>
          <t>POLICYBZR</t>
        </is>
      </c>
      <c r="B292" s="31" t="inlineStr">
        <is>
          <t>PB Fintech Ltd</t>
        </is>
      </c>
      <c r="C292" s="31" t="inlineStr">
        <is>
          <t>i.t</t>
        </is>
      </c>
      <c r="D292" s="31" t="inlineStr">
        <is>
          <t>miscellaneous</t>
        </is>
      </c>
      <c r="E292" s="31" t="inlineStr">
        <is>
          <t>largecap</t>
        </is>
      </c>
      <c r="F292" s="31" t="n">
        <v>83062.98</v>
      </c>
      <c r="G292" s="31" t="n">
        <v>1785</v>
      </c>
      <c r="H292" s="31" t="n">
        <v>-0.57</v>
      </c>
      <c r="I292" s="31" t="n">
        <v>763662</v>
      </c>
      <c r="J292" s="31" t="inlineStr">
        <is>
          <t>543390</t>
        </is>
      </c>
    </row>
    <row r="293">
      <c r="A293" s="31" t="inlineStr">
        <is>
          <t>PGIL</t>
        </is>
      </c>
      <c r="B293" s="31" t="inlineStr">
        <is>
          <t>Pearl Global Industries Limited</t>
        </is>
      </c>
      <c r="C293" s="31" t="inlineStr">
        <is>
          <t>consumer discretionary</t>
        </is>
      </c>
      <c r="D293" s="31" t="inlineStr">
        <is>
          <t>textiles - products</t>
        </is>
      </c>
      <c r="E293" s="31" t="inlineStr">
        <is>
          <t>midcap</t>
        </is>
      </c>
      <c r="F293" s="31" t="n">
        <v>11019.99</v>
      </c>
      <c r="G293" s="31" t="n">
        <v>2372.2</v>
      </c>
      <c r="H293" s="31" t="n">
        <v>-0.58</v>
      </c>
      <c r="I293" s="31" t="n">
        <v>47847</v>
      </c>
      <c r="J293" s="31" t="inlineStr">
        <is>
          <t>532808</t>
        </is>
      </c>
    </row>
    <row r="294">
      <c r="A294" s="31" t="inlineStr">
        <is>
          <t>PNB</t>
        </is>
      </c>
      <c r="B294" s="31" t="inlineStr">
        <is>
          <t>Punjab National Bank Ltd</t>
        </is>
      </c>
      <c r="C294" s="31" t="inlineStr">
        <is>
          <t>bank</t>
        </is>
      </c>
      <c r="D294" s="31" t="inlineStr">
        <is>
          <t>banks - public sector</t>
        </is>
      </c>
      <c r="E294" s="31" t="inlineStr">
        <is>
          <t>largecap</t>
        </is>
      </c>
      <c r="F294" s="31" t="n">
        <v>133950.25</v>
      </c>
      <c r="G294" s="31" t="n">
        <v>115.86</v>
      </c>
      <c r="H294" s="31" t="n">
        <v>-0.59</v>
      </c>
      <c r="I294" s="31" t="n">
        <v>10449880</v>
      </c>
      <c r="J294" s="31" t="inlineStr">
        <is>
          <t>532461</t>
        </is>
      </c>
    </row>
    <row r="295">
      <c r="A295" s="31" t="inlineStr">
        <is>
          <t>AEROENTER</t>
        </is>
      </c>
      <c r="B295" s="31" t="inlineStr">
        <is>
          <t>Aeroflex Enterprises Ltd</t>
        </is>
      </c>
      <c r="C295" s="31" t="inlineStr">
        <is>
          <t>metals &amp; mining</t>
        </is>
      </c>
      <c r="D295" s="31" t="inlineStr">
        <is>
          <t>steel - medium / small</t>
        </is>
      </c>
      <c r="E295" s="31" t="inlineStr">
        <is>
          <t>smallcap</t>
        </is>
      </c>
      <c r="F295" s="31" t="n">
        <v>1585.09</v>
      </c>
      <c r="G295" s="31" t="n">
        <v>139.23</v>
      </c>
      <c r="H295" s="31" t="n">
        <v>-0.6</v>
      </c>
      <c r="I295" s="31" t="n">
        <v>915910</v>
      </c>
      <c r="J295" s="31" t="inlineStr">
        <is>
          <t>511076</t>
        </is>
      </c>
    </row>
    <row r="296">
      <c r="A296" s="31" t="inlineStr">
        <is>
          <t>TVSMOTOR</t>
        </is>
      </c>
      <c r="B296" s="31" t="inlineStr">
        <is>
          <t>Tvs Motor Company Limited</t>
        </is>
      </c>
      <c r="C296" s="31" t="inlineStr">
        <is>
          <t>auto</t>
        </is>
      </c>
      <c r="D296" s="31" t="inlineStr">
        <is>
          <t>automobiles - motorcycles / mopeds</t>
        </is>
      </c>
      <c r="E296" s="31" t="inlineStr">
        <is>
          <t>largecap</t>
        </is>
      </c>
      <c r="F296" s="31" t="n">
        <v>208563.24</v>
      </c>
      <c r="G296" s="31" t="n">
        <v>4363.5</v>
      </c>
      <c r="H296" s="31" t="n">
        <v>-0.6</v>
      </c>
      <c r="I296" s="31" t="n">
        <v>519764</v>
      </c>
      <c r="J296" s="31" t="inlineStr">
        <is>
          <t>532343</t>
        </is>
      </c>
    </row>
    <row r="297">
      <c r="A297" s="31" t="inlineStr">
        <is>
          <t>GRASIM</t>
        </is>
      </c>
      <c r="B297" s="31" t="inlineStr">
        <is>
          <t>Grasim Industries Limited</t>
        </is>
      </c>
      <c r="C297" s="31" t="inlineStr">
        <is>
          <t>textiles</t>
        </is>
      </c>
      <c r="D297" s="31" t="inlineStr">
        <is>
          <t>textiles - manmade</t>
        </is>
      </c>
      <c r="E297" s="31" t="inlineStr">
        <is>
          <t>largecap</t>
        </is>
      </c>
      <c r="F297" s="31" t="n">
        <v>225136.05</v>
      </c>
      <c r="G297" s="31" t="n">
        <v>3288</v>
      </c>
      <c r="H297" s="31" t="n">
        <v>-0.6</v>
      </c>
      <c r="I297" s="31" t="n">
        <v>1595213</v>
      </c>
      <c r="J297" s="31" t="inlineStr">
        <is>
          <t>500300</t>
        </is>
      </c>
    </row>
    <row r="298">
      <c r="A298" s="31" t="inlineStr">
        <is>
          <t>ATHERENERG</t>
        </is>
      </c>
      <c r="B298" s="31" t="inlineStr">
        <is>
          <t>Ather Energy Ltd</t>
        </is>
      </c>
      <c r="C298" s="31" t="inlineStr">
        <is>
          <t>auto</t>
        </is>
      </c>
      <c r="D298" s="31" t="inlineStr">
        <is>
          <t>automobiles - scooters and 3 - wheelers</t>
        </is>
      </c>
      <c r="E298" s="31" t="inlineStr">
        <is>
          <t>largecap</t>
        </is>
      </c>
      <c r="F298" s="31" t="n">
        <v>57621.12</v>
      </c>
      <c r="G298" s="31" t="n">
        <v>1453.1</v>
      </c>
      <c r="H298" s="31" t="n">
        <v>-0.61</v>
      </c>
      <c r="I298" s="31" t="n">
        <v>2444946</v>
      </c>
      <c r="J298" s="31" t="inlineStr">
        <is>
          <t>544397</t>
        </is>
      </c>
    </row>
    <row r="299">
      <c r="A299" s="31" t="inlineStr">
        <is>
          <t>MUFIN</t>
        </is>
      </c>
      <c r="B299" s="31" t="inlineStr">
        <is>
          <t>Mufin Green Finance Ltd</t>
        </is>
      </c>
      <c r="C299" s="31" t="inlineStr">
        <is>
          <t>financials</t>
        </is>
      </c>
      <c r="D299" s="31" t="inlineStr">
        <is>
          <t>finance &amp; investments</t>
        </is>
      </c>
      <c r="E299" s="31" t="inlineStr">
        <is>
          <t>smallcap</t>
        </is>
      </c>
      <c r="F299" s="31" t="n">
        <v>2764.16</v>
      </c>
      <c r="G299" s="31" t="n">
        <v>138.61</v>
      </c>
      <c r="H299" s="31" t="n">
        <v>-0.63</v>
      </c>
      <c r="I299" s="31" t="n">
        <v>4250195</v>
      </c>
      <c r="J299" s="31" t="inlineStr">
        <is>
          <t>542774</t>
        </is>
      </c>
    </row>
    <row r="300">
      <c r="A300" s="31" t="inlineStr">
        <is>
          <t>PRUDENT</t>
        </is>
      </c>
      <c r="B300" s="31" t="inlineStr">
        <is>
          <t>Prudent Corporate Advisory Services Ltd</t>
        </is>
      </c>
      <c r="C300" s="31" t="inlineStr">
        <is>
          <t>financials</t>
        </is>
      </c>
      <c r="D300" s="31" t="inlineStr">
        <is>
          <t>finance &amp; investments</t>
        </is>
      </c>
      <c r="E300" s="31" t="inlineStr">
        <is>
          <t>midcap</t>
        </is>
      </c>
      <c r="F300" s="31" t="n">
        <v>13885.73</v>
      </c>
      <c r="G300" s="31" t="n">
        <v>3332</v>
      </c>
      <c r="H300" s="31" t="n">
        <v>-0.64</v>
      </c>
      <c r="I300" s="31" t="n">
        <v>33770</v>
      </c>
      <c r="J300" s="31" t="inlineStr">
        <is>
          <t>543527</t>
        </is>
      </c>
    </row>
    <row r="301">
      <c r="A301" s="31" t="inlineStr">
        <is>
          <t>SKYGOLD</t>
        </is>
      </c>
      <c r="B301" s="31" t="inlineStr">
        <is>
          <t>Sky Gold Ltd</t>
        </is>
      </c>
      <c r="C301" s="31" t="inlineStr">
        <is>
          <t>consumer discretionary</t>
        </is>
      </c>
      <c r="D301" s="31" t="inlineStr">
        <is>
          <t>diamond cutting / jewellery</t>
        </is>
      </c>
      <c r="E301" s="31" t="inlineStr">
        <is>
          <t>midcap</t>
        </is>
      </c>
      <c r="F301" s="31" t="n">
        <v>12444.12</v>
      </c>
      <c r="G301" s="31" t="n">
        <v>798</v>
      </c>
      <c r="H301" s="31" t="n">
        <v>-0.68</v>
      </c>
      <c r="I301" s="31" t="n">
        <v>734843</v>
      </c>
      <c r="J301" s="31" t="inlineStr">
        <is>
          <t>541967</t>
        </is>
      </c>
    </row>
    <row r="302">
      <c r="A302" s="31" t="inlineStr">
        <is>
          <t>GALAXYSURF</t>
        </is>
      </c>
      <c r="B302" s="31" t="inlineStr">
        <is>
          <t>Galaxy Surfactants Ltd</t>
        </is>
      </c>
      <c r="C302" s="31" t="inlineStr">
        <is>
          <t>chemicals</t>
        </is>
      </c>
      <c r="D302" s="31" t="inlineStr">
        <is>
          <t>chemicals</t>
        </is>
      </c>
      <c r="E302" s="31" t="inlineStr">
        <is>
          <t>midcap</t>
        </is>
      </c>
      <c r="F302" s="31" t="n">
        <v>8271.59</v>
      </c>
      <c r="G302" s="31" t="n">
        <v>2316.4</v>
      </c>
      <c r="H302" s="31" t="n">
        <v>-0.71</v>
      </c>
      <c r="I302" s="31" t="n">
        <v>35693</v>
      </c>
      <c r="J302" s="31" t="inlineStr">
        <is>
          <t>540935</t>
        </is>
      </c>
    </row>
    <row r="303">
      <c r="A303" s="31" t="inlineStr">
        <is>
          <t>MAGADSUGAR</t>
        </is>
      </c>
      <c r="B303" s="31" t="inlineStr">
        <is>
          <t>Magadh Sugar &amp; Energy Ltd</t>
        </is>
      </c>
      <c r="C303" s="31" t="inlineStr">
        <is>
          <t>fmcg</t>
        </is>
      </c>
      <c r="D303" s="31" t="inlineStr">
        <is>
          <t>sugar</t>
        </is>
      </c>
      <c r="E303" s="31" t="inlineStr">
        <is>
          <t>smallcap</t>
        </is>
      </c>
      <c r="F303" s="31" t="n">
        <v>847.33</v>
      </c>
      <c r="G303" s="31" t="n">
        <v>597</v>
      </c>
      <c r="H303" s="31" t="n">
        <v>-0.72</v>
      </c>
      <c r="I303" s="31" t="n">
        <v>174999</v>
      </c>
      <c r="J303" s="31" t="inlineStr">
        <is>
          <t>540650</t>
        </is>
      </c>
    </row>
    <row r="304">
      <c r="A304" s="31" t="inlineStr">
        <is>
          <t>KRN</t>
        </is>
      </c>
      <c r="B304" s="31" t="inlineStr">
        <is>
          <t>KRN Heat Exchanger and Refrigeration Ltd</t>
        </is>
      </c>
      <c r="C304" s="31" t="inlineStr">
        <is>
          <t>industrials</t>
        </is>
      </c>
      <c r="D304" s="31" t="inlineStr">
        <is>
          <t>engineering</t>
        </is>
      </c>
      <c r="E304" s="31" t="inlineStr">
        <is>
          <t>midcap</t>
        </is>
      </c>
      <c r="F304" s="31" t="n">
        <v>9701.6</v>
      </c>
      <c r="G304" s="31" t="n">
        <v>1471.2</v>
      </c>
      <c r="H304" s="31" t="n">
        <v>-0.74</v>
      </c>
      <c r="I304" s="31" t="n">
        <v>94626</v>
      </c>
      <c r="J304" s="31" t="inlineStr">
        <is>
          <t>544263</t>
        </is>
      </c>
    </row>
    <row r="305">
      <c r="A305" s="31" t="inlineStr">
        <is>
          <t>GRAVITA</t>
        </is>
      </c>
      <c r="B305" s="31" t="inlineStr">
        <is>
          <t>Gravita India Limited</t>
        </is>
      </c>
      <c r="C305" s="31" t="inlineStr">
        <is>
          <t>metals &amp; mining</t>
        </is>
      </c>
      <c r="D305" s="31" t="inlineStr">
        <is>
          <t>mining / minerals / metals</t>
        </is>
      </c>
      <c r="E305" s="31" t="inlineStr">
        <is>
          <t>midcap</t>
        </is>
      </c>
      <c r="F305" s="31" t="n">
        <v>13445.69</v>
      </c>
      <c r="G305" s="31" t="n">
        <v>1807.8</v>
      </c>
      <c r="H305" s="31" t="n">
        <v>-0.76</v>
      </c>
      <c r="I305" s="31" t="n">
        <v>159060</v>
      </c>
      <c r="J305" s="31" t="inlineStr">
        <is>
          <t>533282</t>
        </is>
      </c>
    </row>
    <row r="306">
      <c r="A306" s="31" t="inlineStr">
        <is>
          <t>OMAXE</t>
        </is>
      </c>
      <c r="B306" s="31" t="inlineStr">
        <is>
          <t>Omaxe Limited</t>
        </is>
      </c>
      <c r="C306" s="31" t="inlineStr">
        <is>
          <t>realty</t>
        </is>
      </c>
      <c r="D306" s="31" t="inlineStr">
        <is>
          <t>construction</t>
        </is>
      </c>
      <c r="E306" s="31" t="inlineStr">
        <is>
          <t>smallcap</t>
        </is>
      </c>
      <c r="F306" s="31" t="n">
        <v>1875.65</v>
      </c>
      <c r="G306" s="31" t="n">
        <v>101.77</v>
      </c>
      <c r="H306" s="31" t="n">
        <v>-0.76</v>
      </c>
      <c r="I306" s="31" t="n">
        <v>3430606</v>
      </c>
      <c r="J306" s="31" t="inlineStr">
        <is>
          <t>532880</t>
        </is>
      </c>
    </row>
    <row r="307">
      <c r="A307" s="31" t="inlineStr">
        <is>
          <t>360ONE</t>
        </is>
      </c>
      <c r="B307" s="31" t="inlineStr">
        <is>
          <t>360 ONE WAM Ltd</t>
        </is>
      </c>
      <c r="C307" s="31" t="inlineStr">
        <is>
          <t>financials</t>
        </is>
      </c>
      <c r="D307" s="31" t="inlineStr">
        <is>
          <t>finance &amp; investments</t>
        </is>
      </c>
      <c r="E307" s="31" t="inlineStr">
        <is>
          <t>largecap</t>
        </is>
      </c>
      <c r="F307" s="31" t="n">
        <v>48761.53</v>
      </c>
      <c r="G307" s="31" t="n">
        <v>1189.8</v>
      </c>
      <c r="H307" s="31" t="n">
        <v>-0.77</v>
      </c>
      <c r="I307" s="31" t="n">
        <v>677386</v>
      </c>
      <c r="J307" s="31" t="inlineStr">
        <is>
          <t>542772</t>
        </is>
      </c>
    </row>
    <row r="308">
      <c r="A308" s="31" t="inlineStr">
        <is>
          <t>PRICOLLTD</t>
        </is>
      </c>
      <c r="B308" s="31" t="inlineStr">
        <is>
          <t>Pricol Ltd.</t>
        </is>
      </c>
      <c r="C308" s="31" t="inlineStr">
        <is>
          <t>auto</t>
        </is>
      </c>
      <c r="D308" s="31" t="inlineStr">
        <is>
          <t>auto ancillaries</t>
        </is>
      </c>
      <c r="E308" s="31" t="inlineStr">
        <is>
          <t>midcap</t>
        </is>
      </c>
      <c r="F308" s="31" t="n">
        <v>9716.389999999999</v>
      </c>
      <c r="G308" s="31" t="n">
        <v>790.9</v>
      </c>
      <c r="H308" s="31" t="n">
        <v>-0.79</v>
      </c>
      <c r="I308" s="31" t="n">
        <v>259988</v>
      </c>
      <c r="J308" s="31" t="inlineStr">
        <is>
          <t>540293</t>
        </is>
      </c>
    </row>
    <row r="309">
      <c r="A309" s="31" t="inlineStr">
        <is>
          <t>EPL</t>
        </is>
      </c>
      <c r="B309" s="31" t="inlineStr">
        <is>
          <t>EPL Ltd</t>
        </is>
      </c>
      <c r="C309" s="31" t="inlineStr">
        <is>
          <t>industrials</t>
        </is>
      </c>
      <c r="D309" s="31" t="inlineStr">
        <is>
          <t>packaging</t>
        </is>
      </c>
      <c r="E309" s="31" t="inlineStr">
        <is>
          <t>midcap</t>
        </is>
      </c>
      <c r="F309" s="31" t="n">
        <v>8506.950000000001</v>
      </c>
      <c r="G309" s="31" t="n">
        <v>263.48</v>
      </c>
      <c r="H309" s="31" t="n">
        <v>-0.8</v>
      </c>
      <c r="I309" s="31" t="n">
        <v>3040104</v>
      </c>
      <c r="J309" s="31" t="inlineStr">
        <is>
          <t>500135</t>
        </is>
      </c>
    </row>
    <row r="310">
      <c r="A310" s="31" t="inlineStr">
        <is>
          <t>DIACABS</t>
        </is>
      </c>
      <c r="B310" s="31" t="inlineStr">
        <is>
          <t>Diamond Power Infrastructure Ltd</t>
        </is>
      </c>
      <c r="C310" s="31" t="inlineStr">
        <is>
          <t>industrials</t>
        </is>
      </c>
      <c r="D310" s="31" t="inlineStr">
        <is>
          <t>cables - power</t>
        </is>
      </c>
      <c r="E310" s="31" t="inlineStr">
        <is>
          <t>midcap</t>
        </is>
      </c>
      <c r="F310" s="31" t="n">
        <v>18765.44</v>
      </c>
      <c r="G310" s="31" t="n">
        <v>353.2</v>
      </c>
      <c r="H310" s="31" t="n">
        <v>-0.8100000000000001</v>
      </c>
      <c r="I310" s="31" t="n">
        <v>927112</v>
      </c>
      <c r="J310" s="31" t="inlineStr">
        <is>
          <t>522163</t>
        </is>
      </c>
    </row>
    <row r="311">
      <c r="A311" s="31" t="inlineStr">
        <is>
          <t>MOREPENLAB</t>
        </is>
      </c>
      <c r="B311" s="31" t="inlineStr">
        <is>
          <t>Morepen Laboratories Limited</t>
        </is>
      </c>
      <c r="C311" s="31" t="inlineStr">
        <is>
          <t>healthcare</t>
        </is>
      </c>
      <c r="D311" s="31" t="inlineStr">
        <is>
          <t>pharmaceuticals - indian - bulk drugs &amp; formln</t>
        </is>
      </c>
      <c r="E311" s="31" t="inlineStr">
        <is>
          <t>midcap</t>
        </is>
      </c>
      <c r="F311" s="31" t="n">
        <v>5260.9</v>
      </c>
      <c r="G311" s="31" t="n">
        <v>95.22</v>
      </c>
      <c r="H311" s="31" t="n">
        <v>-0.82</v>
      </c>
      <c r="I311" s="31" t="n">
        <v>19348188</v>
      </c>
      <c r="J311" s="31" t="inlineStr">
        <is>
          <t>500288</t>
        </is>
      </c>
    </row>
    <row r="312">
      <c r="A312" s="31" t="inlineStr">
        <is>
          <t>HNDFDS</t>
        </is>
      </c>
      <c r="B312" s="31" t="inlineStr">
        <is>
          <t>Hindustan Foods Ltd</t>
        </is>
      </c>
      <c r="C312" s="31" t="inlineStr">
        <is>
          <t>fmcg</t>
        </is>
      </c>
      <c r="D312" s="31" t="inlineStr">
        <is>
          <t>diversified - large</t>
        </is>
      </c>
      <c r="E312" s="31" t="inlineStr">
        <is>
          <t>midcap</t>
        </is>
      </c>
      <c r="F312" s="31" t="n">
        <v>7812.57</v>
      </c>
      <c r="G312" s="31" t="n">
        <v>639.4</v>
      </c>
      <c r="H312" s="31" t="n">
        <v>-0.84</v>
      </c>
      <c r="I312" s="31" t="n">
        <v>159121</v>
      </c>
      <c r="J312" s="31" t="inlineStr">
        <is>
          <t>519126</t>
        </is>
      </c>
    </row>
    <row r="313">
      <c r="A313" s="31" t="inlineStr">
        <is>
          <t>RADICO</t>
        </is>
      </c>
      <c r="B313" s="31" t="inlineStr">
        <is>
          <t>Radico Khaitan Limited</t>
        </is>
      </c>
      <c r="C313" s="31" t="inlineStr">
        <is>
          <t>fmcg</t>
        </is>
      </c>
      <c r="D313" s="31" t="inlineStr">
        <is>
          <t>breweries &amp; distilleries</t>
        </is>
      </c>
      <c r="E313" s="31" t="inlineStr">
        <is>
          <t>largecap</t>
        </is>
      </c>
      <c r="F313" s="31" t="n">
        <v>62141.47</v>
      </c>
      <c r="G313" s="31" t="n">
        <v>4600</v>
      </c>
      <c r="H313" s="31" t="n">
        <v>-0.86</v>
      </c>
      <c r="I313" s="31" t="n">
        <v>225186</v>
      </c>
      <c r="J313" s="31" t="inlineStr">
        <is>
          <t>532497</t>
        </is>
      </c>
    </row>
    <row r="314">
      <c r="A314" s="31" t="inlineStr">
        <is>
          <t>JYOTICNC</t>
        </is>
      </c>
      <c r="B314" s="31" t="inlineStr">
        <is>
          <t>Jyoti CNC Automation Ltd</t>
        </is>
      </c>
      <c r="C314" s="31" t="inlineStr">
        <is>
          <t>industrials</t>
        </is>
      </c>
      <c r="D314" s="31" t="inlineStr">
        <is>
          <t>engineering</t>
        </is>
      </c>
      <c r="E314" s="31" t="inlineStr">
        <is>
          <t>largecap</t>
        </is>
      </c>
      <c r="F314" s="31" t="n">
        <v>22487.6</v>
      </c>
      <c r="G314" s="31" t="n">
        <v>980.25</v>
      </c>
      <c r="H314" s="31" t="n">
        <v>-0.86</v>
      </c>
      <c r="I314" s="31" t="n">
        <v>965588</v>
      </c>
      <c r="J314" s="31" t="inlineStr">
        <is>
          <t>544081</t>
        </is>
      </c>
    </row>
    <row r="315">
      <c r="A315" s="31" t="inlineStr">
        <is>
          <t>ZIMLAB</t>
        </is>
      </c>
      <c r="B315" s="31" t="inlineStr">
        <is>
          <t>Zim Laboratories Ltd</t>
        </is>
      </c>
      <c r="C315" s="31" t="inlineStr">
        <is>
          <t>healthcare</t>
        </is>
      </c>
      <c r="D315" s="31" t="inlineStr">
        <is>
          <t>pharmaceuticals - indian - bulk drugs &amp; formln</t>
        </is>
      </c>
      <c r="E315" s="31" t="inlineStr">
        <is>
          <t>smallcap</t>
        </is>
      </c>
      <c r="F315" s="31" t="n">
        <v>669.52</v>
      </c>
      <c r="G315" s="31" t="n">
        <v>123.95</v>
      </c>
      <c r="H315" s="31" t="n">
        <v>-0.86</v>
      </c>
      <c r="I315" s="31" t="n">
        <v>137917</v>
      </c>
      <c r="J315" s="31" t="inlineStr">
        <is>
          <t>541400</t>
        </is>
      </c>
    </row>
    <row r="316">
      <c r="A316" s="31" t="inlineStr">
        <is>
          <t>HEROMOTOCO</t>
        </is>
      </c>
      <c r="B316" s="31" t="inlineStr">
        <is>
          <t>Hero Motocorp Limited</t>
        </is>
      </c>
      <c r="C316" s="31" t="inlineStr">
        <is>
          <t>auto</t>
        </is>
      </c>
      <c r="D316" s="31" t="inlineStr">
        <is>
          <t>automobiles - motorcycles / mopeds</t>
        </is>
      </c>
      <c r="E316" s="31" t="inlineStr">
        <is>
          <t>largecap</t>
        </is>
      </c>
      <c r="F316" s="31" t="n">
        <v>114753.3</v>
      </c>
      <c r="G316" s="31" t="n">
        <v>5685</v>
      </c>
      <c r="H316" s="31" t="n">
        <v>-0.87</v>
      </c>
      <c r="I316" s="31" t="n">
        <v>269801</v>
      </c>
      <c r="J316" s="31" t="inlineStr">
        <is>
          <t>500182</t>
        </is>
      </c>
    </row>
    <row r="317">
      <c r="A317" s="31" t="inlineStr">
        <is>
          <t>FEDERALBNK</t>
        </is>
      </c>
      <c r="B317" s="31" t="inlineStr">
        <is>
          <t>The Federal Bank  Limited</t>
        </is>
      </c>
      <c r="C317" s="31" t="inlineStr">
        <is>
          <t>bank</t>
        </is>
      </c>
      <c r="D317" s="31" t="inlineStr">
        <is>
          <t>banks - private sector</t>
        </is>
      </c>
      <c r="E317" s="31" t="inlineStr">
        <is>
          <t>largecap</t>
        </is>
      </c>
      <c r="F317" s="31" t="n">
        <v>89096.21000000001</v>
      </c>
      <c r="G317" s="31" t="n">
        <v>357.75</v>
      </c>
      <c r="H317" s="31" t="n">
        <v>-0.9</v>
      </c>
      <c r="I317" s="31" t="n">
        <v>4624949</v>
      </c>
      <c r="J317" s="31" t="inlineStr">
        <is>
          <t>500469</t>
        </is>
      </c>
    </row>
    <row r="318">
      <c r="A318" s="31" t="inlineStr">
        <is>
          <t>KINGFA</t>
        </is>
      </c>
      <c r="B318" s="31" t="inlineStr">
        <is>
          <t>Kingfa Science &amp; Technology (india) Limited</t>
        </is>
      </c>
      <c r="C318" s="31" t="inlineStr">
        <is>
          <t>plastic products</t>
        </is>
      </c>
      <c r="D318" s="31" t="inlineStr">
        <is>
          <t>plastics products</t>
        </is>
      </c>
      <c r="E318" s="31" t="inlineStr">
        <is>
          <t>midcap</t>
        </is>
      </c>
      <c r="F318" s="31" t="n">
        <v>7878.1</v>
      </c>
      <c r="G318" s="31" t="n">
        <v>5761</v>
      </c>
      <c r="H318" s="31" t="n">
        <v>-0.9</v>
      </c>
      <c r="I318" s="31" t="n">
        <v>9383</v>
      </c>
      <c r="J318" s="31" t="inlineStr">
        <is>
          <t>524019</t>
        </is>
      </c>
    </row>
    <row r="319">
      <c r="A319" s="31" t="inlineStr">
        <is>
          <t>APARINDS</t>
        </is>
      </c>
      <c r="B319" s="31" t="inlineStr">
        <is>
          <t>Apar Industries Limited</t>
        </is>
      </c>
      <c r="C319" s="31" t="inlineStr">
        <is>
          <t>industrials</t>
        </is>
      </c>
      <c r="D319" s="31" t="inlineStr">
        <is>
          <t>electric equipment</t>
        </is>
      </c>
      <c r="E319" s="31" t="inlineStr">
        <is>
          <t>largecap</t>
        </is>
      </c>
      <c r="F319" s="31" t="n">
        <v>70580.00999999999</v>
      </c>
      <c r="G319" s="31" t="n">
        <v>16705</v>
      </c>
      <c r="H319" s="31" t="n">
        <v>-0.9</v>
      </c>
      <c r="I319" s="31" t="n">
        <v>77805</v>
      </c>
      <c r="J319" s="31" t="inlineStr">
        <is>
          <t>532259</t>
        </is>
      </c>
    </row>
    <row r="320">
      <c r="A320" s="31" t="inlineStr">
        <is>
          <t>SUVEN</t>
        </is>
      </c>
      <c r="B320" s="31" t="inlineStr">
        <is>
          <t>Suven Life Sciences Limited</t>
        </is>
      </c>
      <c r="C320" s="31" t="inlineStr">
        <is>
          <t>healthcare</t>
        </is>
      </c>
      <c r="D320" s="31" t="inlineStr">
        <is>
          <t>miscellaneous</t>
        </is>
      </c>
      <c r="E320" s="31" t="inlineStr">
        <is>
          <t>smallcap</t>
        </is>
      </c>
      <c r="F320" s="31" t="n">
        <v>720.88</v>
      </c>
      <c r="G320" s="31" t="n">
        <v>369.75</v>
      </c>
      <c r="H320" s="31" t="n">
        <v>-0.91</v>
      </c>
      <c r="I320" s="31" t="n">
        <v>1679080</v>
      </c>
      <c r="J320" s="31" t="inlineStr">
        <is>
          <t>530239</t>
        </is>
      </c>
    </row>
    <row r="321">
      <c r="A321" s="31" t="inlineStr">
        <is>
          <t>ASKAUTOLTD</t>
        </is>
      </c>
      <c r="B321" s="31" t="inlineStr">
        <is>
          <t>ASK Automotive Ltd</t>
        </is>
      </c>
      <c r="C321" s="31" t="inlineStr">
        <is>
          <t>auto</t>
        </is>
      </c>
      <c r="D321" s="31" t="inlineStr">
        <is>
          <t>auto ancillaries</t>
        </is>
      </c>
      <c r="E321" s="31" t="inlineStr">
        <is>
          <t>midcap</t>
        </is>
      </c>
      <c r="F321" s="31" t="n">
        <v>12245.51</v>
      </c>
      <c r="G321" s="31" t="n">
        <v>615.4</v>
      </c>
      <c r="H321" s="31" t="n">
        <v>-0.93</v>
      </c>
      <c r="I321" s="31" t="n">
        <v>258672</v>
      </c>
      <c r="J321" s="31" t="inlineStr">
        <is>
          <t>544022</t>
        </is>
      </c>
    </row>
    <row r="322">
      <c r="A322" s="31" t="inlineStr">
        <is>
          <t>MANORAMA</t>
        </is>
      </c>
      <c r="B322" s="31" t="inlineStr">
        <is>
          <t>Manorama Industries Ltd</t>
        </is>
      </c>
      <c r="C322" s="31" t="inlineStr">
        <is>
          <t>fmcg</t>
        </is>
      </c>
      <c r="D322" s="31" t="inlineStr">
        <is>
          <t>food - processing - indian</t>
        </is>
      </c>
      <c r="E322" s="31" t="inlineStr">
        <is>
          <t>midcap</t>
        </is>
      </c>
      <c r="F322" s="31" t="n">
        <v>11507.63</v>
      </c>
      <c r="G322" s="31" t="n">
        <v>1909.4</v>
      </c>
      <c r="H322" s="31" t="n">
        <v>-0.93</v>
      </c>
      <c r="I322" s="31" t="n">
        <v>206292</v>
      </c>
      <c r="J322" s="31" t="inlineStr">
        <is>
          <t>541974</t>
        </is>
      </c>
    </row>
    <row r="323">
      <c r="A323" s="31" t="inlineStr">
        <is>
          <t>RITCO</t>
        </is>
      </c>
      <c r="B323" s="31" t="inlineStr">
        <is>
          <t>Ritco Logistics Ltd</t>
        </is>
      </c>
      <c r="C323" s="31" t="inlineStr">
        <is>
          <t>transportation</t>
        </is>
      </c>
      <c r="D323" s="31" t="inlineStr">
        <is>
          <t>miscellaneous</t>
        </is>
      </c>
      <c r="E323" s="31" t="inlineStr">
        <is>
          <t>smallcap</t>
        </is>
      </c>
      <c r="F323" s="31" t="n">
        <v>909.92</v>
      </c>
      <c r="G323" s="31" t="n">
        <v>314.95</v>
      </c>
      <c r="H323" s="31" t="n">
        <v>-0.93</v>
      </c>
      <c r="I323" s="31" t="n">
        <v>84036</v>
      </c>
      <c r="J323" s="31" t="inlineStr">
        <is>
          <t>542383</t>
        </is>
      </c>
    </row>
    <row r="324">
      <c r="A324" s="31" t="inlineStr">
        <is>
          <t>TTKHLTCARE</t>
        </is>
      </c>
      <c r="B324" s="31" t="inlineStr">
        <is>
          <t>Ttk Healthcare Limited</t>
        </is>
      </c>
      <c r="C324" s="31" t="inlineStr">
        <is>
          <t>miscellaneous</t>
        </is>
      </c>
      <c r="D324" s="31" t="inlineStr">
        <is>
          <t>diversified - medium / small</t>
        </is>
      </c>
      <c r="E324" s="31" t="inlineStr">
        <is>
          <t>smallcap</t>
        </is>
      </c>
      <c r="F324" s="31" t="n">
        <v>1557.87</v>
      </c>
      <c r="G324" s="31" t="n">
        <v>1092</v>
      </c>
      <c r="H324" s="31" t="n">
        <v>-0.95</v>
      </c>
      <c r="I324" s="31" t="n">
        <v>26571</v>
      </c>
      <c r="J324" s="31" t="inlineStr">
        <is>
          <t>507747</t>
        </is>
      </c>
    </row>
    <row r="325">
      <c r="A325" s="31" t="inlineStr">
        <is>
          <t>SHRIRAMFIN</t>
        </is>
      </c>
      <c r="B325" s="31" t="inlineStr">
        <is>
          <t>Shriram Finance Ltd</t>
        </is>
      </c>
      <c r="C325" s="31" t="inlineStr">
        <is>
          <t>financials</t>
        </is>
      </c>
      <c r="D325" s="31" t="inlineStr">
        <is>
          <t>finance &amp; investments</t>
        </is>
      </c>
      <c r="E325" s="31" t="inlineStr">
        <is>
          <t>largecap</t>
        </is>
      </c>
      <c r="F325" s="31" t="n">
        <v>265879.41</v>
      </c>
      <c r="G325" s="31" t="n">
        <v>1119</v>
      </c>
      <c r="H325" s="31" t="n">
        <v>-0.97</v>
      </c>
      <c r="I325" s="31" t="n">
        <v>3032754</v>
      </c>
      <c r="J325" s="31" t="inlineStr">
        <is>
          <t>511218</t>
        </is>
      </c>
    </row>
    <row r="326">
      <c r="A326" s="31" t="inlineStr">
        <is>
          <t>ASIANENE</t>
        </is>
      </c>
      <c r="B326" s="31" t="inlineStr">
        <is>
          <t>Asian Energy Services Ltd</t>
        </is>
      </c>
      <c r="C326" s="31" t="inlineStr">
        <is>
          <t>energy</t>
        </is>
      </c>
      <c r="D326" s="31" t="inlineStr">
        <is>
          <t>oil drilling / allied services</t>
        </is>
      </c>
      <c r="E326" s="31" t="inlineStr">
        <is>
          <t>smallcap</t>
        </is>
      </c>
      <c r="F326" s="31" t="n">
        <v>2287.05</v>
      </c>
      <c r="G326" s="31" t="n">
        <v>465.75</v>
      </c>
      <c r="H326" s="31" t="n">
        <v>-0.97</v>
      </c>
      <c r="I326" s="31" t="n">
        <v>331044</v>
      </c>
      <c r="J326" s="31" t="inlineStr">
        <is>
          <t>530355</t>
        </is>
      </c>
    </row>
    <row r="327">
      <c r="A327" s="31" t="inlineStr">
        <is>
          <t>KPIL</t>
        </is>
      </c>
      <c r="B327" s="31" t="inlineStr">
        <is>
          <t>Kalpataru Projects International Ltd</t>
        </is>
      </c>
      <c r="C327" s="31" t="inlineStr">
        <is>
          <t>realty</t>
        </is>
      </c>
      <c r="D327" s="31" t="inlineStr">
        <is>
          <t>transmisson line towers / equipment</t>
        </is>
      </c>
      <c r="E327" s="31" t="inlineStr">
        <is>
          <t>largecap</t>
        </is>
      </c>
      <c r="F327" s="31" t="n">
        <v>23985</v>
      </c>
      <c r="G327" s="31" t="n">
        <v>1390.9</v>
      </c>
      <c r="H327" s="31" t="n">
        <v>-0.97</v>
      </c>
      <c r="I327" s="31" t="n">
        <v>296078</v>
      </c>
      <c r="J327" s="31" t="inlineStr">
        <is>
          <t>522287</t>
        </is>
      </c>
    </row>
    <row r="328">
      <c r="A328" s="31" t="inlineStr">
        <is>
          <t>HCG</t>
        </is>
      </c>
      <c r="B328" s="31" t="inlineStr">
        <is>
          <t>Healthcare Global Enterprises Limited</t>
        </is>
      </c>
      <c r="C328" s="31" t="inlineStr">
        <is>
          <t>healthcare</t>
        </is>
      </c>
      <c r="D328" s="31" t="inlineStr">
        <is>
          <t>healthcare</t>
        </is>
      </c>
      <c r="E328" s="31" t="inlineStr">
        <is>
          <t>midcap</t>
        </is>
      </c>
      <c r="F328" s="31" t="n">
        <v>10838.59</v>
      </c>
      <c r="G328" s="31" t="n">
        <v>718.8</v>
      </c>
      <c r="H328" s="31" t="n">
        <v>-0.98</v>
      </c>
      <c r="I328" s="31" t="n">
        <v>105127</v>
      </c>
      <c r="J328" s="31" t="inlineStr">
        <is>
          <t>539787</t>
        </is>
      </c>
    </row>
    <row r="329">
      <c r="A329" s="31" t="inlineStr">
        <is>
          <t>VISAKAIND</t>
        </is>
      </c>
      <c r="B329" s="31" t="inlineStr">
        <is>
          <t>Visaka Industries Limited</t>
        </is>
      </c>
      <c r="C329" s="31" t="inlineStr">
        <is>
          <t>building materials</t>
        </is>
      </c>
      <c r="D329" s="31" t="inlineStr">
        <is>
          <t>cement products</t>
        </is>
      </c>
      <c r="E329" s="31" t="inlineStr">
        <is>
          <t>smallcap</t>
        </is>
      </c>
      <c r="F329" s="31" t="n">
        <v>815.92</v>
      </c>
      <c r="G329" s="31" t="n">
        <v>93.5</v>
      </c>
      <c r="H329" s="31" t="n">
        <v>-0.98</v>
      </c>
      <c r="I329" s="31" t="n">
        <v>204572</v>
      </c>
      <c r="J329" s="31" t="inlineStr">
        <is>
          <t>509055</t>
        </is>
      </c>
    </row>
    <row r="330">
      <c r="A330" s="31" t="inlineStr">
        <is>
          <t>COFORGE</t>
        </is>
      </c>
      <c r="B330" s="31" t="inlineStr">
        <is>
          <t>Coforge (Niit Tech) Ltd</t>
        </is>
      </c>
      <c r="C330" s="31" t="inlineStr">
        <is>
          <t>i.t</t>
        </is>
      </c>
      <c r="D330" s="31" t="inlineStr">
        <is>
          <t>computers - software - large</t>
        </is>
      </c>
      <c r="E330" s="31" t="inlineStr">
        <is>
          <t>largecap</t>
        </is>
      </c>
      <c r="F330" s="31" t="n">
        <v>83743.82000000001</v>
      </c>
      <c r="G330" s="31" t="n">
        <v>1873</v>
      </c>
      <c r="H330" s="31" t="n">
        <v>-0.99</v>
      </c>
      <c r="I330" s="31" t="n">
        <v>1493739</v>
      </c>
      <c r="J330" s="31" t="inlineStr">
        <is>
          <t>532541</t>
        </is>
      </c>
    </row>
    <row r="331">
      <c r="A331" s="31" t="inlineStr">
        <is>
          <t>IDFCFIRSTB</t>
        </is>
      </c>
      <c r="B331" s="31" t="inlineStr">
        <is>
          <t>IDFC First Bank Ltd</t>
        </is>
      </c>
      <c r="C331" s="31" t="inlineStr">
        <is>
          <t>bank</t>
        </is>
      </c>
      <c r="D331" s="31" t="inlineStr">
        <is>
          <t>banks - private sector</t>
        </is>
      </c>
      <c r="E331" s="31" t="inlineStr">
        <is>
          <t>largecap</t>
        </is>
      </c>
      <c r="F331" s="31" t="n">
        <v>74732.83</v>
      </c>
      <c r="G331" s="31" t="n">
        <v>85.89</v>
      </c>
      <c r="H331" s="31" t="n">
        <v>-0.99</v>
      </c>
      <c r="I331" s="31" t="n">
        <v>11877772</v>
      </c>
      <c r="J331" s="31" t="inlineStr">
        <is>
          <t>539437</t>
        </is>
      </c>
    </row>
    <row r="332">
      <c r="A332" s="31" t="inlineStr">
        <is>
          <t>LUMAXIND</t>
        </is>
      </c>
      <c r="B332" s="31" t="inlineStr">
        <is>
          <t>Lumax Industries Limited</t>
        </is>
      </c>
      <c r="C332" s="31" t="inlineStr">
        <is>
          <t>auto</t>
        </is>
      </c>
      <c r="D332" s="31" t="inlineStr">
        <is>
          <t>auto ancillaries</t>
        </is>
      </c>
      <c r="E332" s="31" t="inlineStr">
        <is>
          <t>midcap</t>
        </is>
      </c>
      <c r="F332" s="31" t="n">
        <v>5496.47</v>
      </c>
      <c r="G332" s="31" t="n">
        <v>5822</v>
      </c>
      <c r="H332" s="31" t="n">
        <v>-0.99</v>
      </c>
      <c r="I332" s="31" t="n">
        <v>11881</v>
      </c>
      <c r="J332" s="31" t="inlineStr">
        <is>
          <t>517206</t>
        </is>
      </c>
    </row>
    <row r="333">
      <c r="A333" s="31" t="inlineStr">
        <is>
          <t>VIYASH</t>
        </is>
      </c>
      <c r="B333" s="31" t="inlineStr">
        <is>
          <t>Viyash Scientific Ltd</t>
        </is>
      </c>
      <c r="C333" s="31" t="inlineStr">
        <is>
          <t>healthcare</t>
        </is>
      </c>
      <c r="D333" s="31" t="inlineStr">
        <is>
          <t>pharmaceuticals - indian - bulk drugs &amp; formln</t>
        </is>
      </c>
      <c r="E333" s="31" t="inlineStr">
        <is>
          <t>midcap</t>
        </is>
      </c>
      <c r="F333" s="31" t="n">
        <v>12055.58</v>
      </c>
      <c r="G333" s="31" t="n">
        <v>273.2</v>
      </c>
      <c r="H333" s="31" t="n">
        <v>-1</v>
      </c>
      <c r="I333" s="31" t="n">
        <v>10761392</v>
      </c>
      <c r="J333" s="31" t="inlineStr">
        <is>
          <t>512529</t>
        </is>
      </c>
    </row>
    <row r="334">
      <c r="A334" s="31" t="inlineStr">
        <is>
          <t>APCOTEXIND</t>
        </is>
      </c>
      <c r="B334" s="31" t="inlineStr">
        <is>
          <t>Apcotex Industries Limited</t>
        </is>
      </c>
      <c r="C334" s="31" t="inlineStr">
        <is>
          <t>chemicals</t>
        </is>
      </c>
      <c r="D334" s="31" t="inlineStr">
        <is>
          <t>miscellaneous</t>
        </is>
      </c>
      <c r="E334" s="31" t="inlineStr">
        <is>
          <t>smallcap</t>
        </is>
      </c>
      <c r="F334" s="31" t="n">
        <v>3240.57</v>
      </c>
      <c r="G334" s="31" t="n">
        <v>618.8</v>
      </c>
      <c r="H334" s="31" t="n">
        <v>-1</v>
      </c>
      <c r="I334" s="31" t="n">
        <v>170680</v>
      </c>
      <c r="J334" s="31" t="inlineStr">
        <is>
          <t>523694</t>
        </is>
      </c>
    </row>
    <row r="335">
      <c r="A335" s="31" t="inlineStr">
        <is>
          <t>UNIPARTS</t>
        </is>
      </c>
      <c r="B335" s="31" t="inlineStr">
        <is>
          <t>Uniparts India Ltd</t>
        </is>
      </c>
      <c r="C335" s="31" t="inlineStr">
        <is>
          <t>industrials</t>
        </is>
      </c>
      <c r="D335" s="31" t="inlineStr">
        <is>
          <t>engineering</t>
        </is>
      </c>
      <c r="E335" s="31" t="inlineStr">
        <is>
          <t>smallcap</t>
        </is>
      </c>
      <c r="F335" s="31" t="n">
        <v>3680.52</v>
      </c>
      <c r="G335" s="31" t="n">
        <v>807</v>
      </c>
      <c r="H335" s="31" t="n">
        <v>-1.02</v>
      </c>
      <c r="I335" s="31" t="n">
        <v>73505</v>
      </c>
      <c r="J335" s="31" t="inlineStr">
        <is>
          <t>543689</t>
        </is>
      </c>
    </row>
    <row r="336">
      <c r="A336" s="31" t="inlineStr">
        <is>
          <t>BEML</t>
        </is>
      </c>
      <c r="B336" s="31" t="inlineStr">
        <is>
          <t>Beml Limited</t>
        </is>
      </c>
      <c r="C336" s="31" t="inlineStr">
        <is>
          <t>aerospace &amp; defence</t>
        </is>
      </c>
      <c r="D336" s="31" t="inlineStr">
        <is>
          <t>engineering</t>
        </is>
      </c>
      <c r="E336" s="31" t="inlineStr">
        <is>
          <t>midcap</t>
        </is>
      </c>
      <c r="F336" s="31" t="n">
        <v>16119.75</v>
      </c>
      <c r="G336" s="31" t="n">
        <v>1915</v>
      </c>
      <c r="H336" s="31" t="n">
        <v>-1.05</v>
      </c>
      <c r="I336" s="31" t="n">
        <v>239098</v>
      </c>
      <c r="J336" s="31" t="inlineStr">
        <is>
          <t>500048</t>
        </is>
      </c>
    </row>
    <row r="337">
      <c r="A337" s="31" t="inlineStr">
        <is>
          <t>NRBBEARING</t>
        </is>
      </c>
      <c r="B337" s="31" t="inlineStr">
        <is>
          <t>Nrb Bearing Limited</t>
        </is>
      </c>
      <c r="C337" s="31" t="inlineStr">
        <is>
          <t>industrials</t>
        </is>
      </c>
      <c r="D337" s="31" t="inlineStr">
        <is>
          <t>bearings</t>
        </is>
      </c>
      <c r="E337" s="31" t="inlineStr">
        <is>
          <t>smallcap</t>
        </is>
      </c>
      <c r="F337" s="31" t="n">
        <v>4711.41</v>
      </c>
      <c r="G337" s="31" t="n">
        <v>480.95</v>
      </c>
      <c r="H337" s="31" t="n">
        <v>-1.06</v>
      </c>
      <c r="I337" s="31" t="n">
        <v>238248</v>
      </c>
      <c r="J337" s="31" t="inlineStr">
        <is>
          <t>530367</t>
        </is>
      </c>
    </row>
    <row r="338">
      <c r="A338" s="31" t="inlineStr">
        <is>
          <t>UNOMINDA</t>
        </is>
      </c>
      <c r="B338" s="31" t="inlineStr">
        <is>
          <t>Uno Minda Ltd</t>
        </is>
      </c>
      <c r="C338" s="31" t="inlineStr">
        <is>
          <t>auto</t>
        </is>
      </c>
      <c r="D338" s="31" t="inlineStr">
        <is>
          <t>auto ancillaries</t>
        </is>
      </c>
      <c r="E338" s="31" t="inlineStr">
        <is>
          <t>largecap</t>
        </is>
      </c>
      <c r="F338" s="31" t="n">
        <v>73049.60000000001</v>
      </c>
      <c r="G338" s="31" t="n">
        <v>1251.3</v>
      </c>
      <c r="H338" s="31" t="n">
        <v>-1.08</v>
      </c>
      <c r="I338" s="31" t="n">
        <v>1156117</v>
      </c>
      <c r="J338" s="31" t="inlineStr">
        <is>
          <t>532539</t>
        </is>
      </c>
    </row>
    <row r="339">
      <c r="A339" s="31" t="inlineStr">
        <is>
          <t>INDIGOPNTS</t>
        </is>
      </c>
      <c r="B339" s="31" t="inlineStr">
        <is>
          <t>Indigo Paints Ltd</t>
        </is>
      </c>
      <c r="C339" s="31" t="inlineStr">
        <is>
          <t>building materials</t>
        </is>
      </c>
      <c r="D339" s="31" t="inlineStr">
        <is>
          <t>paints / varnishes</t>
        </is>
      </c>
      <c r="E339" s="31" t="inlineStr">
        <is>
          <t>midcap</t>
        </is>
      </c>
      <c r="F339" s="31" t="n">
        <v>5491.28</v>
      </c>
      <c r="G339" s="31" t="n">
        <v>1139.3</v>
      </c>
      <c r="H339" s="31" t="n">
        <v>-1.09</v>
      </c>
      <c r="I339" s="31" t="n">
        <v>48501</v>
      </c>
      <c r="J339" s="31" t="inlineStr">
        <is>
          <t>543258</t>
        </is>
      </c>
    </row>
    <row r="340">
      <c r="A340" s="31" t="inlineStr">
        <is>
          <t>TFCILTD</t>
        </is>
      </c>
      <c r="B340" s="31" t="inlineStr">
        <is>
          <t>Tourism Finance Corporation Of India Limited</t>
        </is>
      </c>
      <c r="C340" s="31" t="inlineStr">
        <is>
          <t>financials</t>
        </is>
      </c>
      <c r="D340" s="31" t="inlineStr">
        <is>
          <t>finance - term-lending institutions</t>
        </is>
      </c>
      <c r="E340" s="31" t="inlineStr">
        <is>
          <t>midcap</t>
        </is>
      </c>
      <c r="F340" s="31" t="n">
        <v>6064.54</v>
      </c>
      <c r="G340" s="31" t="n">
        <v>129.56</v>
      </c>
      <c r="H340" s="31" t="n">
        <v>-1.09</v>
      </c>
      <c r="I340" s="31" t="n">
        <v>13132163</v>
      </c>
      <c r="J340" s="31" t="inlineStr">
        <is>
          <t>526650</t>
        </is>
      </c>
    </row>
    <row r="341">
      <c r="A341" s="31" t="inlineStr">
        <is>
          <t>RPTECH</t>
        </is>
      </c>
      <c r="B341" s="31" t="inlineStr">
        <is>
          <t>Rashi Peripherals Ltd</t>
        </is>
      </c>
      <c r="C341" s="31" t="inlineStr">
        <is>
          <t>i.t</t>
        </is>
      </c>
      <c r="D341" s="31" t="inlineStr">
        <is>
          <t>trading</t>
        </is>
      </c>
      <c r="E341" s="31" t="inlineStr">
        <is>
          <t>midcap</t>
        </is>
      </c>
      <c r="F341" s="31" t="n">
        <v>5778.74</v>
      </c>
      <c r="G341" s="31" t="n">
        <v>867</v>
      </c>
      <c r="H341" s="31" t="n">
        <v>-1.13</v>
      </c>
      <c r="I341" s="31" t="n">
        <v>179995</v>
      </c>
      <c r="J341" s="31" t="n"/>
    </row>
    <row r="342">
      <c r="A342" s="31" t="inlineStr">
        <is>
          <t>MAWANASUG</t>
        </is>
      </c>
      <c r="B342" s="31" t="inlineStr">
        <is>
          <t>Mawana Sugars Limited</t>
        </is>
      </c>
      <c r="C342" s="31" t="inlineStr">
        <is>
          <t>fmcg</t>
        </is>
      </c>
      <c r="D342" s="31" t="inlineStr">
        <is>
          <t>sugar</t>
        </is>
      </c>
      <c r="E342" s="31" t="inlineStr">
        <is>
          <t>smallcap</t>
        </is>
      </c>
      <c r="F342" s="31" t="n">
        <v>596.6900000000001</v>
      </c>
      <c r="G342" s="31" t="n">
        <v>150.81</v>
      </c>
      <c r="H342" s="31" t="n">
        <v>-1.13</v>
      </c>
      <c r="I342" s="31" t="n">
        <v>2128741</v>
      </c>
      <c r="J342" s="31" t="inlineStr">
        <is>
          <t>523371</t>
        </is>
      </c>
    </row>
    <row r="343">
      <c r="A343" s="31" t="inlineStr">
        <is>
          <t>CRAFTSMAN</t>
        </is>
      </c>
      <c r="B343" s="31" t="inlineStr">
        <is>
          <t>Craftsman Automation Ltd</t>
        </is>
      </c>
      <c r="C343" s="31" t="inlineStr">
        <is>
          <t>auto</t>
        </is>
      </c>
      <c r="D343" s="31" t="inlineStr">
        <is>
          <t>auto ancillaries</t>
        </is>
      </c>
      <c r="E343" s="31" t="inlineStr">
        <is>
          <t>largecap</t>
        </is>
      </c>
      <c r="F343" s="31" t="n">
        <v>27840.09</v>
      </c>
      <c r="G343" s="31" t="n">
        <v>10522</v>
      </c>
      <c r="H343" s="31" t="n">
        <v>-1.15</v>
      </c>
      <c r="I343" s="31" t="n">
        <v>32160</v>
      </c>
      <c r="J343" s="31" t="inlineStr">
        <is>
          <t>543276</t>
        </is>
      </c>
    </row>
    <row r="344">
      <c r="A344" s="31" t="inlineStr">
        <is>
          <t>RBLBANK</t>
        </is>
      </c>
      <c r="B344" s="31" t="inlineStr">
        <is>
          <t>Rbl Bank Limited</t>
        </is>
      </c>
      <c r="C344" s="31" t="inlineStr">
        <is>
          <t>bank</t>
        </is>
      </c>
      <c r="D344" s="31" t="inlineStr">
        <is>
          <t>banks - private sector</t>
        </is>
      </c>
      <c r="E344" s="31" t="inlineStr">
        <is>
          <t>largecap</t>
        </is>
      </c>
      <c r="F344" s="31" t="n">
        <v>60780.9</v>
      </c>
      <c r="G344" s="31" t="n">
        <v>388</v>
      </c>
      <c r="H344" s="31" t="n">
        <v>-1.15</v>
      </c>
      <c r="I344" s="31" t="n">
        <v>2631141</v>
      </c>
      <c r="J344" s="31" t="inlineStr">
        <is>
          <t>540065</t>
        </is>
      </c>
    </row>
    <row r="345">
      <c r="A345" s="31" t="inlineStr">
        <is>
          <t>RKFORGE</t>
        </is>
      </c>
      <c r="B345" s="31" t="inlineStr">
        <is>
          <t>Ramkrishna Forgings Limited</t>
        </is>
      </c>
      <c r="C345" s="31" t="inlineStr">
        <is>
          <t>industrials</t>
        </is>
      </c>
      <c r="D345" s="31" t="inlineStr">
        <is>
          <t>castings &amp; forgings</t>
        </is>
      </c>
      <c r="E345" s="31" t="inlineStr">
        <is>
          <t>midcap</t>
        </is>
      </c>
      <c r="F345" s="31" t="n">
        <v>13426.84</v>
      </c>
      <c r="G345" s="31" t="n">
        <v>728.5</v>
      </c>
      <c r="H345" s="31" t="n">
        <v>-1.16</v>
      </c>
      <c r="I345" s="31" t="n">
        <v>685523</v>
      </c>
      <c r="J345" s="31" t="inlineStr">
        <is>
          <t>532527</t>
        </is>
      </c>
    </row>
    <row r="346">
      <c r="A346" s="31" t="inlineStr">
        <is>
          <t>DIVISLAB</t>
        </is>
      </c>
      <c r="B346" s="31" t="inlineStr">
        <is>
          <t>Divi's Laboratories Limited</t>
        </is>
      </c>
      <c r="C346" s="31" t="inlineStr">
        <is>
          <t>healthcare</t>
        </is>
      </c>
      <c r="D346" s="31" t="inlineStr">
        <is>
          <t>pharmaceuticals - indian - bulk drugs</t>
        </is>
      </c>
      <c r="E346" s="31" t="inlineStr">
        <is>
          <t>largecap</t>
        </is>
      </c>
      <c r="F346" s="31" t="n">
        <v>228223.34</v>
      </c>
      <c r="G346" s="31" t="n">
        <v>8496</v>
      </c>
      <c r="H346" s="31" t="n">
        <v>-1.17</v>
      </c>
      <c r="I346" s="31" t="n">
        <v>244114</v>
      </c>
      <c r="J346" s="31" t="inlineStr">
        <is>
          <t>532488</t>
        </is>
      </c>
    </row>
    <row r="347">
      <c r="A347" s="31" t="inlineStr">
        <is>
          <t>ANANDRATHI</t>
        </is>
      </c>
      <c r="B347" s="31" t="inlineStr">
        <is>
          <t>Anand Rathi Wealth Ltd</t>
        </is>
      </c>
      <c r="C347" s="31" t="inlineStr">
        <is>
          <t>financials</t>
        </is>
      </c>
      <c r="D347" s="31" t="inlineStr">
        <is>
          <t>finance &amp; investments</t>
        </is>
      </c>
      <c r="E347" s="31" t="inlineStr">
        <is>
          <t>largecap</t>
        </is>
      </c>
      <c r="F347" s="31" t="n">
        <v>36329.83</v>
      </c>
      <c r="G347" s="31" t="n">
        <v>2162.1</v>
      </c>
      <c r="H347" s="31" t="n">
        <v>-1.18</v>
      </c>
      <c r="I347" s="31" t="n">
        <v>160278</v>
      </c>
      <c r="J347" s="31" t="inlineStr">
        <is>
          <t>543415</t>
        </is>
      </c>
    </row>
    <row r="348">
      <c r="A348" s="31" t="inlineStr">
        <is>
          <t>PPLPHARMA</t>
        </is>
      </c>
      <c r="B348" s="31" t="inlineStr">
        <is>
          <t>Piramal Pharma Ltd</t>
        </is>
      </c>
      <c r="C348" s="31" t="inlineStr">
        <is>
          <t>healthcare</t>
        </is>
      </c>
      <c r="D348" s="31" t="inlineStr">
        <is>
          <t>pharmaceuticals - indian - bulk drugs &amp; formln</t>
        </is>
      </c>
      <c r="E348" s="31" t="inlineStr">
        <is>
          <t>largecap</t>
        </is>
      </c>
      <c r="F348" s="31" t="n">
        <v>28446.92</v>
      </c>
      <c r="G348" s="31" t="n">
        <v>211.15</v>
      </c>
      <c r="H348" s="31" t="n">
        <v>-1.18</v>
      </c>
      <c r="I348" s="31" t="n">
        <v>3275412</v>
      </c>
      <c r="J348" s="31" t="inlineStr">
        <is>
          <t>543635</t>
        </is>
      </c>
    </row>
    <row r="349">
      <c r="A349" s="31" t="inlineStr">
        <is>
          <t>ZENTEC</t>
        </is>
      </c>
      <c r="B349" s="31" t="inlineStr">
        <is>
          <t>Zen Technologies Limited</t>
        </is>
      </c>
      <c r="C349" s="31" t="inlineStr">
        <is>
          <t>aerospace &amp; defence</t>
        </is>
      </c>
      <c r="D349" s="31" t="inlineStr">
        <is>
          <t>miscellaneous</t>
        </is>
      </c>
      <c r="E349" s="31" t="inlineStr">
        <is>
          <t>midcap</t>
        </is>
      </c>
      <c r="F349" s="31" t="n">
        <v>17392.63</v>
      </c>
      <c r="G349" s="31" t="n">
        <v>1903.3</v>
      </c>
      <c r="H349" s="31" t="n">
        <v>-1.19</v>
      </c>
      <c r="I349" s="31" t="n">
        <v>327505</v>
      </c>
      <c r="J349" s="31" t="inlineStr">
        <is>
          <t>533339</t>
        </is>
      </c>
    </row>
    <row r="350">
      <c r="A350" s="31" t="inlineStr">
        <is>
          <t>ROLEXRINGS</t>
        </is>
      </c>
      <c r="B350" s="31" t="inlineStr">
        <is>
          <t>Rolex Rings Ltd</t>
        </is>
      </c>
      <c r="C350" s="31" t="inlineStr">
        <is>
          <t>auto</t>
        </is>
      </c>
      <c r="D350" s="31" t="inlineStr">
        <is>
          <t>auto ancillaries</t>
        </is>
      </c>
      <c r="E350" s="31" t="inlineStr">
        <is>
          <t>smallcap</t>
        </is>
      </c>
      <c r="F350" s="31" t="n">
        <v>4993.77</v>
      </c>
      <c r="G350" s="31" t="n">
        <v>181.19</v>
      </c>
      <c r="H350" s="31" t="n">
        <v>-1.19</v>
      </c>
      <c r="I350" s="31" t="n">
        <v>1659554</v>
      </c>
      <c r="J350" s="31" t="inlineStr">
        <is>
          <t>543325</t>
        </is>
      </c>
    </row>
    <row r="351">
      <c r="A351" s="31" t="inlineStr">
        <is>
          <t>LUMAXTECH</t>
        </is>
      </c>
      <c r="B351" s="31" t="inlineStr">
        <is>
          <t>Lumax Auto Technologies Limited</t>
        </is>
      </c>
      <c r="C351" s="31" t="inlineStr">
        <is>
          <t>auto</t>
        </is>
      </c>
      <c r="D351" s="31" t="inlineStr">
        <is>
          <t>auto ancillaries</t>
        </is>
      </c>
      <c r="E351" s="31" t="inlineStr">
        <is>
          <t>midcap</t>
        </is>
      </c>
      <c r="F351" s="31" t="n">
        <v>13555.2</v>
      </c>
      <c r="G351" s="31" t="n">
        <v>1964.3</v>
      </c>
      <c r="H351" s="31" t="n">
        <v>-1.23</v>
      </c>
      <c r="I351" s="31" t="n">
        <v>121131</v>
      </c>
      <c r="J351" s="31" t="inlineStr">
        <is>
          <t>532796</t>
        </is>
      </c>
    </row>
    <row r="352">
      <c r="A352" s="31" t="inlineStr">
        <is>
          <t>ACE</t>
        </is>
      </c>
      <c r="B352" s="31" t="inlineStr">
        <is>
          <t>Action Construction Equipment Limited</t>
        </is>
      </c>
      <c r="C352" s="31" t="inlineStr">
        <is>
          <t>industrials</t>
        </is>
      </c>
      <c r="D352" s="31" t="inlineStr">
        <is>
          <t>engineering</t>
        </is>
      </c>
      <c r="E352" s="31" t="inlineStr">
        <is>
          <t>midcap</t>
        </is>
      </c>
      <c r="F352" s="31" t="n">
        <v>14078.02</v>
      </c>
      <c r="G352" s="31" t="n">
        <v>1167.2</v>
      </c>
      <c r="H352" s="31" t="n">
        <v>-1.27</v>
      </c>
      <c r="I352" s="31" t="n">
        <v>415146</v>
      </c>
      <c r="J352" s="31" t="inlineStr">
        <is>
          <t>532762</t>
        </is>
      </c>
    </row>
    <row r="353">
      <c r="A353" s="31" t="inlineStr">
        <is>
          <t>INDOTECH</t>
        </is>
      </c>
      <c r="B353" s="31" t="inlineStr">
        <is>
          <t>Indo Tech Transformers Limited</t>
        </is>
      </c>
      <c r="C353" s="31" t="inlineStr">
        <is>
          <t>industrials</t>
        </is>
      </c>
      <c r="D353" s="31" t="inlineStr">
        <is>
          <t>electric equipment</t>
        </is>
      </c>
      <c r="E353" s="31" t="inlineStr">
        <is>
          <t>smallcap</t>
        </is>
      </c>
      <c r="F353" s="31" t="n">
        <v>4144.46</v>
      </c>
      <c r="G353" s="31" t="n">
        <v>3852.2</v>
      </c>
      <c r="H353" s="31" t="n">
        <v>-1.29</v>
      </c>
      <c r="I353" s="31" t="n">
        <v>37519</v>
      </c>
      <c r="J353" s="31" t="inlineStr">
        <is>
          <t>532717</t>
        </is>
      </c>
    </row>
    <row r="354">
      <c r="A354" s="31" t="inlineStr">
        <is>
          <t>INDSWFTLAB</t>
        </is>
      </c>
      <c r="B354" s="31" t="inlineStr">
        <is>
          <t>Ind-swift Laboratories Limited</t>
        </is>
      </c>
      <c r="C354" s="31" t="inlineStr">
        <is>
          <t>healthcare</t>
        </is>
      </c>
      <c r="D354" s="31" t="inlineStr">
        <is>
          <t>pharmaceuticals - indian - bulk drugs &amp; formln</t>
        </is>
      </c>
      <c r="E354" s="31" t="inlineStr">
        <is>
          <t>smallcap</t>
        </is>
      </c>
      <c r="F354" s="31" t="n">
        <v>2866.17</v>
      </c>
      <c r="G354" s="31" t="n">
        <v>325.35</v>
      </c>
      <c r="H354" s="31" t="n">
        <v>-1.29</v>
      </c>
      <c r="I354" s="31" t="n">
        <v>500136</v>
      </c>
      <c r="J354" s="31" t="inlineStr">
        <is>
          <t>532305</t>
        </is>
      </c>
    </row>
    <row r="355">
      <c r="A355" s="31" t="inlineStr">
        <is>
          <t>GNA</t>
        </is>
      </c>
      <c r="B355" s="31" t="inlineStr">
        <is>
          <t>Gna Axles Limited</t>
        </is>
      </c>
      <c r="C355" s="31" t="inlineStr">
        <is>
          <t>auto</t>
        </is>
      </c>
      <c r="D355" s="31" t="inlineStr">
        <is>
          <t>auto ancillaries</t>
        </is>
      </c>
      <c r="E355" s="31" t="inlineStr">
        <is>
          <t>smallcap</t>
        </is>
      </c>
      <c r="F355" s="31" t="n">
        <v>2416.36</v>
      </c>
      <c r="G355" s="31" t="n">
        <v>555.4</v>
      </c>
      <c r="H355" s="31" t="n">
        <v>-1.32</v>
      </c>
      <c r="I355" s="31" t="n">
        <v>451339</v>
      </c>
      <c r="J355" s="31" t="inlineStr">
        <is>
          <t>540124</t>
        </is>
      </c>
    </row>
    <row r="356">
      <c r="A356" s="31" t="inlineStr">
        <is>
          <t>NILKAMAL</t>
        </is>
      </c>
      <c r="B356" s="31" t="inlineStr">
        <is>
          <t>Nilkamal Limited</t>
        </is>
      </c>
      <c r="C356" s="31" t="inlineStr">
        <is>
          <t>plastic products</t>
        </is>
      </c>
      <c r="D356" s="31" t="inlineStr">
        <is>
          <t>plastics products</t>
        </is>
      </c>
      <c r="E356" s="31" t="inlineStr">
        <is>
          <t>smallcap</t>
        </is>
      </c>
      <c r="F356" s="31" t="n">
        <v>3064.49</v>
      </c>
      <c r="G356" s="31" t="n">
        <v>2026.4</v>
      </c>
      <c r="H356" s="31" t="n">
        <v>-1.32</v>
      </c>
      <c r="I356" s="31" t="n">
        <v>72221</v>
      </c>
      <c r="J356" s="31" t="inlineStr">
        <is>
          <t>523385</t>
        </is>
      </c>
    </row>
    <row r="357">
      <c r="A357" s="31" t="inlineStr">
        <is>
          <t>SURAKSHA</t>
        </is>
      </c>
      <c r="B357" s="31" t="inlineStr">
        <is>
          <t>Suraksha Diagnostic Ltd</t>
        </is>
      </c>
      <c r="C357" s="31" t="inlineStr">
        <is>
          <t>healthcare</t>
        </is>
      </c>
      <c r="D357" s="31" t="inlineStr">
        <is>
          <t>healthcare</t>
        </is>
      </c>
      <c r="E357" s="31" t="inlineStr">
        <is>
          <t>smallcap</t>
        </is>
      </c>
      <c r="F357" s="31" t="n">
        <v>1696.79</v>
      </c>
      <c r="G357" s="31" t="n">
        <v>321.5</v>
      </c>
      <c r="H357" s="31" t="n">
        <v>-1.32</v>
      </c>
      <c r="I357" s="31" t="n">
        <v>124829</v>
      </c>
      <c r="J357" s="31" t="inlineStr">
        <is>
          <t>544293</t>
        </is>
      </c>
    </row>
    <row r="358">
      <c r="A358" s="31" t="inlineStr">
        <is>
          <t>MMP</t>
        </is>
      </c>
      <c r="B358" s="31" t="inlineStr">
        <is>
          <t>MMP Industries Ltd</t>
        </is>
      </c>
      <c r="C358" s="31" t="inlineStr">
        <is>
          <t>metals &amp; mining</t>
        </is>
      </c>
      <c r="D358" s="31" t="inlineStr">
        <is>
          <t>aluminium and aluminium products</t>
        </is>
      </c>
      <c r="E358" s="31" t="inlineStr">
        <is>
          <t>smallcap</t>
        </is>
      </c>
      <c r="F358" s="31" t="n">
        <v>760.4299999999999</v>
      </c>
      <c r="G358" s="31" t="n">
        <v>396.45</v>
      </c>
      <c r="H358" s="31" t="n">
        <v>-1.36</v>
      </c>
      <c r="I358" s="31" t="n">
        <v>107355</v>
      </c>
      <c r="J358" s="31" t="inlineStr">
        <is>
          <t>535071</t>
        </is>
      </c>
    </row>
    <row r="359">
      <c r="A359" s="31" t="inlineStr">
        <is>
          <t>ENDURANCE</t>
        </is>
      </c>
      <c r="B359" s="31" t="inlineStr">
        <is>
          <t>Endurance Technologies Limited</t>
        </is>
      </c>
      <c r="C359" s="31" t="inlineStr">
        <is>
          <t>auto</t>
        </is>
      </c>
      <c r="D359" s="31" t="inlineStr">
        <is>
          <t>auto ancillaries</t>
        </is>
      </c>
      <c r="E359" s="31" t="inlineStr">
        <is>
          <t>largecap</t>
        </is>
      </c>
      <c r="F359" s="31" t="n">
        <v>42613.81</v>
      </c>
      <c r="G359" s="31" t="n">
        <v>2988.2</v>
      </c>
      <c r="H359" s="31" t="n">
        <v>-1.36</v>
      </c>
      <c r="I359" s="31" t="n">
        <v>173843</v>
      </c>
      <c r="J359" s="31" t="inlineStr">
        <is>
          <t>540153</t>
        </is>
      </c>
    </row>
    <row r="360">
      <c r="A360" s="31" t="inlineStr">
        <is>
          <t>E2E</t>
        </is>
      </c>
      <c r="B360" s="31" t="inlineStr">
        <is>
          <t>E2E Networks Ltd</t>
        </is>
      </c>
      <c r="C360" s="31" t="inlineStr">
        <is>
          <t>i.t</t>
        </is>
      </c>
      <c r="D360" s="31" t="inlineStr">
        <is>
          <t>computers - software - medium / small</t>
        </is>
      </c>
      <c r="E360" s="31" t="inlineStr">
        <is>
          <t>midcap</t>
        </is>
      </c>
      <c r="F360" s="31" t="n">
        <v>12777.91</v>
      </c>
      <c r="G360" s="31" t="n">
        <v>612.9</v>
      </c>
      <c r="H360" s="31" t="n">
        <v>-1.4</v>
      </c>
      <c r="I360" s="31" t="n">
        <v>857233</v>
      </c>
      <c r="J360" s="31" t="inlineStr">
        <is>
          <t>535080</t>
        </is>
      </c>
    </row>
    <row r="361">
      <c r="A361" s="31" t="inlineStr">
        <is>
          <t>ESAFSFB</t>
        </is>
      </c>
      <c r="B361" s="31" t="inlineStr">
        <is>
          <t>ESAF Small Finance Bank Ltd</t>
        </is>
      </c>
      <c r="C361" s="31" t="inlineStr">
        <is>
          <t>bank</t>
        </is>
      </c>
      <c r="D361" s="31" t="inlineStr">
        <is>
          <t>banks - private sector</t>
        </is>
      </c>
      <c r="E361" s="31" t="inlineStr">
        <is>
          <t>smallcap</t>
        </is>
      </c>
      <c r="F361" s="31" t="n">
        <v>2267.09</v>
      </c>
      <c r="G361" s="31" t="n">
        <v>43.32</v>
      </c>
      <c r="H361" s="31" t="n">
        <v>-1.41</v>
      </c>
      <c r="I361" s="31" t="n">
        <v>648379</v>
      </c>
      <c r="J361" s="31" t="inlineStr">
        <is>
          <t>544020</t>
        </is>
      </c>
    </row>
    <row r="362">
      <c r="A362" s="31" t="inlineStr">
        <is>
          <t>BIRLACABLE</t>
        </is>
      </c>
      <c r="B362" s="31" t="inlineStr">
        <is>
          <t>Birla Cable Limited</t>
        </is>
      </c>
      <c r="C362" s="31" t="inlineStr">
        <is>
          <t>industrials</t>
        </is>
      </c>
      <c r="D362" s="31" t="inlineStr">
        <is>
          <t>cables - telephone</t>
        </is>
      </c>
      <c r="E362" s="31" t="inlineStr">
        <is>
          <t>smallcap</t>
        </is>
      </c>
      <c r="F362" s="31" t="n">
        <v>829.92</v>
      </c>
      <c r="G362" s="31" t="n">
        <v>272.7</v>
      </c>
      <c r="H362" s="31" t="n">
        <v>-1.42</v>
      </c>
      <c r="I362" s="31" t="n">
        <v>149067</v>
      </c>
      <c r="J362" s="31" t="inlineStr">
        <is>
          <t>500060</t>
        </is>
      </c>
    </row>
    <row r="363">
      <c r="A363" s="31" t="inlineStr">
        <is>
          <t>SEAMECLTD</t>
        </is>
      </c>
      <c r="B363" s="31" t="inlineStr">
        <is>
          <t>Seamec Limited</t>
        </is>
      </c>
      <c r="C363" s="31" t="inlineStr">
        <is>
          <t>miscellaneous</t>
        </is>
      </c>
      <c r="D363" s="31" t="inlineStr">
        <is>
          <t>miscellaneous</t>
        </is>
      </c>
      <c r="E363" s="31" t="inlineStr">
        <is>
          <t>smallcap</t>
        </is>
      </c>
      <c r="F363" s="31" t="n">
        <v>4256.91</v>
      </c>
      <c r="G363" s="31" t="n">
        <v>1650</v>
      </c>
      <c r="H363" s="31" t="n">
        <v>-1.45</v>
      </c>
      <c r="I363" s="31" t="n">
        <v>135257</v>
      </c>
      <c r="J363" s="31" t="inlineStr">
        <is>
          <t>526807</t>
        </is>
      </c>
    </row>
    <row r="364">
      <c r="A364" s="31" t="inlineStr">
        <is>
          <t>DEEPINDS</t>
        </is>
      </c>
      <c r="B364" s="31" t="inlineStr">
        <is>
          <t>Deep Industries Ltd</t>
        </is>
      </c>
      <c r="C364" s="31" t="inlineStr">
        <is>
          <t>energy</t>
        </is>
      </c>
      <c r="D364" s="31" t="inlineStr">
        <is>
          <t>oil drilling / allied services</t>
        </is>
      </c>
      <c r="E364" s="31" t="inlineStr">
        <is>
          <t>smallcap</t>
        </is>
      </c>
      <c r="F364" s="31" t="n">
        <v>4403.52</v>
      </c>
      <c r="G364" s="31" t="n">
        <v>678.05</v>
      </c>
      <c r="H364" s="31" t="n">
        <v>-1.45</v>
      </c>
      <c r="I364" s="31" t="n">
        <v>242723</v>
      </c>
      <c r="J364" s="31" t="inlineStr">
        <is>
          <t>543288</t>
        </is>
      </c>
    </row>
    <row r="365">
      <c r="A365" s="31" t="inlineStr">
        <is>
          <t>VIJAYA</t>
        </is>
      </c>
      <c r="B365" s="31" t="inlineStr">
        <is>
          <t>Vijaya Diagnostic Centre Ltd</t>
        </is>
      </c>
      <c r="C365" s="31" t="inlineStr">
        <is>
          <t>healthcare</t>
        </is>
      </c>
      <c r="D365" s="31" t="inlineStr">
        <is>
          <t>healthcare</t>
        </is>
      </c>
      <c r="E365" s="31" t="inlineStr">
        <is>
          <t>midcap</t>
        </is>
      </c>
      <c r="F365" s="31" t="n">
        <v>15479.78</v>
      </c>
      <c r="G365" s="31" t="n">
        <v>1482.4</v>
      </c>
      <c r="H365" s="31" t="n">
        <v>-1.46</v>
      </c>
      <c r="I365" s="31" t="n">
        <v>146168</v>
      </c>
      <c r="J365" s="31" t="inlineStr">
        <is>
          <t>543350</t>
        </is>
      </c>
    </row>
    <row r="366">
      <c r="A366" s="31" t="inlineStr">
        <is>
          <t>RPEL</t>
        </is>
      </c>
      <c r="B366" s="31" t="inlineStr">
        <is>
          <t>Raghav Productivity Enhancers Ltd</t>
        </is>
      </c>
      <c r="C366" s="31" t="inlineStr">
        <is>
          <t>building materials</t>
        </is>
      </c>
      <c r="D366" s="31" t="inlineStr">
        <is>
          <t>refractories / intermediates</t>
        </is>
      </c>
      <c r="E366" s="31" t="inlineStr">
        <is>
          <t>midcap</t>
        </is>
      </c>
      <c r="F366" s="31" t="n">
        <v>7759.89</v>
      </c>
      <c r="G366" s="31" t="n">
        <v>1665</v>
      </c>
      <c r="H366" s="31" t="n">
        <v>-1.47</v>
      </c>
      <c r="I366" s="31" t="n">
        <v>100218</v>
      </c>
      <c r="J366" s="31" t="inlineStr">
        <is>
          <t>539837</t>
        </is>
      </c>
    </row>
    <row r="367">
      <c r="A367" s="31" t="inlineStr">
        <is>
          <t>AZAD</t>
        </is>
      </c>
      <c r="B367" s="31" t="inlineStr">
        <is>
          <t>Azad Engineering Ltd</t>
        </is>
      </c>
      <c r="C367" s="31" t="inlineStr">
        <is>
          <t>aerospace &amp; defence</t>
        </is>
      </c>
      <c r="D367" s="31" t="inlineStr">
        <is>
          <t>engineering</t>
        </is>
      </c>
      <c r="E367" s="31" t="inlineStr">
        <is>
          <t>midcap</t>
        </is>
      </c>
      <c r="F367" s="31" t="n">
        <v>18327.01</v>
      </c>
      <c r="G367" s="31" t="n">
        <v>2796.2</v>
      </c>
      <c r="H367" s="31" t="n">
        <v>-1.47</v>
      </c>
      <c r="I367" s="31" t="n">
        <v>354074</v>
      </c>
      <c r="J367" s="31" t="inlineStr">
        <is>
          <t>544061</t>
        </is>
      </c>
    </row>
    <row r="368">
      <c r="A368" s="31" t="inlineStr">
        <is>
          <t>SAILIFE</t>
        </is>
      </c>
      <c r="B368" s="31" t="inlineStr">
        <is>
          <t>Sai Life Sciences Ltd</t>
        </is>
      </c>
      <c r="C368" s="31" t="inlineStr">
        <is>
          <t>healthcare</t>
        </is>
      </c>
      <c r="D368" s="31" t="inlineStr">
        <is>
          <t>pharmaceuticals - indian - bulk drugs &amp; formln</t>
        </is>
      </c>
      <c r="E368" s="31" t="inlineStr">
        <is>
          <t>largecap</t>
        </is>
      </c>
      <c r="F368" s="31" t="n">
        <v>30938.56</v>
      </c>
      <c r="G368" s="31" t="n">
        <v>1435.9</v>
      </c>
      <c r="H368" s="31" t="n">
        <v>-1.48</v>
      </c>
      <c r="I368" s="31" t="n">
        <v>301198</v>
      </c>
      <c r="J368" s="31" t="inlineStr">
        <is>
          <t>544306</t>
        </is>
      </c>
    </row>
    <row r="369">
      <c r="A369" s="31" t="inlineStr">
        <is>
          <t>NITINSPIN</t>
        </is>
      </c>
      <c r="B369" s="31" t="inlineStr">
        <is>
          <t>Nitin Spinners Limited</t>
        </is>
      </c>
      <c r="C369" s="31" t="inlineStr">
        <is>
          <t>textiles</t>
        </is>
      </c>
      <c r="D369" s="31" t="inlineStr">
        <is>
          <t>textiles - cotton/blended</t>
        </is>
      </c>
      <c r="E369" s="31" t="inlineStr">
        <is>
          <t>smallcap</t>
        </is>
      </c>
      <c r="F369" s="31" t="n">
        <v>3308.27</v>
      </c>
      <c r="G369" s="31" t="n">
        <v>579.6</v>
      </c>
      <c r="H369" s="31" t="n">
        <v>-1.5</v>
      </c>
      <c r="I369" s="31" t="n">
        <v>148046</v>
      </c>
      <c r="J369" s="31" t="inlineStr">
        <is>
          <t>532698</t>
        </is>
      </c>
    </row>
    <row r="370">
      <c r="A370" s="31" t="inlineStr">
        <is>
          <t>JINDALSAW</t>
        </is>
      </c>
      <c r="B370" s="31" t="inlineStr">
        <is>
          <t>Jindal Saw Limited</t>
        </is>
      </c>
      <c r="C370" s="31" t="inlineStr">
        <is>
          <t>industrials</t>
        </is>
      </c>
      <c r="D370" s="31" t="inlineStr">
        <is>
          <t>steel - large</t>
        </is>
      </c>
      <c r="E370" s="31" t="inlineStr">
        <is>
          <t>midcap</t>
        </is>
      </c>
      <c r="F370" s="31" t="n">
        <v>18651.26</v>
      </c>
      <c r="G370" s="31" t="n">
        <v>287.25</v>
      </c>
      <c r="H370" s="31" t="n">
        <v>-1.51</v>
      </c>
      <c r="I370" s="31" t="n">
        <v>2144294</v>
      </c>
      <c r="J370" s="31" t="inlineStr">
        <is>
          <t>500378</t>
        </is>
      </c>
    </row>
    <row r="371">
      <c r="A371" s="31" t="inlineStr">
        <is>
          <t>SHAILY</t>
        </is>
      </c>
      <c r="B371" s="31" t="inlineStr">
        <is>
          <t>Shaily Engineering Plastics Ltd</t>
        </is>
      </c>
      <c r="C371" s="31" t="inlineStr">
        <is>
          <t>plastic products</t>
        </is>
      </c>
      <c r="D371" s="31" t="inlineStr">
        <is>
          <t>plastics products</t>
        </is>
      </c>
      <c r="E371" s="31" t="inlineStr">
        <is>
          <t>midcap</t>
        </is>
      </c>
      <c r="F371" s="31" t="n">
        <v>15275.02</v>
      </c>
      <c r="G371" s="31" t="n">
        <v>3268.8</v>
      </c>
      <c r="H371" s="31" t="n">
        <v>-1.57</v>
      </c>
      <c r="I371" s="31" t="n">
        <v>106805</v>
      </c>
      <c r="J371" s="31" t="inlineStr">
        <is>
          <t>501423</t>
        </is>
      </c>
    </row>
    <row r="372">
      <c r="A372" s="31" t="inlineStr">
        <is>
          <t>GANESHBE</t>
        </is>
      </c>
      <c r="B372" s="31" t="inlineStr">
        <is>
          <t>Ganesh Benzoplast Ltd</t>
        </is>
      </c>
      <c r="C372" s="31" t="inlineStr">
        <is>
          <t>miscellaneous</t>
        </is>
      </c>
      <c r="D372" s="31" t="inlineStr">
        <is>
          <t>miscellaneous</t>
        </is>
      </c>
      <c r="E372" s="31" t="inlineStr">
        <is>
          <t>smallcap</t>
        </is>
      </c>
      <c r="F372" s="31" t="n">
        <v>892.38</v>
      </c>
      <c r="G372" s="31" t="n">
        <v>122</v>
      </c>
      <c r="H372" s="31" t="n">
        <v>-1.58</v>
      </c>
      <c r="I372" s="31" t="n">
        <v>129547</v>
      </c>
      <c r="J372" s="31" t="inlineStr">
        <is>
          <t>500153</t>
        </is>
      </c>
    </row>
    <row r="373">
      <c r="A373" s="31" t="inlineStr">
        <is>
          <t>VINCOFE</t>
        </is>
      </c>
      <c r="B373" s="31" t="inlineStr">
        <is>
          <t>Vintage Coffee &amp; Beverages Ltd</t>
        </is>
      </c>
      <c r="C373" s="31" t="inlineStr">
        <is>
          <t>consumer discretionary</t>
        </is>
      </c>
      <c r="D373" s="31" t="inlineStr">
        <is>
          <t>trading</t>
        </is>
      </c>
      <c r="E373" s="31" t="inlineStr">
        <is>
          <t>smallcap</t>
        </is>
      </c>
      <c r="F373" s="31" t="n">
        <v>2353.6</v>
      </c>
      <c r="G373" s="31" t="n">
        <v>158.98</v>
      </c>
      <c r="H373" s="31" t="n">
        <v>-1.59</v>
      </c>
      <c r="I373" s="31" t="n">
        <v>2096634</v>
      </c>
      <c r="J373" s="31" t="inlineStr">
        <is>
          <t>538920</t>
        </is>
      </c>
    </row>
    <row r="374">
      <c r="A374" s="31" t="inlineStr">
        <is>
          <t>AJANTPHARM</t>
        </is>
      </c>
      <c r="B374" s="31" t="inlineStr">
        <is>
          <t>Ajanta Pharma Limited</t>
        </is>
      </c>
      <c r="C374" s="31" t="inlineStr">
        <is>
          <t>healthcare</t>
        </is>
      </c>
      <c r="D374" s="31" t="inlineStr">
        <is>
          <t>pharmaceuticals - indian - formulations</t>
        </is>
      </c>
      <c r="E374" s="31" t="inlineStr">
        <is>
          <t>largecap</t>
        </is>
      </c>
      <c r="F374" s="31" t="n">
        <v>45474.07</v>
      </c>
      <c r="G374" s="31" t="n">
        <v>3581</v>
      </c>
      <c r="H374" s="31" t="n">
        <v>-1.62</v>
      </c>
      <c r="I374" s="31" t="n">
        <v>82182</v>
      </c>
      <c r="J374" s="31" t="inlineStr">
        <is>
          <t>532331</t>
        </is>
      </c>
    </row>
    <row r="375">
      <c r="A375" s="31" t="inlineStr">
        <is>
          <t>RRKABEL</t>
        </is>
      </c>
      <c r="B375" s="31" t="inlineStr">
        <is>
          <t>R R Kabel Ltd</t>
        </is>
      </c>
      <c r="C375" s="31" t="inlineStr">
        <is>
          <t>industrials</t>
        </is>
      </c>
      <c r="D375" s="31" t="inlineStr">
        <is>
          <t>cables - power</t>
        </is>
      </c>
      <c r="E375" s="31" t="inlineStr">
        <is>
          <t>largecap</t>
        </is>
      </c>
      <c r="F375" s="31" t="n">
        <v>33018.89</v>
      </c>
      <c r="G375" s="31" t="n">
        <v>2869.9</v>
      </c>
      <c r="H375" s="31" t="n">
        <v>-1.69</v>
      </c>
      <c r="I375" s="31" t="n">
        <v>370802</v>
      </c>
      <c r="J375" s="31" t="inlineStr">
        <is>
          <t>543981</t>
        </is>
      </c>
    </row>
    <row r="376">
      <c r="A376" s="31" t="inlineStr">
        <is>
          <t>LMW</t>
        </is>
      </c>
      <c r="B376" s="31" t="inlineStr">
        <is>
          <t>LMW Ltd</t>
        </is>
      </c>
      <c r="C376" s="31" t="inlineStr">
        <is>
          <t>industrials</t>
        </is>
      </c>
      <c r="D376" s="31" t="inlineStr">
        <is>
          <t>textile machinery</t>
        </is>
      </c>
      <c r="E376" s="31" t="inlineStr">
        <is>
          <t>largecap</t>
        </is>
      </c>
      <c r="F376" s="31" t="n">
        <v>21204.69</v>
      </c>
      <c r="G376" s="31" t="n">
        <v>19510</v>
      </c>
      <c r="H376" s="31" t="n">
        <v>-1.71</v>
      </c>
      <c r="I376" s="31" t="n">
        <v>2865</v>
      </c>
      <c r="J376" s="31" t="inlineStr">
        <is>
          <t>500252</t>
        </is>
      </c>
    </row>
    <row r="377">
      <c r="A377" s="31" t="inlineStr">
        <is>
          <t>NEULANDLAB</t>
        </is>
      </c>
      <c r="B377" s="31" t="inlineStr">
        <is>
          <t>Neuland Laboratories Limited</t>
        </is>
      </c>
      <c r="C377" s="31" t="inlineStr">
        <is>
          <t>healthcare</t>
        </is>
      </c>
      <c r="D377" s="31" t="inlineStr">
        <is>
          <t>pharmaceuticals - indian - bulk drugs</t>
        </is>
      </c>
      <c r="E377" s="31" t="inlineStr">
        <is>
          <t>largecap</t>
        </is>
      </c>
      <c r="F377" s="31" t="n">
        <v>29894.92</v>
      </c>
      <c r="G377" s="31" t="n">
        <v>22901</v>
      </c>
      <c r="H377" s="31" t="n">
        <v>-1.72</v>
      </c>
      <c r="I377" s="31" t="n">
        <v>34682</v>
      </c>
      <c r="J377" s="31" t="inlineStr">
        <is>
          <t>524558</t>
        </is>
      </c>
    </row>
    <row r="378">
      <c r="A378" s="31" t="inlineStr">
        <is>
          <t>EMIL</t>
        </is>
      </c>
      <c r="B378" s="31" t="inlineStr">
        <is>
          <t>Electronics Mart India Ltd</t>
        </is>
      </c>
      <c r="C378" s="31" t="inlineStr">
        <is>
          <t>consumer discretionary</t>
        </is>
      </c>
      <c r="D378" s="31" t="inlineStr">
        <is>
          <t>trading</t>
        </is>
      </c>
      <c r="E378" s="31" t="inlineStr">
        <is>
          <t>midcap</t>
        </is>
      </c>
      <c r="F378" s="31" t="n">
        <v>7183.64</v>
      </c>
      <c r="G378" s="31" t="n">
        <v>183.48</v>
      </c>
      <c r="H378" s="31" t="n">
        <v>-1.73</v>
      </c>
      <c r="I378" s="31" t="n">
        <v>1771271</v>
      </c>
      <c r="J378" s="31" t="inlineStr">
        <is>
          <t>543626</t>
        </is>
      </c>
    </row>
    <row r="379">
      <c r="A379" s="31" t="inlineStr">
        <is>
          <t>NAZARA</t>
        </is>
      </c>
      <c r="B379" s="31" t="inlineStr">
        <is>
          <t>Nazara Technologies Ltd</t>
        </is>
      </c>
      <c r="C379" s="31" t="inlineStr">
        <is>
          <t>i.t</t>
        </is>
      </c>
      <c r="D379" s="31" t="inlineStr">
        <is>
          <t>telecommunications - service provider</t>
        </is>
      </c>
      <c r="E379" s="31" t="inlineStr">
        <is>
          <t>midcap</t>
        </is>
      </c>
      <c r="F379" s="31" t="n">
        <v>13631.7</v>
      </c>
      <c r="G379" s="31" t="n">
        <v>347.95</v>
      </c>
      <c r="H379" s="31" t="n">
        <v>-1.81</v>
      </c>
      <c r="I379" s="31" t="n">
        <v>1360636</v>
      </c>
      <c r="J379" s="31" t="inlineStr">
        <is>
          <t>543280</t>
        </is>
      </c>
    </row>
    <row r="380">
      <c r="A380" s="31" t="inlineStr">
        <is>
          <t>BLSE</t>
        </is>
      </c>
      <c r="B380" s="31" t="inlineStr">
        <is>
          <t>BLS E-Services Ltd</t>
        </is>
      </c>
      <c r="C380" s="31" t="inlineStr">
        <is>
          <t>i.t</t>
        </is>
      </c>
      <c r="D380" s="31" t="inlineStr">
        <is>
          <t>computers - software - medium / small</t>
        </is>
      </c>
      <c r="E380" s="31" t="inlineStr">
        <is>
          <t>smallcap</t>
        </is>
      </c>
      <c r="F380" s="31" t="n">
        <v>2915.58</v>
      </c>
      <c r="G380" s="31" t="n">
        <v>315</v>
      </c>
      <c r="H380" s="31" t="n">
        <v>-1.84</v>
      </c>
      <c r="I380" s="31" t="n">
        <v>603147</v>
      </c>
      <c r="J380" s="31" t="inlineStr">
        <is>
          <t>544107</t>
        </is>
      </c>
    </row>
    <row r="381">
      <c r="A381" s="31" t="inlineStr">
        <is>
          <t>JINDRILL</t>
        </is>
      </c>
      <c r="B381" s="31" t="inlineStr">
        <is>
          <t>Jindal Drilling And Industries Limited</t>
        </is>
      </c>
      <c r="C381" s="31" t="inlineStr">
        <is>
          <t>energy</t>
        </is>
      </c>
      <c r="D381" s="31" t="inlineStr">
        <is>
          <t>oil drilling / allied services</t>
        </is>
      </c>
      <c r="E381" s="31" t="inlineStr">
        <is>
          <t>smallcap</t>
        </is>
      </c>
      <c r="F381" s="31" t="n">
        <v>1862.76</v>
      </c>
      <c r="G381" s="31" t="n">
        <v>630.95</v>
      </c>
      <c r="H381" s="31" t="n">
        <v>-1.84</v>
      </c>
      <c r="I381" s="31" t="n">
        <v>289038</v>
      </c>
      <c r="J381" s="31" t="inlineStr">
        <is>
          <t>511034</t>
        </is>
      </c>
    </row>
    <row r="382">
      <c r="A382" s="31" t="inlineStr">
        <is>
          <t>INDOBORAX</t>
        </is>
      </c>
      <c r="B382" s="31" t="inlineStr">
        <is>
          <t>Indo Borax &amp; Chemicals Ltd</t>
        </is>
      </c>
      <c r="C382" s="31" t="inlineStr">
        <is>
          <t>chemicals</t>
        </is>
      </c>
      <c r="D382" s="31" t="inlineStr">
        <is>
          <t>chemicals</t>
        </is>
      </c>
      <c r="E382" s="31" t="inlineStr">
        <is>
          <t>smallcap</t>
        </is>
      </c>
      <c r="F382" s="31" t="n">
        <v>1642.53</v>
      </c>
      <c r="G382" s="31" t="n">
        <v>502.35</v>
      </c>
      <c r="H382" s="31" t="n">
        <v>-1.86</v>
      </c>
      <c r="I382" s="31" t="n">
        <v>297968</v>
      </c>
      <c r="J382" s="31" t="inlineStr">
        <is>
          <t>524342</t>
        </is>
      </c>
    </row>
    <row r="383">
      <c r="A383" s="31" t="inlineStr">
        <is>
          <t>HAL</t>
        </is>
      </c>
      <c r="B383" s="31" t="inlineStr">
        <is>
          <t>Hindustan Aeronautics Ltd</t>
        </is>
      </c>
      <c r="C383" s="31" t="inlineStr">
        <is>
          <t>aerospace &amp; defence</t>
        </is>
      </c>
      <c r="D383" s="31" t="inlineStr">
        <is>
          <t>engineering</t>
        </is>
      </c>
      <c r="E383" s="31" t="inlineStr">
        <is>
          <t>largecap</t>
        </is>
      </c>
      <c r="F383" s="31" t="n">
        <v>334387.5</v>
      </c>
      <c r="G383" s="31" t="n">
        <v>4906</v>
      </c>
      <c r="H383" s="31" t="n">
        <v>-1.88</v>
      </c>
      <c r="I383" s="31" t="n">
        <v>632401</v>
      </c>
      <c r="J383" s="31" t="inlineStr">
        <is>
          <t>541154</t>
        </is>
      </c>
    </row>
    <row r="384">
      <c r="A384" s="31" t="inlineStr">
        <is>
          <t>DCBBANK</t>
        </is>
      </c>
      <c r="B384" s="31" t="inlineStr">
        <is>
          <t>Dcb Bank Limited</t>
        </is>
      </c>
      <c r="C384" s="31" t="inlineStr">
        <is>
          <t>bank</t>
        </is>
      </c>
      <c r="D384" s="31" t="inlineStr">
        <is>
          <t>banks - private sector</t>
        </is>
      </c>
      <c r="E384" s="31" t="inlineStr">
        <is>
          <t>midcap</t>
        </is>
      </c>
      <c r="F384" s="31" t="n">
        <v>6557.17</v>
      </c>
      <c r="G384" s="31" t="n">
        <v>199.74</v>
      </c>
      <c r="H384" s="31" t="n">
        <v>-1.89</v>
      </c>
      <c r="I384" s="31" t="n">
        <v>3378441</v>
      </c>
      <c r="J384" s="31" t="inlineStr">
        <is>
          <t>532772</t>
        </is>
      </c>
    </row>
    <row r="385">
      <c r="A385" s="31" t="inlineStr">
        <is>
          <t>DATAPATTNS</t>
        </is>
      </c>
      <c r="B385" s="31" t="inlineStr">
        <is>
          <t>Data Patterns (India) Ltd</t>
        </is>
      </c>
      <c r="C385" s="31" t="inlineStr">
        <is>
          <t>aerospace &amp; defence</t>
        </is>
      </c>
      <c r="D385" s="31" t="inlineStr">
        <is>
          <t>electronics - components</t>
        </is>
      </c>
      <c r="E385" s="31" t="inlineStr">
        <is>
          <t>largecap</t>
        </is>
      </c>
      <c r="F385" s="31" t="n">
        <v>27039.7</v>
      </c>
      <c r="G385" s="31" t="n">
        <v>4736.2</v>
      </c>
      <c r="H385" s="31" t="n">
        <v>-1.94</v>
      </c>
      <c r="I385" s="31" t="n">
        <v>795070</v>
      </c>
      <c r="J385" s="31" t="inlineStr">
        <is>
          <t>543428</t>
        </is>
      </c>
    </row>
    <row r="386">
      <c r="A386" s="31" t="inlineStr">
        <is>
          <t>ELGIEQUIP</t>
        </is>
      </c>
      <c r="B386" s="31" t="inlineStr">
        <is>
          <t>Elgi Equipments Limited</t>
        </is>
      </c>
      <c r="C386" s="31" t="inlineStr">
        <is>
          <t>industrials</t>
        </is>
      </c>
      <c r="D386" s="31" t="inlineStr">
        <is>
          <t>compressors / drilling equipment</t>
        </is>
      </c>
      <c r="E386" s="31" t="inlineStr">
        <is>
          <t>largecap</t>
        </is>
      </c>
      <c r="F386" s="31" t="n">
        <v>20103.12</v>
      </c>
      <c r="G386" s="31" t="n">
        <v>621.95</v>
      </c>
      <c r="H386" s="31" t="n">
        <v>-1.95</v>
      </c>
      <c r="I386" s="31" t="n">
        <v>454549</v>
      </c>
      <c r="J386" s="31" t="inlineStr">
        <is>
          <t>522074</t>
        </is>
      </c>
    </row>
    <row r="387">
      <c r="A387" s="31" t="inlineStr">
        <is>
          <t>POLYPLEX</t>
        </is>
      </c>
      <c r="B387" s="31" t="inlineStr">
        <is>
          <t>Polyplex Corporation Limited</t>
        </is>
      </c>
      <c r="C387" s="31" t="inlineStr">
        <is>
          <t>industrials</t>
        </is>
      </c>
      <c r="D387" s="31" t="inlineStr">
        <is>
          <t>packaging</t>
        </is>
      </c>
      <c r="E387" s="31" t="inlineStr">
        <is>
          <t>smallcap</t>
        </is>
      </c>
      <c r="F387" s="31" t="n">
        <v>3748.57</v>
      </c>
      <c r="G387" s="31" t="n">
        <v>1170</v>
      </c>
      <c r="H387" s="31" t="n">
        <v>-2.02</v>
      </c>
      <c r="I387" s="31" t="n">
        <v>55104</v>
      </c>
      <c r="J387" s="31" t="inlineStr">
        <is>
          <t>524051</t>
        </is>
      </c>
    </row>
    <row r="388">
      <c r="A388" s="31" t="inlineStr">
        <is>
          <t>CONCORDBIO</t>
        </is>
      </c>
      <c r="B388" s="31" t="inlineStr">
        <is>
          <t>Concord Biotech Ltd</t>
        </is>
      </c>
      <c r="C388" s="31" t="inlineStr">
        <is>
          <t>healthcare</t>
        </is>
      </c>
      <c r="D388" s="31" t="inlineStr">
        <is>
          <t>pharmaceuticals - indian - bulk drugs &amp; formln</t>
        </is>
      </c>
      <c r="E388" s="31" t="inlineStr">
        <is>
          <t>midcap</t>
        </is>
      </c>
      <c r="F388" s="31" t="n">
        <v>16438.34</v>
      </c>
      <c r="G388" s="31" t="n">
        <v>1539.4</v>
      </c>
      <c r="H388" s="31" t="n">
        <v>-2.03</v>
      </c>
      <c r="I388" s="31" t="n">
        <v>165190</v>
      </c>
      <c r="J388" s="31" t="inlineStr">
        <is>
          <t>543960</t>
        </is>
      </c>
    </row>
    <row r="389">
      <c r="A389" s="31" t="inlineStr">
        <is>
          <t>DBOL</t>
        </is>
      </c>
      <c r="B389" s="31" t="inlineStr">
        <is>
          <t>Dhampur Bio Organics Ltd</t>
        </is>
      </c>
      <c r="C389" s="31" t="inlineStr">
        <is>
          <t>fmcg</t>
        </is>
      </c>
      <c r="D389" s="31" t="inlineStr">
        <is>
          <t>sugar</t>
        </is>
      </c>
      <c r="E389" s="31" t="inlineStr">
        <is>
          <t>smallcap</t>
        </is>
      </c>
      <c r="F389" s="31" t="n">
        <v>870.67</v>
      </c>
      <c r="G389" s="31" t="n">
        <v>128.45</v>
      </c>
      <c r="H389" s="31" t="n">
        <v>-2.06</v>
      </c>
      <c r="I389" s="31" t="n">
        <v>904098</v>
      </c>
      <c r="J389" s="31" t="inlineStr">
        <is>
          <t>543593</t>
        </is>
      </c>
    </row>
    <row r="390">
      <c r="A390" s="31" t="inlineStr">
        <is>
          <t>HTMEDIA</t>
        </is>
      </c>
      <c r="B390" s="31" t="inlineStr">
        <is>
          <t>Ht Media Limited</t>
        </is>
      </c>
      <c r="C390" s="31" t="inlineStr">
        <is>
          <t>media</t>
        </is>
      </c>
      <c r="D390" s="31" t="inlineStr">
        <is>
          <t>entertainment / electronic media software</t>
        </is>
      </c>
      <c r="E390" s="31" t="inlineStr">
        <is>
          <t>smallcap</t>
        </is>
      </c>
      <c r="F390" s="31" t="n">
        <v>641.76</v>
      </c>
      <c r="G390" s="31" t="n">
        <v>27</v>
      </c>
      <c r="H390" s="31" t="n">
        <v>-2.07</v>
      </c>
      <c r="I390" s="31" t="n">
        <v>350100</v>
      </c>
      <c r="J390" s="31" t="inlineStr">
        <is>
          <t>532662</t>
        </is>
      </c>
    </row>
    <row r="391">
      <c r="A391" s="31" t="inlineStr">
        <is>
          <t>YASHO</t>
        </is>
      </c>
      <c r="B391" s="31" t="inlineStr">
        <is>
          <t>Yasho Industries Ltd</t>
        </is>
      </c>
      <c r="C391" s="31" t="inlineStr">
        <is>
          <t>chemicals</t>
        </is>
      </c>
      <c r="D391" s="31" t="inlineStr">
        <is>
          <t>chemicals</t>
        </is>
      </c>
      <c r="E391" s="31" t="inlineStr">
        <is>
          <t>midcap</t>
        </is>
      </c>
      <c r="F391" s="31" t="n">
        <v>5305.12</v>
      </c>
      <c r="G391" s="31" t="n">
        <v>4308.5</v>
      </c>
      <c r="H391" s="31" t="n">
        <v>-2.08</v>
      </c>
      <c r="I391" s="31" t="n">
        <v>81095</v>
      </c>
      <c r="J391" s="31" t="inlineStr">
        <is>
          <t>541167</t>
        </is>
      </c>
    </row>
    <row r="392">
      <c r="A392" s="31" t="inlineStr">
        <is>
          <t>THELEELA</t>
        </is>
      </c>
      <c r="B392" s="31" t="inlineStr">
        <is>
          <t>Leela Palaces Hotels &amp; Resorts Ltd</t>
        </is>
      </c>
      <c r="C392" s="31" t="inlineStr">
        <is>
          <t>services</t>
        </is>
      </c>
      <c r="D392" s="31" t="inlineStr">
        <is>
          <t>hotels</t>
        </is>
      </c>
      <c r="E392" s="31" t="inlineStr">
        <is>
          <t>midcap</t>
        </is>
      </c>
      <c r="F392" s="31" t="n">
        <v>18758.41</v>
      </c>
      <c r="G392" s="31" t="n">
        <v>549.7</v>
      </c>
      <c r="H392" s="31" t="n">
        <v>-2.14</v>
      </c>
      <c r="I392" s="31" t="n">
        <v>521857</v>
      </c>
      <c r="J392" s="31" t="inlineStr">
        <is>
          <t>544408</t>
        </is>
      </c>
    </row>
    <row r="393">
      <c r="A393" s="31" t="inlineStr">
        <is>
          <t>SUBEXLTD</t>
        </is>
      </c>
      <c r="B393" s="31" t="inlineStr">
        <is>
          <t>Subex Ltd</t>
        </is>
      </c>
      <c r="C393" s="31" t="inlineStr">
        <is>
          <t>i.t</t>
        </is>
      </c>
      <c r="D393" s="31" t="inlineStr">
        <is>
          <t>computers - software - medium / small</t>
        </is>
      </c>
      <c r="E393" s="31" t="inlineStr">
        <is>
          <t>smallcap</t>
        </is>
      </c>
      <c r="F393" s="31" t="n">
        <v>1048.7</v>
      </c>
      <c r="G393" s="31" t="n">
        <v>18.25</v>
      </c>
      <c r="H393" s="31" t="n">
        <v>-2.2</v>
      </c>
      <c r="I393" s="31" t="n">
        <v>12131177</v>
      </c>
      <c r="J393" s="31" t="inlineStr">
        <is>
          <t>532348</t>
        </is>
      </c>
    </row>
    <row r="394">
      <c r="A394" s="31" t="inlineStr">
        <is>
          <t>JGCHEM</t>
        </is>
      </c>
      <c r="B394" s="31" t="inlineStr">
        <is>
          <t>J.G.Chemicals Ltd</t>
        </is>
      </c>
      <c r="C394" s="31" t="inlineStr">
        <is>
          <t>chemicals</t>
        </is>
      </c>
      <c r="D394" s="31" t="inlineStr">
        <is>
          <t>chemicals</t>
        </is>
      </c>
      <c r="E394" s="31" t="inlineStr">
        <is>
          <t>smallcap</t>
        </is>
      </c>
      <c r="F394" s="31" t="n">
        <v>2436.79</v>
      </c>
      <c r="G394" s="31" t="n">
        <v>608</v>
      </c>
      <c r="H394" s="31" t="n">
        <v>-2.23</v>
      </c>
      <c r="I394" s="31" t="n">
        <v>296304</v>
      </c>
      <c r="J394" s="31" t="n"/>
    </row>
    <row r="395">
      <c r="A395" s="31" t="inlineStr">
        <is>
          <t>SMLMAH</t>
        </is>
      </c>
      <c r="B395" s="31" t="inlineStr">
        <is>
          <t>SML Mahindra Ltd</t>
        </is>
      </c>
      <c r="C395" s="31" t="inlineStr">
        <is>
          <t>auto</t>
        </is>
      </c>
      <c r="D395" s="31" t="inlineStr">
        <is>
          <t>automobiles - lcvs / hcvs</t>
        </is>
      </c>
      <c r="E395" s="31" t="inlineStr">
        <is>
          <t>midcap</t>
        </is>
      </c>
      <c r="F395" s="31" t="n">
        <v>7704.7</v>
      </c>
      <c r="G395" s="31" t="n">
        <v>5204</v>
      </c>
      <c r="H395" s="31" t="n">
        <v>-2.25</v>
      </c>
      <c r="I395" s="31" t="n">
        <v>55684</v>
      </c>
      <c r="J395" s="31" t="inlineStr">
        <is>
          <t>505192</t>
        </is>
      </c>
    </row>
    <row r="396">
      <c r="A396" s="31" t="inlineStr">
        <is>
          <t>RUBYMILLS</t>
        </is>
      </c>
      <c r="B396" s="31" t="inlineStr">
        <is>
          <t>The Ruby Mills Limited</t>
        </is>
      </c>
      <c r="C396" s="31" t="inlineStr">
        <is>
          <t>textiles</t>
        </is>
      </c>
      <c r="D396" s="31" t="inlineStr">
        <is>
          <t>textiles - composite</t>
        </is>
      </c>
      <c r="E396" s="31" t="inlineStr">
        <is>
          <t>smallcap</t>
        </is>
      </c>
      <c r="F396" s="31" t="n">
        <v>1344.62</v>
      </c>
      <c r="G396" s="31" t="n">
        <v>393</v>
      </c>
      <c r="H396" s="31" t="n">
        <v>-2.26</v>
      </c>
      <c r="I396" s="31" t="n">
        <v>19175</v>
      </c>
      <c r="J396" s="31" t="inlineStr">
        <is>
          <t>503169</t>
        </is>
      </c>
    </row>
    <row r="397">
      <c r="A397" s="31" t="inlineStr">
        <is>
          <t>INNOVACAP</t>
        </is>
      </c>
      <c r="B397" s="31" t="inlineStr">
        <is>
          <t>Innova Captab Ltd</t>
        </is>
      </c>
      <c r="C397" s="31" t="inlineStr">
        <is>
          <t>healthcare</t>
        </is>
      </c>
      <c r="D397" s="31" t="inlineStr">
        <is>
          <t>pharmaceuticals - indian - bulk drugs &amp; formln</t>
        </is>
      </c>
      <c r="E397" s="31" t="inlineStr">
        <is>
          <t>midcap</t>
        </is>
      </c>
      <c r="F397" s="31" t="n">
        <v>6228.93</v>
      </c>
      <c r="G397" s="31" t="n">
        <v>1063.05</v>
      </c>
      <c r="H397" s="31" t="n">
        <v>-2.34</v>
      </c>
      <c r="I397" s="31" t="n">
        <v>160518</v>
      </c>
      <c r="J397" s="31" t="inlineStr">
        <is>
          <t>544067</t>
        </is>
      </c>
    </row>
    <row r="398">
      <c r="A398" s="31" t="inlineStr">
        <is>
          <t>BANARISUG</t>
        </is>
      </c>
      <c r="B398" s="31" t="inlineStr">
        <is>
          <t>Bannari Amman Sugars Limited</t>
        </is>
      </c>
      <c r="C398" s="31" t="inlineStr">
        <is>
          <t>fmcg</t>
        </is>
      </c>
      <c r="D398" s="31" t="inlineStr">
        <is>
          <t>sugar</t>
        </is>
      </c>
      <c r="E398" s="31" t="inlineStr">
        <is>
          <t>midcap</t>
        </is>
      </c>
      <c r="F398" s="31" t="n">
        <v>5040.58</v>
      </c>
      <c r="G398" s="31" t="n">
        <v>3925</v>
      </c>
      <c r="H398" s="31" t="n">
        <v>-2.36</v>
      </c>
      <c r="I398" s="31" t="n">
        <v>18414</v>
      </c>
      <c r="J398" s="31" t="inlineStr">
        <is>
          <t>500041</t>
        </is>
      </c>
    </row>
    <row r="399">
      <c r="A399" s="31" t="inlineStr">
        <is>
          <t>SALSTEEL</t>
        </is>
      </c>
      <c r="B399" s="31" t="inlineStr">
        <is>
          <t>SAL Steel</t>
        </is>
      </c>
      <c r="C399" s="31" t="inlineStr">
        <is>
          <t>metals &amp; mining</t>
        </is>
      </c>
      <c r="D399" s="31" t="inlineStr">
        <is>
          <t>steel - sponge iron</t>
        </is>
      </c>
      <c r="E399" s="31" t="inlineStr">
        <is>
          <t>smallcap</t>
        </is>
      </c>
      <c r="F399" s="31" t="n">
        <v>1142.64</v>
      </c>
      <c r="G399" s="31" t="n">
        <v>77.06</v>
      </c>
      <c r="H399" s="31" t="n">
        <v>-2.37</v>
      </c>
      <c r="I399" s="31" t="n">
        <v>883589</v>
      </c>
      <c r="J399" s="31" t="inlineStr">
        <is>
          <t>532604</t>
        </is>
      </c>
    </row>
    <row r="400">
      <c r="A400" s="31" t="inlineStr">
        <is>
          <t>DHAMPURSUG</t>
        </is>
      </c>
      <c r="B400" s="31" t="inlineStr">
        <is>
          <t>Dhampur Sugar Mills Limited</t>
        </is>
      </c>
      <c r="C400" s="31" t="inlineStr">
        <is>
          <t>fmcg</t>
        </is>
      </c>
      <c r="D400" s="31" t="inlineStr">
        <is>
          <t>sugar</t>
        </is>
      </c>
      <c r="E400" s="31" t="inlineStr">
        <is>
          <t>smallcap</t>
        </is>
      </c>
      <c r="F400" s="31" t="n">
        <v>1191.15</v>
      </c>
      <c r="G400" s="31" t="n">
        <v>180.79</v>
      </c>
      <c r="H400" s="31" t="n">
        <v>-2.4</v>
      </c>
      <c r="I400" s="31" t="n">
        <v>9757317</v>
      </c>
      <c r="J400" s="31" t="inlineStr">
        <is>
          <t>500119</t>
        </is>
      </c>
    </row>
    <row r="401">
      <c r="A401" s="31" t="inlineStr">
        <is>
          <t>BLISSGVS</t>
        </is>
      </c>
      <c r="B401" s="31" t="inlineStr">
        <is>
          <t>Bliss Gvs Pharma Limited</t>
        </is>
      </c>
      <c r="C401" s="31" t="inlineStr">
        <is>
          <t>healthcare</t>
        </is>
      </c>
      <c r="D401" s="31" t="inlineStr">
        <is>
          <t>pharmaceuticals - indian - formulations</t>
        </is>
      </c>
      <c r="E401" s="31" t="inlineStr">
        <is>
          <t>midcap</t>
        </is>
      </c>
      <c r="F401" s="31" t="n">
        <v>6141.72</v>
      </c>
      <c r="G401" s="31" t="n">
        <v>564.9</v>
      </c>
      <c r="H401" s="31" t="n">
        <v>-2.45</v>
      </c>
      <c r="I401" s="31" t="n">
        <v>529884</v>
      </c>
      <c r="J401" s="31" t="inlineStr">
        <is>
          <t>506197</t>
        </is>
      </c>
    </row>
    <row r="402">
      <c r="A402" s="31" t="inlineStr">
        <is>
          <t>SIRCA</t>
        </is>
      </c>
      <c r="B402" s="31" t="inlineStr">
        <is>
          <t>Sirca Paints India Ltd</t>
        </is>
      </c>
      <c r="C402" s="31" t="inlineStr">
        <is>
          <t>building materials</t>
        </is>
      </c>
      <c r="D402" s="31" t="inlineStr">
        <is>
          <t>paints / varnishes</t>
        </is>
      </c>
      <c r="E402" s="31" t="inlineStr">
        <is>
          <t>smallcap</t>
        </is>
      </c>
      <c r="F402" s="31" t="n">
        <v>2562.49</v>
      </c>
      <c r="G402" s="31" t="n">
        <v>439.75</v>
      </c>
      <c r="H402" s="31" t="n">
        <v>-2.54</v>
      </c>
      <c r="I402" s="31" t="n">
        <v>1421291</v>
      </c>
      <c r="J402" s="31" t="inlineStr">
        <is>
          <t>535083</t>
        </is>
      </c>
    </row>
    <row r="403">
      <c r="A403" s="31" t="inlineStr">
        <is>
          <t>EDELWEISS</t>
        </is>
      </c>
      <c r="B403" s="31" t="inlineStr">
        <is>
          <t>Edelweiss Financial Services Limited</t>
        </is>
      </c>
      <c r="C403" s="31" t="inlineStr">
        <is>
          <t>financials</t>
        </is>
      </c>
      <c r="D403" s="31" t="inlineStr">
        <is>
          <t>finance &amp; investments</t>
        </is>
      </c>
      <c r="E403" s="31" t="inlineStr">
        <is>
          <t>midcap</t>
        </is>
      </c>
      <c r="F403" s="31" t="n">
        <v>12179.97</v>
      </c>
      <c r="G403" s="31" t="n">
        <v>125.41</v>
      </c>
      <c r="H403" s="31" t="n">
        <v>-2.54</v>
      </c>
      <c r="I403" s="31" t="n">
        <v>5292055</v>
      </c>
      <c r="J403" s="31" t="inlineStr">
        <is>
          <t>532922</t>
        </is>
      </c>
    </row>
    <row r="404">
      <c r="A404" s="31" t="inlineStr">
        <is>
          <t>YUKEN</t>
        </is>
      </c>
      <c r="B404" s="31" t="inlineStr">
        <is>
          <t>Yuken India Ltd</t>
        </is>
      </c>
      <c r="C404" s="31" t="inlineStr">
        <is>
          <t>industrials</t>
        </is>
      </c>
      <c r="D404" s="31" t="inlineStr">
        <is>
          <t>engineering</t>
        </is>
      </c>
      <c r="E404" s="31" t="inlineStr">
        <is>
          <t>smallcap</t>
        </is>
      </c>
      <c r="F404" s="31" t="n">
        <v>1310.31</v>
      </c>
      <c r="G404" s="31" t="n">
        <v>940</v>
      </c>
      <c r="H404" s="31" t="n">
        <v>-2.55</v>
      </c>
      <c r="I404" s="31" t="n">
        <v>22574</v>
      </c>
      <c r="J404" s="31" t="inlineStr">
        <is>
          <t>522108</t>
        </is>
      </c>
    </row>
    <row r="405">
      <c r="A405" s="31" t="inlineStr">
        <is>
          <t>MMFL</t>
        </is>
      </c>
      <c r="B405" s="31" t="inlineStr">
        <is>
          <t>Mm Forgings Limited</t>
        </is>
      </c>
      <c r="C405" s="31" t="inlineStr">
        <is>
          <t>industrials</t>
        </is>
      </c>
      <c r="D405" s="31" t="inlineStr">
        <is>
          <t>castings &amp; forgings</t>
        </is>
      </c>
      <c r="E405" s="31" t="inlineStr">
        <is>
          <t>smallcap</t>
        </is>
      </c>
      <c r="F405" s="31" t="n">
        <v>3150.86</v>
      </c>
      <c r="G405" s="31" t="n">
        <v>635.8</v>
      </c>
      <c r="H405" s="31" t="n">
        <v>-2.57</v>
      </c>
      <c r="I405" s="31" t="n">
        <v>112549</v>
      </c>
      <c r="J405" s="31" t="inlineStr">
        <is>
          <t>522241</t>
        </is>
      </c>
    </row>
    <row r="406">
      <c r="A406" s="31" t="inlineStr">
        <is>
          <t>NETWEB</t>
        </is>
      </c>
      <c r="B406" s="31" t="inlineStr">
        <is>
          <t>Netweb Technologies India Ltd</t>
        </is>
      </c>
      <c r="C406" s="31" t="inlineStr">
        <is>
          <t>i.t</t>
        </is>
      </c>
      <c r="D406" s="31" t="inlineStr">
        <is>
          <t>computers - hardware</t>
        </is>
      </c>
      <c r="E406" s="31" t="inlineStr">
        <is>
          <t>largecap</t>
        </is>
      </c>
      <c r="F406" s="31" t="n">
        <v>31892.48</v>
      </c>
      <c r="G406" s="31" t="n">
        <v>5454.5</v>
      </c>
      <c r="H406" s="31" t="n">
        <v>-2.62</v>
      </c>
      <c r="I406" s="31" t="n">
        <v>2978996</v>
      </c>
      <c r="J406" s="31" t="inlineStr">
        <is>
          <t>543945</t>
        </is>
      </c>
    </row>
    <row r="407">
      <c r="A407" s="31" t="inlineStr">
        <is>
          <t>BOSCH-HCIL</t>
        </is>
      </c>
      <c r="B407" s="31" t="inlineStr">
        <is>
          <t>Bosch Home Comfort India Ltd</t>
        </is>
      </c>
      <c r="C407" s="31" t="inlineStr">
        <is>
          <t>consumer discretionary</t>
        </is>
      </c>
      <c r="D407" s="31" t="inlineStr">
        <is>
          <t>air-conditioners</t>
        </is>
      </c>
      <c r="E407" s="31" t="inlineStr">
        <is>
          <t>smallcap</t>
        </is>
      </c>
      <c r="F407" s="31" t="n">
        <v>4691.24</v>
      </c>
      <c r="G407" s="31" t="n">
        <v>1680</v>
      </c>
      <c r="H407" s="31" t="n">
        <v>-2.63</v>
      </c>
      <c r="I407" s="31" t="n">
        <v>76692</v>
      </c>
      <c r="J407" s="31" t="inlineStr">
        <is>
          <t>523398</t>
        </is>
      </c>
    </row>
    <row r="408">
      <c r="A408" s="31" t="inlineStr">
        <is>
          <t>VINDHYATEL</t>
        </is>
      </c>
      <c r="B408" s="31" t="inlineStr">
        <is>
          <t>Vindhya Telelinks Limited</t>
        </is>
      </c>
      <c r="C408" s="31" t="inlineStr">
        <is>
          <t>realty</t>
        </is>
      </c>
      <c r="D408" s="31" t="inlineStr">
        <is>
          <t>construction</t>
        </is>
      </c>
      <c r="E408" s="31" t="inlineStr">
        <is>
          <t>smallcap</t>
        </is>
      </c>
      <c r="F408" s="31" t="n">
        <v>2908.08</v>
      </c>
      <c r="G408" s="31" t="n">
        <v>2388.4</v>
      </c>
      <c r="H408" s="31" t="n">
        <v>-2.67</v>
      </c>
      <c r="I408" s="31" t="n">
        <v>156774</v>
      </c>
      <c r="J408" s="31" t="inlineStr">
        <is>
          <t>517015</t>
        </is>
      </c>
    </row>
    <row r="409">
      <c r="A409" s="31" t="inlineStr">
        <is>
          <t>MUNJALAU</t>
        </is>
      </c>
      <c r="B409" s="31" t="inlineStr">
        <is>
          <t>Munjal Auto Industries Limited</t>
        </is>
      </c>
      <c r="C409" s="31" t="inlineStr">
        <is>
          <t>auto</t>
        </is>
      </c>
      <c r="D409" s="31" t="inlineStr">
        <is>
          <t>auto ancillaries</t>
        </is>
      </c>
      <c r="E409" s="31" t="inlineStr">
        <is>
          <t>smallcap</t>
        </is>
      </c>
      <c r="F409" s="31" t="n">
        <v>1153.5</v>
      </c>
      <c r="G409" s="31" t="n">
        <v>112.14</v>
      </c>
      <c r="H409" s="31" t="n">
        <v>-2.78</v>
      </c>
      <c r="I409" s="31" t="n">
        <v>871131</v>
      </c>
      <c r="J409" s="31" t="inlineStr">
        <is>
          <t>520059</t>
        </is>
      </c>
    </row>
    <row r="410">
      <c r="A410" s="31" t="inlineStr">
        <is>
          <t>RATEGAIN</t>
        </is>
      </c>
      <c r="B410" s="31" t="inlineStr">
        <is>
          <t>Rategain Travel Technologies Ltd</t>
        </is>
      </c>
      <c r="C410" s="31" t="inlineStr">
        <is>
          <t>i.t</t>
        </is>
      </c>
      <c r="D410" s="31" t="inlineStr">
        <is>
          <t>computers - software - medium / small</t>
        </is>
      </c>
      <c r="E410" s="31" t="inlineStr">
        <is>
          <t>midcap</t>
        </is>
      </c>
      <c r="F410" s="31" t="n">
        <v>11724.72</v>
      </c>
      <c r="G410" s="31" t="n">
        <v>962.1</v>
      </c>
      <c r="H410" s="31" t="n">
        <v>-2.82</v>
      </c>
      <c r="I410" s="31" t="n">
        <v>670650</v>
      </c>
      <c r="J410" s="31" t="inlineStr">
        <is>
          <t>543417</t>
        </is>
      </c>
    </row>
    <row r="411">
      <c r="A411" s="31" t="inlineStr">
        <is>
          <t>KRYSTAL</t>
        </is>
      </c>
      <c r="B411" s="31" t="inlineStr">
        <is>
          <t>Krystal Integrated Services Ltd</t>
        </is>
      </c>
      <c r="C411" s="31" t="inlineStr">
        <is>
          <t>miscellaneous</t>
        </is>
      </c>
      <c r="D411" s="31" t="inlineStr">
        <is>
          <t>miscellaneous</t>
        </is>
      </c>
      <c r="E411" s="31" t="inlineStr">
        <is>
          <t>smallcap</t>
        </is>
      </c>
      <c r="F411" s="31" t="n">
        <v>919.28</v>
      </c>
      <c r="G411" s="31" t="n">
        <v>638.95</v>
      </c>
      <c r="H411" s="31" t="n">
        <v>-2.89</v>
      </c>
      <c r="I411" s="31" t="n">
        <v>36692</v>
      </c>
      <c r="J411" s="31" t="inlineStr">
        <is>
          <t>544149</t>
        </is>
      </c>
    </row>
    <row r="412">
      <c r="A412" s="31" t="inlineStr">
        <is>
          <t>MATRIMONY</t>
        </is>
      </c>
      <c r="B412" s="31" t="inlineStr">
        <is>
          <t>Matrimony.com Ltd</t>
        </is>
      </c>
      <c r="C412" s="31" t="inlineStr">
        <is>
          <t>miscellaneous</t>
        </is>
      </c>
      <c r="D412" s="31" t="inlineStr">
        <is>
          <t>miscellaneous</t>
        </is>
      </c>
      <c r="E412" s="31" t="inlineStr">
        <is>
          <t>smallcap</t>
        </is>
      </c>
      <c r="F412" s="31" t="n">
        <v>1110.26</v>
      </c>
      <c r="G412" s="31" t="n">
        <v>521.45</v>
      </c>
      <c r="H412" s="31" t="n">
        <v>-2.9</v>
      </c>
      <c r="I412" s="31" t="n">
        <v>83141</v>
      </c>
      <c r="J412" s="31" t="inlineStr">
        <is>
          <t>540704</t>
        </is>
      </c>
    </row>
    <row r="413">
      <c r="A413" s="31" t="inlineStr">
        <is>
          <t>AVALON</t>
        </is>
      </c>
      <c r="B413" s="31" t="inlineStr">
        <is>
          <t>Avalon Technologies Ltd</t>
        </is>
      </c>
      <c r="C413" s="31" t="inlineStr">
        <is>
          <t>consumer discretionary</t>
        </is>
      </c>
      <c r="D413" s="31" t="inlineStr">
        <is>
          <t>electronics - components</t>
        </is>
      </c>
      <c r="E413" s="31" t="inlineStr">
        <is>
          <t>midcap</t>
        </is>
      </c>
      <c r="F413" s="31" t="n">
        <v>14590.35</v>
      </c>
      <c r="G413" s="31" t="n">
        <v>2119.4</v>
      </c>
      <c r="H413" s="31" t="n">
        <v>-2.95</v>
      </c>
      <c r="I413" s="31" t="n">
        <v>352493</v>
      </c>
      <c r="J413" s="31" t="inlineStr">
        <is>
          <t>543896</t>
        </is>
      </c>
    </row>
    <row r="414">
      <c r="A414" s="31" t="inlineStr">
        <is>
          <t>TCPLPACK</t>
        </is>
      </c>
      <c r="B414" s="31" t="inlineStr">
        <is>
          <t>TCPL Packaging Ltd</t>
        </is>
      </c>
      <c r="C414" s="31" t="inlineStr">
        <is>
          <t>industrials</t>
        </is>
      </c>
      <c r="D414" s="31" t="inlineStr">
        <is>
          <t>packaging</t>
        </is>
      </c>
      <c r="E414" s="31" t="inlineStr">
        <is>
          <t>smallcap</t>
        </is>
      </c>
      <c r="F414" s="31" t="n">
        <v>3732.18</v>
      </c>
      <c r="G414" s="31" t="n">
        <v>3980</v>
      </c>
      <c r="H414" s="31" t="n">
        <v>-2.96</v>
      </c>
      <c r="I414" s="31" t="n">
        <v>13924</v>
      </c>
      <c r="J414" s="31" t="inlineStr">
        <is>
          <t>523301</t>
        </is>
      </c>
    </row>
    <row r="415">
      <c r="A415" s="31" t="inlineStr">
        <is>
          <t>STEELCAS</t>
        </is>
      </c>
      <c r="B415" s="31" t="inlineStr">
        <is>
          <t>Steelcast Ltd</t>
        </is>
      </c>
      <c r="C415" s="31" t="inlineStr">
        <is>
          <t>industrials</t>
        </is>
      </c>
      <c r="D415" s="31" t="inlineStr">
        <is>
          <t>castings &amp; forgings</t>
        </is>
      </c>
      <c r="E415" s="31" t="inlineStr">
        <is>
          <t>smallcap</t>
        </is>
      </c>
      <c r="F415" s="31" t="n">
        <v>3603.23</v>
      </c>
      <c r="G415" s="31" t="n">
        <v>345.5</v>
      </c>
      <c r="H415" s="31" t="n">
        <v>-2.96</v>
      </c>
      <c r="I415" s="31" t="n">
        <v>162536</v>
      </c>
      <c r="J415" s="31" t="inlineStr">
        <is>
          <t>513517</t>
        </is>
      </c>
    </row>
    <row r="416">
      <c r="A416" s="31" t="inlineStr">
        <is>
          <t>MUKKA</t>
        </is>
      </c>
      <c r="B416" s="31" t="inlineStr">
        <is>
          <t>Mukka Proteins Ltd</t>
        </is>
      </c>
      <c r="C416" s="31" t="inlineStr">
        <is>
          <t>fmcg</t>
        </is>
      </c>
      <c r="D416" s="31" t="inlineStr">
        <is>
          <t>food - processing - indian</t>
        </is>
      </c>
      <c r="E416" s="31" t="inlineStr">
        <is>
          <t>smallcap</t>
        </is>
      </c>
      <c r="F416" s="31" t="n">
        <v>797.7</v>
      </c>
      <c r="G416" s="31" t="n">
        <v>25.8</v>
      </c>
      <c r="H416" s="31" t="n">
        <v>-2.97</v>
      </c>
      <c r="I416" s="31" t="n">
        <v>489250</v>
      </c>
      <c r="J416" s="31" t="inlineStr">
        <is>
          <t>544135</t>
        </is>
      </c>
    </row>
    <row r="417">
      <c r="A417" s="31" t="inlineStr">
        <is>
          <t>ICIL</t>
        </is>
      </c>
      <c r="B417" s="31" t="inlineStr">
        <is>
          <t>Indo Count Industries Limited</t>
        </is>
      </c>
      <c r="C417" s="31" t="inlineStr">
        <is>
          <t>textiles</t>
        </is>
      </c>
      <c r="D417" s="31" t="inlineStr">
        <is>
          <t>textiles - cotton/blended</t>
        </is>
      </c>
      <c r="E417" s="31" t="inlineStr">
        <is>
          <t>midcap</t>
        </is>
      </c>
      <c r="F417" s="31" t="n">
        <v>8784.700000000001</v>
      </c>
      <c r="G417" s="31" t="n">
        <v>430</v>
      </c>
      <c r="H417" s="31" t="n">
        <v>-3.05</v>
      </c>
      <c r="I417" s="31" t="n">
        <v>764152</v>
      </c>
      <c r="J417" s="31" t="inlineStr">
        <is>
          <t>521016</t>
        </is>
      </c>
    </row>
    <row r="418">
      <c r="A418" s="31" t="inlineStr">
        <is>
          <t>GUFICBIO</t>
        </is>
      </c>
      <c r="B418" s="31" t="inlineStr">
        <is>
          <t>Gufic Biosciences Limited</t>
        </is>
      </c>
      <c r="C418" s="31" t="inlineStr">
        <is>
          <t>healthcare</t>
        </is>
      </c>
      <c r="D418" s="31" t="inlineStr">
        <is>
          <t>pharmaceuticals - indian - bulk drugs &amp; formln</t>
        </is>
      </c>
      <c r="E418" s="31" t="inlineStr">
        <is>
          <t>smallcap</t>
        </is>
      </c>
      <c r="F418" s="31" t="n">
        <v>4327.19</v>
      </c>
      <c r="G418" s="31" t="n">
        <v>418</v>
      </c>
      <c r="H418" s="31" t="n">
        <v>-3.13</v>
      </c>
      <c r="I418" s="31" t="n">
        <v>222963</v>
      </c>
      <c r="J418" s="31" t="inlineStr">
        <is>
          <t>509079</t>
        </is>
      </c>
    </row>
    <row r="419">
      <c r="A419" s="31" t="inlineStr">
        <is>
          <t>DALMIASUG</t>
        </is>
      </c>
      <c r="B419" s="31" t="inlineStr">
        <is>
          <t>Dalmia Bharat Sugar And Industries Limited</t>
        </is>
      </c>
      <c r="C419" s="31" t="inlineStr">
        <is>
          <t>fmcg</t>
        </is>
      </c>
      <c r="D419" s="31" t="inlineStr">
        <is>
          <t>sugar</t>
        </is>
      </c>
      <c r="E419" s="31" t="inlineStr">
        <is>
          <t>smallcap</t>
        </is>
      </c>
      <c r="F419" s="31" t="n">
        <v>4030.37</v>
      </c>
      <c r="G419" s="31" t="n">
        <v>480.75</v>
      </c>
      <c r="H419" s="31" t="n">
        <v>-3.45</v>
      </c>
      <c r="I419" s="31" t="n">
        <v>1655406</v>
      </c>
      <c r="J419" s="31" t="inlineStr">
        <is>
          <t>500097</t>
        </is>
      </c>
    </row>
    <row r="420">
      <c r="A420" s="31" t="inlineStr">
        <is>
          <t>KOLTEPATIL</t>
        </is>
      </c>
      <c r="B420" s="31" t="inlineStr">
        <is>
          <t>Kolte - Patil Developers Limited</t>
        </is>
      </c>
      <c r="C420" s="31" t="inlineStr">
        <is>
          <t>realty</t>
        </is>
      </c>
      <c r="D420" s="31" t="inlineStr">
        <is>
          <t>construction</t>
        </is>
      </c>
      <c r="E420" s="31" t="inlineStr">
        <is>
          <t>smallcap</t>
        </is>
      </c>
      <c r="F420" s="31" t="n">
        <v>4155.11</v>
      </c>
      <c r="G420" s="31" t="n">
        <v>452.1</v>
      </c>
      <c r="H420" s="31" t="n">
        <v>-3.51</v>
      </c>
      <c r="I420" s="31" t="n">
        <v>235362</v>
      </c>
      <c r="J420" s="31" t="inlineStr">
        <is>
          <t>532924</t>
        </is>
      </c>
    </row>
    <row r="421">
      <c r="A421" s="31" t="inlineStr">
        <is>
          <t>KDDL</t>
        </is>
      </c>
      <c r="B421" s="31" t="inlineStr">
        <is>
          <t>Kddl Limited</t>
        </is>
      </c>
      <c r="C421" s="31" t="inlineStr">
        <is>
          <t>consumer discretionary</t>
        </is>
      </c>
      <c r="D421" s="31" t="inlineStr">
        <is>
          <t>miscellaneous</t>
        </is>
      </c>
      <c r="E421" s="31" t="inlineStr">
        <is>
          <t>smallcap</t>
        </is>
      </c>
      <c r="F421" s="31" t="n">
        <v>4926.35</v>
      </c>
      <c r="G421" s="31" t="n">
        <v>3848.7</v>
      </c>
      <c r="H421" s="31" t="n">
        <v>-3.91</v>
      </c>
      <c r="I421" s="31" t="n">
        <v>212373</v>
      </c>
      <c r="J421" s="31" t="inlineStr">
        <is>
          <t>532054</t>
        </is>
      </c>
    </row>
    <row r="422">
      <c r="A422" s="31" t="inlineStr">
        <is>
          <t>WSTCSTPAPR</t>
        </is>
      </c>
      <c r="B422" s="31" t="inlineStr">
        <is>
          <t>West Coast Paper Mills Limited</t>
        </is>
      </c>
      <c r="C422" s="31" t="inlineStr">
        <is>
          <t>building materials</t>
        </is>
      </c>
      <c r="D422" s="31" t="inlineStr">
        <is>
          <t>paper</t>
        </is>
      </c>
      <c r="E422" s="31" t="inlineStr">
        <is>
          <t>smallcap</t>
        </is>
      </c>
      <c r="F422" s="31" t="n">
        <v>4208.97</v>
      </c>
      <c r="G422" s="31" t="n">
        <v>611.05</v>
      </c>
      <c r="H422" s="31" t="n">
        <v>-4.11</v>
      </c>
      <c r="I422" s="31" t="n">
        <v>363671</v>
      </c>
      <c r="J422" s="31" t="inlineStr">
        <is>
          <t>500444</t>
        </is>
      </c>
    </row>
    <row r="423">
      <c r="A423" s="31" t="inlineStr">
        <is>
          <t>UNIVASTU</t>
        </is>
      </c>
      <c r="B423" s="31" t="inlineStr">
        <is>
          <t>Univastu India Ltd</t>
        </is>
      </c>
      <c r="C423" s="31" t="inlineStr">
        <is>
          <t>realty</t>
        </is>
      </c>
      <c r="D423" s="31" t="inlineStr">
        <is>
          <t>construction</t>
        </is>
      </c>
      <c r="E423" s="31" t="inlineStr">
        <is>
          <t>smallcap</t>
        </is>
      </c>
      <c r="F423" s="31" t="n">
        <v>648.29</v>
      </c>
      <c r="G423" s="31" t="n">
        <v>164.47</v>
      </c>
      <c r="H423" s="31" t="n">
        <v>-4.13</v>
      </c>
      <c r="I423" s="31" t="n">
        <v>89396</v>
      </c>
      <c r="J423" s="31" t="inlineStr">
        <is>
          <t>538442</t>
        </is>
      </c>
    </row>
    <row r="424">
      <c r="A424" s="31" t="inlineStr">
        <is>
          <t>DOLPHIN</t>
        </is>
      </c>
      <c r="B424" s="31" t="inlineStr">
        <is>
          <t>Dolphin Offshore Enterprises (India) Ltd</t>
        </is>
      </c>
      <c r="C424" s="31" t="inlineStr">
        <is>
          <t>energy</t>
        </is>
      </c>
      <c r="D424" s="31" t="inlineStr">
        <is>
          <t>oil drilling / allied services</t>
        </is>
      </c>
      <c r="E424" s="31" t="inlineStr">
        <is>
          <t>smallcap</t>
        </is>
      </c>
      <c r="F424" s="31" t="n">
        <v>2580.7</v>
      </c>
      <c r="G424" s="31" t="n">
        <v>616.45</v>
      </c>
      <c r="H424" s="31" t="n">
        <v>-4.44</v>
      </c>
      <c r="I424" s="31" t="n">
        <v>93462</v>
      </c>
      <c r="J424" s="31" t="inlineStr">
        <is>
          <t>522261</t>
        </is>
      </c>
    </row>
    <row r="425">
      <c r="A425" s="31" t="inlineStr">
        <is>
          <t>KRONOX</t>
        </is>
      </c>
      <c r="B425" s="31" t="inlineStr">
        <is>
          <t>Kronox Lab Sciences Ltd</t>
        </is>
      </c>
      <c r="C425" s="31" t="inlineStr">
        <is>
          <t>chemicals</t>
        </is>
      </c>
      <c r="D425" s="31" t="inlineStr">
        <is>
          <t>chemicals</t>
        </is>
      </c>
      <c r="E425" s="31" t="inlineStr">
        <is>
          <t>smallcap</t>
        </is>
      </c>
      <c r="F425" s="31" t="n">
        <v>798.4</v>
      </c>
      <c r="G425" s="31" t="n">
        <v>205.36</v>
      </c>
      <c r="H425" s="31" t="n">
        <v>-4.56</v>
      </c>
      <c r="I425" s="31" t="n">
        <v>9274550</v>
      </c>
      <c r="J425" s="31" t="inlineStr">
        <is>
          <t>544187</t>
        </is>
      </c>
    </row>
    <row r="426">
      <c r="A426" s="31" t="inlineStr">
        <is>
          <t>BALRAMCHIN</t>
        </is>
      </c>
      <c r="B426" s="31" t="inlineStr">
        <is>
          <t>Balrampur Chini Mills Limited</t>
        </is>
      </c>
      <c r="C426" s="31" t="inlineStr">
        <is>
          <t>fmcg</t>
        </is>
      </c>
      <c r="D426" s="31" t="inlineStr">
        <is>
          <t>sugar</t>
        </is>
      </c>
      <c r="E426" s="31" t="inlineStr">
        <is>
          <t>midcap</t>
        </is>
      </c>
      <c r="F426" s="31" t="n">
        <v>15408.77</v>
      </c>
      <c r="G426" s="31" t="n">
        <v>695.5</v>
      </c>
      <c r="H426" s="31" t="n">
        <v>-4.64</v>
      </c>
      <c r="I426" s="31" t="n">
        <v>14284351</v>
      </c>
      <c r="J426" s="31" t="inlineStr">
        <is>
          <t>500038</t>
        </is>
      </c>
    </row>
    <row r="427">
      <c r="A427" s="31" t="inlineStr">
        <is>
          <t>BLACKBUCK</t>
        </is>
      </c>
      <c r="B427" s="31" t="inlineStr">
        <is>
          <t>BlackBuck Ltd</t>
        </is>
      </c>
      <c r="C427" s="31" t="inlineStr">
        <is>
          <t>transportation</t>
        </is>
      </c>
      <c r="D427" s="31" t="inlineStr">
        <is>
          <t>miscellaneous</t>
        </is>
      </c>
      <c r="E427" s="31" t="inlineStr">
        <is>
          <t>midcap</t>
        </is>
      </c>
      <c r="F427" s="31" t="n">
        <v>11553.05</v>
      </c>
      <c r="G427" s="31" t="n">
        <v>604.4</v>
      </c>
      <c r="H427" s="31" t="n">
        <v>-4.71</v>
      </c>
      <c r="I427" s="31" t="n">
        <v>473458</v>
      </c>
      <c r="J427" s="31" t="inlineStr">
        <is>
          <t>544288</t>
        </is>
      </c>
    </row>
    <row r="428">
      <c r="A428" s="31" t="inlineStr">
        <is>
          <t>CHEMBONDCH</t>
        </is>
      </c>
      <c r="B428" s="31" t="inlineStr">
        <is>
          <t>Chembond Chemicals Ltd</t>
        </is>
      </c>
      <c r="C428" s="31" t="inlineStr">
        <is>
          <t>chemicals</t>
        </is>
      </c>
      <c r="D428" s="31" t="inlineStr">
        <is>
          <t>chemicals</t>
        </is>
      </c>
      <c r="E428" s="31" t="inlineStr">
        <is>
          <t>smallcap</t>
        </is>
      </c>
      <c r="F428" s="31" t="n">
        <v>764.88</v>
      </c>
      <c r="G428" s="31" t="n">
        <v>271</v>
      </c>
      <c r="H428" s="31" t="n">
        <v>-4.71</v>
      </c>
      <c r="I428" s="31" t="n">
        <v>57993</v>
      </c>
      <c r="J428" s="31" t="inlineStr">
        <is>
          <t>544450</t>
        </is>
      </c>
    </row>
    <row r="429">
      <c r="A429" s="31" t="inlineStr">
        <is>
          <t>SCPL</t>
        </is>
      </c>
      <c r="B429" s="31" t="inlineStr">
        <is>
          <t>Sheetal Cool Products Ltd</t>
        </is>
      </c>
      <c r="C429" s="31" t="inlineStr">
        <is>
          <t>fmcg</t>
        </is>
      </c>
      <c r="D429" s="31" t="inlineStr">
        <is>
          <t>food - processing - indian</t>
        </is>
      </c>
      <c r="E429" s="31" t="inlineStr">
        <is>
          <t>smallcap</t>
        </is>
      </c>
      <c r="F429" s="31" t="n">
        <v>716.89</v>
      </c>
      <c r="G429" s="31" t="n">
        <v>650</v>
      </c>
      <c r="H429" s="31" t="n">
        <v>-4.8</v>
      </c>
      <c r="I429" s="31" t="n">
        <v>32364</v>
      </c>
      <c r="J429" s="31" t="inlineStr">
        <is>
          <t>540757</t>
        </is>
      </c>
    </row>
    <row r="430">
      <c r="A430" s="31" t="inlineStr">
        <is>
          <t>STYLEBAAZA</t>
        </is>
      </c>
      <c r="B430" s="31" t="inlineStr">
        <is>
          <t>Baazar Style Retail Ltd</t>
        </is>
      </c>
      <c r="C430" s="31" t="inlineStr">
        <is>
          <t>consumer discretionary</t>
        </is>
      </c>
      <c r="D430" s="31" t="inlineStr">
        <is>
          <t>trading</t>
        </is>
      </c>
      <c r="E430" s="31" t="inlineStr">
        <is>
          <t>smallcap</t>
        </is>
      </c>
      <c r="F430" s="31" t="n">
        <v>3179.04</v>
      </c>
      <c r="G430" s="31" t="n">
        <v>396.8</v>
      </c>
      <c r="H430" s="31" t="n">
        <v>-4.99</v>
      </c>
      <c r="I430" s="31" t="n">
        <v>1751181</v>
      </c>
      <c r="J430" s="31" t="inlineStr">
        <is>
          <t>544243</t>
        </is>
      </c>
    </row>
    <row r="431">
      <c r="A431" s="31" t="inlineStr">
        <is>
          <t>MENONBE</t>
        </is>
      </c>
      <c r="B431" s="31" t="inlineStr">
        <is>
          <t>Menon Bearings Limited</t>
        </is>
      </c>
      <c r="C431" s="31" t="inlineStr">
        <is>
          <t>auto</t>
        </is>
      </c>
      <c r="D431" s="31" t="inlineStr">
        <is>
          <t>auto ancillaries</t>
        </is>
      </c>
      <c r="E431" s="31" t="inlineStr">
        <is>
          <t>smallcap</t>
        </is>
      </c>
      <c r="F431" s="31" t="n">
        <v>1539.08</v>
      </c>
      <c r="G431" s="31" t="n">
        <v>260.91</v>
      </c>
      <c r="H431" s="31" t="n">
        <v>-5</v>
      </c>
      <c r="I431" s="31" t="n">
        <v>185953</v>
      </c>
      <c r="J431" s="31" t="inlineStr">
        <is>
          <t>523828</t>
        </is>
      </c>
    </row>
  </sheetData>
  <autoFilter ref="A1:J4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SJS</t>
        </is>
      </c>
      <c r="E2" s="31" t="inlineStr">
        <is>
          <t>S J S Enterprises Ltd</t>
        </is>
      </c>
      <c r="F2" s="31" t="inlineStr">
        <is>
          <t>Auto Ancillaries - Diversified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23</v>
      </c>
      <c r="K2" s="31" t="n">
        <v>29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IIFL</t>
        </is>
      </c>
      <c r="E3" s="31" t="inlineStr">
        <is>
          <t>IIFL Finance Ltd</t>
        </is>
      </c>
      <c r="F3" s="31" t="inlineStr">
        <is>
          <t>Finance &amp; Investments - Gold Loan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23</v>
      </c>
      <c r="K3" s="31" t="n">
        <v>25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SHILPAMED</t>
        </is>
      </c>
      <c r="E4" s="31" t="inlineStr">
        <is>
          <t>Shilpa Medicare Limited</t>
        </is>
      </c>
      <c r="F4" s="31" t="inlineStr">
        <is>
          <t>Pharma - API &amp; CRAMS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22</v>
      </c>
      <c r="K4" s="31" t="n">
        <v>25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ACMESOLAR</t>
        </is>
      </c>
      <c r="E5" s="31" t="inlineStr">
        <is>
          <t>ACME Solar Holdings Ltd</t>
        </is>
      </c>
      <c r="F5" s="31" t="inlineStr">
        <is>
          <t>Engineering - Turnkey Services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21</v>
      </c>
      <c r="K5" s="31" t="n">
        <v>12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WELCORP</t>
        </is>
      </c>
      <c r="E6" s="31" t="inlineStr">
        <is>
          <t>Welspun Corp Limited</t>
        </is>
      </c>
      <c r="F6" s="31" t="inlineStr">
        <is>
          <t>DI Pipes/Saw Pipes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20</v>
      </c>
      <c r="K6" s="31" t="n">
        <v>30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HFCL</t>
        </is>
      </c>
      <c r="E7" s="31" t="inlineStr">
        <is>
          <t>HFCL Ltd</t>
        </is>
      </c>
      <c r="F7" s="31" t="inlineStr">
        <is>
          <t>Telecom Services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26</v>
      </c>
      <c r="K7" s="31" t="n">
        <v>19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PTCIL</t>
        </is>
      </c>
      <c r="E8" s="31" t="inlineStr">
        <is>
          <t>PTC Industries Ltd</t>
        </is>
      </c>
      <c r="F8" s="31" t="inlineStr">
        <is>
          <t>Castings - Steel/Alloy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24</v>
      </c>
      <c r="K8" s="31" t="n">
        <v>17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KRISHANA</t>
        </is>
      </c>
      <c r="E9" s="31" t="inlineStr">
        <is>
          <t>Krishana Phoschem Ltd</t>
        </is>
      </c>
      <c r="F9" s="31" t="inlineStr">
        <is>
          <t>Fertilisers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22</v>
      </c>
      <c r="K9" s="31" t="n">
        <v>27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KENNAMET</t>
        </is>
      </c>
      <c r="E10" s="31" t="inlineStr">
        <is>
          <t>Kennametal India Ltd</t>
        </is>
      </c>
      <c r="F10" s="31" t="inlineStr">
        <is>
          <t>Castings, Forgings &amp; Fastners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32</v>
      </c>
      <c r="K10" s="31" t="n">
        <v>19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PVP</t>
        </is>
      </c>
      <c r="E11" s="31" t="inlineStr">
        <is>
          <t>Pvp Ventures Limited</t>
        </is>
      </c>
      <c r="F11" s="31" t="inlineStr">
        <is>
          <t>Realty - Construction &amp; Contracting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22</v>
      </c>
      <c r="K11" s="31" t="n">
        <v>13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VADILALIND</t>
        </is>
      </c>
      <c r="E12" s="31" t="inlineStr">
        <is>
          <t>Vadilal Industries Limited</t>
        </is>
      </c>
      <c r="F12" s="31" t="inlineStr">
        <is>
          <t>FMCG - Dairy Products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21</v>
      </c>
      <c r="K12" s="31" t="n">
        <v>30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PRICOLLTD</t>
        </is>
      </c>
      <c r="E13" s="31" t="inlineStr">
        <is>
          <t>Pricol Ltd.</t>
        </is>
      </c>
      <c r="F13" s="31" t="inlineStr">
        <is>
          <t>Auto Ancillaries - 2 Wheelers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21</v>
      </c>
      <c r="K13" s="31" t="n">
        <v>28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RPTECH</t>
        </is>
      </c>
      <c r="E14" s="31" t="inlineStr">
        <is>
          <t>Rashi Peripherals Ltd</t>
        </is>
      </c>
      <c r="F14" s="31" t="inlineStr">
        <is>
          <t>Trading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22</v>
      </c>
      <c r="K14" s="31" t="n">
        <v>28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PGIL</t>
        </is>
      </c>
      <c r="E15" s="31" t="inlineStr">
        <is>
          <t>Pearl Global Industries Limited</t>
        </is>
      </c>
      <c r="F15" s="31" t="inlineStr">
        <is>
          <t>Textiles - Readymade Apparel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21</v>
      </c>
      <c r="K15" s="31" t="n">
        <v>27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PARAS</t>
        </is>
      </c>
      <c r="E16" s="31" t="inlineStr">
        <is>
          <t>Paras Defence and Space Technologies Ltd</t>
        </is>
      </c>
      <c r="F16" s="31" t="inlineStr">
        <is>
          <t>Aerospace &amp; Defence - Equipments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23</v>
      </c>
      <c r="K16" s="31" t="n">
        <v>21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MODISONLTD</t>
        </is>
      </c>
      <c r="E17" s="31" t="inlineStr">
        <is>
          <t>Modison Ltd</t>
        </is>
      </c>
      <c r="F17" s="31" t="inlineStr">
        <is>
          <t>Capital Goods - Electric General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27</v>
      </c>
      <c r="K17" s="31" t="n">
        <v>14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INDOBORAX</t>
        </is>
      </c>
      <c r="E18" s="31" t="inlineStr">
        <is>
          <t>Indo Borax &amp; Chemicals Ltd</t>
        </is>
      </c>
      <c r="F18" s="31" t="inlineStr">
        <is>
          <t>Chemicals - Inorganic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24</v>
      </c>
      <c r="K18" s="31" t="n">
        <v>13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AURUM</t>
        </is>
      </c>
      <c r="E19" s="31" t="inlineStr">
        <is>
          <t>Aurum Proptech Ltd</t>
        </is>
      </c>
      <c r="F19" s="31" t="inlineStr">
        <is>
          <t>IT Enabled Services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20</v>
      </c>
      <c r="K19" s="31" t="n">
        <v>14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TFCILTD</t>
        </is>
      </c>
      <c r="E20" s="31" t="inlineStr">
        <is>
          <t>Tourism Finance Corporation Of India Limited</t>
        </is>
      </c>
      <c r="F20" s="31" t="inlineStr">
        <is>
          <t>Finance - PSU Lending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25</v>
      </c>
      <c r="K20" s="31" t="n">
        <v>28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INNOVACAP</t>
        </is>
      </c>
      <c r="E21" s="31" t="inlineStr">
        <is>
          <t>Innova Captab Ltd</t>
        </is>
      </c>
      <c r="F21" s="31" t="inlineStr">
        <is>
          <t>Pharma - API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20</v>
      </c>
      <c r="K21" s="31" t="n">
        <v>16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WELINV</t>
        </is>
      </c>
      <c r="E22" s="31" t="inlineStr">
        <is>
          <t>Welspun Investments And Commercials Limited</t>
        </is>
      </c>
      <c r="F22" s="31" t="inlineStr">
        <is>
          <t>Finance - Investment/Others</t>
        </is>
      </c>
      <c r="G22" s="31" t="n">
        <v>2</v>
      </c>
      <c r="H22" s="31" t="inlineStr">
        <is>
          <t>52W Breakout</t>
        </is>
      </c>
      <c r="I22" s="31" t="inlineStr">
        <is>
          <t>Yes</t>
        </is>
      </c>
      <c r="J22" s="31" t="n">
        <v>1</v>
      </c>
      <c r="K22" s="31" t="n">
        <v>11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MARKSANS</t>
        </is>
      </c>
      <c r="E23" s="31" t="inlineStr">
        <is>
          <t>Marksans Pharma Limited</t>
        </is>
      </c>
      <c r="F23" s="31" t="inlineStr">
        <is>
          <t>Pharma - Formulators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27</v>
      </c>
      <c r="K23" s="31" t="n">
        <v>21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MANORAMA</t>
        </is>
      </c>
      <c r="E24" s="31" t="inlineStr">
        <is>
          <t>Manorama Industries Ltd</t>
        </is>
      </c>
      <c r="F24" s="31" t="inlineStr">
        <is>
          <t>FMCG - Chocolate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21</v>
      </c>
      <c r="K24" s="31" t="n">
        <v>20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MOREPENLAB</t>
        </is>
      </c>
      <c r="E25" s="31" t="inlineStr">
        <is>
          <t>Morepen Laboratories Limited</t>
        </is>
      </c>
      <c r="F25" s="31" t="inlineStr">
        <is>
          <t>Pharma - API &amp; CRAMS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26</v>
      </c>
      <c r="K25" s="31" t="n">
        <v>20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KINGFA</t>
        </is>
      </c>
      <c r="E26" s="31" t="inlineStr">
        <is>
          <t>Kingfa Science &amp; Technology (india) Limited</t>
        </is>
      </c>
      <c r="F26" s="31" t="inlineStr">
        <is>
          <t>Plastics - Plastic &amp; Plastic Products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23</v>
      </c>
      <c r="K26" s="31" t="n">
        <v>16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HONASA</t>
        </is>
      </c>
      <c r="E27" s="31" t="inlineStr">
        <is>
          <t>Honasa Consumer Ltd</t>
        </is>
      </c>
      <c r="F27" s="31" t="inlineStr">
        <is>
          <t>New age - Platform - E-Retail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25</v>
      </c>
      <c r="K27" s="31" t="n">
        <v>23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GAYAPROJ</t>
        </is>
      </c>
      <c r="E28" s="31" t="inlineStr">
        <is>
          <t>Gayatri Projects Limited</t>
        </is>
      </c>
      <c r="F28" s="31" t="inlineStr">
        <is>
          <t>Construction - Civil/Turnkey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26</v>
      </c>
      <c r="K28" s="31" t="n">
        <v>6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FCL</t>
        </is>
      </c>
      <c r="E29" s="31" t="inlineStr">
        <is>
          <t>Fineotex Chemical Limited</t>
        </is>
      </c>
      <c r="F29" s="31" t="inlineStr">
        <is>
          <t>Speciality Chemicals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23</v>
      </c>
      <c r="K29" s="31" t="n">
        <v>17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UNIPARTS</t>
        </is>
      </c>
      <c r="E30" s="31" t="inlineStr">
        <is>
          <t>Uniparts India Ltd</t>
        </is>
      </c>
      <c r="F30" s="31" t="inlineStr">
        <is>
          <t>Castings, Forgings &amp; Fastners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21</v>
      </c>
      <c r="K30" s="31" t="n">
        <v>29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IRISDOREME</t>
        </is>
      </c>
      <c r="E31" s="31" t="inlineStr">
        <is>
          <t>Iris Clothings Ltd</t>
        </is>
      </c>
      <c r="F31" s="31" t="inlineStr">
        <is>
          <t>Textiles - Readymade Apparel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21</v>
      </c>
      <c r="K31" s="31" t="n">
        <v>30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ADOR</t>
        </is>
      </c>
      <c r="E32" s="31" t="inlineStr">
        <is>
          <t>Ador Welding Ltd</t>
        </is>
      </c>
      <c r="F32" s="31" t="inlineStr">
        <is>
          <t>Welding Equipments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20</v>
      </c>
      <c r="K32" s="31" t="n">
        <v>30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SHANTIGOLD</t>
        </is>
      </c>
      <c r="E33" s="31" t="inlineStr">
        <is>
          <t>Shanti Gold International Ltd</t>
        </is>
      </c>
      <c r="F33" s="31" t="inlineStr">
        <is>
          <t>unknown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0</v>
      </c>
      <c r="K33" s="31" t="n">
        <v>11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INDSWFTLAB</t>
        </is>
      </c>
      <c r="E34" s="31" t="inlineStr">
        <is>
          <t>Ind-swift Laboratories Limited</t>
        </is>
      </c>
      <c r="F34" s="31" t="inlineStr">
        <is>
          <t>Pharma - API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25</v>
      </c>
      <c r="K34" s="31" t="n">
        <v>27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ENTERO</t>
        </is>
      </c>
      <c r="E35" s="31" t="inlineStr">
        <is>
          <t>Entero Healthcare Solutions Ltd</t>
        </is>
      </c>
      <c r="F35" s="31" t="inlineStr">
        <is>
          <t>Pharmacy Distribution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28</v>
      </c>
      <c r="K35" s="31" t="n">
        <v>22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IPCALAB</t>
        </is>
      </c>
      <c r="E36" s="31" t="inlineStr">
        <is>
          <t>Ipca Laboratories Limited</t>
        </is>
      </c>
      <c r="F36" s="31" t="inlineStr">
        <is>
          <t>Pharma - Formulators</t>
        </is>
      </c>
      <c r="G36" s="31" t="n">
        <v>2</v>
      </c>
      <c r="H36" s="31" t="inlineStr">
        <is>
          <t>52W Breakout</t>
        </is>
      </c>
      <c r="I36" s="31" t="inlineStr">
        <is>
          <t>Yes</t>
        </is>
      </c>
      <c r="J36" s="31" t="n">
        <v>19</v>
      </c>
      <c r="K36" s="31" t="n">
        <v>16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AVALON</t>
        </is>
      </c>
      <c r="E37" s="31" t="inlineStr">
        <is>
          <t>Avalon Technologies Ltd</t>
        </is>
      </c>
      <c r="F37" s="31" t="inlineStr">
        <is>
          <t>Consumer Electronics - EMS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21</v>
      </c>
      <c r="K37" s="31" t="n">
        <v>21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SKYGOLD</t>
        </is>
      </c>
      <c r="E38" s="31" t="inlineStr">
        <is>
          <t>Sky Gold Ltd</t>
        </is>
      </c>
      <c r="F38" s="31" t="inlineStr">
        <is>
          <t>Diamond, Gems &amp; Jewellery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27</v>
      </c>
      <c r="K38" s="31" t="n">
        <v>27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AUBANK</t>
        </is>
      </c>
      <c r="E39" s="31" t="inlineStr">
        <is>
          <t>AU Small Finance Bank Ltd</t>
        </is>
      </c>
      <c r="F39" s="31" t="inlineStr">
        <is>
          <t>Banks - Small Finance</t>
        </is>
      </c>
      <c r="G39" s="31" t="n">
        <v>2</v>
      </c>
      <c r="H39" s="31" t="inlineStr">
        <is>
          <t>52W Breakout</t>
        </is>
      </c>
      <c r="I39" s="31" t="inlineStr">
        <is>
          <t>Yes</t>
        </is>
      </c>
      <c r="J39" s="31" t="n">
        <v>15</v>
      </c>
      <c r="K39" s="31" t="n">
        <v>21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DIVGIITTS</t>
        </is>
      </c>
      <c r="E40" s="31" t="inlineStr">
        <is>
          <t>Divgi Torqtransfer Systems Ltd</t>
        </is>
      </c>
      <c r="F40" s="31" t="inlineStr">
        <is>
          <t>Auto Ancillaries - Transmission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23</v>
      </c>
      <c r="K40" s="31" t="n">
        <v>27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DPABHUSHAN</t>
        </is>
      </c>
      <c r="E41" s="31" t="inlineStr">
        <is>
          <t>D.P. Abhushan Ltd</t>
        </is>
      </c>
      <c r="F41" s="31" t="inlineStr">
        <is>
          <t>Diamond, Gems &amp; Jewellery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22</v>
      </c>
      <c r="K41" s="31" t="n">
        <v>20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WELSPUNLIV</t>
        </is>
      </c>
      <c r="E42" s="31" t="inlineStr">
        <is>
          <t>Welspun Living Ltd</t>
        </is>
      </c>
      <c r="F42" s="31" t="inlineStr">
        <is>
          <t>Textiles - Home Textile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21</v>
      </c>
      <c r="K42" s="31" t="n">
        <v>13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KABRAEXTRU</t>
        </is>
      </c>
      <c r="E43" s="31" t="inlineStr">
        <is>
          <t>Kabra Extrusion Technik Limited</t>
        </is>
      </c>
      <c r="F43" s="31" t="inlineStr">
        <is>
          <t>Capital Goods - Engineering Heavy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23</v>
      </c>
      <c r="K43" s="31" t="n">
        <v>27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UNIVCABLES</t>
        </is>
      </c>
      <c r="E44" s="31" t="inlineStr">
        <is>
          <t>Universal Cables Limited</t>
        </is>
      </c>
      <c r="F44" s="31" t="inlineStr">
        <is>
          <t>Cables - Power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21</v>
      </c>
      <c r="K44" s="31" t="n">
        <v>22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PANACHE</t>
        </is>
      </c>
      <c r="E45" s="31" t="inlineStr">
        <is>
          <t>Panache Digilife Ltd</t>
        </is>
      </c>
      <c r="F45" s="31" t="inlineStr">
        <is>
          <t>Computer - Hardware</t>
        </is>
      </c>
      <c r="G45" s="31" t="n">
        <v>2</v>
      </c>
      <c r="H45" s="31" t="inlineStr">
        <is>
          <t>52W Breakout</t>
        </is>
      </c>
      <c r="I45" s="31" t="inlineStr">
        <is>
          <t>Yes</t>
        </is>
      </c>
      <c r="J45" s="31" t="n">
        <v>2</v>
      </c>
      <c r="K45" s="31" t="n">
        <v>25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CUPID</t>
        </is>
      </c>
      <c r="E46" s="31" t="inlineStr">
        <is>
          <t>Cupid Limited</t>
        </is>
      </c>
      <c r="F46" s="31" t="inlineStr">
        <is>
          <t>Contraceptives/Protectives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23</v>
      </c>
      <c r="K46" s="31" t="n">
        <v>30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SOMANYCERA</t>
        </is>
      </c>
      <c r="E47" s="31" t="inlineStr">
        <is>
          <t>Somany Ceramics Limited</t>
        </is>
      </c>
      <c r="F47" s="31" t="inlineStr">
        <is>
          <t>Ceramics/Tiles/Sanitaryware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21</v>
      </c>
      <c r="K47" s="31" t="n">
        <v>7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GALAXYSURF</t>
        </is>
      </c>
      <c r="E48" s="31" t="inlineStr">
        <is>
          <t>Galaxy Surfactants Ltd</t>
        </is>
      </c>
      <c r="F48" s="31" t="inlineStr">
        <is>
          <t>Speciality Chemicals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23</v>
      </c>
      <c r="K48" s="31" t="n">
        <v>8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RPEL</t>
        </is>
      </c>
      <c r="E49" s="31" t="inlineStr">
        <is>
          <t>Raghav Productivity Enhancers Ltd</t>
        </is>
      </c>
      <c r="F49" s="31" t="inlineStr">
        <is>
          <t>Steel Products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22</v>
      </c>
      <c r="K49" s="31" t="n">
        <v>21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ARVSMART</t>
        </is>
      </c>
      <c r="E50" s="31" t="inlineStr">
        <is>
          <t>Arvind Smartspaces Limited</t>
        </is>
      </c>
      <c r="F50" s="31" t="inlineStr">
        <is>
          <t>Realty - Construction &amp; Contracting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20</v>
      </c>
      <c r="K50" s="31" t="n">
        <v>12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RATEGAIN</t>
        </is>
      </c>
      <c r="E51" s="31" t="inlineStr">
        <is>
          <t>Rategain Travel Technologies Ltd</t>
        </is>
      </c>
      <c r="F51" s="31" t="inlineStr">
        <is>
          <t>IT Product Companies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22</v>
      </c>
      <c r="K51" s="31" t="n">
        <v>15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FINCABLES</t>
        </is>
      </c>
      <c r="E52" s="31" t="inlineStr">
        <is>
          <t>Finolex Cables Limited</t>
        </is>
      </c>
      <c r="F52" s="31" t="inlineStr">
        <is>
          <t>Cables - Telecom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22</v>
      </c>
      <c r="K52" s="31" t="n">
        <v>16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INDOTECH</t>
        </is>
      </c>
      <c r="E53" s="31" t="inlineStr">
        <is>
          <t>Indo Tech Transformers Limited</t>
        </is>
      </c>
      <c r="F53" s="31" t="inlineStr">
        <is>
          <t>Capital Goods - Transformers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23</v>
      </c>
      <c r="K53" s="31" t="n">
        <v>29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KMEW</t>
        </is>
      </c>
      <c r="E54" s="31" t="inlineStr">
        <is>
          <t>Knowledge Marine &amp; Engineering Works Ltd</t>
        </is>
      </c>
      <c r="F54" s="31" t="inlineStr">
        <is>
          <t>Shipping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21</v>
      </c>
      <c r="K54" s="31" t="n">
        <v>29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JGCHEM</t>
        </is>
      </c>
      <c r="E55" s="31" t="inlineStr">
        <is>
          <t>J.G.Chemicals Ltd</t>
        </is>
      </c>
      <c r="F55" s="31" t="inlineStr">
        <is>
          <t>Chemicals - Inorganic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23</v>
      </c>
      <c r="K55" s="31" t="n">
        <v>25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NETWEB</t>
        </is>
      </c>
      <c r="E56" s="31" t="inlineStr">
        <is>
          <t>Netweb Technologies India Ltd</t>
        </is>
      </c>
      <c r="F56" s="31" t="inlineStr">
        <is>
          <t>Data Centre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20</v>
      </c>
      <c r="K56" s="31" t="n">
        <v>19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GHCLTEXTIL</t>
        </is>
      </c>
      <c r="E57" s="31" t="inlineStr">
        <is>
          <t>GHCL Textiles Ltd</t>
        </is>
      </c>
      <c r="F57" s="31" t="inlineStr">
        <is>
          <t>Textiles - General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20</v>
      </c>
      <c r="K57" s="31" t="n">
        <v>26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AETHER</t>
        </is>
      </c>
      <c r="E58" s="31" t="inlineStr">
        <is>
          <t>Aether Industries Ltd</t>
        </is>
      </c>
      <c r="F58" s="31" t="inlineStr">
        <is>
          <t>Speciality Chemicals</t>
        </is>
      </c>
      <c r="G58" s="31" t="n">
        <v>2</v>
      </c>
      <c r="H58" s="31" t="inlineStr">
        <is>
          <t>52W Breakout</t>
        </is>
      </c>
      <c r="I58" s="31" t="inlineStr">
        <is>
          <t>Yes</t>
        </is>
      </c>
      <c r="J58" s="31" t="n">
        <v>18</v>
      </c>
      <c r="K58" s="31" t="n">
        <v>30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UFBL</t>
        </is>
      </c>
      <c r="E59" s="31" t="inlineStr">
        <is>
          <t>United Foodbrands Ltd</t>
        </is>
      </c>
      <c r="F59" s="31" t="inlineStr">
        <is>
          <t>Quick Service Restaurant - QSR</t>
        </is>
      </c>
      <c r="G59" s="31" t="n">
        <v>2</v>
      </c>
      <c r="H59" s="31" t="inlineStr">
        <is>
          <t>52W Breakout</t>
        </is>
      </c>
      <c r="I59" s="31" t="inlineStr">
        <is>
          <t>Yes</t>
        </is>
      </c>
      <c r="J59" s="31" t="n">
        <v>18</v>
      </c>
      <c r="K59" s="31" t="n">
        <v>24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TCPLPACK</t>
        </is>
      </c>
      <c r="E60" s="31" t="inlineStr">
        <is>
          <t>TCPL Packaging Ltd</t>
        </is>
      </c>
      <c r="F60" s="31" t="inlineStr">
        <is>
          <t>Packaging - FMCG/Consumers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19</v>
      </c>
      <c r="K60" s="31" t="n">
        <v>20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AVTNPL</t>
        </is>
      </c>
      <c r="E61" s="31" t="inlineStr">
        <is>
          <t>Avt Natural Products Limited</t>
        </is>
      </c>
      <c r="F61" s="31" t="inlineStr">
        <is>
          <t>Agricultural Processing - Maize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24</v>
      </c>
      <c r="K61" s="31" t="n">
        <v>11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HNDFDS</t>
        </is>
      </c>
      <c r="E62" s="31" t="inlineStr">
        <is>
          <t>Hindustan Foods Ltd</t>
        </is>
      </c>
      <c r="F62" s="31" t="inlineStr">
        <is>
          <t>FMCG - Contract Mfg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19</v>
      </c>
      <c r="K62" s="31" t="n">
        <v>27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AEROENTER</t>
        </is>
      </c>
      <c r="E63" s="31" t="inlineStr">
        <is>
          <t>Aeroflex Enterprises Ltd</t>
        </is>
      </c>
      <c r="F63" s="31" t="inlineStr">
        <is>
          <t>Miscellaneous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20</v>
      </c>
      <c r="K63" s="31" t="n">
        <v>16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THELEELA</t>
        </is>
      </c>
      <c r="E64" s="31" t="inlineStr">
        <is>
          <t>Leela Palaces Hotels &amp; Resorts Ltd</t>
        </is>
      </c>
      <c r="F64" s="31" t="inlineStr">
        <is>
          <t>Hotels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22</v>
      </c>
      <c r="K64" s="31" t="n">
        <v>24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LAURUSLABS</t>
        </is>
      </c>
      <c r="E65" s="31" t="inlineStr">
        <is>
          <t>Laurus Labs Limited</t>
        </is>
      </c>
      <c r="F65" s="31" t="inlineStr">
        <is>
          <t>unknown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0</v>
      </c>
      <c r="K65" s="31" t="n">
        <v>30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KANPRPLA</t>
        </is>
      </c>
      <c r="E66" s="31" t="inlineStr">
        <is>
          <t>Kanpur Plastipack Ltd</t>
        </is>
      </c>
      <c r="F66" s="31" t="inlineStr">
        <is>
          <t>Packaging - Polysacks</t>
        </is>
      </c>
      <c r="G66" s="31" t="n">
        <v>2</v>
      </c>
      <c r="H66" s="31" t="inlineStr">
        <is>
          <t>52W Breakout</t>
        </is>
      </c>
      <c r="I66" s="31" t="inlineStr">
        <is>
          <t>Yes</t>
        </is>
      </c>
      <c r="J66" s="31" t="n">
        <v>4</v>
      </c>
      <c r="K66" s="31" t="n">
        <v>15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NEULANDLAB</t>
        </is>
      </c>
      <c r="E67" s="31" t="inlineStr">
        <is>
          <t>Neuland Laboratories Limited</t>
        </is>
      </c>
      <c r="F67" s="31" t="inlineStr">
        <is>
          <t>Pharma - API &amp; CRAMS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22</v>
      </c>
      <c r="K67" s="31" t="n">
        <v>27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YASHO</t>
        </is>
      </c>
      <c r="E68" s="31" t="inlineStr">
        <is>
          <t>Yasho Industries Ltd</t>
        </is>
      </c>
      <c r="F68" s="31" t="inlineStr">
        <is>
          <t>Speciality Chemicals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21</v>
      </c>
      <c r="K68" s="31" t="n">
        <v>30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PAYTM</t>
        </is>
      </c>
      <c r="E69" s="31" t="inlineStr">
        <is>
          <t>One 97 Communications Ltd</t>
        </is>
      </c>
      <c r="F69" s="31" t="inlineStr">
        <is>
          <t>E-Commerce - Platform - Utility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19</v>
      </c>
      <c r="K69" s="31" t="n">
        <v>28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BODALCHEM</t>
        </is>
      </c>
      <c r="E70" s="31" t="inlineStr">
        <is>
          <t>Bodal Chemicals Limited</t>
        </is>
      </c>
      <c r="F70" s="31" t="inlineStr">
        <is>
          <t>Dyes &amp; Pigments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21</v>
      </c>
      <c r="K70" s="31" t="n">
        <v>15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MACPOWER</t>
        </is>
      </c>
      <c r="E71" s="31" t="inlineStr">
        <is>
          <t>Macpower CNC Machines Ltd</t>
        </is>
      </c>
      <c r="F71" s="31" t="inlineStr">
        <is>
          <t>CNC - Machines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22</v>
      </c>
      <c r="K71" s="31" t="n">
        <v>28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SETL</t>
        </is>
      </c>
      <c r="E72" s="31" t="inlineStr">
        <is>
          <t>Standard Enginnering Technology Ltd</t>
        </is>
      </c>
      <c r="F72" s="31" t="inlineStr">
        <is>
          <t>Engineering - Heavy - Glass - lined Equipment</t>
        </is>
      </c>
      <c r="G72" s="31" t="n">
        <v>2</v>
      </c>
      <c r="H72" s="31" t="inlineStr">
        <is>
          <t>52W Breakout</t>
        </is>
      </c>
      <c r="I72" s="31" t="inlineStr">
        <is>
          <t>Yes</t>
        </is>
      </c>
      <c r="J72" s="31" t="n">
        <v>16</v>
      </c>
      <c r="K72" s="31" t="n">
        <v>30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WELENT</t>
        </is>
      </c>
      <c r="E73" s="31" t="inlineStr">
        <is>
          <t>Welspun Enterprises Limited</t>
        </is>
      </c>
      <c r="F73" s="31" t="inlineStr">
        <is>
          <t>Water Treatment</t>
        </is>
      </c>
      <c r="G73" s="31" t="n">
        <v>2</v>
      </c>
      <c r="H73" s="31" t="inlineStr">
        <is>
          <t>52W Breakout</t>
        </is>
      </c>
      <c r="I73" s="31" t="inlineStr">
        <is>
          <t>Yes</t>
        </is>
      </c>
      <c r="J73" s="31" t="n">
        <v>18</v>
      </c>
      <c r="K73" s="31" t="n">
        <v>12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SHRIPISTON</t>
        </is>
      </c>
      <c r="E74" s="31" t="inlineStr">
        <is>
          <t>Shriram Pistons &amp; Rings Limited</t>
        </is>
      </c>
      <c r="F74" s="31" t="inlineStr">
        <is>
          <t>Auto Ancillaries - Engine Parts</t>
        </is>
      </c>
      <c r="G74" s="31" t="n">
        <v>2</v>
      </c>
      <c r="H74" s="31" t="inlineStr">
        <is>
          <t>52W Breakout</t>
        </is>
      </c>
      <c r="I74" s="31" t="inlineStr">
        <is>
          <t>Yes</t>
        </is>
      </c>
      <c r="J74" s="31" t="n">
        <v>14</v>
      </c>
      <c r="K74" s="31" t="n">
        <v>28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RRKABEL</t>
        </is>
      </c>
      <c r="E75" s="31" t="inlineStr">
        <is>
          <t>R R Kabel Ltd</t>
        </is>
      </c>
      <c r="F75" s="31" t="inlineStr">
        <is>
          <t>unknown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0</v>
      </c>
      <c r="K75" s="31" t="n">
        <v>29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AARTIPHARM</t>
        </is>
      </c>
      <c r="E76" s="31" t="inlineStr">
        <is>
          <t>Aarti Pharmalabs Ltd</t>
        </is>
      </c>
      <c r="F76" s="31" t="inlineStr">
        <is>
          <t>Pharma - API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19</v>
      </c>
      <c r="K76" s="31" t="n">
        <v>11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STLTECH</t>
        </is>
      </c>
      <c r="E77" s="31" t="inlineStr">
        <is>
          <t>Sterlite Technologies Limited</t>
        </is>
      </c>
      <c r="F77" s="31" t="inlineStr">
        <is>
          <t>Cables - Telecom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25</v>
      </c>
      <c r="K77" s="31" t="n">
        <v>20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MMP</t>
        </is>
      </c>
      <c r="E78" s="31" t="inlineStr">
        <is>
          <t>MMP Industries Ltd</t>
        </is>
      </c>
      <c r="F78" s="31" t="inlineStr">
        <is>
          <t>Aluminium Products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24</v>
      </c>
      <c r="K78" s="31" t="n">
        <v>22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MANINDS</t>
        </is>
      </c>
      <c r="E79" s="31" t="inlineStr">
        <is>
          <t>Man Industries (india) Limited</t>
        </is>
      </c>
      <c r="F79" s="31" t="inlineStr">
        <is>
          <t>Steel - Tubes/Pipes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24</v>
      </c>
      <c r="K79" s="31" t="n">
        <v>13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MAXESTATES</t>
        </is>
      </c>
      <c r="E80" s="31" t="inlineStr">
        <is>
          <t>Max Estates Ltd</t>
        </is>
      </c>
      <c r="F80" s="31" t="inlineStr">
        <is>
          <t>Realty - Regional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19</v>
      </c>
      <c r="K80" s="31" t="n">
        <v>9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SAMBHV</t>
        </is>
      </c>
      <c r="E81" s="31" t="inlineStr">
        <is>
          <t>Sambhv Steel Tubes Ltd</t>
        </is>
      </c>
      <c r="F81" s="31" t="inlineStr">
        <is>
          <t>Steel - Tubes/Pipes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20</v>
      </c>
      <c r="K81" s="31" t="n">
        <v>12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GLAXO</t>
        </is>
      </c>
      <c r="E82" s="31" t="inlineStr">
        <is>
          <t>Glaxosmithkline Pharmaceuticals Limited</t>
        </is>
      </c>
      <c r="F82" s="31" t="inlineStr">
        <is>
          <t>Pharma - MNC bulk Drugs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24</v>
      </c>
      <c r="K82" s="31" t="n">
        <v>19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YATHARTH</t>
        </is>
      </c>
      <c r="E83" s="31" t="inlineStr">
        <is>
          <t>Yatharth Hospital &amp; Trauma Care Services Ltd</t>
        </is>
      </c>
      <c r="F83" s="31" t="inlineStr">
        <is>
          <t>Hospitals</t>
        </is>
      </c>
      <c r="G83" s="31" t="n">
        <v>2</v>
      </c>
      <c r="H83" s="31" t="inlineStr">
        <is>
          <t>52W Breakout</t>
        </is>
      </c>
      <c r="I83" s="31" t="inlineStr">
        <is>
          <t>Yes</t>
        </is>
      </c>
      <c r="J83" s="31" t="n">
        <v>12</v>
      </c>
      <c r="K83" s="31" t="n">
        <v>11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CHENNPETRO</t>
        </is>
      </c>
      <c r="E84" s="31" t="inlineStr">
        <is>
          <t>Chennai Petroleum Corporation Limited</t>
        </is>
      </c>
      <c r="F84" s="31" t="inlineStr">
        <is>
          <t>Refineries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27</v>
      </c>
      <c r="K84" s="31" t="n">
        <v>23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PITTIENG</t>
        </is>
      </c>
      <c r="E85" s="31" t="inlineStr">
        <is>
          <t>Pitti Engineering Ltd</t>
        </is>
      </c>
      <c r="F85" s="31" t="inlineStr">
        <is>
          <t>unknown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0</v>
      </c>
      <c r="K85" s="31" t="n">
        <v>13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EMIL</t>
        </is>
      </c>
      <c r="E86" s="31" t="inlineStr">
        <is>
          <t>Electronics Mart India Ltd</t>
        </is>
      </c>
      <c r="F86" s="31" t="inlineStr">
        <is>
          <t>Retail - Electronics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25</v>
      </c>
      <c r="K86" s="31" t="n">
        <v>14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GAEL</t>
        </is>
      </c>
      <c r="E87" s="31" t="inlineStr">
        <is>
          <t>Gujarat Ambuja Exports Limited</t>
        </is>
      </c>
      <c r="F87" s="31" t="inlineStr">
        <is>
          <t>Agricultural Processing - Maize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20</v>
      </c>
      <c r="K87" s="31" t="n">
        <v>21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UFLEX</t>
        </is>
      </c>
      <c r="E88" s="31" t="inlineStr">
        <is>
          <t>Uflex Limited</t>
        </is>
      </c>
      <c r="F88" s="31" t="inlineStr">
        <is>
          <t>Packaging - BOPP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29</v>
      </c>
      <c r="K88" s="31" t="n">
        <v>14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TIIL</t>
        </is>
      </c>
      <c r="E89" s="31" t="inlineStr">
        <is>
          <t>Technocraft Industries (india) Limited</t>
        </is>
      </c>
      <c r="F89" s="31" t="inlineStr">
        <is>
          <t>Scaffolding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22</v>
      </c>
      <c r="K89" s="31" t="n">
        <v>11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GNFC</t>
        </is>
      </c>
      <c r="E90" s="31" t="inlineStr">
        <is>
          <t>Gujarat Narmada Valley Fertilizers And Chemicals Limited</t>
        </is>
      </c>
      <c r="F90" s="31" t="inlineStr">
        <is>
          <t>Fertilisers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21</v>
      </c>
      <c r="K90" s="31" t="n">
        <v>19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DOLPHIN</t>
        </is>
      </c>
      <c r="E91" s="31" t="inlineStr">
        <is>
          <t>Dolphin Offshore Enterprises (India) Ltd</t>
        </is>
      </c>
      <c r="F91" s="31" t="inlineStr">
        <is>
          <t>Oil Drilling &amp; Exploration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25</v>
      </c>
      <c r="K91" s="31" t="n">
        <v>16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TNPETRO</t>
        </is>
      </c>
      <c r="E92" s="31" t="inlineStr">
        <is>
          <t>Tamilnadu Petroproducts Limited</t>
        </is>
      </c>
      <c r="F92" s="31" t="inlineStr">
        <is>
          <t>Petrochem - Others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22</v>
      </c>
      <c r="K92" s="31" t="n">
        <v>9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LUMAXTECH</t>
        </is>
      </c>
      <c r="E93" s="31" t="inlineStr">
        <is>
          <t>Lumax Auto Technologies Limited</t>
        </is>
      </c>
      <c r="F93" s="31" t="inlineStr">
        <is>
          <t>Auto Ancillaries - Diversified</t>
        </is>
      </c>
      <c r="G93" s="31" t="n">
        <v>2</v>
      </c>
      <c r="H93" s="31" t="inlineStr">
        <is>
          <t>No</t>
        </is>
      </c>
      <c r="I93" s="31" t="inlineStr">
        <is>
          <t>Yes</t>
        </is>
      </c>
      <c r="J93" s="31" t="n">
        <v>22</v>
      </c>
      <c r="K93" s="31" t="n">
        <v>17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ASIANENE</t>
        </is>
      </c>
      <c r="E94" s="31" t="inlineStr">
        <is>
          <t>Asian Energy Services Ltd</t>
        </is>
      </c>
      <c r="F94" s="31" t="inlineStr">
        <is>
          <t>Oil Drilling &amp; Exploration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20</v>
      </c>
      <c r="K94" s="31" t="n">
        <v>22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RATNAVEER</t>
        </is>
      </c>
      <c r="E95" s="31" t="inlineStr">
        <is>
          <t>Ratnaveer Precision Engineering Ltd</t>
        </is>
      </c>
      <c r="F95" s="31" t="inlineStr">
        <is>
          <t>Stainless Steel</t>
        </is>
      </c>
      <c r="G95" s="31" t="n">
        <v>2</v>
      </c>
      <c r="H95" s="31" t="inlineStr">
        <is>
          <t>No</t>
        </is>
      </c>
      <c r="I95" s="31" t="inlineStr">
        <is>
          <t>Yes</t>
        </is>
      </c>
      <c r="J95" s="31" t="n">
        <v>21</v>
      </c>
      <c r="K95" s="31" t="n">
        <v>22</v>
      </c>
    </row>
    <row r="96">
      <c r="A96" s="31">
        <f>IF(B96=0,"",ROW()-1)</f>
        <v/>
      </c>
      <c r="B96" s="32">
        <f>IFERROR(INDEX('Monit Non Financial'!$B$2:$B$400, MATCH(D96, 'Monit Non Financial'!$C$2:$C$400, 0)), IFERROR(INDEX('Monit Banks NBFC'!$B$2:$B$100, MATCH(D96, 'Monit Banks NBFC'!$C$2:$C$100, 0)), 0))</f>
        <v/>
      </c>
      <c r="C96" s="31">
        <f>IFERROR(INDEX('Monit Non Financial'!$L$2:$L$400, MATCH(D96, 'Monit Non Financial'!$C$2:$C$400, 0)), IFERROR(INDEX('Monit Banks NBFC'!$L$2:$L$100, MATCH(D96, 'Monit Banks NBFC'!$C$2:$C$100, 0)), ""))</f>
        <v/>
      </c>
      <c r="D96" s="31" t="inlineStr">
        <is>
          <t>MAHASTEEL</t>
        </is>
      </c>
      <c r="E96" s="31" t="inlineStr">
        <is>
          <t>Mahamaya Steel Industries Limited</t>
        </is>
      </c>
      <c r="F96" s="31" t="inlineStr">
        <is>
          <t>Steel - Rolling</t>
        </is>
      </c>
      <c r="G96" s="31" t="n">
        <v>2</v>
      </c>
      <c r="H96" s="31" t="inlineStr">
        <is>
          <t>52W Breakout</t>
        </is>
      </c>
      <c r="I96" s="31" t="inlineStr">
        <is>
          <t>Yes</t>
        </is>
      </c>
      <c r="J96" s="31" t="n">
        <v>14</v>
      </c>
      <c r="K96" s="31" t="n">
        <v>18</v>
      </c>
    </row>
    <row r="97">
      <c r="A97" s="31">
        <f>IF(B97=0,"",ROW()-1)</f>
        <v/>
      </c>
      <c r="B97" s="32">
        <f>IFERROR(INDEX('Monit Non Financial'!$B$2:$B$400, MATCH(D97, 'Monit Non Financial'!$C$2:$C$400, 0)), IFERROR(INDEX('Monit Banks NBFC'!$B$2:$B$100, MATCH(D97, 'Monit Banks NBFC'!$C$2:$C$100, 0)), 0))</f>
        <v/>
      </c>
      <c r="C97" s="31">
        <f>IFERROR(INDEX('Monit Non Financial'!$L$2:$L$400, MATCH(D97, 'Monit Non Financial'!$C$2:$C$400, 0)), IFERROR(INDEX('Monit Banks NBFC'!$L$2:$L$100, MATCH(D97, 'Monit Banks NBFC'!$C$2:$C$100, 0)), ""))</f>
        <v/>
      </c>
      <c r="D97" s="31" t="inlineStr">
        <is>
          <t>TVSSRICHAK</t>
        </is>
      </c>
      <c r="E97" s="31" t="inlineStr">
        <is>
          <t>Tvs Srichakra Limited</t>
        </is>
      </c>
      <c r="F97" s="31" t="inlineStr">
        <is>
          <t>Tyres &amp; Tubes</t>
        </is>
      </c>
      <c r="G97" s="31" t="n">
        <v>2</v>
      </c>
      <c r="H97" s="31" t="inlineStr">
        <is>
          <t>No</t>
        </is>
      </c>
      <c r="I97" s="31" t="inlineStr">
        <is>
          <t>Yes</t>
        </is>
      </c>
      <c r="J97" s="31" t="n">
        <v>26</v>
      </c>
      <c r="K97" s="31" t="n">
        <v>12</v>
      </c>
    </row>
  </sheetData>
  <autoFilter ref="A1:K97"/>
  <conditionalFormatting sqref="G2:G9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7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8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IF(B2=0,"",RANK(B2,$B$2:$B$389,0))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SBCL</t>
        </is>
      </c>
      <c r="D2" s="31" t="inlineStr">
        <is>
          <t>Shivalik Bimetal Controls Ltd</t>
        </is>
      </c>
      <c r="E2" s="31" t="inlineStr">
        <is>
          <t>metals &amp; mining</t>
        </is>
      </c>
      <c r="F2" s="31" t="inlineStr">
        <is>
          <t>mining / minerals / metals</t>
        </is>
      </c>
      <c r="G2" s="31" t="inlineStr">
        <is>
          <t>midcap</t>
        </is>
      </c>
      <c r="H2" s="32" t="n">
        <v>5721.54</v>
      </c>
      <c r="I2" s="32" t="n">
        <v>1002.5</v>
      </c>
      <c r="J2" s="32" t="n">
        <v>0.93</v>
      </c>
      <c r="K2" s="32" t="n">
        <v>264950</v>
      </c>
      <c r="L2" s="31" t="inlineStr"/>
      <c r="M2" s="31" t="inlineStr"/>
      <c r="N2" s="32">
        <f>IF(M2="Underperforming",-5,IF(L2&gt;=95,15,IF(L2&gt;=90,10,IF(L2&gt;=80,5,0))))</f>
        <v/>
      </c>
      <c r="O2" s="32" t="n">
        <v>74.70999999999999</v>
      </c>
      <c r="P2" s="32" t="n">
        <v>49.99</v>
      </c>
      <c r="Q2" s="32" t="inlineStr"/>
      <c r="R2" s="31" t="inlineStr">
        <is>
          <t>Earnings / Momentum Support</t>
        </is>
      </c>
      <c r="S2" s="31" t="inlineStr">
        <is>
          <t>Nifty Metal</t>
        </is>
      </c>
      <c r="T2" s="32" t="inlineStr"/>
      <c r="U2" s="32" t="inlineStr"/>
      <c r="V2" s="32" t="inlineStr"/>
      <c r="W2" s="32" t="inlineStr"/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Monopoly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Shallow Cyclical (2 to 3 Years Growth)</t>
        </is>
      </c>
      <c r="AG2" s="31">
        <f>IF(AF2="Structural (10 Years Consistency)",10,IF(AF2="Shallow Cyclical (2 to 3 years growth)",5,0))</f>
        <v/>
      </c>
      <c r="AH2" s="31" t="inlineStr">
        <is>
          <t>Yes due to Product Mix change or Operating Leverage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Fully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20 to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Yes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Between 1.5 to 2</t>
        </is>
      </c>
      <c r="BU2" s="31">
        <f>IF(BT2="Above 2",0,IF(BT2="Between 1.5 to 2",5,IF(BT2="Less than 1.5",10,0)))</f>
        <v/>
      </c>
      <c r="BV2" s="31" t="inlineStr">
        <is>
          <t>Less than 50%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IF(B3=0,"",RANK(B3,$B$2:$B$389,0))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APOLLOTYRE</t>
        </is>
      </c>
      <c r="D3" s="31" t="inlineStr">
        <is>
          <t>Apollo Tyres Limited</t>
        </is>
      </c>
      <c r="E3" s="31" t="inlineStr">
        <is>
          <t>auto</t>
        </is>
      </c>
      <c r="F3" s="31" t="inlineStr">
        <is>
          <t>tyres</t>
        </is>
      </c>
      <c r="G3" s="31" t="inlineStr">
        <is>
          <t>largecap</t>
        </is>
      </c>
      <c r="H3" s="32" t="n">
        <v>27925.39</v>
      </c>
      <c r="I3" s="32" t="n">
        <v>445.85</v>
      </c>
      <c r="J3" s="32" t="n">
        <v>1.4</v>
      </c>
      <c r="K3" s="32" t="n">
        <v>5972214</v>
      </c>
      <c r="L3" s="31" t="inlineStr"/>
      <c r="M3" s="31" t="inlineStr"/>
      <c r="N3" s="32">
        <f>IF(M3="Underperforming",-5,IF(L3&gt;=95,15,IF(L3&gt;=90,10,IF(L3&gt;=80,5,0))))</f>
        <v/>
      </c>
      <c r="O3" s="32" t="n">
        <v>52.44</v>
      </c>
      <c r="P3" s="32" t="n">
        <v>13.93</v>
      </c>
      <c r="Q3" s="32" t="inlineStr"/>
      <c r="R3" s="31" t="inlineStr">
        <is>
          <t>Earnings / Momentum Support</t>
        </is>
      </c>
      <c r="S3" s="31" t="inlineStr">
        <is>
          <t>Nifty Auto</t>
        </is>
      </c>
      <c r="T3" s="32" t="inlineStr"/>
      <c r="U3" s="32" t="inlineStr"/>
      <c r="V3" s="32" t="inlineStr"/>
      <c r="W3" s="32" t="inlineStr"/>
      <c r="X3" s="31" t="inlineStr">
        <is>
          <t>Cyclical in an Upturn</t>
        </is>
      </c>
      <c r="Y3" s="31">
        <f>IF(X3="Growing Industry",10,IF(X3="Cyclical in an Upturn",5,0))</f>
        <v/>
      </c>
      <c r="Z3" s="31" t="inlineStr">
        <is>
          <t>Oligopoly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Cyclical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Fully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Yes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Between 1.5 to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IF(B4=0,"",RANK(B4,$B$2:$B$389,0))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APOLLOPIPE</t>
        </is>
      </c>
      <c r="D4" s="31" t="inlineStr">
        <is>
          <t>Apollo Pipes Ltd</t>
        </is>
      </c>
      <c r="E4" s="31" t="inlineStr">
        <is>
          <t>plastic products</t>
        </is>
      </c>
      <c r="F4" s="31" t="inlineStr">
        <is>
          <t>plastics products</t>
        </is>
      </c>
      <c r="G4" s="31" t="inlineStr">
        <is>
          <t>smallcap</t>
        </is>
      </c>
      <c r="H4" s="32" t="n">
        <v>2649.72</v>
      </c>
      <c r="I4" s="32" t="n">
        <v>609.25</v>
      </c>
      <c r="J4" s="32" t="n">
        <v>1.28</v>
      </c>
      <c r="K4" s="32" t="n">
        <v>530555</v>
      </c>
      <c r="L4" s="31" t="inlineStr"/>
      <c r="M4" s="31" t="inlineStr"/>
      <c r="N4" s="32">
        <f>IF(M4="Underperforming",-5,IF(L4&gt;=95,15,IF(L4&gt;=90,10,IF(L4&gt;=80,5,0))))</f>
        <v/>
      </c>
      <c r="O4" s="32" t="n">
        <v>75.67</v>
      </c>
      <c r="P4" s="32" t="n">
        <v>44.52</v>
      </c>
      <c r="Q4" s="32" t="inlineStr"/>
      <c r="R4" s="31" t="inlineStr">
        <is>
          <t>Earnings / Momentum Support</t>
        </is>
      </c>
      <c r="S4" s="31" t="inlineStr">
        <is>
          <t>Nifty Infra</t>
        </is>
      </c>
      <c r="T4" s="32" t="inlineStr"/>
      <c r="U4" s="32" t="inlineStr"/>
      <c r="V4" s="32" t="inlineStr"/>
      <c r="W4" s="32" t="inlineStr"/>
      <c r="X4" s="31" t="inlineStr">
        <is>
          <t>Cyclical in an Upturn</t>
        </is>
      </c>
      <c r="Y4" s="31">
        <f>IF(X4="Growing Industry",10,IF(X4="Cyclical in an Upturn",5,0))</f>
        <v/>
      </c>
      <c r="Z4" s="31" t="inlineStr">
        <is>
          <t>Oligopoly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Cyclical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Fully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Yes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Between 1.5 to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IF(B5=0,"",RANK(B5,$B$2:$B$389,0))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APLAPOLLO</t>
        </is>
      </c>
      <c r="D5" s="31" t="inlineStr">
        <is>
          <t>Apl Apollo Tubes Limited</t>
        </is>
      </c>
      <c r="E5" s="31" t="inlineStr">
        <is>
          <t>industrials</t>
        </is>
      </c>
      <c r="F5" s="31" t="inlineStr">
        <is>
          <t>steel - large</t>
        </is>
      </c>
      <c r="G5" s="31" t="inlineStr">
        <is>
          <t>largecap</t>
        </is>
      </c>
      <c r="H5" s="32" t="n">
        <v>59391.13</v>
      </c>
      <c r="I5" s="32" t="n">
        <v>2145</v>
      </c>
      <c r="J5" s="32" t="n">
        <v>0.28</v>
      </c>
      <c r="K5" s="32" t="n">
        <v>228173</v>
      </c>
      <c r="L5" s="31" t="inlineStr"/>
      <c r="M5" s="31" t="inlineStr"/>
      <c r="N5" s="32">
        <f>IF(M5="Underperforming",-5,IF(L5&gt;=95,15,IF(L5&gt;=90,10,IF(L5&gt;=80,5,0))))</f>
        <v/>
      </c>
      <c r="O5" s="32" t="n">
        <v>64.65000000000001</v>
      </c>
      <c r="P5" s="32" t="n">
        <v>15.57</v>
      </c>
      <c r="Q5" s="32" t="inlineStr"/>
      <c r="R5" s="31" t="inlineStr">
        <is>
          <t>Earnings / Momentum Support</t>
        </is>
      </c>
      <c r="S5" s="31" t="inlineStr">
        <is>
          <t>Nifty Metal</t>
        </is>
      </c>
      <c r="T5" s="32" t="inlineStr"/>
      <c r="U5" s="32" t="inlineStr"/>
      <c r="V5" s="32" t="inlineStr"/>
      <c r="W5" s="32" t="inlineStr"/>
      <c r="X5" s="31" t="inlineStr">
        <is>
          <t>Cyclical in an Upturn</t>
        </is>
      </c>
      <c r="Y5" s="31">
        <f>IF(X5="Growing Industry",10,IF(X5="Cyclical in an Upturn",5,0))</f>
        <v/>
      </c>
      <c r="Z5" s="31" t="inlineStr">
        <is>
          <t>Oligopoly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Cyclical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Fully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Yes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Between 1.5 to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IF(B6=0,"",RANK(B6,$B$2:$B$389,0))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NAVINFLUOR</t>
        </is>
      </c>
      <c r="D6" s="31" t="inlineStr">
        <is>
          <t>Navin Fluorine International Limited</t>
        </is>
      </c>
      <c r="E6" s="31" t="inlineStr">
        <is>
          <t>chemicals</t>
        </is>
      </c>
      <c r="F6" s="31" t="inlineStr">
        <is>
          <t>chemicals</t>
        </is>
      </c>
      <c r="G6" s="31" t="inlineStr">
        <is>
          <t>largecap</t>
        </is>
      </c>
      <c r="H6" s="32" t="n">
        <v>42092.09</v>
      </c>
      <c r="I6" s="32" t="n">
        <v>8187</v>
      </c>
      <c r="J6" s="32" t="n">
        <v>-0.24</v>
      </c>
      <c r="K6" s="32" t="n">
        <v>100574</v>
      </c>
      <c r="L6" s="31" t="n">
        <v>57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74.48</v>
      </c>
      <c r="P6" s="32" t="n">
        <v>58.05</v>
      </c>
      <c r="Q6" s="32" t="inlineStr"/>
      <c r="R6" s="31" t="inlineStr">
        <is>
          <t>Earnings / Momentum Support</t>
        </is>
      </c>
      <c r="S6" s="31" t="inlineStr">
        <is>
          <t>Nifty 50</t>
        </is>
      </c>
      <c r="T6" s="32" t="n">
        <v>-2.49</v>
      </c>
      <c r="U6" s="32" t="n">
        <v>63.51</v>
      </c>
      <c r="V6" s="32" t="n">
        <v>67.67</v>
      </c>
      <c r="W6" s="32" t="n">
        <v>13.59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Oligopoly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Shallow Cyclical (2 to 3 Years Growth)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Between 50% to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IF(B7=0,"",RANK(B7,$B$2:$B$389,0))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APCOTEXIND</t>
        </is>
      </c>
      <c r="D7" s="31" t="inlineStr">
        <is>
          <t>Apcotex Industries Limited</t>
        </is>
      </c>
      <c r="E7" s="31" t="inlineStr">
        <is>
          <t>chemicals</t>
        </is>
      </c>
      <c r="F7" s="31" t="inlineStr">
        <is>
          <t>miscellaneous</t>
        </is>
      </c>
      <c r="G7" s="31" t="inlineStr">
        <is>
          <t>smallcap</t>
        </is>
      </c>
      <c r="H7" s="32" t="n">
        <v>3240.57</v>
      </c>
      <c r="I7" s="32" t="n">
        <v>618.8</v>
      </c>
      <c r="J7" s="32" t="n">
        <v>-1</v>
      </c>
      <c r="K7" s="32" t="n">
        <v>170680</v>
      </c>
      <c r="L7" s="31" t="inlineStr"/>
      <c r="M7" s="31" t="inlineStr"/>
      <c r="N7" s="32">
        <f>IF(M7="Underperforming",-5,IF(L7&gt;=95,15,IF(L7&gt;=90,10,IF(L7&gt;=80,5,0))))</f>
        <v/>
      </c>
      <c r="O7" s="32" t="n">
        <v>72.56999999999999</v>
      </c>
      <c r="P7" s="32" t="n">
        <v>64.81999999999999</v>
      </c>
      <c r="Q7" s="32" t="inlineStr"/>
      <c r="R7" s="31" t="inlineStr">
        <is>
          <t>Earnings / Momentum Support</t>
        </is>
      </c>
      <c r="S7" s="31" t="inlineStr">
        <is>
          <t>Nifty Infra</t>
        </is>
      </c>
      <c r="T7" s="32" t="inlineStr"/>
      <c r="U7" s="32" t="inlineStr"/>
      <c r="V7" s="32" t="inlineStr"/>
      <c r="W7" s="32" t="inlineStr"/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Oligopoly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Cyclical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Fully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1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Sideways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Overhead supply in last 2 years in last 2 years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Between 50% to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IF(B8=0,"",RANK(B8,$B$2:$B$389,0))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BLUSPRING</t>
        </is>
      </c>
      <c r="D8" s="31" t="inlineStr">
        <is>
          <t>Bluspring Enterprises Ltd</t>
        </is>
      </c>
      <c r="E8" s="31" t="inlineStr">
        <is>
          <t>miscellaneous</t>
        </is>
      </c>
      <c r="F8" s="31" t="inlineStr">
        <is>
          <t>diversified - large</t>
        </is>
      </c>
      <c r="G8" s="31" t="inlineStr">
        <is>
          <t>smallcap</t>
        </is>
      </c>
      <c r="H8" s="32" t="n">
        <v>1927.49</v>
      </c>
      <c r="I8" s="32" t="n">
        <v>133.01</v>
      </c>
      <c r="J8" s="32" t="n">
        <v>3.12</v>
      </c>
      <c r="K8" s="32" t="n">
        <v>2381309</v>
      </c>
      <c r="L8" s="31" t="n">
        <v>93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71.66</v>
      </c>
      <c r="P8" s="32" t="n">
        <v>62.6</v>
      </c>
      <c r="Q8" s="32" t="inlineStr"/>
      <c r="R8" s="31" t="inlineStr">
        <is>
          <t>Earnings / Momentum Support</t>
        </is>
      </c>
      <c r="S8" s="31" t="inlineStr">
        <is>
          <t>Nifty 50</t>
        </is>
      </c>
      <c r="T8" s="32" t="n">
        <v>-2.49</v>
      </c>
      <c r="U8" s="32" t="n">
        <v>58.69</v>
      </c>
      <c r="V8" s="32" t="n">
        <v>62.73</v>
      </c>
      <c r="W8" s="32" t="n">
        <v>33.8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IF(B9=0,"",RANK(B9,$B$2:$B$389,0))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CLSEL</t>
        </is>
      </c>
      <c r="D9" s="31" t="inlineStr">
        <is>
          <t>Chamanlal Setia Exports Ltd</t>
        </is>
      </c>
      <c r="E9" s="31" t="inlineStr">
        <is>
          <t>fmcg</t>
        </is>
      </c>
      <c r="F9" s="31" t="inlineStr">
        <is>
          <t>food - processing - indian</t>
        </is>
      </c>
      <c r="G9" s="31" t="inlineStr">
        <is>
          <t>smallcap</t>
        </is>
      </c>
      <c r="H9" s="32" t="n">
        <v>1433.84</v>
      </c>
      <c r="I9" s="32" t="n">
        <v>312.75</v>
      </c>
      <c r="J9" s="32" t="n">
        <v>8.460000000000001</v>
      </c>
      <c r="K9" s="32" t="n">
        <v>3204653</v>
      </c>
      <c r="L9" s="31" t="inlineStr"/>
      <c r="M9" s="31" t="inlineStr"/>
      <c r="N9" s="32">
        <f>IF(M9="Underperforming",-5,IF(L9&gt;=95,15,IF(L9&gt;=90,10,IF(L9&gt;=80,5,0))))</f>
        <v/>
      </c>
      <c r="O9" s="32" t="n">
        <v>54.01</v>
      </c>
      <c r="P9" s="32" t="n">
        <v>26.04</v>
      </c>
      <c r="Q9" s="32" t="inlineStr"/>
      <c r="R9" s="31" t="inlineStr">
        <is>
          <t>Volume Spike / Accumulation</t>
        </is>
      </c>
      <c r="S9" s="31" t="inlineStr">
        <is>
          <t>Nifty FMCG</t>
        </is>
      </c>
      <c r="T9" s="32" t="inlineStr"/>
      <c r="U9" s="32" t="inlineStr"/>
      <c r="V9" s="32" t="inlineStr"/>
      <c r="W9" s="32" t="inlineStr"/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20 to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IF(B10=0,"",RANK(B10,$B$2:$B$389,0))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VADILALIND</t>
        </is>
      </c>
      <c r="D10" s="31" t="inlineStr">
        <is>
          <t>Vadilal Industries Limited</t>
        </is>
      </c>
      <c r="E10" s="31" t="inlineStr">
        <is>
          <t>fmcg</t>
        </is>
      </c>
      <c r="F10" s="31" t="inlineStr">
        <is>
          <t>food - processing - indian</t>
        </is>
      </c>
      <c r="G10" s="31" t="inlineStr">
        <is>
          <t>midcap</t>
        </is>
      </c>
      <c r="H10" s="32" t="n">
        <v>5331.57</v>
      </c>
      <c r="I10" s="32" t="n">
        <v>7425.5</v>
      </c>
      <c r="J10" s="32" t="n">
        <v>0.11</v>
      </c>
      <c r="K10" s="32" t="n">
        <v>21158</v>
      </c>
      <c r="L10" s="31" t="inlineStr"/>
      <c r="M10" s="31" t="inlineStr"/>
      <c r="N10" s="32">
        <f>IF(M10="Underperforming",-5,IF(L10&gt;=95,15,IF(L10&gt;=90,10,IF(L10&gt;=80,5,0))))</f>
        <v/>
      </c>
      <c r="O10" s="32" t="n">
        <v>73.01000000000001</v>
      </c>
      <c r="P10" s="32" t="n">
        <v>48.99</v>
      </c>
      <c r="Q10" s="32" t="inlineStr"/>
      <c r="R10" s="31" t="inlineStr">
        <is>
          <t>Earnings / Momentum Support</t>
        </is>
      </c>
      <c r="S10" s="31" t="inlineStr">
        <is>
          <t>Nifty FMCG</t>
        </is>
      </c>
      <c r="T10" s="32" t="inlineStr"/>
      <c r="U10" s="32" t="inlineStr"/>
      <c r="V10" s="32" t="inlineStr"/>
      <c r="W10" s="32" t="inlineStr"/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IF(B11=0,"",RANK(B11,$B$2:$B$389,0))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PRICOLLTD</t>
        </is>
      </c>
      <c r="D11" s="31" t="inlineStr">
        <is>
          <t>Pricol Ltd.</t>
        </is>
      </c>
      <c r="E11" s="31" t="inlineStr">
        <is>
          <t>auto</t>
        </is>
      </c>
      <c r="F11" s="31" t="inlineStr">
        <is>
          <t>auto ancillaries</t>
        </is>
      </c>
      <c r="G11" s="31" t="inlineStr">
        <is>
          <t>midcap</t>
        </is>
      </c>
      <c r="H11" s="32" t="n">
        <v>9716.389999999999</v>
      </c>
      <c r="I11" s="32" t="n">
        <v>790.9</v>
      </c>
      <c r="J11" s="32" t="n">
        <v>-0.79</v>
      </c>
      <c r="K11" s="32" t="n">
        <v>259988</v>
      </c>
      <c r="L11" s="31" t="inlineStr"/>
      <c r="M11" s="31" t="inlineStr"/>
      <c r="N11" s="32">
        <f>IF(M11="Underperforming",-5,IF(L11&gt;=95,15,IF(L11&gt;=90,10,IF(L11&gt;=80,5,0))))</f>
        <v/>
      </c>
      <c r="O11" s="32" t="n">
        <v>75.62</v>
      </c>
      <c r="P11" s="32" t="n">
        <v>31.44</v>
      </c>
      <c r="Q11" s="32" t="inlineStr"/>
      <c r="R11" s="31" t="inlineStr">
        <is>
          <t>Earnings / Momentum Support</t>
        </is>
      </c>
      <c r="S11" s="31" t="inlineStr">
        <is>
          <t>Nifty Auto</t>
        </is>
      </c>
      <c r="T11" s="32" t="inlineStr"/>
      <c r="U11" s="32" t="inlineStr"/>
      <c r="V11" s="32" t="inlineStr"/>
      <c r="W11" s="32" t="inlineStr"/>
      <c r="X11" s="31" t="inlineStr">
        <is>
          <t>Cyclical in an Upturn</t>
        </is>
      </c>
      <c r="Y11" s="31">
        <f>IF(X11="Growing Industry",10,IF(X11="Cyclical in an Upturn",5,0))</f>
        <v/>
      </c>
      <c r="Z11" s="31" t="inlineStr">
        <is>
          <t>Oligopoly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Shallow Cyclical (2 to 3 Years Growth)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Fully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Allocated capital in Non-core Areas</t>
        </is>
      </c>
      <c r="AU11" s="31">
        <f>IF(AT11="Good",10,0)</f>
        <v/>
      </c>
      <c r="AV11" s="31" t="inlineStr">
        <is>
          <t>Yes only for next 1 to 2 years</t>
        </is>
      </c>
      <c r="AW11" s="31">
        <f>IF(AV11="Yes for more than 2 years",10,IF(AV11="Yes only for next 1 to 2 years",5,0))</f>
        <v/>
      </c>
      <c r="AX11" s="31" t="inlineStr">
        <is>
          <t>20 to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Between 12 to 20%</t>
        </is>
      </c>
      <c r="BO11" s="31">
        <f>IF(BN11="More than 20%",10,IF(BN11="Between 12 to 20%",5,IF(BN11="Less than 12%",0,0)))</f>
        <v/>
      </c>
      <c r="BP11" s="31" t="inlineStr">
        <is>
          <t>Yes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Between 1.5 to 2</t>
        </is>
      </c>
      <c r="BU11" s="31">
        <f>IF(BT11="Above 2",0,IF(BT11="Between 1.5 to 2",5,IF(BT11="Less than 1.5",10,0)))</f>
        <v/>
      </c>
      <c r="BV11" s="31" t="inlineStr">
        <is>
          <t>Between 50% to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IF(B12=0,"",RANK(B12,$B$2:$B$389,0))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MSTCLTD</t>
        </is>
      </c>
      <c r="D12" s="31" t="inlineStr">
        <is>
          <t>MSTC Ltd</t>
        </is>
      </c>
      <c r="E12" s="31" t="inlineStr">
        <is>
          <t>i.t</t>
        </is>
      </c>
      <c r="F12" s="31" t="inlineStr">
        <is>
          <t>trading</t>
        </is>
      </c>
      <c r="G12" s="31" t="inlineStr">
        <is>
          <t>smallcap</t>
        </is>
      </c>
      <c r="H12" s="32" t="n">
        <v>4938.21</v>
      </c>
      <c r="I12" s="32" t="n">
        <v>730.6</v>
      </c>
      <c r="J12" s="32" t="n">
        <v>4.16</v>
      </c>
      <c r="K12" s="32" t="n">
        <v>985941</v>
      </c>
      <c r="L12" s="31" t="n">
        <v>84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64.61</v>
      </c>
      <c r="P12" s="32" t="n">
        <v>41.49</v>
      </c>
      <c r="Q12" s="32" t="inlineStr"/>
      <c r="R12" s="31" t="inlineStr">
        <is>
          <t>Earnings / Momentum Support</t>
        </is>
      </c>
      <c r="S12" s="31" t="inlineStr">
        <is>
          <t>Nifty IT</t>
        </is>
      </c>
      <c r="T12" s="32" t="n">
        <v>-13.85</v>
      </c>
      <c r="U12" s="32" t="n">
        <v>58.29</v>
      </c>
      <c r="V12" s="32" t="n">
        <v>83.73999999999999</v>
      </c>
      <c r="W12" s="32" t="n">
        <v>25.21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IF(B13=0,"",RANK(B13,$B$2:$B$389,0))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PREMIERPOL</t>
        </is>
      </c>
      <c r="D13" s="31" t="inlineStr">
        <is>
          <t>Premier Polyfilm Limited</t>
        </is>
      </c>
      <c r="E13" s="31" t="inlineStr">
        <is>
          <t>plastic products</t>
        </is>
      </c>
      <c r="F13" s="31" t="inlineStr">
        <is>
          <t>plastics products</t>
        </is>
      </c>
      <c r="G13" s="31" t="inlineStr">
        <is>
          <t>smallcap</t>
        </is>
      </c>
      <c r="H13" s="32" t="n">
        <v>910.95</v>
      </c>
      <c r="I13" s="32" t="n">
        <v>89.59999999999999</v>
      </c>
      <c r="J13" s="32" t="n">
        <v>3.02</v>
      </c>
      <c r="K13" s="32" t="n">
        <v>634397</v>
      </c>
      <c r="L13" s="31" t="n">
        <v>81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70.19</v>
      </c>
      <c r="P13" s="32" t="n">
        <v>53.33</v>
      </c>
      <c r="Q13" s="32" t="inlineStr"/>
      <c r="R13" s="31" t="inlineStr">
        <is>
          <t>Earnings / Momentum Support</t>
        </is>
      </c>
      <c r="S13" s="31" t="inlineStr">
        <is>
          <t>Nifty 50</t>
        </is>
      </c>
      <c r="T13" s="32" t="n">
        <v>-2.49</v>
      </c>
      <c r="U13" s="32" t="n">
        <v>77.87</v>
      </c>
      <c r="V13" s="32" t="n">
        <v>82.40000000000001</v>
      </c>
      <c r="W13" s="32" t="n">
        <v>23.68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IF(B14=0,"",RANK(B14,$B$2:$B$389,0))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PGIL</t>
        </is>
      </c>
      <c r="D14" s="31" t="inlineStr">
        <is>
          <t>Pearl Global Industries Limited</t>
        </is>
      </c>
      <c r="E14" s="31" t="inlineStr">
        <is>
          <t>consumer discretionary</t>
        </is>
      </c>
      <c r="F14" s="31" t="inlineStr">
        <is>
          <t>textiles - products</t>
        </is>
      </c>
      <c r="G14" s="31" t="inlineStr">
        <is>
          <t>midcap</t>
        </is>
      </c>
      <c r="H14" s="32" t="n">
        <v>11019.99</v>
      </c>
      <c r="I14" s="32" t="n">
        <v>2372.2</v>
      </c>
      <c r="J14" s="32" t="n">
        <v>-0.58</v>
      </c>
      <c r="K14" s="32" t="n">
        <v>47847</v>
      </c>
      <c r="L14" s="31" t="n">
        <v>81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70.81999999999999</v>
      </c>
      <c r="P14" s="32" t="n">
        <v>57.27</v>
      </c>
      <c r="Q14" s="32" t="inlineStr"/>
      <c r="R14" s="31" t="inlineStr">
        <is>
          <t>Earnings / Momentum Support</t>
        </is>
      </c>
      <c r="S14" s="31" t="inlineStr">
        <is>
          <t>Nifty 50</t>
        </is>
      </c>
      <c r="T14" s="32" t="n">
        <v>-2.49</v>
      </c>
      <c r="U14" s="32" t="n">
        <v>77.69</v>
      </c>
      <c r="V14" s="32" t="n">
        <v>82.20999999999999</v>
      </c>
      <c r="W14" s="32" t="n">
        <v>23.53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IF(B15=0,"",RANK(B15,$B$2:$B$389,0))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RPTECH</t>
        </is>
      </c>
      <c r="D15" s="31" t="inlineStr">
        <is>
          <t>Rashi Peripherals Ltd</t>
        </is>
      </c>
      <c r="E15" s="31" t="inlineStr">
        <is>
          <t>i.t</t>
        </is>
      </c>
      <c r="F15" s="31" t="inlineStr">
        <is>
          <t>trading</t>
        </is>
      </c>
      <c r="G15" s="31" t="inlineStr">
        <is>
          <t>midcap</t>
        </is>
      </c>
      <c r="H15" s="32" t="n">
        <v>5778.74</v>
      </c>
      <c r="I15" s="32" t="n">
        <v>867</v>
      </c>
      <c r="J15" s="32" t="n">
        <v>-1.13</v>
      </c>
      <c r="K15" s="32" t="n">
        <v>179995</v>
      </c>
      <c r="L15" s="31" t="n">
        <v>96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75.67</v>
      </c>
      <c r="P15" s="32" t="n">
        <v>81.94</v>
      </c>
      <c r="Q15" s="32" t="inlineStr"/>
      <c r="R15" s="31" t="inlineStr">
        <is>
          <t>Earnings / Momentum Support</t>
        </is>
      </c>
      <c r="S15" s="31" t="inlineStr">
        <is>
          <t>Nifty IT</t>
        </is>
      </c>
      <c r="T15" s="32" t="n">
        <v>-13.85</v>
      </c>
      <c r="U15" s="32" t="n">
        <v>210.63</v>
      </c>
      <c r="V15" s="32" t="n">
        <v>260.56</v>
      </c>
      <c r="W15" s="32" t="n">
        <v>39.91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IF(B16=0,"",RANK(B16,$B$2:$B$389,0))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AURUM</t>
        </is>
      </c>
      <c r="D16" s="31" t="inlineStr">
        <is>
          <t>Aurum Proptech Ltd</t>
        </is>
      </c>
      <c r="E16" s="31" t="inlineStr">
        <is>
          <t>i.t</t>
        </is>
      </c>
      <c r="F16" s="31" t="inlineStr">
        <is>
          <t>computers - software - medium / small</t>
        </is>
      </c>
      <c r="G16" s="31" t="inlineStr">
        <is>
          <t>smallcap</t>
        </is>
      </c>
      <c r="H16" s="32" t="n">
        <v>1748.2</v>
      </c>
      <c r="I16" s="32" t="n">
        <v>233</v>
      </c>
      <c r="J16" s="32" t="n">
        <v>2.27</v>
      </c>
      <c r="K16" s="32" t="n">
        <v>317099</v>
      </c>
      <c r="L16" s="31" t="n">
        <v>49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62.97</v>
      </c>
      <c r="P16" s="32" t="n">
        <v>49.9</v>
      </c>
      <c r="Q16" s="32" t="inlineStr"/>
      <c r="R16" s="31" t="inlineStr">
        <is>
          <t>Earnings / Momentum Support</t>
        </is>
      </c>
      <c r="S16" s="31" t="inlineStr">
        <is>
          <t>Nifty IT</t>
        </is>
      </c>
      <c r="T16" s="32" t="n">
        <v>-13.85</v>
      </c>
      <c r="U16" s="32" t="n">
        <v>28.48</v>
      </c>
      <c r="V16" s="32" t="n">
        <v>49.13</v>
      </c>
      <c r="W16" s="32" t="n">
        <v>11.31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IF(B17=0,"",RANK(B17,$B$2:$B$389,0))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IOLCP</t>
        </is>
      </c>
      <c r="D17" s="31" t="inlineStr">
        <is>
          <t>Iol Chemicals And Pharmaceuticals Limited</t>
        </is>
      </c>
      <c r="E17" s="31" t="inlineStr">
        <is>
          <t>healthcare</t>
        </is>
      </c>
      <c r="F17" s="31" t="inlineStr">
        <is>
          <t>pharmaceuticals - indian - bulk drugs &amp; formln</t>
        </is>
      </c>
      <c r="G17" s="31" t="inlineStr">
        <is>
          <t>smallcap</t>
        </is>
      </c>
      <c r="H17" s="32" t="n">
        <v>4975.88</v>
      </c>
      <c r="I17" s="32" t="n">
        <v>169.08</v>
      </c>
      <c r="J17" s="32" t="n">
        <v>-0.26</v>
      </c>
      <c r="K17" s="32" t="n">
        <v>3884485</v>
      </c>
      <c r="L17" s="31" t="n">
        <v>83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72.52</v>
      </c>
      <c r="P17" s="32" t="n">
        <v>79.15000000000001</v>
      </c>
      <c r="Q17" s="32" t="inlineStr"/>
      <c r="R17" s="31" t="inlineStr">
        <is>
          <t>Earnings / Momentum Support</t>
        </is>
      </c>
      <c r="S17" s="31" t="inlineStr">
        <is>
          <t>Nifty Pharma</t>
        </is>
      </c>
      <c r="T17" s="32" t="n">
        <v>18.39</v>
      </c>
      <c r="U17" s="32" t="n">
        <v>77.45999999999999</v>
      </c>
      <c r="V17" s="32" t="n">
        <v>49.89</v>
      </c>
      <c r="W17" s="32" t="n">
        <v>24.61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IF(B18=0,"",RANK(B18,$B$2:$B$389,0))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SUVEN</t>
        </is>
      </c>
      <c r="D18" s="31" t="inlineStr">
        <is>
          <t>Suven Life Sciences Limited</t>
        </is>
      </c>
      <c r="E18" s="31" t="inlineStr">
        <is>
          <t>healthcare</t>
        </is>
      </c>
      <c r="F18" s="31" t="inlineStr">
        <is>
          <t>miscellaneous</t>
        </is>
      </c>
      <c r="G18" s="31" t="inlineStr">
        <is>
          <t>smallcap</t>
        </is>
      </c>
      <c r="H18" s="32" t="n">
        <v>720.88</v>
      </c>
      <c r="I18" s="32" t="n">
        <v>369.75</v>
      </c>
      <c r="J18" s="32" t="n">
        <v>-0.91</v>
      </c>
      <c r="K18" s="32" t="n">
        <v>1679080</v>
      </c>
      <c r="L18" s="31" t="n">
        <v>82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72.06999999999999</v>
      </c>
      <c r="P18" s="32" t="n">
        <v>47.62</v>
      </c>
      <c r="Q18" s="32" t="inlineStr"/>
      <c r="R18" s="31" t="inlineStr">
        <is>
          <t>Earnings / Momentum Support</t>
        </is>
      </c>
      <c r="S18" s="31" t="inlineStr">
        <is>
          <t>Nifty Pharma</t>
        </is>
      </c>
      <c r="T18" s="32" t="n">
        <v>18.39</v>
      </c>
      <c r="U18" s="32" t="n">
        <v>61.71</v>
      </c>
      <c r="V18" s="32" t="n">
        <v>36.59</v>
      </c>
      <c r="W18" s="32" t="n">
        <v>23.79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IF(B19=0,"",RANK(B19,$B$2:$B$389,0))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E2E</t>
        </is>
      </c>
      <c r="D19" s="31" t="inlineStr">
        <is>
          <t>E2E Networks Ltd</t>
        </is>
      </c>
      <c r="E19" s="31" t="inlineStr">
        <is>
          <t>i.t</t>
        </is>
      </c>
      <c r="F19" s="31" t="inlineStr">
        <is>
          <t>computers - software - medium / small</t>
        </is>
      </c>
      <c r="G19" s="31" t="inlineStr">
        <is>
          <t>midcap</t>
        </is>
      </c>
      <c r="H19" s="32" t="n">
        <v>12777.91</v>
      </c>
      <c r="I19" s="32" t="n">
        <v>612.9</v>
      </c>
      <c r="J19" s="32" t="n">
        <v>-1.4</v>
      </c>
      <c r="K19" s="32" t="n">
        <v>857233</v>
      </c>
      <c r="L19" s="31" t="n">
        <v>96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72.52</v>
      </c>
      <c r="P19" s="32" t="n">
        <v>51.56</v>
      </c>
      <c r="Q19" s="32" t="inlineStr"/>
      <c r="R19" s="31" t="inlineStr">
        <is>
          <t>Earnings / Momentum Support</t>
        </is>
      </c>
      <c r="S19" s="31" t="inlineStr">
        <is>
          <t>Nifty IT</t>
        </is>
      </c>
      <c r="T19" s="32" t="n">
        <v>-13.85</v>
      </c>
      <c r="U19" s="32" t="n">
        <v>165.21</v>
      </c>
      <c r="V19" s="32" t="n">
        <v>207.85</v>
      </c>
      <c r="W19" s="32" t="n">
        <v>38.72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IF(B20=0,"",RANK(B20,$B$2:$B$389,0))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MODISONLTD</t>
        </is>
      </c>
      <c r="D20" s="31" t="inlineStr">
        <is>
          <t>Modison Ltd</t>
        </is>
      </c>
      <c r="E20" s="31" t="inlineStr">
        <is>
          <t>industrials</t>
        </is>
      </c>
      <c r="F20" s="31" t="inlineStr">
        <is>
          <t>electric equipment</t>
        </is>
      </c>
      <c r="G20" s="31" t="inlineStr">
        <is>
          <t>smallcap</t>
        </is>
      </c>
      <c r="H20" s="32" t="n">
        <v>1256.3</v>
      </c>
      <c r="I20" s="32" t="n">
        <v>397</v>
      </c>
      <c r="J20" s="32" t="n">
        <v>2.54</v>
      </c>
      <c r="K20" s="32" t="n">
        <v>164183</v>
      </c>
      <c r="L20" s="31" t="n">
        <v>98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74.63</v>
      </c>
      <c r="P20" s="32" t="n">
        <v>59.7</v>
      </c>
      <c r="Q20" s="32" t="inlineStr"/>
      <c r="R20" s="31" t="inlineStr">
        <is>
          <t>Earnings / Momentum Support</t>
        </is>
      </c>
      <c r="S20" s="31" t="inlineStr">
        <is>
          <t>Nifty 50</t>
        </is>
      </c>
      <c r="T20" s="32" t="n">
        <v>-2.49</v>
      </c>
      <c r="U20" s="32" t="n">
        <v>148.28</v>
      </c>
      <c r="V20" s="32" t="n">
        <v>154.61</v>
      </c>
      <c r="W20" s="32" t="n">
        <v>52.29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IF(B21=0,"",RANK(B21,$B$2:$B$389,0))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TBZ</t>
        </is>
      </c>
      <c r="D21" s="31" t="inlineStr">
        <is>
          <t>Tribhovandas Bhimji Zaveri Limited</t>
        </is>
      </c>
      <c r="E21" s="31" t="inlineStr">
        <is>
          <t>consumer discretionary</t>
        </is>
      </c>
      <c r="F21" s="31" t="inlineStr">
        <is>
          <t>diamond cutting / jewellery</t>
        </is>
      </c>
      <c r="G21" s="31" t="inlineStr">
        <is>
          <t>smallcap</t>
        </is>
      </c>
      <c r="H21" s="32" t="n">
        <v>1865.12</v>
      </c>
      <c r="I21" s="32" t="n">
        <v>286.2</v>
      </c>
      <c r="J21" s="32" t="n">
        <v>2.4</v>
      </c>
      <c r="K21" s="32" t="n">
        <v>1573670</v>
      </c>
      <c r="L21" s="31" t="n">
        <v>94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73.31</v>
      </c>
      <c r="P21" s="32" t="n">
        <v>44.34</v>
      </c>
      <c r="Q21" s="32" t="inlineStr"/>
      <c r="R21" s="31" t="inlineStr">
        <is>
          <t>Earnings / Momentum Support</t>
        </is>
      </c>
      <c r="S21" s="31" t="inlineStr">
        <is>
          <t>Nifty 50</t>
        </is>
      </c>
      <c r="T21" s="32" t="n">
        <v>-2.49</v>
      </c>
      <c r="U21" s="32" t="n">
        <v>48.45</v>
      </c>
      <c r="V21" s="32" t="n">
        <v>52.24</v>
      </c>
      <c r="W21" s="32" t="n">
        <v>36.82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Between 0.7 to 1.2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IF(B22=0,"",RANK(B22,$B$2:$B$389,0))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PARAS</t>
        </is>
      </c>
      <c r="D22" s="31" t="inlineStr">
        <is>
          <t>Paras Defence and Space Technologies Ltd</t>
        </is>
      </c>
      <c r="E22" s="31" t="inlineStr">
        <is>
          <t>aerospace &amp; defence</t>
        </is>
      </c>
      <c r="F22" s="31" t="inlineStr">
        <is>
          <t>engineering</t>
        </is>
      </c>
      <c r="G22" s="31" t="inlineStr">
        <is>
          <t>midcap</t>
        </is>
      </c>
      <c r="H22" s="32" t="n">
        <v>12084.88</v>
      </c>
      <c r="I22" s="32" t="n">
        <v>1520</v>
      </c>
      <c r="J22" s="32" t="n">
        <v>1.36</v>
      </c>
      <c r="K22" s="32" t="n">
        <v>1507897</v>
      </c>
      <c r="L22" s="31" t="n">
        <v>95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73.39</v>
      </c>
      <c r="P22" s="32" t="n">
        <v>64.98999999999999</v>
      </c>
      <c r="Q22" s="32" t="inlineStr"/>
      <c r="R22" s="31" t="inlineStr">
        <is>
          <t>Earnings / Momentum Support</t>
        </is>
      </c>
      <c r="S22" s="31" t="inlineStr">
        <is>
          <t>Nifty 50</t>
        </is>
      </c>
      <c r="T22" s="32" t="n">
        <v>-2.49</v>
      </c>
      <c r="U22" s="32" t="n">
        <v>119.29</v>
      </c>
      <c r="V22" s="32" t="n">
        <v>124.88</v>
      </c>
      <c r="W22" s="32" t="n">
        <v>38.06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IF(B23=0,"",RANK(B23,$B$2:$B$389,0))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VISHNU</t>
        </is>
      </c>
      <c r="D23" s="31" t="inlineStr">
        <is>
          <t>Vishnu Chemicals Limited</t>
        </is>
      </c>
      <c r="E23" s="31" t="inlineStr">
        <is>
          <t>chemicals</t>
        </is>
      </c>
      <c r="F23" s="31" t="inlineStr">
        <is>
          <t>chemicals</t>
        </is>
      </c>
      <c r="G23" s="31" t="inlineStr">
        <is>
          <t>smallcap</t>
        </is>
      </c>
      <c r="H23" s="32" t="n">
        <v>4235.81</v>
      </c>
      <c r="I23" s="32" t="n">
        <v>637.7</v>
      </c>
      <c r="J23" s="32" t="n">
        <v>1.34</v>
      </c>
      <c r="K23" s="32" t="n">
        <v>166036</v>
      </c>
      <c r="L23" s="31" t="n">
        <v>24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60.4</v>
      </c>
      <c r="P23" s="32" t="n">
        <v>44.31</v>
      </c>
      <c r="Q23" s="32" t="inlineStr"/>
      <c r="R23" s="31" t="inlineStr">
        <is>
          <t>Earnings / Momentum Support</t>
        </is>
      </c>
      <c r="S23" s="31" t="inlineStr">
        <is>
          <t>Nifty 50</t>
        </is>
      </c>
      <c r="T23" s="32" t="n">
        <v>-2.49</v>
      </c>
      <c r="U23" s="32" t="n">
        <v>21.49</v>
      </c>
      <c r="V23" s="32" t="n">
        <v>24.58</v>
      </c>
      <c r="W23" s="32" t="n">
        <v>5.28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IF(B24=0,"",RANK(B24,$B$2:$B$389,0))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QUESS</t>
        </is>
      </c>
      <c r="D24" s="31" t="inlineStr">
        <is>
          <t>Quess Corp Limited</t>
        </is>
      </c>
      <c r="E24" s="31" t="inlineStr">
        <is>
          <t>miscellaneous</t>
        </is>
      </c>
      <c r="F24" s="31" t="inlineStr">
        <is>
          <t>diversified - large</t>
        </is>
      </c>
      <c r="G24" s="31" t="inlineStr">
        <is>
          <t>midcap</t>
        </is>
      </c>
      <c r="H24" s="32" t="n">
        <v>5016.25</v>
      </c>
      <c r="I24" s="32" t="n">
        <v>340</v>
      </c>
      <c r="J24" s="32" t="n">
        <v>1.24</v>
      </c>
      <c r="K24" s="32" t="n">
        <v>356471</v>
      </c>
      <c r="L24" s="31" t="n">
        <v>76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74.17</v>
      </c>
      <c r="P24" s="32" t="n">
        <v>57.98</v>
      </c>
      <c r="Q24" s="32" t="inlineStr"/>
      <c r="R24" s="31" t="inlineStr">
        <is>
          <t>Earnings / Momentum Support</t>
        </is>
      </c>
      <c r="S24" s="31" t="inlineStr">
        <is>
          <t>Nifty 50</t>
        </is>
      </c>
      <c r="T24" s="32" t="n">
        <v>-2.49</v>
      </c>
      <c r="U24" s="32" t="n">
        <v>29.09</v>
      </c>
      <c r="V24" s="32" t="n">
        <v>32.38</v>
      </c>
      <c r="W24" s="32" t="n">
        <v>22.35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IF(B25=0,"",RANK(B25,$B$2:$B$389,0))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KANORICHEM</t>
        </is>
      </c>
      <c r="D25" s="31" t="inlineStr">
        <is>
          <t>Kanoria Chemicals &amp; Industries Limited</t>
        </is>
      </c>
      <c r="E25" s="31" t="inlineStr">
        <is>
          <t>chemicals</t>
        </is>
      </c>
      <c r="F25" s="31" t="inlineStr">
        <is>
          <t>chemicals</t>
        </is>
      </c>
      <c r="G25" s="31" t="inlineStr">
        <is>
          <t>smallcap</t>
        </is>
      </c>
      <c r="H25" s="32" t="n">
        <v>672.4</v>
      </c>
      <c r="I25" s="32" t="n">
        <v>154.9</v>
      </c>
      <c r="J25" s="32" t="n">
        <v>0.66</v>
      </c>
      <c r="K25" s="32" t="n">
        <v>49457</v>
      </c>
      <c r="L25" s="31" t="n">
        <v>91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71.45</v>
      </c>
      <c r="P25" s="32" t="n">
        <v>60.77</v>
      </c>
      <c r="Q25" s="32" t="inlineStr"/>
      <c r="R25" s="31" t="inlineStr">
        <is>
          <t>Earnings / Momentum Support</t>
        </is>
      </c>
      <c r="S25" s="31" t="inlineStr">
        <is>
          <t>Nifty 50</t>
        </is>
      </c>
      <c r="T25" s="32" t="n">
        <v>-2.49</v>
      </c>
      <c r="U25" s="32" t="n">
        <v>81.22</v>
      </c>
      <c r="V25" s="32" t="n">
        <v>85.84</v>
      </c>
      <c r="W25" s="32" t="n">
        <v>31.53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IF(B26=0,"",RANK(B26,$B$2:$B$389,0))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OCCLLTD</t>
        </is>
      </c>
      <c r="D26" s="31" t="inlineStr">
        <is>
          <t>OCCL Ltd</t>
        </is>
      </c>
      <c r="E26" s="31" t="inlineStr">
        <is>
          <t>chemicals</t>
        </is>
      </c>
      <c r="F26" s="31" t="inlineStr">
        <is>
          <t>chemicals</t>
        </is>
      </c>
      <c r="G26" s="31" t="inlineStr">
        <is>
          <t>smallcap</t>
        </is>
      </c>
      <c r="H26" s="32" t="n">
        <v>792.36</v>
      </c>
      <c r="I26" s="32" t="n">
        <v>159.5</v>
      </c>
      <c r="J26" s="32" t="n">
        <v>0.55</v>
      </c>
      <c r="K26" s="32" t="n">
        <v>33525</v>
      </c>
      <c r="L26" s="31" t="n">
        <v>56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71.03</v>
      </c>
      <c r="P26" s="32" t="n">
        <v>44.96</v>
      </c>
      <c r="Q26" s="32" t="inlineStr"/>
      <c r="R26" s="31" t="inlineStr">
        <is>
          <t>Earnings / Momentum Support</t>
        </is>
      </c>
      <c r="S26" s="31" t="inlineStr">
        <is>
          <t>Nifty 50</t>
        </is>
      </c>
      <c r="T26" s="32" t="n">
        <v>-2.49</v>
      </c>
      <c r="U26" s="32" t="n">
        <v>17.53</v>
      </c>
      <c r="V26" s="32" t="n">
        <v>20.53</v>
      </c>
      <c r="W26" s="32" t="n">
        <v>13.46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IF(B27=0,"",RANK(B27,$B$2:$B$389,0))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INDOBORAX</t>
        </is>
      </c>
      <c r="D27" s="31" t="inlineStr">
        <is>
          <t>Indo Borax &amp; Chemicals Ltd</t>
        </is>
      </c>
      <c r="E27" s="31" t="inlineStr">
        <is>
          <t>chemicals</t>
        </is>
      </c>
      <c r="F27" s="31" t="inlineStr">
        <is>
          <t>chemicals</t>
        </is>
      </c>
      <c r="G27" s="31" t="inlineStr">
        <is>
          <t>smallcap</t>
        </is>
      </c>
      <c r="H27" s="32" t="n">
        <v>1642.53</v>
      </c>
      <c r="I27" s="32" t="n">
        <v>502.35</v>
      </c>
      <c r="J27" s="32" t="n">
        <v>-1.86</v>
      </c>
      <c r="K27" s="32" t="n">
        <v>297968</v>
      </c>
      <c r="L27" s="31" t="n">
        <v>93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81.09</v>
      </c>
      <c r="P27" s="32" t="n">
        <v>75.02</v>
      </c>
      <c r="Q27" s="32" t="inlineStr"/>
      <c r="R27" s="31" t="inlineStr">
        <is>
          <t>Earnings / Momentum Support</t>
        </is>
      </c>
      <c r="S27" s="31" t="inlineStr">
        <is>
          <t>Nifty 50</t>
        </is>
      </c>
      <c r="T27" s="32" t="n">
        <v>-2.49</v>
      </c>
      <c r="U27" s="32" t="n">
        <v>116.58</v>
      </c>
      <c r="V27" s="32" t="n">
        <v>122.1</v>
      </c>
      <c r="W27" s="32" t="n">
        <v>34.57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IF(B28=0,"",RANK(B28,$B$2:$B$389,0))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VINDHYATEL</t>
        </is>
      </c>
      <c r="D28" s="31" t="inlineStr">
        <is>
          <t>Vindhya Telelinks Limited</t>
        </is>
      </c>
      <c r="E28" s="31" t="inlineStr">
        <is>
          <t>realty</t>
        </is>
      </c>
      <c r="F28" s="31" t="inlineStr">
        <is>
          <t>construction</t>
        </is>
      </c>
      <c r="G28" s="31" t="inlineStr">
        <is>
          <t>smallcap</t>
        </is>
      </c>
      <c r="H28" s="32" t="n">
        <v>2908.08</v>
      </c>
      <c r="I28" s="32" t="n">
        <v>2388.4</v>
      </c>
      <c r="J28" s="32" t="n">
        <v>-2.67</v>
      </c>
      <c r="K28" s="32" t="n">
        <v>156774</v>
      </c>
      <c r="L28" s="31" t="inlineStr"/>
      <c r="M28" s="31" t="inlineStr"/>
      <c r="N28" s="32">
        <f>IF(M28="Underperforming",-5,IF(L28&gt;=95,15,IF(L28&gt;=90,10,IF(L28&gt;=80,5,0))))</f>
        <v/>
      </c>
      <c r="O28" s="32" t="n">
        <v>66.84</v>
      </c>
      <c r="P28" s="32" t="n">
        <v>52.55</v>
      </c>
      <c r="Q28" s="32" t="inlineStr"/>
      <c r="R28" s="31" t="inlineStr">
        <is>
          <t>Earnings / Momentum Support</t>
        </is>
      </c>
      <c r="S28" s="31" t="inlineStr">
        <is>
          <t>Nifty Realty</t>
        </is>
      </c>
      <c r="T28" s="32" t="inlineStr"/>
      <c r="U28" s="32" t="inlineStr"/>
      <c r="V28" s="32" t="inlineStr"/>
      <c r="W28" s="32" t="inlineStr"/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IF(B29=0,"",RANK(B29,$B$2:$B$389,0))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ICIL</t>
        </is>
      </c>
      <c r="D29" s="31" t="inlineStr">
        <is>
          <t>Indo Count Industries Limited</t>
        </is>
      </c>
      <c r="E29" s="31" t="inlineStr">
        <is>
          <t>textiles</t>
        </is>
      </c>
      <c r="F29" s="31" t="inlineStr">
        <is>
          <t>textiles - cotton/blended</t>
        </is>
      </c>
      <c r="G29" s="31" t="inlineStr">
        <is>
          <t>midcap</t>
        </is>
      </c>
      <c r="H29" s="32" t="n">
        <v>8784.700000000001</v>
      </c>
      <c r="I29" s="32" t="n">
        <v>430</v>
      </c>
      <c r="J29" s="32" t="n">
        <v>-3.05</v>
      </c>
      <c r="K29" s="32" t="n">
        <v>764152</v>
      </c>
      <c r="L29" s="31" t="n">
        <v>80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66.05</v>
      </c>
      <c r="P29" s="32" t="n">
        <v>55.09</v>
      </c>
      <c r="Q29" s="32" t="inlineStr"/>
      <c r="R29" s="31" t="inlineStr">
        <is>
          <t>Earnings / Momentum Support</t>
        </is>
      </c>
      <c r="S29" s="31" t="inlineStr">
        <is>
          <t>Nifty 50</t>
        </is>
      </c>
      <c r="T29" s="32" t="n">
        <v>-2.49</v>
      </c>
      <c r="U29" s="32" t="n">
        <v>77.31</v>
      </c>
      <c r="V29" s="32" t="n">
        <v>81.83</v>
      </c>
      <c r="W29" s="32" t="n">
        <v>23.18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IF(B30=0,"",RANK(B30,$B$2:$B$389,0))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CHEMBONDCH</t>
        </is>
      </c>
      <c r="D30" s="31" t="inlineStr">
        <is>
          <t>Chembond Chemicals Ltd</t>
        </is>
      </c>
      <c r="E30" s="31" t="inlineStr">
        <is>
          <t>chemicals</t>
        </is>
      </c>
      <c r="F30" s="31" t="inlineStr">
        <is>
          <t>chemicals</t>
        </is>
      </c>
      <c r="G30" s="31" t="inlineStr">
        <is>
          <t>smallcap</t>
        </is>
      </c>
      <c r="H30" s="32" t="n">
        <v>764.88</v>
      </c>
      <c r="I30" s="32" t="n">
        <v>271</v>
      </c>
      <c r="J30" s="32" t="n">
        <v>-4.71</v>
      </c>
      <c r="K30" s="32" t="n">
        <v>57993</v>
      </c>
      <c r="L30" s="31" t="n">
        <v>69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73.64</v>
      </c>
      <c r="P30" s="32" t="n">
        <v>46.8</v>
      </c>
      <c r="Q30" s="32" t="inlineStr"/>
      <c r="R30" s="31" t="inlineStr">
        <is>
          <t>Earnings / Momentum Support</t>
        </is>
      </c>
      <c r="S30" s="31" t="inlineStr">
        <is>
          <t>Nifty 50</t>
        </is>
      </c>
      <c r="T30" s="32" t="n">
        <v>-2.49</v>
      </c>
      <c r="U30" s="32" t="n">
        <v>31.61</v>
      </c>
      <c r="V30" s="32" t="n">
        <v>34.96</v>
      </c>
      <c r="W30" s="32" t="n">
        <v>18.53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IF(B31=0,"",RANK(B31,$B$2:$B$389,0))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INDIAGLYCO</t>
        </is>
      </c>
      <c r="D31" s="31" t="inlineStr">
        <is>
          <t>India Glycols Limited</t>
        </is>
      </c>
      <c r="E31" s="31" t="inlineStr">
        <is>
          <t>fmcg</t>
        </is>
      </c>
      <c r="F31" s="31" t="inlineStr">
        <is>
          <t>breweries &amp; distilleries</t>
        </is>
      </c>
      <c r="G31" s="31" t="inlineStr">
        <is>
          <t>midcap</t>
        </is>
      </c>
      <c r="H31" s="32" t="n">
        <v>7684.62</v>
      </c>
      <c r="I31" s="32" t="n">
        <v>1191.3</v>
      </c>
      <c r="J31" s="32" t="n">
        <v>3.91</v>
      </c>
      <c r="K31" s="32" t="n">
        <v>762365</v>
      </c>
      <c r="L31" s="31" t="inlineStr"/>
      <c r="M31" s="31" t="inlineStr"/>
      <c r="N31" s="32">
        <f>IF(M31="Underperforming",-5,IF(L31&gt;=95,15,IF(L31&gt;=90,10,IF(L31&gt;=80,5,0))))</f>
        <v/>
      </c>
      <c r="O31" s="32" t="n">
        <v>60.4</v>
      </c>
      <c r="P31" s="32" t="n">
        <v>24.95</v>
      </c>
      <c r="Q31" s="32" t="inlineStr"/>
      <c r="R31" s="31" t="inlineStr">
        <is>
          <t>Earnings / Momentum Support</t>
        </is>
      </c>
      <c r="S31" s="31" t="inlineStr">
        <is>
          <t>Nifty FMCG</t>
        </is>
      </c>
      <c r="T31" s="32" t="inlineStr"/>
      <c r="U31" s="32" t="inlineStr"/>
      <c r="V31" s="32" t="inlineStr"/>
      <c r="W31" s="32" t="inlineStr"/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B2C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IF(B32=0,"",RANK(B32,$B$2:$B$389,0))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ALIVUS</t>
        </is>
      </c>
      <c r="D32" s="31" t="inlineStr">
        <is>
          <t>Alivus Life Sciences Ltd</t>
        </is>
      </c>
      <c r="E32" s="31" t="inlineStr">
        <is>
          <t>healthcare</t>
        </is>
      </c>
      <c r="F32" s="31" t="inlineStr">
        <is>
          <t>pharmaceuticals - indian - bulk drugs &amp; formln</t>
        </is>
      </c>
      <c r="G32" s="31" t="inlineStr">
        <is>
          <t>midcap</t>
        </is>
      </c>
      <c r="H32" s="32" t="n">
        <v>16580.45</v>
      </c>
      <c r="I32" s="32" t="n">
        <v>1366</v>
      </c>
      <c r="J32" s="32" t="n">
        <v>1.12</v>
      </c>
      <c r="K32" s="32" t="n">
        <v>54573</v>
      </c>
      <c r="L32" s="31" t="n">
        <v>57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73.39</v>
      </c>
      <c r="P32" s="32" t="n">
        <v>44.31</v>
      </c>
      <c r="Q32" s="32" t="inlineStr"/>
      <c r="R32" s="31" t="inlineStr">
        <is>
          <t>Earnings / Momentum Support</t>
        </is>
      </c>
      <c r="S32" s="31" t="inlineStr">
        <is>
          <t>Nifty Pharma</t>
        </is>
      </c>
      <c r="T32" s="32" t="n">
        <v>18.39</v>
      </c>
      <c r="U32" s="32" t="n">
        <v>40.05</v>
      </c>
      <c r="V32" s="32" t="n">
        <v>18.3</v>
      </c>
      <c r="W32" s="32" t="n">
        <v>13.72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IF(B33=0,"",RANK(B33,$B$2:$B$389,0))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GOKULAGRO</t>
        </is>
      </c>
      <c r="D33" s="31" t="inlineStr">
        <is>
          <t>Gokul Agro Resources Limited</t>
        </is>
      </c>
      <c r="E33" s="31" t="inlineStr">
        <is>
          <t>fmcg</t>
        </is>
      </c>
      <c r="F33" s="31" t="inlineStr">
        <is>
          <t>solvent extraction</t>
        </is>
      </c>
      <c r="G33" s="31" t="inlineStr">
        <is>
          <t>midcap</t>
        </is>
      </c>
      <c r="H33" s="32" t="n">
        <v>7164.71</v>
      </c>
      <c r="I33" s="32" t="n">
        <v>244.05</v>
      </c>
      <c r="J33" s="32" t="n">
        <v>0.51</v>
      </c>
      <c r="K33" s="32" t="n">
        <v>554544</v>
      </c>
      <c r="L33" s="31" t="inlineStr"/>
      <c r="M33" s="31" t="inlineStr"/>
      <c r="N33" s="32">
        <f>IF(M33="Underperforming",-5,IF(L33&gt;=95,15,IF(L33&gt;=90,10,IF(L33&gt;=80,5,0))))</f>
        <v/>
      </c>
      <c r="O33" s="32" t="n">
        <v>65.64</v>
      </c>
      <c r="P33" s="32" t="n">
        <v>25.67</v>
      </c>
      <c r="Q33" s="32" t="inlineStr"/>
      <c r="R33" s="31" t="inlineStr">
        <is>
          <t>Earnings / Momentum Support</t>
        </is>
      </c>
      <c r="S33" s="31" t="inlineStr">
        <is>
          <t>Nifty FMCG</t>
        </is>
      </c>
      <c r="T33" s="32" t="inlineStr"/>
      <c r="U33" s="32" t="inlineStr"/>
      <c r="V33" s="32" t="inlineStr"/>
      <c r="W33" s="32" t="inlineStr"/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B2C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IF(B34=0,"",RANK(B34,$B$2:$B$389,0))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SENORES</t>
        </is>
      </c>
      <c r="D34" s="31" t="inlineStr">
        <is>
          <t>Senores Pharmaceuticals Ltd</t>
        </is>
      </c>
      <c r="E34" s="31" t="inlineStr">
        <is>
          <t>healthcare</t>
        </is>
      </c>
      <c r="F34" s="31" t="inlineStr">
        <is>
          <t>pharmaceuticals - indian - formulations</t>
        </is>
      </c>
      <c r="G34" s="31" t="inlineStr">
        <is>
          <t>midcap</t>
        </is>
      </c>
      <c r="H34" s="32" t="n">
        <v>6969.29</v>
      </c>
      <c r="I34" s="32" t="n">
        <v>1515.7</v>
      </c>
      <c r="J34" s="32" t="n">
        <v>0.16</v>
      </c>
      <c r="K34" s="32" t="n">
        <v>557883</v>
      </c>
      <c r="L34" s="31" t="n">
        <v>82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74.78</v>
      </c>
      <c r="P34" s="32" t="n">
        <v>60.69</v>
      </c>
      <c r="Q34" s="32" t="inlineStr"/>
      <c r="R34" s="31" t="inlineStr">
        <is>
          <t>Earnings / Momentum Support</t>
        </is>
      </c>
      <c r="S34" s="31" t="inlineStr">
        <is>
          <t>Nifty Pharma</t>
        </is>
      </c>
      <c r="T34" s="32" t="n">
        <v>18.39</v>
      </c>
      <c r="U34" s="32" t="n">
        <v>108.95</v>
      </c>
      <c r="V34" s="32" t="n">
        <v>76.48999999999999</v>
      </c>
      <c r="W34" s="32" t="n">
        <v>24.31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IF(B35=0,"",RANK(B35,$B$2:$B$389,0))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AJANTPHARM</t>
        </is>
      </c>
      <c r="D35" s="31" t="inlineStr">
        <is>
          <t>Ajanta Pharma Limited</t>
        </is>
      </c>
      <c r="E35" s="31" t="inlineStr">
        <is>
          <t>healthcare</t>
        </is>
      </c>
      <c r="F35" s="31" t="inlineStr">
        <is>
          <t>pharmaceuticals - indian - formulations</t>
        </is>
      </c>
      <c r="G35" s="31" t="inlineStr">
        <is>
          <t>largecap</t>
        </is>
      </c>
      <c r="H35" s="32" t="n">
        <v>45474.07</v>
      </c>
      <c r="I35" s="32" t="n">
        <v>3581</v>
      </c>
      <c r="J35" s="32" t="n">
        <v>-1.62</v>
      </c>
      <c r="K35" s="32" t="n">
        <v>82182</v>
      </c>
      <c r="L35" s="31" t="n">
        <v>49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72.95</v>
      </c>
      <c r="P35" s="32" t="n">
        <v>46.63</v>
      </c>
      <c r="Q35" s="32" t="inlineStr"/>
      <c r="R35" s="31" t="inlineStr">
        <is>
          <t>Earnings / Momentum Support</t>
        </is>
      </c>
      <c r="S35" s="31" t="inlineStr">
        <is>
          <t>Nifty Pharma</t>
        </is>
      </c>
      <c r="T35" s="32" t="n">
        <v>18.39</v>
      </c>
      <c r="U35" s="32" t="n">
        <v>40.77</v>
      </c>
      <c r="V35" s="32" t="n">
        <v>18.91</v>
      </c>
      <c r="W35" s="32" t="n">
        <v>11.13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IF(B36=0,"",RANK(B36,$B$2:$B$389,0))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INNOVACAP</t>
        </is>
      </c>
      <c r="D36" s="31" t="inlineStr">
        <is>
          <t>Innova Captab Ltd</t>
        </is>
      </c>
      <c r="E36" s="31" t="inlineStr">
        <is>
          <t>healthcare</t>
        </is>
      </c>
      <c r="F36" s="31" t="inlineStr">
        <is>
          <t>pharmaceuticals - indian - bulk drugs &amp; formln</t>
        </is>
      </c>
      <c r="G36" s="31" t="inlineStr">
        <is>
          <t>midcap</t>
        </is>
      </c>
      <c r="H36" s="32" t="n">
        <v>6228.93</v>
      </c>
      <c r="I36" s="32" t="n">
        <v>1063.05</v>
      </c>
      <c r="J36" s="32" t="n">
        <v>-2.34</v>
      </c>
      <c r="K36" s="32" t="n">
        <v>160518</v>
      </c>
      <c r="L36" s="31" t="n">
        <v>48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74.45</v>
      </c>
      <c r="P36" s="32" t="n">
        <v>60.47</v>
      </c>
      <c r="Q36" s="32" t="inlineStr"/>
      <c r="R36" s="31" t="inlineStr">
        <is>
          <t>Earnings / Momentum Support</t>
        </is>
      </c>
      <c r="S36" s="31" t="inlineStr">
        <is>
          <t>Nifty Pharma</t>
        </is>
      </c>
      <c r="T36" s="32" t="n">
        <v>18.39</v>
      </c>
      <c r="U36" s="32" t="n">
        <v>19.79</v>
      </c>
      <c r="V36" s="32" t="n">
        <v>1.18</v>
      </c>
      <c r="W36" s="32" t="n">
        <v>11.02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IF(B37=0,"",RANK(B37,$B$2:$B$389,0))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SCPL</t>
        </is>
      </c>
      <c r="D37" s="31" t="inlineStr">
        <is>
          <t>Sheetal Cool Products Ltd</t>
        </is>
      </c>
      <c r="E37" s="31" t="inlineStr">
        <is>
          <t>fmcg</t>
        </is>
      </c>
      <c r="F37" s="31" t="inlineStr">
        <is>
          <t>food - processing - indian</t>
        </is>
      </c>
      <c r="G37" s="31" t="inlineStr">
        <is>
          <t>smallcap</t>
        </is>
      </c>
      <c r="H37" s="32" t="n">
        <v>716.89</v>
      </c>
      <c r="I37" s="32" t="n">
        <v>650</v>
      </c>
      <c r="J37" s="32" t="n">
        <v>-4.8</v>
      </c>
      <c r="K37" s="32" t="n">
        <v>32364</v>
      </c>
      <c r="L37" s="31" t="inlineStr"/>
      <c r="M37" s="31" t="inlineStr"/>
      <c r="N37" s="32">
        <f>IF(M37="Underperforming",-5,IF(L37&gt;=95,15,IF(L37&gt;=90,10,IF(L37&gt;=80,5,0))))</f>
        <v/>
      </c>
      <c r="O37" s="32" t="n">
        <v>77.86</v>
      </c>
      <c r="P37" s="32" t="n">
        <v>59.38</v>
      </c>
      <c r="Q37" s="32" t="inlineStr"/>
      <c r="R37" s="31" t="inlineStr">
        <is>
          <t>Earnings / Momentum Support</t>
        </is>
      </c>
      <c r="S37" s="31" t="inlineStr">
        <is>
          <t>Nifty FMCG</t>
        </is>
      </c>
      <c r="T37" s="32" t="inlineStr"/>
      <c r="U37" s="32" t="inlineStr"/>
      <c r="V37" s="32" t="inlineStr"/>
      <c r="W37" s="32" t="inlineStr"/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B2C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IF(B38=0,"",RANK(B38,$B$2:$B$389,0))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QUADFUTURE</t>
        </is>
      </c>
      <c r="D38" s="31" t="inlineStr">
        <is>
          <t>Quadrant Future Tek Ltd</t>
        </is>
      </c>
      <c r="E38" s="31" t="inlineStr">
        <is>
          <t>industrials</t>
        </is>
      </c>
      <c r="F38" s="31" t="inlineStr">
        <is>
          <t>cables - power</t>
        </is>
      </c>
      <c r="G38" s="31" t="inlineStr">
        <is>
          <t>smallcap</t>
        </is>
      </c>
      <c r="H38" s="32" t="n">
        <v>1621.4</v>
      </c>
      <c r="I38" s="32" t="n">
        <v>447.3</v>
      </c>
      <c r="J38" s="32" t="n">
        <v>10.35</v>
      </c>
      <c r="K38" s="32" t="n">
        <v>25987917</v>
      </c>
      <c r="L38" s="31" t="inlineStr"/>
      <c r="M38" s="31" t="inlineStr"/>
      <c r="N38" s="32">
        <f>IF(M38="Underperforming",-5,IF(L38&gt;=95,15,IF(L38&gt;=90,10,IF(L38&gt;=80,5,0))))</f>
        <v/>
      </c>
      <c r="O38" s="32" t="n">
        <v>57.77</v>
      </c>
      <c r="P38" s="32" t="n">
        <v>32.93</v>
      </c>
      <c r="Q38" s="32" t="inlineStr"/>
      <c r="R38" s="31" t="inlineStr">
        <is>
          <t>Volume Spike / Accumulation</t>
        </is>
      </c>
      <c r="S38" s="31" t="inlineStr">
        <is>
          <t>Nifty Energy</t>
        </is>
      </c>
      <c r="T38" s="32" t="inlineStr"/>
      <c r="U38" s="32" t="inlineStr"/>
      <c r="V38" s="32" t="inlineStr"/>
      <c r="W38" s="32" t="inlineStr"/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IF(B39=0,"",RANK(B39,$B$2:$B$389,0))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STOVEKRAFT</t>
        </is>
      </c>
      <c r="D39" s="31" t="inlineStr">
        <is>
          <t>Stove Kraft Ltd</t>
        </is>
      </c>
      <c r="E39" s="31" t="inlineStr">
        <is>
          <t>consumer discretionary</t>
        </is>
      </c>
      <c r="F39" s="31" t="inlineStr">
        <is>
          <t>domestic appliances</t>
        </is>
      </c>
      <c r="G39" s="31" t="inlineStr">
        <is>
          <t>smallcap</t>
        </is>
      </c>
      <c r="H39" s="32" t="n">
        <v>2567.31</v>
      </c>
      <c r="I39" s="32" t="n">
        <v>821.25</v>
      </c>
      <c r="J39" s="32" t="n">
        <v>5.91</v>
      </c>
      <c r="K39" s="32" t="n">
        <v>459015</v>
      </c>
      <c r="L39" s="31" t="n">
        <v>53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66.22</v>
      </c>
      <c r="P39" s="32" t="n">
        <v>48.76</v>
      </c>
      <c r="Q39" s="32" t="inlineStr"/>
      <c r="R39" s="31" t="inlineStr">
        <is>
          <t>Earnings / Momentum Support</t>
        </is>
      </c>
      <c r="S39" s="31" t="inlineStr">
        <is>
          <t>Nifty 50</t>
        </is>
      </c>
      <c r="T39" s="32" t="n">
        <v>-2.49</v>
      </c>
      <c r="U39" s="32" t="n">
        <v>16.76</v>
      </c>
      <c r="V39" s="32" t="n">
        <v>19.74</v>
      </c>
      <c r="W39" s="32" t="n">
        <v>12.72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IF(B40=0,"",RANK(B40,$B$2:$B$389,0))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REDINGTON</t>
        </is>
      </c>
      <c r="D40" s="31" t="inlineStr">
        <is>
          <t>Redington (india) Limited</t>
        </is>
      </c>
      <c r="E40" s="31" t="inlineStr">
        <is>
          <t>services</t>
        </is>
      </c>
      <c r="F40" s="31" t="inlineStr">
        <is>
          <t>trading</t>
        </is>
      </c>
      <c r="G40" s="31" t="inlineStr">
        <is>
          <t>largecap</t>
        </is>
      </c>
      <c r="H40" s="32" t="n">
        <v>27405.1</v>
      </c>
      <c r="I40" s="32" t="n">
        <v>365.1</v>
      </c>
      <c r="J40" s="32" t="n">
        <v>4.15</v>
      </c>
      <c r="K40" s="32" t="n">
        <v>10532939</v>
      </c>
      <c r="L40" s="31" t="n">
        <v>81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68.59</v>
      </c>
      <c r="P40" s="32" t="n">
        <v>38.4</v>
      </c>
      <c r="Q40" s="32" t="inlineStr"/>
      <c r="R40" s="31" t="inlineStr">
        <is>
          <t>Earnings / Momentum Support</t>
        </is>
      </c>
      <c r="S40" s="31" t="inlineStr">
        <is>
          <t>Nifty 50</t>
        </is>
      </c>
      <c r="T40" s="32" t="n">
        <v>-2.49</v>
      </c>
      <c r="U40" s="32" t="n">
        <v>47.25</v>
      </c>
      <c r="V40" s="32" t="n">
        <v>51</v>
      </c>
      <c r="W40" s="32" t="n">
        <v>23.48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IF(B41=0,"",RANK(B41,$B$2:$B$389,0))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GRWRHITECH</t>
        </is>
      </c>
      <c r="D41" s="31" t="inlineStr">
        <is>
          <t>Garware Hi Tech Films Ltd</t>
        </is>
      </c>
      <c r="E41" s="31" t="inlineStr">
        <is>
          <t>industrials</t>
        </is>
      </c>
      <c r="F41" s="31" t="inlineStr">
        <is>
          <t>packaging</t>
        </is>
      </c>
      <c r="G41" s="31" t="inlineStr">
        <is>
          <t>midcap</t>
        </is>
      </c>
      <c r="H41" s="32" t="n">
        <v>16549.6</v>
      </c>
      <c r="I41" s="32" t="n">
        <v>7234.5</v>
      </c>
      <c r="J41" s="32" t="n">
        <v>1.56</v>
      </c>
      <c r="K41" s="32" t="n">
        <v>62358</v>
      </c>
      <c r="L41" s="31" t="n">
        <v>86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74.97</v>
      </c>
      <c r="P41" s="32" t="n">
        <v>63.2</v>
      </c>
      <c r="Q41" s="32" t="inlineStr"/>
      <c r="R41" s="31" t="inlineStr">
        <is>
          <t>Earnings / Momentum Support</t>
        </is>
      </c>
      <c r="S41" s="31" t="inlineStr">
        <is>
          <t>Nifty 50</t>
        </is>
      </c>
      <c r="T41" s="32" t="n">
        <v>-2.49</v>
      </c>
      <c r="U41" s="32" t="n">
        <v>139.83</v>
      </c>
      <c r="V41" s="32" t="n">
        <v>145.95</v>
      </c>
      <c r="W41" s="32" t="n">
        <v>26.75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IF(B42=0,"",RANK(B42,$B$2:$B$389,0))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SYRMA</t>
        </is>
      </c>
      <c r="D42" s="31" t="inlineStr">
        <is>
          <t>Syrma SGS Technology Ltd</t>
        </is>
      </c>
      <c r="E42" s="31" t="inlineStr">
        <is>
          <t>consumer discretionary</t>
        </is>
      </c>
      <c r="F42" s="31" t="inlineStr">
        <is>
          <t>electronics - components</t>
        </is>
      </c>
      <c r="G42" s="31" t="inlineStr">
        <is>
          <t>largecap</t>
        </is>
      </c>
      <c r="H42" s="32" t="n">
        <v>27754.09</v>
      </c>
      <c r="I42" s="32" t="n">
        <v>1459.9</v>
      </c>
      <c r="J42" s="32" t="n">
        <v>1.43</v>
      </c>
      <c r="K42" s="32" t="n">
        <v>852007</v>
      </c>
      <c r="L42" s="31" t="n">
        <v>79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67.33</v>
      </c>
      <c r="P42" s="32" t="n">
        <v>61.17</v>
      </c>
      <c r="Q42" s="32" t="inlineStr"/>
      <c r="R42" s="31" t="inlineStr">
        <is>
          <t>Earnings / Momentum Support</t>
        </is>
      </c>
      <c r="S42" s="31" t="inlineStr">
        <is>
          <t>Nifty 50</t>
        </is>
      </c>
      <c r="T42" s="32" t="n">
        <v>-2.49</v>
      </c>
      <c r="U42" s="32" t="n">
        <v>93.5</v>
      </c>
      <c r="V42" s="32" t="n">
        <v>98.44</v>
      </c>
      <c r="W42" s="32" t="n">
        <v>22.81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IF(B43=0,"",RANK(B43,$B$2:$B$389,0))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FILATEX</t>
        </is>
      </c>
      <c r="D43" s="31" t="inlineStr">
        <is>
          <t>Filatex India Limited</t>
        </is>
      </c>
      <c r="E43" s="31" t="inlineStr">
        <is>
          <t>textiles</t>
        </is>
      </c>
      <c r="F43" s="31" t="inlineStr">
        <is>
          <t>textiles - manmade</t>
        </is>
      </c>
      <c r="G43" s="31" t="inlineStr">
        <is>
          <t>smallcap</t>
        </is>
      </c>
      <c r="H43" s="32" t="n">
        <v>3688.35</v>
      </c>
      <c r="I43" s="32" t="n">
        <v>84.05</v>
      </c>
      <c r="J43" s="32" t="n">
        <v>1.19</v>
      </c>
      <c r="K43" s="32" t="n">
        <v>1673340</v>
      </c>
      <c r="L43" s="31" t="n">
        <v>93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78.66</v>
      </c>
      <c r="P43" s="32" t="n">
        <v>40.54</v>
      </c>
      <c r="Q43" s="32" t="inlineStr"/>
      <c r="R43" s="31" t="inlineStr">
        <is>
          <t>Earnings / Momentum Support</t>
        </is>
      </c>
      <c r="S43" s="31" t="inlineStr">
        <is>
          <t>Nifty 50</t>
        </is>
      </c>
      <c r="T43" s="32" t="n">
        <v>-2.49</v>
      </c>
      <c r="U43" s="32" t="n">
        <v>56.9</v>
      </c>
      <c r="V43" s="32" t="n">
        <v>60.9</v>
      </c>
      <c r="W43" s="32" t="n">
        <v>34.75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Between 12 to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IF(B44=0,"",RANK(B44,$B$2:$B$389,0))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GARFIBRES</t>
        </is>
      </c>
      <c r="D44" s="31" t="inlineStr">
        <is>
          <t>Garware Technical Fibres Ltd</t>
        </is>
      </c>
      <c r="E44" s="31" t="inlineStr">
        <is>
          <t>textiles</t>
        </is>
      </c>
      <c r="F44" s="31" t="inlineStr">
        <is>
          <t>textiles - products</t>
        </is>
      </c>
      <c r="G44" s="31" t="inlineStr">
        <is>
          <t>midcap</t>
        </is>
      </c>
      <c r="H44" s="32" t="n">
        <v>7837.26</v>
      </c>
      <c r="I44" s="32" t="n">
        <v>809</v>
      </c>
      <c r="J44" s="32" t="n">
        <v>0.8</v>
      </c>
      <c r="K44" s="32" t="n">
        <v>164401</v>
      </c>
      <c r="L44" s="31" t="n">
        <v>31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60.61</v>
      </c>
      <c r="P44" s="32" t="n">
        <v>43.76</v>
      </c>
      <c r="Q44" s="32" t="inlineStr"/>
      <c r="R44" s="31" t="inlineStr">
        <is>
          <t>Earnings / Momentum Support</t>
        </is>
      </c>
      <c r="S44" s="31" t="inlineStr">
        <is>
          <t>Nifty 50</t>
        </is>
      </c>
      <c r="T44" s="32" t="n">
        <v>-2.49</v>
      </c>
      <c r="U44" s="32" t="n">
        <v>-0.26</v>
      </c>
      <c r="V44" s="32" t="n">
        <v>2.28</v>
      </c>
      <c r="W44" s="32" t="n">
        <v>6.52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Between 1.5 to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IF(B45=0,"",RANK(B45,$B$2:$B$389,0))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HITECHCORP</t>
        </is>
      </c>
      <c r="D45" s="31" t="inlineStr">
        <is>
          <t>Hitech Corporation</t>
        </is>
      </c>
      <c r="E45" s="31" t="inlineStr">
        <is>
          <t>industrials</t>
        </is>
      </c>
      <c r="F45" s="31" t="inlineStr">
        <is>
          <t>packaging</t>
        </is>
      </c>
      <c r="G45" s="31" t="inlineStr">
        <is>
          <t>smallcap</t>
        </is>
      </c>
      <c r="H45" s="32" t="n">
        <v>569.37</v>
      </c>
      <c r="I45" s="32" t="n">
        <v>334</v>
      </c>
      <c r="J45" s="32" t="n">
        <v>0.75</v>
      </c>
      <c r="K45" s="32" t="n">
        <v>9962</v>
      </c>
      <c r="L45" s="31" t="n">
        <v>94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81.26000000000001</v>
      </c>
      <c r="P45" s="32" t="n">
        <v>65.81999999999999</v>
      </c>
      <c r="Q45" s="32" t="inlineStr"/>
      <c r="R45" s="31" t="inlineStr">
        <is>
          <t>Earnings / Momentum Support</t>
        </is>
      </c>
      <c r="S45" s="31" t="inlineStr">
        <is>
          <t>Nifty 50</t>
        </is>
      </c>
      <c r="T45" s="32" t="n">
        <v>-2.49</v>
      </c>
      <c r="U45" s="32" t="n">
        <v>63.58</v>
      </c>
      <c r="V45" s="32" t="n">
        <v>67.75</v>
      </c>
      <c r="W45" s="32" t="n">
        <v>35.74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IF(B46=0,"",RANK(B46,$B$2:$B$389,0))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BIRLACABLE</t>
        </is>
      </c>
      <c r="D46" s="31" t="inlineStr">
        <is>
          <t>Birla Cable Limited</t>
        </is>
      </c>
      <c r="E46" s="31" t="inlineStr">
        <is>
          <t>industrials</t>
        </is>
      </c>
      <c r="F46" s="31" t="inlineStr">
        <is>
          <t>cables - telephone</t>
        </is>
      </c>
      <c r="G46" s="31" t="inlineStr">
        <is>
          <t>smallcap</t>
        </is>
      </c>
      <c r="H46" s="32" t="n">
        <v>829.92</v>
      </c>
      <c r="I46" s="32" t="n">
        <v>272.7</v>
      </c>
      <c r="J46" s="32" t="n">
        <v>-1.42</v>
      </c>
      <c r="K46" s="32" t="n">
        <v>149067</v>
      </c>
      <c r="L46" s="31" t="inlineStr"/>
      <c r="M46" s="31" t="inlineStr"/>
      <c r="N46" s="32">
        <f>IF(M46="Underperforming",-5,IF(L46&gt;=95,15,IF(L46&gt;=90,10,IF(L46&gt;=80,5,0))))</f>
        <v/>
      </c>
      <c r="O46" s="32" t="n">
        <v>69.39</v>
      </c>
      <c r="P46" s="32" t="n">
        <v>48.96</v>
      </c>
      <c r="Q46" s="32" t="inlineStr"/>
      <c r="R46" s="31" t="inlineStr">
        <is>
          <t>Earnings / Momentum Support</t>
        </is>
      </c>
      <c r="S46" s="31" t="inlineStr">
        <is>
          <t>Nifty Infra</t>
        </is>
      </c>
      <c r="T46" s="32" t="inlineStr"/>
      <c r="U46" s="32" t="inlineStr"/>
      <c r="V46" s="32" t="inlineStr"/>
      <c r="W46" s="32" t="inlineStr"/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IF(B47=0,"",RANK(B47,$B$2:$B$389,0))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KRBL</t>
        </is>
      </c>
      <c r="D47" s="31" t="inlineStr">
        <is>
          <t>Krbl Limited</t>
        </is>
      </c>
      <c r="E47" s="31" t="inlineStr">
        <is>
          <t>fmcg</t>
        </is>
      </c>
      <c r="F47" s="31" t="inlineStr">
        <is>
          <t>food - processing - indian</t>
        </is>
      </c>
      <c r="G47" s="31" t="inlineStr">
        <is>
          <t>midcap</t>
        </is>
      </c>
      <c r="H47" s="32" t="n">
        <v>9314.67</v>
      </c>
      <c r="I47" s="32" t="n">
        <v>437.8</v>
      </c>
      <c r="J47" s="32" t="n">
        <v>7.58</v>
      </c>
      <c r="K47" s="32" t="n">
        <v>6572732</v>
      </c>
      <c r="L47" s="31" t="inlineStr"/>
      <c r="M47" s="31" t="inlineStr"/>
      <c r="N47" s="32">
        <f>IF(M47="Underperforming",-5,IF(L47&gt;=95,15,IF(L47&gt;=90,10,IF(L47&gt;=80,5,0))))</f>
        <v/>
      </c>
      <c r="O47" s="32" t="n">
        <v>63.1</v>
      </c>
      <c r="P47" s="32" t="n">
        <v>9.02</v>
      </c>
      <c r="Q47" s="32" t="inlineStr"/>
      <c r="R47" s="31" t="inlineStr">
        <is>
          <t>Volume Spike / Accumulation</t>
        </is>
      </c>
      <c r="S47" s="31" t="inlineStr">
        <is>
          <t>Nifty FMCG</t>
        </is>
      </c>
      <c r="T47" s="32" t="inlineStr"/>
      <c r="U47" s="32" t="inlineStr"/>
      <c r="V47" s="32" t="inlineStr"/>
      <c r="W47" s="32" t="inlineStr"/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B2C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0 to 20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IF(B48=0,"",RANK(B48,$B$2:$B$389,0))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LTFOODS</t>
        </is>
      </c>
      <c r="D48" s="31" t="inlineStr">
        <is>
          <t>L T Foods Ltd</t>
        </is>
      </c>
      <c r="E48" s="31" t="inlineStr">
        <is>
          <t>fmcg</t>
        </is>
      </c>
      <c r="F48" s="31" t="inlineStr">
        <is>
          <t>food - processing - indian</t>
        </is>
      </c>
      <c r="G48" s="31" t="inlineStr">
        <is>
          <t>midcap</t>
        </is>
      </c>
      <c r="H48" s="32" t="n">
        <v>14848.54</v>
      </c>
      <c r="I48" s="32" t="n">
        <v>459</v>
      </c>
      <c r="J48" s="32" t="n">
        <v>7.34</v>
      </c>
      <c r="K48" s="32" t="n">
        <v>45196387</v>
      </c>
      <c r="L48" s="31" t="inlineStr"/>
      <c r="M48" s="31" t="inlineStr"/>
      <c r="N48" s="32">
        <f>IF(M48="Underperforming",-5,IF(L48&gt;=95,15,IF(L48&gt;=90,10,IF(L48&gt;=80,5,0))))</f>
        <v/>
      </c>
      <c r="O48" s="32" t="n">
        <v>59.33</v>
      </c>
      <c r="P48" s="32" t="n">
        <v>15.59</v>
      </c>
      <c r="Q48" s="32" t="inlineStr"/>
      <c r="R48" s="31" t="inlineStr">
        <is>
          <t>Volume Spike / Accumulation</t>
        </is>
      </c>
      <c r="S48" s="31" t="inlineStr">
        <is>
          <t>Nifty FMCG</t>
        </is>
      </c>
      <c r="T48" s="32" t="inlineStr"/>
      <c r="U48" s="32" t="inlineStr"/>
      <c r="V48" s="32" t="inlineStr"/>
      <c r="W48" s="32" t="inlineStr"/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B2C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0 to 20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IF(B49=0,"",RANK(B49,$B$2:$B$389,0))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AKUMS</t>
        </is>
      </c>
      <c r="D49" s="31" t="inlineStr">
        <is>
          <t>Akums Drugs &amp; Pharmaceuticals Ltd</t>
        </is>
      </c>
      <c r="E49" s="31" t="inlineStr">
        <is>
          <t>healthcare</t>
        </is>
      </c>
      <c r="F49" s="31" t="inlineStr">
        <is>
          <t>pharmaceuticals - indian - bulk drugs &amp; formln</t>
        </is>
      </c>
      <c r="G49" s="31" t="inlineStr">
        <is>
          <t>midcap</t>
        </is>
      </c>
      <c r="H49" s="32" t="n">
        <v>11804.55</v>
      </c>
      <c r="I49" s="32" t="n">
        <v>770.35</v>
      </c>
      <c r="J49" s="32" t="n">
        <v>2.71</v>
      </c>
      <c r="K49" s="32" t="n">
        <v>616758</v>
      </c>
      <c r="L49" s="31" t="n">
        <v>73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72.94</v>
      </c>
      <c r="P49" s="32" t="n">
        <v>57.23</v>
      </c>
      <c r="Q49" s="32" t="inlineStr"/>
      <c r="R49" s="31" t="inlineStr">
        <is>
          <t>Earnings / Momentum Support</t>
        </is>
      </c>
      <c r="S49" s="31" t="inlineStr">
        <is>
          <t>Nifty Pharma</t>
        </is>
      </c>
      <c r="T49" s="32" t="n">
        <v>18.39</v>
      </c>
      <c r="U49" s="32" t="n">
        <v>56.97</v>
      </c>
      <c r="V49" s="32" t="n">
        <v>32.59</v>
      </c>
      <c r="W49" s="32" t="n">
        <v>19.96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IF(B50=0,"",RANK(B50,$B$2:$B$389,0))</f>
        <v/>
      </c>
      <c r="B50" s="32">
        <f>SUM(N50,Y50,AA50,AC50,AE50,AG50,AI50,AK50,AM50,AO50,AQ50,AS50,AU50,AW50,AY50,BA50,BC50,BE50,BG50,BI50,BK50,BM50,BO50,BQ50,BS50,BU50,BW50,BY50,CA50,CC50,CE50)</f>
        <v/>
      </c>
      <c r="C50" s="33" t="inlineStr">
        <is>
          <t>JAGSNPHARM</t>
        </is>
      </c>
      <c r="D50" s="33" t="inlineStr">
        <is>
          <t>Jagsonpal Pharmaceuticals Limited</t>
        </is>
      </c>
      <c r="E50" s="31" t="inlineStr">
        <is>
          <t>healthcare</t>
        </is>
      </c>
      <c r="F50" s="31" t="inlineStr">
        <is>
          <t>pharmaceuticals - indian - bulk drugs &amp; formln</t>
        </is>
      </c>
      <c r="G50" s="31" t="inlineStr">
        <is>
          <t>smallcap</t>
        </is>
      </c>
      <c r="H50" s="32" t="n">
        <v>1557.27</v>
      </c>
      <c r="I50" s="32" t="n">
        <v>240.77</v>
      </c>
      <c r="J50" s="32" t="n">
        <v>1.79</v>
      </c>
      <c r="K50" s="32" t="n">
        <v>283021</v>
      </c>
      <c r="L50" s="31" t="n">
        <v>18</v>
      </c>
      <c r="M50" s="31" t="inlineStr">
        <is>
          <t>Underperforming</t>
        </is>
      </c>
      <c r="N50" s="32">
        <f>IF(M50="Underperforming",-5,IF(L50&gt;=95,15,IF(L50&gt;=90,10,IF(L50&gt;=80,5,0))))</f>
        <v/>
      </c>
      <c r="O50" s="32" t="n">
        <v>63.73</v>
      </c>
      <c r="P50" s="32" t="n">
        <v>45.15</v>
      </c>
      <c r="Q50" s="32" t="inlineStr"/>
      <c r="R50" s="31" t="inlineStr">
        <is>
          <t>Earnings / Momentum Support</t>
        </is>
      </c>
      <c r="S50" s="31" t="inlineStr">
        <is>
          <t>Nifty Pharma</t>
        </is>
      </c>
      <c r="T50" s="32" t="n">
        <v>18.39</v>
      </c>
      <c r="U50" s="32" t="n">
        <v>1.66</v>
      </c>
      <c r="V50" s="32" t="n">
        <v>-14.13</v>
      </c>
      <c r="W50" s="32" t="n">
        <v>3.82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IF(B51=0,"",RANK(B51,$B$2:$B$389,0))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MARKSANS</t>
        </is>
      </c>
      <c r="D51" s="31" t="inlineStr">
        <is>
          <t>Marksans Pharma Limited</t>
        </is>
      </c>
      <c r="E51" s="31" t="inlineStr">
        <is>
          <t>healthcare</t>
        </is>
      </c>
      <c r="F51" s="31" t="inlineStr">
        <is>
          <t>pharmaceuticals - indian - formulations</t>
        </is>
      </c>
      <c r="G51" s="31" t="inlineStr">
        <is>
          <t>midcap</t>
        </is>
      </c>
      <c r="H51" s="32" t="n">
        <v>14560.15</v>
      </c>
      <c r="I51" s="32" t="n">
        <v>323.9</v>
      </c>
      <c r="J51" s="32" t="n">
        <v>0.8100000000000001</v>
      </c>
      <c r="K51" s="32" t="n">
        <v>2199285</v>
      </c>
      <c r="L51" s="31" t="n">
        <v>82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73.42</v>
      </c>
      <c r="P51" s="32" t="n">
        <v>58.65</v>
      </c>
      <c r="Q51" s="32" t="inlineStr"/>
      <c r="R51" s="31" t="inlineStr">
        <is>
          <t>Earnings / Momentum Support</t>
        </is>
      </c>
      <c r="S51" s="31" t="inlineStr">
        <is>
          <t>Nifty Pharma</t>
        </is>
      </c>
      <c r="T51" s="32" t="n">
        <v>18.39</v>
      </c>
      <c r="U51" s="32" t="n">
        <v>79.03</v>
      </c>
      <c r="V51" s="32" t="n">
        <v>51.22</v>
      </c>
      <c r="W51" s="32" t="n">
        <v>24.5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IF(B52=0,"",RANK(B52,$B$2:$B$389,0))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GLAND</t>
        </is>
      </c>
      <c r="D52" s="31" t="inlineStr">
        <is>
          <t>Gland Pharma Ltd</t>
        </is>
      </c>
      <c r="E52" s="31" t="inlineStr">
        <is>
          <t>healthcare</t>
        </is>
      </c>
      <c r="F52" s="31" t="inlineStr">
        <is>
          <t>pharmaceuticals - indian - formulations</t>
        </is>
      </c>
      <c r="G52" s="31" t="inlineStr">
        <is>
          <t>largecap</t>
        </is>
      </c>
      <c r="H52" s="32" t="n">
        <v>46507.08</v>
      </c>
      <c r="I52" s="32" t="n">
        <v>2811.9</v>
      </c>
      <c r="J52" s="32" t="n">
        <v>-0.26</v>
      </c>
      <c r="K52" s="32" t="n">
        <v>576230</v>
      </c>
      <c r="L52" s="31" t="n">
        <v>55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71.68000000000001</v>
      </c>
      <c r="P52" s="32" t="n">
        <v>61.79</v>
      </c>
      <c r="Q52" s="32" t="inlineStr"/>
      <c r="R52" s="31" t="inlineStr">
        <is>
          <t>Earnings / Momentum Support</t>
        </is>
      </c>
      <c r="S52" s="31" t="inlineStr">
        <is>
          <t>Nifty Pharma</t>
        </is>
      </c>
      <c r="T52" s="32" t="n">
        <v>18.39</v>
      </c>
      <c r="U52" s="32" t="n">
        <v>45.12</v>
      </c>
      <c r="V52" s="32" t="n">
        <v>22.58</v>
      </c>
      <c r="W52" s="32" t="n">
        <v>12.93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IF(B53=0,"",RANK(B53,$B$2:$B$389,0))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MOREPENLAB</t>
        </is>
      </c>
      <c r="D53" s="31" t="inlineStr">
        <is>
          <t>Morepen Laboratories Limited</t>
        </is>
      </c>
      <c r="E53" s="31" t="inlineStr">
        <is>
          <t>healthcare</t>
        </is>
      </c>
      <c r="F53" s="31" t="inlineStr">
        <is>
          <t>pharmaceuticals - indian - bulk drugs &amp; formln</t>
        </is>
      </c>
      <c r="G53" s="31" t="inlineStr">
        <is>
          <t>midcap</t>
        </is>
      </c>
      <c r="H53" s="32" t="n">
        <v>5260.9</v>
      </c>
      <c r="I53" s="32" t="n">
        <v>95.22</v>
      </c>
      <c r="J53" s="32" t="n">
        <v>-0.82</v>
      </c>
      <c r="K53" s="32" t="n">
        <v>19348188</v>
      </c>
      <c r="L53" s="31" t="n">
        <v>97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83.45999999999999</v>
      </c>
      <c r="P53" s="32" t="n">
        <v>43.1</v>
      </c>
      <c r="Q53" s="32" t="inlineStr"/>
      <c r="R53" s="31" t="inlineStr">
        <is>
          <t>Earnings / Momentum Support</t>
        </is>
      </c>
      <c r="S53" s="31" t="inlineStr">
        <is>
          <t>Nifty Pharma</t>
        </is>
      </c>
      <c r="T53" s="32" t="n">
        <v>18.39</v>
      </c>
      <c r="U53" s="32" t="n">
        <v>96.66</v>
      </c>
      <c r="V53" s="32" t="n">
        <v>66.11</v>
      </c>
      <c r="W53" s="32" t="n">
        <v>47.23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IF(B54=0,"",RANK(B54,$B$2:$B$389,0))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RADICO</t>
        </is>
      </c>
      <c r="D54" s="31" t="inlineStr">
        <is>
          <t>Radico Khaitan Limited</t>
        </is>
      </c>
      <c r="E54" s="31" t="inlineStr">
        <is>
          <t>fmcg</t>
        </is>
      </c>
      <c r="F54" s="31" t="inlineStr">
        <is>
          <t>breweries &amp; distilleries</t>
        </is>
      </c>
      <c r="G54" s="31" t="inlineStr">
        <is>
          <t>largecap</t>
        </is>
      </c>
      <c r="H54" s="32" t="n">
        <v>62141.47</v>
      </c>
      <c r="I54" s="32" t="n">
        <v>4600</v>
      </c>
      <c r="J54" s="32" t="n">
        <v>-0.86</v>
      </c>
      <c r="K54" s="32" t="n">
        <v>225186</v>
      </c>
      <c r="L54" s="31" t="inlineStr"/>
      <c r="M54" s="31" t="inlineStr"/>
      <c r="N54" s="32">
        <f>IF(M54="Underperforming",-5,IF(L54&gt;=95,15,IF(L54&gt;=90,10,IF(L54&gt;=80,5,0))))</f>
        <v/>
      </c>
      <c r="O54" s="32" t="n">
        <v>86.34999999999999</v>
      </c>
      <c r="P54" s="32" t="n">
        <v>67.73999999999999</v>
      </c>
      <c r="Q54" s="32" t="inlineStr"/>
      <c r="R54" s="31" t="inlineStr">
        <is>
          <t>Earnings / Momentum Support</t>
        </is>
      </c>
      <c r="S54" s="31" t="inlineStr">
        <is>
          <t>Nifty FMCG</t>
        </is>
      </c>
      <c r="T54" s="32" t="inlineStr"/>
      <c r="U54" s="32" t="inlineStr"/>
      <c r="V54" s="32" t="inlineStr"/>
      <c r="W54" s="32" t="inlineStr"/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B2C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IF(B55=0,"",RANK(B55,$B$2:$B$389,0))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MANORAMA</t>
        </is>
      </c>
      <c r="D55" s="31" t="inlineStr">
        <is>
          <t>Manorama Industries Ltd</t>
        </is>
      </c>
      <c r="E55" s="31" t="inlineStr">
        <is>
          <t>fmcg</t>
        </is>
      </c>
      <c r="F55" s="31" t="inlineStr">
        <is>
          <t>food - processing - indian</t>
        </is>
      </c>
      <c r="G55" s="31" t="inlineStr">
        <is>
          <t>midcap</t>
        </is>
      </c>
      <c r="H55" s="32" t="n">
        <v>11507.63</v>
      </c>
      <c r="I55" s="32" t="n">
        <v>1909.4</v>
      </c>
      <c r="J55" s="32" t="n">
        <v>-0.93</v>
      </c>
      <c r="K55" s="32" t="n">
        <v>206292</v>
      </c>
      <c r="L55" s="31" t="inlineStr"/>
      <c r="M55" s="31" t="inlineStr"/>
      <c r="N55" s="32">
        <f>IF(M55="Underperforming",-5,IF(L55&gt;=95,15,IF(L55&gt;=90,10,IF(L55&gt;=80,5,0))))</f>
        <v/>
      </c>
      <c r="O55" s="32" t="n">
        <v>74.95999999999999</v>
      </c>
      <c r="P55" s="32" t="n">
        <v>22.42</v>
      </c>
      <c r="Q55" s="32" t="inlineStr"/>
      <c r="R55" s="31" t="inlineStr">
        <is>
          <t>Earnings / Momentum Support</t>
        </is>
      </c>
      <c r="S55" s="31" t="inlineStr">
        <is>
          <t>Nifty FMCG</t>
        </is>
      </c>
      <c r="T55" s="32" t="inlineStr"/>
      <c r="U55" s="32" t="inlineStr"/>
      <c r="V55" s="32" t="inlineStr"/>
      <c r="W55" s="32" t="inlineStr"/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B2C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IF(B56=0,"",RANK(B56,$B$2:$B$389,0))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GUFICBIO</t>
        </is>
      </c>
      <c r="D56" s="31" t="inlineStr">
        <is>
          <t>Gufic Biosciences Limited</t>
        </is>
      </c>
      <c r="E56" s="31" t="inlineStr">
        <is>
          <t>healthcare</t>
        </is>
      </c>
      <c r="F56" s="31" t="inlineStr">
        <is>
          <t>pharmaceuticals - indian - bulk drugs &amp; formln</t>
        </is>
      </c>
      <c r="G56" s="31" t="inlineStr">
        <is>
          <t>smallcap</t>
        </is>
      </c>
      <c r="H56" s="32" t="n">
        <v>4327.19</v>
      </c>
      <c r="I56" s="32" t="n">
        <v>418</v>
      </c>
      <c r="J56" s="32" t="n">
        <v>-3.13</v>
      </c>
      <c r="K56" s="32" t="n">
        <v>222963</v>
      </c>
      <c r="L56" s="31" t="n">
        <v>60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72.27</v>
      </c>
      <c r="P56" s="32" t="n">
        <v>53.01</v>
      </c>
      <c r="Q56" s="32" t="inlineStr"/>
      <c r="R56" s="31" t="inlineStr">
        <is>
          <t>Earnings / Momentum Support</t>
        </is>
      </c>
      <c r="S56" s="31" t="inlineStr">
        <is>
          <t>Nifty Pharma</t>
        </is>
      </c>
      <c r="T56" s="32" t="n">
        <v>18.39</v>
      </c>
      <c r="U56" s="32" t="n">
        <v>18.82</v>
      </c>
      <c r="V56" s="32" t="n">
        <v>0.36</v>
      </c>
      <c r="W56" s="32" t="n">
        <v>14.91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IF(B57=0,"",RANK(B57,$B$2:$B$389,0))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NAHARINDUS</t>
        </is>
      </c>
      <c r="D57" s="31" t="inlineStr">
        <is>
          <t>Nahar Industrial Enterprises Limited</t>
        </is>
      </c>
      <c r="E57" s="31" t="inlineStr">
        <is>
          <t>textiles</t>
        </is>
      </c>
      <c r="F57" s="31" t="inlineStr">
        <is>
          <t>textiles - cotton/blended</t>
        </is>
      </c>
      <c r="G57" s="31" t="inlineStr">
        <is>
          <t>smallcap</t>
        </is>
      </c>
      <c r="H57" s="32" t="n">
        <v>542.71</v>
      </c>
      <c r="I57" s="32" t="n">
        <v>147.6</v>
      </c>
      <c r="J57" s="32" t="n">
        <v>17.51</v>
      </c>
      <c r="K57" s="32" t="n">
        <v>940785</v>
      </c>
      <c r="L57" s="31" t="n">
        <v>22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60.29</v>
      </c>
      <c r="P57" s="32" t="n">
        <v>23.02</v>
      </c>
      <c r="Q57" s="32" t="inlineStr"/>
      <c r="R57" s="31" t="inlineStr">
        <is>
          <t>Volume Spike / Accumulation</t>
        </is>
      </c>
      <c r="S57" s="31" t="inlineStr">
        <is>
          <t>Nifty 50</t>
        </is>
      </c>
      <c r="T57" s="32" t="n">
        <v>-2.49</v>
      </c>
      <c r="U57" s="32" t="n">
        <v>12.27</v>
      </c>
      <c r="V57" s="32" t="n">
        <v>15.13</v>
      </c>
      <c r="W57" s="32" t="n">
        <v>4.74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IF(B58=0,"",RANK(B58,$B$2:$B$389,0))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ORIENTBELL</t>
        </is>
      </c>
      <c r="D58" s="31" t="inlineStr">
        <is>
          <t>Orient Bell Limited</t>
        </is>
      </c>
      <c r="E58" s="31" t="inlineStr">
        <is>
          <t>building materials</t>
        </is>
      </c>
      <c r="F58" s="31" t="inlineStr">
        <is>
          <t>ceramics - tiles / sanitaryware</t>
        </is>
      </c>
      <c r="G58" s="31" t="inlineStr">
        <is>
          <t>smallcap</t>
        </is>
      </c>
      <c r="H58" s="32" t="n">
        <v>528.77</v>
      </c>
      <c r="I58" s="32" t="n">
        <v>379.7</v>
      </c>
      <c r="J58" s="32" t="n">
        <v>5.63</v>
      </c>
      <c r="K58" s="32" t="n">
        <v>147868</v>
      </c>
      <c r="L58" s="31" t="inlineStr"/>
      <c r="M58" s="31" t="inlineStr"/>
      <c r="N58" s="32">
        <f>IF(M58="Underperforming",-5,IF(L58&gt;=95,15,IF(L58&gt;=90,10,IF(L58&gt;=80,5,0))))</f>
        <v/>
      </c>
      <c r="O58" s="32" t="n">
        <v>64.09999999999999</v>
      </c>
      <c r="P58" s="32" t="n">
        <v>38.64</v>
      </c>
      <c r="Q58" s="32" t="inlineStr"/>
      <c r="R58" s="31" t="inlineStr">
        <is>
          <t>Earnings / Momentum Support</t>
        </is>
      </c>
      <c r="S58" s="31" t="inlineStr">
        <is>
          <t>Nifty Infra</t>
        </is>
      </c>
      <c r="T58" s="32" t="inlineStr"/>
      <c r="U58" s="32" t="inlineStr"/>
      <c r="V58" s="32" t="inlineStr"/>
      <c r="W58" s="32" t="inlineStr"/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IF(B59=0,"",RANK(B59,$B$2:$B$389,0))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IGPL</t>
        </is>
      </c>
      <c r="D59" s="31" t="inlineStr">
        <is>
          <t>Ig Petrochemicals Limited</t>
        </is>
      </c>
      <c r="E59" s="31" t="inlineStr">
        <is>
          <t>chemicals</t>
        </is>
      </c>
      <c r="F59" s="31" t="inlineStr">
        <is>
          <t>chemicals</t>
        </is>
      </c>
      <c r="G59" s="31" t="inlineStr">
        <is>
          <t>smallcap</t>
        </is>
      </c>
      <c r="H59" s="32" t="n">
        <v>1463.37</v>
      </c>
      <c r="I59" s="32" t="n">
        <v>501.05</v>
      </c>
      <c r="J59" s="32" t="n">
        <v>5.44</v>
      </c>
      <c r="K59" s="32" t="n">
        <v>531303</v>
      </c>
      <c r="L59" s="31" t="n">
        <v>17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59.55</v>
      </c>
      <c r="P59" s="32" t="n">
        <v>23.19</v>
      </c>
      <c r="Q59" s="32" t="inlineStr"/>
      <c r="R59" s="31" t="inlineStr">
        <is>
          <t>Earnings / Momentum Support</t>
        </is>
      </c>
      <c r="S59" s="31" t="inlineStr">
        <is>
          <t>Nifty 50</t>
        </is>
      </c>
      <c r="T59" s="32" t="n">
        <v>-2.49</v>
      </c>
      <c r="U59" s="32" t="n">
        <v>3.63</v>
      </c>
      <c r="V59" s="32" t="n">
        <v>6.27</v>
      </c>
      <c r="W59" s="32" t="n">
        <v>3.74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IF(B60=0,"",RANK(B60,$B$2:$B$389,0))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RML</t>
        </is>
      </c>
      <c r="D60" s="31" t="inlineStr">
        <is>
          <t>Rane (madras) Limited</t>
        </is>
      </c>
      <c r="E60" s="31" t="inlineStr">
        <is>
          <t>auto</t>
        </is>
      </c>
      <c r="F60" s="31" t="inlineStr">
        <is>
          <t>auto ancillaries</t>
        </is>
      </c>
      <c r="G60" s="31" t="inlineStr">
        <is>
          <t>smallcap</t>
        </is>
      </c>
      <c r="H60" s="32" t="n">
        <v>3042.85</v>
      </c>
      <c r="I60" s="32" t="n">
        <v>1160.8</v>
      </c>
      <c r="J60" s="32" t="n">
        <v>5.43</v>
      </c>
      <c r="K60" s="32" t="n">
        <v>155346</v>
      </c>
      <c r="L60" s="31" t="inlineStr"/>
      <c r="M60" s="31" t="inlineStr"/>
      <c r="N60" s="32">
        <f>IF(M60="Underperforming",-5,IF(L60&gt;=95,15,IF(L60&gt;=90,10,IF(L60&gt;=80,5,0))))</f>
        <v/>
      </c>
      <c r="O60" s="32" t="n">
        <v>58.08</v>
      </c>
      <c r="P60" s="32" t="n">
        <v>47.96</v>
      </c>
      <c r="Q60" s="32" t="inlineStr"/>
      <c r="R60" s="31" t="inlineStr">
        <is>
          <t>Earnings / Momentum Support</t>
        </is>
      </c>
      <c r="S60" s="31" t="inlineStr">
        <is>
          <t>Nifty Auto</t>
        </is>
      </c>
      <c r="T60" s="32" t="inlineStr"/>
      <c r="U60" s="32" t="inlineStr"/>
      <c r="V60" s="32" t="inlineStr"/>
      <c r="W60" s="32" t="inlineStr"/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Between 0.7 to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IF(B61=0,"",RANK(B61,$B$2:$B$389,0))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SHALPAINTS</t>
        </is>
      </c>
      <c r="D61" s="31" t="inlineStr">
        <is>
          <t>Shalimar Paints Limited</t>
        </is>
      </c>
      <c r="E61" s="31" t="inlineStr">
        <is>
          <t>building materials</t>
        </is>
      </c>
      <c r="F61" s="31" t="inlineStr">
        <is>
          <t>paints / varnishes</t>
        </is>
      </c>
      <c r="G61" s="31" t="inlineStr">
        <is>
          <t>smallcap</t>
        </is>
      </c>
      <c r="H61" s="32" t="n">
        <v>677.14</v>
      </c>
      <c r="I61" s="32" t="n">
        <v>84.93000000000001</v>
      </c>
      <c r="J61" s="32" t="n">
        <v>4.99</v>
      </c>
      <c r="K61" s="32" t="n">
        <v>228778</v>
      </c>
      <c r="L61" s="31" t="inlineStr"/>
      <c r="M61" s="31" t="inlineStr"/>
      <c r="N61" s="32">
        <f>IF(M61="Underperforming",-5,IF(L61&gt;=95,15,IF(L61&gt;=90,10,IF(L61&gt;=80,5,0))))</f>
        <v/>
      </c>
      <c r="O61" s="32" t="n">
        <v>63.4</v>
      </c>
      <c r="P61" s="32" t="n">
        <v>24.61</v>
      </c>
      <c r="Q61" s="32" t="inlineStr"/>
      <c r="R61" s="31" t="inlineStr">
        <is>
          <t>Earnings / Momentum Support</t>
        </is>
      </c>
      <c r="S61" s="31" t="inlineStr">
        <is>
          <t>Nifty Infra</t>
        </is>
      </c>
      <c r="T61" s="32" t="inlineStr"/>
      <c r="U61" s="32" t="inlineStr"/>
      <c r="V61" s="32" t="inlineStr"/>
      <c r="W61" s="32" t="inlineStr"/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IF(B62=0,"",RANK(B62,$B$2:$B$389,0))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FCL</t>
        </is>
      </c>
      <c r="D62" s="31" t="inlineStr">
        <is>
          <t>Fineotex Chemical Limited</t>
        </is>
      </c>
      <c r="E62" s="31" t="inlineStr">
        <is>
          <t>chemicals</t>
        </is>
      </c>
      <c r="F62" s="31" t="inlineStr">
        <is>
          <t>chemicals</t>
        </is>
      </c>
      <c r="G62" s="31" t="inlineStr">
        <is>
          <t>midcap</t>
        </is>
      </c>
      <c r="H62" s="32" t="n">
        <v>5523.23</v>
      </c>
      <c r="I62" s="32" t="n">
        <v>49.62</v>
      </c>
      <c r="J62" s="32" t="n">
        <v>4.62</v>
      </c>
      <c r="K62" s="32" t="n">
        <v>43120999</v>
      </c>
      <c r="L62" s="31" t="n">
        <v>80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73.34999999999999</v>
      </c>
      <c r="P62" s="32" t="n">
        <v>49.63</v>
      </c>
      <c r="Q62" s="32" t="inlineStr"/>
      <c r="R62" s="31" t="inlineStr">
        <is>
          <t>Earnings / Momentum Support</t>
        </is>
      </c>
      <c r="S62" s="31" t="inlineStr">
        <is>
          <t>Nifty 50</t>
        </is>
      </c>
      <c r="T62" s="32" t="n">
        <v>-2.49</v>
      </c>
      <c r="U62" s="32" t="n">
        <v>86.87</v>
      </c>
      <c r="V62" s="32" t="n">
        <v>91.63</v>
      </c>
      <c r="W62" s="32" t="n">
        <v>23.4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IF(B63=0,"",RANK(B63,$B$2:$B$389,0))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SREEL</t>
        </is>
      </c>
      <c r="D63" s="31" t="inlineStr">
        <is>
          <t>Sreeleathers Limited</t>
        </is>
      </c>
      <c r="E63" s="31" t="inlineStr">
        <is>
          <t>consumer discretionary</t>
        </is>
      </c>
      <c r="F63" s="31" t="inlineStr">
        <is>
          <t>trading</t>
        </is>
      </c>
      <c r="G63" s="31" t="inlineStr">
        <is>
          <t>smallcap</t>
        </is>
      </c>
      <c r="H63" s="32" t="n">
        <v>557.67</v>
      </c>
      <c r="I63" s="32" t="n">
        <v>249.71</v>
      </c>
      <c r="J63" s="32" t="n">
        <v>3.68</v>
      </c>
      <c r="K63" s="32" t="n">
        <v>42986</v>
      </c>
      <c r="L63" s="31" t="n">
        <v>33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67.02</v>
      </c>
      <c r="P63" s="32" t="n">
        <v>46.92</v>
      </c>
      <c r="Q63" s="32" t="inlineStr"/>
      <c r="R63" s="31" t="inlineStr">
        <is>
          <t>Earnings / Momentum Support</t>
        </is>
      </c>
      <c r="S63" s="31" t="inlineStr">
        <is>
          <t>Nifty 50</t>
        </is>
      </c>
      <c r="T63" s="32" t="n">
        <v>-2.49</v>
      </c>
      <c r="U63" s="32" t="n">
        <v>3.82</v>
      </c>
      <c r="V63" s="32" t="n">
        <v>6.47</v>
      </c>
      <c r="W63" s="32" t="n">
        <v>7.31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IF(B64=0,"",RANK(B64,$B$2:$B$389,0))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GAYAPROJ</t>
        </is>
      </c>
      <c r="D64" s="31" t="inlineStr">
        <is>
          <t>Gayatri Projects Limited</t>
        </is>
      </c>
      <c r="E64" s="31" t="inlineStr">
        <is>
          <t>realty</t>
        </is>
      </c>
      <c r="F64" s="31" t="inlineStr">
        <is>
          <t>construction</t>
        </is>
      </c>
      <c r="G64" s="31" t="inlineStr">
        <is>
          <t>smallcap</t>
        </is>
      </c>
      <c r="H64" s="32" t="n">
        <v>1010.31</v>
      </c>
      <c r="I64" s="32" t="n">
        <v>22.39</v>
      </c>
      <c r="J64" s="32" t="n">
        <v>2.9</v>
      </c>
      <c r="K64" s="32" t="n">
        <v>1022944</v>
      </c>
      <c r="L64" s="31" t="inlineStr"/>
      <c r="M64" s="31" t="inlineStr"/>
      <c r="N64" s="32">
        <f>IF(M64="Underperforming",-5,IF(L64&gt;=95,15,IF(L64&gt;=90,10,IF(L64&gt;=80,5,0))))</f>
        <v/>
      </c>
      <c r="O64" s="32" t="n">
        <v>63.4</v>
      </c>
      <c r="P64" s="32" t="n">
        <v>29.68</v>
      </c>
      <c r="Q64" s="32" t="inlineStr"/>
      <c r="R64" s="31" t="inlineStr">
        <is>
          <t>Earnings / Momentum Support</t>
        </is>
      </c>
      <c r="S64" s="31" t="inlineStr">
        <is>
          <t>Nifty Realty</t>
        </is>
      </c>
      <c r="T64" s="32" t="inlineStr"/>
      <c r="U64" s="32" t="inlineStr"/>
      <c r="V64" s="32" t="inlineStr"/>
      <c r="W64" s="32" t="inlineStr"/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IF(B65=0,"",RANK(B65,$B$2:$B$389,0))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SJS</t>
        </is>
      </c>
      <c r="D65" s="31" t="inlineStr">
        <is>
          <t>S J S Enterprises Ltd</t>
        </is>
      </c>
      <c r="E65" s="31" t="inlineStr">
        <is>
          <t>auto</t>
        </is>
      </c>
      <c r="F65" s="31" t="inlineStr">
        <is>
          <t>plastics products</t>
        </is>
      </c>
      <c r="G65" s="31" t="inlineStr">
        <is>
          <t>midcap</t>
        </is>
      </c>
      <c r="H65" s="32" t="n">
        <v>7992.97</v>
      </c>
      <c r="I65" s="32" t="n">
        <v>2561.7</v>
      </c>
      <c r="J65" s="32" t="n">
        <v>2.57</v>
      </c>
      <c r="K65" s="32" t="n">
        <v>194561</v>
      </c>
      <c r="L65" s="31" t="inlineStr"/>
      <c r="M65" s="31" t="inlineStr"/>
      <c r="N65" s="32">
        <f>IF(M65="Underperforming",-5,IF(L65&gt;=95,15,IF(L65&gt;=90,10,IF(L65&gt;=80,5,0))))</f>
        <v/>
      </c>
      <c r="O65" s="32" t="n">
        <v>71.45999999999999</v>
      </c>
      <c r="P65" s="32" t="n">
        <v>46.97</v>
      </c>
      <c r="Q65" s="32" t="inlineStr"/>
      <c r="R65" s="31" t="inlineStr">
        <is>
          <t>Earnings / Momentum Support</t>
        </is>
      </c>
      <c r="S65" s="31" t="inlineStr">
        <is>
          <t>Nifty Auto</t>
        </is>
      </c>
      <c r="T65" s="32" t="inlineStr"/>
      <c r="U65" s="32" t="inlineStr"/>
      <c r="V65" s="32" t="inlineStr"/>
      <c r="W65" s="32" t="inlineStr"/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IF(B66=0,"",RANK(B66,$B$2:$B$389,0))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JAYAGROGN</t>
        </is>
      </c>
      <c r="D66" s="31" t="inlineStr">
        <is>
          <t>Jayant Agro Organics Limited</t>
        </is>
      </c>
      <c r="E66" s="31" t="inlineStr">
        <is>
          <t>chemicals</t>
        </is>
      </c>
      <c r="F66" s="31" t="inlineStr">
        <is>
          <t>chemicals</t>
        </is>
      </c>
      <c r="G66" s="31" t="inlineStr">
        <is>
          <t>smallcap</t>
        </is>
      </c>
      <c r="H66" s="32" t="n">
        <v>662.0700000000001</v>
      </c>
      <c r="I66" s="32" t="n">
        <v>226</v>
      </c>
      <c r="J66" s="32" t="n">
        <v>2.41</v>
      </c>
      <c r="K66" s="32" t="n">
        <v>11684</v>
      </c>
      <c r="L66" s="31" t="n">
        <v>4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56.51</v>
      </c>
      <c r="P66" s="32" t="n">
        <v>37.88</v>
      </c>
      <c r="Q66" s="32" t="inlineStr"/>
      <c r="R66" s="31" t="inlineStr">
        <is>
          <t>Earnings / Momentum Support</t>
        </is>
      </c>
      <c r="S66" s="31" t="inlineStr">
        <is>
          <t>Nifty IT</t>
        </is>
      </c>
      <c r="T66" s="32" t="n">
        <v>-13.85</v>
      </c>
      <c r="U66" s="32" t="n">
        <v>-7.75</v>
      </c>
      <c r="V66" s="32" t="n">
        <v>7.09</v>
      </c>
      <c r="W66" s="32" t="n">
        <v>-0.92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IF(B67=0,"",RANK(B67,$B$2:$B$389,0))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CARTRADE</t>
        </is>
      </c>
      <c r="D67" s="31" t="inlineStr">
        <is>
          <t>Cartrade Tech Ltd</t>
        </is>
      </c>
      <c r="E67" s="31" t="inlineStr">
        <is>
          <t>consumer discretionary</t>
        </is>
      </c>
      <c r="F67" s="31" t="inlineStr">
        <is>
          <t>miscellaneous</t>
        </is>
      </c>
      <c r="G67" s="31" t="inlineStr">
        <is>
          <t>midcap</t>
        </is>
      </c>
      <c r="H67" s="32" t="n">
        <v>14757</v>
      </c>
      <c r="I67" s="32" t="n">
        <v>3138.6</v>
      </c>
      <c r="J67" s="32" t="n">
        <v>2.14</v>
      </c>
      <c r="K67" s="32" t="n">
        <v>543868</v>
      </c>
      <c r="L67" s="31" t="n">
        <v>85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70.28</v>
      </c>
      <c r="P67" s="32" t="n">
        <v>41.99</v>
      </c>
      <c r="Q67" s="32" t="inlineStr"/>
      <c r="R67" s="31" t="inlineStr">
        <is>
          <t>Earnings / Momentum Support</t>
        </is>
      </c>
      <c r="S67" s="31" t="inlineStr">
        <is>
          <t>Nifty 50</t>
        </is>
      </c>
      <c r="T67" s="32" t="n">
        <v>-2.49</v>
      </c>
      <c r="U67" s="32" t="n">
        <v>30.95</v>
      </c>
      <c r="V67" s="32" t="n">
        <v>34.28</v>
      </c>
      <c r="W67" s="32" t="n">
        <v>25.44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IF(B68=0,"",RANK(B68,$B$2:$B$389,0))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KKCL</t>
        </is>
      </c>
      <c r="D68" s="31" t="inlineStr">
        <is>
          <t>Kewal Kiran Clothing Limited</t>
        </is>
      </c>
      <c r="E68" s="31" t="inlineStr">
        <is>
          <t>consumer discretionary</t>
        </is>
      </c>
      <c r="F68" s="31" t="inlineStr">
        <is>
          <t>textiles - products</t>
        </is>
      </c>
      <c r="G68" s="31" t="inlineStr">
        <is>
          <t>smallcap</t>
        </is>
      </c>
      <c r="H68" s="32" t="n">
        <v>3182.63</v>
      </c>
      <c r="I68" s="32" t="n">
        <v>525</v>
      </c>
      <c r="J68" s="32" t="n">
        <v>1.66</v>
      </c>
      <c r="K68" s="32" t="n">
        <v>296663</v>
      </c>
      <c r="L68" s="31" t="n">
        <v>21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58.72</v>
      </c>
      <c r="P68" s="32" t="n">
        <v>25.57</v>
      </c>
      <c r="Q68" s="32" t="inlineStr"/>
      <c r="R68" s="31" t="inlineStr">
        <is>
          <t>Earnings / Momentum Support</t>
        </is>
      </c>
      <c r="S68" s="31" t="inlineStr">
        <is>
          <t>Nifty 50</t>
        </is>
      </c>
      <c r="T68" s="32" t="n">
        <v>-2.49</v>
      </c>
      <c r="U68" s="32" t="n">
        <v>1.06</v>
      </c>
      <c r="V68" s="32" t="n">
        <v>3.64</v>
      </c>
      <c r="W68" s="32" t="n">
        <v>4.5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IF(B69=0,"",RANK(B69,$B$2:$B$389,0))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IRISDOREME</t>
        </is>
      </c>
      <c r="D69" s="31" t="inlineStr">
        <is>
          <t>Iris Clothings Ltd</t>
        </is>
      </c>
      <c r="E69" s="31" t="inlineStr">
        <is>
          <t>consumer discretionary</t>
        </is>
      </c>
      <c r="F69" s="31" t="inlineStr">
        <is>
          <t>textiles - products</t>
        </is>
      </c>
      <c r="G69" s="31" t="inlineStr">
        <is>
          <t>smallcap</t>
        </is>
      </c>
      <c r="H69" s="32" t="n">
        <v>1084.89</v>
      </c>
      <c r="I69" s="32" t="n">
        <v>57.84</v>
      </c>
      <c r="J69" s="32" t="n">
        <v>1.47</v>
      </c>
      <c r="K69" s="32" t="n">
        <v>1757274</v>
      </c>
      <c r="L69" s="31" t="n">
        <v>85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81.48999999999999</v>
      </c>
      <c r="P69" s="32" t="n">
        <v>46.5</v>
      </c>
      <c r="Q69" s="32" t="inlineStr"/>
      <c r="R69" s="31" t="inlineStr">
        <is>
          <t>Earnings / Momentum Support</t>
        </is>
      </c>
      <c r="S69" s="31" t="inlineStr">
        <is>
          <t>Nifty 50</t>
        </is>
      </c>
      <c r="T69" s="32" t="n">
        <v>-2.49</v>
      </c>
      <c r="U69" s="32" t="n">
        <v>78.63</v>
      </c>
      <c r="V69" s="32" t="n">
        <v>83.18000000000001</v>
      </c>
      <c r="W69" s="32" t="n">
        <v>26.17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IF(B70=0,"",RANK(B70,$B$2:$B$389,0))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KROSS</t>
        </is>
      </c>
      <c r="D70" s="31" t="inlineStr">
        <is>
          <t>Kross Ltd</t>
        </is>
      </c>
      <c r="E70" s="31" t="inlineStr">
        <is>
          <t>auto</t>
        </is>
      </c>
      <c r="F70" s="31" t="inlineStr">
        <is>
          <t>auto ancillaries</t>
        </is>
      </c>
      <c r="G70" s="31" t="inlineStr">
        <is>
          <t>smallcap</t>
        </is>
      </c>
      <c r="H70" s="32" t="n">
        <v>1334.31</v>
      </c>
      <c r="I70" s="32" t="n">
        <v>209.6</v>
      </c>
      <c r="J70" s="32" t="n">
        <v>1.33</v>
      </c>
      <c r="K70" s="32" t="n">
        <v>444382</v>
      </c>
      <c r="L70" s="31" t="inlineStr"/>
      <c r="M70" s="31" t="inlineStr"/>
      <c r="N70" s="32">
        <f>IF(M70="Underperforming",-5,IF(L70&gt;=95,15,IF(L70&gt;=90,10,IF(L70&gt;=80,5,0))))</f>
        <v/>
      </c>
      <c r="O70" s="32" t="n">
        <v>56.02</v>
      </c>
      <c r="P70" s="32" t="n">
        <v>24.08</v>
      </c>
      <c r="Q70" s="32" t="inlineStr"/>
      <c r="R70" s="31" t="inlineStr">
        <is>
          <t>Earnings / Momentum Support</t>
        </is>
      </c>
      <c r="S70" s="31" t="inlineStr">
        <is>
          <t>Nifty Auto</t>
        </is>
      </c>
      <c r="T70" s="32" t="inlineStr"/>
      <c r="U70" s="32" t="inlineStr"/>
      <c r="V70" s="32" t="inlineStr"/>
      <c r="W70" s="32" t="inlineStr"/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IF(B71=0,"",RANK(B71,$B$2:$B$389,0))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BAJAJ-AUTO</t>
        </is>
      </c>
      <c r="D71" s="31" t="inlineStr">
        <is>
          <t>Bajaj Auto Limited</t>
        </is>
      </c>
      <c r="E71" s="31" t="inlineStr">
        <is>
          <t>auto</t>
        </is>
      </c>
      <c r="F71" s="31" t="inlineStr">
        <is>
          <t>automobiles - scooters and 3 - wheelers</t>
        </is>
      </c>
      <c r="G71" s="31" t="inlineStr">
        <is>
          <t>largecap</t>
        </is>
      </c>
      <c r="H71" s="32" t="n">
        <v>327012.47</v>
      </c>
      <c r="I71" s="32" t="n">
        <v>11800</v>
      </c>
      <c r="J71" s="32" t="n">
        <v>0.85</v>
      </c>
      <c r="K71" s="32" t="n">
        <v>216086</v>
      </c>
      <c r="L71" s="31" t="inlineStr"/>
      <c r="M71" s="31" t="inlineStr"/>
      <c r="N71" s="32">
        <f>IF(M71="Underperforming",-5,IF(L71&gt;=95,15,IF(L71&gt;=90,10,IF(L71&gt;=80,5,0))))</f>
        <v/>
      </c>
      <c r="O71" s="32" t="n">
        <v>73.2</v>
      </c>
      <c r="P71" s="32" t="n">
        <v>24.92</v>
      </c>
      <c r="Q71" s="32" t="inlineStr"/>
      <c r="R71" s="31" t="inlineStr">
        <is>
          <t>Earnings / Momentum Support</t>
        </is>
      </c>
      <c r="S71" s="31" t="inlineStr">
        <is>
          <t>Nifty Auto</t>
        </is>
      </c>
      <c r="T71" s="32" t="inlineStr"/>
      <c r="U71" s="32" t="inlineStr"/>
      <c r="V71" s="32" t="inlineStr"/>
      <c r="W71" s="32" t="inlineStr"/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IF(B72=0,"",RANK(B72,$B$2:$B$389,0))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SPORTKING</t>
        </is>
      </c>
      <c r="D72" s="31" t="inlineStr">
        <is>
          <t>Sportking India Ltd</t>
        </is>
      </c>
      <c r="E72" s="31" t="inlineStr">
        <is>
          <t>textiles</t>
        </is>
      </c>
      <c r="F72" s="31" t="inlineStr">
        <is>
          <t>textiles - spinning - synthetic / blended</t>
        </is>
      </c>
      <c r="G72" s="31" t="inlineStr">
        <is>
          <t>smallcap</t>
        </is>
      </c>
      <c r="H72" s="32" t="n">
        <v>2707.52</v>
      </c>
      <c r="I72" s="32" t="n">
        <v>214.86</v>
      </c>
      <c r="J72" s="32" t="n">
        <v>0.84</v>
      </c>
      <c r="K72" s="32" t="n">
        <v>845807</v>
      </c>
      <c r="L72" s="31" t="n">
        <v>76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70.95999999999999</v>
      </c>
      <c r="P72" s="32" t="n">
        <v>72.81999999999999</v>
      </c>
      <c r="Q72" s="32" t="inlineStr"/>
      <c r="R72" s="31" t="inlineStr">
        <is>
          <t>Earnings / Momentum Support</t>
        </is>
      </c>
      <c r="S72" s="31" t="inlineStr">
        <is>
          <t>Nifty 50</t>
        </is>
      </c>
      <c r="T72" s="32" t="n">
        <v>-2.49</v>
      </c>
      <c r="U72" s="32" t="n">
        <v>92.41</v>
      </c>
      <c r="V72" s="32" t="n">
        <v>97.31</v>
      </c>
      <c r="W72" s="32" t="n">
        <v>21.73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IF(B73=0,"",RANK(B73,$B$2:$B$389,0))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STCINDIA</t>
        </is>
      </c>
      <c r="D73" s="31" t="inlineStr">
        <is>
          <t>The State Trading Corporation Of India Limited</t>
        </is>
      </c>
      <c r="E73" s="31" t="inlineStr">
        <is>
          <t>services</t>
        </is>
      </c>
      <c r="F73" s="31" t="inlineStr">
        <is>
          <t>trading</t>
        </is>
      </c>
      <c r="G73" s="31" t="inlineStr">
        <is>
          <t>smallcap</t>
        </is>
      </c>
      <c r="H73" s="32" t="n">
        <v>727.26</v>
      </c>
      <c r="I73" s="32" t="n">
        <v>121.89</v>
      </c>
      <c r="J73" s="32" t="n">
        <v>0.5600000000000001</v>
      </c>
      <c r="K73" s="32" t="n">
        <v>66152</v>
      </c>
      <c r="L73" s="31" t="n">
        <v>9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50.74</v>
      </c>
      <c r="P73" s="32" t="n">
        <v>32.24</v>
      </c>
      <c r="Q73" s="32" t="inlineStr"/>
      <c r="R73" s="31" t="inlineStr">
        <is>
          <t>Earnings / Momentum Support</t>
        </is>
      </c>
      <c r="S73" s="31" t="inlineStr">
        <is>
          <t>Nifty 50</t>
        </is>
      </c>
      <c r="T73" s="32" t="n">
        <v>-2.49</v>
      </c>
      <c r="U73" s="32" t="n">
        <v>-1.2</v>
      </c>
      <c r="V73" s="32" t="n">
        <v>1.32</v>
      </c>
      <c r="W73" s="32" t="n">
        <v>0.76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IF(B74=0,"",RANK(B74,$B$2:$B$389,0))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JKPAPER</t>
        </is>
      </c>
      <c r="D74" s="31" t="inlineStr">
        <is>
          <t>Jk Paper Limited</t>
        </is>
      </c>
      <c r="E74" s="31" t="inlineStr">
        <is>
          <t>building materials</t>
        </is>
      </c>
      <c r="F74" s="31" t="inlineStr">
        <is>
          <t>paper</t>
        </is>
      </c>
      <c r="G74" s="31" t="inlineStr">
        <is>
          <t>midcap</t>
        </is>
      </c>
      <c r="H74" s="32" t="n">
        <v>7104.07</v>
      </c>
      <c r="I74" s="32" t="n">
        <v>393.3</v>
      </c>
      <c r="J74" s="32" t="n">
        <v>0.38</v>
      </c>
      <c r="K74" s="32" t="n">
        <v>403571</v>
      </c>
      <c r="L74" s="31" t="inlineStr"/>
      <c r="M74" s="31" t="inlineStr"/>
      <c r="N74" s="32">
        <f>IF(M74="Underperforming",-5,IF(L74&gt;=95,15,IF(L74&gt;=90,10,IF(L74&gt;=80,5,0))))</f>
        <v/>
      </c>
      <c r="O74" s="32" t="n">
        <v>59.97</v>
      </c>
      <c r="P74" s="32" t="n">
        <v>27.38</v>
      </c>
      <c r="Q74" s="32" t="inlineStr"/>
      <c r="R74" s="31" t="inlineStr">
        <is>
          <t>Earnings / Momentum Support</t>
        </is>
      </c>
      <c r="S74" s="31" t="inlineStr">
        <is>
          <t>Nifty Infra</t>
        </is>
      </c>
      <c r="T74" s="32" t="inlineStr"/>
      <c r="U74" s="32" t="inlineStr"/>
      <c r="V74" s="32" t="inlineStr"/>
      <c r="W74" s="32" t="inlineStr"/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IF(B75=0,"",RANK(B75,$B$2:$B$389,0))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SHANTIGOLD</t>
        </is>
      </c>
      <c r="D75" s="31" t="inlineStr">
        <is>
          <t>Shanti Gold International Ltd</t>
        </is>
      </c>
      <c r="E75" s="31" t="inlineStr">
        <is>
          <t>consumer discretionary</t>
        </is>
      </c>
      <c r="F75" s="31" t="inlineStr">
        <is>
          <t>diamond cutting / jewellery</t>
        </is>
      </c>
      <c r="G75" s="31" t="inlineStr">
        <is>
          <t>smallcap</t>
        </is>
      </c>
      <c r="H75" s="32" t="n">
        <v>1943.56</v>
      </c>
      <c r="I75" s="32" t="n">
        <v>270.52</v>
      </c>
      <c r="J75" s="32" t="n">
        <v>0.35</v>
      </c>
      <c r="K75" s="32" t="n">
        <v>3383118</v>
      </c>
      <c r="L75" s="31" t="n">
        <v>27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71.39</v>
      </c>
      <c r="P75" s="32" t="n">
        <v>34.91</v>
      </c>
      <c r="Q75" s="32" t="inlineStr"/>
      <c r="R75" s="31" t="inlineStr">
        <is>
          <t>Earnings / Momentum Support</t>
        </is>
      </c>
      <c r="S75" s="31" t="inlineStr">
        <is>
          <t>Nifty 50</t>
        </is>
      </c>
      <c r="T75" s="32" t="n">
        <v>-2.49</v>
      </c>
      <c r="U75" s="32" t="n">
        <v>9.49</v>
      </c>
      <c r="V75" s="32" t="n">
        <v>12.28</v>
      </c>
      <c r="W75" s="32" t="n">
        <v>5.82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IF(B76=0,"",RANK(B76,$B$2:$B$389,0))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ADOR</t>
        </is>
      </c>
      <c r="D76" s="31" t="inlineStr">
        <is>
          <t>Ador Welding Ltd</t>
        </is>
      </c>
      <c r="E76" s="31" t="inlineStr">
        <is>
          <t>industrials</t>
        </is>
      </c>
      <c r="F76" s="31" t="inlineStr">
        <is>
          <t>electrodes - welding equipment</t>
        </is>
      </c>
      <c r="G76" s="31" t="inlineStr">
        <is>
          <t>smallcap</t>
        </is>
      </c>
      <c r="H76" s="32" t="n">
        <v>2815.08</v>
      </c>
      <c r="I76" s="32" t="n">
        <v>1622.1</v>
      </c>
      <c r="J76" s="32" t="n">
        <v>0.28</v>
      </c>
      <c r="K76" s="32" t="n">
        <v>47258</v>
      </c>
      <c r="L76" s="31" t="n">
        <v>83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81.45999999999999</v>
      </c>
      <c r="P76" s="32" t="n">
        <v>60.05</v>
      </c>
      <c r="Q76" s="32" t="inlineStr"/>
      <c r="R76" s="31" t="inlineStr">
        <is>
          <t>Earnings / Momentum Support</t>
        </is>
      </c>
      <c r="S76" s="31" t="inlineStr">
        <is>
          <t>Nifty 50</t>
        </is>
      </c>
      <c r="T76" s="32" t="n">
        <v>-2.49</v>
      </c>
      <c r="U76" s="32" t="n">
        <v>79.70999999999999</v>
      </c>
      <c r="V76" s="32" t="n">
        <v>84.3</v>
      </c>
      <c r="W76" s="32" t="n">
        <v>24.85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IF(B77=0,"",RANK(B77,$B$2:$B$389,0))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OMAXE</t>
        </is>
      </c>
      <c r="D77" s="31" t="inlineStr">
        <is>
          <t>Omaxe Limited</t>
        </is>
      </c>
      <c r="E77" s="31" t="inlineStr">
        <is>
          <t>realty</t>
        </is>
      </c>
      <c r="F77" s="31" t="inlineStr">
        <is>
          <t>construction</t>
        </is>
      </c>
      <c r="G77" s="31" t="inlineStr">
        <is>
          <t>smallcap</t>
        </is>
      </c>
      <c r="H77" s="32" t="n">
        <v>1875.65</v>
      </c>
      <c r="I77" s="32" t="n">
        <v>101.77</v>
      </c>
      <c r="J77" s="32" t="n">
        <v>-0.76</v>
      </c>
      <c r="K77" s="32" t="n">
        <v>3430606</v>
      </c>
      <c r="L77" s="31" t="inlineStr"/>
      <c r="M77" s="31" t="inlineStr"/>
      <c r="N77" s="32">
        <f>IF(M77="Underperforming",-5,IF(L77&gt;=95,15,IF(L77&gt;=90,10,IF(L77&gt;=80,5,0))))</f>
        <v/>
      </c>
      <c r="O77" s="32" t="n">
        <v>68.45</v>
      </c>
      <c r="P77" s="32" t="n">
        <v>29.86</v>
      </c>
      <c r="Q77" s="32" t="inlineStr"/>
      <c r="R77" s="31" t="inlineStr">
        <is>
          <t>Earnings / Momentum Support</t>
        </is>
      </c>
      <c r="S77" s="31" t="inlineStr">
        <is>
          <t>Nifty Realty</t>
        </is>
      </c>
      <c r="T77" s="32" t="inlineStr"/>
      <c r="U77" s="32" t="inlineStr"/>
      <c r="V77" s="32" t="inlineStr"/>
      <c r="W77" s="32" t="inlineStr"/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IF(B78=0,"",RANK(B78,$B$2:$B$389,0))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KINGFA</t>
        </is>
      </c>
      <c r="D78" s="31" t="inlineStr">
        <is>
          <t>Kingfa Science &amp; Technology (india) Limited</t>
        </is>
      </c>
      <c r="E78" s="31" t="inlineStr">
        <is>
          <t>plastic products</t>
        </is>
      </c>
      <c r="F78" s="31" t="inlineStr">
        <is>
          <t>plastics products</t>
        </is>
      </c>
      <c r="G78" s="31" t="inlineStr">
        <is>
          <t>midcap</t>
        </is>
      </c>
      <c r="H78" s="32" t="n">
        <v>7878.1</v>
      </c>
      <c r="I78" s="32" t="n">
        <v>5761</v>
      </c>
      <c r="J78" s="32" t="n">
        <v>-0.9</v>
      </c>
      <c r="K78" s="32" t="n">
        <v>9383</v>
      </c>
      <c r="L78" s="31" t="n">
        <v>39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67.90000000000001</v>
      </c>
      <c r="P78" s="32" t="n">
        <v>34.22</v>
      </c>
      <c r="Q78" s="32" t="inlineStr"/>
      <c r="R78" s="31" t="inlineStr">
        <is>
          <t>Earnings / Momentum Support</t>
        </is>
      </c>
      <c r="S78" s="31" t="inlineStr">
        <is>
          <t>Nifty 50</t>
        </is>
      </c>
      <c r="T78" s="32" t="n">
        <v>-2.49</v>
      </c>
      <c r="U78" s="32" t="n">
        <v>28.93</v>
      </c>
      <c r="V78" s="32" t="n">
        <v>32.21</v>
      </c>
      <c r="W78" s="32" t="n">
        <v>8.630000000000001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IF(B79=0,"",RANK(B79,$B$2:$B$389,0))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APARINDS</t>
        </is>
      </c>
      <c r="D79" s="31" t="inlineStr">
        <is>
          <t>Apar Industries Limited</t>
        </is>
      </c>
      <c r="E79" s="31" t="inlineStr">
        <is>
          <t>industrials</t>
        </is>
      </c>
      <c r="F79" s="31" t="inlineStr">
        <is>
          <t>electric equipment</t>
        </is>
      </c>
      <c r="G79" s="31" t="inlineStr">
        <is>
          <t>largecap</t>
        </is>
      </c>
      <c r="H79" s="32" t="n">
        <v>70580.00999999999</v>
      </c>
      <c r="I79" s="32" t="n">
        <v>16705</v>
      </c>
      <c r="J79" s="32" t="n">
        <v>-0.9</v>
      </c>
      <c r="K79" s="32" t="n">
        <v>77805</v>
      </c>
      <c r="L79" s="31" t="n">
        <v>77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72.04000000000001</v>
      </c>
      <c r="P79" s="32" t="n">
        <v>43.37</v>
      </c>
      <c r="Q79" s="32" t="inlineStr"/>
      <c r="R79" s="31" t="inlineStr">
        <is>
          <t>Earnings / Momentum Support</t>
        </is>
      </c>
      <c r="S79" s="31" t="inlineStr">
        <is>
          <t>Nifty 500</t>
        </is>
      </c>
      <c r="T79" s="32" t="n">
        <v>2.34</v>
      </c>
      <c r="U79" s="32" t="n">
        <v>105.7</v>
      </c>
      <c r="V79" s="32" t="n">
        <v>100.99</v>
      </c>
      <c r="W79" s="32" t="n">
        <v>22.38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IF(B80=0,"",RANK(B80,$B$2:$B$389,0))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ASKAUTOLTD</t>
        </is>
      </c>
      <c r="D80" s="31" t="inlineStr">
        <is>
          <t>ASK Automotive Ltd</t>
        </is>
      </c>
      <c r="E80" s="31" t="inlineStr">
        <is>
          <t>auto</t>
        </is>
      </c>
      <c r="F80" s="31" t="inlineStr">
        <is>
          <t>auto ancillaries</t>
        </is>
      </c>
      <c r="G80" s="31" t="inlineStr">
        <is>
          <t>midcap</t>
        </is>
      </c>
      <c r="H80" s="32" t="n">
        <v>12245.51</v>
      </c>
      <c r="I80" s="32" t="n">
        <v>615.4</v>
      </c>
      <c r="J80" s="32" t="n">
        <v>-0.93</v>
      </c>
      <c r="K80" s="32" t="n">
        <v>258672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73.59</v>
      </c>
      <c r="P80" s="32" t="n">
        <v>26.22</v>
      </c>
      <c r="Q80" s="32" t="inlineStr"/>
      <c r="R80" s="31" t="inlineStr">
        <is>
          <t>Earnings / Momentum Support</t>
        </is>
      </c>
      <c r="S80" s="31" t="inlineStr">
        <is>
          <t>Nifty Auto</t>
        </is>
      </c>
      <c r="T80" s="32" t="inlineStr"/>
      <c r="U80" s="32" t="inlineStr"/>
      <c r="V80" s="32" t="inlineStr"/>
      <c r="W80" s="32" t="inlineStr"/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IF(B81=0,"",RANK(B81,$B$2:$B$389,0))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TTKHLTCARE</t>
        </is>
      </c>
      <c r="D81" s="31" t="inlineStr">
        <is>
          <t>Ttk Healthcare Limited</t>
        </is>
      </c>
      <c r="E81" s="31" t="inlineStr">
        <is>
          <t>miscellaneous</t>
        </is>
      </c>
      <c r="F81" s="31" t="inlineStr">
        <is>
          <t>diversified - medium / small</t>
        </is>
      </c>
      <c r="G81" s="31" t="inlineStr">
        <is>
          <t>smallcap</t>
        </is>
      </c>
      <c r="H81" s="32" t="n">
        <v>1557.87</v>
      </c>
      <c r="I81" s="32" t="n">
        <v>1092</v>
      </c>
      <c r="J81" s="32" t="n">
        <v>-0.95</v>
      </c>
      <c r="K81" s="32" t="n">
        <v>26571</v>
      </c>
      <c r="L81" s="31" t="inlineStr"/>
      <c r="M81" s="31" t="inlineStr"/>
      <c r="N81" s="32">
        <f>IF(M81="Underperforming",-5,IF(L81&gt;=95,15,IF(L81&gt;=90,10,IF(L81&gt;=80,5,0))))</f>
        <v/>
      </c>
      <c r="O81" s="32" t="n">
        <v>64.22</v>
      </c>
      <c r="P81" s="32" t="n">
        <v>24.51</v>
      </c>
      <c r="Q81" s="32" t="inlineStr"/>
      <c r="R81" s="31" t="inlineStr">
        <is>
          <t>Earnings / Momentum Support</t>
        </is>
      </c>
      <c r="S81" s="31" t="inlineStr">
        <is>
          <t>Nifty Infra</t>
        </is>
      </c>
      <c r="T81" s="32" t="inlineStr"/>
      <c r="U81" s="32" t="inlineStr"/>
      <c r="V81" s="32" t="inlineStr"/>
      <c r="W81" s="32" t="inlineStr"/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IF(B82=0,"",RANK(B82,$B$2:$B$389,0))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KPIL</t>
        </is>
      </c>
      <c r="D82" s="31" t="inlineStr">
        <is>
          <t>Kalpataru Projects International Ltd</t>
        </is>
      </c>
      <c r="E82" s="31" t="inlineStr">
        <is>
          <t>realty</t>
        </is>
      </c>
      <c r="F82" s="31" t="inlineStr">
        <is>
          <t>transmisson line towers / equipment</t>
        </is>
      </c>
      <c r="G82" s="31" t="inlineStr">
        <is>
          <t>largecap</t>
        </is>
      </c>
      <c r="H82" s="32" t="n">
        <v>23985</v>
      </c>
      <c r="I82" s="32" t="n">
        <v>1390.9</v>
      </c>
      <c r="J82" s="32" t="n">
        <v>-0.97</v>
      </c>
      <c r="K82" s="32" t="n">
        <v>296078</v>
      </c>
      <c r="L82" s="31" t="inlineStr"/>
      <c r="M82" s="31" t="inlineStr"/>
      <c r="N82" s="32">
        <f>IF(M82="Underperforming",-5,IF(L82&gt;=95,15,IF(L82&gt;=90,10,IF(L82&gt;=80,5,0))))</f>
        <v/>
      </c>
      <c r="O82" s="32" t="n">
        <v>65.47</v>
      </c>
      <c r="P82" s="32" t="n">
        <v>32.02</v>
      </c>
      <c r="Q82" s="32" t="inlineStr"/>
      <c r="R82" s="31" t="inlineStr">
        <is>
          <t>Earnings / Momentum Support</t>
        </is>
      </c>
      <c r="S82" s="31" t="inlineStr">
        <is>
          <t>Nifty Realty</t>
        </is>
      </c>
      <c r="T82" s="32" t="inlineStr"/>
      <c r="U82" s="32" t="inlineStr"/>
      <c r="V82" s="32" t="inlineStr"/>
      <c r="W82" s="32" t="inlineStr"/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IF(B83=0,"",RANK(B83,$B$2:$B$389,0))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UNIPARTS</t>
        </is>
      </c>
      <c r="D83" s="31" t="inlineStr">
        <is>
          <t>Uniparts India Ltd</t>
        </is>
      </c>
      <c r="E83" s="31" t="inlineStr">
        <is>
          <t>industrials</t>
        </is>
      </c>
      <c r="F83" s="31" t="inlineStr">
        <is>
          <t>engineering</t>
        </is>
      </c>
      <c r="G83" s="31" t="inlineStr">
        <is>
          <t>smallcap</t>
        </is>
      </c>
      <c r="H83" s="32" t="n">
        <v>3680.52</v>
      </c>
      <c r="I83" s="32" t="n">
        <v>807</v>
      </c>
      <c r="J83" s="32" t="n">
        <v>-1.02</v>
      </c>
      <c r="K83" s="32" t="n">
        <v>73505</v>
      </c>
      <c r="L83" s="31" t="n">
        <v>85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79.31</v>
      </c>
      <c r="P83" s="32" t="n">
        <v>66.2</v>
      </c>
      <c r="Q83" s="32" t="inlineStr"/>
      <c r="R83" s="31" t="inlineStr">
        <is>
          <t>Earnings / Momentum Support</t>
        </is>
      </c>
      <c r="S83" s="31" t="inlineStr">
        <is>
          <t>Nifty 50</t>
        </is>
      </c>
      <c r="T83" s="32" t="n">
        <v>-2.49</v>
      </c>
      <c r="U83" s="32" t="n">
        <v>107.67</v>
      </c>
      <c r="V83" s="32" t="n">
        <v>112.96</v>
      </c>
      <c r="W83" s="32" t="n">
        <v>26.18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IF(B84=0,"",RANK(B84,$B$2:$B$389,0))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ROLEXRINGS</t>
        </is>
      </c>
      <c r="D84" s="31" t="inlineStr">
        <is>
          <t>Rolex Rings Ltd</t>
        </is>
      </c>
      <c r="E84" s="31" t="inlineStr">
        <is>
          <t>auto</t>
        </is>
      </c>
      <c r="F84" s="31" t="inlineStr">
        <is>
          <t>auto ancillaries</t>
        </is>
      </c>
      <c r="G84" s="31" t="inlineStr">
        <is>
          <t>smallcap</t>
        </is>
      </c>
      <c r="H84" s="32" t="n">
        <v>4993.77</v>
      </c>
      <c r="I84" s="32" t="n">
        <v>181.19</v>
      </c>
      <c r="J84" s="32" t="n">
        <v>-1.19</v>
      </c>
      <c r="K84" s="32" t="n">
        <v>1659554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67.58</v>
      </c>
      <c r="P84" s="32" t="n">
        <v>38.67</v>
      </c>
      <c r="Q84" s="32" t="inlineStr"/>
      <c r="R84" s="31" t="inlineStr">
        <is>
          <t>Earnings / Momentum Support</t>
        </is>
      </c>
      <c r="S84" s="31" t="inlineStr">
        <is>
          <t>Nifty Auto</t>
        </is>
      </c>
      <c r="T84" s="32" t="inlineStr"/>
      <c r="U84" s="32" t="inlineStr"/>
      <c r="V84" s="32" t="inlineStr"/>
      <c r="W84" s="32" t="inlineStr"/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IF(B85=0,"",RANK(B85,$B$2:$B$389,0))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GNA</t>
        </is>
      </c>
      <c r="D85" s="31" t="inlineStr">
        <is>
          <t>Gna Axles Limited</t>
        </is>
      </c>
      <c r="E85" s="31" t="inlineStr">
        <is>
          <t>auto</t>
        </is>
      </c>
      <c r="F85" s="31" t="inlineStr">
        <is>
          <t>auto ancillaries</t>
        </is>
      </c>
      <c r="G85" s="31" t="inlineStr">
        <is>
          <t>smallcap</t>
        </is>
      </c>
      <c r="H85" s="32" t="n">
        <v>2416.36</v>
      </c>
      <c r="I85" s="32" t="n">
        <v>555.4</v>
      </c>
      <c r="J85" s="32" t="n">
        <v>-1.32</v>
      </c>
      <c r="K85" s="32" t="n">
        <v>451339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68.81999999999999</v>
      </c>
      <c r="P85" s="32" t="n">
        <v>38.68</v>
      </c>
      <c r="Q85" s="32" t="inlineStr"/>
      <c r="R85" s="31" t="inlineStr">
        <is>
          <t>Earnings / Momentum Support</t>
        </is>
      </c>
      <c r="S85" s="31" t="inlineStr">
        <is>
          <t>Nifty Auto</t>
        </is>
      </c>
      <c r="T85" s="32" t="inlineStr"/>
      <c r="U85" s="32" t="inlineStr"/>
      <c r="V85" s="32" t="inlineStr"/>
      <c r="W85" s="32" t="inlineStr"/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IF(B86=0,"",RANK(B86,$B$2:$B$389,0))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NITINSPIN</t>
        </is>
      </c>
      <c r="D86" s="31" t="inlineStr">
        <is>
          <t>Nitin Spinners Limited</t>
        </is>
      </c>
      <c r="E86" s="31" t="inlineStr">
        <is>
          <t>textiles</t>
        </is>
      </c>
      <c r="F86" s="31" t="inlineStr">
        <is>
          <t>textiles - cotton/blended</t>
        </is>
      </c>
      <c r="G86" s="31" t="inlineStr">
        <is>
          <t>smallcap</t>
        </is>
      </c>
      <c r="H86" s="32" t="n">
        <v>3308.27</v>
      </c>
      <c r="I86" s="32" t="n">
        <v>579.6</v>
      </c>
      <c r="J86" s="32" t="n">
        <v>-1.5</v>
      </c>
      <c r="K86" s="32" t="n">
        <v>148046</v>
      </c>
      <c r="L86" s="31" t="n">
        <v>61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69.77</v>
      </c>
      <c r="P86" s="32" t="n">
        <v>65.87</v>
      </c>
      <c r="Q86" s="32" t="inlineStr"/>
      <c r="R86" s="31" t="inlineStr">
        <is>
          <t>Earnings / Momentum Support</t>
        </is>
      </c>
      <c r="S86" s="31" t="inlineStr">
        <is>
          <t>Nifty 50</t>
        </is>
      </c>
      <c r="T86" s="32" t="n">
        <v>-2.49</v>
      </c>
      <c r="U86" s="32" t="n">
        <v>69.48</v>
      </c>
      <c r="V86" s="32" t="n">
        <v>73.8</v>
      </c>
      <c r="W86" s="32" t="n">
        <v>15.37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Between 0.7 to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IF(B87=0,"",RANK(B87,$B$2:$B$389,0))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VINCOFE</t>
        </is>
      </c>
      <c r="D87" s="31" t="inlineStr">
        <is>
          <t>Vintage Coffee &amp; Beverages Ltd</t>
        </is>
      </c>
      <c r="E87" s="31" t="inlineStr">
        <is>
          <t>consumer discretionary</t>
        </is>
      </c>
      <c r="F87" s="31" t="inlineStr">
        <is>
          <t>trading</t>
        </is>
      </c>
      <c r="G87" s="31" t="inlineStr">
        <is>
          <t>smallcap</t>
        </is>
      </c>
      <c r="H87" s="32" t="n">
        <v>2353.6</v>
      </c>
      <c r="I87" s="32" t="n">
        <v>158.98</v>
      </c>
      <c r="J87" s="32" t="n">
        <v>-1.59</v>
      </c>
      <c r="K87" s="32" t="n">
        <v>2096634</v>
      </c>
      <c r="L87" s="31" t="n">
        <v>30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59.28</v>
      </c>
      <c r="P87" s="32" t="n">
        <v>25.03</v>
      </c>
      <c r="Q87" s="32" t="inlineStr"/>
      <c r="R87" s="31" t="inlineStr">
        <is>
          <t>Earnings / Momentum Support</t>
        </is>
      </c>
      <c r="S87" s="31" t="inlineStr">
        <is>
          <t>Nifty 50</t>
        </is>
      </c>
      <c r="T87" s="32" t="n">
        <v>-2.49</v>
      </c>
      <c r="U87" s="32" t="n">
        <v>4.14</v>
      </c>
      <c r="V87" s="32" t="n">
        <v>6.8</v>
      </c>
      <c r="W87" s="32" t="n">
        <v>6.46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IF(B88=0,"",RANK(B88,$B$2:$B$389,0))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RUBYMILLS</t>
        </is>
      </c>
      <c r="D88" s="31" t="inlineStr">
        <is>
          <t>The Ruby Mills Limited</t>
        </is>
      </c>
      <c r="E88" s="31" t="inlineStr">
        <is>
          <t>textiles</t>
        </is>
      </c>
      <c r="F88" s="31" t="inlineStr">
        <is>
          <t>textiles - composite</t>
        </is>
      </c>
      <c r="G88" s="31" t="inlineStr">
        <is>
          <t>smallcap</t>
        </is>
      </c>
      <c r="H88" s="32" t="n">
        <v>1344.62</v>
      </c>
      <c r="I88" s="32" t="n">
        <v>393</v>
      </c>
      <c r="J88" s="32" t="n">
        <v>-2.26</v>
      </c>
      <c r="K88" s="32" t="n">
        <v>19175</v>
      </c>
      <c r="L88" s="31" t="n">
        <v>90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69.91</v>
      </c>
      <c r="P88" s="32" t="n">
        <v>55.3</v>
      </c>
      <c r="Q88" s="32" t="inlineStr"/>
      <c r="R88" s="31" t="inlineStr">
        <is>
          <t>Earnings / Momentum Support</t>
        </is>
      </c>
      <c r="S88" s="31" t="inlineStr">
        <is>
          <t>Nifty 50</t>
        </is>
      </c>
      <c r="T88" s="32" t="n">
        <v>-2.49</v>
      </c>
      <c r="U88" s="32" t="n">
        <v>73.52</v>
      </c>
      <c r="V88" s="32" t="n">
        <v>77.95</v>
      </c>
      <c r="W88" s="32" t="n">
        <v>30.81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Less than 12%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IF(B89=0,"",RANK(B89,$B$2:$B$389,0))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KRYSTAL</t>
        </is>
      </c>
      <c r="D89" s="31" t="inlineStr">
        <is>
          <t>Krystal Integrated Services Ltd</t>
        </is>
      </c>
      <c r="E89" s="31" t="inlineStr">
        <is>
          <t>miscellaneous</t>
        </is>
      </c>
      <c r="F89" s="31" t="inlineStr">
        <is>
          <t>miscellaneous</t>
        </is>
      </c>
      <c r="G89" s="31" t="inlineStr">
        <is>
          <t>smallcap</t>
        </is>
      </c>
      <c r="H89" s="32" t="n">
        <v>919.28</v>
      </c>
      <c r="I89" s="32" t="n">
        <v>638.95</v>
      </c>
      <c r="J89" s="32" t="n">
        <v>-2.89</v>
      </c>
      <c r="K89" s="32" t="n">
        <v>36692</v>
      </c>
      <c r="L89" s="31" t="n">
        <v>19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67.81999999999999</v>
      </c>
      <c r="P89" s="32" t="n">
        <v>30.6</v>
      </c>
      <c r="Q89" s="32" t="inlineStr"/>
      <c r="R89" s="31" t="inlineStr">
        <is>
          <t>Earnings / Momentum Support</t>
        </is>
      </c>
      <c r="S89" s="31" t="inlineStr">
        <is>
          <t>Nifty 50</t>
        </is>
      </c>
      <c r="T89" s="32" t="n">
        <v>-2.49</v>
      </c>
      <c r="U89" s="32" t="n">
        <v>4.86</v>
      </c>
      <c r="V89" s="32" t="n">
        <v>7.53</v>
      </c>
      <c r="W89" s="32" t="n">
        <v>4.13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IF(B90=0,"",RANK(B90,$B$2:$B$389,0))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WSTCSTPAPR</t>
        </is>
      </c>
      <c r="D90" s="31" t="inlineStr">
        <is>
          <t>West Coast Paper Mills Limited</t>
        </is>
      </c>
      <c r="E90" s="31" t="inlineStr">
        <is>
          <t>building materials</t>
        </is>
      </c>
      <c r="F90" s="31" t="inlineStr">
        <is>
          <t>paper</t>
        </is>
      </c>
      <c r="G90" s="31" t="inlineStr">
        <is>
          <t>smallcap</t>
        </is>
      </c>
      <c r="H90" s="32" t="n">
        <v>4208.97</v>
      </c>
      <c r="I90" s="32" t="n">
        <v>611.05</v>
      </c>
      <c r="J90" s="32" t="n">
        <v>-4.11</v>
      </c>
      <c r="K90" s="32" t="n">
        <v>363671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72.95</v>
      </c>
      <c r="P90" s="32" t="n">
        <v>46.52</v>
      </c>
      <c r="Q90" s="32" t="inlineStr"/>
      <c r="R90" s="31" t="inlineStr">
        <is>
          <t>Earnings / Momentum Support</t>
        </is>
      </c>
      <c r="S90" s="31" t="inlineStr">
        <is>
          <t>Nifty Infra</t>
        </is>
      </c>
      <c r="T90" s="32" t="inlineStr"/>
      <c r="U90" s="32" t="inlineStr"/>
      <c r="V90" s="32" t="inlineStr"/>
      <c r="W90" s="32" t="inlineStr"/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IF(B91=0,"",RANK(B91,$B$2:$B$389,0))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MENONBE</t>
        </is>
      </c>
      <c r="D91" s="31" t="inlineStr">
        <is>
          <t>Menon Bearings Limited</t>
        </is>
      </c>
      <c r="E91" s="31" t="inlineStr">
        <is>
          <t>auto</t>
        </is>
      </c>
      <c r="F91" s="31" t="inlineStr">
        <is>
          <t>auto ancillaries</t>
        </is>
      </c>
      <c r="G91" s="31" t="inlineStr">
        <is>
          <t>smallcap</t>
        </is>
      </c>
      <c r="H91" s="32" t="n">
        <v>1539.08</v>
      </c>
      <c r="I91" s="32" t="n">
        <v>260.91</v>
      </c>
      <c r="J91" s="32" t="n">
        <v>-5</v>
      </c>
      <c r="K91" s="32" t="n">
        <v>185953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81.58</v>
      </c>
      <c r="P91" s="32" t="n">
        <v>58.11</v>
      </c>
      <c r="Q91" s="32" t="inlineStr"/>
      <c r="R91" s="31" t="inlineStr">
        <is>
          <t>Earnings / Momentum Support</t>
        </is>
      </c>
      <c r="S91" s="31" t="inlineStr">
        <is>
          <t>Nifty Auto</t>
        </is>
      </c>
      <c r="T91" s="32" t="inlineStr"/>
      <c r="U91" s="32" t="inlineStr"/>
      <c r="V91" s="32" t="inlineStr"/>
      <c r="W91" s="32" t="inlineStr"/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IF(B92=0,"",RANK(B92,$B$2:$B$389,0))</f>
        <v/>
      </c>
      <c r="B92" s="32">
        <f>SUM(N92,Y92,AA92,AC92,AE92,AG92,AI92,AK92,AM92,AO92,AQ92,AS92,AU92,AW92,AY92,BA92,BC92,BE92,BG92,BI92,BK92,BM92,BO92,BQ92,BS92,BU92,BW92,BY92,CA92,CC92,CE92)</f>
        <v/>
      </c>
      <c r="C92" s="33" t="inlineStr">
        <is>
          <t>ENTERO</t>
        </is>
      </c>
      <c r="D92" s="33" t="inlineStr">
        <is>
          <t>Entero Healthcare Solutions Ltd</t>
        </is>
      </c>
      <c r="E92" s="31" t="inlineStr">
        <is>
          <t>healthcare</t>
        </is>
      </c>
      <c r="F92" s="31" t="inlineStr">
        <is>
          <t>trading</t>
        </is>
      </c>
      <c r="G92" s="31" t="inlineStr">
        <is>
          <t>midcap</t>
        </is>
      </c>
      <c r="H92" s="32" t="n">
        <v>6195.94</v>
      </c>
      <c r="I92" s="32" t="n">
        <v>1529.8</v>
      </c>
      <c r="J92" s="32" t="n">
        <v>7.46</v>
      </c>
      <c r="K92" s="32" t="n">
        <v>1343377</v>
      </c>
      <c r="L92" s="31" t="n">
        <v>22</v>
      </c>
      <c r="M92" s="31" t="inlineStr">
        <is>
          <t>Underperforming</t>
        </is>
      </c>
      <c r="N92" s="32">
        <f>IF(M92="Underperforming",-5,IF(L92&gt;=95,15,IF(L92&gt;=90,10,IF(L92&gt;=80,5,0))))</f>
        <v/>
      </c>
      <c r="O92" s="32" t="n">
        <v>65.28</v>
      </c>
      <c r="P92" s="32" t="n">
        <v>28.15</v>
      </c>
      <c r="Q92" s="32" t="inlineStr"/>
      <c r="R92" s="31" t="inlineStr">
        <is>
          <t>Volume Spike / Accumulation</t>
        </is>
      </c>
      <c r="S92" s="31" t="inlineStr">
        <is>
          <t>Nifty Pharma</t>
        </is>
      </c>
      <c r="T92" s="32" t="n">
        <v>18.39</v>
      </c>
      <c r="U92" s="32" t="n">
        <v>15.79</v>
      </c>
      <c r="V92" s="32" t="n">
        <v>-2.2</v>
      </c>
      <c r="W92" s="32" t="n">
        <v>4.74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IF(B93=0,"",RANK(B93,$B$2:$B$389,0))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VENKEYS</t>
        </is>
      </c>
      <c r="D93" s="31" t="inlineStr">
        <is>
          <t>Venky's (india) Limited</t>
        </is>
      </c>
      <c r="E93" s="31" t="inlineStr">
        <is>
          <t>fmcg</t>
        </is>
      </c>
      <c r="F93" s="31" t="inlineStr">
        <is>
          <t>miscellaneous</t>
        </is>
      </c>
      <c r="G93" s="31" t="inlineStr">
        <is>
          <t>smallcap</t>
        </is>
      </c>
      <c r="H93" s="32" t="n">
        <v>2123.53</v>
      </c>
      <c r="I93" s="32" t="n">
        <v>1568.5</v>
      </c>
      <c r="J93" s="32" t="n">
        <v>4.05</v>
      </c>
      <c r="K93" s="32" t="n">
        <v>121412</v>
      </c>
      <c r="L93" s="31" t="inlineStr"/>
      <c r="M93" s="31" t="inlineStr"/>
      <c r="N93" s="32">
        <f>IF(M93="Underperforming",-5,IF(L93&gt;=95,15,IF(L93&gt;=90,10,IF(L93&gt;=80,5,0))))</f>
        <v/>
      </c>
      <c r="O93" s="32" t="n">
        <v>52.65</v>
      </c>
      <c r="P93" s="32" t="n">
        <v>36.73</v>
      </c>
      <c r="Q93" s="32" t="inlineStr"/>
      <c r="R93" s="31" t="inlineStr">
        <is>
          <t>Earnings / Momentum Support</t>
        </is>
      </c>
      <c r="S93" s="31" t="inlineStr">
        <is>
          <t>Nifty FMCG</t>
        </is>
      </c>
      <c r="T93" s="32" t="inlineStr"/>
      <c r="U93" s="32" t="inlineStr"/>
      <c r="V93" s="32" t="inlineStr"/>
      <c r="W93" s="32" t="inlineStr"/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B2C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IF(B94=0,"",RANK(B94,$B$2:$B$389,0))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IPCALAB</t>
        </is>
      </c>
      <c r="D94" s="31" t="inlineStr">
        <is>
          <t>Ipca Laboratories Limited</t>
        </is>
      </c>
      <c r="E94" s="31" t="inlineStr">
        <is>
          <t>healthcare</t>
        </is>
      </c>
      <c r="F94" s="31" t="inlineStr">
        <is>
          <t>pharmaceuticals - indian - bulk drugs &amp; formln</t>
        </is>
      </c>
      <c r="G94" s="31" t="inlineStr">
        <is>
          <t>largecap</t>
        </is>
      </c>
      <c r="H94" s="32" t="n">
        <v>48487.95</v>
      </c>
      <c r="I94" s="32" t="n">
        <v>1920.4</v>
      </c>
      <c r="J94" s="32" t="n">
        <v>0.48</v>
      </c>
      <c r="K94" s="32" t="n">
        <v>288479</v>
      </c>
      <c r="L94" s="31" t="n">
        <v>45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67.19</v>
      </c>
      <c r="P94" s="32" t="n">
        <v>37.97</v>
      </c>
      <c r="Q94" s="32" t="inlineStr"/>
      <c r="R94" s="31" t="inlineStr">
        <is>
          <t>Earnings / Momentum Support</t>
        </is>
      </c>
      <c r="S94" s="31" t="inlineStr">
        <is>
          <t>Nifty Pharma</t>
        </is>
      </c>
      <c r="T94" s="32" t="n">
        <v>18.39</v>
      </c>
      <c r="U94" s="32" t="n">
        <v>35.21</v>
      </c>
      <c r="V94" s="32" t="n">
        <v>14.21</v>
      </c>
      <c r="W94" s="32" t="n">
        <v>10.43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IF(B95=0,"",RANK(B95,$B$2:$B$389,0))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INDSWFTLAB</t>
        </is>
      </c>
      <c r="D95" s="31" t="inlineStr">
        <is>
          <t>Ind-swift Laboratories Limited</t>
        </is>
      </c>
      <c r="E95" s="31" t="inlineStr">
        <is>
          <t>healthcare</t>
        </is>
      </c>
      <c r="F95" s="31" t="inlineStr">
        <is>
          <t>pharmaceuticals - indian - bulk drugs &amp; formln</t>
        </is>
      </c>
      <c r="G95" s="31" t="inlineStr">
        <is>
          <t>smallcap</t>
        </is>
      </c>
      <c r="H95" s="32" t="n">
        <v>2866.17</v>
      </c>
      <c r="I95" s="32" t="n">
        <v>325.35</v>
      </c>
      <c r="J95" s="32" t="n">
        <v>-1.29</v>
      </c>
      <c r="K95" s="32" t="n">
        <v>500136</v>
      </c>
      <c r="L95" s="31" t="n">
        <v>99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87.3</v>
      </c>
      <c r="P95" s="32" t="n">
        <v>68.39</v>
      </c>
      <c r="Q95" s="32" t="inlineStr"/>
      <c r="R95" s="31" t="inlineStr">
        <is>
          <t>Earnings / Momentum Support</t>
        </is>
      </c>
      <c r="S95" s="31" t="inlineStr">
        <is>
          <t>Nifty Pharma</t>
        </is>
      </c>
      <c r="T95" s="32" t="n">
        <v>18.39</v>
      </c>
      <c r="U95" s="32" t="n">
        <v>236.38</v>
      </c>
      <c r="V95" s="32" t="n">
        <v>184.13</v>
      </c>
      <c r="W95" s="32" t="n">
        <v>67.36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Headwind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IF(B96=0,"",RANK(B96,$B$2:$B$389,0))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KABRAEXTRU</t>
        </is>
      </c>
      <c r="D96" s="31" t="inlineStr">
        <is>
          <t>Kabra Extrusion Technik Limited</t>
        </is>
      </c>
      <c r="E96" s="31" t="inlineStr">
        <is>
          <t>industrials</t>
        </is>
      </c>
      <c r="F96" s="31" t="inlineStr">
        <is>
          <t>engineering</t>
        </is>
      </c>
      <c r="G96" s="31" t="inlineStr">
        <is>
          <t>smallcap</t>
        </is>
      </c>
      <c r="H96" s="32" t="n">
        <v>1980.16</v>
      </c>
      <c r="I96" s="32" t="n">
        <v>611.1</v>
      </c>
      <c r="J96" s="32" t="n">
        <v>7.93</v>
      </c>
      <c r="K96" s="32" t="n">
        <v>1260590</v>
      </c>
      <c r="L96" s="31" t="n">
        <v>99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88.63</v>
      </c>
      <c r="P96" s="32" t="n">
        <v>44.92</v>
      </c>
      <c r="Q96" s="32" t="inlineStr"/>
      <c r="R96" s="31" t="inlineStr">
        <is>
          <t>Earnings / Momentum Support</t>
        </is>
      </c>
      <c r="S96" s="31" t="inlineStr">
        <is>
          <t>Nifty 50</t>
        </is>
      </c>
      <c r="T96" s="32" t="n">
        <v>-2.49</v>
      </c>
      <c r="U96" s="32" t="n">
        <v>128.68</v>
      </c>
      <c r="V96" s="32" t="n">
        <v>134.5</v>
      </c>
      <c r="W96" s="32" t="n">
        <v>57.94</v>
      </c>
      <c r="X96" s="31" t="inlineStr">
        <is>
          <t>Cyclical in an Upturn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Headwind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IF(B97=0,"",RANK(B97,$B$2:$B$389,0))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SKIPPER</t>
        </is>
      </c>
      <c r="D97" s="31" t="inlineStr">
        <is>
          <t>Skipper Limited</t>
        </is>
      </c>
      <c r="E97" s="31" t="inlineStr">
        <is>
          <t>industrials</t>
        </is>
      </c>
      <c r="F97" s="31" t="inlineStr">
        <is>
          <t>engineering</t>
        </is>
      </c>
      <c r="G97" s="31" t="inlineStr">
        <is>
          <t>midcap</t>
        </is>
      </c>
      <c r="H97" s="32" t="n">
        <v>6765.86</v>
      </c>
      <c r="I97" s="32" t="n">
        <v>575</v>
      </c>
      <c r="J97" s="32" t="n">
        <v>3.79</v>
      </c>
      <c r="K97" s="32" t="n">
        <v>3482029</v>
      </c>
      <c r="L97" s="31" t="n">
        <v>29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62.87</v>
      </c>
      <c r="P97" s="32" t="n">
        <v>36.47</v>
      </c>
      <c r="Q97" s="32" t="inlineStr"/>
      <c r="R97" s="31" t="inlineStr">
        <is>
          <t>Earnings / Momentum Support</t>
        </is>
      </c>
      <c r="S97" s="31" t="inlineStr">
        <is>
          <t>Nifty 50</t>
        </is>
      </c>
      <c r="T97" s="32" t="n">
        <v>-2.49</v>
      </c>
      <c r="U97" s="32" t="n">
        <v>2.65</v>
      </c>
      <c r="V97" s="32" t="n">
        <v>5.27</v>
      </c>
      <c r="W97" s="32" t="n">
        <v>6.01</v>
      </c>
      <c r="X97" s="31" t="inlineStr">
        <is>
          <t>Cyclical in an Upturn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Headwind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3</t>
        </is>
      </c>
      <c r="BC97" s="31">
        <f>IF(BB97="Stage 2",20,IF(BB97="Stage 1",0,IF(BB97="Stage 3",5,IF(BB97="Stage 4",-5,0))))</f>
        <v/>
      </c>
      <c r="BD97" s="31" t="inlineStr">
        <is>
          <t>Negative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IF(B98=0,"",RANK(B98,$B$2:$B$389,0))</f>
        <v/>
      </c>
      <c r="B98" s="32">
        <f>SUM(N98,Y98,AA98,AC98,AE98,AG98,AI98,AK98,AM98,AO98,AQ98,AS98,AU98,AW98,AY98,BA98,BC98,BE98,BG98,BI98,BK98,BM98,BO98,BQ98,BS98,BU98,BW98,BY98,CA98,CC98,CE98)</f>
        <v/>
      </c>
      <c r="C98" s="33" t="inlineStr">
        <is>
          <t>DPABHUSHAN</t>
        </is>
      </c>
      <c r="D98" s="33" t="inlineStr">
        <is>
          <t>D.P. Abhushan Ltd</t>
        </is>
      </c>
      <c r="E98" s="31" t="inlineStr">
        <is>
          <t>consumer discretionary</t>
        </is>
      </c>
      <c r="F98" s="31" t="inlineStr">
        <is>
          <t>diamond cutting / jewellery</t>
        </is>
      </c>
      <c r="G98" s="31" t="inlineStr">
        <is>
          <t>smallcap</t>
        </is>
      </c>
      <c r="H98" s="32" t="n">
        <v>3384.01</v>
      </c>
      <c r="I98" s="32" t="n">
        <v>1533.3</v>
      </c>
      <c r="J98" s="32" t="n">
        <v>3.43</v>
      </c>
      <c r="K98" s="32" t="n">
        <v>94100</v>
      </c>
      <c r="L98" s="31" t="n">
        <v>51</v>
      </c>
      <c r="M98" s="31" t="inlineStr">
        <is>
          <t>Underperforming</t>
        </is>
      </c>
      <c r="N98" s="32">
        <f>IF(M98="Underperforming",-5,IF(L98&gt;=95,15,IF(L98&gt;=90,10,IF(L98&gt;=80,5,0))))</f>
        <v/>
      </c>
      <c r="O98" s="32" t="n">
        <v>67.59</v>
      </c>
      <c r="P98" s="32" t="n">
        <v>36.2</v>
      </c>
      <c r="Q98" s="32" t="inlineStr"/>
      <c r="R98" s="31" t="inlineStr">
        <is>
          <t>Earnings / Momentum Support</t>
        </is>
      </c>
      <c r="S98" s="31" t="inlineStr">
        <is>
          <t>Nifty 50</t>
        </is>
      </c>
      <c r="T98" s="32" t="n">
        <v>-2.49</v>
      </c>
      <c r="U98" s="32" t="n">
        <v>-7.21</v>
      </c>
      <c r="V98" s="32" t="n">
        <v>-4.84</v>
      </c>
      <c r="W98" s="32" t="n">
        <v>12.5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Headwind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3</t>
        </is>
      </c>
      <c r="BC98" s="31">
        <f>IF(BB98="Stage 2",20,IF(BB98="Stage 1",0,IF(BB98="Stage 3",5,IF(BB98="Stage 4",-5,0))))</f>
        <v/>
      </c>
      <c r="BD98" s="31" t="inlineStr">
        <is>
          <t>Negative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IF(B99=0,"",RANK(B99,$B$2:$B$389,0))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PANACHE</t>
        </is>
      </c>
      <c r="D99" s="31" t="inlineStr">
        <is>
          <t>Panache Digilife Ltd</t>
        </is>
      </c>
      <c r="E99" s="31" t="inlineStr">
        <is>
          <t>i.t</t>
        </is>
      </c>
      <c r="F99" s="31" t="inlineStr">
        <is>
          <t>computers - hardware</t>
        </is>
      </c>
      <c r="G99" s="31" t="inlineStr">
        <is>
          <t>smallcap</t>
        </is>
      </c>
      <c r="H99" s="32" t="n">
        <v>853.79</v>
      </c>
      <c r="I99" s="32" t="n">
        <v>550</v>
      </c>
      <c r="J99" s="32" t="n">
        <v>3.16</v>
      </c>
      <c r="K99" s="32" t="n">
        <v>9336</v>
      </c>
      <c r="L99" s="31" t="n">
        <v>90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73.01000000000001</v>
      </c>
      <c r="P99" s="32" t="n">
        <v>30.04</v>
      </c>
      <c r="Q99" s="32" t="inlineStr"/>
      <c r="R99" s="31" t="inlineStr">
        <is>
          <t>Earnings / Momentum Support</t>
        </is>
      </c>
      <c r="S99" s="31" t="inlineStr">
        <is>
          <t>Nifty IT</t>
        </is>
      </c>
      <c r="T99" s="32" t="n">
        <v>-13.85</v>
      </c>
      <c r="U99" s="32" t="n">
        <v>112.88</v>
      </c>
      <c r="V99" s="32" t="n">
        <v>147.1</v>
      </c>
      <c r="W99" s="32" t="n">
        <v>30.56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Headwind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No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3</t>
        </is>
      </c>
      <c r="BC99" s="31">
        <f>IF(BB99="Stage 2",20,IF(BB99="Stage 1",0,IF(BB99="Stage 3",5,IF(BB99="Stage 4",-5,0))))</f>
        <v/>
      </c>
      <c r="BD99" s="31" t="inlineStr">
        <is>
          <t>Negative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IF(B100=0,"",RANK(B100,$B$2:$B$389,0))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FINCABLES</t>
        </is>
      </c>
      <c r="D100" s="31" t="inlineStr">
        <is>
          <t>Finolex Cables Limited</t>
        </is>
      </c>
      <c r="E100" s="31" t="inlineStr">
        <is>
          <t>industrials</t>
        </is>
      </c>
      <c r="F100" s="31" t="inlineStr">
        <is>
          <t>cables - power</t>
        </is>
      </c>
      <c r="G100" s="31" t="inlineStr">
        <is>
          <t>midcap</t>
        </is>
      </c>
      <c r="H100" s="32" t="n">
        <v>19278</v>
      </c>
      <c r="I100" s="32" t="n">
        <v>1291.6</v>
      </c>
      <c r="J100" s="32" t="n">
        <v>2.47</v>
      </c>
      <c r="K100" s="32" t="n">
        <v>895327</v>
      </c>
      <c r="L100" s="31" t="inlineStr"/>
      <c r="M100" s="31" t="inlineStr"/>
      <c r="N100" s="32">
        <f>IF(M100="Underperforming",-5,IF(L100&gt;=95,15,IF(L100&gt;=90,10,IF(L100&gt;=80,5,0))))</f>
        <v/>
      </c>
      <c r="O100" s="32" t="n">
        <v>66.52</v>
      </c>
      <c r="P100" s="32" t="n">
        <v>35.66</v>
      </c>
      <c r="Q100" s="32" t="inlineStr"/>
      <c r="R100" s="31" t="inlineStr">
        <is>
          <t>Earnings / Momentum Support</t>
        </is>
      </c>
      <c r="S100" s="31" t="inlineStr">
        <is>
          <t>Nifty Energy</t>
        </is>
      </c>
      <c r="T100" s="32" t="inlineStr"/>
      <c r="U100" s="32" t="inlineStr"/>
      <c r="V100" s="32" t="inlineStr"/>
      <c r="W100" s="32" t="inlineStr"/>
      <c r="X100" s="31" t="inlineStr">
        <is>
          <t>Cyclical in an Upturn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Headwind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No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3</t>
        </is>
      </c>
      <c r="BC100" s="31">
        <f>IF(BB100="Stage 2",20,IF(BB100="Stage 1",0,IF(BB100="Stage 3",5,IF(BB100="Stage 4",-5,0))))</f>
        <v/>
      </c>
      <c r="BD100" s="31" t="inlineStr">
        <is>
          <t>Negative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IF(B101=0,"",RANK(B101,$B$2:$B$389,0))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UNIVCABLES</t>
        </is>
      </c>
      <c r="D101" s="31" t="inlineStr">
        <is>
          <t>Universal Cables Limited</t>
        </is>
      </c>
      <c r="E101" s="31" t="inlineStr">
        <is>
          <t>industrials</t>
        </is>
      </c>
      <c r="F101" s="31" t="inlineStr">
        <is>
          <t>cables - power</t>
        </is>
      </c>
      <c r="G101" s="31" t="inlineStr">
        <is>
          <t>midcap</t>
        </is>
      </c>
      <c r="H101" s="32" t="n">
        <v>5525.24</v>
      </c>
      <c r="I101" s="32" t="n">
        <v>1627</v>
      </c>
      <c r="J101" s="32" t="n">
        <v>2.17</v>
      </c>
      <c r="K101" s="32" t="n">
        <v>223419</v>
      </c>
      <c r="L101" s="31" t="inlineStr"/>
      <c r="M101" s="31" t="inlineStr"/>
      <c r="N101" s="32">
        <f>IF(M101="Underperforming",-5,IF(L101&gt;=95,15,IF(L101&gt;=90,10,IF(L101&gt;=80,5,0))))</f>
        <v/>
      </c>
      <c r="O101" s="32" t="n">
        <v>73.11</v>
      </c>
      <c r="P101" s="32" t="n">
        <v>60.56</v>
      </c>
      <c r="Q101" s="32" t="inlineStr"/>
      <c r="R101" s="31" t="inlineStr">
        <is>
          <t>Earnings / Momentum Support</t>
        </is>
      </c>
      <c r="S101" s="31" t="inlineStr">
        <is>
          <t>Nifty Energy</t>
        </is>
      </c>
      <c r="T101" s="32" t="inlineStr"/>
      <c r="U101" s="32" t="inlineStr"/>
      <c r="V101" s="32" t="inlineStr"/>
      <c r="W101" s="32" t="inlineStr"/>
      <c r="X101" s="31" t="inlineStr">
        <is>
          <t>Cyclical in an Upturn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Headwind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No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3</t>
        </is>
      </c>
      <c r="BC101" s="31">
        <f>IF(BB101="Stage 2",20,IF(BB101="Stage 1",0,IF(BB101="Stage 3",5,IF(BB101="Stage 4",-5,0))))</f>
        <v/>
      </c>
      <c r="BD101" s="31" t="inlineStr">
        <is>
          <t>Negative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IF(B102=0,"",RANK(B102,$B$2:$B$389,0))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3" t="inlineStr">
        <is>
          <t>GULFOILLUB</t>
        </is>
      </c>
      <c r="D102" s="33" t="inlineStr">
        <is>
          <t>Gulf Oil Lubricants India Limited</t>
        </is>
      </c>
      <c r="E102" s="31" t="inlineStr">
        <is>
          <t>chemicals</t>
        </is>
      </c>
      <c r="F102" s="31" t="inlineStr">
        <is>
          <t>chemicals</t>
        </is>
      </c>
      <c r="G102" s="31" t="inlineStr">
        <is>
          <t>midcap</t>
        </is>
      </c>
      <c r="H102" s="32" t="n">
        <v>5644.42</v>
      </c>
      <c r="I102" s="32" t="n">
        <v>1164.1</v>
      </c>
      <c r="J102" s="32" t="n">
        <v>2.12</v>
      </c>
      <c r="K102" s="32" t="n">
        <v>191771</v>
      </c>
      <c r="L102" s="31" t="n">
        <v>25</v>
      </c>
      <c r="M102" s="31" t="inlineStr">
        <is>
          <t>Underperforming</t>
        </is>
      </c>
      <c r="N102" s="32">
        <f>IF(M102="Underperforming",-5,IF(L102&gt;=95,15,IF(L102&gt;=90,10,IF(L102&gt;=80,5,0))))</f>
        <v/>
      </c>
      <c r="O102" s="32" t="n">
        <v>58.41</v>
      </c>
      <c r="P102" s="32" t="n">
        <v>20.45</v>
      </c>
      <c r="Q102" s="32" t="inlineStr"/>
      <c r="R102" s="31" t="inlineStr">
        <is>
          <t>Earnings / Momentum Support</t>
        </is>
      </c>
      <c r="S102" s="31" t="inlineStr">
        <is>
          <t>Nifty 50</t>
        </is>
      </c>
      <c r="T102" s="32" t="n">
        <v>-2.49</v>
      </c>
      <c r="U102" s="32" t="n">
        <v>-4.46</v>
      </c>
      <c r="V102" s="32" t="n">
        <v>-2.03</v>
      </c>
      <c r="W102" s="32" t="n">
        <v>5.33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Headwind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3</t>
        </is>
      </c>
      <c r="BC102" s="31">
        <f>IF(BB102="Stage 2",20,IF(BB102="Stage 1",0,IF(BB102="Stage 3",5,IF(BB102="Stage 4",-5,0))))</f>
        <v/>
      </c>
      <c r="BD102" s="31" t="inlineStr">
        <is>
          <t>Negative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IF(B103=0,"",RANK(B103,$B$2:$B$389,0))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MARINE</t>
        </is>
      </c>
      <c r="D103" s="31" t="inlineStr">
        <is>
          <t>Marine Electricals (India) Ltd</t>
        </is>
      </c>
      <c r="E103" s="31" t="inlineStr">
        <is>
          <t>industrials</t>
        </is>
      </c>
      <c r="F103" s="31" t="inlineStr">
        <is>
          <t>electric equipment</t>
        </is>
      </c>
      <c r="G103" s="31" t="inlineStr">
        <is>
          <t>midcap</t>
        </is>
      </c>
      <c r="H103" s="32" t="n">
        <v>5257.01</v>
      </c>
      <c r="I103" s="32" t="n">
        <v>382.9</v>
      </c>
      <c r="J103" s="32" t="n">
        <v>1.93</v>
      </c>
      <c r="K103" s="32" t="n">
        <v>685459</v>
      </c>
      <c r="L103" s="31" t="n">
        <v>92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76.01000000000001</v>
      </c>
      <c r="P103" s="32" t="n">
        <v>40.86</v>
      </c>
      <c r="Q103" s="32" t="inlineStr"/>
      <c r="R103" s="31" t="inlineStr">
        <is>
          <t>Earnings / Momentum Support</t>
        </is>
      </c>
      <c r="S103" s="31" t="inlineStr">
        <is>
          <t>Nifty 50</t>
        </is>
      </c>
      <c r="T103" s="32" t="n">
        <v>-2.49</v>
      </c>
      <c r="U103" s="32" t="n">
        <v>119.1</v>
      </c>
      <c r="V103" s="32" t="n">
        <v>124.68</v>
      </c>
      <c r="W103" s="32" t="n">
        <v>32.77</v>
      </c>
      <c r="X103" s="31" t="inlineStr">
        <is>
          <t>Cyclical in an Upturn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Headwind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No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Above 75</t>
        </is>
      </c>
      <c r="BA103" s="31">
        <f>IF(AZ103="Between 50 to 75",10,IF(AZ103="Above 75",0,0))</f>
        <v/>
      </c>
      <c r="BB103" s="31" t="inlineStr">
        <is>
          <t>Stage 3</t>
        </is>
      </c>
      <c r="BC103" s="31">
        <f>IF(BB103="Stage 2",20,IF(BB103="Stage 1",0,IF(BB103="Stage 3",5,IF(BB103="Stage 4",-5,0))))</f>
        <v/>
      </c>
      <c r="BD103" s="31" t="inlineStr">
        <is>
          <t>Negative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Between 1.5 to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IF(B104=0,"",RANK(B104,$B$2:$B$389,0))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HONASA</t>
        </is>
      </c>
      <c r="D104" s="31" t="inlineStr">
        <is>
          <t>Honasa Consumer Ltd</t>
        </is>
      </c>
      <c r="E104" s="31" t="inlineStr">
        <is>
          <t>services</t>
        </is>
      </c>
      <c r="F104" s="31" t="inlineStr">
        <is>
          <t>trading</t>
        </is>
      </c>
      <c r="G104" s="31" t="inlineStr">
        <is>
          <t>midcap</t>
        </is>
      </c>
      <c r="H104" s="32" t="n">
        <v>15711.11</v>
      </c>
      <c r="I104" s="32" t="n">
        <v>490.8</v>
      </c>
      <c r="J104" s="32" t="n">
        <v>1.85</v>
      </c>
      <c r="K104" s="32" t="n">
        <v>759353</v>
      </c>
      <c r="L104" s="31" t="n">
        <v>63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71.3</v>
      </c>
      <c r="P104" s="32" t="n">
        <v>61.28</v>
      </c>
      <c r="Q104" s="32" t="inlineStr"/>
      <c r="R104" s="31" t="inlineStr">
        <is>
          <t>Earnings / Momentum Support</t>
        </is>
      </c>
      <c r="S104" s="31" t="inlineStr">
        <is>
          <t>Nifty 50</t>
        </is>
      </c>
      <c r="T104" s="32" t="n">
        <v>-2.49</v>
      </c>
      <c r="U104" s="32" t="n">
        <v>60.61</v>
      </c>
      <c r="V104" s="32" t="n">
        <v>64.7</v>
      </c>
      <c r="W104" s="32" t="n">
        <v>15.8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Headwind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No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3</t>
        </is>
      </c>
      <c r="BC104" s="31">
        <f>IF(BB104="Stage 2",20,IF(BB104="Stage 1",0,IF(BB104="Stage 3",5,IF(BB104="Stage 4",-5,0))))</f>
        <v/>
      </c>
      <c r="BD104" s="31" t="inlineStr">
        <is>
          <t>Negative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IF(B105=0,"",RANK(B105,$B$2:$B$389,0))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COMSYN</t>
        </is>
      </c>
      <c r="D105" s="31" t="inlineStr">
        <is>
          <t>Commercial Syn Bags Ltd</t>
        </is>
      </c>
      <c r="E105" s="31" t="inlineStr">
        <is>
          <t>industrials</t>
        </is>
      </c>
      <c r="F105" s="31" t="inlineStr">
        <is>
          <t>packaging</t>
        </is>
      </c>
      <c r="G105" s="31" t="inlineStr">
        <is>
          <t>smallcap</t>
        </is>
      </c>
      <c r="H105" s="32" t="n">
        <v>1154.39</v>
      </c>
      <c r="I105" s="32" t="n">
        <v>289.5</v>
      </c>
      <c r="J105" s="32" t="n">
        <v>1.16</v>
      </c>
      <c r="K105" s="32" t="n">
        <v>513462</v>
      </c>
      <c r="L105" s="31" t="n">
        <v>95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80.62</v>
      </c>
      <c r="P105" s="32" t="n">
        <v>66.68000000000001</v>
      </c>
      <c r="Q105" s="32" t="inlineStr"/>
      <c r="R105" s="31" t="inlineStr">
        <is>
          <t>Earnings / Momentum Support</t>
        </is>
      </c>
      <c r="S105" s="31" t="inlineStr">
        <is>
          <t>Nifty 50</t>
        </is>
      </c>
      <c r="T105" s="32" t="n">
        <v>-2.49</v>
      </c>
      <c r="U105" s="32" t="n">
        <v>108.28</v>
      </c>
      <c r="V105" s="32" t="n">
        <v>113.59</v>
      </c>
      <c r="W105" s="32" t="n">
        <v>38.4</v>
      </c>
      <c r="X105" s="31" t="inlineStr">
        <is>
          <t>Cyclical in an Upturn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Headwind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No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Above 75</t>
        </is>
      </c>
      <c r="BA105" s="31">
        <f>IF(AZ105="Between 50 to 75",10,IF(AZ105="Above 75",0,0))</f>
        <v/>
      </c>
      <c r="BB105" s="31" t="inlineStr">
        <is>
          <t>Stage 3</t>
        </is>
      </c>
      <c r="BC105" s="31">
        <f>IF(BB105="Stage 2",20,IF(BB105="Stage 1",0,IF(BB105="Stage 3",5,IF(BB105="Stage 4",-5,0))))</f>
        <v/>
      </c>
      <c r="BD105" s="31" t="inlineStr">
        <is>
          <t>Negative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Between 0.7 to 1.2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IF(B106=0,"",RANK(B106,$B$2:$B$389,0))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IDEA</t>
        </is>
      </c>
      <c r="D106" s="31" t="inlineStr">
        <is>
          <t>Vodafone Idea Ltd</t>
        </is>
      </c>
      <c r="E106" s="31" t="inlineStr">
        <is>
          <t>telecom-service</t>
        </is>
      </c>
      <c r="F106" s="31" t="inlineStr">
        <is>
          <t>telecommunications - service provider</t>
        </is>
      </c>
      <c r="G106" s="31" t="inlineStr">
        <is>
          <t>largecap</t>
        </is>
      </c>
      <c r="H106" s="32" t="n">
        <v>151030.19</v>
      </c>
      <c r="I106" s="32" t="n">
        <v>14.07</v>
      </c>
      <c r="J106" s="32" t="n">
        <v>0.93</v>
      </c>
      <c r="K106" s="32" t="n">
        <v>226811251</v>
      </c>
      <c r="L106" s="31" t="n">
        <v>64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60.64</v>
      </c>
      <c r="P106" s="32" t="n">
        <v>34.18</v>
      </c>
      <c r="Q106" s="32" t="inlineStr"/>
      <c r="R106" s="31" t="inlineStr">
        <is>
          <t>Earnings / Momentum Support</t>
        </is>
      </c>
      <c r="S106" s="31" t="inlineStr">
        <is>
          <t>Nifty 50</t>
        </is>
      </c>
      <c r="T106" s="32" t="n">
        <v>-2.49</v>
      </c>
      <c r="U106" s="32" t="n">
        <v>97.17</v>
      </c>
      <c r="V106" s="32" t="n">
        <v>102.2</v>
      </c>
      <c r="W106" s="32" t="n">
        <v>15.81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Oligopoly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Yes</t>
        </is>
      </c>
      <c r="AC106" s="31">
        <f>IF(AB106="No",5,0)</f>
        <v/>
      </c>
      <c r="AD106" s="31" t="inlineStr">
        <is>
          <t>Headwind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3</t>
        </is>
      </c>
      <c r="BC106" s="31">
        <f>IF(BB106="Stage 2",20,IF(BB106="Stage 1",0,IF(BB106="Stage 3",5,IF(BB106="Stage 4",-5,0))))</f>
        <v/>
      </c>
      <c r="BD106" s="31" t="inlineStr">
        <is>
          <t>Negative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IF(B107=0,"",RANK(B107,$B$2:$B$389,0))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WELSPUNLIV</t>
        </is>
      </c>
      <c r="D107" s="31" t="inlineStr">
        <is>
          <t>Welspun Living Ltd</t>
        </is>
      </c>
      <c r="E107" s="31" t="inlineStr">
        <is>
          <t>textiles</t>
        </is>
      </c>
      <c r="F107" s="31" t="inlineStr">
        <is>
          <t>textiles - products</t>
        </is>
      </c>
      <c r="G107" s="31" t="inlineStr">
        <is>
          <t>midcap</t>
        </is>
      </c>
      <c r="H107" s="32" t="n">
        <v>17876.61</v>
      </c>
      <c r="I107" s="32" t="n">
        <v>190.43</v>
      </c>
      <c r="J107" s="32" t="n">
        <v>0.64</v>
      </c>
      <c r="K107" s="32" t="n">
        <v>5479675</v>
      </c>
      <c r="L107" s="31" t="n">
        <v>68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73.54000000000001</v>
      </c>
      <c r="P107" s="32" t="n">
        <v>36.05</v>
      </c>
      <c r="Q107" s="32" t="inlineStr"/>
      <c r="R107" s="31" t="inlineStr">
        <is>
          <t>Earnings / Momentum Support</t>
        </is>
      </c>
      <c r="S107" s="31" t="inlineStr">
        <is>
          <t>Nifty 50</t>
        </is>
      </c>
      <c r="T107" s="32" t="n">
        <v>-2.49</v>
      </c>
      <c r="U107" s="32" t="n">
        <v>59.53</v>
      </c>
      <c r="V107" s="32" t="n">
        <v>63.6</v>
      </c>
      <c r="W107" s="32" t="n">
        <v>17.8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Headwind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3</t>
        </is>
      </c>
      <c r="BC107" s="31">
        <f>IF(BB107="Stage 2",20,IF(BB107="Stage 1",0,IF(BB107="Stage 3",5,IF(BB107="Stage 4",-5,0))))</f>
        <v/>
      </c>
      <c r="BD107" s="31" t="inlineStr">
        <is>
          <t>Negative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IF(B108=0,"",RANK(B108,$B$2:$B$389,0))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ASTRAL</t>
        </is>
      </c>
      <c r="D108" s="31" t="inlineStr">
        <is>
          <t>Astral Ltd</t>
        </is>
      </c>
      <c r="E108" s="31" t="inlineStr">
        <is>
          <t>plastic products</t>
        </is>
      </c>
      <c r="F108" s="31" t="inlineStr">
        <is>
          <t>plastics products</t>
        </is>
      </c>
      <c r="G108" s="31" t="inlineStr">
        <is>
          <t>largecap</t>
        </is>
      </c>
      <c r="H108" s="32" t="n">
        <v>41063.18</v>
      </c>
      <c r="I108" s="32" t="n">
        <v>1532.8</v>
      </c>
      <c r="J108" s="32" t="n">
        <v>0.28</v>
      </c>
      <c r="K108" s="32" t="n">
        <v>304807</v>
      </c>
      <c r="L108" s="31" t="n">
        <v>11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52.61</v>
      </c>
      <c r="P108" s="32" t="n">
        <v>20.97</v>
      </c>
      <c r="Q108" s="32" t="inlineStr"/>
      <c r="R108" s="31" t="inlineStr">
        <is>
          <t>Earnings / Momentum Support</t>
        </is>
      </c>
      <c r="S108" s="31" t="inlineStr">
        <is>
          <t>Nifty 500</t>
        </is>
      </c>
      <c r="T108" s="32" t="n">
        <v>2.34</v>
      </c>
      <c r="U108" s="32" t="n">
        <v>7.53</v>
      </c>
      <c r="V108" s="32" t="n">
        <v>5.06</v>
      </c>
      <c r="W108" s="32" t="n">
        <v>1.5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Headwind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No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3</t>
        </is>
      </c>
      <c r="BC108" s="31">
        <f>IF(BB108="Stage 2",20,IF(BB108="Stage 1",0,IF(BB108="Stage 3",5,IF(BB108="Stage 4",-5,0))))</f>
        <v/>
      </c>
      <c r="BD108" s="31" t="inlineStr">
        <is>
          <t>Negative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IF(B109=0,"",RANK(B109,$B$2:$B$389,0))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DIVGIITTS</t>
        </is>
      </c>
      <c r="D109" s="31" t="inlineStr">
        <is>
          <t>Divgi Torqtransfer Systems Ltd</t>
        </is>
      </c>
      <c r="E109" s="31" t="inlineStr">
        <is>
          <t>auto</t>
        </is>
      </c>
      <c r="F109" s="31" t="inlineStr">
        <is>
          <t>auto ancillaries</t>
        </is>
      </c>
      <c r="G109" s="31" t="inlineStr">
        <is>
          <t>smallcap</t>
        </is>
      </c>
      <c r="H109" s="32" t="n">
        <v>3724.69</v>
      </c>
      <c r="I109" s="32" t="n">
        <v>1221.05</v>
      </c>
      <c r="J109" s="32" t="n">
        <v>0.26</v>
      </c>
      <c r="K109" s="32" t="n">
        <v>289993</v>
      </c>
      <c r="L109" s="31" t="inlineStr"/>
      <c r="M109" s="31" t="inlineStr"/>
      <c r="N109" s="32">
        <f>IF(M109="Underperforming",-5,IF(L109&gt;=95,15,IF(L109&gt;=90,10,IF(L109&gt;=80,5,0))))</f>
        <v/>
      </c>
      <c r="O109" s="32" t="n">
        <v>70.73999999999999</v>
      </c>
      <c r="P109" s="32" t="n">
        <v>53.59</v>
      </c>
      <c r="Q109" s="32" t="inlineStr"/>
      <c r="R109" s="31" t="inlineStr">
        <is>
          <t>Earnings / Momentum Support</t>
        </is>
      </c>
      <c r="S109" s="31" t="inlineStr">
        <is>
          <t>Nifty Auto</t>
        </is>
      </c>
      <c r="T109" s="32" t="inlineStr"/>
      <c r="U109" s="32" t="inlineStr"/>
      <c r="V109" s="32" t="inlineStr"/>
      <c r="W109" s="32" t="inlineStr"/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Headwind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3</t>
        </is>
      </c>
      <c r="BC109" s="31">
        <f>IF(BB109="Stage 2",20,IF(BB109="Stage 1",0,IF(BB109="Stage 3",5,IF(BB109="Stage 4",-5,0))))</f>
        <v/>
      </c>
      <c r="BD109" s="31" t="inlineStr">
        <is>
          <t>Negative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IF(B110=0,"",RANK(B110,$B$2:$B$389,0))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SOLARINDS</t>
        </is>
      </c>
      <c r="D110" s="31" t="inlineStr">
        <is>
          <t>Solar Industries India Limited</t>
        </is>
      </c>
      <c r="E110" s="31" t="inlineStr">
        <is>
          <t>aerospace &amp; defence</t>
        </is>
      </c>
      <c r="F110" s="31" t="inlineStr">
        <is>
          <t>chemicals</t>
        </is>
      </c>
      <c r="G110" s="31" t="inlineStr">
        <is>
          <t>largecap</t>
        </is>
      </c>
      <c r="H110" s="32" t="n">
        <v>180075.21</v>
      </c>
      <c r="I110" s="32" t="n">
        <v>19925</v>
      </c>
      <c r="J110" s="32" t="n">
        <v>0.13</v>
      </c>
      <c r="K110" s="32" t="n">
        <v>66249</v>
      </c>
      <c r="L110" s="31" t="n">
        <v>41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70.75</v>
      </c>
      <c r="P110" s="32" t="n">
        <v>39.4</v>
      </c>
      <c r="Q110" s="32" t="inlineStr"/>
      <c r="R110" s="31" t="inlineStr">
        <is>
          <t>Earnings / Momentum Support</t>
        </is>
      </c>
      <c r="S110" s="31" t="inlineStr">
        <is>
          <t>Nifty 50</t>
        </is>
      </c>
      <c r="T110" s="32" t="n">
        <v>-2.49</v>
      </c>
      <c r="U110" s="32" t="n">
        <v>34.13</v>
      </c>
      <c r="V110" s="32" t="n">
        <v>37.55</v>
      </c>
      <c r="W110" s="32" t="n">
        <v>9.06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Headwind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3</t>
        </is>
      </c>
      <c r="BC110" s="31">
        <f>IF(BB110="Stage 2",20,IF(BB110="Stage 1",0,IF(BB110="Stage 3",5,IF(BB110="Stage 4",-5,0))))</f>
        <v/>
      </c>
      <c r="BD110" s="31" t="inlineStr">
        <is>
          <t>Negative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IF(B111=0,"",RANK(B111,$B$2:$B$389,0))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NAUKRI</t>
        </is>
      </c>
      <c r="D111" s="31" t="inlineStr">
        <is>
          <t>Info Edge (india) Limited</t>
        </is>
      </c>
      <c r="E111" s="31" t="inlineStr">
        <is>
          <t>i.t</t>
        </is>
      </c>
      <c r="F111" s="31" t="inlineStr">
        <is>
          <t>miscellaneous</t>
        </is>
      </c>
      <c r="G111" s="31" t="inlineStr">
        <is>
          <t>largecap</t>
        </is>
      </c>
      <c r="H111" s="32" t="n">
        <v>87543.27</v>
      </c>
      <c r="I111" s="32" t="n">
        <v>1349</v>
      </c>
      <c r="J111" s="32" t="n">
        <v>-0.08</v>
      </c>
      <c r="K111" s="32" t="n">
        <v>1095522</v>
      </c>
      <c r="L111" s="31" t="n">
        <v>43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71.04000000000001</v>
      </c>
      <c r="P111" s="32" t="n">
        <v>26.01</v>
      </c>
      <c r="Q111" s="32" t="inlineStr"/>
      <c r="R111" s="31" t="inlineStr">
        <is>
          <t>Earnings / Momentum Support</t>
        </is>
      </c>
      <c r="S111" s="31" t="inlineStr">
        <is>
          <t>Nifty IT</t>
        </is>
      </c>
      <c r="T111" s="32" t="n">
        <v>-13.85</v>
      </c>
      <c r="U111" s="32" t="n">
        <v>-1.52</v>
      </c>
      <c r="V111" s="32" t="n">
        <v>14.31</v>
      </c>
      <c r="W111" s="32" t="n">
        <v>9.779999999999999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Headwind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No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3</t>
        </is>
      </c>
      <c r="BC111" s="31">
        <f>IF(BB111="Stage 2",20,IF(BB111="Stage 1",0,IF(BB111="Stage 3",5,IF(BB111="Stage 4",-5,0))))</f>
        <v/>
      </c>
      <c r="BD111" s="31" t="inlineStr">
        <is>
          <t>Negative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IF(B112=0,"",RANK(B112,$B$2:$B$389,0))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MOTHERSON</t>
        </is>
      </c>
      <c r="D112" s="31" t="inlineStr">
        <is>
          <t>Samvardhana Motherson International Ltd</t>
        </is>
      </c>
      <c r="E112" s="31" t="inlineStr">
        <is>
          <t>auto</t>
        </is>
      </c>
      <c r="F112" s="31" t="inlineStr">
        <is>
          <t>auto ancillaries</t>
        </is>
      </c>
      <c r="G112" s="31" t="inlineStr">
        <is>
          <t>largecap</t>
        </is>
      </c>
      <c r="H112" s="32" t="n">
        <v>178771.15</v>
      </c>
      <c r="I112" s="32" t="n">
        <v>169</v>
      </c>
      <c r="J112" s="32" t="n">
        <v>-0.22</v>
      </c>
      <c r="K112" s="32" t="n">
        <v>5012279</v>
      </c>
      <c r="L112" s="31" t="inlineStr"/>
      <c r="M112" s="31" t="inlineStr"/>
      <c r="N112" s="32">
        <f>IF(M112="Underperforming",-5,IF(L112&gt;=95,15,IF(L112&gt;=90,10,IF(L112&gt;=80,5,0))))</f>
        <v/>
      </c>
      <c r="O112" s="32" t="n">
        <v>74.72</v>
      </c>
      <c r="P112" s="32" t="n">
        <v>41.27</v>
      </c>
      <c r="Q112" s="32" t="inlineStr"/>
      <c r="R112" s="31" t="inlineStr">
        <is>
          <t>Earnings / Momentum Support</t>
        </is>
      </c>
      <c r="S112" s="31" t="inlineStr">
        <is>
          <t>Nifty Auto</t>
        </is>
      </c>
      <c r="T112" s="32" t="inlineStr"/>
      <c r="U112" s="32" t="inlineStr"/>
      <c r="V112" s="32" t="inlineStr"/>
      <c r="W112" s="32" t="inlineStr"/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Headwind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3</t>
        </is>
      </c>
      <c r="BC112" s="31">
        <f>IF(BB112="Stage 2",20,IF(BB112="Stage 1",0,IF(BB112="Stage 3",5,IF(BB112="Stage 4",-5,0))))</f>
        <v/>
      </c>
      <c r="BD112" s="31" t="inlineStr">
        <is>
          <t>Negative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IF(B113=0,"",RANK(B113,$B$2:$B$389,0))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SKYGOLD</t>
        </is>
      </c>
      <c r="D113" s="31" t="inlineStr">
        <is>
          <t>Sky Gold Ltd</t>
        </is>
      </c>
      <c r="E113" s="31" t="inlineStr">
        <is>
          <t>consumer discretionary</t>
        </is>
      </c>
      <c r="F113" s="31" t="inlineStr">
        <is>
          <t>diamond cutting / jewellery</t>
        </is>
      </c>
      <c r="G113" s="31" t="inlineStr">
        <is>
          <t>midcap</t>
        </is>
      </c>
      <c r="H113" s="32" t="n">
        <v>12444.12</v>
      </c>
      <c r="I113" s="32" t="n">
        <v>798</v>
      </c>
      <c r="J113" s="32" t="n">
        <v>-0.68</v>
      </c>
      <c r="K113" s="32" t="n">
        <v>734843</v>
      </c>
      <c r="L113" s="31" t="n">
        <v>95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81.47</v>
      </c>
      <c r="P113" s="32" t="n">
        <v>65.54000000000001</v>
      </c>
      <c r="Q113" s="32" t="inlineStr"/>
      <c r="R113" s="31" t="inlineStr">
        <is>
          <t>Earnings / Momentum Support</t>
        </is>
      </c>
      <c r="S113" s="31" t="inlineStr">
        <is>
          <t>Nifty 50</t>
        </is>
      </c>
      <c r="T113" s="32" t="n">
        <v>-2.49</v>
      </c>
      <c r="U113" s="32" t="n">
        <v>163.49</v>
      </c>
      <c r="V113" s="32" t="n">
        <v>170.2</v>
      </c>
      <c r="W113" s="32" t="n">
        <v>38.02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Headwind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Above 40</t>
        </is>
      </c>
      <c r="AY113" s="31">
        <f>IF(AX113="Above 40",20,IF(AX113="20 to 40",10,IF(AX113="0 to 20",-5,0)))</f>
        <v/>
      </c>
      <c r="AZ113" s="31" t="inlineStr">
        <is>
          <t>Above 75</t>
        </is>
      </c>
      <c r="BA113" s="31">
        <f>IF(AZ113="Between 50 to 75",10,IF(AZ113="Above 75",0,0))</f>
        <v/>
      </c>
      <c r="BB113" s="31" t="inlineStr">
        <is>
          <t>Stage 3</t>
        </is>
      </c>
      <c r="BC113" s="31">
        <f>IF(BB113="Stage 2",20,IF(BB113="Stage 1",0,IF(BB113="Stage 3",5,IF(BB113="Stage 4",-5,0))))</f>
        <v/>
      </c>
      <c r="BD113" s="31" t="inlineStr">
        <is>
          <t>Negative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Between 0.7 to 1.2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IF(B114=0,"",RANK(B114,$B$2:$B$389,0))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ACE</t>
        </is>
      </c>
      <c r="D114" s="31" t="inlineStr">
        <is>
          <t>Action Construction Equipment Limited</t>
        </is>
      </c>
      <c r="E114" s="31" t="inlineStr">
        <is>
          <t>industrials</t>
        </is>
      </c>
      <c r="F114" s="31" t="inlineStr">
        <is>
          <t>engineering</t>
        </is>
      </c>
      <c r="G114" s="31" t="inlineStr">
        <is>
          <t>midcap</t>
        </is>
      </c>
      <c r="H114" s="32" t="n">
        <v>14078.02</v>
      </c>
      <c r="I114" s="32" t="n">
        <v>1167.2</v>
      </c>
      <c r="J114" s="32" t="n">
        <v>-1.27</v>
      </c>
      <c r="K114" s="32" t="n">
        <v>415146</v>
      </c>
      <c r="L114" s="31" t="n">
        <v>50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74.15000000000001</v>
      </c>
      <c r="P114" s="32" t="n">
        <v>29.5</v>
      </c>
      <c r="Q114" s="32" t="inlineStr"/>
      <c r="R114" s="31" t="inlineStr">
        <is>
          <t>Earnings / Momentum Support</t>
        </is>
      </c>
      <c r="S114" s="31" t="inlineStr">
        <is>
          <t>Nifty 50</t>
        </is>
      </c>
      <c r="T114" s="32" t="n">
        <v>-2.49</v>
      </c>
      <c r="U114" s="32" t="n">
        <v>19.97</v>
      </c>
      <c r="V114" s="32" t="n">
        <v>23.03</v>
      </c>
      <c r="W114" s="32" t="n">
        <v>11.52</v>
      </c>
      <c r="X114" s="31" t="inlineStr">
        <is>
          <t>Cyclical in an Upturn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Headwind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3</t>
        </is>
      </c>
      <c r="BC114" s="31">
        <f>IF(BB114="Stage 2",20,IF(BB114="Stage 1",0,IF(BB114="Stage 3",5,IF(BB114="Stage 4",-5,0))))</f>
        <v/>
      </c>
      <c r="BD114" s="31" t="inlineStr">
        <is>
          <t>Negative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IF(B115=0,"",RANK(B115,$B$2:$B$389,0))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AVALON</t>
        </is>
      </c>
      <c r="D115" s="31" t="inlineStr">
        <is>
          <t>Avalon Technologies Ltd</t>
        </is>
      </c>
      <c r="E115" s="31" t="inlineStr">
        <is>
          <t>consumer discretionary</t>
        </is>
      </c>
      <c r="F115" s="31" t="inlineStr">
        <is>
          <t>electronics - components</t>
        </is>
      </c>
      <c r="G115" s="31" t="inlineStr">
        <is>
          <t>midcap</t>
        </is>
      </c>
      <c r="H115" s="32" t="n">
        <v>14590.35</v>
      </c>
      <c r="I115" s="32" t="n">
        <v>2119.4</v>
      </c>
      <c r="J115" s="32" t="n">
        <v>-2.95</v>
      </c>
      <c r="K115" s="32" t="n">
        <v>352493</v>
      </c>
      <c r="L115" s="31" t="n">
        <v>92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82.66</v>
      </c>
      <c r="P115" s="32" t="n">
        <v>59.26</v>
      </c>
      <c r="Q115" s="32" t="inlineStr"/>
      <c r="R115" s="31" t="inlineStr">
        <is>
          <t>Earnings / Momentum Support</t>
        </is>
      </c>
      <c r="S115" s="31" t="inlineStr">
        <is>
          <t>Nifty 50</t>
        </is>
      </c>
      <c r="T115" s="32" t="n">
        <v>-2.49</v>
      </c>
      <c r="U115" s="32" t="n">
        <v>155.68</v>
      </c>
      <c r="V115" s="32" t="n">
        <v>162.2</v>
      </c>
      <c r="W115" s="32" t="n">
        <v>31.89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Headwind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3</t>
        </is>
      </c>
      <c r="BC115" s="31">
        <f>IF(BB115="Stage 2",20,IF(BB115="Stage 1",0,IF(BB115="Stage 3",5,IF(BB115="Stage 4",-5,0))))</f>
        <v/>
      </c>
      <c r="BD115" s="31" t="inlineStr">
        <is>
          <t>Negative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IF(B116=0,"",RANK(B116,$B$2:$B$389,0))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KDDL</t>
        </is>
      </c>
      <c r="D116" s="31" t="inlineStr">
        <is>
          <t>Kddl Limited</t>
        </is>
      </c>
      <c r="E116" s="31" t="inlineStr">
        <is>
          <t>consumer discretionary</t>
        </is>
      </c>
      <c r="F116" s="31" t="inlineStr">
        <is>
          <t>miscellaneous</t>
        </is>
      </c>
      <c r="G116" s="31" t="inlineStr">
        <is>
          <t>smallcap</t>
        </is>
      </c>
      <c r="H116" s="32" t="n">
        <v>4926.35</v>
      </c>
      <c r="I116" s="32" t="n">
        <v>3848.7</v>
      </c>
      <c r="J116" s="32" t="n">
        <v>-3.91</v>
      </c>
      <c r="K116" s="32" t="n">
        <v>212373</v>
      </c>
      <c r="L116" s="31" t="n">
        <v>74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78.39</v>
      </c>
      <c r="P116" s="32" t="n">
        <v>44.5</v>
      </c>
      <c r="Q116" s="32" t="inlineStr"/>
      <c r="R116" s="31" t="inlineStr">
        <is>
          <t>Earnings / Momentum Support</t>
        </is>
      </c>
      <c r="S116" s="31" t="inlineStr">
        <is>
          <t>Nifty 50</t>
        </is>
      </c>
      <c r="T116" s="32" t="n">
        <v>-2.49</v>
      </c>
      <c r="U116" s="32" t="n">
        <v>63.41</v>
      </c>
      <c r="V116" s="32" t="n">
        <v>67.56999999999999</v>
      </c>
      <c r="W116" s="32" t="n">
        <v>19.98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Headwind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Above 75</t>
        </is>
      </c>
      <c r="BA116" s="31">
        <f>IF(AZ116="Between 50 to 75",10,IF(AZ116="Above 75",0,0))</f>
        <v/>
      </c>
      <c r="BB116" s="31" t="inlineStr">
        <is>
          <t>Stage 3</t>
        </is>
      </c>
      <c r="BC116" s="31">
        <f>IF(BB116="Stage 2",20,IF(BB116="Stage 1",0,IF(BB116="Stage 3",5,IF(BB116="Stage 4",-5,0))))</f>
        <v/>
      </c>
      <c r="BD116" s="31" t="inlineStr">
        <is>
          <t>Negative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Less than 1.5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IF(B117=0,"",RANK(B117,$B$2:$B$389,0))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SHILPAMED</t>
        </is>
      </c>
      <c r="D117" s="31" t="inlineStr">
        <is>
          <t>Shilpa Medicare Limited</t>
        </is>
      </c>
      <c r="E117" s="31" t="inlineStr">
        <is>
          <t>healthcare</t>
        </is>
      </c>
      <c r="F117" s="31" t="inlineStr">
        <is>
          <t>pharmaceuticals - indian - formulations</t>
        </is>
      </c>
      <c r="G117" s="31" t="inlineStr">
        <is>
          <t>midcap</t>
        </is>
      </c>
      <c r="H117" s="32" t="n">
        <v>15938.94</v>
      </c>
      <c r="I117" s="32" t="n">
        <v>855.8</v>
      </c>
      <c r="J117" s="32" t="n">
        <v>5.01</v>
      </c>
      <c r="K117" s="32" t="n">
        <v>3176968</v>
      </c>
      <c r="L117" s="31" t="n">
        <v>91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87.72</v>
      </c>
      <c r="P117" s="32" t="n">
        <v>76.05</v>
      </c>
      <c r="Q117" s="32" t="inlineStr"/>
      <c r="R117" s="31" t="inlineStr">
        <is>
          <t>Earnings / Momentum Support</t>
        </is>
      </c>
      <c r="S117" s="31" t="inlineStr">
        <is>
          <t>Nifty Pharma</t>
        </is>
      </c>
      <c r="T117" s="32" t="n">
        <v>18.39</v>
      </c>
      <c r="U117" s="32" t="n">
        <v>91.56</v>
      </c>
      <c r="V117" s="32" t="n">
        <v>61.8</v>
      </c>
      <c r="W117" s="32" t="n">
        <v>31.69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Yes</t>
        </is>
      </c>
      <c r="AC117" s="31">
        <f>IF(AB117="No",5,0)</f>
        <v/>
      </c>
      <c r="AD117" s="31" t="inlineStr">
        <is>
          <t>Headwind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No</t>
        </is>
      </c>
      <c r="AQ117" s="31">
        <f>IF(AP117="Yes",10,0)</f>
        <v/>
      </c>
      <c r="AR117" s="31" t="inlineStr">
        <is>
          <t>Higher Annuity, Lower One Time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Above 75</t>
        </is>
      </c>
      <c r="BA117" s="31">
        <f>IF(AZ117="Between 50 to 75",10,IF(AZ117="Above 75",0,0))</f>
        <v/>
      </c>
      <c r="BB117" s="31" t="inlineStr">
        <is>
          <t>Stage 3</t>
        </is>
      </c>
      <c r="BC117" s="31">
        <f>IF(BB117="Stage 2",20,IF(BB117="Stage 1",0,IF(BB117="Stage 3",5,IF(BB117="Stage 4",-5,0))))</f>
        <v/>
      </c>
      <c r="BD117" s="31" t="inlineStr">
        <is>
          <t>Negative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IF(B118=0,"",RANK(B118,$B$2:$B$389,0))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ORCHPHARMA</t>
        </is>
      </c>
      <c r="D118" s="31" t="inlineStr">
        <is>
          <t>Orchid Pharma Ltd</t>
        </is>
      </c>
      <c r="E118" s="31" t="inlineStr">
        <is>
          <t>healthcare</t>
        </is>
      </c>
      <c r="F118" s="31" t="inlineStr">
        <is>
          <t>pharmaceuticals - indian - bulk drugs &amp; formln</t>
        </is>
      </c>
      <c r="G118" s="31" t="inlineStr">
        <is>
          <t>midcap</t>
        </is>
      </c>
      <c r="H118" s="32" t="n">
        <v>5082.31</v>
      </c>
      <c r="I118" s="32" t="n">
        <v>1038.1</v>
      </c>
      <c r="J118" s="32" t="n">
        <v>3.6</v>
      </c>
      <c r="K118" s="32" t="n">
        <v>161873</v>
      </c>
      <c r="L118" s="31" t="n">
        <v>63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65.61</v>
      </c>
      <c r="P118" s="32" t="n">
        <v>52.21</v>
      </c>
      <c r="Q118" s="32" t="inlineStr"/>
      <c r="R118" s="31" t="inlineStr">
        <is>
          <t>Earnings / Momentum Support</t>
        </is>
      </c>
      <c r="S118" s="31" t="inlineStr">
        <is>
          <t>Nifty Pharma</t>
        </is>
      </c>
      <c r="T118" s="32" t="n">
        <v>18.39</v>
      </c>
      <c r="U118" s="32" t="n">
        <v>29.77</v>
      </c>
      <c r="V118" s="32" t="n">
        <v>9.609999999999999</v>
      </c>
      <c r="W118" s="32" t="n">
        <v>15.74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Yes</t>
        </is>
      </c>
      <c r="AC118" s="31">
        <f>IF(AB118="No",5,0)</f>
        <v/>
      </c>
      <c r="AD118" s="31" t="inlineStr">
        <is>
          <t>Headwind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Annuity, Lower One Time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3</t>
        </is>
      </c>
      <c r="BC118" s="31">
        <f>IF(BB118="Stage 2",20,IF(BB118="Stage 1",0,IF(BB118="Stage 3",5,IF(BB118="Stage 4",-5,0))))</f>
        <v/>
      </c>
      <c r="BD118" s="31" t="inlineStr">
        <is>
          <t>Negative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IF(B119=0,"",RANK(B119,$B$2:$B$389,0))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3" t="inlineStr">
        <is>
          <t>SOLARA</t>
        </is>
      </c>
      <c r="D119" s="33" t="inlineStr">
        <is>
          <t>Solara Active Pharma Sciences Ltd</t>
        </is>
      </c>
      <c r="E119" s="31" t="inlineStr">
        <is>
          <t>healthcare</t>
        </is>
      </c>
      <c r="F119" s="31" t="inlineStr">
        <is>
          <t>pharmaceuticals - indian - bulk drugs &amp; formln</t>
        </is>
      </c>
      <c r="G119" s="31" t="inlineStr">
        <is>
          <t>smallcap</t>
        </is>
      </c>
      <c r="H119" s="32" t="n">
        <v>2976.3</v>
      </c>
      <c r="I119" s="32" t="n">
        <v>629.1</v>
      </c>
      <c r="J119" s="32" t="n">
        <v>1.98</v>
      </c>
      <c r="K119" s="32" t="n">
        <v>660132</v>
      </c>
      <c r="L119" s="31" t="n">
        <v>15</v>
      </c>
      <c r="M119" s="31" t="inlineStr">
        <is>
          <t>Underperforming</t>
        </is>
      </c>
      <c r="N119" s="32">
        <f>IF(M119="Underperforming",-5,IF(L119&gt;=95,15,IF(L119&gt;=90,10,IF(L119&gt;=80,5,0))))</f>
        <v/>
      </c>
      <c r="O119" s="32" t="n">
        <v>60.68</v>
      </c>
      <c r="P119" s="32" t="n">
        <v>24.77</v>
      </c>
      <c r="Q119" s="32" t="inlineStr"/>
      <c r="R119" s="31" t="inlineStr">
        <is>
          <t>Earnings / Momentum Support</t>
        </is>
      </c>
      <c r="S119" s="31" t="inlineStr">
        <is>
          <t>Nifty Pharma</t>
        </is>
      </c>
      <c r="T119" s="32" t="n">
        <v>18.39</v>
      </c>
      <c r="U119" s="32" t="n">
        <v>-2.33</v>
      </c>
      <c r="V119" s="32" t="n">
        <v>-17.5</v>
      </c>
      <c r="W119" s="32" t="n">
        <v>2.83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Yes</t>
        </is>
      </c>
      <c r="AC119" s="31">
        <f>IF(AB119="No",5,0)</f>
        <v/>
      </c>
      <c r="AD119" s="31" t="inlineStr">
        <is>
          <t>Headwind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Annuity, Lower One Time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3</t>
        </is>
      </c>
      <c r="BC119" s="31">
        <f>IF(BB119="Stage 2",20,IF(BB119="Stage 1",0,IF(BB119="Stage 3",5,IF(BB119="Stage 4",-5,0))))</f>
        <v/>
      </c>
      <c r="BD119" s="31" t="inlineStr">
        <is>
          <t>Negative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IF(B120=0,"",RANK(B120,$B$2:$B$389,0))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BECTORFOOD</t>
        </is>
      </c>
      <c r="D120" s="31" t="inlineStr">
        <is>
          <t>Mrs Bectors Food Specialities Ltd</t>
        </is>
      </c>
      <c r="E120" s="31" t="inlineStr">
        <is>
          <t>fmcg</t>
        </is>
      </c>
      <c r="F120" s="31" t="inlineStr">
        <is>
          <t>food - processing - indian</t>
        </is>
      </c>
      <c r="G120" s="31" t="inlineStr">
        <is>
          <t>midcap</t>
        </is>
      </c>
      <c r="H120" s="32" t="n">
        <v>7823.04</v>
      </c>
      <c r="I120" s="32" t="n">
        <v>257.29</v>
      </c>
      <c r="J120" s="32" t="n">
        <v>0.97</v>
      </c>
      <c r="K120" s="32" t="n">
        <v>2404672</v>
      </c>
      <c r="L120" s="31" t="inlineStr"/>
      <c r="M120" s="31" t="inlineStr"/>
      <c r="N120" s="32">
        <f>IF(M120="Underperforming",-5,IF(L120&gt;=95,15,IF(L120&gt;=90,10,IF(L120&gt;=80,5,0))))</f>
        <v/>
      </c>
      <c r="O120" s="32" t="n">
        <v>69.27</v>
      </c>
      <c r="P120" s="32" t="n">
        <v>20.25</v>
      </c>
      <c r="Q120" s="32" t="inlineStr"/>
      <c r="R120" s="31" t="inlineStr">
        <is>
          <t>Earnings / Momentum Support</t>
        </is>
      </c>
      <c r="S120" s="31" t="inlineStr">
        <is>
          <t>Nifty FMCG</t>
        </is>
      </c>
      <c r="T120" s="32" t="inlineStr"/>
      <c r="U120" s="32" t="inlineStr"/>
      <c r="V120" s="32" t="inlineStr"/>
      <c r="W120" s="32" t="inlineStr"/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Headwind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B2C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Annuity, Lower One Time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3</t>
        </is>
      </c>
      <c r="BC120" s="31">
        <f>IF(BB120="Stage 2",20,IF(BB120="Stage 1",0,IF(BB120="Stage 3",5,IF(BB120="Stage 4",-5,0))))</f>
        <v/>
      </c>
      <c r="BD120" s="31" t="inlineStr">
        <is>
          <t>Negative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IF(B121=0,"",RANK(B121,$B$2:$B$389,0))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CUPID</t>
        </is>
      </c>
      <c r="D121" s="31" t="inlineStr">
        <is>
          <t>Cupid Limited</t>
        </is>
      </c>
      <c r="E121" s="31" t="inlineStr">
        <is>
          <t>fmcg</t>
        </is>
      </c>
      <c r="F121" s="31" t="inlineStr">
        <is>
          <t>personal care - indian</t>
        </is>
      </c>
      <c r="G121" s="31" t="inlineStr">
        <is>
          <t>largecap</t>
        </is>
      </c>
      <c r="H121" s="32" t="n">
        <v>38266.35</v>
      </c>
      <c r="I121" s="32" t="n">
        <v>286.41</v>
      </c>
      <c r="J121" s="32" t="n">
        <v>0.64</v>
      </c>
      <c r="K121" s="32" t="n">
        <v>18518167</v>
      </c>
      <c r="L121" s="31" t="inlineStr"/>
      <c r="M121" s="31" t="inlineStr"/>
      <c r="N121" s="32">
        <f>IF(M121="Underperforming",-5,IF(L121&gt;=95,15,IF(L121&gt;=90,10,IF(L121&gt;=80,5,0))))</f>
        <v/>
      </c>
      <c r="O121" s="32" t="n">
        <v>88.06</v>
      </c>
      <c r="P121" s="32" t="n">
        <v>72.64</v>
      </c>
      <c r="Q121" s="32" t="inlineStr"/>
      <c r="R121" s="31" t="inlineStr">
        <is>
          <t>Earnings / Momentum Support</t>
        </is>
      </c>
      <c r="S121" s="31" t="inlineStr">
        <is>
          <t>Nifty FMCG</t>
        </is>
      </c>
      <c r="T121" s="32" t="inlineStr"/>
      <c r="U121" s="32" t="inlineStr"/>
      <c r="V121" s="32" t="inlineStr"/>
      <c r="W121" s="32" t="inlineStr"/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Headwind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B2C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Annuity, Lower One Time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Above 75</t>
        </is>
      </c>
      <c r="BA121" s="31">
        <f>IF(AZ121="Between 50 to 75",10,IF(AZ121="Above 75",0,0))</f>
        <v/>
      </c>
      <c r="BB121" s="31" t="inlineStr">
        <is>
          <t>Stage 3</t>
        </is>
      </c>
      <c r="BC121" s="31">
        <f>IF(BB121="Stage 2",20,IF(BB121="Stage 1",0,IF(BB121="Stage 3",5,IF(BB121="Stage 4",-5,0))))</f>
        <v/>
      </c>
      <c r="BD121" s="31" t="inlineStr">
        <is>
          <t>Negative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IF(B122=0,"",RANK(B122,$B$2:$B$389,0))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TASTYBITE</t>
        </is>
      </c>
      <c r="D122" s="31" t="inlineStr">
        <is>
          <t>Tasty Bite Eatables Ltd</t>
        </is>
      </c>
      <c r="E122" s="31" t="inlineStr">
        <is>
          <t>fmcg</t>
        </is>
      </c>
      <c r="F122" s="31" t="inlineStr">
        <is>
          <t>food - processing - indian</t>
        </is>
      </c>
      <c r="G122" s="31" t="inlineStr">
        <is>
          <t>smallcap</t>
        </is>
      </c>
      <c r="H122" s="32" t="n">
        <v>2600.77</v>
      </c>
      <c r="I122" s="32" t="n">
        <v>10116</v>
      </c>
      <c r="J122" s="32" t="n">
        <v>-0.19</v>
      </c>
      <c r="K122" s="32" t="n">
        <v>5459</v>
      </c>
      <c r="L122" s="31" t="inlineStr"/>
      <c r="M122" s="31" t="inlineStr"/>
      <c r="N122" s="32">
        <f>IF(M122="Underperforming",-5,IF(L122&gt;=95,15,IF(L122&gt;=90,10,IF(L122&gt;=80,5,0))))</f>
        <v/>
      </c>
      <c r="O122" s="32" t="n">
        <v>72.91</v>
      </c>
      <c r="P122" s="32" t="n">
        <v>47.63</v>
      </c>
      <c r="Q122" s="32" t="inlineStr"/>
      <c r="R122" s="31" t="inlineStr">
        <is>
          <t>Earnings / Momentum Support</t>
        </is>
      </c>
      <c r="S122" s="31" t="inlineStr">
        <is>
          <t>Nifty FMCG</t>
        </is>
      </c>
      <c r="T122" s="32" t="inlineStr"/>
      <c r="U122" s="32" t="inlineStr"/>
      <c r="V122" s="32" t="inlineStr"/>
      <c r="W122" s="32" t="inlineStr"/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Headwind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B2C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Annuity, Lower One Time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3</t>
        </is>
      </c>
      <c r="BC122" s="31">
        <f>IF(BB122="Stage 2",20,IF(BB122="Stage 1",0,IF(BB122="Stage 3",5,IF(BB122="Stage 4",-5,0))))</f>
        <v/>
      </c>
      <c r="BD122" s="31" t="inlineStr">
        <is>
          <t>Negative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Less than 12%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IF(B123=0,"",RANK(B123,$B$2:$B$389,0))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ZIMLAB</t>
        </is>
      </c>
      <c r="D123" s="31" t="inlineStr">
        <is>
          <t>Zim Laboratories Ltd</t>
        </is>
      </c>
      <c r="E123" s="31" t="inlineStr">
        <is>
          <t>healthcare</t>
        </is>
      </c>
      <c r="F123" s="31" t="inlineStr">
        <is>
          <t>pharmaceuticals - indian - bulk drugs &amp; formln</t>
        </is>
      </c>
      <c r="G123" s="31" t="inlineStr">
        <is>
          <t>smallcap</t>
        </is>
      </c>
      <c r="H123" s="32" t="n">
        <v>669.52</v>
      </c>
      <c r="I123" s="32" t="n">
        <v>123.95</v>
      </c>
      <c r="J123" s="32" t="n">
        <v>-0.86</v>
      </c>
      <c r="K123" s="32" t="n">
        <v>137917</v>
      </c>
      <c r="L123" s="31" t="n">
        <v>68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66.41</v>
      </c>
      <c r="P123" s="32" t="n">
        <v>61.22</v>
      </c>
      <c r="Q123" s="32" t="inlineStr"/>
      <c r="R123" s="31" t="inlineStr">
        <is>
          <t>Earnings / Momentum Support</t>
        </is>
      </c>
      <c r="S123" s="31" t="inlineStr">
        <is>
          <t>Nifty Pharma</t>
        </is>
      </c>
      <c r="T123" s="32" t="n">
        <v>18.39</v>
      </c>
      <c r="U123" s="32" t="n">
        <v>69.12</v>
      </c>
      <c r="V123" s="32" t="n">
        <v>42.85</v>
      </c>
      <c r="W123" s="32" t="n">
        <v>17.38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Yes</t>
        </is>
      </c>
      <c r="AC123" s="31">
        <f>IF(AB123="No",5,0)</f>
        <v/>
      </c>
      <c r="AD123" s="31" t="inlineStr">
        <is>
          <t>Headwind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No</t>
        </is>
      </c>
      <c r="AQ123" s="31">
        <f>IF(AP123="Yes",10,0)</f>
        <v/>
      </c>
      <c r="AR123" s="31" t="inlineStr">
        <is>
          <t>Higher Annuity, Lower One Time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3</t>
        </is>
      </c>
      <c r="BC123" s="31">
        <f>IF(BB123="Stage 2",20,IF(BB123="Stage 1",0,IF(BB123="Stage 3",5,IF(BB123="Stage 4",-5,0))))</f>
        <v/>
      </c>
      <c r="BD123" s="31" t="inlineStr">
        <is>
          <t>Negative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IF(B124=0,"",RANK(B124,$B$2:$B$389,0))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VIYASH</t>
        </is>
      </c>
      <c r="D124" s="31" t="inlineStr">
        <is>
          <t>Viyash Scientific Ltd</t>
        </is>
      </c>
      <c r="E124" s="31" t="inlineStr">
        <is>
          <t>healthcare</t>
        </is>
      </c>
      <c r="F124" s="31" t="inlineStr">
        <is>
          <t>pharmaceuticals - indian - bulk drugs &amp; formln</t>
        </is>
      </c>
      <c r="G124" s="31" t="inlineStr">
        <is>
          <t>midcap</t>
        </is>
      </c>
      <c r="H124" s="32" t="n">
        <v>12055.58</v>
      </c>
      <c r="I124" s="32" t="n">
        <v>273.2</v>
      </c>
      <c r="J124" s="32" t="n">
        <v>-1</v>
      </c>
      <c r="K124" s="32" t="n">
        <v>10761392</v>
      </c>
      <c r="L124" s="31" t="n">
        <v>54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60.12</v>
      </c>
      <c r="P124" s="32" t="n">
        <v>46.51</v>
      </c>
      <c r="Q124" s="32" t="inlineStr"/>
      <c r="R124" s="31" t="inlineStr">
        <is>
          <t>Earnings / Momentum Support</t>
        </is>
      </c>
      <c r="S124" s="31" t="inlineStr">
        <is>
          <t>Nifty Pharma</t>
        </is>
      </c>
      <c r="T124" s="32" t="n">
        <v>18.39</v>
      </c>
      <c r="U124" s="32" t="n">
        <v>56.92</v>
      </c>
      <c r="V124" s="32" t="n">
        <v>32.55</v>
      </c>
      <c r="W124" s="32" t="n">
        <v>12.87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Yes</t>
        </is>
      </c>
      <c r="AC124" s="31">
        <f>IF(AB124="No",5,0)</f>
        <v/>
      </c>
      <c r="AD124" s="31" t="inlineStr">
        <is>
          <t>Headwind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Annuity, Lower One Time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Above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3</t>
        </is>
      </c>
      <c r="BC124" s="31">
        <f>IF(BB124="Stage 2",20,IF(BB124="Stage 1",0,IF(BB124="Stage 3",5,IF(BB124="Stage 4",-5,0))))</f>
        <v/>
      </c>
      <c r="BD124" s="31" t="inlineStr">
        <is>
          <t>Negative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IF(B125=0,"",RANK(B125,$B$2:$B$389,0))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VIJAYA</t>
        </is>
      </c>
      <c r="D125" s="31" t="inlineStr">
        <is>
          <t>Vijaya Diagnostic Centre Ltd</t>
        </is>
      </c>
      <c r="E125" s="31" t="inlineStr">
        <is>
          <t>healthcare</t>
        </is>
      </c>
      <c r="F125" s="31" t="inlineStr">
        <is>
          <t>healthcare</t>
        </is>
      </c>
      <c r="G125" s="31" t="inlineStr">
        <is>
          <t>midcap</t>
        </is>
      </c>
      <c r="H125" s="32" t="n">
        <v>15479.78</v>
      </c>
      <c r="I125" s="32" t="n">
        <v>1482.4</v>
      </c>
      <c r="J125" s="32" t="n">
        <v>-1.46</v>
      </c>
      <c r="K125" s="32" t="n">
        <v>146168</v>
      </c>
      <c r="L125" s="31" t="n">
        <v>56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71.03</v>
      </c>
      <c r="P125" s="32" t="n">
        <v>58.96</v>
      </c>
      <c r="Q125" s="32" t="inlineStr"/>
      <c r="R125" s="31" t="inlineStr">
        <is>
          <t>Earnings / Momentum Support</t>
        </is>
      </c>
      <c r="S125" s="31" t="inlineStr">
        <is>
          <t>Nifty Pharma</t>
        </is>
      </c>
      <c r="T125" s="32" t="n">
        <v>18.39</v>
      </c>
      <c r="U125" s="32" t="n">
        <v>47.63</v>
      </c>
      <c r="V125" s="32" t="n">
        <v>24.7</v>
      </c>
      <c r="W125" s="32" t="n">
        <v>13.17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Yes</t>
        </is>
      </c>
      <c r="AC125" s="31">
        <f>IF(AB125="No",5,0)</f>
        <v/>
      </c>
      <c r="AD125" s="31" t="inlineStr">
        <is>
          <t>Headwind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3</t>
        </is>
      </c>
      <c r="BC125" s="31">
        <f>IF(BB125="Stage 2",20,IF(BB125="Stage 1",0,IF(BB125="Stage 3",5,IF(BB125="Stage 4",-5,0))))</f>
        <v/>
      </c>
      <c r="BD125" s="31" t="inlineStr">
        <is>
          <t>Negative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IF(B126=0,"",RANK(B126,$B$2:$B$389,0))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HTMEDIA</t>
        </is>
      </c>
      <c r="D126" s="31" t="inlineStr">
        <is>
          <t>Ht Media Limited</t>
        </is>
      </c>
      <c r="E126" s="31" t="inlineStr">
        <is>
          <t>media</t>
        </is>
      </c>
      <c r="F126" s="31" t="inlineStr">
        <is>
          <t>entertainment / electronic media software</t>
        </is>
      </c>
      <c r="G126" s="31" t="inlineStr">
        <is>
          <t>smallcap</t>
        </is>
      </c>
      <c r="H126" s="32" t="n">
        <v>641.76</v>
      </c>
      <c r="I126" s="32" t="n">
        <v>27</v>
      </c>
      <c r="J126" s="32" t="n">
        <v>-2.07</v>
      </c>
      <c r="K126" s="32" t="n">
        <v>350100</v>
      </c>
      <c r="L126" s="31" t="n">
        <v>42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63.13</v>
      </c>
      <c r="P126" s="32" t="n">
        <v>22.21</v>
      </c>
      <c r="Q126" s="32" t="inlineStr"/>
      <c r="R126" s="31" t="inlineStr">
        <is>
          <t>Earnings / Momentum Support</t>
        </is>
      </c>
      <c r="S126" s="31" t="inlineStr">
        <is>
          <t>Nifty IT</t>
        </is>
      </c>
      <c r="T126" s="32" t="n">
        <v>-13.85</v>
      </c>
      <c r="U126" s="32" t="n">
        <v>8.59</v>
      </c>
      <c r="V126" s="32" t="n">
        <v>26.04</v>
      </c>
      <c r="W126" s="32" t="n">
        <v>9.369999999999999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Headwind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No</t>
        </is>
      </c>
      <c r="AQ126" s="31">
        <f>IF(AP126="Yes",10,0)</f>
        <v/>
      </c>
      <c r="AR126" s="31" t="inlineStr">
        <is>
          <t>Higher Annuity, Lower One Time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3</t>
        </is>
      </c>
      <c r="BC126" s="31">
        <f>IF(BB126="Stage 2",20,IF(BB126="Stage 1",0,IF(BB126="Stage 3",5,IF(BB126="Stage 4",-5,0))))</f>
        <v/>
      </c>
      <c r="BD126" s="31" t="inlineStr">
        <is>
          <t>Negative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IF(B127=0,"",RANK(B127,$B$2:$B$389,0))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BANARISUG</t>
        </is>
      </c>
      <c r="D127" s="31" t="inlineStr">
        <is>
          <t>Bannari Amman Sugars Limited</t>
        </is>
      </c>
      <c r="E127" s="31" t="inlineStr">
        <is>
          <t>fmcg</t>
        </is>
      </c>
      <c r="F127" s="31" t="inlineStr">
        <is>
          <t>sugar</t>
        </is>
      </c>
      <c r="G127" s="31" t="inlineStr">
        <is>
          <t>midcap</t>
        </is>
      </c>
      <c r="H127" s="32" t="n">
        <v>5040.58</v>
      </c>
      <c r="I127" s="32" t="n">
        <v>3925</v>
      </c>
      <c r="J127" s="32" t="n">
        <v>-2.36</v>
      </c>
      <c r="K127" s="32" t="n">
        <v>18414</v>
      </c>
      <c r="L127" s="31" t="inlineStr"/>
      <c r="M127" s="31" t="inlineStr"/>
      <c r="N127" s="32">
        <f>IF(M127="Underperforming",-5,IF(L127&gt;=95,15,IF(L127&gt;=90,10,IF(L127&gt;=80,5,0))))</f>
        <v/>
      </c>
      <c r="O127" s="32" t="n">
        <v>71.42</v>
      </c>
      <c r="P127" s="32" t="n">
        <v>28.8</v>
      </c>
      <c r="Q127" s="32" t="inlineStr"/>
      <c r="R127" s="31" t="inlineStr">
        <is>
          <t>Earnings / Momentum Support</t>
        </is>
      </c>
      <c r="S127" s="31" t="inlineStr">
        <is>
          <t>Nifty FMCG</t>
        </is>
      </c>
      <c r="T127" s="32" t="inlineStr"/>
      <c r="U127" s="32" t="inlineStr"/>
      <c r="V127" s="32" t="inlineStr"/>
      <c r="W127" s="32" t="inlineStr"/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Headwind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B2C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Annuity, Lower One Time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3</t>
        </is>
      </c>
      <c r="BC127" s="31">
        <f>IF(BB127="Stage 2",20,IF(BB127="Stage 1",0,IF(BB127="Stage 3",5,IF(BB127="Stage 4",-5,0))))</f>
        <v/>
      </c>
      <c r="BD127" s="31" t="inlineStr">
        <is>
          <t>Negative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IF(B128=0,"",RANK(B128,$B$2:$B$389,0))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BLISSGVS</t>
        </is>
      </c>
      <c r="D128" s="31" t="inlineStr">
        <is>
          <t>Bliss Gvs Pharma Limited</t>
        </is>
      </c>
      <c r="E128" s="31" t="inlineStr">
        <is>
          <t>healthcare</t>
        </is>
      </c>
      <c r="F128" s="31" t="inlineStr">
        <is>
          <t>pharmaceuticals - indian - formulations</t>
        </is>
      </c>
      <c r="G128" s="31" t="inlineStr">
        <is>
          <t>midcap</t>
        </is>
      </c>
      <c r="H128" s="32" t="n">
        <v>6141.72</v>
      </c>
      <c r="I128" s="32" t="n">
        <v>564.9</v>
      </c>
      <c r="J128" s="32" t="n">
        <v>-2.45</v>
      </c>
      <c r="K128" s="32" t="n">
        <v>529884</v>
      </c>
      <c r="L128" s="31" t="n">
        <v>98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82.36</v>
      </c>
      <c r="P128" s="32" t="n">
        <v>75.42</v>
      </c>
      <c r="Q128" s="32" t="inlineStr"/>
      <c r="R128" s="31" t="inlineStr">
        <is>
          <t>Earnings / Momentum Support</t>
        </is>
      </c>
      <c r="S128" s="31" t="inlineStr">
        <is>
          <t>Nifty Pharma</t>
        </is>
      </c>
      <c r="T128" s="32" t="n">
        <v>18.39</v>
      </c>
      <c r="U128" s="32" t="n">
        <v>260.5</v>
      </c>
      <c r="V128" s="32" t="n">
        <v>204.5</v>
      </c>
      <c r="W128" s="32" t="n">
        <v>52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Yes</t>
        </is>
      </c>
      <c r="AC128" s="31">
        <f>IF(AB128="No",5,0)</f>
        <v/>
      </c>
      <c r="AD128" s="31" t="inlineStr">
        <is>
          <t>Headwind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Above 75</t>
        </is>
      </c>
      <c r="BA128" s="31">
        <f>IF(AZ128="Between 50 to 75",10,IF(AZ128="Above 75",0,0))</f>
        <v/>
      </c>
      <c r="BB128" s="31" t="inlineStr">
        <is>
          <t>Stage 3</t>
        </is>
      </c>
      <c r="BC128" s="31">
        <f>IF(BB128="Stage 2",20,IF(BB128="Stage 1",0,IF(BB128="Stage 3",5,IF(BB128="Stage 4",-5,0))))</f>
        <v/>
      </c>
      <c r="BD128" s="31" t="inlineStr">
        <is>
          <t>Negative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Between 12 to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IF(B129=0,"",RANK(B129,$B$2:$B$389,0))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RATEGAIN</t>
        </is>
      </c>
      <c r="D129" s="31" t="inlineStr">
        <is>
          <t>Rategain Travel Technologies Ltd</t>
        </is>
      </c>
      <c r="E129" s="31" t="inlineStr">
        <is>
          <t>i.t</t>
        </is>
      </c>
      <c r="F129" s="31" t="inlineStr">
        <is>
          <t>computers - software - medium / small</t>
        </is>
      </c>
      <c r="G129" s="31" t="inlineStr">
        <is>
          <t>midcap</t>
        </is>
      </c>
      <c r="H129" s="32" t="n">
        <v>11724.72</v>
      </c>
      <c r="I129" s="32" t="n">
        <v>962.1</v>
      </c>
      <c r="J129" s="32" t="n">
        <v>-2.82</v>
      </c>
      <c r="K129" s="32" t="n">
        <v>670650</v>
      </c>
      <c r="L129" s="31" t="n">
        <v>84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75.23999999999999</v>
      </c>
      <c r="P129" s="32" t="n">
        <v>45.97</v>
      </c>
      <c r="Q129" s="32" t="inlineStr"/>
      <c r="R129" s="31" t="inlineStr">
        <is>
          <t>Earnings / Momentum Support</t>
        </is>
      </c>
      <c r="S129" s="31" t="inlineStr">
        <is>
          <t>Nifty IT</t>
        </is>
      </c>
      <c r="T129" s="32" t="n">
        <v>-13.85</v>
      </c>
      <c r="U129" s="32" t="n">
        <v>99.98999999999999</v>
      </c>
      <c r="V129" s="32" t="n">
        <v>132.14</v>
      </c>
      <c r="W129" s="32" t="n">
        <v>25.16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Headwind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Above 75</t>
        </is>
      </c>
      <c r="BA129" s="31">
        <f>IF(AZ129="Between 50 to 75",10,IF(AZ129="Above 75",0,0))</f>
        <v/>
      </c>
      <c r="BB129" s="31" t="inlineStr">
        <is>
          <t>Stage 3</t>
        </is>
      </c>
      <c r="BC129" s="31">
        <f>IF(BB129="Stage 2",20,IF(BB129="Stage 1",0,IF(BB129="Stage 3",5,IF(BB129="Stage 4",-5,0))))</f>
        <v/>
      </c>
      <c r="BD129" s="31" t="inlineStr">
        <is>
          <t>Negative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IF(B130=0,"",RANK(B130,$B$2:$B$389,0))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SOMANYCERA</t>
        </is>
      </c>
      <c r="D130" s="31" t="inlineStr">
        <is>
          <t>Somany Ceramics Limited</t>
        </is>
      </c>
      <c r="E130" s="31" t="inlineStr">
        <is>
          <t>building materials</t>
        </is>
      </c>
      <c r="F130" s="31" t="inlineStr">
        <is>
          <t>ceramics - tiles / sanitaryware</t>
        </is>
      </c>
      <c r="G130" s="31" t="inlineStr">
        <is>
          <t>smallcap</t>
        </is>
      </c>
      <c r="H130" s="32" t="n">
        <v>2133.28</v>
      </c>
      <c r="I130" s="32" t="n">
        <v>552.1</v>
      </c>
      <c r="J130" s="32" t="n">
        <v>6.14</v>
      </c>
      <c r="K130" s="32" t="n">
        <v>642372</v>
      </c>
      <c r="L130" s="31" t="inlineStr"/>
      <c r="M130" s="31" t="inlineStr"/>
      <c r="N130" s="32">
        <f>IF(M130="Underperforming",-5,IF(L130&gt;=95,15,IF(L130&gt;=90,10,IF(L130&gt;=80,5,0))))</f>
        <v/>
      </c>
      <c r="O130" s="32" t="n">
        <v>59.52</v>
      </c>
      <c r="P130" s="32" t="n">
        <v>29.89</v>
      </c>
      <c r="Q130" s="32" t="inlineStr"/>
      <c r="R130" s="31" t="inlineStr">
        <is>
          <t>Earnings / Momentum Support</t>
        </is>
      </c>
      <c r="S130" s="31" t="inlineStr">
        <is>
          <t>Nifty Infra</t>
        </is>
      </c>
      <c r="T130" s="32" t="inlineStr"/>
      <c r="U130" s="32" t="inlineStr"/>
      <c r="V130" s="32" t="inlineStr"/>
      <c r="W130" s="32" t="inlineStr"/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Headwind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3</t>
        </is>
      </c>
      <c r="BC130" s="31">
        <f>IF(BB130="Stage 2",20,IF(BB130="Stage 1",0,IF(BB130="Stage 3",5,IF(BB130="Stage 4",-5,0))))</f>
        <v/>
      </c>
      <c r="BD130" s="31" t="inlineStr">
        <is>
          <t>Negative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IF(B131=0,"",RANK(B131,$B$2:$B$389,0))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BHAGERIA</t>
        </is>
      </c>
      <c r="D131" s="31" t="inlineStr">
        <is>
          <t>Bhageria Industries Limited</t>
        </is>
      </c>
      <c r="E131" s="31" t="inlineStr">
        <is>
          <t>chemicals</t>
        </is>
      </c>
      <c r="F131" s="31" t="inlineStr">
        <is>
          <t>dyes and pigments</t>
        </is>
      </c>
      <c r="G131" s="31" t="inlineStr">
        <is>
          <t>smallcap</t>
        </is>
      </c>
      <c r="H131" s="32" t="n">
        <v>928.3099999999999</v>
      </c>
      <c r="I131" s="32" t="n">
        <v>223.33</v>
      </c>
      <c r="J131" s="32" t="n">
        <v>5</v>
      </c>
      <c r="K131" s="32" t="n">
        <v>79139</v>
      </c>
      <c r="L131" s="31" t="n">
        <v>57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57.69</v>
      </c>
      <c r="P131" s="32" t="n">
        <v>29.63</v>
      </c>
      <c r="Q131" s="32" t="inlineStr"/>
      <c r="R131" s="31" t="inlineStr">
        <is>
          <t>Earnings / Momentum Support</t>
        </is>
      </c>
      <c r="S131" s="31" t="inlineStr">
        <is>
          <t>Nifty 50</t>
        </is>
      </c>
      <c r="T131" s="32" t="n">
        <v>-2.49</v>
      </c>
      <c r="U131" s="32" t="n">
        <v>20.38</v>
      </c>
      <c r="V131" s="32" t="n">
        <v>23.45</v>
      </c>
      <c r="W131" s="32" t="n">
        <v>13.58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Headwind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3</t>
        </is>
      </c>
      <c r="BC131" s="31">
        <f>IF(BB131="Stage 2",20,IF(BB131="Stage 1",0,IF(BB131="Stage 3",5,IF(BB131="Stage 4",-5,0))))</f>
        <v/>
      </c>
      <c r="BD131" s="31" t="inlineStr">
        <is>
          <t>Negative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IF(B132=0,"",RANK(B132,$B$2:$B$389,0))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ARVSMART</t>
        </is>
      </c>
      <c r="D132" s="31" t="inlineStr">
        <is>
          <t>Arvind Smartspaces Limited</t>
        </is>
      </c>
      <c r="E132" s="31" t="inlineStr">
        <is>
          <t>realty</t>
        </is>
      </c>
      <c r="F132" s="31" t="inlineStr">
        <is>
          <t>construction</t>
        </is>
      </c>
      <c r="G132" s="31" t="inlineStr">
        <is>
          <t>smallcap</t>
        </is>
      </c>
      <c r="H132" s="32" t="n">
        <v>3059.33</v>
      </c>
      <c r="I132" s="32" t="n">
        <v>694.85</v>
      </c>
      <c r="J132" s="32" t="n">
        <v>4.18</v>
      </c>
      <c r="K132" s="32" t="n">
        <v>393842</v>
      </c>
      <c r="L132" s="31" t="inlineStr"/>
      <c r="M132" s="31" t="inlineStr"/>
      <c r="N132" s="32">
        <f>IF(M132="Underperforming",-5,IF(L132&gt;=95,15,IF(L132&gt;=90,10,IF(L132&gt;=80,5,0))))</f>
        <v/>
      </c>
      <c r="O132" s="32" t="n">
        <v>62.27</v>
      </c>
      <c r="P132" s="32" t="n">
        <v>30.9</v>
      </c>
      <c r="Q132" s="32" t="inlineStr"/>
      <c r="R132" s="31" t="inlineStr">
        <is>
          <t>Earnings / Momentum Support</t>
        </is>
      </c>
      <c r="S132" s="31" t="inlineStr">
        <is>
          <t>Nifty Realty</t>
        </is>
      </c>
      <c r="T132" s="32" t="inlineStr"/>
      <c r="U132" s="32" t="inlineStr"/>
      <c r="V132" s="32" t="inlineStr"/>
      <c r="W132" s="32" t="inlineStr"/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Headwind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No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3</t>
        </is>
      </c>
      <c r="BC132" s="31">
        <f>IF(BB132="Stage 2",20,IF(BB132="Stage 1",0,IF(BB132="Stage 3",5,IF(BB132="Stage 4",-5,0))))</f>
        <v/>
      </c>
      <c r="BD132" s="31" t="inlineStr">
        <is>
          <t>Negative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IF(B133=0,"",RANK(B133,$B$2:$B$389,0))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AETHER</t>
        </is>
      </c>
      <c r="D133" s="31" t="inlineStr">
        <is>
          <t>Aether Industries Ltd</t>
        </is>
      </c>
      <c r="E133" s="31" t="inlineStr">
        <is>
          <t>chemicals</t>
        </is>
      </c>
      <c r="F133" s="31" t="inlineStr">
        <is>
          <t>chemicals</t>
        </is>
      </c>
      <c r="G133" s="31" t="inlineStr">
        <is>
          <t>largecap</t>
        </is>
      </c>
      <c r="H133" s="32" t="n">
        <v>21587.03</v>
      </c>
      <c r="I133" s="32" t="n">
        <v>1667.8</v>
      </c>
      <c r="J133" s="32" t="n">
        <v>2.53</v>
      </c>
      <c r="K133" s="32" t="n">
        <v>352448</v>
      </c>
      <c r="L133" s="31" t="n">
        <v>88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75.98</v>
      </c>
      <c r="P133" s="32" t="n">
        <v>51.6</v>
      </c>
      <c r="Q133" s="32" t="inlineStr"/>
      <c r="R133" s="31" t="inlineStr">
        <is>
          <t>Earnings / Momentum Support</t>
        </is>
      </c>
      <c r="S133" s="31" t="inlineStr">
        <is>
          <t>Nifty 50</t>
        </is>
      </c>
      <c r="T133" s="32" t="n">
        <v>-2.49</v>
      </c>
      <c r="U133" s="32" t="n">
        <v>110.89</v>
      </c>
      <c r="V133" s="32" t="n">
        <v>116.27</v>
      </c>
      <c r="W133" s="32" t="n">
        <v>28.51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Headwind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No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Above 75</t>
        </is>
      </c>
      <c r="BA133" s="31">
        <f>IF(AZ133="Between 50 to 75",10,IF(AZ133="Above 75",0,0))</f>
        <v/>
      </c>
      <c r="BB133" s="31" t="inlineStr">
        <is>
          <t>Stage 3</t>
        </is>
      </c>
      <c r="BC133" s="31">
        <f>IF(BB133="Stage 2",20,IF(BB133="Stage 1",0,IF(BB133="Stage 3",5,IF(BB133="Stage 4",-5,0))))</f>
        <v/>
      </c>
      <c r="BD133" s="31" t="inlineStr">
        <is>
          <t>Negative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IF(B134=0,"",RANK(B134,$B$2:$B$389,0))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CYIENTDLM</t>
        </is>
      </c>
      <c r="D134" s="31" t="inlineStr">
        <is>
          <t>Cyient DLM Ltd</t>
        </is>
      </c>
      <c r="E134" s="31" t="inlineStr">
        <is>
          <t>aerospace &amp; defence</t>
        </is>
      </c>
      <c r="F134" s="31" t="inlineStr">
        <is>
          <t>electronics - components</t>
        </is>
      </c>
      <c r="G134" s="31" t="inlineStr">
        <is>
          <t>midcap</t>
        </is>
      </c>
      <c r="H134" s="32" t="n">
        <v>5724.73</v>
      </c>
      <c r="I134" s="32" t="n">
        <v>735.85</v>
      </c>
      <c r="J134" s="32" t="n">
        <v>2.04</v>
      </c>
      <c r="K134" s="32" t="n">
        <v>1184889</v>
      </c>
      <c r="L134" s="31" t="n">
        <v>88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85.42</v>
      </c>
      <c r="P134" s="32" t="n">
        <v>66.95999999999999</v>
      </c>
      <c r="Q134" s="32" t="inlineStr"/>
      <c r="R134" s="31" t="inlineStr">
        <is>
          <t>Earnings / Momentum Support</t>
        </is>
      </c>
      <c r="S134" s="31" t="inlineStr">
        <is>
          <t>Nifty 50</t>
        </is>
      </c>
      <c r="T134" s="32" t="n">
        <v>-2.49</v>
      </c>
      <c r="U134" s="32" t="n">
        <v>61.89</v>
      </c>
      <c r="V134" s="32" t="n">
        <v>66.02</v>
      </c>
      <c r="W134" s="32" t="n">
        <v>28.85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Headwind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Above 40</t>
        </is>
      </c>
      <c r="AY134" s="31">
        <f>IF(AX134="Above 40",20,IF(AX134="20 to 40",10,IF(AX134="0 to 20",-5,0)))</f>
        <v/>
      </c>
      <c r="AZ134" s="31" t="inlineStr">
        <is>
          <t>Above 75</t>
        </is>
      </c>
      <c r="BA134" s="31">
        <f>IF(AZ134="Between 50 to 75",10,IF(AZ134="Above 75",0,0))</f>
        <v/>
      </c>
      <c r="BB134" s="31" t="inlineStr">
        <is>
          <t>Stage 3</t>
        </is>
      </c>
      <c r="BC134" s="31">
        <f>IF(BB134="Stage 2",20,IF(BB134="Stage 1",0,IF(BB134="Stage 3",5,IF(BB134="Stage 4",-5,0))))</f>
        <v/>
      </c>
      <c r="BD134" s="31" t="inlineStr">
        <is>
          <t>Negative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IF(B135=0,"",RANK(B135,$B$2:$B$389,0))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UFBL</t>
        </is>
      </c>
      <c r="D135" s="31" t="inlineStr">
        <is>
          <t>United Foodbrands Ltd</t>
        </is>
      </c>
      <c r="E135" s="31" t="inlineStr">
        <is>
          <t>consumer discretionary</t>
        </is>
      </c>
      <c r="F135" s="31" t="inlineStr">
        <is>
          <t>hotels</t>
        </is>
      </c>
      <c r="G135" s="31" t="inlineStr">
        <is>
          <t>smallcap</t>
        </is>
      </c>
      <c r="H135" s="32" t="n">
        <v>3215.25</v>
      </c>
      <c r="I135" s="32" t="n">
        <v>838.85</v>
      </c>
      <c r="J135" s="32" t="n">
        <v>1.98</v>
      </c>
      <c r="K135" s="32" t="n">
        <v>67553</v>
      </c>
      <c r="L135" s="31" t="n">
        <v>97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75.45999999999999</v>
      </c>
      <c r="P135" s="32" t="n">
        <v>55.76</v>
      </c>
      <c r="Q135" s="32" t="inlineStr"/>
      <c r="R135" s="31" t="inlineStr">
        <is>
          <t>Earnings / Momentum Support</t>
        </is>
      </c>
      <c r="S135" s="31" t="inlineStr">
        <is>
          <t>Nifty 50</t>
        </is>
      </c>
      <c r="T135" s="32" t="n">
        <v>-2.49</v>
      </c>
      <c r="U135" s="32" t="n">
        <v>210.12</v>
      </c>
      <c r="V135" s="32" t="n">
        <v>218.03</v>
      </c>
      <c r="W135" s="32" t="n">
        <v>48.79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Headwind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No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Above 75</t>
        </is>
      </c>
      <c r="BA135" s="31">
        <f>IF(AZ135="Between 50 to 75",10,IF(AZ135="Above 75",0,0))</f>
        <v/>
      </c>
      <c r="BB135" s="31" t="inlineStr">
        <is>
          <t>Stage 3</t>
        </is>
      </c>
      <c r="BC135" s="31">
        <f>IF(BB135="Stage 2",20,IF(BB135="Stage 1",0,IF(BB135="Stage 3",5,IF(BB135="Stage 4",-5,0))))</f>
        <v/>
      </c>
      <c r="BD135" s="31" t="inlineStr">
        <is>
          <t>Negative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Between 1.5 to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More than 1.2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IF(B136=0,"",RANK(B136,$B$2:$B$389,0))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SANDHAR</t>
        </is>
      </c>
      <c r="D136" s="31" t="inlineStr">
        <is>
          <t>Sandhar Technologies Limited</t>
        </is>
      </c>
      <c r="E136" s="31" t="inlineStr">
        <is>
          <t>auto</t>
        </is>
      </c>
      <c r="F136" s="31" t="inlineStr">
        <is>
          <t>auto ancillaries</t>
        </is>
      </c>
      <c r="G136" s="31" t="inlineStr">
        <is>
          <t>smallcap</t>
        </is>
      </c>
      <c r="H136" s="32" t="n">
        <v>4019.23</v>
      </c>
      <c r="I136" s="32" t="n">
        <v>680.6</v>
      </c>
      <c r="J136" s="32" t="n">
        <v>1.92</v>
      </c>
      <c r="K136" s="32" t="n">
        <v>631257</v>
      </c>
      <c r="L136" s="31" t="inlineStr"/>
      <c r="M136" s="31" t="inlineStr"/>
      <c r="N136" s="32">
        <f>IF(M136="Underperforming",-5,IF(L136&gt;=95,15,IF(L136&gt;=90,10,IF(L136&gt;=80,5,0))))</f>
        <v/>
      </c>
      <c r="O136" s="32" t="n">
        <v>58.65</v>
      </c>
      <c r="P136" s="32" t="n">
        <v>35.39</v>
      </c>
      <c r="Q136" s="32" t="inlineStr"/>
      <c r="R136" s="31" t="inlineStr">
        <is>
          <t>Earnings / Momentum Support</t>
        </is>
      </c>
      <c r="S136" s="31" t="inlineStr">
        <is>
          <t>Nifty Auto</t>
        </is>
      </c>
      <c r="T136" s="32" t="inlineStr"/>
      <c r="U136" s="32" t="inlineStr"/>
      <c r="V136" s="32" t="inlineStr"/>
      <c r="W136" s="32" t="inlineStr"/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Headwind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3</t>
        </is>
      </c>
      <c r="BC136" s="31">
        <f>IF(BB136="Stage 2",20,IF(BB136="Stage 1",0,IF(BB136="Stage 3",5,IF(BB136="Stage 4",-5,0))))</f>
        <v/>
      </c>
      <c r="BD136" s="31" t="inlineStr">
        <is>
          <t>Negative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Between 0.7 to 1.2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IF(B137=0,"",RANK(B137,$B$2:$B$389,0))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MOLDTECH</t>
        </is>
      </c>
      <c r="D137" s="31" t="inlineStr">
        <is>
          <t>Mold-tek Technologies Limited</t>
        </is>
      </c>
      <c r="E137" s="31" t="inlineStr">
        <is>
          <t>realty</t>
        </is>
      </c>
      <c r="F137" s="31" t="inlineStr">
        <is>
          <t>engineering - turnkey services</t>
        </is>
      </c>
      <c r="G137" s="31" t="inlineStr">
        <is>
          <t>smallcap</t>
        </is>
      </c>
      <c r="H137" s="32" t="n">
        <v>547.3</v>
      </c>
      <c r="I137" s="32" t="n">
        <v>193.62</v>
      </c>
      <c r="J137" s="32" t="n">
        <v>1.91</v>
      </c>
      <c r="K137" s="32" t="n">
        <v>516419</v>
      </c>
      <c r="L137" s="31" t="inlineStr"/>
      <c r="M137" s="31" t="inlineStr"/>
      <c r="N137" s="32">
        <f>IF(M137="Underperforming",-5,IF(L137&gt;=95,15,IF(L137&gt;=90,10,IF(L137&gt;=80,5,0))))</f>
        <v/>
      </c>
      <c r="O137" s="32" t="n">
        <v>70.11</v>
      </c>
      <c r="P137" s="32" t="n">
        <v>33.25</v>
      </c>
      <c r="Q137" s="32" t="inlineStr"/>
      <c r="R137" s="31" t="inlineStr">
        <is>
          <t>Earnings / Momentum Support</t>
        </is>
      </c>
      <c r="S137" s="31" t="inlineStr">
        <is>
          <t>Nifty Realty</t>
        </is>
      </c>
      <c r="T137" s="32" t="inlineStr"/>
      <c r="U137" s="32" t="inlineStr"/>
      <c r="V137" s="32" t="inlineStr"/>
      <c r="W137" s="32" t="inlineStr"/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Headwind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3</t>
        </is>
      </c>
      <c r="BC137" s="31">
        <f>IF(BB137="Stage 2",20,IF(BB137="Stage 1",0,IF(BB137="Stage 3",5,IF(BB137="Stage 4",-5,0))))</f>
        <v/>
      </c>
      <c r="BD137" s="31" t="inlineStr">
        <is>
          <t>Negative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IF(B138=0,"",RANK(B138,$B$2:$B$389,0))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GHCLTEXTIL</t>
        </is>
      </c>
      <c r="D138" s="31" t="inlineStr">
        <is>
          <t>GHCL Textiles Ltd</t>
        </is>
      </c>
      <c r="E138" s="31" t="inlineStr">
        <is>
          <t>textiles</t>
        </is>
      </c>
      <c r="F138" s="31" t="inlineStr">
        <is>
          <t>textiles - spinning - synthetic / blended</t>
        </is>
      </c>
      <c r="G138" s="31" t="inlineStr">
        <is>
          <t>smallcap</t>
        </is>
      </c>
      <c r="H138" s="32" t="n">
        <v>1170.83</v>
      </c>
      <c r="I138" s="32" t="n">
        <v>124.21</v>
      </c>
      <c r="J138" s="32" t="n">
        <v>1.4</v>
      </c>
      <c r="K138" s="32" t="n">
        <v>1655077</v>
      </c>
      <c r="L138" s="31" t="n">
        <v>67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71.20999999999999</v>
      </c>
      <c r="P138" s="32" t="n">
        <v>39.78</v>
      </c>
      <c r="Q138" s="32" t="inlineStr"/>
      <c r="R138" s="31" t="inlineStr">
        <is>
          <t>Earnings / Momentum Support</t>
        </is>
      </c>
      <c r="S138" s="31" t="inlineStr">
        <is>
          <t>Nifty 50</t>
        </is>
      </c>
      <c r="T138" s="32" t="n">
        <v>-2.49</v>
      </c>
      <c r="U138" s="32" t="n">
        <v>53.99</v>
      </c>
      <c r="V138" s="32" t="n">
        <v>57.91</v>
      </c>
      <c r="W138" s="32" t="n">
        <v>17.14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Headwind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3</t>
        </is>
      </c>
      <c r="BC138" s="31">
        <f>IF(BB138="Stage 2",20,IF(BB138="Stage 1",0,IF(BB138="Stage 3",5,IF(BB138="Stage 4",-5,0))))</f>
        <v/>
      </c>
      <c r="BD138" s="31" t="inlineStr">
        <is>
          <t>Negative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IF(B139=0,"",RANK(B139,$B$2:$B$389,0))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LODHA</t>
        </is>
      </c>
      <c r="D139" s="31" t="inlineStr">
        <is>
          <t>Lodha Developers Ltd</t>
        </is>
      </c>
      <c r="E139" s="31" t="inlineStr">
        <is>
          <t>realty</t>
        </is>
      </c>
      <c r="F139" s="31" t="inlineStr">
        <is>
          <t>construction</t>
        </is>
      </c>
      <c r="G139" s="31" t="inlineStr">
        <is>
          <t>largecap</t>
        </is>
      </c>
      <c r="H139" s="32" t="n">
        <v>124087.53</v>
      </c>
      <c r="I139" s="32" t="n">
        <v>1258.4</v>
      </c>
      <c r="J139" s="32" t="n">
        <v>1.32</v>
      </c>
      <c r="K139" s="32" t="n">
        <v>1244700</v>
      </c>
      <c r="L139" s="31" t="inlineStr"/>
      <c r="M139" s="31" t="inlineStr"/>
      <c r="N139" s="32">
        <f>IF(M139="Underperforming",-5,IF(L139&gt;=95,15,IF(L139&gt;=90,10,IF(L139&gt;=80,5,0))))</f>
        <v/>
      </c>
      <c r="O139" s="32" t="n">
        <v>63.94</v>
      </c>
      <c r="P139" s="32" t="n">
        <v>24.23</v>
      </c>
      <c r="Q139" s="32" t="inlineStr"/>
      <c r="R139" s="31" t="inlineStr">
        <is>
          <t>Earnings / Momentum Support</t>
        </is>
      </c>
      <c r="S139" s="31" t="inlineStr">
        <is>
          <t>Nifty Realty</t>
        </is>
      </c>
      <c r="T139" s="32" t="inlineStr"/>
      <c r="U139" s="32" t="inlineStr"/>
      <c r="V139" s="32" t="inlineStr"/>
      <c r="W139" s="32" t="inlineStr"/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Headwind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3</t>
        </is>
      </c>
      <c r="BC139" s="31">
        <f>IF(BB139="Stage 2",20,IF(BB139="Stage 1",0,IF(BB139="Stage 3",5,IF(BB139="Stage 4",-5,0))))</f>
        <v/>
      </c>
      <c r="BD139" s="31" t="inlineStr">
        <is>
          <t>Negative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IF(B140=0,"",RANK(B140,$B$2:$B$389,0))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ESABINDIA</t>
        </is>
      </c>
      <c r="D140" s="31" t="inlineStr">
        <is>
          <t>Esab India Limited</t>
        </is>
      </c>
      <c r="E140" s="31" t="inlineStr">
        <is>
          <t>industrials</t>
        </is>
      </c>
      <c r="F140" s="31" t="inlineStr">
        <is>
          <t>electrodes - welding equipment</t>
        </is>
      </c>
      <c r="G140" s="31" t="inlineStr">
        <is>
          <t>midcap</t>
        </is>
      </c>
      <c r="H140" s="32" t="n">
        <v>9559.07</v>
      </c>
      <c r="I140" s="32" t="n">
        <v>6230</v>
      </c>
      <c r="J140" s="32" t="n">
        <v>0.32</v>
      </c>
      <c r="K140" s="32" t="n">
        <v>7615</v>
      </c>
      <c r="L140" s="31" t="inlineStr"/>
      <c r="M140" s="31" t="inlineStr"/>
      <c r="N140" s="32">
        <f>IF(M140="Underperforming",-5,IF(L140&gt;=95,15,IF(L140&gt;=90,10,IF(L140&gt;=80,5,0))))</f>
        <v/>
      </c>
      <c r="O140" s="32" t="n">
        <v>57.71</v>
      </c>
      <c r="P140" s="32" t="n">
        <v>22.88</v>
      </c>
      <c r="Q140" s="32" t="inlineStr"/>
      <c r="R140" s="31" t="inlineStr">
        <is>
          <t>Earnings / Momentum Support</t>
        </is>
      </c>
      <c r="S140" s="31" t="inlineStr">
        <is>
          <t>Nifty Infra</t>
        </is>
      </c>
      <c r="T140" s="32" t="inlineStr"/>
      <c r="U140" s="32" t="inlineStr"/>
      <c r="V140" s="32" t="inlineStr"/>
      <c r="W140" s="32" t="inlineStr"/>
      <c r="X140" s="31" t="inlineStr">
        <is>
          <t>Cyclical in an Upturn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Headwind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3</t>
        </is>
      </c>
      <c r="BC140" s="31">
        <f>IF(BB140="Stage 2",20,IF(BB140="Stage 1",0,IF(BB140="Stage 3",5,IF(BB140="Stage 4",-5,0))))</f>
        <v/>
      </c>
      <c r="BD140" s="31" t="inlineStr">
        <is>
          <t>Negative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IF(B141=0,"",RANK(B141,$B$2:$B$389,0))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RACLGEAR</t>
        </is>
      </c>
      <c r="D141" s="31" t="inlineStr">
        <is>
          <t>RACL Geartech Ltd</t>
        </is>
      </c>
      <c r="E141" s="31" t="inlineStr">
        <is>
          <t>auto</t>
        </is>
      </c>
      <c r="F141" s="31" t="inlineStr">
        <is>
          <t>auto ancillaries</t>
        </is>
      </c>
      <c r="G141" s="31" t="inlineStr">
        <is>
          <t>smallcap</t>
        </is>
      </c>
      <c r="H141" s="32" t="n">
        <v>1782.36</v>
      </c>
      <c r="I141" s="32" t="n">
        <v>1516</v>
      </c>
      <c r="J141" s="32" t="n">
        <v>0.26</v>
      </c>
      <c r="K141" s="32" t="n">
        <v>117689</v>
      </c>
      <c r="L141" s="31" t="inlineStr"/>
      <c r="M141" s="31" t="inlineStr"/>
      <c r="N141" s="32">
        <f>IF(M141="Underperforming",-5,IF(L141&gt;=95,15,IF(L141&gt;=90,10,IF(L141&gt;=80,5,0))))</f>
        <v/>
      </c>
      <c r="O141" s="32" t="n">
        <v>60.07</v>
      </c>
      <c r="P141" s="32" t="n">
        <v>49.58</v>
      </c>
      <c r="Q141" s="32" t="inlineStr"/>
      <c r="R141" s="31" t="inlineStr">
        <is>
          <t>Earnings / Momentum Support</t>
        </is>
      </c>
      <c r="S141" s="31" t="inlineStr">
        <is>
          <t>Nifty Auto</t>
        </is>
      </c>
      <c r="T141" s="32" t="inlineStr"/>
      <c r="U141" s="32" t="inlineStr"/>
      <c r="V141" s="32" t="inlineStr"/>
      <c r="W141" s="32" t="inlineStr"/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Headwind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3</t>
        </is>
      </c>
      <c r="BC141" s="31">
        <f>IF(BB141="Stage 2",20,IF(BB141="Stage 1",0,IF(BB141="Stage 3",5,IF(BB141="Stage 4",-5,0))))</f>
        <v/>
      </c>
      <c r="BD141" s="31" t="inlineStr">
        <is>
          <t>Negative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Less than 12%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IF(B142=0,"",RANK(B142,$B$2:$B$389,0))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INDORAMA</t>
        </is>
      </c>
      <c r="D142" s="31" t="inlineStr">
        <is>
          <t>Indo Rama Synthetics (india) Limited</t>
        </is>
      </c>
      <c r="E142" s="31" t="inlineStr">
        <is>
          <t>textiles</t>
        </is>
      </c>
      <c r="F142" s="31" t="inlineStr">
        <is>
          <t>textiles - manmade</t>
        </is>
      </c>
      <c r="G142" s="31" t="inlineStr">
        <is>
          <t>smallcap</t>
        </is>
      </c>
      <c r="H142" s="32" t="n">
        <v>1636.92</v>
      </c>
      <c r="I142" s="32" t="n">
        <v>62.61</v>
      </c>
      <c r="J142" s="32" t="n">
        <v>-0.13</v>
      </c>
      <c r="K142" s="32" t="n">
        <v>327201</v>
      </c>
      <c r="L142" s="31" t="n">
        <v>78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70.17</v>
      </c>
      <c r="P142" s="32" t="n">
        <v>45.28</v>
      </c>
      <c r="Q142" s="32" t="inlineStr"/>
      <c r="R142" s="31" t="inlineStr">
        <is>
          <t>Earnings / Momentum Support</t>
        </is>
      </c>
      <c r="S142" s="31" t="inlineStr">
        <is>
          <t>Nifty 50</t>
        </is>
      </c>
      <c r="T142" s="32" t="n">
        <v>-2.49</v>
      </c>
      <c r="U142" s="32" t="n">
        <v>16.26</v>
      </c>
      <c r="V142" s="32" t="n">
        <v>19.23</v>
      </c>
      <c r="W142" s="32" t="n">
        <v>22.69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Headwind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Above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3</t>
        </is>
      </c>
      <c r="BC142" s="31">
        <f>IF(BB142="Stage 2",20,IF(BB142="Stage 1",0,IF(BB142="Stage 3",5,IF(BB142="Stage 4",-5,0))))</f>
        <v/>
      </c>
      <c r="BD142" s="31" t="inlineStr">
        <is>
          <t>Negative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More than 1.2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IF(B143=0,"",RANK(B143,$B$2:$B$389,0))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3" t="inlineStr">
        <is>
          <t>VGUARD</t>
        </is>
      </c>
      <c r="D143" s="33" t="inlineStr">
        <is>
          <t>V-guard Industries Limited</t>
        </is>
      </c>
      <c r="E143" s="31" t="inlineStr">
        <is>
          <t>industrials</t>
        </is>
      </c>
      <c r="F143" s="31" t="inlineStr">
        <is>
          <t>electric equipment</t>
        </is>
      </c>
      <c r="G143" s="31" t="inlineStr">
        <is>
          <t>midcap</t>
        </is>
      </c>
      <c r="H143" s="32" t="n">
        <v>14504.78</v>
      </c>
      <c r="I143" s="32" t="n">
        <v>331</v>
      </c>
      <c r="J143" s="32" t="n">
        <v>-0.3</v>
      </c>
      <c r="K143" s="32" t="n">
        <v>528831</v>
      </c>
      <c r="L143" s="31" t="n">
        <v>6</v>
      </c>
      <c r="M143" s="31" t="inlineStr">
        <is>
          <t>Underperforming</t>
        </is>
      </c>
      <c r="N143" s="32">
        <f>IF(M143="Underperforming",-5,IF(L143&gt;=95,15,IF(L143&gt;=90,10,IF(L143&gt;=80,5,0))))</f>
        <v/>
      </c>
      <c r="O143" s="32" t="n">
        <v>57.56</v>
      </c>
      <c r="P143" s="32" t="n">
        <v>21.02</v>
      </c>
      <c r="Q143" s="32" t="inlineStr"/>
      <c r="R143" s="31" t="inlineStr">
        <is>
          <t>Earnings / Momentum Support</t>
        </is>
      </c>
      <c r="S143" s="31" t="inlineStr">
        <is>
          <t>Nifty 50</t>
        </is>
      </c>
      <c r="T143" s="32" t="n">
        <v>-2.49</v>
      </c>
      <c r="U143" s="32" t="n">
        <v>-10.48</v>
      </c>
      <c r="V143" s="32" t="n">
        <v>-8.199999999999999</v>
      </c>
      <c r="W143" s="32" t="n">
        <v>-0.12</v>
      </c>
      <c r="X143" s="31" t="inlineStr">
        <is>
          <t>Cyclical in an Upturn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Headwind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3</t>
        </is>
      </c>
      <c r="BC143" s="31">
        <f>IF(BB143="Stage 2",20,IF(BB143="Stage 1",0,IF(BB143="Stage 3",5,IF(BB143="Stage 4",-5,0))))</f>
        <v/>
      </c>
      <c r="BD143" s="31" t="inlineStr">
        <is>
          <t>Negative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IF(B144=0,"",RANK(B144,$B$2:$B$389,0))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SANSERA</t>
        </is>
      </c>
      <c r="D144" s="31" t="inlineStr">
        <is>
          <t>Sansera Engineering Ltd</t>
        </is>
      </c>
      <c r="E144" s="31" t="inlineStr">
        <is>
          <t>auto</t>
        </is>
      </c>
      <c r="F144" s="31" t="inlineStr">
        <is>
          <t>auto ancillaries</t>
        </is>
      </c>
      <c r="G144" s="31" t="inlineStr">
        <is>
          <t>largecap</t>
        </is>
      </c>
      <c r="H144" s="32" t="n">
        <v>24193.24</v>
      </c>
      <c r="I144" s="32" t="n">
        <v>3865</v>
      </c>
      <c r="J144" s="32" t="n">
        <v>-0.31</v>
      </c>
      <c r="K144" s="32" t="n">
        <v>168686</v>
      </c>
      <c r="L144" s="31" t="inlineStr"/>
      <c r="M144" s="31" t="inlineStr"/>
      <c r="N144" s="32">
        <f>IF(M144="Underperforming",-5,IF(L144&gt;=95,15,IF(L144&gt;=90,10,IF(L144&gt;=80,5,0))))</f>
        <v/>
      </c>
      <c r="O144" s="32" t="n">
        <v>81</v>
      </c>
      <c r="P144" s="32" t="n">
        <v>61.41</v>
      </c>
      <c r="Q144" s="32" t="inlineStr"/>
      <c r="R144" s="31" t="inlineStr">
        <is>
          <t>Earnings / Momentum Support</t>
        </is>
      </c>
      <c r="S144" s="31" t="inlineStr">
        <is>
          <t>Nifty Auto</t>
        </is>
      </c>
      <c r="T144" s="32" t="inlineStr"/>
      <c r="U144" s="32" t="inlineStr"/>
      <c r="V144" s="32" t="inlineStr"/>
      <c r="W144" s="32" t="inlineStr"/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Headwind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Above 75</t>
        </is>
      </c>
      <c r="BA144" s="31">
        <f>IF(AZ144="Between 50 to 75",10,IF(AZ144="Above 75",0,0))</f>
        <v/>
      </c>
      <c r="BB144" s="31" t="inlineStr">
        <is>
          <t>Stage 3</t>
        </is>
      </c>
      <c r="BC144" s="31">
        <f>IF(BB144="Stage 2",20,IF(BB144="Stage 1",0,IF(BB144="Stage 3",5,IF(BB144="Stage 4",-5,0))))</f>
        <v/>
      </c>
      <c r="BD144" s="31" t="inlineStr">
        <is>
          <t>Negative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Between 1.5 to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IF(B145=0,"",RANK(B145,$B$2:$B$389,0))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KMEW</t>
        </is>
      </c>
      <c r="D145" s="31" t="inlineStr">
        <is>
          <t>Knowledge Marine &amp; Engineering Works Ltd</t>
        </is>
      </c>
      <c r="E145" s="31" t="inlineStr">
        <is>
          <t>transportation</t>
        </is>
      </c>
      <c r="F145" s="31" t="inlineStr">
        <is>
          <t>miscellaneous</t>
        </is>
      </c>
      <c r="G145" s="31" t="inlineStr">
        <is>
          <t>midcap</t>
        </is>
      </c>
      <c r="H145" s="32" t="n">
        <v>6662.49</v>
      </c>
      <c r="I145" s="32" t="n">
        <v>2712.7</v>
      </c>
      <c r="J145" s="32" t="n">
        <v>-0.47</v>
      </c>
      <c r="K145" s="32" t="n">
        <v>56026</v>
      </c>
      <c r="L145" s="31" t="n">
        <v>89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76.93000000000001</v>
      </c>
      <c r="P145" s="32" t="n">
        <v>52.63</v>
      </c>
      <c r="Q145" s="32" t="inlineStr"/>
      <c r="R145" s="31" t="inlineStr">
        <is>
          <t>Earnings / Momentum Support</t>
        </is>
      </c>
      <c r="S145" s="31" t="inlineStr">
        <is>
          <t>Nifty 50</t>
        </is>
      </c>
      <c r="T145" s="32" t="n">
        <v>-2.49</v>
      </c>
      <c r="U145" s="32" t="n">
        <v>180.17</v>
      </c>
      <c r="V145" s="32" t="n">
        <v>187.31</v>
      </c>
      <c r="W145" s="32" t="n">
        <v>30.06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Headwind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Above 40</t>
        </is>
      </c>
      <c r="AY145" s="31">
        <f>IF(AX145="Above 40",20,IF(AX145="20 to 40",10,IF(AX145="0 to 20",-5,0)))</f>
        <v/>
      </c>
      <c r="AZ145" s="31" t="inlineStr">
        <is>
          <t>Above 75</t>
        </is>
      </c>
      <c r="BA145" s="31">
        <f>IF(AZ145="Between 50 to 75",10,IF(AZ145="Above 75",0,0))</f>
        <v/>
      </c>
      <c r="BB145" s="31" t="inlineStr">
        <is>
          <t>Stage 3</t>
        </is>
      </c>
      <c r="BC145" s="31">
        <f>IF(BB145="Stage 2",20,IF(BB145="Stage 1",0,IF(BB145="Stage 3",5,IF(BB145="Stage 4",-5,0))))</f>
        <v/>
      </c>
      <c r="BD145" s="31" t="inlineStr">
        <is>
          <t>Negative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IF(B146=0,"",RANK(B146,$B$2:$B$389,0))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EBGNG</t>
        </is>
      </c>
      <c r="D146" s="31" t="inlineStr">
        <is>
          <t>GNG Electronics Ltd</t>
        </is>
      </c>
      <c r="E146" s="31" t="inlineStr">
        <is>
          <t>services</t>
        </is>
      </c>
      <c r="F146" s="31" t="inlineStr">
        <is>
          <t>trading</t>
        </is>
      </c>
      <c r="G146" s="31" t="inlineStr">
        <is>
          <t>midcap</t>
        </is>
      </c>
      <c r="H146" s="32" t="n">
        <v>6911.38</v>
      </c>
      <c r="I146" s="32" t="n">
        <v>603.3</v>
      </c>
      <c r="J146" s="32" t="n">
        <v>-0.48</v>
      </c>
      <c r="K146" s="32" t="n">
        <v>809792</v>
      </c>
      <c r="L146" s="31" t="n">
        <v>73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65.45999999999999</v>
      </c>
      <c r="P146" s="32" t="n">
        <v>33.19</v>
      </c>
      <c r="Q146" s="32" t="inlineStr"/>
      <c r="R146" s="31" t="inlineStr">
        <is>
          <t>Earnings / Momentum Support</t>
        </is>
      </c>
      <c r="S146" s="31" t="inlineStr">
        <is>
          <t>Nifty 50</t>
        </is>
      </c>
      <c r="T146" s="32" t="n">
        <v>-2.49</v>
      </c>
      <c r="U146" s="32" t="n">
        <v>75.79000000000001</v>
      </c>
      <c r="V146" s="32" t="n">
        <v>80.27</v>
      </c>
      <c r="W146" s="32" t="n">
        <v>19.94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Headwind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3</t>
        </is>
      </c>
      <c r="BC146" s="31">
        <f>IF(BB146="Stage 2",20,IF(BB146="Stage 1",0,IF(BB146="Stage 3",5,IF(BB146="Stage 4",-5,0))))</f>
        <v/>
      </c>
      <c r="BD146" s="31" t="inlineStr">
        <is>
          <t>Negative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Between 1.5 to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IF(B147=0,"",RANK(B147,$B$2:$B$389,0))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SONACOMS</t>
        </is>
      </c>
      <c r="D147" s="31" t="inlineStr">
        <is>
          <t>Sona BLW Precision Forgings Ltd</t>
        </is>
      </c>
      <c r="E147" s="31" t="inlineStr">
        <is>
          <t>auto</t>
        </is>
      </c>
      <c r="F147" s="31" t="inlineStr">
        <is>
          <t>auto ancillaries</t>
        </is>
      </c>
      <c r="G147" s="31" t="inlineStr">
        <is>
          <t>largecap</t>
        </is>
      </c>
      <c r="H147" s="32" t="n">
        <v>50857.57</v>
      </c>
      <c r="I147" s="32" t="n">
        <v>813.5</v>
      </c>
      <c r="J147" s="32" t="n">
        <v>-0.5</v>
      </c>
      <c r="K147" s="32" t="n">
        <v>1634457</v>
      </c>
      <c r="L147" s="31" t="inlineStr"/>
      <c r="M147" s="31" t="inlineStr"/>
      <c r="N147" s="32">
        <f>IF(M147="Underperforming",-5,IF(L147&gt;=95,15,IF(L147&gt;=90,10,IF(L147&gt;=80,5,0))))</f>
        <v/>
      </c>
      <c r="O147" s="32" t="n">
        <v>78.29000000000001</v>
      </c>
      <c r="P147" s="32" t="n">
        <v>55.94</v>
      </c>
      <c r="Q147" s="32" t="inlineStr"/>
      <c r="R147" s="31" t="inlineStr">
        <is>
          <t>Earnings / Momentum Support</t>
        </is>
      </c>
      <c r="S147" s="31" t="inlineStr">
        <is>
          <t>Nifty Auto</t>
        </is>
      </c>
      <c r="T147" s="32" t="inlineStr"/>
      <c r="U147" s="32" t="inlineStr"/>
      <c r="V147" s="32" t="inlineStr"/>
      <c r="W147" s="32" t="inlineStr"/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Headwind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Above 40</t>
        </is>
      </c>
      <c r="AY147" s="31">
        <f>IF(AX147="Above 40",20,IF(AX147="20 to 40",10,IF(AX147="0 to 20",-5,0)))</f>
        <v/>
      </c>
      <c r="AZ147" s="31" t="inlineStr">
        <is>
          <t>Above 75</t>
        </is>
      </c>
      <c r="BA147" s="31">
        <f>IF(AZ147="Between 50 to 75",10,IF(AZ147="Above 75",0,0))</f>
        <v/>
      </c>
      <c r="BB147" s="31" t="inlineStr">
        <is>
          <t>Stage 3</t>
        </is>
      </c>
      <c r="BC147" s="31">
        <f>IF(BB147="Stage 2",20,IF(BB147="Stage 1",0,IF(BB147="Stage 3",5,IF(BB147="Stage 4",-5,0))))</f>
        <v/>
      </c>
      <c r="BD147" s="31" t="inlineStr">
        <is>
          <t>Negative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Between 1.5 to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IF(B148=0,"",RANK(B148,$B$2:$B$389,0))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ATHERENERG</t>
        </is>
      </c>
      <c r="D148" s="31" t="inlineStr">
        <is>
          <t>Ather Energy Ltd</t>
        </is>
      </c>
      <c r="E148" s="31" t="inlineStr">
        <is>
          <t>auto</t>
        </is>
      </c>
      <c r="F148" s="31" t="inlineStr">
        <is>
          <t>automobiles - scooters and 3 - wheelers</t>
        </is>
      </c>
      <c r="G148" s="31" t="inlineStr">
        <is>
          <t>largecap</t>
        </is>
      </c>
      <c r="H148" s="32" t="n">
        <v>57621.12</v>
      </c>
      <c r="I148" s="32" t="n">
        <v>1453.1</v>
      </c>
      <c r="J148" s="32" t="n">
        <v>-0.61</v>
      </c>
      <c r="K148" s="32" t="n">
        <v>2444946</v>
      </c>
      <c r="L148" s="31" t="inlineStr"/>
      <c r="M148" s="31" t="inlineStr"/>
      <c r="N148" s="32">
        <f>IF(M148="Underperforming",-5,IF(L148&gt;=95,15,IF(L148&gt;=90,10,IF(L148&gt;=80,5,0))))</f>
        <v/>
      </c>
      <c r="O148" s="32" t="n">
        <v>75.98999999999999</v>
      </c>
      <c r="P148" s="32" t="n">
        <v>63.55</v>
      </c>
      <c r="Q148" s="32" t="inlineStr"/>
      <c r="R148" s="31" t="inlineStr">
        <is>
          <t>Earnings / Momentum Support</t>
        </is>
      </c>
      <c r="S148" s="31" t="inlineStr">
        <is>
          <t>Nifty Auto</t>
        </is>
      </c>
      <c r="T148" s="32" t="inlineStr"/>
      <c r="U148" s="32" t="inlineStr"/>
      <c r="V148" s="32" t="inlineStr"/>
      <c r="W148" s="32" t="inlineStr"/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Headwind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Above 40</t>
        </is>
      </c>
      <c r="AY148" s="31">
        <f>IF(AX148="Above 40",20,IF(AX148="20 to 40",10,IF(AX148="0 to 20",-5,0)))</f>
        <v/>
      </c>
      <c r="AZ148" s="31" t="inlineStr">
        <is>
          <t>Above 75</t>
        </is>
      </c>
      <c r="BA148" s="31">
        <f>IF(AZ148="Between 50 to 75",10,IF(AZ148="Above 75",0,0))</f>
        <v/>
      </c>
      <c r="BB148" s="31" t="inlineStr">
        <is>
          <t>Stage 3</t>
        </is>
      </c>
      <c r="BC148" s="31">
        <f>IF(BB148="Stage 2",20,IF(BB148="Stage 1",0,IF(BB148="Stage 3",5,IF(BB148="Stage 4",-5,0))))</f>
        <v/>
      </c>
      <c r="BD148" s="31" t="inlineStr">
        <is>
          <t>Negative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IF(B149=0,"",RANK(B149,$B$2:$B$389,0))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GALAXYSURF</t>
        </is>
      </c>
      <c r="D149" s="31" t="inlineStr">
        <is>
          <t>Galaxy Surfactants Ltd</t>
        </is>
      </c>
      <c r="E149" s="31" t="inlineStr">
        <is>
          <t>chemicals</t>
        </is>
      </c>
      <c r="F149" s="31" t="inlineStr">
        <is>
          <t>chemicals</t>
        </is>
      </c>
      <c r="G149" s="31" t="inlineStr">
        <is>
          <t>midcap</t>
        </is>
      </c>
      <c r="H149" s="32" t="n">
        <v>8271.59</v>
      </c>
      <c r="I149" s="32" t="n">
        <v>2316.4</v>
      </c>
      <c r="J149" s="32" t="n">
        <v>-0.71</v>
      </c>
      <c r="K149" s="32" t="n">
        <v>35693</v>
      </c>
      <c r="L149" s="31" t="n">
        <v>37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64.12</v>
      </c>
      <c r="P149" s="32" t="n">
        <v>22.51</v>
      </c>
      <c r="Q149" s="32" t="inlineStr"/>
      <c r="R149" s="31" t="inlineStr">
        <is>
          <t>Earnings / Momentum Support</t>
        </is>
      </c>
      <c r="S149" s="31" t="inlineStr">
        <is>
          <t>Nifty 50</t>
        </is>
      </c>
      <c r="T149" s="32" t="n">
        <v>-2.49</v>
      </c>
      <c r="U149" s="32" t="n">
        <v>6.33</v>
      </c>
      <c r="V149" s="32" t="n">
        <v>9.039999999999999</v>
      </c>
      <c r="W149" s="32" t="n">
        <v>8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Headwind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3</t>
        </is>
      </c>
      <c r="BC149" s="31">
        <f>IF(BB149="Stage 2",20,IF(BB149="Stage 1",0,IF(BB149="Stage 3",5,IF(BB149="Stage 4",-5,0))))</f>
        <v/>
      </c>
      <c r="BD149" s="31" t="inlineStr">
        <is>
          <t>Negative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IF(B150=0,"",RANK(B150,$B$2:$B$389,0))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VISAKAIND</t>
        </is>
      </c>
      <c r="D150" s="31" t="inlineStr">
        <is>
          <t>Visaka Industries Limited</t>
        </is>
      </c>
      <c r="E150" s="31" t="inlineStr">
        <is>
          <t>building materials</t>
        </is>
      </c>
      <c r="F150" s="31" t="inlineStr">
        <is>
          <t>cement products</t>
        </is>
      </c>
      <c r="G150" s="31" t="inlineStr">
        <is>
          <t>smallcap</t>
        </is>
      </c>
      <c r="H150" s="32" t="n">
        <v>815.92</v>
      </c>
      <c r="I150" s="32" t="n">
        <v>93.5</v>
      </c>
      <c r="J150" s="32" t="n">
        <v>-0.98</v>
      </c>
      <c r="K150" s="32" t="n">
        <v>204572</v>
      </c>
      <c r="L150" s="31" t="inlineStr"/>
      <c r="M150" s="31" t="inlineStr"/>
      <c r="N150" s="32">
        <f>IF(M150="Underperforming",-5,IF(L150&gt;=95,15,IF(L150&gt;=90,10,IF(L150&gt;=80,5,0))))</f>
        <v/>
      </c>
      <c r="O150" s="32" t="n">
        <v>73.17</v>
      </c>
      <c r="P150" s="32" t="n">
        <v>45.49</v>
      </c>
      <c r="Q150" s="32" t="inlineStr"/>
      <c r="R150" s="31" t="inlineStr">
        <is>
          <t>Earnings / Momentum Support</t>
        </is>
      </c>
      <c r="S150" s="31" t="inlineStr">
        <is>
          <t>Nifty Infra</t>
        </is>
      </c>
      <c r="T150" s="32" t="inlineStr"/>
      <c r="U150" s="32" t="inlineStr"/>
      <c r="V150" s="32" t="inlineStr"/>
      <c r="W150" s="32" t="inlineStr"/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Headwind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3</t>
        </is>
      </c>
      <c r="BC150" s="31">
        <f>IF(BB150="Stage 2",20,IF(BB150="Stage 1",0,IF(BB150="Stage 3",5,IF(BB150="Stage 4",-5,0))))</f>
        <v/>
      </c>
      <c r="BD150" s="31" t="inlineStr">
        <is>
          <t>Negative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Less than 12%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IF(B151=0,"",RANK(B151,$B$2:$B$389,0))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INDOTECH</t>
        </is>
      </c>
      <c r="D151" s="31" t="inlineStr">
        <is>
          <t>Indo Tech Transformers Limited</t>
        </is>
      </c>
      <c r="E151" s="31" t="inlineStr">
        <is>
          <t>industrials</t>
        </is>
      </c>
      <c r="F151" s="31" t="inlineStr">
        <is>
          <t>electric equipment</t>
        </is>
      </c>
      <c r="G151" s="31" t="inlineStr">
        <is>
          <t>smallcap</t>
        </is>
      </c>
      <c r="H151" s="32" t="n">
        <v>4144.46</v>
      </c>
      <c r="I151" s="32" t="n">
        <v>3852.2</v>
      </c>
      <c r="J151" s="32" t="n">
        <v>-1.29</v>
      </c>
      <c r="K151" s="32" t="n">
        <v>37519</v>
      </c>
      <c r="L151" s="31" t="inlineStr"/>
      <c r="M151" s="31" t="inlineStr"/>
      <c r="N151" s="32">
        <f>IF(M151="Underperforming",-5,IF(L151&gt;=95,15,IF(L151&gt;=90,10,IF(L151&gt;=80,5,0))))</f>
        <v/>
      </c>
      <c r="O151" s="32" t="n">
        <v>75.45999999999999</v>
      </c>
      <c r="P151" s="32" t="n">
        <v>52.02</v>
      </c>
      <c r="Q151" s="32" t="inlineStr"/>
      <c r="R151" s="31" t="inlineStr">
        <is>
          <t>Earnings / Momentum Support</t>
        </is>
      </c>
      <c r="S151" s="31" t="inlineStr">
        <is>
          <t>Nifty Infra</t>
        </is>
      </c>
      <c r="T151" s="32" t="inlineStr"/>
      <c r="U151" s="32" t="inlineStr"/>
      <c r="V151" s="32" t="inlineStr"/>
      <c r="W151" s="32" t="inlineStr"/>
      <c r="X151" s="31" t="inlineStr">
        <is>
          <t>Cyclical in an Upturn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Headwind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Above 40</t>
        </is>
      </c>
      <c r="AY151" s="31">
        <f>IF(AX151="Above 40",20,IF(AX151="20 to 40",10,IF(AX151="0 to 20",-5,0)))</f>
        <v/>
      </c>
      <c r="AZ151" s="31" t="inlineStr">
        <is>
          <t>Above 75</t>
        </is>
      </c>
      <c r="BA151" s="31">
        <f>IF(AZ151="Between 50 to 75",10,IF(AZ151="Above 75",0,0))</f>
        <v/>
      </c>
      <c r="BB151" s="31" t="inlineStr">
        <is>
          <t>Stage 3</t>
        </is>
      </c>
      <c r="BC151" s="31">
        <f>IF(BB151="Stage 2",20,IF(BB151="Stage 1",0,IF(BB151="Stage 3",5,IF(BB151="Stage 4",-5,0))))</f>
        <v/>
      </c>
      <c r="BD151" s="31" t="inlineStr">
        <is>
          <t>Negative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Less than 1.5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IF(B152=0,"",RANK(B152,$B$2:$B$389,0))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NILKAMAL</t>
        </is>
      </c>
      <c r="D152" s="31" t="inlineStr">
        <is>
          <t>Nilkamal Limited</t>
        </is>
      </c>
      <c r="E152" s="31" t="inlineStr">
        <is>
          <t>plastic products</t>
        </is>
      </c>
      <c r="F152" s="31" t="inlineStr">
        <is>
          <t>plastics products</t>
        </is>
      </c>
      <c r="G152" s="31" t="inlineStr">
        <is>
          <t>smallcap</t>
        </is>
      </c>
      <c r="H152" s="32" t="n">
        <v>3064.49</v>
      </c>
      <c r="I152" s="32" t="n">
        <v>2026.4</v>
      </c>
      <c r="J152" s="32" t="n">
        <v>-1.32</v>
      </c>
      <c r="K152" s="32" t="n">
        <v>72221</v>
      </c>
      <c r="L152" s="31" t="n">
        <v>79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81.69</v>
      </c>
      <c r="P152" s="32" t="n">
        <v>38.66</v>
      </c>
      <c r="Q152" s="32" t="inlineStr"/>
      <c r="R152" s="31" t="inlineStr">
        <is>
          <t>Earnings / Momentum Support</t>
        </is>
      </c>
      <c r="S152" s="31" t="inlineStr">
        <is>
          <t>Nifty 50</t>
        </is>
      </c>
      <c r="T152" s="32" t="n">
        <v>-2.49</v>
      </c>
      <c r="U152" s="32" t="n">
        <v>31.79</v>
      </c>
      <c r="V152" s="32" t="n">
        <v>35.15</v>
      </c>
      <c r="W152" s="32" t="n">
        <v>22.81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Headwind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Above 75</t>
        </is>
      </c>
      <c r="BA152" s="31">
        <f>IF(AZ152="Between 50 to 75",10,IF(AZ152="Above 75",0,0))</f>
        <v/>
      </c>
      <c r="BB152" s="31" t="inlineStr">
        <is>
          <t>Stage 3</t>
        </is>
      </c>
      <c r="BC152" s="31">
        <f>IF(BB152="Stage 2",20,IF(BB152="Stage 1",0,IF(BB152="Stage 3",5,IF(BB152="Stage 4",-5,0))))</f>
        <v/>
      </c>
      <c r="BD152" s="31" t="inlineStr">
        <is>
          <t>Negative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IF(B153=0,"",RANK(B153,$B$2:$B$389,0))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RPEL</t>
        </is>
      </c>
      <c r="D153" s="31" t="inlineStr">
        <is>
          <t>Raghav Productivity Enhancers Ltd</t>
        </is>
      </c>
      <c r="E153" s="31" t="inlineStr">
        <is>
          <t>building materials</t>
        </is>
      </c>
      <c r="F153" s="31" t="inlineStr">
        <is>
          <t>refractories / intermediates</t>
        </is>
      </c>
      <c r="G153" s="31" t="inlineStr">
        <is>
          <t>midcap</t>
        </is>
      </c>
      <c r="H153" s="32" t="n">
        <v>7759.89</v>
      </c>
      <c r="I153" s="32" t="n">
        <v>1665</v>
      </c>
      <c r="J153" s="32" t="n">
        <v>-1.47</v>
      </c>
      <c r="K153" s="32" t="n">
        <v>100218</v>
      </c>
      <c r="L153" s="31" t="inlineStr"/>
      <c r="M153" s="31" t="inlineStr"/>
      <c r="N153" s="32">
        <f>IF(M153="Underperforming",-5,IF(L153&gt;=95,15,IF(L153&gt;=90,10,IF(L153&gt;=80,5,0))))</f>
        <v/>
      </c>
      <c r="O153" s="32" t="n">
        <v>82.59</v>
      </c>
      <c r="P153" s="32" t="n">
        <v>59.27</v>
      </c>
      <c r="Q153" s="32" t="inlineStr"/>
      <c r="R153" s="31" t="inlineStr">
        <is>
          <t>Earnings / Momentum Support</t>
        </is>
      </c>
      <c r="S153" s="31" t="inlineStr">
        <is>
          <t>Nifty Infra</t>
        </is>
      </c>
      <c r="T153" s="32" t="inlineStr"/>
      <c r="U153" s="32" t="inlineStr"/>
      <c r="V153" s="32" t="inlineStr"/>
      <c r="W153" s="32" t="inlineStr"/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Headwind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Above 75</t>
        </is>
      </c>
      <c r="BA153" s="31">
        <f>IF(AZ153="Between 50 to 75",10,IF(AZ153="Above 75",0,0))</f>
        <v/>
      </c>
      <c r="BB153" s="31" t="inlineStr">
        <is>
          <t>Stage 3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Between 1.5 to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IF(B154=0,"",RANK(B154,$B$2:$B$389,0))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JGCHEM</t>
        </is>
      </c>
      <c r="D154" s="31" t="inlineStr">
        <is>
          <t>J.G.Chemicals Ltd</t>
        </is>
      </c>
      <c r="E154" s="31" t="inlineStr">
        <is>
          <t>chemicals</t>
        </is>
      </c>
      <c r="F154" s="31" t="inlineStr">
        <is>
          <t>chemicals</t>
        </is>
      </c>
      <c r="G154" s="31" t="inlineStr">
        <is>
          <t>smallcap</t>
        </is>
      </c>
      <c r="H154" s="32" t="n">
        <v>2436.79</v>
      </c>
      <c r="I154" s="32" t="n">
        <v>608</v>
      </c>
      <c r="J154" s="32" t="n">
        <v>-2.23</v>
      </c>
      <c r="K154" s="32" t="n">
        <v>296304</v>
      </c>
      <c r="L154" s="31" t="n">
        <v>71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78.73</v>
      </c>
      <c r="P154" s="32" t="n">
        <v>39.44</v>
      </c>
      <c r="Q154" s="32" t="inlineStr"/>
      <c r="R154" s="31" t="inlineStr">
        <is>
          <t>Earnings / Momentum Support</t>
        </is>
      </c>
      <c r="S154" s="31" t="inlineStr">
        <is>
          <t>Nifty 50</t>
        </is>
      </c>
      <c r="T154" s="32" t="n">
        <v>-2.49</v>
      </c>
      <c r="U154" s="32" t="n">
        <v>27.06</v>
      </c>
      <c r="V154" s="32" t="n">
        <v>30.3</v>
      </c>
      <c r="W154" s="32" t="n">
        <v>19.29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Headwind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Above 75</t>
        </is>
      </c>
      <c r="BA154" s="31">
        <f>IF(AZ154="Between 50 to 75",10,IF(AZ154="Above 75",0,0))</f>
        <v/>
      </c>
      <c r="BB154" s="31" t="inlineStr">
        <is>
          <t>Stage 3</t>
        </is>
      </c>
      <c r="BC154" s="31">
        <f>IF(BB154="Stage 2",20,IF(BB154="Stage 1",0,IF(BB154="Stage 3",5,IF(BB154="Stage 4",-5,0))))</f>
        <v/>
      </c>
      <c r="BD154" s="31" t="inlineStr">
        <is>
          <t>Negative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IF(B155=0,"",RANK(B155,$B$2:$B$389,0))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NETWEB</t>
        </is>
      </c>
      <c r="D155" s="31" t="inlineStr">
        <is>
          <t>Netweb Technologies India Ltd</t>
        </is>
      </c>
      <c r="E155" s="31" t="inlineStr">
        <is>
          <t>i.t</t>
        </is>
      </c>
      <c r="F155" s="31" t="inlineStr">
        <is>
          <t>computers - hardware</t>
        </is>
      </c>
      <c r="G155" s="31" t="inlineStr">
        <is>
          <t>largecap</t>
        </is>
      </c>
      <c r="H155" s="32" t="n">
        <v>31892.48</v>
      </c>
      <c r="I155" s="32" t="n">
        <v>5454.5</v>
      </c>
      <c r="J155" s="32" t="n">
        <v>-2.62</v>
      </c>
      <c r="K155" s="32" t="n">
        <v>2978996</v>
      </c>
      <c r="L155" s="31" t="n">
        <v>89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69.73999999999999</v>
      </c>
      <c r="P155" s="32" t="n">
        <v>38.34</v>
      </c>
      <c r="Q155" s="32" t="inlineStr"/>
      <c r="R155" s="31" t="inlineStr">
        <is>
          <t>Earnings / Momentum Support</t>
        </is>
      </c>
      <c r="S155" s="31" t="inlineStr">
        <is>
          <t>Nifty IT</t>
        </is>
      </c>
      <c r="T155" s="32" t="n">
        <v>-13.85</v>
      </c>
      <c r="U155" s="32" t="n">
        <v>141.32</v>
      </c>
      <c r="V155" s="32" t="n">
        <v>180.12</v>
      </c>
      <c r="W155" s="32" t="n">
        <v>29.86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Headwind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No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3</t>
        </is>
      </c>
      <c r="BC155" s="31">
        <f>IF(BB155="Stage 2",20,IF(BB155="Stage 1",0,IF(BB155="Stage 3",5,IF(BB155="Stage 4",-5,0))))</f>
        <v/>
      </c>
      <c r="BD155" s="31" t="inlineStr">
        <is>
          <t>Negative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IF(B156=0,"",RANK(B156,$B$2:$B$389,0))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MATRIMONY</t>
        </is>
      </c>
      <c r="D156" s="31" t="inlineStr">
        <is>
          <t>Matrimony.com Ltd</t>
        </is>
      </c>
      <c r="E156" s="31" t="inlineStr">
        <is>
          <t>miscellaneous</t>
        </is>
      </c>
      <c r="F156" s="31" t="inlineStr">
        <is>
          <t>miscellaneous</t>
        </is>
      </c>
      <c r="G156" s="31" t="inlineStr">
        <is>
          <t>smallcap</t>
        </is>
      </c>
      <c r="H156" s="32" t="n">
        <v>1110.26</v>
      </c>
      <c r="I156" s="32" t="n">
        <v>521.45</v>
      </c>
      <c r="J156" s="32" t="n">
        <v>-2.9</v>
      </c>
      <c r="K156" s="32" t="n">
        <v>83141</v>
      </c>
      <c r="L156" s="31" t="n">
        <v>35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68.42</v>
      </c>
      <c r="P156" s="32" t="n">
        <v>27.83</v>
      </c>
      <c r="Q156" s="32" t="inlineStr"/>
      <c r="R156" s="31" t="inlineStr">
        <is>
          <t>Earnings / Momentum Support</t>
        </is>
      </c>
      <c r="S156" s="31" t="inlineStr">
        <is>
          <t>Nifty 50</t>
        </is>
      </c>
      <c r="T156" s="32" t="n">
        <v>-2.49</v>
      </c>
      <c r="U156" s="32" t="n">
        <v>6.12</v>
      </c>
      <c r="V156" s="32" t="n">
        <v>8.83</v>
      </c>
      <c r="W156" s="32" t="n">
        <v>7.72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Headwind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3</t>
        </is>
      </c>
      <c r="BC156" s="31">
        <f>IF(BB156="Stage 2",20,IF(BB156="Stage 1",0,IF(BB156="Stage 3",5,IF(BB156="Stage 4",-5,0))))</f>
        <v/>
      </c>
      <c r="BD156" s="31" t="inlineStr">
        <is>
          <t>Negative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IF(B157=0,"",RANK(B157,$B$2:$B$389,0))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KRONOX</t>
        </is>
      </c>
      <c r="D157" s="31" t="inlineStr">
        <is>
          <t>Kronox Lab Sciences Ltd</t>
        </is>
      </c>
      <c r="E157" s="31" t="inlineStr">
        <is>
          <t>chemicals</t>
        </is>
      </c>
      <c r="F157" s="31" t="inlineStr">
        <is>
          <t>chemicals</t>
        </is>
      </c>
      <c r="G157" s="31" t="inlineStr">
        <is>
          <t>smallcap</t>
        </is>
      </c>
      <c r="H157" s="32" t="n">
        <v>798.4</v>
      </c>
      <c r="I157" s="32" t="n">
        <v>205.36</v>
      </c>
      <c r="J157" s="32" t="n">
        <v>-4.56</v>
      </c>
      <c r="K157" s="32" t="n">
        <v>9274550</v>
      </c>
      <c r="L157" s="31" t="n">
        <v>71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74.77</v>
      </c>
      <c r="P157" s="32" t="n">
        <v>34.13</v>
      </c>
      <c r="Q157" s="32" t="inlineStr"/>
      <c r="R157" s="31" t="inlineStr">
        <is>
          <t>Earnings / Momentum Support</t>
        </is>
      </c>
      <c r="S157" s="31" t="inlineStr">
        <is>
          <t>Nifty 50</t>
        </is>
      </c>
      <c r="T157" s="32" t="n">
        <v>-2.49</v>
      </c>
      <c r="U157" s="32" t="n">
        <v>26.88</v>
      </c>
      <c r="V157" s="32" t="n">
        <v>30.12</v>
      </c>
      <c r="W157" s="32" t="n">
        <v>19.35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Headwind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3</t>
        </is>
      </c>
      <c r="BC157" s="31">
        <f>IF(BB157="Stage 2",20,IF(BB157="Stage 1",0,IF(BB157="Stage 3",5,IF(BB157="Stage 4",-5,0))))</f>
        <v/>
      </c>
      <c r="BD157" s="31" t="inlineStr">
        <is>
          <t>Negative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Between 12 to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Between 1.5 to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IF(B158=0,"",RANK(B158,$B$2:$B$389,0))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DWARKESH</t>
        </is>
      </c>
      <c r="D158" s="31" t="inlineStr">
        <is>
          <t>Dwarikesh Sugar Industries Limited</t>
        </is>
      </c>
      <c r="E158" s="31" t="inlineStr">
        <is>
          <t>fmcg</t>
        </is>
      </c>
      <c r="F158" s="31" t="inlineStr">
        <is>
          <t>sugar</t>
        </is>
      </c>
      <c r="G158" s="31" t="inlineStr">
        <is>
          <t>smallcap</t>
        </is>
      </c>
      <c r="H158" s="32" t="n">
        <v>993.77</v>
      </c>
      <c r="I158" s="32" t="n">
        <v>54.94</v>
      </c>
      <c r="J158" s="32" t="n">
        <v>2.44</v>
      </c>
      <c r="K158" s="32" t="n">
        <v>30769661</v>
      </c>
      <c r="L158" s="31" t="inlineStr"/>
      <c r="M158" s="31" t="inlineStr"/>
      <c r="N158" s="32">
        <f>IF(M158="Underperforming",-5,IF(L158&gt;=95,15,IF(L158&gt;=90,10,IF(L158&gt;=80,5,0))))</f>
        <v/>
      </c>
      <c r="O158" s="32" t="n">
        <v>65.72</v>
      </c>
      <c r="P158" s="32" t="n">
        <v>14.56</v>
      </c>
      <c r="Q158" s="32" t="inlineStr"/>
      <c r="R158" s="31" t="inlineStr">
        <is>
          <t>Volume Spike / Accumulation</t>
        </is>
      </c>
      <c r="S158" s="31" t="inlineStr">
        <is>
          <t>Nifty FMCG</t>
        </is>
      </c>
      <c r="T158" s="32" t="inlineStr"/>
      <c r="U158" s="32" t="inlineStr"/>
      <c r="V158" s="32" t="inlineStr"/>
      <c r="W158" s="32" t="inlineStr"/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Headwind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B2C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Annuity, Lower One Time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0 to 20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3</t>
        </is>
      </c>
      <c r="BC158" s="31">
        <f>IF(BB158="Stage 2",20,IF(BB158="Stage 1",0,IF(BB158="Stage 3",5,IF(BB158="Stage 4",-5,0))))</f>
        <v/>
      </c>
      <c r="BD158" s="31" t="inlineStr">
        <is>
          <t>Negative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IF(B159=0,"",RANK(B159,$B$2:$B$389,0))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AVTNPL</t>
        </is>
      </c>
      <c r="D159" s="31" t="inlineStr">
        <is>
          <t>Avt Natural Products Limited</t>
        </is>
      </c>
      <c r="E159" s="31" t="inlineStr">
        <is>
          <t>fmcg</t>
        </is>
      </c>
      <c r="F159" s="31" t="inlineStr">
        <is>
          <t>solvent extraction</t>
        </is>
      </c>
      <c r="G159" s="31" t="inlineStr">
        <is>
          <t>smallcap</t>
        </is>
      </c>
      <c r="H159" s="32" t="n">
        <v>1332.94</v>
      </c>
      <c r="I159" s="32" t="n">
        <v>87.8</v>
      </c>
      <c r="J159" s="32" t="n">
        <v>0.31</v>
      </c>
      <c r="K159" s="32" t="n">
        <v>319225</v>
      </c>
      <c r="L159" s="31" t="inlineStr"/>
      <c r="M159" s="31" t="inlineStr"/>
      <c r="N159" s="32">
        <f>IF(M159="Underperforming",-5,IF(L159&gt;=95,15,IF(L159&gt;=90,10,IF(L159&gt;=80,5,0))))</f>
        <v/>
      </c>
      <c r="O159" s="32" t="n">
        <v>76.56</v>
      </c>
      <c r="P159" s="32" t="n">
        <v>38.79</v>
      </c>
      <c r="Q159" s="32" t="inlineStr"/>
      <c r="R159" s="31" t="inlineStr">
        <is>
          <t>Earnings / Momentum Support</t>
        </is>
      </c>
      <c r="S159" s="31" t="inlineStr">
        <is>
          <t>Nifty FMCG</t>
        </is>
      </c>
      <c r="T159" s="32" t="inlineStr"/>
      <c r="U159" s="32" t="inlineStr"/>
      <c r="V159" s="32" t="inlineStr"/>
      <c r="W159" s="32" t="inlineStr"/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Headwind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B2C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Annuity, Lower One Time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Above 75</t>
        </is>
      </c>
      <c r="BA159" s="31">
        <f>IF(AZ159="Between 50 to 75",10,IF(AZ159="Above 75",0,0))</f>
        <v/>
      </c>
      <c r="BB159" s="31" t="inlineStr">
        <is>
          <t>Stage 3</t>
        </is>
      </c>
      <c r="BC159" s="31">
        <f>IF(BB159="Stage 2",20,IF(BB159="Stage 1",0,IF(BB159="Stage 3",5,IF(BB159="Stage 4",-5,0))))</f>
        <v/>
      </c>
      <c r="BD159" s="31" t="inlineStr">
        <is>
          <t>Negative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IF(B160=0,"",RANK(B160,$B$2:$B$389,0))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3" t="inlineStr">
        <is>
          <t>LALPATHLAB</t>
        </is>
      </c>
      <c r="D160" s="33" t="inlineStr">
        <is>
          <t>Dr. Lal Path Labs Ltd.</t>
        </is>
      </c>
      <c r="E160" s="31" t="inlineStr">
        <is>
          <t>healthcare</t>
        </is>
      </c>
      <c r="F160" s="31" t="inlineStr">
        <is>
          <t>healthcare</t>
        </is>
      </c>
      <c r="G160" s="31" t="inlineStr">
        <is>
          <t>largecap</t>
        </is>
      </c>
      <c r="H160" s="32" t="n">
        <v>31753.95</v>
      </c>
      <c r="I160" s="32" t="n">
        <v>1899</v>
      </c>
      <c r="J160" s="32" t="n">
        <v>0.25</v>
      </c>
      <c r="K160" s="32" t="n">
        <v>176236</v>
      </c>
      <c r="L160" s="31" t="n">
        <v>31</v>
      </c>
      <c r="M160" s="31" t="inlineStr">
        <is>
          <t>Underperforming</t>
        </is>
      </c>
      <c r="N160" s="32">
        <f>IF(M160="Underperforming",-5,IF(L160&gt;=95,15,IF(L160&gt;=90,10,IF(L160&gt;=80,5,0))))</f>
        <v/>
      </c>
      <c r="O160" s="32" t="n">
        <v>70.56</v>
      </c>
      <c r="P160" s="32" t="n">
        <v>42.57</v>
      </c>
      <c r="Q160" s="32" t="inlineStr"/>
      <c r="R160" s="31" t="inlineStr">
        <is>
          <t>Earnings / Momentum Support</t>
        </is>
      </c>
      <c r="S160" s="31" t="inlineStr">
        <is>
          <t>Nifty Pharma</t>
        </is>
      </c>
      <c r="T160" s="32" t="n">
        <v>18.39</v>
      </c>
      <c r="U160" s="32" t="n">
        <v>13.36</v>
      </c>
      <c r="V160" s="32" t="n">
        <v>-4.25</v>
      </c>
      <c r="W160" s="32" t="n">
        <v>6.52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Yes</t>
        </is>
      </c>
      <c r="AC160" s="31">
        <f>IF(AB160="No",5,0)</f>
        <v/>
      </c>
      <c r="AD160" s="31" t="inlineStr">
        <is>
          <t>Headwind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Annuity, Lower One Time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Above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3</t>
        </is>
      </c>
      <c r="BC160" s="31">
        <f>IF(BB160="Stage 2",20,IF(BB160="Stage 1",0,IF(BB160="Stage 3",5,IF(BB160="Stage 4",-5,0))))</f>
        <v/>
      </c>
      <c r="BD160" s="31" t="inlineStr">
        <is>
          <t>Negative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IF(B161=0,"",RANK(B161,$B$2:$B$389,0))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LAURUSLABS</t>
        </is>
      </c>
      <c r="D161" s="31" t="inlineStr">
        <is>
          <t>Laurus Labs Limited</t>
        </is>
      </c>
      <c r="E161" s="31" t="inlineStr">
        <is>
          <t>healthcare</t>
        </is>
      </c>
      <c r="F161" s="31" t="inlineStr">
        <is>
          <t>pharmaceuticals - indian - bulk drugs &amp; formln</t>
        </is>
      </c>
      <c r="G161" s="31" t="inlineStr">
        <is>
          <t>largecap</t>
        </is>
      </c>
      <c r="H161" s="32" t="n">
        <v>97352.97</v>
      </c>
      <c r="I161" s="32" t="n">
        <v>1801</v>
      </c>
      <c r="J161" s="32" t="n">
        <v>-0.06</v>
      </c>
      <c r="K161" s="32" t="n">
        <v>2879883</v>
      </c>
      <c r="L161" s="31" t="n">
        <v>80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80.06999999999999</v>
      </c>
      <c r="P161" s="32" t="n">
        <v>68.05</v>
      </c>
      <c r="Q161" s="32" t="inlineStr"/>
      <c r="R161" s="31" t="inlineStr">
        <is>
          <t>Earnings / Momentum Support</t>
        </is>
      </c>
      <c r="S161" s="31" t="inlineStr">
        <is>
          <t>Nifty Pharma</t>
        </is>
      </c>
      <c r="T161" s="32" t="n">
        <v>18.39</v>
      </c>
      <c r="U161" s="32" t="n">
        <v>105.36</v>
      </c>
      <c r="V161" s="32" t="n">
        <v>73.45999999999999</v>
      </c>
      <c r="W161" s="32" t="n">
        <v>23.15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Yes</t>
        </is>
      </c>
      <c r="AC161" s="31">
        <f>IF(AB161="No",5,0)</f>
        <v/>
      </c>
      <c r="AD161" s="31" t="inlineStr">
        <is>
          <t>Headwind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Annuity, Lower One Time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Above 75</t>
        </is>
      </c>
      <c r="BA161" s="31">
        <f>IF(AZ161="Between 50 to 75",10,IF(AZ161="Above 75",0,0))</f>
        <v/>
      </c>
      <c r="BB161" s="31" t="inlineStr">
        <is>
          <t>Stage 3</t>
        </is>
      </c>
      <c r="BC161" s="31">
        <f>IF(BB161="Stage 2",20,IF(BB161="Stage 1",0,IF(BB161="Stage 3",5,IF(BB161="Stage 4",-5,0))))</f>
        <v/>
      </c>
      <c r="BD161" s="31" t="inlineStr">
        <is>
          <t>Negative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IF(B162=0,"",RANK(B162,$B$2:$B$389,0))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3" t="inlineStr">
        <is>
          <t>TARSONS</t>
        </is>
      </c>
      <c r="D162" s="33" t="inlineStr">
        <is>
          <t>Tarsons Products Ltd</t>
        </is>
      </c>
      <c r="E162" s="31" t="inlineStr">
        <is>
          <t>healthcare</t>
        </is>
      </c>
      <c r="F162" s="31" t="inlineStr">
        <is>
          <t>miscellaneous</t>
        </is>
      </c>
      <c r="G162" s="31" t="inlineStr">
        <is>
          <t>smallcap</t>
        </is>
      </c>
      <c r="H162" s="32" t="n">
        <v>1835.35</v>
      </c>
      <c r="I162" s="32" t="n">
        <v>344.2</v>
      </c>
      <c r="J162" s="32" t="n">
        <v>-0.22</v>
      </c>
      <c r="K162" s="32" t="n">
        <v>238706</v>
      </c>
      <c r="L162" s="31" t="n">
        <v>67</v>
      </c>
      <c r="M162" s="31" t="inlineStr">
        <is>
          <t>Underperforming</t>
        </is>
      </c>
      <c r="N162" s="32">
        <f>IF(M162="Underperforming",-5,IF(L162&gt;=95,15,IF(L162&gt;=90,10,IF(L162&gt;=80,5,0))))</f>
        <v/>
      </c>
      <c r="O162" s="32" t="n">
        <v>69.66</v>
      </c>
      <c r="P162" s="32" t="n">
        <v>44.6</v>
      </c>
      <c r="Q162" s="32" t="inlineStr"/>
      <c r="R162" s="31" t="inlineStr">
        <is>
          <t>Earnings / Momentum Support</t>
        </is>
      </c>
      <c r="S162" s="31" t="inlineStr">
        <is>
          <t>Nifty Pharma</t>
        </is>
      </c>
      <c r="T162" s="32" t="n">
        <v>18.39</v>
      </c>
      <c r="U162" s="32" t="n">
        <v>5.33</v>
      </c>
      <c r="V162" s="32" t="n">
        <v>-11.03</v>
      </c>
      <c r="W162" s="32" t="n">
        <v>16.7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Yes</t>
        </is>
      </c>
      <c r="AC162" s="31">
        <f>IF(AB162="No",5,0)</f>
        <v/>
      </c>
      <c r="AD162" s="31" t="inlineStr">
        <is>
          <t>Headwind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Annuity, Lower One Time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Above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3</t>
        </is>
      </c>
      <c r="BC162" s="31">
        <f>IF(BB162="Stage 2",20,IF(BB162="Stage 1",0,IF(BB162="Stage 3",5,IF(BB162="Stage 4",-5,0))))</f>
        <v/>
      </c>
      <c r="BD162" s="31" t="inlineStr">
        <is>
          <t>Negative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IF(B163=0,"",RANK(B163,$B$2:$B$389,0))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MAGADSUGAR</t>
        </is>
      </c>
      <c r="D163" s="31" t="inlineStr">
        <is>
          <t>Magadh Sugar &amp; Energy Ltd</t>
        </is>
      </c>
      <c r="E163" s="31" t="inlineStr">
        <is>
          <t>fmcg</t>
        </is>
      </c>
      <c r="F163" s="31" t="inlineStr">
        <is>
          <t>sugar</t>
        </is>
      </c>
      <c r="G163" s="31" t="inlineStr">
        <is>
          <t>smallcap</t>
        </is>
      </c>
      <c r="H163" s="32" t="n">
        <v>847.33</v>
      </c>
      <c r="I163" s="32" t="n">
        <v>597</v>
      </c>
      <c r="J163" s="32" t="n">
        <v>-0.72</v>
      </c>
      <c r="K163" s="32" t="n">
        <v>174999</v>
      </c>
      <c r="L163" s="31" t="inlineStr"/>
      <c r="M163" s="31" t="inlineStr"/>
      <c r="N163" s="32">
        <f>IF(M163="Underperforming",-5,IF(L163&gt;=95,15,IF(L163&gt;=90,10,IF(L163&gt;=80,5,0))))</f>
        <v/>
      </c>
      <c r="O163" s="32" t="n">
        <v>73.52</v>
      </c>
      <c r="P163" s="32" t="n">
        <v>21.56</v>
      </c>
      <c r="Q163" s="32" t="inlineStr"/>
      <c r="R163" s="31" t="inlineStr">
        <is>
          <t>Earnings / Momentum Support</t>
        </is>
      </c>
      <c r="S163" s="31" t="inlineStr">
        <is>
          <t>Nifty FMCG</t>
        </is>
      </c>
      <c r="T163" s="32" t="inlineStr"/>
      <c r="U163" s="32" t="inlineStr"/>
      <c r="V163" s="32" t="inlineStr"/>
      <c r="W163" s="32" t="inlineStr"/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Headwind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B2C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Annuity, Lower One Time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3</t>
        </is>
      </c>
      <c r="BC163" s="31">
        <f>IF(BB163="Stage 2",20,IF(BB163="Stage 1",0,IF(BB163="Stage 3",5,IF(BB163="Stage 4",-5,0))))</f>
        <v/>
      </c>
      <c r="BD163" s="31" t="inlineStr">
        <is>
          <t>Negative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Between 0.7 to 1.2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IF(B164=0,"",RANK(B164,$B$2:$B$389,0))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HNDFDS</t>
        </is>
      </c>
      <c r="D164" s="31" t="inlineStr">
        <is>
          <t>Hindustan Foods Ltd</t>
        </is>
      </c>
      <c r="E164" s="31" t="inlineStr">
        <is>
          <t>fmcg</t>
        </is>
      </c>
      <c r="F164" s="31" t="inlineStr">
        <is>
          <t>diversified - large</t>
        </is>
      </c>
      <c r="G164" s="31" t="inlineStr">
        <is>
          <t>midcap</t>
        </is>
      </c>
      <c r="H164" s="32" t="n">
        <v>7812.57</v>
      </c>
      <c r="I164" s="32" t="n">
        <v>639.4</v>
      </c>
      <c r="J164" s="32" t="n">
        <v>-0.84</v>
      </c>
      <c r="K164" s="32" t="n">
        <v>159121</v>
      </c>
      <c r="L164" s="31" t="inlineStr"/>
      <c r="M164" s="31" t="inlineStr"/>
      <c r="N164" s="32">
        <f>IF(M164="Underperforming",-5,IF(L164&gt;=95,15,IF(L164&gt;=90,10,IF(L164&gt;=80,5,0))))</f>
        <v/>
      </c>
      <c r="O164" s="32" t="n">
        <v>74.09</v>
      </c>
      <c r="P164" s="32" t="n">
        <v>38.53</v>
      </c>
      <c r="Q164" s="32" t="inlineStr"/>
      <c r="R164" s="31" t="inlineStr">
        <is>
          <t>Earnings / Momentum Support</t>
        </is>
      </c>
      <c r="S164" s="31" t="inlineStr">
        <is>
          <t>Nifty FMCG</t>
        </is>
      </c>
      <c r="T164" s="32" t="inlineStr"/>
      <c r="U164" s="32" t="inlineStr"/>
      <c r="V164" s="32" t="inlineStr"/>
      <c r="W164" s="32" t="inlineStr"/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Headwind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B2C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Annuity, Lower One Time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3</t>
        </is>
      </c>
      <c r="BC164" s="31">
        <f>IF(BB164="Stage 2",20,IF(BB164="Stage 1",0,IF(BB164="Stage 3",5,IF(BB164="Stage 4",-5,0))))</f>
        <v/>
      </c>
      <c r="BD164" s="31" t="inlineStr">
        <is>
          <t>Negative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Between 1.5 to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Between 0.7 to 1.2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IF(B165=0,"",RANK(B165,$B$2:$B$389,0))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COFORGE</t>
        </is>
      </c>
      <c r="D165" s="31" t="inlineStr">
        <is>
          <t>Coforge (Niit Tech) Ltd</t>
        </is>
      </c>
      <c r="E165" s="31" t="inlineStr">
        <is>
          <t>i.t</t>
        </is>
      </c>
      <c r="F165" s="31" t="inlineStr">
        <is>
          <t>computers - software - large</t>
        </is>
      </c>
      <c r="G165" s="31" t="inlineStr">
        <is>
          <t>largecap</t>
        </is>
      </c>
      <c r="H165" s="32" t="n">
        <v>83743.82000000001</v>
      </c>
      <c r="I165" s="32" t="n">
        <v>1873</v>
      </c>
      <c r="J165" s="32" t="n">
        <v>-0.99</v>
      </c>
      <c r="K165" s="32" t="n">
        <v>1493739</v>
      </c>
      <c r="L165" s="31" t="n">
        <v>48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70.63</v>
      </c>
      <c r="P165" s="32" t="n">
        <v>15.84</v>
      </c>
      <c r="Q165" s="32" t="inlineStr"/>
      <c r="R165" s="31" t="inlineStr">
        <is>
          <t>Earnings / Momentum Support</t>
        </is>
      </c>
      <c r="S165" s="31" t="inlineStr">
        <is>
          <t>Nifty IT</t>
        </is>
      </c>
      <c r="T165" s="32" t="n">
        <v>-13.85</v>
      </c>
      <c r="U165" s="32" t="n">
        <v>9.24</v>
      </c>
      <c r="V165" s="32" t="n">
        <v>26.8</v>
      </c>
      <c r="W165" s="32" t="n">
        <v>11.06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Headwind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Annuity, Lower One Time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0 to 20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3</t>
        </is>
      </c>
      <c r="BC165" s="31">
        <f>IF(BB165="Stage 2",20,IF(BB165="Stage 1",0,IF(BB165="Stage 3",5,IF(BB165="Stage 4",-5,0))))</f>
        <v/>
      </c>
      <c r="BD165" s="31" t="inlineStr">
        <is>
          <t>Negative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IF(B166=0,"",RANK(B166,$B$2:$B$389,0))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DBOL</t>
        </is>
      </c>
      <c r="D166" s="31" t="inlineStr">
        <is>
          <t>Dhampur Bio Organics Ltd</t>
        </is>
      </c>
      <c r="E166" s="31" t="inlineStr">
        <is>
          <t>fmcg</t>
        </is>
      </c>
      <c r="F166" s="31" t="inlineStr">
        <is>
          <t>sugar</t>
        </is>
      </c>
      <c r="G166" s="31" t="inlineStr">
        <is>
          <t>smallcap</t>
        </is>
      </c>
      <c r="H166" s="32" t="n">
        <v>870.67</v>
      </c>
      <c r="I166" s="32" t="n">
        <v>128.45</v>
      </c>
      <c r="J166" s="32" t="n">
        <v>-2.06</v>
      </c>
      <c r="K166" s="32" t="n">
        <v>904098</v>
      </c>
      <c r="L166" s="31" t="inlineStr"/>
      <c r="M166" s="31" t="inlineStr"/>
      <c r="N166" s="32">
        <f>IF(M166="Underperforming",-5,IF(L166&gt;=95,15,IF(L166&gt;=90,10,IF(L166&gt;=80,5,0))))</f>
        <v/>
      </c>
      <c r="O166" s="32" t="n">
        <v>66.38</v>
      </c>
      <c r="P166" s="32" t="n">
        <v>35.85</v>
      </c>
      <c r="Q166" s="32" t="inlineStr"/>
      <c r="R166" s="31" t="inlineStr">
        <is>
          <t>Earnings / Momentum Support</t>
        </is>
      </c>
      <c r="S166" s="31" t="inlineStr">
        <is>
          <t>Nifty FMCG</t>
        </is>
      </c>
      <c r="T166" s="32" t="inlineStr"/>
      <c r="U166" s="32" t="inlineStr"/>
      <c r="V166" s="32" t="inlineStr"/>
      <c r="W166" s="32" t="inlineStr"/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Headwind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B2C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Annuity, Lower One Time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3</t>
        </is>
      </c>
      <c r="BC166" s="31">
        <f>IF(BB166="Stage 2",20,IF(BB166="Stage 1",0,IF(BB166="Stage 3",5,IF(BB166="Stage 4",-5,0))))</f>
        <v/>
      </c>
      <c r="BD166" s="31" t="inlineStr">
        <is>
          <t>Negative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Between 0.7 to 1.2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IF(B167=0,"",RANK(B167,$B$2:$B$389,0))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3" t="inlineStr">
        <is>
          <t>BALUFORGE</t>
        </is>
      </c>
      <c r="D167" s="33" t="inlineStr">
        <is>
          <t>Balu Forge Industries Ltd</t>
        </is>
      </c>
      <c r="E167" s="31" t="inlineStr">
        <is>
          <t>industrials</t>
        </is>
      </c>
      <c r="F167" s="31" t="inlineStr">
        <is>
          <t>castings &amp; forgings</t>
        </is>
      </c>
      <c r="G167" s="31" t="inlineStr">
        <is>
          <t>midcap</t>
        </is>
      </c>
      <c r="H167" s="32" t="n">
        <v>6647.13</v>
      </c>
      <c r="I167" s="32" t="n">
        <v>632.2</v>
      </c>
      <c r="J167" s="32" t="n">
        <v>13.83</v>
      </c>
      <c r="K167" s="32" t="n">
        <v>17061706</v>
      </c>
      <c r="L167" s="31" t="n">
        <v>12</v>
      </c>
      <c r="M167" s="31" t="inlineStr">
        <is>
          <t>Underperforming</t>
        </is>
      </c>
      <c r="N167" s="32">
        <f>IF(M167="Underperforming",-5,IF(L167&gt;=95,15,IF(L167&gt;=90,10,IF(L167&gt;=80,5,0))))</f>
        <v/>
      </c>
      <c r="O167" s="32" t="n">
        <v>61.65</v>
      </c>
      <c r="P167" s="32" t="n">
        <v>16.22</v>
      </c>
      <c r="Q167" s="32" t="inlineStr"/>
      <c r="R167" s="31" t="inlineStr">
        <is>
          <t>Volume Spike / Accumulation</t>
        </is>
      </c>
      <c r="S167" s="31" t="inlineStr">
        <is>
          <t>Nifty 50</t>
        </is>
      </c>
      <c r="T167" s="32" t="n">
        <v>-2.49</v>
      </c>
      <c r="U167" s="32" t="n">
        <v>-12.34</v>
      </c>
      <c r="V167" s="32" t="n">
        <v>-10.1</v>
      </c>
      <c r="W167" s="32" t="n">
        <v>1.53</v>
      </c>
      <c r="X167" s="31" t="inlineStr">
        <is>
          <t>Cyclical in an Upturn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Headwind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0 to 20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3</t>
        </is>
      </c>
      <c r="BC167" s="31">
        <f>IF(BB167="Stage 2",20,IF(BB167="Stage 1",0,IF(BB167="Stage 3",5,IF(BB167="Stage 4",-5,0))))</f>
        <v/>
      </c>
      <c r="BD167" s="31" t="inlineStr">
        <is>
          <t>Negative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IF(B168=0,"",RANK(B168,$B$2:$B$389,0))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3" t="inlineStr">
        <is>
          <t>NIITLTD</t>
        </is>
      </c>
      <c r="D168" s="33" t="inlineStr">
        <is>
          <t>Niit Limited</t>
        </is>
      </c>
      <c r="E168" s="31" t="inlineStr">
        <is>
          <t>i.t</t>
        </is>
      </c>
      <c r="F168" s="31" t="inlineStr">
        <is>
          <t>computers - education</t>
        </is>
      </c>
      <c r="G168" s="31" t="inlineStr">
        <is>
          <t>smallcap</t>
        </is>
      </c>
      <c r="H168" s="32" t="n">
        <v>1279.35</v>
      </c>
      <c r="I168" s="32" t="n">
        <v>99.09999999999999</v>
      </c>
      <c r="J168" s="32" t="n">
        <v>5.85</v>
      </c>
      <c r="K168" s="32" t="n">
        <v>1636235</v>
      </c>
      <c r="L168" s="31" t="n">
        <v>36</v>
      </c>
      <c r="M168" s="31" t="inlineStr">
        <is>
          <t>Underperforming</t>
        </is>
      </c>
      <c r="N168" s="32">
        <f>IF(M168="Underperforming",-5,IF(L168&gt;=95,15,IF(L168&gt;=90,10,IF(L168&gt;=80,5,0))))</f>
        <v/>
      </c>
      <c r="O168" s="32" t="n">
        <v>56.49</v>
      </c>
      <c r="P168" s="32" t="n">
        <v>28.62</v>
      </c>
      <c r="Q168" s="32" t="inlineStr"/>
      <c r="R168" s="31" t="inlineStr">
        <is>
          <t>Earnings / Momentum Support</t>
        </is>
      </c>
      <c r="S168" s="31" t="inlineStr">
        <is>
          <t>Nifty IT</t>
        </is>
      </c>
      <c r="T168" s="32" t="n">
        <v>-13.85</v>
      </c>
      <c r="U168" s="32" t="n">
        <v>-15.09</v>
      </c>
      <c r="V168" s="32" t="n">
        <v>-1.44</v>
      </c>
      <c r="W168" s="32" t="n">
        <v>7.8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Headwind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3</t>
        </is>
      </c>
      <c r="BC168" s="31">
        <f>IF(BB168="Stage 2",20,IF(BB168="Stage 1",0,IF(BB168="Stage 3",5,IF(BB168="Stage 4",-5,0))))</f>
        <v/>
      </c>
      <c r="BD168" s="31" t="inlineStr">
        <is>
          <t>Negative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Between 1.5 to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IF(B169=0,"",RANK(B169,$B$2:$B$389,0))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KANPRPLA</t>
        </is>
      </c>
      <c r="D169" s="31" t="inlineStr">
        <is>
          <t>Kanpur Plastipack Ltd</t>
        </is>
      </c>
      <c r="E169" s="31" t="inlineStr">
        <is>
          <t>industrials</t>
        </is>
      </c>
      <c r="F169" s="31" t="inlineStr">
        <is>
          <t>packaging</t>
        </is>
      </c>
      <c r="G169" s="31" t="inlineStr">
        <is>
          <t>smallcap</t>
        </is>
      </c>
      <c r="H169" s="32" t="n">
        <v>638.6799999999999</v>
      </c>
      <c r="I169" s="32" t="n">
        <v>275.05</v>
      </c>
      <c r="J169" s="32" t="n">
        <v>5.42</v>
      </c>
      <c r="K169" s="32" t="n">
        <v>98184</v>
      </c>
      <c r="L169" s="31" t="n">
        <v>45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70.81999999999999</v>
      </c>
      <c r="P169" s="32" t="n">
        <v>22.68</v>
      </c>
      <c r="Q169" s="32" t="inlineStr"/>
      <c r="R169" s="31" t="inlineStr">
        <is>
          <t>Earnings / Momentum Support</t>
        </is>
      </c>
      <c r="S169" s="31" t="inlineStr">
        <is>
          <t>Nifty 50</t>
        </is>
      </c>
      <c r="T169" s="32" t="n">
        <v>-2.49</v>
      </c>
      <c r="U169" s="32" t="n">
        <v>24.76</v>
      </c>
      <c r="V169" s="32" t="n">
        <v>27.94</v>
      </c>
      <c r="W169" s="32" t="n">
        <v>10.56</v>
      </c>
      <c r="X169" s="31" t="inlineStr">
        <is>
          <t>Cyclical in an Upturn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Headwind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3</t>
        </is>
      </c>
      <c r="BC169" s="31">
        <f>IF(BB169="Stage 2",20,IF(BB169="Stage 1",0,IF(BB169="Stage 3",5,IF(BB169="Stage 4",-5,0))))</f>
        <v/>
      </c>
      <c r="BD169" s="31" t="inlineStr">
        <is>
          <t>Negative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IF(B170=0,"",RANK(B170,$B$2:$B$389,0))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RISHABH</t>
        </is>
      </c>
      <c r="D170" s="31" t="inlineStr">
        <is>
          <t>Rishabh Instruments Ltd</t>
        </is>
      </c>
      <c r="E170" s="31" t="inlineStr">
        <is>
          <t>industrials</t>
        </is>
      </c>
      <c r="F170" s="31" t="inlineStr">
        <is>
          <t>electric equipment</t>
        </is>
      </c>
      <c r="G170" s="31" t="inlineStr">
        <is>
          <t>smallcap</t>
        </is>
      </c>
      <c r="H170" s="32" t="n">
        <v>2579.88</v>
      </c>
      <c r="I170" s="32" t="n">
        <v>699.55</v>
      </c>
      <c r="J170" s="32" t="n">
        <v>4.52</v>
      </c>
      <c r="K170" s="32" t="n">
        <v>754676</v>
      </c>
      <c r="L170" s="31" t="n">
        <v>65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69.42</v>
      </c>
      <c r="P170" s="32" t="n">
        <v>44.33</v>
      </c>
      <c r="Q170" s="32" t="inlineStr"/>
      <c r="R170" s="31" t="inlineStr">
        <is>
          <t>Earnings / Momentum Support</t>
        </is>
      </c>
      <c r="S170" s="31" t="inlineStr">
        <is>
          <t>Nifty 50</t>
        </is>
      </c>
      <c r="T170" s="32" t="n">
        <v>-2.49</v>
      </c>
      <c r="U170" s="32" t="n">
        <v>56.36</v>
      </c>
      <c r="V170" s="32" t="n">
        <v>60.35</v>
      </c>
      <c r="W170" s="32" t="n">
        <v>15.97</v>
      </c>
      <c r="X170" s="31" t="inlineStr">
        <is>
          <t>Cyclical in an Upturn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Headwind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Above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3</t>
        </is>
      </c>
      <c r="BC170" s="31">
        <f>IF(BB170="Stage 2",20,IF(BB170="Stage 1",0,IF(BB170="Stage 3",5,IF(BB170="Stage 4",-5,0))))</f>
        <v/>
      </c>
      <c r="BD170" s="31" t="inlineStr">
        <is>
          <t>Negative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Less than 12%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IF(B171=0,"",RANK(B171,$B$2:$B$389,0))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WELCORP</t>
        </is>
      </c>
      <c r="D171" s="31" t="inlineStr">
        <is>
          <t>Welspun Corp Limited</t>
        </is>
      </c>
      <c r="E171" s="31" t="inlineStr">
        <is>
          <t>industrials</t>
        </is>
      </c>
      <c r="F171" s="31" t="inlineStr">
        <is>
          <t>steel - large</t>
        </is>
      </c>
      <c r="G171" s="31" t="inlineStr">
        <is>
          <t>largecap</t>
        </is>
      </c>
      <c r="H171" s="32" t="n">
        <v>60985.76</v>
      </c>
      <c r="I171" s="32" t="n">
        <v>2409.2</v>
      </c>
      <c r="J171" s="32" t="n">
        <v>4.21</v>
      </c>
      <c r="K171" s="32" t="n">
        <v>6562559</v>
      </c>
      <c r="L171" s="31" t="inlineStr"/>
      <c r="M171" s="31" t="inlineStr"/>
      <c r="N171" s="32">
        <f>IF(M171="Underperforming",-5,IF(L171&gt;=95,15,IF(L171&gt;=90,10,IF(L171&gt;=80,5,0))))</f>
        <v/>
      </c>
      <c r="O171" s="32" t="n">
        <v>93.18000000000001</v>
      </c>
      <c r="P171" s="32" t="n">
        <v>73.64</v>
      </c>
      <c r="Q171" s="32" t="inlineStr"/>
      <c r="R171" s="31" t="inlineStr">
        <is>
          <t>Earnings / Momentum Support</t>
        </is>
      </c>
      <c r="S171" s="31" t="inlineStr">
        <is>
          <t>Nifty Metal</t>
        </is>
      </c>
      <c r="T171" s="32" t="inlineStr"/>
      <c r="U171" s="32" t="inlineStr"/>
      <c r="V171" s="32" t="inlineStr"/>
      <c r="W171" s="32" t="inlineStr"/>
      <c r="X171" s="31" t="inlineStr">
        <is>
          <t>Cyclical in an Upturn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Headwind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Above 40</t>
        </is>
      </c>
      <c r="AY171" s="31">
        <f>IF(AX171="Above 40",20,IF(AX171="20 to 40",10,IF(AX171="0 to 20",-5,0)))</f>
        <v/>
      </c>
      <c r="AZ171" s="31" t="inlineStr">
        <is>
          <t>Above 75</t>
        </is>
      </c>
      <c r="BA171" s="31">
        <f>IF(AZ171="Between 50 to 75",10,IF(AZ171="Above 75",0,0))</f>
        <v/>
      </c>
      <c r="BB171" s="31" t="inlineStr">
        <is>
          <t>Stage 3</t>
        </is>
      </c>
      <c r="BC171" s="31">
        <f>IF(BB171="Stage 2",20,IF(BB171="Stage 1",0,IF(BB171="Stage 3",5,IF(BB171="Stage 4",-5,0))))</f>
        <v/>
      </c>
      <c r="BD171" s="31" t="inlineStr">
        <is>
          <t>Negative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IF(B172=0,"",RANK(B172,$B$2:$B$389,0))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EIMCOELECO</t>
        </is>
      </c>
      <c r="D172" s="31" t="inlineStr">
        <is>
          <t>Eimco Elecon (india) Limited</t>
        </is>
      </c>
      <c r="E172" s="31" t="inlineStr">
        <is>
          <t>industrials</t>
        </is>
      </c>
      <c r="F172" s="31" t="inlineStr">
        <is>
          <t>engineering</t>
        </is>
      </c>
      <c r="G172" s="31" t="inlineStr">
        <is>
          <t>smallcap</t>
        </is>
      </c>
      <c r="H172" s="32" t="n">
        <v>1259.18</v>
      </c>
      <c r="I172" s="32" t="n">
        <v>2245.8</v>
      </c>
      <c r="J172" s="32" t="n">
        <v>2.88</v>
      </c>
      <c r="K172" s="32" t="n">
        <v>120438</v>
      </c>
      <c r="L172" s="31" t="n">
        <v>39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71.5</v>
      </c>
      <c r="P172" s="32" t="n">
        <v>40.25</v>
      </c>
      <c r="Q172" s="32" t="inlineStr"/>
      <c r="R172" s="31" t="inlineStr">
        <is>
          <t>Earnings / Momentum Support</t>
        </is>
      </c>
      <c r="S172" s="31" t="inlineStr">
        <is>
          <t>Nifty 50</t>
        </is>
      </c>
      <c r="T172" s="32" t="n">
        <v>-2.49</v>
      </c>
      <c r="U172" s="32" t="n">
        <v>-2.17</v>
      </c>
      <c r="V172" s="32" t="n">
        <v>0.33</v>
      </c>
      <c r="W172" s="32" t="n">
        <v>8.720000000000001</v>
      </c>
      <c r="X172" s="31" t="inlineStr">
        <is>
          <t>Cyclical in an Upturn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Headwind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Above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3</t>
        </is>
      </c>
      <c r="BC172" s="31">
        <f>IF(BB172="Stage 2",20,IF(BB172="Stage 1",0,IF(BB172="Stage 3",5,IF(BB172="Stage 4",-5,0))))</f>
        <v/>
      </c>
      <c r="BD172" s="31" t="inlineStr">
        <is>
          <t>Negative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IF(B173=0,"",RANK(B173,$B$2:$B$389,0))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VMART</t>
        </is>
      </c>
      <c r="D173" s="31" t="inlineStr">
        <is>
          <t>V-mart Retail Limited</t>
        </is>
      </c>
      <c r="E173" s="31" t="inlineStr">
        <is>
          <t>consumer discretionary</t>
        </is>
      </c>
      <c r="F173" s="31" t="inlineStr">
        <is>
          <t>trading</t>
        </is>
      </c>
      <c r="G173" s="31" t="inlineStr">
        <is>
          <t>midcap</t>
        </is>
      </c>
      <c r="H173" s="32" t="n">
        <v>6672.88</v>
      </c>
      <c r="I173" s="32" t="n">
        <v>856.55</v>
      </c>
      <c r="J173" s="32" t="n">
        <v>2.11</v>
      </c>
      <c r="K173" s="32" t="n">
        <v>352432</v>
      </c>
      <c r="L173" s="31" t="n">
        <v>45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65.81999999999999</v>
      </c>
      <c r="P173" s="32" t="n">
        <v>29.04</v>
      </c>
      <c r="Q173" s="32" t="inlineStr"/>
      <c r="R173" s="31" t="inlineStr">
        <is>
          <t>Earnings / Momentum Support</t>
        </is>
      </c>
      <c r="S173" s="31" t="inlineStr">
        <is>
          <t>Nifty 50</t>
        </is>
      </c>
      <c r="T173" s="32" t="n">
        <v>-2.49</v>
      </c>
      <c r="U173" s="32" t="n">
        <v>12.45</v>
      </c>
      <c r="V173" s="32" t="n">
        <v>15.31</v>
      </c>
      <c r="W173" s="32" t="n">
        <v>10.49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Headwind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3</t>
        </is>
      </c>
      <c r="BC173" s="31">
        <f>IF(BB173="Stage 2",20,IF(BB173="Stage 1",0,IF(BB173="Stage 3",5,IF(BB173="Stage 4",-5,0))))</f>
        <v/>
      </c>
      <c r="BD173" s="31" t="inlineStr">
        <is>
          <t>Negative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Less than 1.5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Between 0.7 to 1.2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IF(B174=0,"",RANK(B174,$B$2:$B$389,0))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ACMESOLAR</t>
        </is>
      </c>
      <c r="D174" s="31" t="inlineStr">
        <is>
          <t>ACME Solar Holdings Ltd</t>
        </is>
      </c>
      <c r="E174" s="31" t="inlineStr">
        <is>
          <t>realty</t>
        </is>
      </c>
      <c r="F174" s="31" t="inlineStr">
        <is>
          <t>engineering - turnkey services</t>
        </is>
      </c>
      <c r="G174" s="31" t="inlineStr">
        <is>
          <t>largecap</t>
        </is>
      </c>
      <c r="H174" s="32" t="n">
        <v>28388.07</v>
      </c>
      <c r="I174" s="32" t="n">
        <v>409.15</v>
      </c>
      <c r="J174" s="32" t="n">
        <v>1.88</v>
      </c>
      <c r="K174" s="32" t="n">
        <v>3368613</v>
      </c>
      <c r="L174" s="31" t="inlineStr"/>
      <c r="M174" s="31" t="inlineStr"/>
      <c r="N174" s="32">
        <f>IF(M174="Underperforming",-5,IF(L174&gt;=95,15,IF(L174&gt;=90,10,IF(L174&gt;=80,5,0))))</f>
        <v/>
      </c>
      <c r="O174" s="32" t="n">
        <v>70.7</v>
      </c>
      <c r="P174" s="32" t="n">
        <v>43.96</v>
      </c>
      <c r="Q174" s="32" t="inlineStr"/>
      <c r="R174" s="31" t="inlineStr">
        <is>
          <t>Earnings / Momentum Support</t>
        </is>
      </c>
      <c r="S174" s="31" t="inlineStr">
        <is>
          <t>Nifty Realty</t>
        </is>
      </c>
      <c r="T174" s="32" t="inlineStr"/>
      <c r="U174" s="32" t="inlineStr"/>
      <c r="V174" s="32" t="inlineStr"/>
      <c r="W174" s="32" t="inlineStr"/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Headwind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Above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3</t>
        </is>
      </c>
      <c r="BC174" s="31">
        <f>IF(BB174="Stage 2",20,IF(BB174="Stage 1",0,IF(BB174="Stage 3",5,IF(BB174="Stage 4",-5,0))))</f>
        <v/>
      </c>
      <c r="BD174" s="31" t="inlineStr">
        <is>
          <t>Negative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More than 1.2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IF(B175=0,"",RANK(B175,$B$2:$B$389,0))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ETHOSLTD</t>
        </is>
      </c>
      <c r="D175" s="31" t="inlineStr">
        <is>
          <t>Ethos Ltd</t>
        </is>
      </c>
      <c r="E175" s="31" t="inlineStr">
        <is>
          <t>consumer discretionary</t>
        </is>
      </c>
      <c r="F175" s="31" t="inlineStr">
        <is>
          <t>trading</t>
        </is>
      </c>
      <c r="G175" s="31" t="inlineStr">
        <is>
          <t>midcap</t>
        </is>
      </c>
      <c r="H175" s="32" t="n">
        <v>7600.52</v>
      </c>
      <c r="I175" s="32" t="n">
        <v>2891</v>
      </c>
      <c r="J175" s="32" t="n">
        <v>1.78</v>
      </c>
      <c r="K175" s="32" t="n">
        <v>51735</v>
      </c>
      <c r="L175" s="31" t="n">
        <v>31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62.52</v>
      </c>
      <c r="P175" s="32" t="n">
        <v>22.45</v>
      </c>
      <c r="Q175" s="32" t="inlineStr"/>
      <c r="R175" s="31" t="inlineStr">
        <is>
          <t>Earnings / Momentum Support</t>
        </is>
      </c>
      <c r="S175" s="31" t="inlineStr">
        <is>
          <t>Nifty 50</t>
        </is>
      </c>
      <c r="T175" s="32" t="n">
        <v>-2.49</v>
      </c>
      <c r="U175" s="32" t="n">
        <v>11.63</v>
      </c>
      <c r="V175" s="32" t="n">
        <v>14.48</v>
      </c>
      <c r="W175" s="32" t="n">
        <v>6.52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Headwind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3</t>
        </is>
      </c>
      <c r="BC175" s="31">
        <f>IF(BB175="Stage 2",20,IF(BB175="Stage 1",0,IF(BB175="Stage 3",5,IF(BB175="Stage 4",-5,0))))</f>
        <v/>
      </c>
      <c r="BD175" s="31" t="inlineStr">
        <is>
          <t>Negative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IF(B176=0,"",RANK(B176,$B$2:$B$389,0))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ARIES</t>
        </is>
      </c>
      <c r="D176" s="31" t="inlineStr">
        <is>
          <t>Aries Agro Limited</t>
        </is>
      </c>
      <c r="E176" s="31" t="inlineStr">
        <is>
          <t>chemicals</t>
        </is>
      </c>
      <c r="F176" s="31" t="inlineStr">
        <is>
          <t>fertilizers</t>
        </is>
      </c>
      <c r="G176" s="31" t="inlineStr">
        <is>
          <t>smallcap</t>
        </is>
      </c>
      <c r="H176" s="32" t="n">
        <v>588.71</v>
      </c>
      <c r="I176" s="32" t="n">
        <v>459.05</v>
      </c>
      <c r="J176" s="32" t="n">
        <v>1.4</v>
      </c>
      <c r="K176" s="32" t="n">
        <v>118146</v>
      </c>
      <c r="L176" s="31" t="n">
        <v>36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74.86</v>
      </c>
      <c r="P176" s="32" t="n">
        <v>14.77</v>
      </c>
      <c r="Q176" s="32" t="inlineStr"/>
      <c r="R176" s="31" t="inlineStr">
        <is>
          <t>Earnings / Momentum Support</t>
        </is>
      </c>
      <c r="S176" s="31" t="inlineStr">
        <is>
          <t>Nifty 50</t>
        </is>
      </c>
      <c r="T176" s="32" t="n">
        <v>-2.49</v>
      </c>
      <c r="U176" s="32" t="n">
        <v>5.81</v>
      </c>
      <c r="V176" s="32" t="n">
        <v>8.51</v>
      </c>
      <c r="W176" s="32" t="n">
        <v>7.74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Headwind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0 to 20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3</t>
        </is>
      </c>
      <c r="BC176" s="31">
        <f>IF(BB176="Stage 2",20,IF(BB176="Stage 1",0,IF(BB176="Stage 3",5,IF(BB176="Stage 4",-5,0))))</f>
        <v/>
      </c>
      <c r="BD176" s="31" t="inlineStr">
        <is>
          <t>Negative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Less than 1.5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IF(B177=0,"",RANK(B177,$B$2:$B$389,0))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TIRUPATIFL</t>
        </is>
      </c>
      <c r="D177" s="31" t="inlineStr">
        <is>
          <t>Tirupati Forge Ltd</t>
        </is>
      </c>
      <c r="E177" s="31" t="inlineStr">
        <is>
          <t>industrials</t>
        </is>
      </c>
      <c r="F177" s="31" t="inlineStr">
        <is>
          <t>castings &amp; forgings</t>
        </is>
      </c>
      <c r="G177" s="31" t="inlineStr">
        <is>
          <t>smallcap</t>
        </is>
      </c>
      <c r="H177" s="32" t="n">
        <v>905.34</v>
      </c>
      <c r="I177" s="32" t="n">
        <v>70.52</v>
      </c>
      <c r="J177" s="32" t="n">
        <v>1.29</v>
      </c>
      <c r="K177" s="32" t="n">
        <v>452221</v>
      </c>
      <c r="L177" s="31" t="n">
        <v>89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67.95999999999999</v>
      </c>
      <c r="P177" s="32" t="n">
        <v>48.48</v>
      </c>
      <c r="Q177" s="32" t="inlineStr"/>
      <c r="R177" s="31" t="inlineStr">
        <is>
          <t>Earnings / Momentum Support</t>
        </is>
      </c>
      <c r="S177" s="31" t="inlineStr">
        <is>
          <t>Nifty 50</t>
        </is>
      </c>
      <c r="T177" s="32" t="n">
        <v>-2.49</v>
      </c>
      <c r="U177" s="32" t="n">
        <v>65.8</v>
      </c>
      <c r="V177" s="32" t="n">
        <v>70.03</v>
      </c>
      <c r="W177" s="32" t="n">
        <v>29.07</v>
      </c>
      <c r="X177" s="31" t="inlineStr">
        <is>
          <t>Cyclical in an Upturn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Headwind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3</t>
        </is>
      </c>
      <c r="BC177" s="31">
        <f>IF(BB177="Stage 2",20,IF(BB177="Stage 1",0,IF(BB177="Stage 3",5,IF(BB177="Stage 4",-5,0))))</f>
        <v/>
      </c>
      <c r="BD177" s="31" t="inlineStr">
        <is>
          <t>Negative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IF(B178=0,"",RANK(B178,$B$2:$B$389,0))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INDIANHUME</t>
        </is>
      </c>
      <c r="D178" s="31" t="inlineStr">
        <is>
          <t>Indian Hume Pipe Company Limited</t>
        </is>
      </c>
      <c r="E178" s="31" t="inlineStr">
        <is>
          <t>realty</t>
        </is>
      </c>
      <c r="F178" s="31" t="inlineStr">
        <is>
          <t>construction</t>
        </is>
      </c>
      <c r="G178" s="31" t="inlineStr">
        <is>
          <t>smallcap</t>
        </is>
      </c>
      <c r="H178" s="32" t="n">
        <v>2068.02</v>
      </c>
      <c r="I178" s="32" t="n">
        <v>397.5</v>
      </c>
      <c r="J178" s="32" t="n">
        <v>1.26</v>
      </c>
      <c r="K178" s="32" t="n">
        <v>256677</v>
      </c>
      <c r="L178" s="31" t="inlineStr"/>
      <c r="M178" s="31" t="inlineStr"/>
      <c r="N178" s="32">
        <f>IF(M178="Underperforming",-5,IF(L178&gt;=95,15,IF(L178&gt;=90,10,IF(L178&gt;=80,5,0))))</f>
        <v/>
      </c>
      <c r="O178" s="32" t="n">
        <v>60.72</v>
      </c>
      <c r="P178" s="32" t="n">
        <v>25.37</v>
      </c>
      <c r="Q178" s="32" t="inlineStr"/>
      <c r="R178" s="31" t="inlineStr">
        <is>
          <t>Earnings / Momentum Support</t>
        </is>
      </c>
      <c r="S178" s="31" t="inlineStr">
        <is>
          <t>Nifty Realty</t>
        </is>
      </c>
      <c r="T178" s="32" t="inlineStr"/>
      <c r="U178" s="32" t="inlineStr"/>
      <c r="V178" s="32" t="inlineStr"/>
      <c r="W178" s="32" t="inlineStr"/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Headwind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3</t>
        </is>
      </c>
      <c r="BC178" s="31">
        <f>IF(BB178="Stage 2",20,IF(BB178="Stage 1",0,IF(BB178="Stage 3",5,IF(BB178="Stage 4",-5,0))))</f>
        <v/>
      </c>
      <c r="BD178" s="31" t="inlineStr">
        <is>
          <t>Negative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Between 1.5 to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IF(B179=0,"",RANK(B179,$B$2:$B$389,0))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KAMDHENU</t>
        </is>
      </c>
      <c r="D179" s="31" t="inlineStr">
        <is>
          <t>Kamdhenu Limited</t>
        </is>
      </c>
      <c r="E179" s="31" t="inlineStr">
        <is>
          <t>metals &amp; mining</t>
        </is>
      </c>
      <c r="F179" s="31" t="inlineStr">
        <is>
          <t>steel - medium / small</t>
        </is>
      </c>
      <c r="G179" s="31" t="inlineStr">
        <is>
          <t>smallcap</t>
        </is>
      </c>
      <c r="H179" s="32" t="n">
        <v>992.79</v>
      </c>
      <c r="I179" s="32" t="n">
        <v>35.5</v>
      </c>
      <c r="J179" s="32" t="n">
        <v>0.8</v>
      </c>
      <c r="K179" s="32" t="n">
        <v>976035</v>
      </c>
      <c r="L179" s="31" t="inlineStr"/>
      <c r="M179" s="31" t="inlineStr"/>
      <c r="N179" s="32">
        <f>IF(M179="Underperforming",-5,IF(L179&gt;=95,15,IF(L179&gt;=90,10,IF(L179&gt;=80,5,0))))</f>
        <v/>
      </c>
      <c r="O179" s="32" t="n">
        <v>68.03</v>
      </c>
      <c r="P179" s="32" t="n">
        <v>45.25</v>
      </c>
      <c r="Q179" s="32" t="inlineStr"/>
      <c r="R179" s="31" t="inlineStr">
        <is>
          <t>Earnings / Momentum Support</t>
        </is>
      </c>
      <c r="S179" s="31" t="inlineStr">
        <is>
          <t>Nifty Metal</t>
        </is>
      </c>
      <c r="T179" s="32" t="inlineStr"/>
      <c r="U179" s="32" t="inlineStr"/>
      <c r="V179" s="32" t="inlineStr"/>
      <c r="W179" s="32" t="inlineStr"/>
      <c r="X179" s="31" t="inlineStr">
        <is>
          <t>Cyclical in an Upturn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Headwind</t>
        </is>
      </c>
      <c r="AE179" s="31">
        <f>IF(AD179="Tailwind",10,0)</f>
        <v/>
      </c>
      <c r="AF179" s="31" t="inlineStr">
        <is>
          <t>Cyclical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Volatile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Above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3</t>
        </is>
      </c>
      <c r="BC179" s="31">
        <f>IF(BB179="Stage 2",20,IF(BB179="Stage 1",0,IF(BB179="Stage 3",5,IF(BB179="Stage 4",-5,0))))</f>
        <v/>
      </c>
      <c r="BD179" s="31" t="inlineStr">
        <is>
          <t>Negative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IF(B180=0,"",RANK(B180,$B$2:$B$389,0))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KALYANKJIL</t>
        </is>
      </c>
      <c r="D180" s="31" t="inlineStr">
        <is>
          <t>Kalyan Jewellers India Ltd</t>
        </is>
      </c>
      <c r="E180" s="31" t="inlineStr">
        <is>
          <t>consumer discretionary</t>
        </is>
      </c>
      <c r="F180" s="31" t="inlineStr">
        <is>
          <t>diamond cutting / jewellery</t>
        </is>
      </c>
      <c r="G180" s="31" t="inlineStr">
        <is>
          <t>largecap</t>
        </is>
      </c>
      <c r="H180" s="32" t="n">
        <v>62331.04</v>
      </c>
      <c r="I180" s="32" t="n">
        <v>607.95</v>
      </c>
      <c r="J180" s="32" t="n">
        <v>0.73</v>
      </c>
      <c r="K180" s="32" t="n">
        <v>5936916</v>
      </c>
      <c r="L180" s="31" t="n">
        <v>76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70.81999999999999</v>
      </c>
      <c r="P180" s="32" t="n">
        <v>36.77</v>
      </c>
      <c r="Q180" s="32" t="inlineStr"/>
      <c r="R180" s="31" t="inlineStr">
        <is>
          <t>Earnings / Momentum Support</t>
        </is>
      </c>
      <c r="S180" s="31" t="inlineStr">
        <is>
          <t>Nifty 500</t>
        </is>
      </c>
      <c r="T180" s="32" t="n">
        <v>2.34</v>
      </c>
      <c r="U180" s="32" t="n">
        <v>18.42</v>
      </c>
      <c r="V180" s="32" t="n">
        <v>15.71</v>
      </c>
      <c r="W180" s="32" t="n">
        <v>21.72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Headwind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3</t>
        </is>
      </c>
      <c r="BC180" s="31">
        <f>IF(BB180="Stage 2",20,IF(BB180="Stage 1",0,IF(BB180="Stage 3",5,IF(BB180="Stage 4",-5,0))))</f>
        <v/>
      </c>
      <c r="BD180" s="31" t="inlineStr">
        <is>
          <t>Negative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Between 0.7 to 1.2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IF(B181=0,"",RANK(B181,$B$2:$B$389,0))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ANDHRSUGAR</t>
        </is>
      </c>
      <c r="D181" s="31" t="inlineStr">
        <is>
          <t>The Andhra Sugars Limited</t>
        </is>
      </c>
      <c r="E181" s="31" t="inlineStr">
        <is>
          <t>chemicals</t>
        </is>
      </c>
      <c r="F181" s="31" t="inlineStr">
        <is>
          <t>chlor alkali / soda ash</t>
        </is>
      </c>
      <c r="G181" s="31" t="inlineStr">
        <is>
          <t>smallcap</t>
        </is>
      </c>
      <c r="H181" s="32" t="n">
        <v>1339.63</v>
      </c>
      <c r="I181" s="32" t="n">
        <v>99.28</v>
      </c>
      <c r="J181" s="32" t="n">
        <v>0.45</v>
      </c>
      <c r="K181" s="32" t="n">
        <v>1599814</v>
      </c>
      <c r="L181" s="31" t="n">
        <v>34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62.39</v>
      </c>
      <c r="P181" s="32" t="n">
        <v>13.69</v>
      </c>
      <c r="Q181" s="32" t="inlineStr"/>
      <c r="R181" s="31" t="inlineStr">
        <is>
          <t>Earnings / Momentum Support</t>
        </is>
      </c>
      <c r="S181" s="31" t="inlineStr">
        <is>
          <t>Nifty 50</t>
        </is>
      </c>
      <c r="T181" s="32" t="n">
        <v>-2.49</v>
      </c>
      <c r="U181" s="32" t="n">
        <v>26.05</v>
      </c>
      <c r="V181" s="32" t="n">
        <v>29.27</v>
      </c>
      <c r="W181" s="32" t="n">
        <v>7.59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Headwind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0 to 20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3</t>
        </is>
      </c>
      <c r="BC181" s="31">
        <f>IF(BB181="Stage 2",20,IF(BB181="Stage 1",0,IF(BB181="Stage 3",5,IF(BB181="Stage 4",-5,0))))</f>
        <v/>
      </c>
      <c r="BD181" s="31" t="inlineStr">
        <is>
          <t>Negative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Less than 1.5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IF(B182=0,"",RANK(B182,$B$2:$B$389,0))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TBOTEK</t>
        </is>
      </c>
      <c r="D182" s="31" t="inlineStr">
        <is>
          <t>TBO Tek Ltd</t>
        </is>
      </c>
      <c r="E182" s="31" t="inlineStr">
        <is>
          <t>i.t</t>
        </is>
      </c>
      <c r="F182" s="31" t="inlineStr">
        <is>
          <t>travel agencies</t>
        </is>
      </c>
      <c r="G182" s="31" t="inlineStr">
        <is>
          <t>midcap</t>
        </is>
      </c>
      <c r="H182" s="32" t="n">
        <v>18421.92</v>
      </c>
      <c r="I182" s="32" t="n">
        <v>1703.5</v>
      </c>
      <c r="J182" s="32" t="n">
        <v>0.41</v>
      </c>
      <c r="K182" s="32" t="n">
        <v>152539</v>
      </c>
      <c r="L182" s="31" t="n">
        <v>58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67.62</v>
      </c>
      <c r="P182" s="32" t="n">
        <v>23.1</v>
      </c>
      <c r="Q182" s="32" t="inlineStr"/>
      <c r="R182" s="31" t="inlineStr">
        <is>
          <t>Earnings / Momentum Support</t>
        </is>
      </c>
      <c r="S182" s="31" t="inlineStr">
        <is>
          <t>Nifty IT</t>
        </is>
      </c>
      <c r="T182" s="32" t="n">
        <v>-13.85</v>
      </c>
      <c r="U182" s="32" t="n">
        <v>17.6</v>
      </c>
      <c r="V182" s="32" t="n">
        <v>36.51</v>
      </c>
      <c r="W182" s="32" t="n">
        <v>13.99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Headwind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3</t>
        </is>
      </c>
      <c r="BC182" s="31">
        <f>IF(BB182="Stage 2",20,IF(BB182="Stage 1",0,IF(BB182="Stage 3",5,IF(BB182="Stage 4",-5,0))))</f>
        <v/>
      </c>
      <c r="BD182" s="31" t="inlineStr">
        <is>
          <t>Negative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IF(B183=0,"",RANK(B183,$B$2:$B$389,0))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UNIMECH</t>
        </is>
      </c>
      <c r="D183" s="31" t="inlineStr">
        <is>
          <t>Unimech Aerospace and Manufacturing Ltd</t>
        </is>
      </c>
      <c r="E183" s="31" t="inlineStr">
        <is>
          <t>aerospace &amp; defence</t>
        </is>
      </c>
      <c r="F183" s="31" t="inlineStr">
        <is>
          <t>engineering</t>
        </is>
      </c>
      <c r="G183" s="31" t="inlineStr">
        <is>
          <t>midcap</t>
        </is>
      </c>
      <c r="H183" s="32" t="n">
        <v>7584.8</v>
      </c>
      <c r="I183" s="32" t="n">
        <v>1496.9</v>
      </c>
      <c r="J183" s="32" t="n">
        <v>0.37</v>
      </c>
      <c r="K183" s="32" t="n">
        <v>235425</v>
      </c>
      <c r="L183" s="31" t="n">
        <v>75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72.81999999999999</v>
      </c>
      <c r="P183" s="32" t="n">
        <v>39.93</v>
      </c>
      <c r="Q183" s="32" t="inlineStr"/>
      <c r="R183" s="31" t="inlineStr">
        <is>
          <t>Earnings / Momentum Support</t>
        </is>
      </c>
      <c r="S183" s="31" t="inlineStr">
        <is>
          <t>Nifty 50</t>
        </is>
      </c>
      <c r="T183" s="32" t="n">
        <v>-2.49</v>
      </c>
      <c r="U183" s="32" t="n">
        <v>37.8</v>
      </c>
      <c r="V183" s="32" t="n">
        <v>41.31</v>
      </c>
      <c r="W183" s="32" t="n">
        <v>20.99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Headwind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3</t>
        </is>
      </c>
      <c r="BC183" s="31">
        <f>IF(BB183="Stage 2",20,IF(BB183="Stage 1",0,IF(BB183="Stage 3",5,IF(BB183="Stage 4",-5,0))))</f>
        <v/>
      </c>
      <c r="BD183" s="31" t="inlineStr">
        <is>
          <t>Negative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IF(B184=0,"",RANK(B184,$B$2:$B$389,0))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BAJEL</t>
        </is>
      </c>
      <c r="D184" s="31" t="inlineStr">
        <is>
          <t>Bajel Projects Ltd</t>
        </is>
      </c>
      <c r="E184" s="31" t="inlineStr">
        <is>
          <t>realty</t>
        </is>
      </c>
      <c r="F184" s="31" t="inlineStr">
        <is>
          <t>engineering - turnkey services</t>
        </is>
      </c>
      <c r="G184" s="31" t="inlineStr">
        <is>
          <t>smallcap</t>
        </is>
      </c>
      <c r="H184" s="32" t="n">
        <v>2218.84</v>
      </c>
      <c r="I184" s="32" t="n">
        <v>192.09</v>
      </c>
      <c r="J184" s="32" t="n">
        <v>0.16</v>
      </c>
      <c r="K184" s="32" t="n">
        <v>324224</v>
      </c>
      <c r="L184" s="31" t="inlineStr"/>
      <c r="M184" s="31" t="inlineStr"/>
      <c r="N184" s="32">
        <f>IF(M184="Underperforming",-5,IF(L184&gt;=95,15,IF(L184&gt;=90,10,IF(L184&gt;=80,5,0))))</f>
        <v/>
      </c>
      <c r="O184" s="32" t="n">
        <v>54.97</v>
      </c>
      <c r="P184" s="32" t="n">
        <v>25.12</v>
      </c>
      <c r="Q184" s="32" t="inlineStr"/>
      <c r="R184" s="31" t="inlineStr">
        <is>
          <t>Earnings / Momentum Support</t>
        </is>
      </c>
      <c r="S184" s="31" t="inlineStr">
        <is>
          <t>Nifty Realty</t>
        </is>
      </c>
      <c r="T184" s="32" t="inlineStr"/>
      <c r="U184" s="32" t="inlineStr"/>
      <c r="V184" s="32" t="inlineStr"/>
      <c r="W184" s="32" t="inlineStr"/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Headwind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3</t>
        </is>
      </c>
      <c r="BC184" s="31">
        <f>IF(BB184="Stage 2",20,IF(BB184="Stage 1",0,IF(BB184="Stage 3",5,IF(BB184="Stage 4",-5,0))))</f>
        <v/>
      </c>
      <c r="BD184" s="31" t="inlineStr">
        <is>
          <t>Negative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IF(B185=0,"",RANK(B185,$B$2:$B$389,0))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VARROC</t>
        </is>
      </c>
      <c r="D185" s="31" t="inlineStr">
        <is>
          <t>Varroc Engineering Ltd</t>
        </is>
      </c>
      <c r="E185" s="31" t="inlineStr">
        <is>
          <t>auto</t>
        </is>
      </c>
      <c r="F185" s="31" t="inlineStr">
        <is>
          <t>auto ancillaries</t>
        </is>
      </c>
      <c r="G185" s="31" t="inlineStr">
        <is>
          <t>midcap</t>
        </is>
      </c>
      <c r="H185" s="32" t="n">
        <v>12451.33</v>
      </c>
      <c r="I185" s="32" t="n">
        <v>815</v>
      </c>
      <c r="J185" s="32" t="n">
        <v>0.01</v>
      </c>
      <c r="K185" s="32" t="n">
        <v>267556</v>
      </c>
      <c r="L185" s="31" t="inlineStr"/>
      <c r="M185" s="31" t="inlineStr"/>
      <c r="N185" s="32">
        <f>IF(M185="Underperforming",-5,IF(L185&gt;=95,15,IF(L185&gt;=90,10,IF(L185&gt;=80,5,0))))</f>
        <v/>
      </c>
      <c r="O185" s="32" t="n">
        <v>74.43000000000001</v>
      </c>
      <c r="P185" s="32" t="n">
        <v>47.37</v>
      </c>
      <c r="Q185" s="32" t="inlineStr"/>
      <c r="R185" s="31" t="inlineStr">
        <is>
          <t>Earnings / Momentum Support</t>
        </is>
      </c>
      <c r="S185" s="31" t="inlineStr">
        <is>
          <t>Nifty Auto</t>
        </is>
      </c>
      <c r="T185" s="32" t="inlineStr"/>
      <c r="U185" s="32" t="inlineStr"/>
      <c r="V185" s="32" t="inlineStr"/>
      <c r="W185" s="32" t="inlineStr"/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Headwind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Above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3</t>
        </is>
      </c>
      <c r="BC185" s="31">
        <f>IF(BB185="Stage 2",20,IF(BB185="Stage 1",0,IF(BB185="Stage 3",5,IF(BB185="Stage 4",-5,0))))</f>
        <v/>
      </c>
      <c r="BD185" s="31" t="inlineStr">
        <is>
          <t>Negative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Less than 12%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IF(B186=0,"",RANK(B186,$B$2:$B$389,0))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ETERNAL</t>
        </is>
      </c>
      <c r="D186" s="31" t="inlineStr">
        <is>
          <t>Eternal Ltd</t>
        </is>
      </c>
      <c r="E186" s="31" t="inlineStr">
        <is>
          <t>i.t</t>
        </is>
      </c>
      <c r="F186" s="31" t="inlineStr">
        <is>
          <t>miscellaneous</t>
        </is>
      </c>
      <c r="G186" s="31" t="inlineStr">
        <is>
          <t>largecap</t>
        </is>
      </c>
      <c r="H186" s="32" t="n">
        <v>316531.5</v>
      </c>
      <c r="I186" s="32" t="n">
        <v>327.15</v>
      </c>
      <c r="J186" s="32" t="n">
        <v>-0.26</v>
      </c>
      <c r="K186" s="32" t="n">
        <v>21578322</v>
      </c>
      <c r="L186" s="31" t="n">
        <v>40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68.19</v>
      </c>
      <c r="P186" s="32" t="n">
        <v>22.27</v>
      </c>
      <c r="Q186" s="32" t="inlineStr"/>
      <c r="R186" s="31" t="inlineStr">
        <is>
          <t>Earnings / Momentum Support</t>
        </is>
      </c>
      <c r="S186" s="31" t="inlineStr">
        <is>
          <t>Nifty IT</t>
        </is>
      </c>
      <c r="T186" s="32" t="n">
        <v>-13.85</v>
      </c>
      <c r="U186" s="32" t="n">
        <v>2.79</v>
      </c>
      <c r="V186" s="32" t="n">
        <v>19.31</v>
      </c>
      <c r="W186" s="32" t="n">
        <v>8.960000000000001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Headwind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3</t>
        </is>
      </c>
      <c r="BC186" s="31">
        <f>IF(BB186="Stage 2",20,IF(BB186="Stage 1",0,IF(BB186="Stage 3",5,IF(BB186="Stage 4",-5,0))))</f>
        <v/>
      </c>
      <c r="BD186" s="31" t="inlineStr">
        <is>
          <t>Negative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IF(B187=0,"",RANK(B187,$B$2:$B$389,0))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ASAHIINDIA</t>
        </is>
      </c>
      <c r="D187" s="31" t="inlineStr">
        <is>
          <t>Asahi India Glass Limited</t>
        </is>
      </c>
      <c r="E187" s="31" t="inlineStr">
        <is>
          <t>building materials</t>
        </is>
      </c>
      <c r="F187" s="31" t="inlineStr">
        <is>
          <t>glass &amp; glass products</t>
        </is>
      </c>
      <c r="G187" s="31" t="inlineStr">
        <is>
          <t>largecap</t>
        </is>
      </c>
      <c r="H187" s="32" t="n">
        <v>24619.59</v>
      </c>
      <c r="I187" s="32" t="n">
        <v>963</v>
      </c>
      <c r="J187" s="32" t="n">
        <v>-0.28</v>
      </c>
      <c r="K187" s="32" t="n">
        <v>173306</v>
      </c>
      <c r="L187" s="31" t="inlineStr"/>
      <c r="M187" s="31" t="inlineStr"/>
      <c r="N187" s="32">
        <f>IF(M187="Underperforming",-5,IF(L187&gt;=95,15,IF(L187&gt;=90,10,IF(L187&gt;=80,5,0))))</f>
        <v/>
      </c>
      <c r="O187" s="32" t="n">
        <v>61.49</v>
      </c>
      <c r="P187" s="32" t="n">
        <v>25.35</v>
      </c>
      <c r="Q187" s="32" t="inlineStr"/>
      <c r="R187" s="31" t="inlineStr">
        <is>
          <t>Earnings / Momentum Support</t>
        </is>
      </c>
      <c r="S187" s="31" t="inlineStr">
        <is>
          <t>Nifty Infra</t>
        </is>
      </c>
      <c r="T187" s="32" t="inlineStr"/>
      <c r="U187" s="32" t="inlineStr"/>
      <c r="V187" s="32" t="inlineStr"/>
      <c r="W187" s="32" t="inlineStr"/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Headwind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3</t>
        </is>
      </c>
      <c r="BC187" s="31">
        <f>IF(BB187="Stage 2",20,IF(BB187="Stage 1",0,IF(BB187="Stage 3",5,IF(BB187="Stage 4",-5,0))))</f>
        <v/>
      </c>
      <c r="BD187" s="31" t="inlineStr">
        <is>
          <t>Negative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IF(B188=0,"",RANK(B188,$B$2:$B$389,0))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HAPPYFORGE</t>
        </is>
      </c>
      <c r="D188" s="31" t="inlineStr">
        <is>
          <t>Happy Forgings Ltd</t>
        </is>
      </c>
      <c r="E188" s="31" t="inlineStr">
        <is>
          <t>industrials</t>
        </is>
      </c>
      <c r="F188" s="31" t="inlineStr">
        <is>
          <t>castings &amp; forgings</t>
        </is>
      </c>
      <c r="G188" s="31" t="inlineStr">
        <is>
          <t>largecap</t>
        </is>
      </c>
      <c r="H188" s="32" t="n">
        <v>20874.69</v>
      </c>
      <c r="I188" s="32" t="n">
        <v>2203.6</v>
      </c>
      <c r="J188" s="32" t="n">
        <v>-0.37</v>
      </c>
      <c r="K188" s="32" t="n">
        <v>128940</v>
      </c>
      <c r="L188" s="31" t="inlineStr"/>
      <c r="M188" s="31" t="inlineStr"/>
      <c r="N188" s="32">
        <f>IF(M188="Underperforming",-5,IF(L188&gt;=95,15,IF(L188&gt;=90,10,IF(L188&gt;=80,5,0))))</f>
        <v/>
      </c>
      <c r="O188" s="32" t="n">
        <v>87.53</v>
      </c>
      <c r="P188" s="32" t="n">
        <v>58.88</v>
      </c>
      <c r="Q188" s="32" t="inlineStr"/>
      <c r="R188" s="31" t="inlineStr">
        <is>
          <t>Earnings / Momentum Support</t>
        </is>
      </c>
      <c r="S188" s="31" t="inlineStr">
        <is>
          <t>Nifty Infra</t>
        </is>
      </c>
      <c r="T188" s="32" t="inlineStr"/>
      <c r="U188" s="32" t="inlineStr"/>
      <c r="V188" s="32" t="inlineStr"/>
      <c r="W188" s="32" t="inlineStr"/>
      <c r="X188" s="31" t="inlineStr">
        <is>
          <t>Cyclical in an Upturn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Headwind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Above 40</t>
        </is>
      </c>
      <c r="AY188" s="31">
        <f>IF(AX188="Above 40",20,IF(AX188="20 to 40",10,IF(AX188="0 to 20",-5,0)))</f>
        <v/>
      </c>
      <c r="AZ188" s="31" t="inlineStr">
        <is>
          <t>Above 75</t>
        </is>
      </c>
      <c r="BA188" s="31">
        <f>IF(AZ188="Between 50 to 75",10,IF(AZ188="Above 75",0,0))</f>
        <v/>
      </c>
      <c r="BB188" s="31" t="inlineStr">
        <is>
          <t>Stage 3</t>
        </is>
      </c>
      <c r="BC188" s="31">
        <f>IF(BB188="Stage 2",20,IF(BB188="Stage 1",0,IF(BB188="Stage 3",5,IF(BB188="Stage 4",-5,0))))</f>
        <v/>
      </c>
      <c r="BD188" s="31" t="inlineStr">
        <is>
          <t>Negative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Between 1.5 to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IF(B189=0,"",RANK(B189,$B$2:$B$389,0))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PAYTM</t>
        </is>
      </c>
      <c r="D189" s="31" t="inlineStr">
        <is>
          <t>One 97 Communications Ltd</t>
        </is>
      </c>
      <c r="E189" s="31" t="inlineStr">
        <is>
          <t>i.t</t>
        </is>
      </c>
      <c r="F189" s="31" t="inlineStr">
        <is>
          <t>miscellaneous</t>
        </is>
      </c>
      <c r="G189" s="31" t="inlineStr">
        <is>
          <t>largecap</t>
        </is>
      </c>
      <c r="H189" s="32" t="n">
        <v>104503</v>
      </c>
      <c r="I189" s="32" t="n">
        <v>1623.5</v>
      </c>
      <c r="J189" s="32" t="n">
        <v>-0.52</v>
      </c>
      <c r="K189" s="32" t="n">
        <v>2795150</v>
      </c>
      <c r="L189" s="31" t="n">
        <v>66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74.42</v>
      </c>
      <c r="P189" s="32" t="n">
        <v>23.06</v>
      </c>
      <c r="Q189" s="32" t="inlineStr"/>
      <c r="R189" s="31" t="inlineStr">
        <is>
          <t>Earnings / Momentum Support</t>
        </is>
      </c>
      <c r="S189" s="31" t="inlineStr">
        <is>
          <t>Nifty IT</t>
        </is>
      </c>
      <c r="T189" s="32" t="n">
        <v>-13.85</v>
      </c>
      <c r="U189" s="32" t="n">
        <v>29.05</v>
      </c>
      <c r="V189" s="32" t="n">
        <v>49.8</v>
      </c>
      <c r="W189" s="32" t="n">
        <v>16.22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Headwind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No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3</t>
        </is>
      </c>
      <c r="BC189" s="31">
        <f>IF(BB189="Stage 2",20,IF(BB189="Stage 1",0,IF(BB189="Stage 3",5,IF(BB189="Stage 4",-5,0))))</f>
        <v/>
      </c>
      <c r="BD189" s="31" t="inlineStr">
        <is>
          <t>Negative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IF(B190=0,"",RANK(B190,$B$2:$B$389,0))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AEROENTER</t>
        </is>
      </c>
      <c r="D190" s="31" t="inlineStr">
        <is>
          <t>Aeroflex Enterprises Ltd</t>
        </is>
      </c>
      <c r="E190" s="31" t="inlineStr">
        <is>
          <t>metals &amp; mining</t>
        </is>
      </c>
      <c r="F190" s="31" t="inlineStr">
        <is>
          <t>steel - medium / small</t>
        </is>
      </c>
      <c r="G190" s="31" t="inlineStr">
        <is>
          <t>smallcap</t>
        </is>
      </c>
      <c r="H190" s="32" t="n">
        <v>1585.09</v>
      </c>
      <c r="I190" s="32" t="n">
        <v>139.23</v>
      </c>
      <c r="J190" s="32" t="n">
        <v>-0.6</v>
      </c>
      <c r="K190" s="32" t="n">
        <v>915910</v>
      </c>
      <c r="L190" s="31" t="inlineStr"/>
      <c r="M190" s="31" t="inlineStr"/>
      <c r="N190" s="32">
        <f>IF(M190="Underperforming",-5,IF(L190&gt;=95,15,IF(L190&gt;=90,10,IF(L190&gt;=80,5,0))))</f>
        <v/>
      </c>
      <c r="O190" s="32" t="n">
        <v>67.13</v>
      </c>
      <c r="P190" s="32" t="n">
        <v>51.67</v>
      </c>
      <c r="Q190" s="32" t="inlineStr"/>
      <c r="R190" s="31" t="inlineStr">
        <is>
          <t>Earnings / Momentum Support</t>
        </is>
      </c>
      <c r="S190" s="31" t="inlineStr">
        <is>
          <t>Nifty Metal</t>
        </is>
      </c>
      <c r="T190" s="32" t="inlineStr"/>
      <c r="U190" s="32" t="inlineStr"/>
      <c r="V190" s="32" t="inlineStr"/>
      <c r="W190" s="32" t="inlineStr"/>
      <c r="X190" s="31" t="inlineStr">
        <is>
          <t>Cyclical in an Upturn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Headwind</t>
        </is>
      </c>
      <c r="AE190" s="31">
        <f>IF(AD190="Tailwind",10,0)</f>
        <v/>
      </c>
      <c r="AF190" s="31" t="inlineStr">
        <is>
          <t>Cyclical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Volatile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Above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3</t>
        </is>
      </c>
      <c r="BC190" s="31">
        <f>IF(BB190="Stage 2",20,IF(BB190="Stage 1",0,IF(BB190="Stage 3",5,IF(BB190="Stage 4",-5,0))))</f>
        <v/>
      </c>
      <c r="BD190" s="31" t="inlineStr">
        <is>
          <t>Negative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Less than 1.5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IF(B191=0,"",RANK(B191,$B$2:$B$389,0))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INDIGOPNTS</t>
        </is>
      </c>
      <c r="D191" s="31" t="inlineStr">
        <is>
          <t>Indigo Paints Ltd</t>
        </is>
      </c>
      <c r="E191" s="31" t="inlineStr">
        <is>
          <t>building materials</t>
        </is>
      </c>
      <c r="F191" s="31" t="inlineStr">
        <is>
          <t>paints / varnishes</t>
        </is>
      </c>
      <c r="G191" s="31" t="inlineStr">
        <is>
          <t>midcap</t>
        </is>
      </c>
      <c r="H191" s="32" t="n">
        <v>5491.28</v>
      </c>
      <c r="I191" s="32" t="n">
        <v>1139.3</v>
      </c>
      <c r="J191" s="32" t="n">
        <v>-1.09</v>
      </c>
      <c r="K191" s="32" t="n">
        <v>48501</v>
      </c>
      <c r="L191" s="31" t="inlineStr"/>
      <c r="M191" s="31" t="inlineStr"/>
      <c r="N191" s="32">
        <f>IF(M191="Underperforming",-5,IF(L191&gt;=95,15,IF(L191&gt;=90,10,IF(L191&gt;=80,5,0))))</f>
        <v/>
      </c>
      <c r="O191" s="32" t="n">
        <v>65.15000000000001</v>
      </c>
      <c r="P191" s="32" t="n">
        <v>19.33</v>
      </c>
      <c r="Q191" s="32" t="inlineStr"/>
      <c r="R191" s="31" t="inlineStr">
        <is>
          <t>Earnings / Momentum Support</t>
        </is>
      </c>
      <c r="S191" s="31" t="inlineStr">
        <is>
          <t>Nifty Infra</t>
        </is>
      </c>
      <c r="T191" s="32" t="inlineStr"/>
      <c r="U191" s="32" t="inlineStr"/>
      <c r="V191" s="32" t="inlineStr"/>
      <c r="W191" s="32" t="inlineStr"/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Headwind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0 to 20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3</t>
        </is>
      </c>
      <c r="BC191" s="31">
        <f>IF(BB191="Stage 2",20,IF(BB191="Stage 1",0,IF(BB191="Stage 3",5,IF(BB191="Stage 4",-5,0))))</f>
        <v/>
      </c>
      <c r="BD191" s="31" t="inlineStr">
        <is>
          <t>Negative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Less than 1.5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IF(B192=0,"",RANK(B192,$B$2:$B$389,0))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CRAFTSMAN</t>
        </is>
      </c>
      <c r="D192" s="31" t="inlineStr">
        <is>
          <t>Craftsman Automation Ltd</t>
        </is>
      </c>
      <c r="E192" s="31" t="inlineStr">
        <is>
          <t>auto</t>
        </is>
      </c>
      <c r="F192" s="31" t="inlineStr">
        <is>
          <t>auto ancillaries</t>
        </is>
      </c>
      <c r="G192" s="31" t="inlineStr">
        <is>
          <t>largecap</t>
        </is>
      </c>
      <c r="H192" s="32" t="n">
        <v>27840.09</v>
      </c>
      <c r="I192" s="32" t="n">
        <v>10522</v>
      </c>
      <c r="J192" s="32" t="n">
        <v>-1.15</v>
      </c>
      <c r="K192" s="32" t="n">
        <v>32160</v>
      </c>
      <c r="L192" s="31" t="inlineStr"/>
      <c r="M192" s="31" t="inlineStr"/>
      <c r="N192" s="32">
        <f>IF(M192="Underperforming",-5,IF(L192&gt;=95,15,IF(L192&gt;=90,10,IF(L192&gt;=80,5,0))))</f>
        <v/>
      </c>
      <c r="O192" s="32" t="n">
        <v>70.05</v>
      </c>
      <c r="P192" s="32" t="n">
        <v>64.66</v>
      </c>
      <c r="Q192" s="32" t="inlineStr"/>
      <c r="R192" s="31" t="inlineStr">
        <is>
          <t>Earnings / Momentum Support</t>
        </is>
      </c>
      <c r="S192" s="31" t="inlineStr">
        <is>
          <t>Nifty Auto</t>
        </is>
      </c>
      <c r="T192" s="32" t="inlineStr"/>
      <c r="U192" s="32" t="inlineStr"/>
      <c r="V192" s="32" t="inlineStr"/>
      <c r="W192" s="32" t="inlineStr"/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Headwind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Above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3</t>
        </is>
      </c>
      <c r="BC192" s="31">
        <f>IF(BB192="Stage 2",20,IF(BB192="Stage 1",0,IF(BB192="Stage 3",5,IF(BB192="Stage 4",-5,0))))</f>
        <v/>
      </c>
      <c r="BD192" s="31" t="inlineStr">
        <is>
          <t>Negative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Between 0.7 to 1.2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IF(B193=0,"",RANK(B193,$B$2:$B$389,0))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AZAD</t>
        </is>
      </c>
      <c r="D193" s="31" t="inlineStr">
        <is>
          <t>Azad Engineering Ltd</t>
        </is>
      </c>
      <c r="E193" s="31" t="inlineStr">
        <is>
          <t>aerospace &amp; defence</t>
        </is>
      </c>
      <c r="F193" s="31" t="inlineStr">
        <is>
          <t>engineering</t>
        </is>
      </c>
      <c r="G193" s="31" t="inlineStr">
        <is>
          <t>midcap</t>
        </is>
      </c>
      <c r="H193" s="32" t="n">
        <v>18327.01</v>
      </c>
      <c r="I193" s="32" t="n">
        <v>2796.2</v>
      </c>
      <c r="J193" s="32" t="n">
        <v>-1.47</v>
      </c>
      <c r="K193" s="32" t="n">
        <v>354074</v>
      </c>
      <c r="L193" s="31" t="n">
        <v>74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70.67</v>
      </c>
      <c r="P193" s="32" t="n">
        <v>36.47</v>
      </c>
      <c r="Q193" s="32" t="inlineStr"/>
      <c r="R193" s="31" t="inlineStr">
        <is>
          <t>Earnings / Momentum Support</t>
        </is>
      </c>
      <c r="S193" s="31" t="inlineStr">
        <is>
          <t>Nifty 50</t>
        </is>
      </c>
      <c r="T193" s="32" t="n">
        <v>-2.49</v>
      </c>
      <c r="U193" s="32" t="n">
        <v>76.92</v>
      </c>
      <c r="V193" s="32" t="n">
        <v>81.43000000000001</v>
      </c>
      <c r="W193" s="32" t="n">
        <v>20.8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Headwind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3</t>
        </is>
      </c>
      <c r="BC193" s="31">
        <f>IF(BB193="Stage 2",20,IF(BB193="Stage 1",0,IF(BB193="Stage 3",5,IF(BB193="Stage 4",-5,0))))</f>
        <v/>
      </c>
      <c r="BD193" s="31" t="inlineStr">
        <is>
          <t>Negative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IF(B194=0,"",RANK(B194,$B$2:$B$389,0))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JINDALSAW</t>
        </is>
      </c>
      <c r="D194" s="31" t="inlineStr">
        <is>
          <t>Jindal Saw Limited</t>
        </is>
      </c>
      <c r="E194" s="31" t="inlineStr">
        <is>
          <t>industrials</t>
        </is>
      </c>
      <c r="F194" s="31" t="inlineStr">
        <is>
          <t>steel - large</t>
        </is>
      </c>
      <c r="G194" s="31" t="inlineStr">
        <is>
          <t>midcap</t>
        </is>
      </c>
      <c r="H194" s="32" t="n">
        <v>18651.26</v>
      </c>
      <c r="I194" s="32" t="n">
        <v>287.25</v>
      </c>
      <c r="J194" s="32" t="n">
        <v>-1.51</v>
      </c>
      <c r="K194" s="32" t="n">
        <v>2144294</v>
      </c>
      <c r="L194" s="31" t="inlineStr"/>
      <c r="M194" s="31" t="inlineStr"/>
      <c r="N194" s="32">
        <f>IF(M194="Underperforming",-5,IF(L194&gt;=95,15,IF(L194&gt;=90,10,IF(L194&gt;=80,5,0))))</f>
        <v/>
      </c>
      <c r="O194" s="32" t="n">
        <v>67.72</v>
      </c>
      <c r="P194" s="32" t="n">
        <v>44.18</v>
      </c>
      <c r="Q194" s="32" t="inlineStr"/>
      <c r="R194" s="31" t="inlineStr">
        <is>
          <t>Earnings / Momentum Support</t>
        </is>
      </c>
      <c r="S194" s="31" t="inlineStr">
        <is>
          <t>Nifty Metal</t>
        </is>
      </c>
      <c r="T194" s="32" t="inlineStr"/>
      <c r="U194" s="32" t="inlineStr"/>
      <c r="V194" s="32" t="inlineStr"/>
      <c r="W194" s="32" t="inlineStr"/>
      <c r="X194" s="31" t="inlineStr">
        <is>
          <t>Cyclical in an Upturn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Headwind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Above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3</t>
        </is>
      </c>
      <c r="BC194" s="31">
        <f>IF(BB194="Stage 2",20,IF(BB194="Stage 1",0,IF(BB194="Stage 3",5,IF(BB194="Stage 4",-5,0))))</f>
        <v/>
      </c>
      <c r="BD194" s="31" t="inlineStr">
        <is>
          <t>Negative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Less than 12%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IF(B195=0,"",RANK(B195,$B$2:$B$389,0))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NAZARA</t>
        </is>
      </c>
      <c r="D195" s="31" t="inlineStr">
        <is>
          <t>Nazara Technologies Ltd</t>
        </is>
      </c>
      <c r="E195" s="31" t="inlineStr">
        <is>
          <t>i.t</t>
        </is>
      </c>
      <c r="F195" s="31" t="inlineStr">
        <is>
          <t>telecommunications - service provider</t>
        </is>
      </c>
      <c r="G195" s="31" t="inlineStr">
        <is>
          <t>midcap</t>
        </is>
      </c>
      <c r="H195" s="32" t="n">
        <v>13631.7</v>
      </c>
      <c r="I195" s="32" t="n">
        <v>347.95</v>
      </c>
      <c r="J195" s="32" t="n">
        <v>-1.81</v>
      </c>
      <c r="K195" s="32" t="n">
        <v>1360636</v>
      </c>
      <c r="L195" s="31" t="n">
        <v>42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71.92</v>
      </c>
      <c r="P195" s="32" t="n">
        <v>23.7</v>
      </c>
      <c r="Q195" s="32" t="inlineStr"/>
      <c r="R195" s="31" t="inlineStr">
        <is>
          <t>Earnings / Momentum Support</t>
        </is>
      </c>
      <c r="S195" s="31" t="inlineStr">
        <is>
          <t>Nifty IT</t>
        </is>
      </c>
      <c r="T195" s="32" t="n">
        <v>-13.85</v>
      </c>
      <c r="U195" s="32" t="n">
        <v>22.51</v>
      </c>
      <c r="V195" s="32" t="n">
        <v>42.2</v>
      </c>
      <c r="W195" s="32" t="n">
        <v>9.75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Oligopoly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Yes</t>
        </is>
      </c>
      <c r="AC195" s="31">
        <f>IF(AB195="No",5,0)</f>
        <v/>
      </c>
      <c r="AD195" s="31" t="inlineStr">
        <is>
          <t>Headwind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3</t>
        </is>
      </c>
      <c r="BC195" s="31">
        <f>IF(BB195="Stage 2",20,IF(BB195="Stage 1",0,IF(BB195="Stage 3",5,IF(BB195="Stage 4",-5,0))))</f>
        <v/>
      </c>
      <c r="BD195" s="31" t="inlineStr">
        <is>
          <t>Negative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IF(B196=0,"",RANK(B196,$B$2:$B$389,0))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HAL</t>
        </is>
      </c>
      <c r="D196" s="31" t="inlineStr">
        <is>
          <t>Hindustan Aeronautics Ltd</t>
        </is>
      </c>
      <c r="E196" s="31" t="inlineStr">
        <is>
          <t>aerospace &amp; defence</t>
        </is>
      </c>
      <c r="F196" s="31" t="inlineStr">
        <is>
          <t>engineering</t>
        </is>
      </c>
      <c r="G196" s="31" t="inlineStr">
        <is>
          <t>largecap</t>
        </is>
      </c>
      <c r="H196" s="32" t="n">
        <v>334387.5</v>
      </c>
      <c r="I196" s="32" t="n">
        <v>4906</v>
      </c>
      <c r="J196" s="32" t="n">
        <v>-1.88</v>
      </c>
      <c r="K196" s="32" t="n">
        <v>632401</v>
      </c>
      <c r="L196" s="31" t="n">
        <v>26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66.65000000000001</v>
      </c>
      <c r="P196" s="32" t="n">
        <v>27.28</v>
      </c>
      <c r="Q196" s="32" t="inlineStr"/>
      <c r="R196" s="31" t="inlineStr">
        <is>
          <t>Earnings / Momentum Support</t>
        </is>
      </c>
      <c r="S196" s="31" t="inlineStr">
        <is>
          <t>Nifty 50</t>
        </is>
      </c>
      <c r="T196" s="32" t="n">
        <v>-2.49</v>
      </c>
      <c r="U196" s="32" t="n">
        <v>12.94</v>
      </c>
      <c r="V196" s="32" t="n">
        <v>15.82</v>
      </c>
      <c r="W196" s="32" t="n">
        <v>5.67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Headwind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3</t>
        </is>
      </c>
      <c r="BC196" s="31">
        <f>IF(BB196="Stage 2",20,IF(BB196="Stage 1",0,IF(BB196="Stage 3",5,IF(BB196="Stage 4",-5,0))))</f>
        <v/>
      </c>
      <c r="BD196" s="31" t="inlineStr">
        <is>
          <t>Negative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Between 12 to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IF(B197=0,"",RANK(B197,$B$2:$B$389,0))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THELEELA</t>
        </is>
      </c>
      <c r="D197" s="31" t="inlineStr">
        <is>
          <t>Leela Palaces Hotels &amp; Resorts Ltd</t>
        </is>
      </c>
      <c r="E197" s="31" t="inlineStr">
        <is>
          <t>services</t>
        </is>
      </c>
      <c r="F197" s="31" t="inlineStr">
        <is>
          <t>hotels</t>
        </is>
      </c>
      <c r="G197" s="31" t="inlineStr">
        <is>
          <t>midcap</t>
        </is>
      </c>
      <c r="H197" s="32" t="n">
        <v>18758.41</v>
      </c>
      <c r="I197" s="32" t="n">
        <v>549.7</v>
      </c>
      <c r="J197" s="32" t="n">
        <v>-2.14</v>
      </c>
      <c r="K197" s="32" t="n">
        <v>521857</v>
      </c>
      <c r="L197" s="31" t="n">
        <v>58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70.86</v>
      </c>
      <c r="P197" s="32" t="n">
        <v>33.21</v>
      </c>
      <c r="Q197" s="32" t="inlineStr"/>
      <c r="R197" s="31" t="inlineStr">
        <is>
          <t>Earnings / Momentum Support</t>
        </is>
      </c>
      <c r="S197" s="31" t="inlineStr">
        <is>
          <t>Nifty 50</t>
        </is>
      </c>
      <c r="T197" s="32" t="n">
        <v>-2.49</v>
      </c>
      <c r="U197" s="32" t="n">
        <v>33.53</v>
      </c>
      <c r="V197" s="32" t="n">
        <v>36.93</v>
      </c>
      <c r="W197" s="32" t="n">
        <v>13.85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Headwind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3</t>
        </is>
      </c>
      <c r="BC197" s="31">
        <f>IF(BB197="Stage 2",20,IF(BB197="Stage 1",0,IF(BB197="Stage 3",5,IF(BB197="Stage 4",-5,0))))</f>
        <v/>
      </c>
      <c r="BD197" s="31" t="inlineStr">
        <is>
          <t>Negative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IF(B198=0,"",RANK(B198,$B$2:$B$389,0))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BOSCH-HCIL</t>
        </is>
      </c>
      <c r="D198" s="31" t="inlineStr">
        <is>
          <t>Bosch Home Comfort India Ltd</t>
        </is>
      </c>
      <c r="E198" s="31" t="inlineStr">
        <is>
          <t>consumer discretionary</t>
        </is>
      </c>
      <c r="F198" s="31" t="inlineStr">
        <is>
          <t>air-conditioners</t>
        </is>
      </c>
      <c r="G198" s="31" t="inlineStr">
        <is>
          <t>smallcap</t>
        </is>
      </c>
      <c r="H198" s="32" t="n">
        <v>4691.24</v>
      </c>
      <c r="I198" s="32" t="n">
        <v>1680</v>
      </c>
      <c r="J198" s="32" t="n">
        <v>-2.63</v>
      </c>
      <c r="K198" s="32" t="n">
        <v>76692</v>
      </c>
      <c r="L198" s="31" t="n">
        <v>30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69.5</v>
      </c>
      <c r="P198" s="32" t="n">
        <v>21.48</v>
      </c>
      <c r="Q198" s="32" t="inlineStr"/>
      <c r="R198" s="31" t="inlineStr">
        <is>
          <t>Earnings / Momentum Support</t>
        </is>
      </c>
      <c r="S198" s="31" t="inlineStr">
        <is>
          <t>Nifty 50</t>
        </is>
      </c>
      <c r="T198" s="32" t="n">
        <v>-2.49</v>
      </c>
      <c r="U198" s="32" t="n">
        <v>-0.62</v>
      </c>
      <c r="V198" s="32" t="n">
        <v>1.92</v>
      </c>
      <c r="W198" s="32" t="n">
        <v>6.32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Headwind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3</t>
        </is>
      </c>
      <c r="BC198" s="31">
        <f>IF(BB198="Stage 2",20,IF(BB198="Stage 1",0,IF(BB198="Stage 3",5,IF(BB198="Stage 4",-5,0))))</f>
        <v/>
      </c>
      <c r="BD198" s="31" t="inlineStr">
        <is>
          <t>Negative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IF(B199=0,"",RANK(B199,$B$2:$B$389,0))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UNIVASTU</t>
        </is>
      </c>
      <c r="D199" s="31" t="inlineStr">
        <is>
          <t>Univastu India Ltd</t>
        </is>
      </c>
      <c r="E199" s="31" t="inlineStr">
        <is>
          <t>realty</t>
        </is>
      </c>
      <c r="F199" s="31" t="inlineStr">
        <is>
          <t>construction</t>
        </is>
      </c>
      <c r="G199" s="31" t="inlineStr">
        <is>
          <t>smallcap</t>
        </is>
      </c>
      <c r="H199" s="32" t="n">
        <v>648.29</v>
      </c>
      <c r="I199" s="32" t="n">
        <v>164.47</v>
      </c>
      <c r="J199" s="32" t="n">
        <v>-4.13</v>
      </c>
      <c r="K199" s="32" t="n">
        <v>89396</v>
      </c>
      <c r="L199" s="31" t="inlineStr"/>
      <c r="M199" s="31" t="inlineStr"/>
      <c r="N199" s="32">
        <f>IF(M199="Underperforming",-5,IF(L199&gt;=95,15,IF(L199&gt;=90,10,IF(L199&gt;=80,5,0))))</f>
        <v/>
      </c>
      <c r="O199" s="32" t="n">
        <v>88.89</v>
      </c>
      <c r="P199" s="32" t="n">
        <v>75</v>
      </c>
      <c r="Q199" s="32" t="inlineStr"/>
      <c r="R199" s="31" t="inlineStr">
        <is>
          <t>Earnings / Momentum Support</t>
        </is>
      </c>
      <c r="S199" s="31" t="inlineStr">
        <is>
          <t>Nifty Realty</t>
        </is>
      </c>
      <c r="T199" s="32" t="inlineStr"/>
      <c r="U199" s="32" t="inlineStr"/>
      <c r="V199" s="32" t="inlineStr"/>
      <c r="W199" s="32" t="inlineStr"/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Headwind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Above 40</t>
        </is>
      </c>
      <c r="AY199" s="31">
        <f>IF(AX199="Above 40",20,IF(AX199="20 to 40",10,IF(AX199="0 to 20",-5,0)))</f>
        <v/>
      </c>
      <c r="AZ199" s="31" t="inlineStr">
        <is>
          <t>Above 75</t>
        </is>
      </c>
      <c r="BA199" s="31">
        <f>IF(AZ199="Between 50 to 75",10,IF(AZ199="Above 75",0,0))</f>
        <v/>
      </c>
      <c r="BB199" s="31" t="inlineStr">
        <is>
          <t>Stage 3</t>
        </is>
      </c>
      <c r="BC199" s="31">
        <f>IF(BB199="Stage 2",20,IF(BB199="Stage 1",0,IF(BB199="Stage 3",5,IF(BB199="Stage 4",-5,0))))</f>
        <v/>
      </c>
      <c r="BD199" s="31" t="inlineStr">
        <is>
          <t>Negative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IF(B200=0,"",RANK(B200,$B$2:$B$389,0))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3" t="inlineStr">
        <is>
          <t>THEMISMED</t>
        </is>
      </c>
      <c r="D200" s="33" t="inlineStr">
        <is>
          <t>Themis Medicare Limited</t>
        </is>
      </c>
      <c r="E200" s="31" t="inlineStr">
        <is>
          <t>healthcare</t>
        </is>
      </c>
      <c r="F200" s="31" t="inlineStr">
        <is>
          <t>pharmaceuticals - indian - bulk drugs &amp; formln</t>
        </is>
      </c>
      <c r="G200" s="31" t="inlineStr">
        <is>
          <t>smallcap</t>
        </is>
      </c>
      <c r="H200" s="32" t="n">
        <v>977.55</v>
      </c>
      <c r="I200" s="32" t="n">
        <v>120.81</v>
      </c>
      <c r="J200" s="32" t="n">
        <v>13.82</v>
      </c>
      <c r="K200" s="32" t="n">
        <v>1461744</v>
      </c>
      <c r="L200" s="31" t="n">
        <v>13</v>
      </c>
      <c r="M200" s="31" t="inlineStr">
        <is>
          <t>Underperforming</t>
        </is>
      </c>
      <c r="N200" s="32">
        <f>IF(M200="Underperforming",-5,IF(L200&gt;=95,15,IF(L200&gt;=90,10,IF(L200&gt;=80,5,0))))</f>
        <v/>
      </c>
      <c r="O200" s="32" t="n">
        <v>51.93</v>
      </c>
      <c r="P200" s="32" t="n">
        <v>34.05</v>
      </c>
      <c r="Q200" s="32" t="inlineStr"/>
      <c r="R200" s="31" t="inlineStr">
        <is>
          <t>Earnings / Momentum Support</t>
        </is>
      </c>
      <c r="S200" s="31" t="inlineStr">
        <is>
          <t>Nifty Pharma</t>
        </is>
      </c>
      <c r="T200" s="32" t="n">
        <v>18.39</v>
      </c>
      <c r="U200" s="32" t="n">
        <v>2.88</v>
      </c>
      <c r="V200" s="32" t="n">
        <v>-13.1</v>
      </c>
      <c r="W200" s="32" t="n">
        <v>2.21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Yes</t>
        </is>
      </c>
      <c r="AC200" s="31">
        <f>IF(AB200="No",5,0)</f>
        <v/>
      </c>
      <c r="AD200" s="31" t="inlineStr">
        <is>
          <t>Headwind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Annuity, Lower One Time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3</t>
        </is>
      </c>
      <c r="BC200" s="31">
        <f>IF(BB200="Stage 2",20,IF(BB200="Stage 1",0,IF(BB200="Stage 3",5,IF(BB200="Stage 4",-5,0))))</f>
        <v/>
      </c>
      <c r="BD200" s="31" t="inlineStr">
        <is>
          <t>Negative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IF(B201=0,"",RANK(B201,$B$2:$B$389,0))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BAJAJHIND</t>
        </is>
      </c>
      <c r="D201" s="31" t="inlineStr">
        <is>
          <t>Bajaj Hindusthan Sugar Limited</t>
        </is>
      </c>
      <c r="E201" s="31" t="inlineStr">
        <is>
          <t>fmcg</t>
        </is>
      </c>
      <c r="F201" s="31" t="inlineStr">
        <is>
          <t>sugar</t>
        </is>
      </c>
      <c r="G201" s="31" t="inlineStr">
        <is>
          <t>midcap</t>
        </is>
      </c>
      <c r="H201" s="32" t="n">
        <v>5529.61</v>
      </c>
      <c r="I201" s="32" t="n">
        <v>24.23</v>
      </c>
      <c r="J201" s="32" t="n">
        <v>4.76</v>
      </c>
      <c r="K201" s="32" t="n">
        <v>269992670</v>
      </c>
      <c r="L201" s="31" t="inlineStr"/>
      <c r="M201" s="31" t="inlineStr"/>
      <c r="N201" s="32">
        <f>IF(M201="Underperforming",-5,IF(L201&gt;=95,15,IF(L201&gt;=90,10,IF(L201&gt;=80,5,0))))</f>
        <v/>
      </c>
      <c r="O201" s="32" t="n">
        <v>68.7</v>
      </c>
      <c r="P201" s="32" t="n">
        <v>13.65</v>
      </c>
      <c r="Q201" s="32" t="inlineStr"/>
      <c r="R201" s="31" t="inlineStr">
        <is>
          <t>Volume Spike / Accumulation</t>
        </is>
      </c>
      <c r="S201" s="31" t="inlineStr">
        <is>
          <t>Nifty FMCG</t>
        </is>
      </c>
      <c r="T201" s="32" t="inlineStr"/>
      <c r="U201" s="32" t="inlineStr"/>
      <c r="V201" s="32" t="inlineStr"/>
      <c r="W201" s="32" t="inlineStr"/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Headwind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B2C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Annuity, Lower One Time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0 to 20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3</t>
        </is>
      </c>
      <c r="BC201" s="31">
        <f>IF(BB201="Stage 2",20,IF(BB201="Stage 1",0,IF(BB201="Stage 3",5,IF(BB201="Stage 4",-5,0))))</f>
        <v/>
      </c>
      <c r="BD201" s="31" t="inlineStr">
        <is>
          <t>Negative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Between 0.7 to 1.2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IF(B202=0,"",RANK(B202,$B$2:$B$389,0))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ARTEMISMED</t>
        </is>
      </c>
      <c r="D202" s="31" t="inlineStr">
        <is>
          <t>Artemis Medicare Services Ltd</t>
        </is>
      </c>
      <c r="E202" s="31" t="inlineStr">
        <is>
          <t>healthcare</t>
        </is>
      </c>
      <c r="F202" s="31" t="inlineStr">
        <is>
          <t>healthcare</t>
        </is>
      </c>
      <c r="G202" s="31" t="inlineStr">
        <is>
          <t>midcap</t>
        </is>
      </c>
      <c r="H202" s="32" t="n">
        <v>5162.37</v>
      </c>
      <c r="I202" s="32" t="n">
        <v>328.9</v>
      </c>
      <c r="J202" s="32" t="n">
        <v>0.86</v>
      </c>
      <c r="K202" s="32" t="n">
        <v>537116</v>
      </c>
      <c r="L202" s="31" t="n">
        <v>49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73</v>
      </c>
      <c r="P202" s="32" t="n">
        <v>32.64</v>
      </c>
      <c r="Q202" s="32" t="inlineStr"/>
      <c r="R202" s="31" t="inlineStr">
        <is>
          <t>Earnings / Momentum Support</t>
        </is>
      </c>
      <c r="S202" s="31" t="inlineStr">
        <is>
          <t>Nifty Pharma</t>
        </is>
      </c>
      <c r="T202" s="32" t="n">
        <v>18.39</v>
      </c>
      <c r="U202" s="32" t="n">
        <v>37.24</v>
      </c>
      <c r="V202" s="32" t="n">
        <v>15.92</v>
      </c>
      <c r="W202" s="32" t="n">
        <v>11.25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Yes</t>
        </is>
      </c>
      <c r="AC202" s="31">
        <f>IF(AB202="No",5,0)</f>
        <v/>
      </c>
      <c r="AD202" s="31" t="inlineStr">
        <is>
          <t>Headwind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Annuity, Lower One Time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3</t>
        </is>
      </c>
      <c r="BC202" s="31">
        <f>IF(BB202="Stage 2",20,IF(BB202="Stage 1",0,IF(BB202="Stage 3",5,IF(BB202="Stage 4",-5,0))))</f>
        <v/>
      </c>
      <c r="BD202" s="31" t="inlineStr">
        <is>
          <t>Negative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IF(B203=0,"",RANK(B203,$B$2:$B$389,0))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UNITDSPR</t>
        </is>
      </c>
      <c r="D203" s="31" t="inlineStr">
        <is>
          <t>United Spirits Ltd</t>
        </is>
      </c>
      <c r="E203" s="31" t="inlineStr">
        <is>
          <t>fmcg</t>
        </is>
      </c>
      <c r="F203" s="31" t="inlineStr">
        <is>
          <t>breweries &amp; distilleries</t>
        </is>
      </c>
      <c r="G203" s="31" t="inlineStr">
        <is>
          <t>largecap</t>
        </is>
      </c>
      <c r="H203" s="32" t="n">
        <v>113175.79</v>
      </c>
      <c r="I203" s="32" t="n">
        <v>1555</v>
      </c>
      <c r="J203" s="32" t="n">
        <v>-0.06</v>
      </c>
      <c r="K203" s="32" t="n">
        <v>392740</v>
      </c>
      <c r="L203" s="31" t="inlineStr"/>
      <c r="M203" s="31" t="inlineStr"/>
      <c r="N203" s="32">
        <f>IF(M203="Underperforming",-5,IF(L203&gt;=95,15,IF(L203&gt;=90,10,IF(L203&gt;=80,5,0))))</f>
        <v/>
      </c>
      <c r="O203" s="32" t="n">
        <v>70.17</v>
      </c>
      <c r="P203" s="32" t="n">
        <v>25.71</v>
      </c>
      <c r="Q203" s="32" t="inlineStr"/>
      <c r="R203" s="31" t="inlineStr">
        <is>
          <t>Earnings / Momentum Support</t>
        </is>
      </c>
      <c r="S203" s="31" t="inlineStr">
        <is>
          <t>Nifty FMCG</t>
        </is>
      </c>
      <c r="T203" s="32" t="inlineStr"/>
      <c r="U203" s="32" t="inlineStr"/>
      <c r="V203" s="32" t="inlineStr"/>
      <c r="W203" s="32" t="inlineStr"/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Headwind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B2C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Annuity, Lower One Time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3</t>
        </is>
      </c>
      <c r="BC203" s="31">
        <f>IF(BB203="Stage 2",20,IF(BB203="Stage 1",0,IF(BB203="Stage 3",5,IF(BB203="Stage 4",-5,0))))</f>
        <v/>
      </c>
      <c r="BD203" s="31" t="inlineStr">
        <is>
          <t>Negative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Less than 12%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IF(B204=0,"",RANK(B204,$B$2:$B$389,0))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DIVISLAB</t>
        </is>
      </c>
      <c r="D204" s="31" t="inlineStr">
        <is>
          <t>Divi's Laboratories Limited</t>
        </is>
      </c>
      <c r="E204" s="31" t="inlineStr">
        <is>
          <t>healthcare</t>
        </is>
      </c>
      <c r="F204" s="31" t="inlineStr">
        <is>
          <t>pharmaceuticals - indian - bulk drugs</t>
        </is>
      </c>
      <c r="G204" s="31" t="inlineStr">
        <is>
          <t>largecap</t>
        </is>
      </c>
      <c r="H204" s="32" t="n">
        <v>228223.34</v>
      </c>
      <c r="I204" s="32" t="n">
        <v>8496</v>
      </c>
      <c r="J204" s="32" t="n">
        <v>-1.17</v>
      </c>
      <c r="K204" s="32" t="n">
        <v>244114</v>
      </c>
      <c r="L204" s="31" t="n">
        <v>51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84.44</v>
      </c>
      <c r="P204" s="32" t="n">
        <v>36.73</v>
      </c>
      <c r="Q204" s="32" t="inlineStr"/>
      <c r="R204" s="31" t="inlineStr">
        <is>
          <t>Earnings / Momentum Support</t>
        </is>
      </c>
      <c r="S204" s="31" t="inlineStr">
        <is>
          <t>Nifty Pharma</t>
        </is>
      </c>
      <c r="T204" s="32" t="n">
        <v>18.39</v>
      </c>
      <c r="U204" s="32" t="n">
        <v>40.33</v>
      </c>
      <c r="V204" s="32" t="n">
        <v>18.53</v>
      </c>
      <c r="W204" s="32" t="n">
        <v>12.5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Yes</t>
        </is>
      </c>
      <c r="AC204" s="31">
        <f>IF(AB204="No",5,0)</f>
        <v/>
      </c>
      <c r="AD204" s="31" t="inlineStr">
        <is>
          <t>Headwind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Annuity, Lower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Above 75</t>
        </is>
      </c>
      <c r="BA204" s="31">
        <f>IF(AZ204="Between 50 to 75",10,IF(AZ204="Above 75",0,0))</f>
        <v/>
      </c>
      <c r="BB204" s="31" t="inlineStr">
        <is>
          <t>Stage 3</t>
        </is>
      </c>
      <c r="BC204" s="31">
        <f>IF(BB204="Stage 2",20,IF(BB204="Stage 1",0,IF(BB204="Stage 3",5,IF(BB204="Stage 4",-5,0))))</f>
        <v/>
      </c>
      <c r="BD204" s="31" t="inlineStr">
        <is>
          <t>Negative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Less than 1.5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IF(B205=0,"",RANK(B205,$B$2:$B$389,0))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3" t="inlineStr">
        <is>
          <t>PPLPHARMA</t>
        </is>
      </c>
      <c r="D205" s="33" t="inlineStr">
        <is>
          <t>Piramal Pharma Ltd</t>
        </is>
      </c>
      <c r="E205" s="31" t="inlineStr">
        <is>
          <t>healthcare</t>
        </is>
      </c>
      <c r="F205" s="31" t="inlineStr">
        <is>
          <t>pharmaceuticals - indian - bulk drugs &amp; formln</t>
        </is>
      </c>
      <c r="G205" s="31" t="inlineStr">
        <is>
          <t>largecap</t>
        </is>
      </c>
      <c r="H205" s="32" t="n">
        <v>28446.92</v>
      </c>
      <c r="I205" s="32" t="n">
        <v>211.15</v>
      </c>
      <c r="J205" s="32" t="n">
        <v>-1.18</v>
      </c>
      <c r="K205" s="32" t="n">
        <v>3275412</v>
      </c>
      <c r="L205" s="31" t="n">
        <v>32</v>
      </c>
      <c r="M205" s="31" t="inlineStr">
        <is>
          <t>Underperforming</t>
        </is>
      </c>
      <c r="N205" s="32">
        <f>IF(M205="Underperforming",-5,IF(L205&gt;=95,15,IF(L205&gt;=90,10,IF(L205&gt;=80,5,0))))</f>
        <v/>
      </c>
      <c r="O205" s="32" t="n">
        <v>71.37</v>
      </c>
      <c r="P205" s="32" t="n">
        <v>28.77</v>
      </c>
      <c r="Q205" s="32" t="inlineStr"/>
      <c r="R205" s="31" t="inlineStr">
        <is>
          <t>Earnings / Momentum Support</t>
        </is>
      </c>
      <c r="S205" s="31" t="inlineStr">
        <is>
          <t>Nifty Pharma</t>
        </is>
      </c>
      <c r="T205" s="32" t="n">
        <v>18.39</v>
      </c>
      <c r="U205" s="32" t="n">
        <v>10.85</v>
      </c>
      <c r="V205" s="32" t="n">
        <v>-6.37</v>
      </c>
      <c r="W205" s="32" t="n">
        <v>7.13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Yes</t>
        </is>
      </c>
      <c r="AC205" s="31">
        <f>IF(AB205="No",5,0)</f>
        <v/>
      </c>
      <c r="AD205" s="31" t="inlineStr">
        <is>
          <t>Headwind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Annuity, Lower One Time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3</t>
        </is>
      </c>
      <c r="BC205" s="31">
        <f>IF(BB205="Stage 2",20,IF(BB205="Stage 1",0,IF(BB205="Stage 3",5,IF(BB205="Stage 4",-5,0))))</f>
        <v/>
      </c>
      <c r="BD205" s="31" t="inlineStr">
        <is>
          <t>Negative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IF(B206=0,"",RANK(B206,$B$2:$B$389,0))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NEULANDLAB</t>
        </is>
      </c>
      <c r="D206" s="31" t="inlineStr">
        <is>
          <t>Neuland Laboratories Limited</t>
        </is>
      </c>
      <c r="E206" s="31" t="inlineStr">
        <is>
          <t>healthcare</t>
        </is>
      </c>
      <c r="F206" s="31" t="inlineStr">
        <is>
          <t>pharmaceuticals - indian - bulk drugs</t>
        </is>
      </c>
      <c r="G206" s="31" t="inlineStr">
        <is>
          <t>largecap</t>
        </is>
      </c>
      <c r="H206" s="32" t="n">
        <v>29894.92</v>
      </c>
      <c r="I206" s="32" t="n">
        <v>22901</v>
      </c>
      <c r="J206" s="32" t="n">
        <v>-1.72</v>
      </c>
      <c r="K206" s="32" t="n">
        <v>34682</v>
      </c>
      <c r="L206" s="31" t="n">
        <v>75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77.42</v>
      </c>
      <c r="P206" s="32" t="n">
        <v>56.28</v>
      </c>
      <c r="Q206" s="32" t="inlineStr"/>
      <c r="R206" s="31" t="inlineStr">
        <is>
          <t>Earnings / Momentum Support</t>
        </is>
      </c>
      <c r="S206" s="31" t="inlineStr">
        <is>
          <t>Nifty Pharma</t>
        </is>
      </c>
      <c r="T206" s="32" t="n">
        <v>18.39</v>
      </c>
      <c r="U206" s="32" t="n">
        <v>68.09</v>
      </c>
      <c r="V206" s="32" t="n">
        <v>41.98</v>
      </c>
      <c r="W206" s="32" t="n">
        <v>21.49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Yes</t>
        </is>
      </c>
      <c r="AC206" s="31">
        <f>IF(AB206="No",5,0)</f>
        <v/>
      </c>
      <c r="AD206" s="31" t="inlineStr">
        <is>
          <t>Headwind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Annuity, Lower One Time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Above 40</t>
        </is>
      </c>
      <c r="AY206" s="31">
        <f>IF(AX206="Above 40",20,IF(AX206="20 to 40",10,IF(AX206="0 to 20",-5,0)))</f>
        <v/>
      </c>
      <c r="AZ206" s="31" t="inlineStr">
        <is>
          <t>Above 75</t>
        </is>
      </c>
      <c r="BA206" s="31">
        <f>IF(AZ206="Between 50 to 75",10,IF(AZ206="Above 75",0,0))</f>
        <v/>
      </c>
      <c r="BB206" s="31" t="inlineStr">
        <is>
          <t>Stage 3</t>
        </is>
      </c>
      <c r="BC206" s="31">
        <f>IF(BB206="Stage 2",20,IF(BB206="Stage 1",0,IF(BB206="Stage 3",5,IF(BB206="Stage 4",-5,0))))</f>
        <v/>
      </c>
      <c r="BD206" s="31" t="inlineStr">
        <is>
          <t>Negative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IF(B207=0,"",RANK(B207,$B$2:$B$389,0))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BLSE</t>
        </is>
      </c>
      <c r="D207" s="31" t="inlineStr">
        <is>
          <t>BLS E-Services Ltd</t>
        </is>
      </c>
      <c r="E207" s="31" t="inlineStr">
        <is>
          <t>i.t</t>
        </is>
      </c>
      <c r="F207" s="31" t="inlineStr">
        <is>
          <t>computers - software - medium / small</t>
        </is>
      </c>
      <c r="G207" s="31" t="inlineStr">
        <is>
          <t>smallcap</t>
        </is>
      </c>
      <c r="H207" s="32" t="n">
        <v>2915.58</v>
      </c>
      <c r="I207" s="32" t="n">
        <v>315</v>
      </c>
      <c r="J207" s="32" t="n">
        <v>-1.84</v>
      </c>
      <c r="K207" s="32" t="n">
        <v>603147</v>
      </c>
      <c r="L207" s="31" t="n">
        <v>86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84.09999999999999</v>
      </c>
      <c r="P207" s="32" t="n">
        <v>53.69</v>
      </c>
      <c r="Q207" s="32" t="inlineStr"/>
      <c r="R207" s="31" t="inlineStr">
        <is>
          <t>Earnings / Momentum Support</t>
        </is>
      </c>
      <c r="S207" s="31" t="inlineStr">
        <is>
          <t>Nifty IT</t>
        </is>
      </c>
      <c r="T207" s="32" t="n">
        <v>-13.85</v>
      </c>
      <c r="U207" s="32" t="n">
        <v>80.34</v>
      </c>
      <c r="V207" s="32" t="n">
        <v>109.33</v>
      </c>
      <c r="W207" s="32" t="n">
        <v>26.7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Headwind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Annuity, Lower One Time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Above 40</t>
        </is>
      </c>
      <c r="AY207" s="31">
        <f>IF(AX207="Above 40",20,IF(AX207="20 to 40",10,IF(AX207="0 to 20",-5,0)))</f>
        <v/>
      </c>
      <c r="AZ207" s="31" t="inlineStr">
        <is>
          <t>Above 75</t>
        </is>
      </c>
      <c r="BA207" s="31">
        <f>IF(AZ207="Between 50 to 75",10,IF(AZ207="Above 75",0,0))</f>
        <v/>
      </c>
      <c r="BB207" s="31" t="inlineStr">
        <is>
          <t>Stage 3</t>
        </is>
      </c>
      <c r="BC207" s="31">
        <f>IF(BB207="Stage 2",20,IF(BB207="Stage 1",0,IF(BB207="Stage 3",5,IF(BB207="Stage 4",-5,0))))</f>
        <v/>
      </c>
      <c r="BD207" s="31" t="inlineStr">
        <is>
          <t>Negative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Less than 12%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IF(B208=0,"",RANK(B208,$B$2:$B$389,0))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3" t="inlineStr">
        <is>
          <t>CONCORDBIO</t>
        </is>
      </c>
      <c r="D208" s="33" t="inlineStr">
        <is>
          <t>Concord Biotech Ltd</t>
        </is>
      </c>
      <c r="E208" s="31" t="inlineStr">
        <is>
          <t>healthcare</t>
        </is>
      </c>
      <c r="F208" s="31" t="inlineStr">
        <is>
          <t>pharmaceuticals - indian - bulk drugs &amp; formln</t>
        </is>
      </c>
      <c r="G208" s="31" t="inlineStr">
        <is>
          <t>midcap</t>
        </is>
      </c>
      <c r="H208" s="32" t="n">
        <v>16438.34</v>
      </c>
      <c r="I208" s="32" t="n">
        <v>1539.4</v>
      </c>
      <c r="J208" s="32" t="n">
        <v>-2.03</v>
      </c>
      <c r="K208" s="32" t="n">
        <v>165190</v>
      </c>
      <c r="L208" s="31" t="n">
        <v>34</v>
      </c>
      <c r="M208" s="31" t="inlineStr">
        <is>
          <t>Underperforming</t>
        </is>
      </c>
      <c r="N208" s="32">
        <f>IF(M208="Underperforming",-5,IF(L208&gt;=95,15,IF(L208&gt;=90,10,IF(L208&gt;=80,5,0))))</f>
        <v/>
      </c>
      <c r="O208" s="32" t="n">
        <v>64.37</v>
      </c>
      <c r="P208" s="32" t="n">
        <v>20.73</v>
      </c>
      <c r="Q208" s="32" t="inlineStr"/>
      <c r="R208" s="31" t="inlineStr">
        <is>
          <t>Earnings / Momentum Support</t>
        </is>
      </c>
      <c r="S208" s="31" t="inlineStr">
        <is>
          <t>Nifty Pharma</t>
        </is>
      </c>
      <c r="T208" s="32" t="n">
        <v>18.39</v>
      </c>
      <c r="U208" s="32" t="n">
        <v>-10</v>
      </c>
      <c r="V208" s="32" t="n">
        <v>-23.98</v>
      </c>
      <c r="W208" s="32" t="n">
        <v>7.47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Yes</t>
        </is>
      </c>
      <c r="AC208" s="31">
        <f>IF(AB208="No",5,0)</f>
        <v/>
      </c>
      <c r="AD208" s="31" t="inlineStr">
        <is>
          <t>Headwind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Annuity, Lower One Time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3</t>
        </is>
      </c>
      <c r="BC208" s="31">
        <f>IF(BB208="Stage 2",20,IF(BB208="Stage 1",0,IF(BB208="Stage 3",5,IF(BB208="Stage 4",-5,0))))</f>
        <v/>
      </c>
      <c r="BD208" s="31" t="inlineStr">
        <is>
          <t>Negative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Between 1.5 to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IF(B209=0,"",RANK(B209,$B$2:$B$389,0))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SUBEXLTD</t>
        </is>
      </c>
      <c r="D209" s="31" t="inlineStr">
        <is>
          <t>Subex Ltd</t>
        </is>
      </c>
      <c r="E209" s="31" t="inlineStr">
        <is>
          <t>i.t</t>
        </is>
      </c>
      <c r="F209" s="31" t="inlineStr">
        <is>
          <t>computers - software - medium / small</t>
        </is>
      </c>
      <c r="G209" s="31" t="inlineStr">
        <is>
          <t>smallcap</t>
        </is>
      </c>
      <c r="H209" s="32" t="n">
        <v>1048.7</v>
      </c>
      <c r="I209" s="32" t="n">
        <v>18.25</v>
      </c>
      <c r="J209" s="32" t="n">
        <v>-2.2</v>
      </c>
      <c r="K209" s="32" t="n">
        <v>12131177</v>
      </c>
      <c r="L209" s="31" t="n">
        <v>83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77.26000000000001</v>
      </c>
      <c r="P209" s="32" t="n">
        <v>29.94</v>
      </c>
      <c r="Q209" s="32" t="inlineStr"/>
      <c r="R209" s="31" t="inlineStr">
        <is>
          <t>Earnings / Momentum Support</t>
        </is>
      </c>
      <c r="S209" s="31" t="inlineStr">
        <is>
          <t>Nifty IT</t>
        </is>
      </c>
      <c r="T209" s="32" t="n">
        <v>-13.85</v>
      </c>
      <c r="U209" s="32" t="n">
        <v>41.69</v>
      </c>
      <c r="V209" s="32" t="n">
        <v>64.45999999999999</v>
      </c>
      <c r="W209" s="32" t="n">
        <v>24.7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Headwind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Annuity, Lower One Time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Above 75</t>
        </is>
      </c>
      <c r="BA209" s="31">
        <f>IF(AZ209="Between 50 to 75",10,IF(AZ209="Above 75",0,0))</f>
        <v/>
      </c>
      <c r="BB209" s="31" t="inlineStr">
        <is>
          <t>Stage 3</t>
        </is>
      </c>
      <c r="BC209" s="31">
        <f>IF(BB209="Stage 2",20,IF(BB209="Stage 1",0,IF(BB209="Stage 3",5,IF(BB209="Stage 4",-5,0))))</f>
        <v/>
      </c>
      <c r="BD209" s="31" t="inlineStr">
        <is>
          <t>Negative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Between 12 to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IF(B210=0,"",RANK(B210,$B$2:$B$389,0))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3" t="inlineStr">
        <is>
          <t>OPTIEMUS</t>
        </is>
      </c>
      <c r="D210" s="33" t="inlineStr">
        <is>
          <t>Optiemus Infracom Ltd</t>
        </is>
      </c>
      <c r="E210" s="31" t="inlineStr">
        <is>
          <t>telecom</t>
        </is>
      </c>
      <c r="F210" s="31" t="inlineStr">
        <is>
          <t>trading</t>
        </is>
      </c>
      <c r="G210" s="31" t="inlineStr">
        <is>
          <t>smallcap</t>
        </is>
      </c>
      <c r="H210" s="32" t="n">
        <v>4870.79</v>
      </c>
      <c r="I210" s="32" t="n">
        <v>585.7</v>
      </c>
      <c r="J210" s="32" t="n">
        <v>8.42</v>
      </c>
      <c r="K210" s="32" t="n">
        <v>2451071</v>
      </c>
      <c r="L210" s="31" t="n">
        <v>26</v>
      </c>
      <c r="M210" s="31" t="inlineStr">
        <is>
          <t>Underperforming</t>
        </is>
      </c>
      <c r="N210" s="32">
        <f>IF(M210="Underperforming",-5,IF(L210&gt;=95,15,IF(L210&gt;=90,10,IF(L210&gt;=80,5,0))))</f>
        <v/>
      </c>
      <c r="O210" s="32" t="n">
        <v>55.91</v>
      </c>
      <c r="P210" s="32" t="n">
        <v>30.67</v>
      </c>
      <c r="Q210" s="32" t="inlineStr"/>
      <c r="R210" s="31" t="inlineStr">
        <is>
          <t>Earnings / Momentum Support</t>
        </is>
      </c>
      <c r="S210" s="31" t="inlineStr">
        <is>
          <t>Nifty 50</t>
        </is>
      </c>
      <c r="T210" s="32" t="n">
        <v>-2.49</v>
      </c>
      <c r="U210" s="32" t="n">
        <v>-7.96</v>
      </c>
      <c r="V210" s="32" t="n">
        <v>-5.61</v>
      </c>
      <c r="W210" s="32" t="n">
        <v>5.51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Oligopoly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Yes</t>
        </is>
      </c>
      <c r="AC210" s="31">
        <f>IF(AB210="No",5,0)</f>
        <v/>
      </c>
      <c r="AD210" s="31" t="inlineStr">
        <is>
          <t>Headwind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3</t>
        </is>
      </c>
      <c r="BC210" s="31">
        <f>IF(BB210="Stage 2",20,IF(BB210="Stage 1",0,IF(BB210="Stage 3",5,IF(BB210="Stage 4",-5,0))))</f>
        <v/>
      </c>
      <c r="BD210" s="31" t="inlineStr">
        <is>
          <t>Negative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Between 1.5 to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IF(B211=0,"",RANK(B211,$B$2:$B$389,0))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SHREEPUSHK</t>
        </is>
      </c>
      <c r="D211" s="31" t="inlineStr">
        <is>
          <t>Shree Pushkar Chemicals &amp; Fertilisers Limited</t>
        </is>
      </c>
      <c r="E211" s="31" t="inlineStr">
        <is>
          <t>chemicals</t>
        </is>
      </c>
      <c r="F211" s="31" t="inlineStr">
        <is>
          <t>dyes and pigments</t>
        </is>
      </c>
      <c r="G211" s="31" t="inlineStr">
        <is>
          <t>smallcap</t>
        </is>
      </c>
      <c r="H211" s="32" t="n">
        <v>1297.23</v>
      </c>
      <c r="I211" s="32" t="n">
        <v>426.9</v>
      </c>
      <c r="J211" s="32" t="n">
        <v>6.42</v>
      </c>
      <c r="K211" s="32" t="n">
        <v>306964</v>
      </c>
      <c r="L211" s="31" t="n">
        <v>38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55.04</v>
      </c>
      <c r="P211" s="32" t="n">
        <v>33.37</v>
      </c>
      <c r="Q211" s="32" t="inlineStr"/>
      <c r="R211" s="31" t="inlineStr">
        <is>
          <t>Earnings / Momentum Support</t>
        </is>
      </c>
      <c r="S211" s="31" t="inlineStr">
        <is>
          <t>Nifty 50</t>
        </is>
      </c>
      <c r="T211" s="32" t="n">
        <v>-2.49</v>
      </c>
      <c r="U211" s="32" t="n">
        <v>20.71</v>
      </c>
      <c r="V211" s="32" t="n">
        <v>23.78</v>
      </c>
      <c r="W211" s="32" t="n">
        <v>8.02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Headwind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3</t>
        </is>
      </c>
      <c r="BC211" s="31">
        <f>IF(BB211="Stage 2",20,IF(BB211="Stage 1",0,IF(BB211="Stage 3",5,IF(BB211="Stage 4",-5,0))))</f>
        <v/>
      </c>
      <c r="BD211" s="31" t="inlineStr">
        <is>
          <t>Negative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Less than 12%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IF(B212=0,"",RANK(B212,$B$2:$B$389,0))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3" t="inlineStr">
        <is>
          <t>VIDHIING</t>
        </is>
      </c>
      <c r="D212" s="33" t="inlineStr">
        <is>
          <t>Vidhi Specialty Food Ingredients</t>
        </is>
      </c>
      <c r="E212" s="31" t="inlineStr">
        <is>
          <t>chemicals</t>
        </is>
      </c>
      <c r="F212" s="31" t="inlineStr">
        <is>
          <t>dyes and pigments</t>
        </is>
      </c>
      <c r="G212" s="31" t="inlineStr">
        <is>
          <t>smallcap</t>
        </is>
      </c>
      <c r="H212" s="32" t="n">
        <v>1640.94</v>
      </c>
      <c r="I212" s="32" t="n">
        <v>349</v>
      </c>
      <c r="J212" s="32" t="n">
        <v>6.22</v>
      </c>
      <c r="K212" s="32" t="n">
        <v>152800</v>
      </c>
      <c r="L212" s="31" t="n">
        <v>8</v>
      </c>
      <c r="M212" s="31" t="inlineStr">
        <is>
          <t>Underperforming</t>
        </is>
      </c>
      <c r="N212" s="32">
        <f>IF(M212="Underperforming",-5,IF(L212&gt;=95,15,IF(L212&gt;=90,10,IF(L212&gt;=80,5,0))))</f>
        <v/>
      </c>
      <c r="O212" s="32" t="n">
        <v>56.79</v>
      </c>
      <c r="P212" s="32" t="n">
        <v>14.27</v>
      </c>
      <c r="Q212" s="32" t="inlineStr"/>
      <c r="R212" s="31" t="inlineStr">
        <is>
          <t>Earnings / Momentum Support</t>
        </is>
      </c>
      <c r="S212" s="31" t="inlineStr">
        <is>
          <t>Nifty 50</t>
        </is>
      </c>
      <c r="T212" s="32" t="n">
        <v>-2.49</v>
      </c>
      <c r="U212" s="32" t="n">
        <v>-10.46</v>
      </c>
      <c r="V212" s="32" t="n">
        <v>-8.18</v>
      </c>
      <c r="W212" s="32" t="n">
        <v>0.51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Headwind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0 to 20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3</t>
        </is>
      </c>
      <c r="BC212" s="31">
        <f>IF(BB212="Stage 2",20,IF(BB212="Stage 1",0,IF(BB212="Stage 3",5,IF(BB212="Stage 4",-5,0))))</f>
        <v/>
      </c>
      <c r="BD212" s="31" t="inlineStr">
        <is>
          <t>Negative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Less than 1.5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IF(B213=0,"",RANK(B213,$B$2:$B$389,0))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SMARTWORKS</t>
        </is>
      </c>
      <c r="D213" s="31" t="inlineStr">
        <is>
          <t>Smartworks Coworking Spaces Ltd</t>
        </is>
      </c>
      <c r="E213" s="31" t="inlineStr">
        <is>
          <t>co-working</t>
        </is>
      </c>
      <c r="F213" s="31" t="inlineStr">
        <is>
          <t>miscellaneous</t>
        </is>
      </c>
      <c r="G213" s="31" t="inlineStr">
        <is>
          <t>midcap</t>
        </is>
      </c>
      <c r="H213" s="32" t="n">
        <v>5978.76</v>
      </c>
      <c r="I213" s="32" t="n">
        <v>550.5</v>
      </c>
      <c r="J213" s="32" t="n">
        <v>5.21</v>
      </c>
      <c r="K213" s="32" t="n">
        <v>696042</v>
      </c>
      <c r="L213" s="31" t="n">
        <v>24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61.27</v>
      </c>
      <c r="P213" s="32" t="n">
        <v>30.54</v>
      </c>
      <c r="Q213" s="32" t="inlineStr"/>
      <c r="R213" s="31" t="inlineStr">
        <is>
          <t>Earnings / Momentum Support</t>
        </is>
      </c>
      <c r="S213" s="31" t="inlineStr">
        <is>
          <t>Nifty 50</t>
        </is>
      </c>
      <c r="T213" s="32" t="n">
        <v>-2.49</v>
      </c>
      <c r="U213" s="32" t="n">
        <v>6.55</v>
      </c>
      <c r="V213" s="32" t="n">
        <v>9.26</v>
      </c>
      <c r="W213" s="32" t="n">
        <v>5.32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Headwind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3</t>
        </is>
      </c>
      <c r="BC213" s="31">
        <f>IF(BB213="Stage 2",20,IF(BB213="Stage 1",0,IF(BB213="Stage 3",5,IF(BB213="Stage 4",-5,0))))</f>
        <v/>
      </c>
      <c r="BD213" s="31" t="inlineStr">
        <is>
          <t>Negative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More than 1.2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IF(B214=0,"",RANK(B214,$B$2:$B$389,0))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PTCIL</t>
        </is>
      </c>
      <c r="D214" s="31" t="inlineStr">
        <is>
          <t>PTC Industries Ltd</t>
        </is>
      </c>
      <c r="E214" s="31" t="inlineStr">
        <is>
          <t>industrials</t>
        </is>
      </c>
      <c r="F214" s="31" t="inlineStr">
        <is>
          <t>castings &amp; forgings</t>
        </is>
      </c>
      <c r="G214" s="31" t="inlineStr">
        <is>
          <t>largecap</t>
        </is>
      </c>
      <c r="H214" s="32" t="n">
        <v>30928.13</v>
      </c>
      <c r="I214" s="32" t="n">
        <v>21672</v>
      </c>
      <c r="J214" s="32" t="n">
        <v>5.06</v>
      </c>
      <c r="K214" s="32" t="n">
        <v>92265</v>
      </c>
      <c r="L214" s="31" t="n">
        <v>62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68.93000000000001</v>
      </c>
      <c r="P214" s="32" t="n">
        <v>25.3</v>
      </c>
      <c r="Q214" s="32" t="inlineStr"/>
      <c r="R214" s="31" t="inlineStr">
        <is>
          <t>Earnings / Momentum Support</t>
        </is>
      </c>
      <c r="S214" s="31" t="inlineStr">
        <is>
          <t>Nifty 50</t>
        </is>
      </c>
      <c r="T214" s="32" t="n">
        <v>-2.49</v>
      </c>
      <c r="U214" s="32" t="n">
        <v>49.88</v>
      </c>
      <c r="V214" s="32" t="n">
        <v>53.7</v>
      </c>
      <c r="W214" s="32" t="n">
        <v>15.5</v>
      </c>
      <c r="X214" s="31" t="inlineStr">
        <is>
          <t>Cyclical in an Upturn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Headwind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3</t>
        </is>
      </c>
      <c r="BC214" s="31">
        <f>IF(BB214="Stage 2",20,IF(BB214="Stage 1",0,IF(BB214="Stage 3",5,IF(BB214="Stage 4",-5,0))))</f>
        <v/>
      </c>
      <c r="BD214" s="31" t="inlineStr">
        <is>
          <t>Negative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IF(B215=0,"",RANK(B215,$B$2:$B$389,0))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STLTECH</t>
        </is>
      </c>
      <c r="D215" s="31" t="inlineStr">
        <is>
          <t>Sterlite Technologies Limited</t>
        </is>
      </c>
      <c r="E215" s="31" t="inlineStr">
        <is>
          <t>industrials</t>
        </is>
      </c>
      <c r="F215" s="31" t="inlineStr">
        <is>
          <t>cables - telephone</t>
        </is>
      </c>
      <c r="G215" s="31" t="inlineStr">
        <is>
          <t>largecap</t>
        </is>
      </c>
      <c r="H215" s="32" t="n">
        <v>32229</v>
      </c>
      <c r="I215" s="32" t="n">
        <v>658.5</v>
      </c>
      <c r="J215" s="32" t="n">
        <v>5</v>
      </c>
      <c r="K215" s="32" t="n">
        <v>2301953</v>
      </c>
      <c r="L215" s="31" t="inlineStr"/>
      <c r="M215" s="31" t="inlineStr"/>
      <c r="N215" s="32">
        <f>IF(M215="Underperforming",-5,IF(L215&gt;=95,15,IF(L215&gt;=90,10,IF(L215&gt;=80,5,0))))</f>
        <v/>
      </c>
      <c r="O215" s="32" t="n">
        <v>70.89</v>
      </c>
      <c r="P215" s="32" t="n">
        <v>76.78</v>
      </c>
      <c r="Q215" s="32" t="inlineStr"/>
      <c r="R215" s="31" t="inlineStr">
        <is>
          <t>Earnings / Momentum Support</t>
        </is>
      </c>
      <c r="S215" s="31" t="inlineStr">
        <is>
          <t>Nifty Infra</t>
        </is>
      </c>
      <c r="T215" s="32" t="inlineStr"/>
      <c r="U215" s="32" t="inlineStr"/>
      <c r="V215" s="32" t="inlineStr"/>
      <c r="W215" s="32" t="inlineStr"/>
      <c r="X215" s="31" t="inlineStr">
        <is>
          <t>Cyclical in an Upturn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Headwind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Above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3</t>
        </is>
      </c>
      <c r="BC215" s="31">
        <f>IF(BB215="Stage 2",20,IF(BB215="Stage 1",0,IF(BB215="Stage 3",5,IF(BB215="Stage 4",-5,0))))</f>
        <v/>
      </c>
      <c r="BD215" s="31" t="inlineStr">
        <is>
          <t>Negative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Between 0.7 to 1.2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IF(B216=0,"",RANK(B216,$B$2:$B$389,0))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BODALCHEM</t>
        </is>
      </c>
      <c r="D216" s="31" t="inlineStr">
        <is>
          <t>Bodal Chemicals Limited</t>
        </is>
      </c>
      <c r="E216" s="31" t="inlineStr">
        <is>
          <t>chemicals</t>
        </is>
      </c>
      <c r="F216" s="31" t="inlineStr">
        <is>
          <t>dyes and pigments</t>
        </is>
      </c>
      <c r="G216" s="31" t="inlineStr">
        <is>
          <t>smallcap</t>
        </is>
      </c>
      <c r="H216" s="32" t="n">
        <v>994.58</v>
      </c>
      <c r="I216" s="32" t="n">
        <v>82.91</v>
      </c>
      <c r="J216" s="32" t="n">
        <v>4.99</v>
      </c>
      <c r="K216" s="32" t="n">
        <v>450317</v>
      </c>
      <c r="L216" s="31" t="n">
        <v>33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64.63</v>
      </c>
      <c r="P216" s="32" t="n">
        <v>33.46</v>
      </c>
      <c r="Q216" s="32" t="inlineStr"/>
      <c r="R216" s="31" t="inlineStr">
        <is>
          <t>Earnings / Momentum Support</t>
        </is>
      </c>
      <c r="S216" s="31" t="inlineStr">
        <is>
          <t>Nifty 50</t>
        </is>
      </c>
      <c r="T216" s="32" t="n">
        <v>-2.49</v>
      </c>
      <c r="U216" s="32" t="n">
        <v>18.29</v>
      </c>
      <c r="V216" s="32" t="n">
        <v>21.3</v>
      </c>
      <c r="W216" s="32" t="n">
        <v>7.39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Headwind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3</t>
        </is>
      </c>
      <c r="BC216" s="31">
        <f>IF(BB216="Stage 2",20,IF(BB216="Stage 1",0,IF(BB216="Stage 3",5,IF(BB216="Stage 4",-5,0))))</f>
        <v/>
      </c>
      <c r="BD216" s="31" t="inlineStr">
        <is>
          <t>Negative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Between 0.7 to 1.2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IF(B217=0,"",RANK(B217,$B$2:$B$389,0))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SIEMENS</t>
        </is>
      </c>
      <c r="D217" s="31" t="inlineStr">
        <is>
          <t>Siemens Limited</t>
        </is>
      </c>
      <c r="E217" s="31" t="inlineStr">
        <is>
          <t>industrials</t>
        </is>
      </c>
      <c r="F217" s="31" t="inlineStr">
        <is>
          <t>electric equipment</t>
        </is>
      </c>
      <c r="G217" s="31" t="inlineStr">
        <is>
          <t>largecap</t>
        </is>
      </c>
      <c r="H217" s="32" t="n">
        <v>139599.24</v>
      </c>
      <c r="I217" s="32" t="n">
        <v>4114</v>
      </c>
      <c r="J217" s="32" t="n">
        <v>4.95</v>
      </c>
      <c r="K217" s="32" t="n">
        <v>1308359</v>
      </c>
      <c r="L217" s="31" t="n">
        <v>24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62.5</v>
      </c>
      <c r="P217" s="32" t="n">
        <v>26.63</v>
      </c>
      <c r="Q217" s="32" t="inlineStr"/>
      <c r="R217" s="31" t="inlineStr">
        <is>
          <t>Earnings / Momentum Support</t>
        </is>
      </c>
      <c r="S217" s="31" t="inlineStr">
        <is>
          <t>Nifty 50</t>
        </is>
      </c>
      <c r="T217" s="32" t="n">
        <v>-2.49</v>
      </c>
      <c r="U217" s="32" t="n">
        <v>24.14</v>
      </c>
      <c r="V217" s="32" t="n">
        <v>27.31</v>
      </c>
      <c r="W217" s="32" t="n">
        <v>5.32</v>
      </c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Headwind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3</t>
        </is>
      </c>
      <c r="BC217" s="31">
        <f>IF(BB217="Stage 2",20,IF(BB217="Stage 1",0,IF(BB217="Stage 3",5,IF(BB217="Stage 4",-5,0))))</f>
        <v/>
      </c>
      <c r="BD217" s="31" t="inlineStr">
        <is>
          <t>Negative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IF(B218=0,"",RANK(B218,$B$2:$B$389,0))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SETL</t>
        </is>
      </c>
      <c r="D218" s="31" t="inlineStr">
        <is>
          <t>Standard Enginnering Technology Ltd</t>
        </is>
      </c>
      <c r="E218" s="31" t="inlineStr">
        <is>
          <t>industrials</t>
        </is>
      </c>
      <c r="F218" s="31" t="inlineStr">
        <is>
          <t>engineering</t>
        </is>
      </c>
      <c r="G218" s="31" t="inlineStr">
        <is>
          <t>midcap</t>
        </is>
      </c>
      <c r="H218" s="32" t="n">
        <v>5939.86</v>
      </c>
      <c r="I218" s="32" t="n">
        <v>312.35</v>
      </c>
      <c r="J218" s="32" t="n">
        <v>4.9</v>
      </c>
      <c r="K218" s="32" t="n">
        <v>4637679</v>
      </c>
      <c r="L218" s="31" t="inlineStr"/>
      <c r="M218" s="31" t="inlineStr"/>
      <c r="N218" s="32">
        <f>IF(M218="Underperforming",-5,IF(L218&gt;=95,15,IF(L218&gt;=90,10,IF(L218&gt;=80,5,0))))</f>
        <v/>
      </c>
      <c r="O218" s="32" t="n">
        <v>80.98999999999999</v>
      </c>
      <c r="P218" s="32" t="n">
        <v>56.91</v>
      </c>
      <c r="Q218" s="32" t="inlineStr"/>
      <c r="R218" s="31" t="inlineStr">
        <is>
          <t>Earnings / Momentum Support</t>
        </is>
      </c>
      <c r="S218" s="31" t="inlineStr">
        <is>
          <t>Nifty Infra</t>
        </is>
      </c>
      <c r="T218" s="32" t="inlineStr"/>
      <c r="U218" s="32" t="inlineStr"/>
      <c r="V218" s="32" t="inlineStr"/>
      <c r="W218" s="32" t="inlineStr"/>
      <c r="X218" s="31" t="inlineStr">
        <is>
          <t>Cyclical in an Upturn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Headwind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Above 40</t>
        </is>
      </c>
      <c r="AY218" s="31">
        <f>IF(AX218="Above 40",20,IF(AX218="20 to 40",10,IF(AX218="0 to 20",-5,0)))</f>
        <v/>
      </c>
      <c r="AZ218" s="31" t="inlineStr">
        <is>
          <t>Above 75</t>
        </is>
      </c>
      <c r="BA218" s="31">
        <f>IF(AZ218="Between 50 to 75",10,IF(AZ218="Above 75",0,0))</f>
        <v/>
      </c>
      <c r="BB218" s="31" t="inlineStr">
        <is>
          <t>Stage 3</t>
        </is>
      </c>
      <c r="BC218" s="31">
        <f>IF(BB218="Stage 2",20,IF(BB218="Stage 1",0,IF(BB218="Stage 3",5,IF(BB218="Stage 4",-5,0))))</f>
        <v/>
      </c>
      <c r="BD218" s="31" t="inlineStr">
        <is>
          <t>Negative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IF(B219=0,"",RANK(B219,$B$2:$B$389,0))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MACPOWER</t>
        </is>
      </c>
      <c r="D219" s="31" t="inlineStr">
        <is>
          <t>Macpower CNC Machines Ltd</t>
        </is>
      </c>
      <c r="E219" s="31" t="inlineStr">
        <is>
          <t>industrials</t>
        </is>
      </c>
      <c r="F219" s="31" t="inlineStr">
        <is>
          <t>engineering</t>
        </is>
      </c>
      <c r="G219" s="31" t="inlineStr">
        <is>
          <t>smallcap</t>
        </is>
      </c>
      <c r="H219" s="32" t="n">
        <v>1875.58</v>
      </c>
      <c r="I219" s="32" t="n">
        <v>1963.4</v>
      </c>
      <c r="J219" s="32" t="n">
        <v>4.73</v>
      </c>
      <c r="K219" s="32" t="n">
        <v>80501</v>
      </c>
      <c r="L219" s="31" t="n">
        <v>92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77.67</v>
      </c>
      <c r="P219" s="32" t="n">
        <v>36.16</v>
      </c>
      <c r="Q219" s="32" t="inlineStr"/>
      <c r="R219" s="31" t="inlineStr">
        <is>
          <t>Earnings / Momentum Support</t>
        </is>
      </c>
      <c r="S219" s="31" t="inlineStr">
        <is>
          <t>Nifty 50</t>
        </is>
      </c>
      <c r="T219" s="32" t="n">
        <v>-2.49</v>
      </c>
      <c r="U219" s="32" t="n">
        <v>127.74</v>
      </c>
      <c r="V219" s="32" t="n">
        <v>133.55</v>
      </c>
      <c r="W219" s="32" t="n">
        <v>33.69</v>
      </c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Headwind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Above 75</t>
        </is>
      </c>
      <c r="BA219" s="31">
        <f>IF(AZ219="Between 50 to 75",10,IF(AZ219="Above 75",0,0))</f>
        <v/>
      </c>
      <c r="BB219" s="31" t="inlineStr">
        <is>
          <t>Stage 3</t>
        </is>
      </c>
      <c r="BC219" s="31">
        <f>IF(BB219="Stage 2",20,IF(BB219="Stage 1",0,IF(BB219="Stage 3",5,IF(BB219="Stage 4",-5,0))))</f>
        <v/>
      </c>
      <c r="BD219" s="31" t="inlineStr">
        <is>
          <t>Negative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IF(B220=0,"",RANK(B220,$B$2:$B$389,0))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KENNAMET</t>
        </is>
      </c>
      <c r="D220" s="31" t="inlineStr">
        <is>
          <t>Kennametal India Ltd</t>
        </is>
      </c>
      <c r="E220" s="31" t="inlineStr">
        <is>
          <t>industrials</t>
        </is>
      </c>
      <c r="F220" s="31" t="inlineStr">
        <is>
          <t>castings &amp; forgings</t>
        </is>
      </c>
      <c r="G220" s="31" t="inlineStr">
        <is>
          <t>midcap</t>
        </is>
      </c>
      <c r="H220" s="32" t="n">
        <v>8889.540000000001</v>
      </c>
      <c r="I220" s="32" t="n">
        <v>4235.5</v>
      </c>
      <c r="J220" s="32" t="n">
        <v>4.72</v>
      </c>
      <c r="K220" s="32" t="n">
        <v>96674</v>
      </c>
      <c r="L220" s="31" t="n">
        <v>77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80.40000000000001</v>
      </c>
      <c r="P220" s="32" t="n">
        <v>45</v>
      </c>
      <c r="Q220" s="32" t="inlineStr"/>
      <c r="R220" s="31" t="inlineStr">
        <is>
          <t>Earnings / Momentum Support</t>
        </is>
      </c>
      <c r="S220" s="31" t="inlineStr">
        <is>
          <t>Nifty 50</t>
        </is>
      </c>
      <c r="T220" s="32" t="n">
        <v>-2.49</v>
      </c>
      <c r="U220" s="32" t="n">
        <v>91.73</v>
      </c>
      <c r="V220" s="32" t="n">
        <v>96.62</v>
      </c>
      <c r="W220" s="32" t="n">
        <v>22.43</v>
      </c>
      <c r="X220" s="31" t="inlineStr">
        <is>
          <t>Cyclical in an Upturn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Headwind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Above 40</t>
        </is>
      </c>
      <c r="AY220" s="31">
        <f>IF(AX220="Above 40",20,IF(AX220="20 to 40",10,IF(AX220="0 to 20",-5,0)))</f>
        <v/>
      </c>
      <c r="AZ220" s="31" t="inlineStr">
        <is>
          <t>Above 75</t>
        </is>
      </c>
      <c r="BA220" s="31">
        <f>IF(AZ220="Between 50 to 75",10,IF(AZ220="Above 75",0,0))</f>
        <v/>
      </c>
      <c r="BB220" s="31" t="inlineStr">
        <is>
          <t>Stage 3</t>
        </is>
      </c>
      <c r="BC220" s="31">
        <f>IF(BB220="Stage 2",20,IF(BB220="Stage 1",0,IF(BB220="Stage 3",5,IF(BB220="Stage 4",-5,0))))</f>
        <v/>
      </c>
      <c r="BD220" s="31" t="inlineStr">
        <is>
          <t>Negative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IF(B221=0,"",RANK(B221,$B$2:$B$389,0))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HFCL</t>
        </is>
      </c>
      <c r="D221" s="31" t="inlineStr">
        <is>
          <t>HFCL Ltd</t>
        </is>
      </c>
      <c r="E221" s="31" t="inlineStr">
        <is>
          <t>telecom</t>
        </is>
      </c>
      <c r="F221" s="31" t="inlineStr">
        <is>
          <t>cables - telephone</t>
        </is>
      </c>
      <c r="G221" s="31" t="inlineStr">
        <is>
          <t>largecap</t>
        </is>
      </c>
      <c r="H221" s="32" t="n">
        <v>34899.27</v>
      </c>
      <c r="I221" s="32" t="n">
        <v>238.42</v>
      </c>
      <c r="J221" s="32" t="n">
        <v>4.57</v>
      </c>
      <c r="K221" s="32" t="n">
        <v>53433328</v>
      </c>
      <c r="L221" s="31" t="inlineStr"/>
      <c r="M221" s="31" t="inlineStr"/>
      <c r="N221" s="32">
        <f>IF(M221="Underperforming",-5,IF(L221&gt;=95,15,IF(L221&gt;=90,10,IF(L221&gt;=80,5,0))))</f>
        <v/>
      </c>
      <c r="O221" s="32" t="n">
        <v>77.34</v>
      </c>
      <c r="P221" s="32" t="n">
        <v>63.19</v>
      </c>
      <c r="Q221" s="32" t="inlineStr"/>
      <c r="R221" s="31" t="inlineStr">
        <is>
          <t>Earnings / Momentum Support</t>
        </is>
      </c>
      <c r="S221" s="31" t="inlineStr">
        <is>
          <t>Nifty Infra</t>
        </is>
      </c>
      <c r="T221" s="32" t="inlineStr"/>
      <c r="U221" s="32" t="inlineStr"/>
      <c r="V221" s="32" t="inlineStr"/>
      <c r="W221" s="32" t="inlineStr"/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Oligopoly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Yes</t>
        </is>
      </c>
      <c r="AC221" s="31">
        <f>IF(AB221="No",5,0)</f>
        <v/>
      </c>
      <c r="AD221" s="31" t="inlineStr">
        <is>
          <t>Headwind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Above 40</t>
        </is>
      </c>
      <c r="AY221" s="31">
        <f>IF(AX221="Above 40",20,IF(AX221="20 to 40",10,IF(AX221="0 to 20",-5,0)))</f>
        <v/>
      </c>
      <c r="AZ221" s="31" t="inlineStr">
        <is>
          <t>Above 75</t>
        </is>
      </c>
      <c r="BA221" s="31">
        <f>IF(AZ221="Between 50 to 75",10,IF(AZ221="Above 75",0,0))</f>
        <v/>
      </c>
      <c r="BB221" s="31" t="inlineStr">
        <is>
          <t>Stage 3</t>
        </is>
      </c>
      <c r="BC221" s="31">
        <f>IF(BB221="Stage 2",20,IF(BB221="Stage 1",0,IF(BB221="Stage 3",5,IF(BB221="Stage 4",-5,0))))</f>
        <v/>
      </c>
      <c r="BD221" s="31" t="inlineStr">
        <is>
          <t>Negative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IF(B222=0,"",RANK(B222,$B$2:$B$389,0))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SPECIALITY</t>
        </is>
      </c>
      <c r="D222" s="31" t="inlineStr">
        <is>
          <t>Speciality Restaurants Limited</t>
        </is>
      </c>
      <c r="E222" s="31" t="inlineStr">
        <is>
          <t>services</t>
        </is>
      </c>
      <c r="F222" s="31" t="inlineStr">
        <is>
          <t>hotels</t>
        </is>
      </c>
      <c r="G222" s="31" t="inlineStr">
        <is>
          <t>smallcap</t>
        </is>
      </c>
      <c r="H222" s="32" t="n">
        <v>679.21</v>
      </c>
      <c r="I222" s="32" t="n">
        <v>146.9</v>
      </c>
      <c r="J222" s="32" t="n">
        <v>4.33</v>
      </c>
      <c r="K222" s="32" t="n">
        <v>96373</v>
      </c>
      <c r="L222" s="31" t="n">
        <v>42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63.63</v>
      </c>
      <c r="P222" s="32" t="n">
        <v>32.23</v>
      </c>
      <c r="Q222" s="32" t="inlineStr"/>
      <c r="R222" s="31" t="inlineStr">
        <is>
          <t>Earnings / Momentum Support</t>
        </is>
      </c>
      <c r="S222" s="31" t="inlineStr">
        <is>
          <t>Nifty 50</t>
        </is>
      </c>
      <c r="T222" s="32" t="n">
        <v>-2.49</v>
      </c>
      <c r="U222" s="32" t="n">
        <v>13.84</v>
      </c>
      <c r="V222" s="32" t="n">
        <v>16.75</v>
      </c>
      <c r="W222" s="32" t="n">
        <v>9.4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Headwind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3</t>
        </is>
      </c>
      <c r="BC222" s="31">
        <f>IF(BB222="Stage 2",20,IF(BB222="Stage 1",0,IF(BB222="Stage 3",5,IF(BB222="Stage 4",-5,0))))</f>
        <v/>
      </c>
      <c r="BD222" s="31" t="inlineStr">
        <is>
          <t>Negative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Less than 12%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IF(B223=0,"",RANK(B223,$B$2:$B$389,0))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NRAIL</t>
        </is>
      </c>
      <c r="D223" s="31" t="inlineStr">
        <is>
          <t>N R Agarwal Industries Ltd</t>
        </is>
      </c>
      <c r="E223" s="31" t="inlineStr">
        <is>
          <t>building materials</t>
        </is>
      </c>
      <c r="F223" s="31" t="inlineStr">
        <is>
          <t>paper</t>
        </is>
      </c>
      <c r="G223" s="31" t="inlineStr">
        <is>
          <t>smallcap</t>
        </is>
      </c>
      <c r="H223" s="32" t="n">
        <v>857.51</v>
      </c>
      <c r="I223" s="32" t="n">
        <v>525</v>
      </c>
      <c r="J223" s="32" t="n">
        <v>4.2</v>
      </c>
      <c r="K223" s="32" t="n">
        <v>16857</v>
      </c>
      <c r="L223" s="31" t="inlineStr"/>
      <c r="M223" s="31" t="inlineStr"/>
      <c r="N223" s="32">
        <f>IF(M223="Underperforming",-5,IF(L223&gt;=95,15,IF(L223&gt;=90,10,IF(L223&gt;=80,5,0))))</f>
        <v/>
      </c>
      <c r="O223" s="32" t="n">
        <v>56.04</v>
      </c>
      <c r="P223" s="32" t="n">
        <v>26.8</v>
      </c>
      <c r="Q223" s="32" t="inlineStr"/>
      <c r="R223" s="31" t="inlineStr">
        <is>
          <t>Earnings / Momentum Support</t>
        </is>
      </c>
      <c r="S223" s="31" t="inlineStr">
        <is>
          <t>Nifty Infra</t>
        </is>
      </c>
      <c r="T223" s="32" t="inlineStr"/>
      <c r="U223" s="32" t="inlineStr"/>
      <c r="V223" s="32" t="inlineStr"/>
      <c r="W223" s="32" t="inlineStr"/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Headwind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3</t>
        </is>
      </c>
      <c r="BC223" s="31">
        <f>IF(BB223="Stage 2",20,IF(BB223="Stage 1",0,IF(BB223="Stage 3",5,IF(BB223="Stage 4",-5,0))))</f>
        <v/>
      </c>
      <c r="BD223" s="31" t="inlineStr">
        <is>
          <t>Negative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Between 0.7 to 1.2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IF(B224=0,"",RANK(B224,$B$2:$B$389,0))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VOLTAMP</t>
        </is>
      </c>
      <c r="D224" s="31" t="inlineStr">
        <is>
          <t>Voltamp Transformers Limited</t>
        </is>
      </c>
      <c r="E224" s="31" t="inlineStr">
        <is>
          <t>industrials</t>
        </is>
      </c>
      <c r="F224" s="31" t="inlineStr">
        <is>
          <t>electric equipment</t>
        </is>
      </c>
      <c r="G224" s="31" t="inlineStr">
        <is>
          <t>midcap</t>
        </is>
      </c>
      <c r="H224" s="32" t="n">
        <v>10996.8</v>
      </c>
      <c r="I224" s="32" t="n">
        <v>11292</v>
      </c>
      <c r="J224" s="32" t="n">
        <v>3.89</v>
      </c>
      <c r="K224" s="32" t="n">
        <v>137437</v>
      </c>
      <c r="L224" s="31" t="n">
        <v>44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63.74</v>
      </c>
      <c r="P224" s="32" t="n">
        <v>27.8</v>
      </c>
      <c r="Q224" s="32" t="inlineStr"/>
      <c r="R224" s="31" t="inlineStr">
        <is>
          <t>Earnings / Momentum Support</t>
        </is>
      </c>
      <c r="S224" s="31" t="inlineStr">
        <is>
          <t>Nifty 50</t>
        </is>
      </c>
      <c r="T224" s="32" t="n">
        <v>-2.49</v>
      </c>
      <c r="U224" s="32" t="n">
        <v>33.64</v>
      </c>
      <c r="V224" s="32" t="n">
        <v>37.05</v>
      </c>
      <c r="W224" s="32" t="n">
        <v>10.34</v>
      </c>
      <c r="X224" s="31" t="inlineStr">
        <is>
          <t>Cyclical in an Upturn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Headwind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3</t>
        </is>
      </c>
      <c r="BC224" s="31">
        <f>IF(BB224="Stage 2",20,IF(BB224="Stage 1",0,IF(BB224="Stage 3",5,IF(BB224="Stage 4",-5,0))))</f>
        <v/>
      </c>
      <c r="BD224" s="31" t="inlineStr">
        <is>
          <t>Negative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Between 12 to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IF(B225=0,"",RANK(B225,$B$2:$B$389,0))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SHRIPISTON</t>
        </is>
      </c>
      <c r="D225" s="31" t="inlineStr">
        <is>
          <t>Shriram Pistons &amp; Rings Limited</t>
        </is>
      </c>
      <c r="E225" s="31" t="inlineStr">
        <is>
          <t>auto</t>
        </is>
      </c>
      <c r="F225" s="31" t="inlineStr">
        <is>
          <t>auto ancillaries</t>
        </is>
      </c>
      <c r="G225" s="31" t="inlineStr">
        <is>
          <t>largecap</t>
        </is>
      </c>
      <c r="H225" s="32" t="n">
        <v>20263.36</v>
      </c>
      <c r="I225" s="32" t="n">
        <v>4750</v>
      </c>
      <c r="J225" s="32" t="n">
        <v>3.26</v>
      </c>
      <c r="K225" s="32" t="n">
        <v>191669</v>
      </c>
      <c r="L225" s="31" t="inlineStr"/>
      <c r="M225" s="31" t="inlineStr"/>
      <c r="N225" s="32">
        <f>IF(M225="Underperforming",-5,IF(L225&gt;=95,15,IF(L225&gt;=90,10,IF(L225&gt;=80,5,0))))</f>
        <v/>
      </c>
      <c r="O225" s="32" t="n">
        <v>75.92</v>
      </c>
      <c r="P225" s="32" t="n">
        <v>50.27</v>
      </c>
      <c r="Q225" s="32" t="inlineStr"/>
      <c r="R225" s="31" t="inlineStr">
        <is>
          <t>Earnings / Momentum Support</t>
        </is>
      </c>
      <c r="S225" s="31" t="inlineStr">
        <is>
          <t>Nifty Auto</t>
        </is>
      </c>
      <c r="T225" s="32" t="inlineStr"/>
      <c r="U225" s="32" t="inlineStr"/>
      <c r="V225" s="32" t="inlineStr"/>
      <c r="W225" s="32" t="inlineStr"/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Headwind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Above 40</t>
        </is>
      </c>
      <c r="AY225" s="31">
        <f>IF(AX225="Above 40",20,IF(AX225="20 to 40",10,IF(AX225="0 to 20",-5,0)))</f>
        <v/>
      </c>
      <c r="AZ225" s="31" t="inlineStr">
        <is>
          <t>Above 75</t>
        </is>
      </c>
      <c r="BA225" s="31">
        <f>IF(AZ225="Between 50 to 75",10,IF(AZ225="Above 75",0,0))</f>
        <v/>
      </c>
      <c r="BB225" s="31" t="inlineStr">
        <is>
          <t>Stage 3</t>
        </is>
      </c>
      <c r="BC225" s="31">
        <f>IF(BB225="Stage 2",20,IF(BB225="Stage 1",0,IF(BB225="Stage 3",5,IF(BB225="Stage 4",-5,0))))</f>
        <v/>
      </c>
      <c r="BD225" s="31" t="inlineStr">
        <is>
          <t>Negative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IF(B226=0,"",RANK(B226,$B$2:$B$389,0))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AARTIIND</t>
        </is>
      </c>
      <c r="D226" s="31" t="inlineStr">
        <is>
          <t>Aarti Industries Limited</t>
        </is>
      </c>
      <c r="E226" s="31" t="inlineStr">
        <is>
          <t>chemicals</t>
        </is>
      </c>
      <c r="F226" s="31" t="inlineStr">
        <is>
          <t>chemicals</t>
        </is>
      </c>
      <c r="G226" s="31" t="inlineStr">
        <is>
          <t>midcap</t>
        </is>
      </c>
      <c r="H226" s="32" t="n">
        <v>19122.95</v>
      </c>
      <c r="I226" s="32" t="n">
        <v>543.15</v>
      </c>
      <c r="J226" s="32" t="n">
        <v>3.03</v>
      </c>
      <c r="K226" s="32" t="n">
        <v>2435854</v>
      </c>
      <c r="L226" s="31" t="n">
        <v>40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64.11</v>
      </c>
      <c r="P226" s="32" t="n">
        <v>24.14</v>
      </c>
      <c r="Q226" s="32" t="inlineStr"/>
      <c r="R226" s="31" t="inlineStr">
        <is>
          <t>Earnings / Momentum Support</t>
        </is>
      </c>
      <c r="S226" s="31" t="inlineStr">
        <is>
          <t>Nifty 50</t>
        </is>
      </c>
      <c r="T226" s="32" t="n">
        <v>-2.49</v>
      </c>
      <c r="U226" s="32" t="n">
        <v>37.9</v>
      </c>
      <c r="V226" s="32" t="n">
        <v>41.42</v>
      </c>
      <c r="W226" s="32" t="n">
        <v>8.970000000000001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Headwind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3</t>
        </is>
      </c>
      <c r="BC226" s="31">
        <f>IF(BB226="Stage 2",20,IF(BB226="Stage 1",0,IF(BB226="Stage 3",5,IF(BB226="Stage 4",-5,0))))</f>
        <v/>
      </c>
      <c r="BD226" s="31" t="inlineStr">
        <is>
          <t>Negative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Between 0.7 to 1.2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IF(B227=0,"",RANK(B227,$B$2:$B$389,0))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WELENT</t>
        </is>
      </c>
      <c r="D227" s="31" t="inlineStr">
        <is>
          <t>Welspun Enterprises Limited</t>
        </is>
      </c>
      <c r="E227" s="31" t="inlineStr">
        <is>
          <t>realty</t>
        </is>
      </c>
      <c r="F227" s="31" t="inlineStr">
        <is>
          <t>construction</t>
        </is>
      </c>
      <c r="G227" s="31" t="inlineStr">
        <is>
          <t>midcap</t>
        </is>
      </c>
      <c r="H227" s="32" t="n">
        <v>8740.139999999999</v>
      </c>
      <c r="I227" s="32" t="n">
        <v>647.9</v>
      </c>
      <c r="J227" s="32" t="n">
        <v>2.61</v>
      </c>
      <c r="K227" s="32" t="n">
        <v>2321895</v>
      </c>
      <c r="L227" s="31" t="inlineStr"/>
      <c r="M227" s="31" t="inlineStr"/>
      <c r="N227" s="32">
        <f>IF(M227="Underperforming",-5,IF(L227&gt;=95,15,IF(L227&gt;=90,10,IF(L227&gt;=80,5,0))))</f>
        <v/>
      </c>
      <c r="O227" s="32" t="n">
        <v>66.06</v>
      </c>
      <c r="P227" s="32" t="n">
        <v>22.7</v>
      </c>
      <c r="Q227" s="32" t="inlineStr"/>
      <c r="R227" s="31" t="inlineStr">
        <is>
          <t>Earnings / Momentum Support</t>
        </is>
      </c>
      <c r="S227" s="31" t="inlineStr">
        <is>
          <t>Nifty Realty</t>
        </is>
      </c>
      <c r="T227" s="32" t="inlineStr"/>
      <c r="U227" s="32" t="inlineStr"/>
      <c r="V227" s="32" t="inlineStr"/>
      <c r="W227" s="32" t="inlineStr"/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Headwind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3</t>
        </is>
      </c>
      <c r="BC227" s="31">
        <f>IF(BB227="Stage 2",20,IF(BB227="Stage 1",0,IF(BB227="Stage 3",5,IF(BB227="Stage 4",-5,0))))</f>
        <v/>
      </c>
      <c r="BD227" s="31" t="inlineStr">
        <is>
          <t>Negative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Less than 12%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IF(B228=0,"",RANK(B228,$B$2:$B$389,0))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GANDHAR</t>
        </is>
      </c>
      <c r="D228" s="31" t="inlineStr">
        <is>
          <t>Gandhar Oil Refinery (India) Ltd</t>
        </is>
      </c>
      <c r="E228" s="31" t="inlineStr">
        <is>
          <t>energy</t>
        </is>
      </c>
      <c r="F228" s="31" t="inlineStr">
        <is>
          <t>refineries</t>
        </is>
      </c>
      <c r="G228" s="31" t="inlineStr">
        <is>
          <t>smallcap</t>
        </is>
      </c>
      <c r="H228" s="32" t="n">
        <v>2451.2</v>
      </c>
      <c r="I228" s="32" t="n">
        <v>256.62</v>
      </c>
      <c r="J228" s="32" t="n">
        <v>2.47</v>
      </c>
      <c r="K228" s="32" t="n">
        <v>1907135</v>
      </c>
      <c r="L228" s="31" t="inlineStr"/>
      <c r="M228" s="31" t="inlineStr"/>
      <c r="N228" s="32">
        <f>IF(M228="Underperforming",-5,IF(L228&gt;=95,15,IF(L228&gt;=90,10,IF(L228&gt;=80,5,0))))</f>
        <v/>
      </c>
      <c r="O228" s="32" t="n">
        <v>67.06999999999999</v>
      </c>
      <c r="P228" s="32" t="n">
        <v>68.04000000000001</v>
      </c>
      <c r="Q228" s="32" t="inlineStr"/>
      <c r="R228" s="31" t="inlineStr">
        <is>
          <t>Earnings / Momentum Support</t>
        </is>
      </c>
      <c r="S228" s="31" t="inlineStr">
        <is>
          <t>Nifty Energy</t>
        </is>
      </c>
      <c r="T228" s="32" t="inlineStr"/>
      <c r="U228" s="32" t="inlineStr"/>
      <c r="V228" s="32" t="inlineStr"/>
      <c r="W228" s="32" t="inlineStr"/>
      <c r="X228" s="31" t="inlineStr">
        <is>
          <t>Cyclical in an Upturn</t>
        </is>
      </c>
      <c r="Y228" s="31">
        <f>IF(X228="Growing Industry",10,IF(X228="Cyclical in an Upturn",5,0))</f>
        <v/>
      </c>
      <c r="Z228" s="31" t="inlineStr">
        <is>
          <t>Oligopoly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Yes</t>
        </is>
      </c>
      <c r="AC228" s="31">
        <f>IF(AB228="No",5,0)</f>
        <v/>
      </c>
      <c r="AD228" s="31" t="inlineStr">
        <is>
          <t>Headwind</t>
        </is>
      </c>
      <c r="AE228" s="31">
        <f>IF(AD228="Tailwind",10,0)</f>
        <v/>
      </c>
      <c r="AF228" s="31" t="inlineStr">
        <is>
          <t>Cyclical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Volatile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Above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3</t>
        </is>
      </c>
      <c r="BC228" s="31">
        <f>IF(BB228="Stage 2",20,IF(BB228="Stage 1",0,IF(BB228="Stage 3",5,IF(BB228="Stage 4",-5,0))))</f>
        <v/>
      </c>
      <c r="BD228" s="31" t="inlineStr">
        <is>
          <t>Negative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IF(B229=0,"",RANK(B229,$B$2:$B$389,0))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ORIENTHOT</t>
        </is>
      </c>
      <c r="D229" s="31" t="inlineStr">
        <is>
          <t>Oriental Hotels Limited</t>
        </is>
      </c>
      <c r="E229" s="31" t="inlineStr">
        <is>
          <t>services</t>
        </is>
      </c>
      <c r="F229" s="31" t="inlineStr">
        <is>
          <t>hotels</t>
        </is>
      </c>
      <c r="G229" s="31" t="inlineStr">
        <is>
          <t>smallcap</t>
        </is>
      </c>
      <c r="H229" s="32" t="n">
        <v>2476.63</v>
      </c>
      <c r="I229" s="32" t="n">
        <v>141.78</v>
      </c>
      <c r="J229" s="32" t="n">
        <v>2.24</v>
      </c>
      <c r="K229" s="32" t="n">
        <v>8374995</v>
      </c>
      <c r="L229" s="31" t="n">
        <v>43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62.58</v>
      </c>
      <c r="P229" s="32" t="n">
        <v>35.64</v>
      </c>
      <c r="Q229" s="32" t="inlineStr"/>
      <c r="R229" s="31" t="inlineStr">
        <is>
          <t>Earnings / Momentum Support</t>
        </is>
      </c>
      <c r="S229" s="31" t="inlineStr">
        <is>
          <t>Nifty 50</t>
        </is>
      </c>
      <c r="T229" s="32" t="n">
        <v>-2.49</v>
      </c>
      <c r="U229" s="32" t="n">
        <v>-0.25</v>
      </c>
      <c r="V229" s="32" t="n">
        <v>2.29</v>
      </c>
      <c r="W229" s="32" t="n">
        <v>9.890000000000001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Headwind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3</t>
        </is>
      </c>
      <c r="BC229" s="31">
        <f>IF(BB229="Stage 2",20,IF(BB229="Stage 1",0,IF(BB229="Stage 3",5,IF(BB229="Stage 4",-5,0))))</f>
        <v/>
      </c>
      <c r="BD229" s="31" t="inlineStr">
        <is>
          <t>Negative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Less than 12%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IF(B230=0,"",RANK(B230,$B$2:$B$389,0))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HEG</t>
        </is>
      </c>
      <c r="D230" s="31" t="inlineStr">
        <is>
          <t>Heg Limited</t>
        </is>
      </c>
      <c r="E230" s="31" t="inlineStr">
        <is>
          <t>industrials</t>
        </is>
      </c>
      <c r="F230" s="31" t="inlineStr">
        <is>
          <t>electrodes - graphites</t>
        </is>
      </c>
      <c r="G230" s="31" t="inlineStr">
        <is>
          <t>midcap</t>
        </is>
      </c>
      <c r="H230" s="32" t="n">
        <v>13715.88</v>
      </c>
      <c r="I230" s="32" t="n">
        <v>722.75</v>
      </c>
      <c r="J230" s="32" t="n">
        <v>1.69</v>
      </c>
      <c r="K230" s="32" t="n">
        <v>1083240</v>
      </c>
      <c r="L230" s="31" t="n">
        <v>52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69.06</v>
      </c>
      <c r="P230" s="32" t="n">
        <v>28.94</v>
      </c>
      <c r="Q230" s="32" t="inlineStr"/>
      <c r="R230" s="31" t="inlineStr">
        <is>
          <t>Earnings / Momentum Support</t>
        </is>
      </c>
      <c r="S230" s="31" t="inlineStr">
        <is>
          <t>Nifty 50</t>
        </is>
      </c>
      <c r="T230" s="32" t="n">
        <v>-2.49</v>
      </c>
      <c r="U230" s="32" t="n">
        <v>46.86</v>
      </c>
      <c r="V230" s="32" t="n">
        <v>50.6</v>
      </c>
      <c r="W230" s="32" t="n">
        <v>12.57</v>
      </c>
      <c r="X230" s="31" t="inlineStr">
        <is>
          <t>Cyclical in an Upturn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Headwind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3</t>
        </is>
      </c>
      <c r="BC230" s="31">
        <f>IF(BB230="Stage 2",20,IF(BB230="Stage 1",0,IF(BB230="Stage 3",5,IF(BB230="Stage 4",-5,0))))</f>
        <v/>
      </c>
      <c r="BD230" s="31" t="inlineStr">
        <is>
          <t>Negative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Between 12 to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IF(B231=0,"",RANK(B231,$B$2:$B$389,0))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3" t="inlineStr">
        <is>
          <t>ALKYLAMINE</t>
        </is>
      </c>
      <c r="D231" s="33" t="inlineStr">
        <is>
          <t>Alkyl Amines Chemicals Limited</t>
        </is>
      </c>
      <c r="E231" s="31" t="inlineStr">
        <is>
          <t>chemicals</t>
        </is>
      </c>
      <c r="F231" s="31" t="inlineStr">
        <is>
          <t>chemicals</t>
        </is>
      </c>
      <c r="G231" s="31" t="inlineStr">
        <is>
          <t>midcap</t>
        </is>
      </c>
      <c r="H231" s="32" t="n">
        <v>10498.78</v>
      </c>
      <c r="I231" s="32" t="n">
        <v>2083.8</v>
      </c>
      <c r="J231" s="32" t="n">
        <v>1.52</v>
      </c>
      <c r="K231" s="32" t="n">
        <v>286239</v>
      </c>
      <c r="L231" s="31" t="n">
        <v>20</v>
      </c>
      <c r="M231" s="31" t="inlineStr">
        <is>
          <t>Underperforming</t>
        </is>
      </c>
      <c r="N231" s="32">
        <f>IF(M231="Underperforming",-5,IF(L231&gt;=95,15,IF(L231&gt;=90,10,IF(L231&gt;=80,5,0))))</f>
        <v/>
      </c>
      <c r="O231" s="32" t="n">
        <v>68.83</v>
      </c>
      <c r="P231" s="32" t="n">
        <v>42.05</v>
      </c>
      <c r="Q231" s="32" t="inlineStr"/>
      <c r="R231" s="31" t="inlineStr">
        <is>
          <t>Earnings / Momentum Support</t>
        </is>
      </c>
      <c r="S231" s="31" t="inlineStr">
        <is>
          <t>Nifty 50</t>
        </is>
      </c>
      <c r="T231" s="32" t="n">
        <v>-2.49</v>
      </c>
      <c r="U231" s="32" t="n">
        <v>-4.02</v>
      </c>
      <c r="V231" s="32" t="n">
        <v>-1.58</v>
      </c>
      <c r="W231" s="32" t="n">
        <v>4.3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Headwind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Above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3</t>
        </is>
      </c>
      <c r="BC231" s="31">
        <f>IF(BB231="Stage 2",20,IF(BB231="Stage 1",0,IF(BB231="Stage 3",5,IF(BB231="Stage 4",-5,0))))</f>
        <v/>
      </c>
      <c r="BD231" s="31" t="inlineStr">
        <is>
          <t>Negative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IF(B232=0,"",RANK(B232,$B$2:$B$389,0))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WINDMACHIN</t>
        </is>
      </c>
      <c r="D232" s="31" t="inlineStr">
        <is>
          <t>Windsor Machines Limited</t>
        </is>
      </c>
      <c r="E232" s="31" t="inlineStr">
        <is>
          <t>industrials</t>
        </is>
      </c>
      <c r="F232" s="31" t="inlineStr">
        <is>
          <t>engineering</t>
        </is>
      </c>
      <c r="G232" s="31" t="inlineStr">
        <is>
          <t>smallcap</t>
        </is>
      </c>
      <c r="H232" s="32" t="n">
        <v>3200.33</v>
      </c>
      <c r="I232" s="32" t="n">
        <v>316.65</v>
      </c>
      <c r="J232" s="32" t="n">
        <v>0.65</v>
      </c>
      <c r="K232" s="32" t="n">
        <v>78727</v>
      </c>
      <c r="L232" s="31" t="inlineStr"/>
      <c r="M232" s="31" t="inlineStr"/>
      <c r="N232" s="32">
        <f>IF(M232="Underperforming",-5,IF(L232&gt;=95,15,IF(L232&gt;=90,10,IF(L232&gt;=80,5,0))))</f>
        <v/>
      </c>
      <c r="O232" s="32" t="n">
        <v>57.33</v>
      </c>
      <c r="P232" s="32" t="n">
        <v>23.11</v>
      </c>
      <c r="Q232" s="32" t="inlineStr"/>
      <c r="R232" s="31" t="inlineStr">
        <is>
          <t>Earnings / Momentum Support</t>
        </is>
      </c>
      <c r="S232" s="31" t="inlineStr">
        <is>
          <t>Nifty Infra</t>
        </is>
      </c>
      <c r="T232" s="32" t="inlineStr"/>
      <c r="U232" s="32" t="inlineStr"/>
      <c r="V232" s="32" t="inlineStr"/>
      <c r="W232" s="32" t="inlineStr"/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Headwind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3</t>
        </is>
      </c>
      <c r="BC232" s="31">
        <f>IF(BB232="Stage 2",20,IF(BB232="Stage 1",0,IF(BB232="Stage 3",5,IF(BB232="Stage 4",-5,0))))</f>
        <v/>
      </c>
      <c r="BD232" s="31" t="inlineStr">
        <is>
          <t>Negative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IF(B233=0,"",RANK(B233,$B$2:$B$389,0))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EMAMIPAP</t>
        </is>
      </c>
      <c r="D233" s="31" t="inlineStr">
        <is>
          <t>Emami Paper Mills Ltd</t>
        </is>
      </c>
      <c r="E233" s="31" t="inlineStr">
        <is>
          <t>building materials</t>
        </is>
      </c>
      <c r="F233" s="31" t="inlineStr">
        <is>
          <t>paper</t>
        </is>
      </c>
      <c r="G233" s="31" t="inlineStr">
        <is>
          <t>smallcap</t>
        </is>
      </c>
      <c r="H233" s="32" t="n">
        <v>700.64</v>
      </c>
      <c r="I233" s="32" t="n">
        <v>116.5</v>
      </c>
      <c r="J233" s="32" t="n">
        <v>0.6</v>
      </c>
      <c r="K233" s="32" t="n">
        <v>36955</v>
      </c>
      <c r="L233" s="31" t="inlineStr"/>
      <c r="M233" s="31" t="inlineStr"/>
      <c r="N233" s="32">
        <f>IF(M233="Underperforming",-5,IF(L233&gt;=95,15,IF(L233&gt;=90,10,IF(L233&gt;=80,5,0))))</f>
        <v/>
      </c>
      <c r="O233" s="32" t="n">
        <v>69.45999999999999</v>
      </c>
      <c r="P233" s="32" t="n">
        <v>26.88</v>
      </c>
      <c r="Q233" s="32" t="inlineStr"/>
      <c r="R233" s="31" t="inlineStr">
        <is>
          <t>Earnings / Momentum Support</t>
        </is>
      </c>
      <c r="S233" s="31" t="inlineStr">
        <is>
          <t>Nifty Infra</t>
        </is>
      </c>
      <c r="T233" s="32" t="inlineStr"/>
      <c r="U233" s="32" t="inlineStr"/>
      <c r="V233" s="32" t="inlineStr"/>
      <c r="W233" s="32" t="inlineStr"/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Headwind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3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Less than 1.5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More than 1.2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IF(B234=0,"",RANK(B234,$B$2:$B$389,0))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DYNAMATECH</t>
        </is>
      </c>
      <c r="D234" s="31" t="inlineStr">
        <is>
          <t>Dynamatic Technologies Limited</t>
        </is>
      </c>
      <c r="E234" s="31" t="inlineStr">
        <is>
          <t>aerospace &amp; defence</t>
        </is>
      </c>
      <c r="F234" s="31" t="inlineStr">
        <is>
          <t>engineering</t>
        </is>
      </c>
      <c r="G234" s="31" t="inlineStr">
        <is>
          <t>midcap</t>
        </is>
      </c>
      <c r="H234" s="32" t="n">
        <v>7869.92</v>
      </c>
      <c r="I234" s="32" t="n">
        <v>11646</v>
      </c>
      <c r="J234" s="32" t="n">
        <v>0.5</v>
      </c>
      <c r="K234" s="32" t="n">
        <v>16876</v>
      </c>
      <c r="L234" s="31" t="n">
        <v>58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59.04</v>
      </c>
      <c r="P234" s="32" t="n">
        <v>21.64</v>
      </c>
      <c r="Q234" s="32" t="inlineStr"/>
      <c r="R234" s="31" t="inlineStr">
        <is>
          <t>Earnings / Momentum Support</t>
        </is>
      </c>
      <c r="S234" s="31" t="inlineStr">
        <is>
          <t>Nifty 50</t>
        </is>
      </c>
      <c r="T234" s="32" t="n">
        <v>-2.49</v>
      </c>
      <c r="U234" s="32" t="n">
        <v>77.52</v>
      </c>
      <c r="V234" s="32" t="n">
        <v>82.04000000000001</v>
      </c>
      <c r="W234" s="32" t="n">
        <v>13.78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Headwind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3</t>
        </is>
      </c>
      <c r="BC234" s="31">
        <f>IF(BB234="Stage 2",20,IF(BB234="Stage 1",0,IF(BB234="Stage 3",5,IF(BB234="Stage 4",-5,0))))</f>
        <v/>
      </c>
      <c r="BD234" s="31" t="inlineStr">
        <is>
          <t>Negative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Between 1.5 to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Between 0.7 to 1.2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IF(B235=0,"",RANK(B235,$B$2:$B$389,0))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GLOBAL</t>
        </is>
      </c>
      <c r="D235" s="31" t="inlineStr">
        <is>
          <t>Global Education Ltd</t>
        </is>
      </c>
      <c r="E235" s="31" t="inlineStr">
        <is>
          <t>services</t>
        </is>
      </c>
      <c r="F235" s="31" t="inlineStr">
        <is>
          <t>miscellaneous</t>
        </is>
      </c>
      <c r="G235" s="31" t="inlineStr">
        <is>
          <t>smallcap</t>
        </is>
      </c>
      <c r="H235" s="32" t="n">
        <v>544.54</v>
      </c>
      <c r="I235" s="32" t="n">
        <v>107.5</v>
      </c>
      <c r="J235" s="32" t="n">
        <v>0.49</v>
      </c>
      <c r="K235" s="32" t="n">
        <v>150061</v>
      </c>
      <c r="L235" s="31" t="n">
        <v>54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57.61</v>
      </c>
      <c r="P235" s="32" t="n">
        <v>41.13</v>
      </c>
      <c r="Q235" s="32" t="inlineStr"/>
      <c r="R235" s="31" t="inlineStr">
        <is>
          <t>Earnings / Momentum Support</t>
        </is>
      </c>
      <c r="S235" s="31" t="inlineStr">
        <is>
          <t>Nifty 50</t>
        </is>
      </c>
      <c r="T235" s="32" t="n">
        <v>-2.49</v>
      </c>
      <c r="U235" s="32" t="n">
        <v>66.51000000000001</v>
      </c>
      <c r="V235" s="32" t="n">
        <v>70.75</v>
      </c>
      <c r="W235" s="32" t="n">
        <v>12.77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Headwind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Above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3</t>
        </is>
      </c>
      <c r="BC235" s="31">
        <f>IF(BB235="Stage 2",20,IF(BB235="Stage 1",0,IF(BB235="Stage 3",5,IF(BB235="Stage 4",-5,0))))</f>
        <v/>
      </c>
      <c r="BD235" s="31" t="inlineStr">
        <is>
          <t>Negative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Less than 12%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Less than 50%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IF(B236=0,"",RANK(B236,$B$2:$B$389,0))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EICHERMOT</t>
        </is>
      </c>
      <c r="D236" s="31" t="inlineStr">
        <is>
          <t>Eicher Motors Limited</t>
        </is>
      </c>
      <c r="E236" s="31" t="inlineStr">
        <is>
          <t>auto</t>
        </is>
      </c>
      <c r="F236" s="31" t="inlineStr">
        <is>
          <t>automobiles - motorcycles / mopeds</t>
        </is>
      </c>
      <c r="G236" s="31" t="inlineStr">
        <is>
          <t>largecap</t>
        </is>
      </c>
      <c r="H236" s="32" t="n">
        <v>219872.52</v>
      </c>
      <c r="I236" s="32" t="n">
        <v>8047</v>
      </c>
      <c r="J236" s="32" t="n">
        <v>0.46</v>
      </c>
      <c r="K236" s="32" t="n">
        <v>200731</v>
      </c>
      <c r="L236" s="31" t="inlineStr"/>
      <c r="M236" s="31" t="inlineStr"/>
      <c r="N236" s="32">
        <f>IF(M236="Underperforming",-5,IF(L236&gt;=95,15,IF(L236&gt;=90,10,IF(L236&gt;=80,5,0))))</f>
        <v/>
      </c>
      <c r="O236" s="32" t="n">
        <v>64.02</v>
      </c>
      <c r="P236" s="32" t="n">
        <v>11.17</v>
      </c>
      <c r="Q236" s="32" t="inlineStr"/>
      <c r="R236" s="31" t="inlineStr">
        <is>
          <t>Earnings / Momentum Support</t>
        </is>
      </c>
      <c r="S236" s="31" t="inlineStr">
        <is>
          <t>Nifty Auto</t>
        </is>
      </c>
      <c r="T236" s="32" t="inlineStr"/>
      <c r="U236" s="32" t="inlineStr"/>
      <c r="V236" s="32" t="inlineStr"/>
      <c r="W236" s="32" t="inlineStr"/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Headwind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0 to 20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3</t>
        </is>
      </c>
      <c r="BC236" s="31">
        <f>IF(BB236="Stage 2",20,IF(BB236="Stage 1",0,IF(BB236="Stage 3",5,IF(BB236="Stage 4",-5,0))))</f>
        <v/>
      </c>
      <c r="BD236" s="31" t="inlineStr">
        <is>
          <t>Negative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Between 1.5 to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IF(B237=0,"",RANK(B237,$B$2:$B$389,0))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KRISHANA</t>
        </is>
      </c>
      <c r="D237" s="31" t="inlineStr">
        <is>
          <t>Krishana Phoschem Ltd</t>
        </is>
      </c>
      <c r="E237" s="31" t="inlineStr">
        <is>
          <t>chemicals</t>
        </is>
      </c>
      <c r="F237" s="31" t="inlineStr">
        <is>
          <t>fertilizers</t>
        </is>
      </c>
      <c r="G237" s="31" t="inlineStr">
        <is>
          <t>smallcap</t>
        </is>
      </c>
      <c r="H237" s="32" t="n">
        <v>1226.72</v>
      </c>
      <c r="I237" s="32" t="n">
        <v>199.3</v>
      </c>
      <c r="J237" s="32" t="n">
        <v>0.45</v>
      </c>
      <c r="K237" s="32" t="n">
        <v>879731</v>
      </c>
      <c r="L237" s="31" t="n">
        <v>78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79.52</v>
      </c>
      <c r="P237" s="32" t="n">
        <v>50.24</v>
      </c>
      <c r="Q237" s="32" t="inlineStr"/>
      <c r="R237" s="31" t="inlineStr">
        <is>
          <t>Earnings / Momentum Support</t>
        </is>
      </c>
      <c r="S237" s="31" t="inlineStr">
        <is>
          <t>Nifty 50</t>
        </is>
      </c>
      <c r="T237" s="32" t="n">
        <v>-2.49</v>
      </c>
      <c r="U237" s="32" t="n">
        <v>65.06999999999999</v>
      </c>
      <c r="V237" s="32" t="n">
        <v>69.27</v>
      </c>
      <c r="W237" s="32" t="n">
        <v>22.75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Headwind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Above 40</t>
        </is>
      </c>
      <c r="AY237" s="31">
        <f>IF(AX237="Above 40",20,IF(AX237="20 to 40",10,IF(AX237="0 to 20",-5,0)))</f>
        <v/>
      </c>
      <c r="AZ237" s="31" t="inlineStr">
        <is>
          <t>Above 75</t>
        </is>
      </c>
      <c r="BA237" s="31">
        <f>IF(AZ237="Between 50 to 75",10,IF(AZ237="Above 75",0,0))</f>
        <v/>
      </c>
      <c r="BB237" s="31" t="inlineStr">
        <is>
          <t>Stage 3</t>
        </is>
      </c>
      <c r="BC237" s="31">
        <f>IF(BB237="Stage 2",20,IF(BB237="Stage 1",0,IF(BB237="Stage 3",5,IF(BB237="Stage 4",-5,0))))</f>
        <v/>
      </c>
      <c r="BD237" s="31" t="inlineStr">
        <is>
          <t>Negative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Less than 1.5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More than 1.2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IF(B238=0,"",RANK(B238,$B$2:$B$389,0))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DCI</t>
        </is>
      </c>
      <c r="D238" s="31" t="inlineStr">
        <is>
          <t>DC Infotech &amp; Communication Ltd</t>
        </is>
      </c>
      <c r="E238" s="31" t="inlineStr">
        <is>
          <t>i.t</t>
        </is>
      </c>
      <c r="F238" s="31" t="inlineStr">
        <is>
          <t>trading</t>
        </is>
      </c>
      <c r="G238" s="31" t="inlineStr">
        <is>
          <t>smallcap</t>
        </is>
      </c>
      <c r="H238" s="32" t="n">
        <v>625.41</v>
      </c>
      <c r="I238" s="32" t="n">
        <v>383</v>
      </c>
      <c r="J238" s="32" t="n">
        <v>0.43</v>
      </c>
      <c r="K238" s="32" t="n">
        <v>67624</v>
      </c>
      <c r="L238" s="31" t="n">
        <v>66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70.68000000000001</v>
      </c>
      <c r="P238" s="32" t="n">
        <v>43.18</v>
      </c>
      <c r="Q238" s="32" t="inlineStr"/>
      <c r="R238" s="31" t="inlineStr">
        <is>
          <t>Earnings / Momentum Support</t>
        </is>
      </c>
      <c r="S238" s="31" t="inlineStr">
        <is>
          <t>Nifty IT</t>
        </is>
      </c>
      <c r="T238" s="32" t="n">
        <v>-13.85</v>
      </c>
      <c r="U238" s="32" t="n">
        <v>62.85</v>
      </c>
      <c r="V238" s="32" t="n">
        <v>89.03</v>
      </c>
      <c r="W238" s="32" t="n">
        <v>16.52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Headwind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Above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3</t>
        </is>
      </c>
      <c r="BC238" s="31">
        <f>IF(BB238="Stage 2",20,IF(BB238="Stage 1",0,IF(BB238="Stage 3",5,IF(BB238="Stage 4",-5,0))))</f>
        <v/>
      </c>
      <c r="BD238" s="31" t="inlineStr">
        <is>
          <t>Negative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Less than 12%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Between 0.7 to 1.2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IF(B239=0,"",RANK(B239,$B$2:$B$389,0))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BEPL</t>
        </is>
      </c>
      <c r="D239" s="31" t="inlineStr">
        <is>
          <t>Bhansali Engineering Polymers Limited</t>
        </is>
      </c>
      <c r="E239" s="31" t="inlineStr">
        <is>
          <t>energy</t>
        </is>
      </c>
      <c r="F239" s="31" t="inlineStr">
        <is>
          <t>petrochemicals</t>
        </is>
      </c>
      <c r="G239" s="31" t="inlineStr">
        <is>
          <t>smallcap</t>
        </is>
      </c>
      <c r="H239" s="32" t="n">
        <v>3131.14</v>
      </c>
      <c r="I239" s="32" t="n">
        <v>125.26</v>
      </c>
      <c r="J239" s="32" t="n">
        <v>-0.45</v>
      </c>
      <c r="K239" s="32" t="n">
        <v>1672976</v>
      </c>
      <c r="L239" s="31" t="inlineStr"/>
      <c r="M239" s="31" t="inlineStr"/>
      <c r="N239" s="32">
        <f>IF(M239="Underperforming",-5,IF(L239&gt;=95,15,IF(L239&gt;=90,10,IF(L239&gt;=80,5,0))))</f>
        <v/>
      </c>
      <c r="O239" s="32" t="n">
        <v>72.47</v>
      </c>
      <c r="P239" s="32" t="n">
        <v>52.64</v>
      </c>
      <c r="Q239" s="32" t="inlineStr"/>
      <c r="R239" s="31" t="inlineStr">
        <is>
          <t>Earnings / Momentum Support</t>
        </is>
      </c>
      <c r="S239" s="31" t="inlineStr">
        <is>
          <t>Nifty Energy</t>
        </is>
      </c>
      <c r="T239" s="32" t="inlineStr"/>
      <c r="U239" s="32" t="inlineStr"/>
      <c r="V239" s="32" t="inlineStr"/>
      <c r="W239" s="32" t="inlineStr"/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Oligopoly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Yes</t>
        </is>
      </c>
      <c r="AC239" s="31">
        <f>IF(AB239="No",5,0)</f>
        <v/>
      </c>
      <c r="AD239" s="31" t="inlineStr">
        <is>
          <t>Headwind</t>
        </is>
      </c>
      <c r="AE239" s="31">
        <f>IF(AD239="Tailwind",10,0)</f>
        <v/>
      </c>
      <c r="AF239" s="31" t="inlineStr">
        <is>
          <t>Cyclical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Volatile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Above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3</t>
        </is>
      </c>
      <c r="BC239" s="31">
        <f>IF(BB239="Stage 2",20,IF(BB239="Stage 1",0,IF(BB239="Stage 3",5,IF(BB239="Stage 4",-5,0))))</f>
        <v/>
      </c>
      <c r="BD239" s="31" t="inlineStr">
        <is>
          <t>Negative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Less than 1.5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IF(B240=0,"",RANK(B240,$B$2:$B$389,0))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GRASIM</t>
        </is>
      </c>
      <c r="D240" s="31" t="inlineStr">
        <is>
          <t>Grasim Industries Limited</t>
        </is>
      </c>
      <c r="E240" s="31" t="inlineStr">
        <is>
          <t>textiles</t>
        </is>
      </c>
      <c r="F240" s="31" t="inlineStr">
        <is>
          <t>textiles - manmade</t>
        </is>
      </c>
      <c r="G240" s="31" t="inlineStr">
        <is>
          <t>largecap</t>
        </is>
      </c>
      <c r="H240" s="32" t="n">
        <v>225136.05</v>
      </c>
      <c r="I240" s="32" t="n">
        <v>3288</v>
      </c>
      <c r="J240" s="32" t="n">
        <v>-0.6</v>
      </c>
      <c r="K240" s="32" t="n">
        <v>1595213</v>
      </c>
      <c r="L240" s="31" t="n">
        <v>21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65.93000000000001</v>
      </c>
      <c r="P240" s="32" t="n">
        <v>38.75</v>
      </c>
      <c r="Q240" s="32" t="inlineStr"/>
      <c r="R240" s="31" t="inlineStr">
        <is>
          <t>Earnings / Momentum Support</t>
        </is>
      </c>
      <c r="S240" s="31" t="inlineStr">
        <is>
          <t>Nifty 50</t>
        </is>
      </c>
      <c r="T240" s="32" t="n">
        <v>-2.49</v>
      </c>
      <c r="U240" s="32" t="n">
        <v>17.93</v>
      </c>
      <c r="V240" s="32" t="n">
        <v>20.94</v>
      </c>
      <c r="W240" s="32" t="n">
        <v>4.5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Headwind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3</t>
        </is>
      </c>
      <c r="BC240" s="31">
        <f>IF(BB240="Stage 2",20,IF(BB240="Stage 1",0,IF(BB240="Stage 3",5,IF(BB240="Stage 4",-5,0))))</f>
        <v/>
      </c>
      <c r="BD240" s="31" t="inlineStr">
        <is>
          <t>Negative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Less than 1.5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More than 1.2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IF(B241=0,"",RANK(B241,$B$2:$B$389,0))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KRN</t>
        </is>
      </c>
      <c r="D241" s="31" t="inlineStr">
        <is>
          <t>KRN Heat Exchanger and Refrigeration Ltd</t>
        </is>
      </c>
      <c r="E241" s="31" t="inlineStr">
        <is>
          <t>industrials</t>
        </is>
      </c>
      <c r="F241" s="31" t="inlineStr">
        <is>
          <t>engineering</t>
        </is>
      </c>
      <c r="G241" s="31" t="inlineStr">
        <is>
          <t>midcap</t>
        </is>
      </c>
      <c r="H241" s="32" t="n">
        <v>9701.6</v>
      </c>
      <c r="I241" s="32" t="n">
        <v>1471.2</v>
      </c>
      <c r="J241" s="32" t="n">
        <v>-0.74</v>
      </c>
      <c r="K241" s="32" t="n">
        <v>94626</v>
      </c>
      <c r="L241" s="31" t="n">
        <v>68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71.09999999999999</v>
      </c>
      <c r="P241" s="32" t="n">
        <v>32.52</v>
      </c>
      <c r="Q241" s="32" t="inlineStr"/>
      <c r="R241" s="31" t="inlineStr">
        <is>
          <t>Earnings / Momentum Support</t>
        </is>
      </c>
      <c r="S241" s="31" t="inlineStr">
        <is>
          <t>Nifty 50</t>
        </is>
      </c>
      <c r="T241" s="32" t="n">
        <v>-2.49</v>
      </c>
      <c r="U241" s="32" t="n">
        <v>55.14</v>
      </c>
      <c r="V241" s="32" t="n">
        <v>59.1</v>
      </c>
      <c r="W241" s="32" t="n">
        <v>17.22</v>
      </c>
      <c r="X241" s="31" t="inlineStr">
        <is>
          <t>Cyclical in an Upturn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Headwind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3</t>
        </is>
      </c>
      <c r="BC241" s="31">
        <f>IF(BB241="Stage 2",20,IF(BB241="Stage 1",0,IF(BB241="Stage 3",5,IF(BB241="Stage 4",-5,0))))</f>
        <v/>
      </c>
      <c r="BD241" s="31" t="inlineStr">
        <is>
          <t>Negative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IF(B242=0,"",RANK(B242,$B$2:$B$389,0))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DIACABS</t>
        </is>
      </c>
      <c r="D242" s="31" t="inlineStr">
        <is>
          <t>Diamond Power Infrastructure Ltd</t>
        </is>
      </c>
      <c r="E242" s="31" t="inlineStr">
        <is>
          <t>industrials</t>
        </is>
      </c>
      <c r="F242" s="31" t="inlineStr">
        <is>
          <t>cables - power</t>
        </is>
      </c>
      <c r="G242" s="31" t="inlineStr">
        <is>
          <t>midcap</t>
        </is>
      </c>
      <c r="H242" s="32" t="n">
        <v>18765.44</v>
      </c>
      <c r="I242" s="32" t="n">
        <v>353.2</v>
      </c>
      <c r="J242" s="32" t="n">
        <v>-0.8100000000000001</v>
      </c>
      <c r="K242" s="32" t="n">
        <v>927112</v>
      </c>
      <c r="L242" s="31" t="inlineStr"/>
      <c r="M242" s="31" t="inlineStr"/>
      <c r="N242" s="32">
        <f>IF(M242="Underperforming",-5,IF(L242&gt;=95,15,IF(L242&gt;=90,10,IF(L242&gt;=80,5,0))))</f>
        <v/>
      </c>
      <c r="O242" s="32" t="n">
        <v>83.48999999999999</v>
      </c>
      <c r="P242" s="32" t="n">
        <v>66.18000000000001</v>
      </c>
      <c r="Q242" s="32" t="inlineStr"/>
      <c r="R242" s="31" t="inlineStr">
        <is>
          <t>Earnings / Momentum Support</t>
        </is>
      </c>
      <c r="S242" s="31" t="inlineStr">
        <is>
          <t>Nifty Energy</t>
        </is>
      </c>
      <c r="T242" s="32" t="inlineStr"/>
      <c r="U242" s="32" t="inlineStr"/>
      <c r="V242" s="32" t="inlineStr"/>
      <c r="W242" s="32" t="inlineStr"/>
      <c r="X242" s="31" t="inlineStr">
        <is>
          <t>Cyclical in an Upturn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Headwind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Above 40</t>
        </is>
      </c>
      <c r="AY242" s="31">
        <f>IF(AX242="Above 40",20,IF(AX242="20 to 40",10,IF(AX242="0 to 20",-5,0)))</f>
        <v/>
      </c>
      <c r="AZ242" s="31" t="inlineStr">
        <is>
          <t>Above 75</t>
        </is>
      </c>
      <c r="BA242" s="31">
        <f>IF(AZ242="Between 50 to 75",10,IF(AZ242="Above 75",0,0))</f>
        <v/>
      </c>
      <c r="BB242" s="31" t="inlineStr">
        <is>
          <t>Stage 3</t>
        </is>
      </c>
      <c r="BC242" s="31">
        <f>IF(BB242="Stage 2",20,IF(BB242="Stage 1",0,IF(BB242="Stage 3",5,IF(BB242="Stage 4",-5,0))))</f>
        <v/>
      </c>
      <c r="BD242" s="31" t="inlineStr">
        <is>
          <t>Negative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IF(B243=0,"",RANK(B243,$B$2:$B$389,0))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NRBBEARING</t>
        </is>
      </c>
      <c r="D243" s="31" t="inlineStr">
        <is>
          <t>Nrb Bearing Limited</t>
        </is>
      </c>
      <c r="E243" s="31" t="inlineStr">
        <is>
          <t>industrials</t>
        </is>
      </c>
      <c r="F243" s="31" t="inlineStr">
        <is>
          <t>bearings</t>
        </is>
      </c>
      <c r="G243" s="31" t="inlineStr">
        <is>
          <t>smallcap</t>
        </is>
      </c>
      <c r="H243" s="32" t="n">
        <v>4711.41</v>
      </c>
      <c r="I243" s="32" t="n">
        <v>480.95</v>
      </c>
      <c r="J243" s="32" t="n">
        <v>-1.06</v>
      </c>
      <c r="K243" s="32" t="n">
        <v>238248</v>
      </c>
      <c r="L243" s="31" t="n">
        <v>69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77.08</v>
      </c>
      <c r="P243" s="32" t="n">
        <v>50.85</v>
      </c>
      <c r="Q243" s="32" t="inlineStr"/>
      <c r="R243" s="31" t="inlineStr">
        <is>
          <t>Earnings / Momentum Support</t>
        </is>
      </c>
      <c r="S243" s="31" t="inlineStr">
        <is>
          <t>Nifty 50</t>
        </is>
      </c>
      <c r="T243" s="32" t="n">
        <v>-2.49</v>
      </c>
      <c r="U243" s="32" t="n">
        <v>69.79000000000001</v>
      </c>
      <c r="V243" s="32" t="n">
        <v>74.12</v>
      </c>
      <c r="W243" s="32" t="n">
        <v>18.37</v>
      </c>
      <c r="X243" s="31" t="inlineStr">
        <is>
          <t>Cyclical in an Upturn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Headwind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Above 40</t>
        </is>
      </c>
      <c r="AY243" s="31">
        <f>IF(AX243="Above 40",20,IF(AX243="20 to 40",10,IF(AX243="0 to 20",-5,0)))</f>
        <v/>
      </c>
      <c r="AZ243" s="31" t="inlineStr">
        <is>
          <t>Above 75</t>
        </is>
      </c>
      <c r="BA243" s="31">
        <f>IF(AZ243="Between 50 to 75",10,IF(AZ243="Above 75",0,0))</f>
        <v/>
      </c>
      <c r="BB243" s="31" t="inlineStr">
        <is>
          <t>Stage 3</t>
        </is>
      </c>
      <c r="BC243" s="31">
        <f>IF(BB243="Stage 2",20,IF(BB243="Stage 1",0,IF(BB243="Stage 3",5,IF(BB243="Stage 4",-5,0))))</f>
        <v/>
      </c>
      <c r="BD243" s="31" t="inlineStr">
        <is>
          <t>Negative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Between 12 to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IF(B244=0,"",RANK(B244,$B$2:$B$389,0))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SEAMECLTD</t>
        </is>
      </c>
      <c r="D244" s="31" t="inlineStr">
        <is>
          <t>Seamec Limited</t>
        </is>
      </c>
      <c r="E244" s="31" t="inlineStr">
        <is>
          <t>miscellaneous</t>
        </is>
      </c>
      <c r="F244" s="31" t="inlineStr">
        <is>
          <t>miscellaneous</t>
        </is>
      </c>
      <c r="G244" s="31" t="inlineStr">
        <is>
          <t>smallcap</t>
        </is>
      </c>
      <c r="H244" s="32" t="n">
        <v>4256.91</v>
      </c>
      <c r="I244" s="32" t="n">
        <v>1650</v>
      </c>
      <c r="J244" s="32" t="n">
        <v>-1.45</v>
      </c>
      <c r="K244" s="32" t="n">
        <v>135257</v>
      </c>
      <c r="L244" s="31" t="n">
        <v>62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66.52</v>
      </c>
      <c r="P244" s="32" t="n">
        <v>20.86</v>
      </c>
      <c r="Q244" s="32" t="inlineStr"/>
      <c r="R244" s="31" t="inlineStr">
        <is>
          <t>Earnings / Momentum Support</t>
        </is>
      </c>
      <c r="S244" s="31" t="inlineStr">
        <is>
          <t>Nifty 50</t>
        </is>
      </c>
      <c r="T244" s="32" t="n">
        <v>-2.49</v>
      </c>
      <c r="U244" s="32" t="n">
        <v>86.70999999999999</v>
      </c>
      <c r="V244" s="32" t="n">
        <v>91.47</v>
      </c>
      <c r="W244" s="32" t="n">
        <v>15.61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Headwind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3</t>
        </is>
      </c>
      <c r="BC244" s="31">
        <f>IF(BB244="Stage 2",20,IF(BB244="Stage 1",0,IF(BB244="Stage 3",5,IF(BB244="Stage 4",-5,0))))</f>
        <v/>
      </c>
      <c r="BD244" s="31" t="inlineStr">
        <is>
          <t>Negative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Less than 12%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IF(B245=0,"",RANK(B245,$B$2:$B$389,0))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SHAILY</t>
        </is>
      </c>
      <c r="D245" s="31" t="inlineStr">
        <is>
          <t>Shaily Engineering Plastics Ltd</t>
        </is>
      </c>
      <c r="E245" s="31" t="inlineStr">
        <is>
          <t>plastic products</t>
        </is>
      </c>
      <c r="F245" s="31" t="inlineStr">
        <is>
          <t>plastics products</t>
        </is>
      </c>
      <c r="G245" s="31" t="inlineStr">
        <is>
          <t>midcap</t>
        </is>
      </c>
      <c r="H245" s="32" t="n">
        <v>15275.02</v>
      </c>
      <c r="I245" s="32" t="n">
        <v>3268.8</v>
      </c>
      <c r="J245" s="32" t="n">
        <v>-1.57</v>
      </c>
      <c r="K245" s="32" t="n">
        <v>106805</v>
      </c>
      <c r="L245" s="31" t="n">
        <v>65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68.66</v>
      </c>
      <c r="P245" s="32" t="n">
        <v>31.15</v>
      </c>
      <c r="Q245" s="32" t="inlineStr"/>
      <c r="R245" s="31" t="inlineStr">
        <is>
          <t>Earnings / Momentum Support</t>
        </is>
      </c>
      <c r="S245" s="31" t="inlineStr">
        <is>
          <t>Nifty 50</t>
        </is>
      </c>
      <c r="T245" s="32" t="n">
        <v>-2.49</v>
      </c>
      <c r="U245" s="32" t="n">
        <v>58.02</v>
      </c>
      <c r="V245" s="32" t="n">
        <v>62.05</v>
      </c>
      <c r="W245" s="32" t="n">
        <v>15.85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Headwind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3</t>
        </is>
      </c>
      <c r="BC245" s="31">
        <f>IF(BB245="Stage 2",20,IF(BB245="Stage 1",0,IF(BB245="Stage 3",5,IF(BB245="Stage 4",-5,0))))</f>
        <v/>
      </c>
      <c r="BD245" s="31" t="inlineStr">
        <is>
          <t>Negative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Between 12 to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Yes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IF(B246=0,"",RANK(B246,$B$2:$B$389,0))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GANESHBE</t>
        </is>
      </c>
      <c r="D246" s="31" t="inlineStr">
        <is>
          <t>Ganesh Benzoplast Ltd</t>
        </is>
      </c>
      <c r="E246" s="31" t="inlineStr">
        <is>
          <t>miscellaneous</t>
        </is>
      </c>
      <c r="F246" s="31" t="inlineStr">
        <is>
          <t>miscellaneous</t>
        </is>
      </c>
      <c r="G246" s="31" t="inlineStr">
        <is>
          <t>smallcap</t>
        </is>
      </c>
      <c r="H246" s="32" t="n">
        <v>892.38</v>
      </c>
      <c r="I246" s="32" t="n">
        <v>122</v>
      </c>
      <c r="J246" s="32" t="n">
        <v>-1.58</v>
      </c>
      <c r="K246" s="32" t="n">
        <v>129547</v>
      </c>
      <c r="L246" s="31" t="inlineStr"/>
      <c r="M246" s="31" t="inlineStr"/>
      <c r="N246" s="32">
        <f>IF(M246="Underperforming",-5,IF(L246&gt;=95,15,IF(L246&gt;=90,10,IF(L246&gt;=80,5,0))))</f>
        <v/>
      </c>
      <c r="O246" s="32" t="n">
        <v>68.48</v>
      </c>
      <c r="P246" s="32" t="n">
        <v>31.87</v>
      </c>
      <c r="Q246" s="32" t="inlineStr"/>
      <c r="R246" s="31" t="inlineStr">
        <is>
          <t>Earnings / Momentum Support</t>
        </is>
      </c>
      <c r="S246" s="31" t="inlineStr">
        <is>
          <t>Nifty Energy</t>
        </is>
      </c>
      <c r="T246" s="32" t="inlineStr"/>
      <c r="U246" s="32" t="inlineStr"/>
      <c r="V246" s="32" t="inlineStr"/>
      <c r="W246" s="32" t="inlineStr"/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Headwind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3</t>
        </is>
      </c>
      <c r="BC246" s="31">
        <f>IF(BB246="Stage 2",20,IF(BB246="Stage 1",0,IF(BB246="Stage 3",5,IF(BB246="Stage 4",-5,0))))</f>
        <v/>
      </c>
      <c r="BD246" s="31" t="inlineStr">
        <is>
          <t>Negative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Less than 12%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IF(B247=0,"",RANK(B247,$B$2:$B$389,0))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RRKABEL</t>
        </is>
      </c>
      <c r="D247" s="31" t="inlineStr">
        <is>
          <t>R R Kabel Ltd</t>
        </is>
      </c>
      <c r="E247" s="31" t="inlineStr">
        <is>
          <t>industrials</t>
        </is>
      </c>
      <c r="F247" s="31" t="inlineStr">
        <is>
          <t>cables - power</t>
        </is>
      </c>
      <c r="G247" s="31" t="inlineStr">
        <is>
          <t>largecap</t>
        </is>
      </c>
      <c r="H247" s="32" t="n">
        <v>33018.89</v>
      </c>
      <c r="I247" s="32" t="n">
        <v>2869.9</v>
      </c>
      <c r="J247" s="32" t="n">
        <v>-1.69</v>
      </c>
      <c r="K247" s="32" t="n">
        <v>370802</v>
      </c>
      <c r="L247" s="31" t="inlineStr"/>
      <c r="M247" s="31" t="inlineStr"/>
      <c r="N247" s="32">
        <f>IF(M247="Underperforming",-5,IF(L247&gt;=95,15,IF(L247&gt;=90,10,IF(L247&gt;=80,5,0))))</f>
        <v/>
      </c>
      <c r="O247" s="32" t="n">
        <v>79.45999999999999</v>
      </c>
      <c r="P247" s="32" t="n">
        <v>68.73</v>
      </c>
      <c r="Q247" s="32" t="inlineStr"/>
      <c r="R247" s="31" t="inlineStr">
        <is>
          <t>Earnings / Momentum Support</t>
        </is>
      </c>
      <c r="S247" s="31" t="inlineStr">
        <is>
          <t>Nifty Energy</t>
        </is>
      </c>
      <c r="T247" s="32" t="inlineStr"/>
      <c r="U247" s="32" t="inlineStr"/>
      <c r="V247" s="32" t="inlineStr"/>
      <c r="W247" s="32" t="inlineStr"/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Headwind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Above 40</t>
        </is>
      </c>
      <c r="AY247" s="31">
        <f>IF(AX247="Above 40",20,IF(AX247="20 to 40",10,IF(AX247="0 to 20",-5,0)))</f>
        <v/>
      </c>
      <c r="AZ247" s="31" t="inlineStr">
        <is>
          <t>Above 75</t>
        </is>
      </c>
      <c r="BA247" s="31">
        <f>IF(AZ247="Between 50 to 75",10,IF(AZ247="Above 75",0,0))</f>
        <v/>
      </c>
      <c r="BB247" s="31" t="inlineStr">
        <is>
          <t>Stage 3</t>
        </is>
      </c>
      <c r="BC247" s="31">
        <f>IF(BB247="Stage 2",20,IF(BB247="Stage 1",0,IF(BB247="Stage 3",5,IF(BB247="Stage 4",-5,0))))</f>
        <v/>
      </c>
      <c r="BD247" s="31" t="inlineStr">
        <is>
          <t>Negative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IF(B248=0,"",RANK(B248,$B$2:$B$389,0))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LMW</t>
        </is>
      </c>
      <c r="D248" s="31" t="inlineStr">
        <is>
          <t>LMW Ltd</t>
        </is>
      </c>
      <c r="E248" s="31" t="inlineStr">
        <is>
          <t>industrials</t>
        </is>
      </c>
      <c r="F248" s="31" t="inlineStr">
        <is>
          <t>textile machinery</t>
        </is>
      </c>
      <c r="G248" s="31" t="inlineStr">
        <is>
          <t>largecap</t>
        </is>
      </c>
      <c r="H248" s="32" t="n">
        <v>21204.69</v>
      </c>
      <c r="I248" s="32" t="n">
        <v>19510</v>
      </c>
      <c r="J248" s="32" t="n">
        <v>-1.71</v>
      </c>
      <c r="K248" s="32" t="n">
        <v>2865</v>
      </c>
      <c r="L248" s="31" t="n">
        <v>60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75.31999999999999</v>
      </c>
      <c r="P248" s="32" t="n">
        <v>42.98</v>
      </c>
      <c r="Q248" s="32" t="inlineStr"/>
      <c r="R248" s="31" t="inlineStr">
        <is>
          <t>Earnings / Momentum Support</t>
        </is>
      </c>
      <c r="S248" s="31" t="inlineStr">
        <is>
          <t>Nifty 50</t>
        </is>
      </c>
      <c r="T248" s="32" t="n">
        <v>-2.49</v>
      </c>
      <c r="U248" s="32" t="n">
        <v>31.45</v>
      </c>
      <c r="V248" s="32" t="n">
        <v>34.8</v>
      </c>
      <c r="W248" s="32" t="n">
        <v>14.88</v>
      </c>
      <c r="X248" s="31" t="inlineStr">
        <is>
          <t>Cyclical in an Upturn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Headwind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Above 40</t>
        </is>
      </c>
      <c r="AY248" s="31">
        <f>IF(AX248="Above 40",20,IF(AX248="20 to 40",10,IF(AX248="0 to 20",-5,0)))</f>
        <v/>
      </c>
      <c r="AZ248" s="31" t="inlineStr">
        <is>
          <t>Above 75</t>
        </is>
      </c>
      <c r="BA248" s="31">
        <f>IF(AZ248="Between 50 to 75",10,IF(AZ248="Above 75",0,0))</f>
        <v/>
      </c>
      <c r="BB248" s="31" t="inlineStr">
        <is>
          <t>Stage 3</t>
        </is>
      </c>
      <c r="BC248" s="31">
        <f>IF(BB248="Stage 2",20,IF(BB248="Stage 1",0,IF(BB248="Stage 3",5,IF(BB248="Stage 4",-5,0))))</f>
        <v/>
      </c>
      <c r="BD248" s="31" t="inlineStr">
        <is>
          <t>Negative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IF(B249=0,"",RANK(B249,$B$2:$B$389,0))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ELGIEQUIP</t>
        </is>
      </c>
      <c r="D249" s="31" t="inlineStr">
        <is>
          <t>Elgi Equipments Limited</t>
        </is>
      </c>
      <c r="E249" s="31" t="inlineStr">
        <is>
          <t>industrials</t>
        </is>
      </c>
      <c r="F249" s="31" t="inlineStr">
        <is>
          <t>compressors / drilling equipment</t>
        </is>
      </c>
      <c r="G249" s="31" t="inlineStr">
        <is>
          <t>largecap</t>
        </is>
      </c>
      <c r="H249" s="32" t="n">
        <v>20103.12</v>
      </c>
      <c r="I249" s="32" t="n">
        <v>621.95</v>
      </c>
      <c r="J249" s="32" t="n">
        <v>-1.95</v>
      </c>
      <c r="K249" s="32" t="n">
        <v>454549</v>
      </c>
      <c r="L249" s="31" t="n">
        <v>37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67.12</v>
      </c>
      <c r="P249" s="32" t="n">
        <v>25.08</v>
      </c>
      <c r="Q249" s="32" t="inlineStr"/>
      <c r="R249" s="31" t="inlineStr">
        <is>
          <t>Earnings / Momentum Support</t>
        </is>
      </c>
      <c r="S249" s="31" t="inlineStr">
        <is>
          <t>Nifty 50</t>
        </is>
      </c>
      <c r="T249" s="32" t="n">
        <v>-2.49</v>
      </c>
      <c r="U249" s="32" t="n">
        <v>27.56</v>
      </c>
      <c r="V249" s="32" t="n">
        <v>30.81</v>
      </c>
      <c r="W249" s="32" t="n">
        <v>7.89</v>
      </c>
      <c r="X249" s="31" t="inlineStr">
        <is>
          <t>Cyclical in an Upturn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Headwind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3</t>
        </is>
      </c>
      <c r="BC249" s="31">
        <f>IF(BB249="Stage 2",20,IF(BB249="Stage 1",0,IF(BB249="Stage 3",5,IF(BB249="Stage 4",-5,0))))</f>
        <v/>
      </c>
      <c r="BD249" s="31" t="inlineStr">
        <is>
          <t>Negative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IF(B250=0,"",RANK(B250,$B$2:$B$389,0))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YASHO</t>
        </is>
      </c>
      <c r="D250" s="31" t="inlineStr">
        <is>
          <t>Yasho Industries Ltd</t>
        </is>
      </c>
      <c r="E250" s="31" t="inlineStr">
        <is>
          <t>chemicals</t>
        </is>
      </c>
      <c r="F250" s="31" t="inlineStr">
        <is>
          <t>chemicals</t>
        </is>
      </c>
      <c r="G250" s="31" t="inlineStr">
        <is>
          <t>midcap</t>
        </is>
      </c>
      <c r="H250" s="32" t="n">
        <v>5305.12</v>
      </c>
      <c r="I250" s="32" t="n">
        <v>4308.5</v>
      </c>
      <c r="J250" s="32" t="n">
        <v>-2.08</v>
      </c>
      <c r="K250" s="32" t="n">
        <v>81095</v>
      </c>
      <c r="L250" s="31" t="n">
        <v>98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92.34</v>
      </c>
      <c r="P250" s="32" t="n">
        <v>72.89</v>
      </c>
      <c r="Q250" s="32" t="inlineStr"/>
      <c r="R250" s="31" t="inlineStr">
        <is>
          <t>Earnings / Momentum Support</t>
        </is>
      </c>
      <c r="S250" s="31" t="inlineStr">
        <is>
          <t>Nifty 50</t>
        </is>
      </c>
      <c r="T250" s="32" t="n">
        <v>-2.49</v>
      </c>
      <c r="U250" s="32" t="n">
        <v>158.88</v>
      </c>
      <c r="V250" s="32" t="n">
        <v>165.47</v>
      </c>
      <c r="W250" s="32" t="n">
        <v>51.58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Headwind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Above 40</t>
        </is>
      </c>
      <c r="AY250" s="31">
        <f>IF(AX250="Above 40",20,IF(AX250="20 to 40",10,IF(AX250="0 to 20",-5,0)))</f>
        <v/>
      </c>
      <c r="AZ250" s="31" t="inlineStr">
        <is>
          <t>Above 75</t>
        </is>
      </c>
      <c r="BA250" s="31">
        <f>IF(AZ250="Between 50 to 75",10,IF(AZ250="Above 75",0,0))</f>
        <v/>
      </c>
      <c r="BB250" s="31" t="inlineStr">
        <is>
          <t>Stage 3</t>
        </is>
      </c>
      <c r="BC250" s="31">
        <f>IF(BB250="Stage 2",20,IF(BB250="Stage 1",0,IF(BB250="Stage 3",5,IF(BB250="Stage 4",-5,0))))</f>
        <v/>
      </c>
      <c r="BD250" s="31" t="inlineStr">
        <is>
          <t>Negative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Yes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More than 1.2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IF(B251=0,"",RANK(B251,$B$2:$B$389,0))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YUKEN</t>
        </is>
      </c>
      <c r="D251" s="31" t="inlineStr">
        <is>
          <t>Yuken India Ltd</t>
        </is>
      </c>
      <c r="E251" s="31" t="inlineStr">
        <is>
          <t>industrials</t>
        </is>
      </c>
      <c r="F251" s="31" t="inlineStr">
        <is>
          <t>engineering</t>
        </is>
      </c>
      <c r="G251" s="31" t="inlineStr">
        <is>
          <t>smallcap</t>
        </is>
      </c>
      <c r="H251" s="32" t="n">
        <v>1310.31</v>
      </c>
      <c r="I251" s="32" t="n">
        <v>940</v>
      </c>
      <c r="J251" s="32" t="n">
        <v>-2.55</v>
      </c>
      <c r="K251" s="32" t="n">
        <v>22574</v>
      </c>
      <c r="L251" s="31" t="inlineStr"/>
      <c r="M251" s="31" t="inlineStr"/>
      <c r="N251" s="32">
        <f>IF(M251="Underperforming",-5,IF(L251&gt;=95,15,IF(L251&gt;=90,10,IF(L251&gt;=80,5,0))))</f>
        <v/>
      </c>
      <c r="O251" s="32" t="n">
        <v>69.03</v>
      </c>
      <c r="P251" s="32" t="n">
        <v>20.56</v>
      </c>
      <c r="Q251" s="32" t="inlineStr"/>
      <c r="R251" s="31" t="inlineStr">
        <is>
          <t>Earnings / Momentum Support</t>
        </is>
      </c>
      <c r="S251" s="31" t="inlineStr">
        <is>
          <t>Nifty Infra</t>
        </is>
      </c>
      <c r="T251" s="32" t="inlineStr"/>
      <c r="U251" s="32" t="inlineStr"/>
      <c r="V251" s="32" t="inlineStr"/>
      <c r="W251" s="32" t="inlineStr"/>
      <c r="X251" s="31" t="inlineStr">
        <is>
          <t>Cyclical in an Upturn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Headwind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3</t>
        </is>
      </c>
      <c r="BC251" s="31">
        <f>IF(BB251="Stage 2",20,IF(BB251="Stage 1",0,IF(BB251="Stage 3",5,IF(BB251="Stage 4",-5,0))))</f>
        <v/>
      </c>
      <c r="BD251" s="31" t="inlineStr">
        <is>
          <t>Negative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IF(B252=0,"",RANK(B252,$B$2:$B$389,0))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STEELCAS</t>
        </is>
      </c>
      <c r="D252" s="31" t="inlineStr">
        <is>
          <t>Steelcast Ltd</t>
        </is>
      </c>
      <c r="E252" s="31" t="inlineStr">
        <is>
          <t>industrials</t>
        </is>
      </c>
      <c r="F252" s="31" t="inlineStr">
        <is>
          <t>castings &amp; forgings</t>
        </is>
      </c>
      <c r="G252" s="31" t="inlineStr">
        <is>
          <t>smallcap</t>
        </is>
      </c>
      <c r="H252" s="32" t="n">
        <v>3603.23</v>
      </c>
      <c r="I252" s="32" t="n">
        <v>345.5</v>
      </c>
      <c r="J252" s="32" t="n">
        <v>-2.96</v>
      </c>
      <c r="K252" s="32" t="n">
        <v>162536</v>
      </c>
      <c r="L252" s="31" t="n">
        <v>62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80.13</v>
      </c>
      <c r="P252" s="32" t="n">
        <v>44.03</v>
      </c>
      <c r="Q252" s="32" t="inlineStr"/>
      <c r="R252" s="31" t="inlineStr">
        <is>
          <t>Earnings / Momentum Support</t>
        </is>
      </c>
      <c r="S252" s="31" t="inlineStr">
        <is>
          <t>Nifty 50</t>
        </is>
      </c>
      <c r="T252" s="32" t="n">
        <v>-2.49</v>
      </c>
      <c r="U252" s="32" t="n">
        <v>63.95</v>
      </c>
      <c r="V252" s="32" t="n">
        <v>68.13</v>
      </c>
      <c r="W252" s="32" t="n">
        <v>15.66</v>
      </c>
      <c r="X252" s="31" t="inlineStr">
        <is>
          <t>Cyclical in an Upturn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Headwind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Above 40</t>
        </is>
      </c>
      <c r="AY252" s="31">
        <f>IF(AX252="Above 40",20,IF(AX252="20 to 40",10,IF(AX252="0 to 20",-5,0)))</f>
        <v/>
      </c>
      <c r="AZ252" s="31" t="inlineStr">
        <is>
          <t>Above 75</t>
        </is>
      </c>
      <c r="BA252" s="31">
        <f>IF(AZ252="Between 50 to 75",10,IF(AZ252="Above 75",0,0))</f>
        <v/>
      </c>
      <c r="BB252" s="31" t="inlineStr">
        <is>
          <t>Stage 3</t>
        </is>
      </c>
      <c r="BC252" s="31">
        <f>IF(BB252="Stage 2",20,IF(BB252="Stage 1",0,IF(BB252="Stage 3",5,IF(BB252="Stage 4",-5,0))))</f>
        <v/>
      </c>
      <c r="BD252" s="31" t="inlineStr">
        <is>
          <t>Negative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Between 12 to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IF(B253=0,"",RANK(B253,$B$2:$B$389,0))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3" t="inlineStr">
        <is>
          <t>SYNCOMF</t>
        </is>
      </c>
      <c r="D253" s="33" t="inlineStr">
        <is>
          <t>Syncom Formulations (India) Ltd</t>
        </is>
      </c>
      <c r="E253" s="31" t="inlineStr">
        <is>
          <t>healthcare</t>
        </is>
      </c>
      <c r="F253" s="31" t="inlineStr">
        <is>
          <t>pharmaceuticals - indian - bulk drugs &amp; formln</t>
        </is>
      </c>
      <c r="G253" s="31" t="inlineStr">
        <is>
          <t>smallcap</t>
        </is>
      </c>
      <c r="H253" s="32" t="n">
        <v>1517.16</v>
      </c>
      <c r="I253" s="32" t="n">
        <v>17.18</v>
      </c>
      <c r="J253" s="32" t="n">
        <v>6.44</v>
      </c>
      <c r="K253" s="32" t="n">
        <v>19557309</v>
      </c>
      <c r="L253" s="31" t="n">
        <v>13</v>
      </c>
      <c r="M253" s="31" t="inlineStr">
        <is>
          <t>Underperforming</t>
        </is>
      </c>
      <c r="N253" s="32">
        <f>IF(M253="Underperforming",-5,IF(L253&gt;=95,15,IF(L253&gt;=90,10,IF(L253&gt;=80,5,0))))</f>
        <v/>
      </c>
      <c r="O253" s="32" t="n">
        <v>63.25</v>
      </c>
      <c r="P253" s="32" t="n">
        <v>19.08</v>
      </c>
      <c r="Q253" s="32" t="inlineStr"/>
      <c r="R253" s="31" t="inlineStr">
        <is>
          <t>Earnings / Momentum Support</t>
        </is>
      </c>
      <c r="S253" s="31" t="inlineStr">
        <is>
          <t>Nifty Pharma</t>
        </is>
      </c>
      <c r="T253" s="32" t="n">
        <v>18.39</v>
      </c>
      <c r="U253" s="32" t="n">
        <v>-6.81</v>
      </c>
      <c r="V253" s="32" t="n">
        <v>-21.29</v>
      </c>
      <c r="W253" s="32" t="n">
        <v>1.74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Yes</t>
        </is>
      </c>
      <c r="AC253" s="31">
        <f>IF(AB253="No",5,0)</f>
        <v/>
      </c>
      <c r="AD253" s="31" t="inlineStr">
        <is>
          <t>Headwind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Annuity, Lower One Time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0 to 20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3</t>
        </is>
      </c>
      <c r="BC253" s="31">
        <f>IF(BB253="Stage 2",20,IF(BB253="Stage 1",0,IF(BB253="Stage 3",5,IF(BB253="Stage 4",-5,0))))</f>
        <v/>
      </c>
      <c r="BD253" s="31" t="inlineStr">
        <is>
          <t>Negative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Less than 1.5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IF(B254=0,"",RANK(B254,$B$2:$B$389,0))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3" t="inlineStr">
        <is>
          <t>AARTIPHARM</t>
        </is>
      </c>
      <c r="D254" s="33" t="inlineStr">
        <is>
          <t>Aarti Pharmalabs Ltd</t>
        </is>
      </c>
      <c r="E254" s="31" t="inlineStr">
        <is>
          <t>healthcare</t>
        </is>
      </c>
      <c r="F254" s="31" t="inlineStr">
        <is>
          <t>pharmaceuticals - indian - bulk drugs &amp; formln</t>
        </is>
      </c>
      <c r="G254" s="31" t="inlineStr">
        <is>
          <t>midcap</t>
        </is>
      </c>
      <c r="H254" s="32" t="n">
        <v>7406.73</v>
      </c>
      <c r="I254" s="32" t="n">
        <v>843.15</v>
      </c>
      <c r="J254" s="32" t="n">
        <v>3.23</v>
      </c>
      <c r="K254" s="32" t="n">
        <v>789520</v>
      </c>
      <c r="L254" s="31" t="n">
        <v>14</v>
      </c>
      <c r="M254" s="31" t="inlineStr">
        <is>
          <t>Underperforming</t>
        </is>
      </c>
      <c r="N254" s="32">
        <f>IF(M254="Underperforming",-5,IF(L254&gt;=95,15,IF(L254&gt;=90,10,IF(L254&gt;=80,5,0))))</f>
        <v/>
      </c>
      <c r="O254" s="32" t="n">
        <v>61.4</v>
      </c>
      <c r="P254" s="32" t="n">
        <v>16.09</v>
      </c>
      <c r="Q254" s="32" t="inlineStr"/>
      <c r="R254" s="31" t="inlineStr">
        <is>
          <t>Earnings / Momentum Support</t>
        </is>
      </c>
      <c r="S254" s="31" t="inlineStr">
        <is>
          <t>Nifty Pharma</t>
        </is>
      </c>
      <c r="T254" s="32" t="n">
        <v>18.39</v>
      </c>
      <c r="U254" s="32" t="n">
        <v>-4.92</v>
      </c>
      <c r="V254" s="32" t="n">
        <v>-19.69</v>
      </c>
      <c r="W254" s="32" t="n">
        <v>2.53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Yes</t>
        </is>
      </c>
      <c r="AC254" s="31">
        <f>IF(AB254="No",5,0)</f>
        <v/>
      </c>
      <c r="AD254" s="31" t="inlineStr">
        <is>
          <t>Headwind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Annuity, Lower One Time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0 to 20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3</t>
        </is>
      </c>
      <c r="BC254" s="31">
        <f>IF(BB254="Stage 2",20,IF(BB254="Stage 1",0,IF(BB254="Stage 3",5,IF(BB254="Stage 4",-5,0))))</f>
        <v/>
      </c>
      <c r="BD254" s="31" t="inlineStr">
        <is>
          <t>Negative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Less than 1.5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IF(B255=0,"",RANK(B255,$B$2:$B$389,0))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UGARSUGAR</t>
        </is>
      </c>
      <c r="D255" s="31" t="inlineStr">
        <is>
          <t>The Ugar Sugar Works Limited</t>
        </is>
      </c>
      <c r="E255" s="31" t="inlineStr">
        <is>
          <t>fmcg</t>
        </is>
      </c>
      <c r="F255" s="31" t="inlineStr">
        <is>
          <t>sugar</t>
        </is>
      </c>
      <c r="G255" s="31" t="inlineStr">
        <is>
          <t>smallcap</t>
        </is>
      </c>
      <c r="H255" s="32" t="n">
        <v>635.63</v>
      </c>
      <c r="I255" s="32" t="n">
        <v>58.01</v>
      </c>
      <c r="J255" s="32" t="n">
        <v>2.67</v>
      </c>
      <c r="K255" s="32" t="n">
        <v>2552909</v>
      </c>
      <c r="L255" s="31" t="inlineStr"/>
      <c r="M255" s="31" t="inlineStr"/>
      <c r="N255" s="32">
        <f>IF(M255="Underperforming",-5,IF(L255&gt;=95,15,IF(L255&gt;=90,10,IF(L255&gt;=80,5,0))))</f>
        <v/>
      </c>
      <c r="O255" s="32" t="n">
        <v>80.26000000000001</v>
      </c>
      <c r="P255" s="32" t="n">
        <v>20.5</v>
      </c>
      <c r="Q255" s="32" t="inlineStr"/>
      <c r="R255" s="31" t="inlineStr">
        <is>
          <t>Earnings / Momentum Support</t>
        </is>
      </c>
      <c r="S255" s="31" t="inlineStr">
        <is>
          <t>Nifty FMCG</t>
        </is>
      </c>
      <c r="T255" s="32" t="inlineStr"/>
      <c r="U255" s="32" t="inlineStr"/>
      <c r="V255" s="32" t="inlineStr"/>
      <c r="W255" s="32" t="inlineStr"/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Headwind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B2C</t>
        </is>
      </c>
      <c r="AO255" s="31">
        <f>IF(AN255="B2C",10,IF(AN255="B2B",5,0))</f>
        <v/>
      </c>
      <c r="AP255" s="31" t="inlineStr">
        <is>
          <t>No</t>
        </is>
      </c>
      <c r="AQ255" s="31">
        <f>IF(AP255="Yes",10,0)</f>
        <v/>
      </c>
      <c r="AR255" s="31" t="inlineStr">
        <is>
          <t>Higher Annuity, Lower One Time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Above 75</t>
        </is>
      </c>
      <c r="BA255" s="31">
        <f>IF(AZ255="Between 50 to 75",10,IF(AZ255="Above 75",0,0))</f>
        <v/>
      </c>
      <c r="BB255" s="31" t="inlineStr">
        <is>
          <t>Stage 3</t>
        </is>
      </c>
      <c r="BC255" s="31">
        <f>IF(BB255="Stage 2",20,IF(BB255="Stage 1",0,IF(BB255="Stage 3",5,IF(BB255="Stage 4",-5,0))))</f>
        <v/>
      </c>
      <c r="BD255" s="31" t="inlineStr">
        <is>
          <t>Negative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No</t>
        </is>
      </c>
      <c r="BS255" s="31">
        <f>IF(BR255="NO",5,0)</f>
        <v/>
      </c>
      <c r="BT255" s="31" t="inlineStr">
        <is>
          <t>Less than 1.5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More than 1.2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IF(B256=0,"",RANK(B256,$B$2:$B$389,0))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AVADHSUGAR</t>
        </is>
      </c>
      <c r="D256" s="31" t="inlineStr">
        <is>
          <t>Avadh Sugar &amp; Energy</t>
        </is>
      </c>
      <c r="E256" s="31" t="inlineStr">
        <is>
          <t>fmcg</t>
        </is>
      </c>
      <c r="F256" s="31" t="inlineStr">
        <is>
          <t>sugar</t>
        </is>
      </c>
      <c r="G256" s="31" t="inlineStr">
        <is>
          <t>smallcap</t>
        </is>
      </c>
      <c r="H256" s="32" t="n">
        <v>1671.14</v>
      </c>
      <c r="I256" s="32" t="n">
        <v>832.2</v>
      </c>
      <c r="J256" s="32" t="n">
        <v>-0.31</v>
      </c>
      <c r="K256" s="32" t="n">
        <v>1053359</v>
      </c>
      <c r="L256" s="31" t="inlineStr"/>
      <c r="M256" s="31" t="inlineStr"/>
      <c r="N256" s="32">
        <f>IF(M256="Underperforming",-5,IF(L256&gt;=95,15,IF(L256&gt;=90,10,IF(L256&gt;=80,5,0))))</f>
        <v/>
      </c>
      <c r="O256" s="32" t="n">
        <v>85.63</v>
      </c>
      <c r="P256" s="32" t="n">
        <v>43.15</v>
      </c>
      <c r="Q256" s="32" t="inlineStr"/>
      <c r="R256" s="31" t="inlineStr">
        <is>
          <t>Earnings / Momentum Support</t>
        </is>
      </c>
      <c r="S256" s="31" t="inlineStr">
        <is>
          <t>Nifty FMCG</t>
        </is>
      </c>
      <c r="T256" s="32" t="inlineStr"/>
      <c r="U256" s="32" t="inlineStr"/>
      <c r="V256" s="32" t="inlineStr"/>
      <c r="W256" s="32" t="inlineStr"/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Headwind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B2C</t>
        </is>
      </c>
      <c r="AO256" s="31">
        <f>IF(AN256="B2C",10,IF(AN256="B2B",5,0))</f>
        <v/>
      </c>
      <c r="AP256" s="31" t="inlineStr">
        <is>
          <t>No</t>
        </is>
      </c>
      <c r="AQ256" s="31">
        <f>IF(AP256="Yes",10,0)</f>
        <v/>
      </c>
      <c r="AR256" s="31" t="inlineStr">
        <is>
          <t>Higher Annuity, Lower One Time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Above 40</t>
        </is>
      </c>
      <c r="AY256" s="31">
        <f>IF(AX256="Above 40",20,IF(AX256="20 to 40",10,IF(AX256="0 to 20",-5,0)))</f>
        <v/>
      </c>
      <c r="AZ256" s="31" t="inlineStr">
        <is>
          <t>Above 75</t>
        </is>
      </c>
      <c r="BA256" s="31">
        <f>IF(AZ256="Between 50 to 75",10,IF(AZ256="Above 75",0,0))</f>
        <v/>
      </c>
      <c r="BB256" s="31" t="inlineStr">
        <is>
          <t>Stage 3</t>
        </is>
      </c>
      <c r="BC256" s="31">
        <f>IF(BB256="Stage 2",20,IF(BB256="Stage 1",0,IF(BB256="Stage 3",5,IF(BB256="Stage 4",-5,0))))</f>
        <v/>
      </c>
      <c r="BD256" s="31" t="inlineStr">
        <is>
          <t>Negative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More than 1.2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IF(B257=0,"",RANK(B257,$B$2:$B$389,0))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MAWANASUG</t>
        </is>
      </c>
      <c r="D257" s="31" t="inlineStr">
        <is>
          <t>Mawana Sugars Limited</t>
        </is>
      </c>
      <c r="E257" s="31" t="inlineStr">
        <is>
          <t>fmcg</t>
        </is>
      </c>
      <c r="F257" s="31" t="inlineStr">
        <is>
          <t>sugar</t>
        </is>
      </c>
      <c r="G257" s="31" t="inlineStr">
        <is>
          <t>smallcap</t>
        </is>
      </c>
      <c r="H257" s="32" t="n">
        <v>596.6900000000001</v>
      </c>
      <c r="I257" s="32" t="n">
        <v>150.81</v>
      </c>
      <c r="J257" s="32" t="n">
        <v>-1.13</v>
      </c>
      <c r="K257" s="32" t="n">
        <v>2128741</v>
      </c>
      <c r="L257" s="31" t="inlineStr"/>
      <c r="M257" s="31" t="inlineStr"/>
      <c r="N257" s="32">
        <f>IF(M257="Underperforming",-5,IF(L257&gt;=95,15,IF(L257&gt;=90,10,IF(L257&gt;=80,5,0))))</f>
        <v/>
      </c>
      <c r="O257" s="32" t="n">
        <v>80.95999999999999</v>
      </c>
      <c r="P257" s="32" t="n">
        <v>36.03</v>
      </c>
      <c r="Q257" s="32" t="inlineStr"/>
      <c r="R257" s="31" t="inlineStr">
        <is>
          <t>Earnings / Momentum Support</t>
        </is>
      </c>
      <c r="S257" s="31" t="inlineStr">
        <is>
          <t>Nifty FMCG</t>
        </is>
      </c>
      <c r="T257" s="32" t="inlineStr"/>
      <c r="U257" s="32" t="inlineStr"/>
      <c r="V257" s="32" t="inlineStr"/>
      <c r="W257" s="32" t="inlineStr"/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Headwind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B2C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Annuity, Lower One Time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20 to 40</t>
        </is>
      </c>
      <c r="AY257" s="31">
        <f>IF(AX257="Above 40",20,IF(AX257="20 to 40",10,IF(AX257="0 to 20",-5,0)))</f>
        <v/>
      </c>
      <c r="AZ257" s="31" t="inlineStr">
        <is>
          <t>Above 75</t>
        </is>
      </c>
      <c r="BA257" s="31">
        <f>IF(AZ257="Between 50 to 75",10,IF(AZ257="Above 75",0,0))</f>
        <v/>
      </c>
      <c r="BB257" s="31" t="inlineStr">
        <is>
          <t>Stage 3</t>
        </is>
      </c>
      <c r="BC257" s="31">
        <f>IF(BB257="Stage 2",20,IF(BB257="Stage 1",0,IF(BB257="Stage 3",5,IF(BB257="Stage 4",-5,0))))</f>
        <v/>
      </c>
      <c r="BD257" s="31" t="inlineStr">
        <is>
          <t>Negative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Between 0.7 to 1.2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IF(B258=0,"",RANK(B258,$B$2:$B$389,0))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DALMIASUG</t>
        </is>
      </c>
      <c r="D258" s="31" t="inlineStr">
        <is>
          <t>Dalmia Bharat Sugar And Industries Limited</t>
        </is>
      </c>
      <c r="E258" s="31" t="inlineStr">
        <is>
          <t>fmcg</t>
        </is>
      </c>
      <c r="F258" s="31" t="inlineStr">
        <is>
          <t>sugar</t>
        </is>
      </c>
      <c r="G258" s="31" t="inlineStr">
        <is>
          <t>smallcap</t>
        </is>
      </c>
      <c r="H258" s="32" t="n">
        <v>4030.37</v>
      </c>
      <c r="I258" s="32" t="n">
        <v>480.75</v>
      </c>
      <c r="J258" s="32" t="n">
        <v>-3.45</v>
      </c>
      <c r="K258" s="32" t="n">
        <v>1655406</v>
      </c>
      <c r="L258" s="31" t="inlineStr"/>
      <c r="M258" s="31" t="inlineStr"/>
      <c r="N258" s="32">
        <f>IF(M258="Underperforming",-5,IF(L258&gt;=95,15,IF(L258&gt;=90,10,IF(L258&gt;=80,5,0))))</f>
        <v/>
      </c>
      <c r="O258" s="32" t="n">
        <v>76.48</v>
      </c>
      <c r="P258" s="32" t="n">
        <v>30.22</v>
      </c>
      <c r="Q258" s="32" t="inlineStr"/>
      <c r="R258" s="31" t="inlineStr">
        <is>
          <t>Earnings / Momentum Support</t>
        </is>
      </c>
      <c r="S258" s="31" t="inlineStr">
        <is>
          <t>Nifty FMCG</t>
        </is>
      </c>
      <c r="T258" s="32" t="inlineStr"/>
      <c r="U258" s="32" t="inlineStr"/>
      <c r="V258" s="32" t="inlineStr"/>
      <c r="W258" s="32" t="inlineStr"/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Headwind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B2C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Annuity, Lower One Time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Above 75</t>
        </is>
      </c>
      <c r="BA258" s="31">
        <f>IF(AZ258="Between 50 to 75",10,IF(AZ258="Above 75",0,0))</f>
        <v/>
      </c>
      <c r="BB258" s="31" t="inlineStr">
        <is>
          <t>Stage 3</t>
        </is>
      </c>
      <c r="BC258" s="31">
        <f>IF(BB258="Stage 2",20,IF(BB258="Stage 1",0,IF(BB258="Stage 3",5,IF(BB258="Stage 4",-5,0))))</f>
        <v/>
      </c>
      <c r="BD258" s="31" t="inlineStr">
        <is>
          <t>Negative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Less than 12%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IF(B259=0,"",RANK(B259,$B$2:$B$389,0))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BALRAMCHIN</t>
        </is>
      </c>
      <c r="D259" s="31" t="inlineStr">
        <is>
          <t>Balrampur Chini Mills Limited</t>
        </is>
      </c>
      <c r="E259" s="31" t="inlineStr">
        <is>
          <t>fmcg</t>
        </is>
      </c>
      <c r="F259" s="31" t="inlineStr">
        <is>
          <t>sugar</t>
        </is>
      </c>
      <c r="G259" s="31" t="inlineStr">
        <is>
          <t>midcap</t>
        </is>
      </c>
      <c r="H259" s="32" t="n">
        <v>15408.77</v>
      </c>
      <c r="I259" s="32" t="n">
        <v>695.5</v>
      </c>
      <c r="J259" s="32" t="n">
        <v>-4.64</v>
      </c>
      <c r="K259" s="32" t="n">
        <v>14284351</v>
      </c>
      <c r="L259" s="31" t="inlineStr"/>
      <c r="M259" s="31" t="inlineStr"/>
      <c r="N259" s="32">
        <f>IF(M259="Underperforming",-5,IF(L259&gt;=95,15,IF(L259&gt;=90,10,IF(L259&gt;=80,5,0))))</f>
        <v/>
      </c>
      <c r="O259" s="32" t="n">
        <v>80.15000000000001</v>
      </c>
      <c r="P259" s="32" t="n">
        <v>49.4</v>
      </c>
      <c r="Q259" s="32" t="inlineStr"/>
      <c r="R259" s="31" t="inlineStr">
        <is>
          <t>Earnings / Momentum Support</t>
        </is>
      </c>
      <c r="S259" s="31" t="inlineStr">
        <is>
          <t>Nifty FMCG</t>
        </is>
      </c>
      <c r="T259" s="32" t="inlineStr"/>
      <c r="U259" s="32" t="inlineStr"/>
      <c r="V259" s="32" t="inlineStr"/>
      <c r="W259" s="32" t="inlineStr"/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Headwind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B2C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Annuity, Lower One Time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Above 40</t>
        </is>
      </c>
      <c r="AY259" s="31">
        <f>IF(AX259="Above 40",20,IF(AX259="20 to 40",10,IF(AX259="0 to 20",-5,0)))</f>
        <v/>
      </c>
      <c r="AZ259" s="31" t="inlineStr">
        <is>
          <t>Above 75</t>
        </is>
      </c>
      <c r="BA259" s="31">
        <f>IF(AZ259="Between 50 to 75",10,IF(AZ259="Above 75",0,0))</f>
        <v/>
      </c>
      <c r="BB259" s="31" t="inlineStr">
        <is>
          <t>Stage 3</t>
        </is>
      </c>
      <c r="BC259" s="31">
        <f>IF(BB259="Stage 2",20,IF(BB259="Stage 1",0,IF(BB259="Stage 3",5,IF(BB259="Stage 4",-5,0))))</f>
        <v/>
      </c>
      <c r="BD259" s="31" t="inlineStr">
        <is>
          <t>Negative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Less than 12%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Between 0.7 to 1.2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IF(B260=0,"",RANK(B260,$B$2:$B$389,0))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MAXESTATES</t>
        </is>
      </c>
      <c r="D260" s="31" t="inlineStr">
        <is>
          <t>Max Estates Ltd</t>
        </is>
      </c>
      <c r="E260" s="31" t="inlineStr">
        <is>
          <t>realty</t>
        </is>
      </c>
      <c r="F260" s="31" t="inlineStr">
        <is>
          <t>construction</t>
        </is>
      </c>
      <c r="G260" s="31" t="inlineStr">
        <is>
          <t>midcap</t>
        </is>
      </c>
      <c r="H260" s="32" t="n">
        <v>8090.66</v>
      </c>
      <c r="I260" s="32" t="n">
        <v>549.15</v>
      </c>
      <c r="J260" s="32" t="n">
        <v>10.97</v>
      </c>
      <c r="K260" s="32" t="n">
        <v>2180752</v>
      </c>
      <c r="L260" s="31" t="inlineStr"/>
      <c r="M260" s="31" t="inlineStr"/>
      <c r="N260" s="32">
        <f>IF(M260="Underperforming",-5,IF(L260&gt;=95,15,IF(L260&gt;=90,10,IF(L260&gt;=80,5,0))))</f>
        <v/>
      </c>
      <c r="O260" s="32" t="n">
        <v>63.95</v>
      </c>
      <c r="P260" s="32" t="n">
        <v>20.8</v>
      </c>
      <c r="Q260" s="32" t="inlineStr"/>
      <c r="R260" s="31" t="inlineStr">
        <is>
          <t>Volume Spike / Accumulation</t>
        </is>
      </c>
      <c r="S260" s="31" t="inlineStr">
        <is>
          <t>Nifty Realty</t>
        </is>
      </c>
      <c r="T260" s="32" t="inlineStr"/>
      <c r="U260" s="32" t="inlineStr"/>
      <c r="V260" s="32" t="inlineStr"/>
      <c r="W260" s="32" t="inlineStr"/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Headwind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Yes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3</t>
        </is>
      </c>
      <c r="BC260" s="31">
        <f>IF(BB260="Stage 2",20,IF(BB260="Stage 1",0,IF(BB260="Stage 3",5,IF(BB260="Stage 4",-5,0))))</f>
        <v/>
      </c>
      <c r="BD260" s="31" t="inlineStr">
        <is>
          <t>Negative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Less than 12%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Between 0.7 to 1.2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IF(B261=0,"",RANK(B261,$B$2:$B$389,0))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ENGINERSIN</t>
        </is>
      </c>
      <c r="D261" s="31" t="inlineStr">
        <is>
          <t>Engineers India Limited</t>
        </is>
      </c>
      <c r="E261" s="31" t="inlineStr">
        <is>
          <t>realty</t>
        </is>
      </c>
      <c r="F261" s="31" t="inlineStr">
        <is>
          <t>engineering - turnkey services</t>
        </is>
      </c>
      <c r="G261" s="31" t="inlineStr">
        <is>
          <t>midcap</t>
        </is>
      </c>
      <c r="H261" s="32" t="n">
        <v>13764.98</v>
      </c>
      <c r="I261" s="32" t="n">
        <v>254.83</v>
      </c>
      <c r="J261" s="32" t="n">
        <v>4.05</v>
      </c>
      <c r="K261" s="32" t="n">
        <v>6608048</v>
      </c>
      <c r="L261" s="31" t="inlineStr"/>
      <c r="M261" s="31" t="inlineStr"/>
      <c r="N261" s="32">
        <f>IF(M261="Underperforming",-5,IF(L261&gt;=95,15,IF(L261&gt;=90,10,IF(L261&gt;=80,5,0))))</f>
        <v/>
      </c>
      <c r="O261" s="32" t="n">
        <v>57.59</v>
      </c>
      <c r="P261" s="32" t="n">
        <v>10.94</v>
      </c>
      <c r="Q261" s="32" t="inlineStr"/>
      <c r="R261" s="31" t="inlineStr">
        <is>
          <t>Earnings / Momentum Support</t>
        </is>
      </c>
      <c r="S261" s="31" t="inlineStr">
        <is>
          <t>Nifty Realty</t>
        </is>
      </c>
      <c r="T261" s="32" t="inlineStr"/>
      <c r="U261" s="32" t="inlineStr"/>
      <c r="V261" s="32" t="inlineStr"/>
      <c r="W261" s="32" t="inlineStr"/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Headwind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3</t>
        </is>
      </c>
      <c r="BC261" s="31">
        <f>IF(BB261="Stage 2",20,IF(BB261="Stage 1",0,IF(BB261="Stage 3",5,IF(BB261="Stage 4",-5,0))))</f>
        <v/>
      </c>
      <c r="BD261" s="31" t="inlineStr">
        <is>
          <t>Negative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IF(B262=0,"",RANK(B262,$B$2:$B$389,0))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3" t="inlineStr">
        <is>
          <t>UDS</t>
        </is>
      </c>
      <c r="D262" s="33" t="inlineStr">
        <is>
          <t>Updater Services Ltd</t>
        </is>
      </c>
      <c r="E262" s="31" t="inlineStr">
        <is>
          <t>miscellaneous</t>
        </is>
      </c>
      <c r="F262" s="31" t="inlineStr">
        <is>
          <t>miscellaneous</t>
        </is>
      </c>
      <c r="G262" s="31" t="inlineStr">
        <is>
          <t>smallcap</t>
        </is>
      </c>
      <c r="H262" s="32" t="n">
        <v>1443.98</v>
      </c>
      <c r="I262" s="32" t="n">
        <v>221.1</v>
      </c>
      <c r="J262" s="32" t="n">
        <v>2.52</v>
      </c>
      <c r="K262" s="32" t="n">
        <v>936894</v>
      </c>
      <c r="L262" s="31" t="n">
        <v>16</v>
      </c>
      <c r="M262" s="31" t="inlineStr">
        <is>
          <t>Underperforming</t>
        </is>
      </c>
      <c r="N262" s="32">
        <f>IF(M262="Underperforming",-5,IF(L262&gt;=95,15,IF(L262&gt;=90,10,IF(L262&gt;=80,5,0))))</f>
        <v/>
      </c>
      <c r="O262" s="32" t="n">
        <v>66.25</v>
      </c>
      <c r="P262" s="32" t="n">
        <v>36</v>
      </c>
      <c r="Q262" s="32" t="inlineStr"/>
      <c r="R262" s="31" t="inlineStr">
        <is>
          <t>Earnings / Momentum Support</t>
        </is>
      </c>
      <c r="S262" s="31" t="inlineStr">
        <is>
          <t>Nifty 50</t>
        </is>
      </c>
      <c r="T262" s="32" t="n">
        <v>-2.49</v>
      </c>
      <c r="U262" s="32" t="n">
        <v>-15.55</v>
      </c>
      <c r="V262" s="32" t="n">
        <v>-13.4</v>
      </c>
      <c r="W262" s="32" t="n">
        <v>3.25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Headwind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3</t>
        </is>
      </c>
      <c r="BC262" s="31">
        <f>IF(BB262="Stage 2",20,IF(BB262="Stage 1",0,IF(BB262="Stage 3",5,IF(BB262="Stage 4",-5,0))))</f>
        <v/>
      </c>
      <c r="BD262" s="31" t="inlineStr">
        <is>
          <t>Negative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Less than 12%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IF(B263=0,"",RANK(B263,$B$2:$B$389,0))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BRIGADE</t>
        </is>
      </c>
      <c r="D263" s="31" t="inlineStr">
        <is>
          <t>Brigade Enterprises Limited</t>
        </is>
      </c>
      <c r="E263" s="31" t="inlineStr">
        <is>
          <t>realty</t>
        </is>
      </c>
      <c r="F263" s="31" t="inlineStr">
        <is>
          <t>construction</t>
        </is>
      </c>
      <c r="G263" s="31" t="inlineStr">
        <is>
          <t>largecap</t>
        </is>
      </c>
      <c r="H263" s="32" t="n">
        <v>20851.56</v>
      </c>
      <c r="I263" s="32" t="n">
        <v>654.1</v>
      </c>
      <c r="J263" s="32" t="n">
        <v>2.32</v>
      </c>
      <c r="K263" s="32" t="n">
        <v>1489110</v>
      </c>
      <c r="L263" s="31" t="inlineStr"/>
      <c r="M263" s="31" t="inlineStr"/>
      <c r="N263" s="32">
        <f>IF(M263="Underperforming",-5,IF(L263&gt;=95,15,IF(L263&gt;=90,10,IF(L263&gt;=80,5,0))))</f>
        <v/>
      </c>
      <c r="O263" s="32" t="n">
        <v>61.42</v>
      </c>
      <c r="P263" s="32" t="n">
        <v>15.55</v>
      </c>
      <c r="Q263" s="32" t="inlineStr"/>
      <c r="R263" s="31" t="inlineStr">
        <is>
          <t>Earnings / Momentum Support</t>
        </is>
      </c>
      <c r="S263" s="31" t="inlineStr">
        <is>
          <t>Nifty Realty</t>
        </is>
      </c>
      <c r="T263" s="32" t="inlineStr"/>
      <c r="U263" s="32" t="inlineStr"/>
      <c r="V263" s="32" t="inlineStr"/>
      <c r="W263" s="32" t="inlineStr"/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Headwind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3</t>
        </is>
      </c>
      <c r="BC263" s="31">
        <f>IF(BB263="Stage 2",20,IF(BB263="Stage 1",0,IF(BB263="Stage 3",5,IF(BB263="Stage 4",-5,0))))</f>
        <v/>
      </c>
      <c r="BD263" s="31" t="inlineStr">
        <is>
          <t>Negative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Less than 1.5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Between 0.7 to 1.2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IF(B264=0,"",RANK(B264,$B$2:$B$389,0))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3" t="inlineStr">
        <is>
          <t>DMCC</t>
        </is>
      </c>
      <c r="D264" s="33" t="inlineStr">
        <is>
          <t>DMCC Speciality Chemicals Ltd</t>
        </is>
      </c>
      <c r="E264" s="31" t="inlineStr">
        <is>
          <t>chemicals</t>
        </is>
      </c>
      <c r="F264" s="31" t="inlineStr">
        <is>
          <t>chemicals</t>
        </is>
      </c>
      <c r="G264" s="31" t="inlineStr">
        <is>
          <t>smallcap</t>
        </is>
      </c>
      <c r="H264" s="32" t="n">
        <v>709.04</v>
      </c>
      <c r="I264" s="32" t="n">
        <v>290.85</v>
      </c>
      <c r="J264" s="32" t="n">
        <v>2.3</v>
      </c>
      <c r="K264" s="32" t="n">
        <v>59736</v>
      </c>
      <c r="L264" s="31" t="n">
        <v>2</v>
      </c>
      <c r="M264" s="31" t="inlineStr">
        <is>
          <t>Underperforming</t>
        </is>
      </c>
      <c r="N264" s="32">
        <f>IF(M264="Underperforming",-5,IF(L264&gt;=95,15,IF(L264&gt;=90,10,IF(L264&gt;=80,5,0))))</f>
        <v/>
      </c>
      <c r="O264" s="32" t="n">
        <v>56.58</v>
      </c>
      <c r="P264" s="32" t="n">
        <v>26.56</v>
      </c>
      <c r="Q264" s="32" t="inlineStr"/>
      <c r="R264" s="31" t="inlineStr">
        <is>
          <t>Earnings / Momentum Support</t>
        </is>
      </c>
      <c r="S264" s="31" t="inlineStr">
        <is>
          <t>Nifty IT</t>
        </is>
      </c>
      <c r="T264" s="32" t="n">
        <v>-13.85</v>
      </c>
      <c r="U264" s="32" t="n">
        <v>-14.33</v>
      </c>
      <c r="V264" s="32" t="n">
        <v>-0.55</v>
      </c>
      <c r="W264" s="32" t="n">
        <v>-1.6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Headwind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3</t>
        </is>
      </c>
      <c r="BC264" s="31">
        <f>IF(BB264="Stage 2",20,IF(BB264="Stage 1",0,IF(BB264="Stage 3",5,IF(BB264="Stage 4",-5,0))))</f>
        <v/>
      </c>
      <c r="BD264" s="31" t="inlineStr">
        <is>
          <t>Negative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Less than 12%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IF(B265=0,"",RANK(B265,$B$2:$B$389,0))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NATIONALUM</t>
        </is>
      </c>
      <c r="D265" s="31" t="inlineStr">
        <is>
          <t>National Aluminium Company Limited</t>
        </is>
      </c>
      <c r="E265" s="31" t="inlineStr">
        <is>
          <t>metals &amp; mining</t>
        </is>
      </c>
      <c r="F265" s="31" t="inlineStr">
        <is>
          <t>aluminium and aluminium products</t>
        </is>
      </c>
      <c r="G265" s="31" t="inlineStr">
        <is>
          <t>largecap</t>
        </is>
      </c>
      <c r="H265" s="32" t="n">
        <v>72445.94</v>
      </c>
      <c r="I265" s="32" t="n">
        <v>403.3</v>
      </c>
      <c r="J265" s="32" t="n">
        <v>2.24</v>
      </c>
      <c r="K265" s="32" t="n">
        <v>7163993</v>
      </c>
      <c r="L265" s="31" t="inlineStr"/>
      <c r="M265" s="31" t="inlineStr"/>
      <c r="N265" s="32">
        <f>IF(M265="Underperforming",-5,IF(L265&gt;=95,15,IF(L265&gt;=90,10,IF(L265&gt;=80,5,0))))</f>
        <v/>
      </c>
      <c r="O265" s="32" t="n">
        <v>58.36</v>
      </c>
      <c r="P265" s="32" t="n">
        <v>24.18</v>
      </c>
      <c r="Q265" s="32" t="inlineStr"/>
      <c r="R265" s="31" t="inlineStr">
        <is>
          <t>Earnings / Momentum Support</t>
        </is>
      </c>
      <c r="S265" s="31" t="inlineStr">
        <is>
          <t>Nifty Metal</t>
        </is>
      </c>
      <c r="T265" s="32" t="inlineStr"/>
      <c r="U265" s="32" t="inlineStr"/>
      <c r="V265" s="32" t="inlineStr"/>
      <c r="W265" s="32" t="inlineStr"/>
      <c r="X265" s="31" t="inlineStr">
        <is>
          <t>Cyclical in an Upturn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Headwind</t>
        </is>
      </c>
      <c r="AE265" s="31">
        <f>IF(AD265="Tailwind",10,0)</f>
        <v/>
      </c>
      <c r="AF265" s="31" t="inlineStr">
        <is>
          <t>Cyclical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Volatile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20 to 40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3</t>
        </is>
      </c>
      <c r="BC265" s="31">
        <f>IF(BB265="Stage 2",20,IF(BB265="Stage 1",0,IF(BB265="Stage 3",5,IF(BB265="Stage 4",-5,0))))</f>
        <v/>
      </c>
      <c r="BD265" s="31" t="inlineStr">
        <is>
          <t>Negative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Less than 1.5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IF(B266=0,"",RANK(B266,$B$2:$B$389,0))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ARIS</t>
        </is>
      </c>
      <c r="D266" s="31" t="inlineStr">
        <is>
          <t>Arisinfra Solutions Ltd</t>
        </is>
      </c>
      <c r="E266" s="31" t="inlineStr">
        <is>
          <t>services</t>
        </is>
      </c>
      <c r="F266" s="31" t="inlineStr">
        <is>
          <t>trading</t>
        </is>
      </c>
      <c r="G266" s="31" t="inlineStr">
        <is>
          <t>smallcap</t>
        </is>
      </c>
      <c r="H266" s="32" t="n">
        <v>1173.01</v>
      </c>
      <c r="I266" s="32" t="n">
        <v>145.35</v>
      </c>
      <c r="J266" s="32" t="n">
        <v>1.35</v>
      </c>
      <c r="K266" s="32" t="n">
        <v>7857520</v>
      </c>
      <c r="L266" s="31" t="n">
        <v>23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60.1</v>
      </c>
      <c r="P266" s="32" t="n">
        <v>8.85</v>
      </c>
      <c r="Q266" s="32" t="inlineStr"/>
      <c r="R266" s="31" t="inlineStr">
        <is>
          <t>Earnings / Momentum Support</t>
        </is>
      </c>
      <c r="S266" s="31" t="inlineStr">
        <is>
          <t>Nifty 50</t>
        </is>
      </c>
      <c r="T266" s="32" t="n">
        <v>-2.49</v>
      </c>
      <c r="U266" s="32" t="n">
        <v>-0.35</v>
      </c>
      <c r="V266" s="32" t="n">
        <v>2.19</v>
      </c>
      <c r="W266" s="32" t="n">
        <v>5.02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Headwind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3</t>
        </is>
      </c>
      <c r="BC266" s="31">
        <f>IF(BB266="Stage 2",20,IF(BB266="Stage 1",0,IF(BB266="Stage 3",5,IF(BB266="Stage 4",-5,0))))</f>
        <v/>
      </c>
      <c r="BD266" s="31" t="inlineStr">
        <is>
          <t>Negative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IF(B267=0,"",RANK(B267,$B$2:$B$389,0))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JSWINFRA</t>
        </is>
      </c>
      <c r="D267" s="31" t="inlineStr">
        <is>
          <t>JSW Infrastructure Ltd</t>
        </is>
      </c>
      <c r="E267" s="31" t="inlineStr">
        <is>
          <t>transportation</t>
        </is>
      </c>
      <c r="F267" s="31" t="inlineStr">
        <is>
          <t>miscellaneous</t>
        </is>
      </c>
      <c r="G267" s="31" t="inlineStr">
        <is>
          <t>largecap</t>
        </is>
      </c>
      <c r="H267" s="32" t="n">
        <v>78218.14999999999</v>
      </c>
      <c r="I267" s="32" t="n">
        <v>340.2</v>
      </c>
      <c r="J267" s="32" t="n">
        <v>1.34</v>
      </c>
      <c r="K267" s="32" t="n">
        <v>2127970</v>
      </c>
      <c r="L267" s="31" t="n">
        <v>32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63.27</v>
      </c>
      <c r="P267" s="32" t="n">
        <v>39.77</v>
      </c>
      <c r="Q267" s="32" t="inlineStr"/>
      <c r="R267" s="31" t="inlineStr">
        <is>
          <t>Earnings / Momentum Support</t>
        </is>
      </c>
      <c r="S267" s="31" t="inlineStr">
        <is>
          <t>Nifty 50</t>
        </is>
      </c>
      <c r="T267" s="32" t="n">
        <v>-2.49</v>
      </c>
      <c r="U267" s="32" t="n">
        <v>10.33</v>
      </c>
      <c r="V267" s="32" t="n">
        <v>13.14</v>
      </c>
      <c r="W267" s="32" t="n">
        <v>7.19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Headwind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3</t>
        </is>
      </c>
      <c r="BC267" s="31">
        <f>IF(BB267="Stage 2",20,IF(BB267="Stage 1",0,IF(BB267="Stage 3",5,IF(BB267="Stage 4",-5,0))))</f>
        <v/>
      </c>
      <c r="BD267" s="31" t="inlineStr">
        <is>
          <t>Negative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Less than 12%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Yes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IF(B268=0,"",RANK(B268,$B$2:$B$389,0))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3" t="inlineStr">
        <is>
          <t>MOLDTKPAC</t>
        </is>
      </c>
      <c r="D268" s="33" t="inlineStr">
        <is>
          <t>Mold-tek Packaging Limited</t>
        </is>
      </c>
      <c r="E268" s="31" t="inlineStr">
        <is>
          <t>industrials</t>
        </is>
      </c>
      <c r="F268" s="31" t="inlineStr">
        <is>
          <t>packaging</t>
        </is>
      </c>
      <c r="G268" s="31" t="inlineStr">
        <is>
          <t>smallcap</t>
        </is>
      </c>
      <c r="H268" s="32" t="n">
        <v>2355.76</v>
      </c>
      <c r="I268" s="32" t="n">
        <v>716.25</v>
      </c>
      <c r="J268" s="32" t="n">
        <v>1.03</v>
      </c>
      <c r="K268" s="32" t="n">
        <v>171529</v>
      </c>
      <c r="L268" s="31" t="n">
        <v>6</v>
      </c>
      <c r="M268" s="31" t="inlineStr">
        <is>
          <t>Underperforming</t>
        </is>
      </c>
      <c r="N268" s="32">
        <f>IF(M268="Underperforming",-5,IF(L268&gt;=95,15,IF(L268&gt;=90,10,IF(L268&gt;=80,5,0))))</f>
        <v/>
      </c>
      <c r="O268" s="32" t="n">
        <v>57.95</v>
      </c>
      <c r="P268" s="32" t="n">
        <v>27.23</v>
      </c>
      <c r="Q268" s="32" t="inlineStr"/>
      <c r="R268" s="31" t="inlineStr">
        <is>
          <t>Earnings / Momentum Support</t>
        </is>
      </c>
      <c r="S268" s="31" t="inlineStr">
        <is>
          <t>Nifty 50</t>
        </is>
      </c>
      <c r="T268" s="32" t="n">
        <v>-2.49</v>
      </c>
      <c r="U268" s="32" t="n">
        <v>-10.01</v>
      </c>
      <c r="V268" s="32" t="n">
        <v>-7.72</v>
      </c>
      <c r="W268" s="32" t="n">
        <v>-0.27</v>
      </c>
      <c r="X268" s="31" t="inlineStr">
        <is>
          <t>Cyclical in an Upturn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Headwind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20 to 40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3</t>
        </is>
      </c>
      <c r="BC268" s="31">
        <f>IF(BB268="Stage 2",20,IF(BB268="Stage 1",0,IF(BB268="Stage 3",5,IF(BB268="Stage 4",-5,0))))</f>
        <v/>
      </c>
      <c r="BD268" s="31" t="inlineStr">
        <is>
          <t>Negative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Between 12 to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IF(B269=0,"",RANK(B269,$B$2:$B$389,0))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HARSHA</t>
        </is>
      </c>
      <c r="D269" s="31" t="inlineStr">
        <is>
          <t>Harsha Engineers International Ltd</t>
        </is>
      </c>
      <c r="E269" s="31" t="inlineStr">
        <is>
          <t>industrials</t>
        </is>
      </c>
      <c r="F269" s="31" t="inlineStr">
        <is>
          <t>engineering</t>
        </is>
      </c>
      <c r="G269" s="31" t="inlineStr">
        <is>
          <t>smallcap</t>
        </is>
      </c>
      <c r="H269" s="32" t="n">
        <v>3984.09</v>
      </c>
      <c r="I269" s="32" t="n">
        <v>442</v>
      </c>
      <c r="J269" s="32" t="n">
        <v>1.01</v>
      </c>
      <c r="K269" s="32" t="n">
        <v>123826</v>
      </c>
      <c r="L269" s="31" t="inlineStr"/>
      <c r="M269" s="31" t="inlineStr"/>
      <c r="N269" s="32">
        <f>IF(M269="Underperforming",-5,IF(L269&gt;=95,15,IF(L269&gt;=90,10,IF(L269&gt;=80,5,0))))</f>
        <v/>
      </c>
      <c r="O269" s="32" t="n">
        <v>59.48</v>
      </c>
      <c r="P269" s="32" t="n">
        <v>38.2</v>
      </c>
      <c r="Q269" s="32" t="inlineStr"/>
      <c r="R269" s="31" t="inlineStr">
        <is>
          <t>Earnings / Momentum Support</t>
        </is>
      </c>
      <c r="S269" s="31" t="inlineStr">
        <is>
          <t>Nifty Infra</t>
        </is>
      </c>
      <c r="T269" s="32" t="inlineStr"/>
      <c r="U269" s="32" t="inlineStr"/>
      <c r="V269" s="32" t="inlineStr"/>
      <c r="W269" s="32" t="inlineStr"/>
      <c r="X269" s="31" t="inlineStr">
        <is>
          <t>Cyclical in an Upturn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Headwind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20 to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3</t>
        </is>
      </c>
      <c r="BC269" s="31">
        <f>IF(BB269="Stage 2",20,IF(BB269="Stage 1",0,IF(BB269="Stage 3",5,IF(BB269="Stage 4",-5,0))))</f>
        <v/>
      </c>
      <c r="BD269" s="31" t="inlineStr">
        <is>
          <t>Negative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Less than 12%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IF(B270=0,"",RANK(B270,$B$2:$B$389,0))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VSSL</t>
        </is>
      </c>
      <c r="D270" s="31" t="inlineStr">
        <is>
          <t>Vardhman Special Steels Limited</t>
        </is>
      </c>
      <c r="E270" s="31" t="inlineStr">
        <is>
          <t>metals &amp; mining</t>
        </is>
      </c>
      <c r="F270" s="31" t="inlineStr">
        <is>
          <t>steel - medium / small</t>
        </is>
      </c>
      <c r="G270" s="31" t="inlineStr">
        <is>
          <t>smallcap</t>
        </is>
      </c>
      <c r="H270" s="32" t="n">
        <v>3371.43</v>
      </c>
      <c r="I270" s="32" t="n">
        <v>352</v>
      </c>
      <c r="J270" s="32" t="n">
        <v>0.95</v>
      </c>
      <c r="K270" s="32" t="n">
        <v>114944</v>
      </c>
      <c r="L270" s="31" t="inlineStr"/>
      <c r="M270" s="31" t="inlineStr"/>
      <c r="N270" s="32">
        <f>IF(M270="Underperforming",-5,IF(L270&gt;=95,15,IF(L270&gt;=90,10,IF(L270&gt;=80,5,0))))</f>
        <v/>
      </c>
      <c r="O270" s="32" t="n">
        <v>74.08</v>
      </c>
      <c r="P270" s="32" t="n">
        <v>31.59</v>
      </c>
      <c r="Q270" s="32" t="inlineStr"/>
      <c r="R270" s="31" t="inlineStr">
        <is>
          <t>Earnings / Momentum Support</t>
        </is>
      </c>
      <c r="S270" s="31" t="inlineStr">
        <is>
          <t>Nifty Metal</t>
        </is>
      </c>
      <c r="T270" s="32" t="inlineStr"/>
      <c r="U270" s="32" t="inlineStr"/>
      <c r="V270" s="32" t="inlineStr"/>
      <c r="W270" s="32" t="inlineStr"/>
      <c r="X270" s="31" t="inlineStr">
        <is>
          <t>Cyclical in an Upturn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Headwind</t>
        </is>
      </c>
      <c r="AE270" s="31">
        <f>IF(AD270="Tailwind",10,0)</f>
        <v/>
      </c>
      <c r="AF270" s="31" t="inlineStr">
        <is>
          <t>Cyclical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Volatile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20 to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3</t>
        </is>
      </c>
      <c r="BC270" s="31">
        <f>IF(BB270="Stage 2",20,IF(BB270="Stage 1",0,IF(BB270="Stage 3",5,IF(BB270="Stage 4",-5,0))))</f>
        <v/>
      </c>
      <c r="BD270" s="31" t="inlineStr">
        <is>
          <t>Negative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Less than 1.5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IF(B271=0,"",RANK(B271,$B$2:$B$389,0))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RGL</t>
        </is>
      </c>
      <c r="D271" s="31" t="inlineStr">
        <is>
          <t>Renaissance Global Ltd</t>
        </is>
      </c>
      <c r="E271" s="31" t="inlineStr">
        <is>
          <t>consumer discretionary</t>
        </is>
      </c>
      <c r="F271" s="31" t="inlineStr">
        <is>
          <t>diamond cutting / jewellery</t>
        </is>
      </c>
      <c r="G271" s="31" t="inlineStr">
        <is>
          <t>smallcap</t>
        </is>
      </c>
      <c r="H271" s="32" t="n">
        <v>1409.32</v>
      </c>
      <c r="I271" s="32" t="n">
        <v>132.32</v>
      </c>
      <c r="J271" s="32" t="n">
        <v>0.8100000000000001</v>
      </c>
      <c r="K271" s="32" t="n">
        <v>878481</v>
      </c>
      <c r="L271" s="31" t="n">
        <v>43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63.5</v>
      </c>
      <c r="P271" s="32" t="n">
        <v>17.08</v>
      </c>
      <c r="Q271" s="32" t="inlineStr"/>
      <c r="R271" s="31" t="inlineStr">
        <is>
          <t>Earnings / Momentum Support</t>
        </is>
      </c>
      <c r="S271" s="31" t="inlineStr">
        <is>
          <t>Nifty 50</t>
        </is>
      </c>
      <c r="T271" s="32" t="n">
        <v>-2.49</v>
      </c>
      <c r="U271" s="32" t="n">
        <v>14.44</v>
      </c>
      <c r="V271" s="32" t="n">
        <v>17.35</v>
      </c>
      <c r="W271" s="32" t="n">
        <v>9.9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Headwind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3</t>
        </is>
      </c>
      <c r="BC271" s="31">
        <f>IF(BB271="Stage 2",20,IF(BB271="Stage 1",0,IF(BB271="Stage 3",5,IF(BB271="Stage 4",-5,0))))</f>
        <v/>
      </c>
      <c r="BD271" s="31" t="inlineStr">
        <is>
          <t>Negative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No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IF(B272=0,"",RANK(B272,$B$2:$B$389,0))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MANINDS</t>
        </is>
      </c>
      <c r="D272" s="31" t="inlineStr">
        <is>
          <t>Man Industries (india) Limited</t>
        </is>
      </c>
      <c r="E272" s="31" t="inlineStr">
        <is>
          <t>metals &amp; mining</t>
        </is>
      </c>
      <c r="F272" s="31" t="inlineStr">
        <is>
          <t>steel - medium / small</t>
        </is>
      </c>
      <c r="G272" s="31" t="inlineStr">
        <is>
          <t>midcap</t>
        </is>
      </c>
      <c r="H272" s="32" t="n">
        <v>5366.18</v>
      </c>
      <c r="I272" s="32" t="n">
        <v>718.1</v>
      </c>
      <c r="J272" s="32" t="n">
        <v>0.38</v>
      </c>
      <c r="K272" s="32" t="n">
        <v>636152</v>
      </c>
      <c r="L272" s="31" t="inlineStr"/>
      <c r="M272" s="31" t="inlineStr"/>
      <c r="N272" s="32">
        <f>IF(M272="Underperforming",-5,IF(L272&gt;=95,15,IF(L272&gt;=90,10,IF(L272&gt;=80,5,0))))</f>
        <v/>
      </c>
      <c r="O272" s="32" t="n">
        <v>72.06999999999999</v>
      </c>
      <c r="P272" s="32" t="n">
        <v>29.91</v>
      </c>
      <c r="Q272" s="32" t="inlineStr"/>
      <c r="R272" s="31" t="inlineStr">
        <is>
          <t>Earnings / Momentum Support</t>
        </is>
      </c>
      <c r="S272" s="31" t="inlineStr">
        <is>
          <t>Nifty Metal</t>
        </is>
      </c>
      <c r="T272" s="32" t="inlineStr"/>
      <c r="U272" s="32" t="inlineStr"/>
      <c r="V272" s="32" t="inlineStr"/>
      <c r="W272" s="32" t="inlineStr"/>
      <c r="X272" s="31" t="inlineStr">
        <is>
          <t>Cyclical in an Upturn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Headwind</t>
        </is>
      </c>
      <c r="AE272" s="31">
        <f>IF(AD272="Tailwind",10,0)</f>
        <v/>
      </c>
      <c r="AF272" s="31" t="inlineStr">
        <is>
          <t>Cyclical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Volatile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3</t>
        </is>
      </c>
      <c r="BC272" s="31">
        <f>IF(BB272="Stage 2",20,IF(BB272="Stage 1",0,IF(BB272="Stage 3",5,IF(BB272="Stage 4",-5,0))))</f>
        <v/>
      </c>
      <c r="BD272" s="31" t="inlineStr">
        <is>
          <t>Negative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No</t>
        </is>
      </c>
      <c r="BS272" s="31">
        <f>IF(BR272="NO",5,0)</f>
        <v/>
      </c>
      <c r="BT272" s="31" t="inlineStr">
        <is>
          <t>Less than 1.5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IF(B273=0,"",RANK(B273,$B$2:$B$389,0))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SAMBHV</t>
        </is>
      </c>
      <c r="D273" s="31" t="inlineStr">
        <is>
          <t>Sambhv Steel Tubes Ltd</t>
        </is>
      </c>
      <c r="E273" s="31" t="inlineStr">
        <is>
          <t>metals &amp; mining</t>
        </is>
      </c>
      <c r="F273" s="31" t="inlineStr">
        <is>
          <t>steel - medium / small</t>
        </is>
      </c>
      <c r="G273" s="31" t="inlineStr">
        <is>
          <t>smallcap</t>
        </is>
      </c>
      <c r="H273" s="32" t="n">
        <v>3811.57</v>
      </c>
      <c r="I273" s="32" t="n">
        <v>129.78</v>
      </c>
      <c r="J273" s="32" t="n">
        <v>0.33</v>
      </c>
      <c r="K273" s="32" t="n">
        <v>1469390</v>
      </c>
      <c r="L273" s="31" t="inlineStr"/>
      <c r="M273" s="31" t="inlineStr"/>
      <c r="N273" s="32">
        <f>IF(M273="Underperforming",-5,IF(L273&gt;=95,15,IF(L273&gt;=90,10,IF(L273&gt;=80,5,0))))</f>
        <v/>
      </c>
      <c r="O273" s="32" t="n">
        <v>66.5</v>
      </c>
      <c r="P273" s="32" t="n">
        <v>28.43</v>
      </c>
      <c r="Q273" s="32" t="inlineStr"/>
      <c r="R273" s="31" t="inlineStr">
        <is>
          <t>Earnings / Momentum Support</t>
        </is>
      </c>
      <c r="S273" s="31" t="inlineStr">
        <is>
          <t>Nifty Metal</t>
        </is>
      </c>
      <c r="T273" s="32" t="inlineStr"/>
      <c r="U273" s="32" t="inlineStr"/>
      <c r="V273" s="32" t="inlineStr"/>
      <c r="W273" s="32" t="inlineStr"/>
      <c r="X273" s="31" t="inlineStr">
        <is>
          <t>Cyclical in an Upturn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Headwind</t>
        </is>
      </c>
      <c r="AE273" s="31">
        <f>IF(AD273="Tailwind",10,0)</f>
        <v/>
      </c>
      <c r="AF273" s="31" t="inlineStr">
        <is>
          <t>Cyclical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Volatile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3</t>
        </is>
      </c>
      <c r="BC273" s="31">
        <f>IF(BB273="Stage 2",20,IF(BB273="Stage 1",0,IF(BB273="Stage 3",5,IF(BB273="Stage 4",-5,0))))</f>
        <v/>
      </c>
      <c r="BD273" s="31" t="inlineStr">
        <is>
          <t>Negative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Less than 1.5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IF(B274=0,"",RANK(B274,$B$2:$B$389,0))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ELECTHERM</t>
        </is>
      </c>
      <c r="D274" s="31" t="inlineStr">
        <is>
          <t>Electrotherm (india) Limited</t>
        </is>
      </c>
      <c r="E274" s="31" t="inlineStr">
        <is>
          <t>metals &amp; mining</t>
        </is>
      </c>
      <c r="F274" s="31" t="inlineStr">
        <is>
          <t>steel - medium / small</t>
        </is>
      </c>
      <c r="G274" s="31" t="inlineStr">
        <is>
          <t>smallcap</t>
        </is>
      </c>
      <c r="H274" s="32" t="n">
        <v>1340.8</v>
      </c>
      <c r="I274" s="32" t="n">
        <v>1055</v>
      </c>
      <c r="J274" s="32" t="n">
        <v>0.27</v>
      </c>
      <c r="K274" s="32" t="n">
        <v>6498</v>
      </c>
      <c r="L274" s="31" t="inlineStr"/>
      <c r="M274" s="31" t="inlineStr"/>
      <c r="N274" s="32">
        <f>IF(M274="Underperforming",-5,IF(L274&gt;=95,15,IF(L274&gt;=90,10,IF(L274&gt;=80,5,0))))</f>
        <v/>
      </c>
      <c r="O274" s="32" t="n">
        <v>57.18</v>
      </c>
      <c r="P274" s="32" t="n">
        <v>41.12</v>
      </c>
      <c r="Q274" s="32" t="inlineStr"/>
      <c r="R274" s="31" t="inlineStr">
        <is>
          <t>Earnings / Momentum Support</t>
        </is>
      </c>
      <c r="S274" s="31" t="inlineStr">
        <is>
          <t>Nifty Metal</t>
        </is>
      </c>
      <c r="T274" s="32" t="inlineStr"/>
      <c r="U274" s="32" t="inlineStr"/>
      <c r="V274" s="32" t="inlineStr"/>
      <c r="W274" s="32" t="inlineStr"/>
      <c r="X274" s="31" t="inlineStr">
        <is>
          <t>Cyclical in an Upturn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Headwind</t>
        </is>
      </c>
      <c r="AE274" s="31">
        <f>IF(AD274="Tailwind",10,0)</f>
        <v/>
      </c>
      <c r="AF274" s="31" t="inlineStr">
        <is>
          <t>Cyclical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Volatile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Above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3</t>
        </is>
      </c>
      <c r="BC274" s="31">
        <f>IF(BB274="Stage 2",20,IF(BB274="Stage 1",0,IF(BB274="Stage 3",5,IF(BB274="Stage 4",-5,0))))</f>
        <v/>
      </c>
      <c r="BD274" s="31" t="inlineStr">
        <is>
          <t>Negative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Less than 12%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Less than 1.5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IF(B275=0,"",RANK(B275,$B$2:$B$389,0))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MAHSEAMLES</t>
        </is>
      </c>
      <c r="D275" s="31" t="inlineStr">
        <is>
          <t>Maharashtra Seamless Limited</t>
        </is>
      </c>
      <c r="E275" s="31" t="inlineStr">
        <is>
          <t>industrials</t>
        </is>
      </c>
      <c r="F275" s="31" t="inlineStr">
        <is>
          <t>steel - large</t>
        </is>
      </c>
      <c r="G275" s="31" t="inlineStr">
        <is>
          <t>midcap</t>
        </is>
      </c>
      <c r="H275" s="32" t="n">
        <v>8497.559999999999</v>
      </c>
      <c r="I275" s="32" t="n">
        <v>634.75</v>
      </c>
      <c r="J275" s="32" t="n">
        <v>0.09</v>
      </c>
      <c r="K275" s="32" t="n">
        <v>274888</v>
      </c>
      <c r="L275" s="31" t="inlineStr"/>
      <c r="M275" s="31" t="inlineStr"/>
      <c r="N275" s="32">
        <f>IF(M275="Underperforming",-5,IF(L275&gt;=95,15,IF(L275&gt;=90,10,IF(L275&gt;=80,5,0))))</f>
        <v/>
      </c>
      <c r="O275" s="32" t="n">
        <v>59.19</v>
      </c>
      <c r="P275" s="32" t="n">
        <v>17.17</v>
      </c>
      <c r="Q275" s="32" t="inlineStr"/>
      <c r="R275" s="31" t="inlineStr">
        <is>
          <t>Earnings / Momentum Support</t>
        </is>
      </c>
      <c r="S275" s="31" t="inlineStr">
        <is>
          <t>Nifty Metal</t>
        </is>
      </c>
      <c r="T275" s="32" t="inlineStr"/>
      <c r="U275" s="32" t="inlineStr"/>
      <c r="V275" s="32" t="inlineStr"/>
      <c r="W275" s="32" t="inlineStr"/>
      <c r="X275" s="31" t="inlineStr">
        <is>
          <t>Cyclical in an Upturn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Headwind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3</t>
        </is>
      </c>
      <c r="BC275" s="31">
        <f>IF(BB275="Stage 2",20,IF(BB275="Stage 1",0,IF(BB275="Stage 3",5,IF(BB275="Stage 4",-5,0))))</f>
        <v/>
      </c>
      <c r="BD275" s="31" t="inlineStr">
        <is>
          <t>Negative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Between 12 to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Less than 1.5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IF(B276=0,"",RANK(B276,$B$2:$B$389,0))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INGERRAND</t>
        </is>
      </c>
      <c r="D276" s="31" t="inlineStr">
        <is>
          <t>Ingersoll Rand (india) Limited</t>
        </is>
      </c>
      <c r="E276" s="31" t="inlineStr">
        <is>
          <t>industrials</t>
        </is>
      </c>
      <c r="F276" s="31" t="inlineStr">
        <is>
          <t>compressors / drilling equipment</t>
        </is>
      </c>
      <c r="G276" s="31" t="inlineStr">
        <is>
          <t>midcap</t>
        </is>
      </c>
      <c r="H276" s="32" t="n">
        <v>14712.58</v>
      </c>
      <c r="I276" s="32" t="n">
        <v>4660</v>
      </c>
      <c r="J276" s="32" t="n">
        <v>-0.01</v>
      </c>
      <c r="K276" s="32" t="n">
        <v>13246</v>
      </c>
      <c r="L276" s="31" t="n">
        <v>26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61.13</v>
      </c>
      <c r="P276" s="32" t="n">
        <v>23.16</v>
      </c>
      <c r="Q276" s="32" t="inlineStr"/>
      <c r="R276" s="31" t="inlineStr">
        <is>
          <t>Earnings / Momentum Support</t>
        </is>
      </c>
      <c r="S276" s="31" t="inlineStr">
        <is>
          <t>Nifty 50</t>
        </is>
      </c>
      <c r="T276" s="32" t="n">
        <v>-2.49</v>
      </c>
      <c r="U276" s="32" t="n">
        <v>25.75</v>
      </c>
      <c r="V276" s="32" t="n">
        <v>28.96</v>
      </c>
      <c r="W276" s="32" t="n">
        <v>5.77</v>
      </c>
      <c r="X276" s="31" t="inlineStr">
        <is>
          <t>Cyclical in an Upturn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Headwind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20 to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3</t>
        </is>
      </c>
      <c r="BC276" s="31">
        <f>IF(BB276="Stage 2",20,IF(BB276="Stage 1",0,IF(BB276="Stage 3",5,IF(BB276="Stage 4",-5,0))))</f>
        <v/>
      </c>
      <c r="BD276" s="31" t="inlineStr">
        <is>
          <t>Negative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Between 12 to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IF(B277=0,"",RANK(B277,$B$2:$B$389,0))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VRLLOG</t>
        </is>
      </c>
      <c r="D277" s="31" t="inlineStr">
        <is>
          <t>Vrl Logistics Limited</t>
        </is>
      </c>
      <c r="E277" s="31" t="inlineStr">
        <is>
          <t>transportation</t>
        </is>
      </c>
      <c r="F277" s="31" t="inlineStr">
        <is>
          <t>miscellaneous</t>
        </is>
      </c>
      <c r="G277" s="31" t="inlineStr">
        <is>
          <t>midcap</t>
        </is>
      </c>
      <c r="H277" s="32" t="n">
        <v>5051.31</v>
      </c>
      <c r="I277" s="32" t="n">
        <v>288.4</v>
      </c>
      <c r="J277" s="32" t="n">
        <v>-0.12</v>
      </c>
      <c r="K277" s="32" t="n">
        <v>113348</v>
      </c>
      <c r="L277" s="31" t="n">
        <v>28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62.98</v>
      </c>
      <c r="P277" s="32" t="n">
        <v>19.53</v>
      </c>
      <c r="Q277" s="32" t="inlineStr"/>
      <c r="R277" s="31" t="inlineStr">
        <is>
          <t>Earnings / Momentum Support</t>
        </is>
      </c>
      <c r="S277" s="31" t="inlineStr">
        <is>
          <t>Nifty 50</t>
        </is>
      </c>
      <c r="T277" s="32" t="n">
        <v>-2.49</v>
      </c>
      <c r="U277" s="32" t="n">
        <v>5.39</v>
      </c>
      <c r="V277" s="32" t="n">
        <v>8.08</v>
      </c>
      <c r="W277" s="32" t="n">
        <v>5.92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Headwind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3</t>
        </is>
      </c>
      <c r="BC277" s="31">
        <f>IF(BB277="Stage 2",20,IF(BB277="Stage 1",0,IF(BB277="Stage 3",5,IF(BB277="Stage 4",-5,0))))</f>
        <v/>
      </c>
      <c r="BD277" s="31" t="inlineStr">
        <is>
          <t>Negative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Less than 1.5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Between 0.7 to 1.2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IF(B278=0,"",RANK(B278,$B$2:$B$389,0))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TITAN</t>
        </is>
      </c>
      <c r="D278" s="31" t="inlineStr">
        <is>
          <t>Titan Company Limited</t>
        </is>
      </c>
      <c r="E278" s="31" t="inlineStr">
        <is>
          <t>consumer discretionary</t>
        </is>
      </c>
      <c r="F278" s="31" t="inlineStr">
        <is>
          <t>diamond cutting / jewellery</t>
        </is>
      </c>
      <c r="G278" s="31" t="inlineStr">
        <is>
          <t>largecap</t>
        </is>
      </c>
      <c r="H278" s="32" t="n">
        <v>451536.92</v>
      </c>
      <c r="I278" s="32" t="n">
        <v>5079</v>
      </c>
      <c r="J278" s="32" t="n">
        <v>-0.14</v>
      </c>
      <c r="K278" s="32" t="n">
        <v>237587</v>
      </c>
      <c r="L278" s="31" t="n">
        <v>52</v>
      </c>
      <c r="M278" s="31" t="inlineStr">
        <is>
          <t>Outperforming</t>
        </is>
      </c>
      <c r="N278" s="32">
        <f>IF(M278="Underperforming",-5,IF(L278&gt;=95,15,IF(L278&gt;=90,10,IF(L278&gt;=80,5,0))))</f>
        <v/>
      </c>
      <c r="O278" s="32" t="n">
        <v>72.25</v>
      </c>
      <c r="P278" s="32" t="n">
        <v>30.77</v>
      </c>
      <c r="Q278" s="32" t="inlineStr"/>
      <c r="R278" s="31" t="inlineStr">
        <is>
          <t>Earnings / Momentum Support</t>
        </is>
      </c>
      <c r="S278" s="31" t="inlineStr">
        <is>
          <t>Nifty 50</t>
        </is>
      </c>
      <c r="T278" s="32" t="n">
        <v>-2.49</v>
      </c>
      <c r="U278" s="32" t="n">
        <v>40.92</v>
      </c>
      <c r="V278" s="32" t="n">
        <v>44.51</v>
      </c>
      <c r="W278" s="32" t="n">
        <v>12.56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Headwind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20 to 40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3</t>
        </is>
      </c>
      <c r="BC278" s="31">
        <f>IF(BB278="Stage 2",20,IF(BB278="Stage 1",0,IF(BB278="Stage 3",5,IF(BB278="Stage 4",-5,0))))</f>
        <v/>
      </c>
      <c r="BD278" s="31" t="inlineStr">
        <is>
          <t>Negative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Less than 1.5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More than 1.2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IF(B279=0,"",RANK(B279,$B$2:$B$389,0))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BOSCHLTD</t>
        </is>
      </c>
      <c r="D279" s="31" t="inlineStr">
        <is>
          <t>Bosch Limited</t>
        </is>
      </c>
      <c r="E279" s="31" t="inlineStr">
        <is>
          <t>auto</t>
        </is>
      </c>
      <c r="F279" s="31" t="inlineStr">
        <is>
          <t>auto ancillaries</t>
        </is>
      </c>
      <c r="G279" s="31" t="inlineStr">
        <is>
          <t>largecap</t>
        </is>
      </c>
      <c r="H279" s="32" t="n">
        <v>142171.2</v>
      </c>
      <c r="I279" s="32" t="n">
        <v>48100</v>
      </c>
      <c r="J279" s="32" t="n">
        <v>-0.21</v>
      </c>
      <c r="K279" s="32" t="n">
        <v>27805</v>
      </c>
      <c r="L279" s="31" t="inlineStr"/>
      <c r="M279" s="31" t="inlineStr"/>
      <c r="N279" s="32">
        <f>IF(M279="Underperforming",-5,IF(L279&gt;=95,15,IF(L279&gt;=90,10,IF(L279&gt;=80,5,0))))</f>
        <v/>
      </c>
      <c r="O279" s="32" t="n">
        <v>74.95</v>
      </c>
      <c r="P279" s="32" t="n">
        <v>36.85</v>
      </c>
      <c r="Q279" s="32" t="inlineStr"/>
      <c r="R279" s="31" t="inlineStr">
        <is>
          <t>Earnings / Momentum Support</t>
        </is>
      </c>
      <c r="S279" s="31" t="inlineStr">
        <is>
          <t>Nifty Auto</t>
        </is>
      </c>
      <c r="T279" s="32" t="inlineStr"/>
      <c r="U279" s="32" t="inlineStr"/>
      <c r="V279" s="32" t="inlineStr"/>
      <c r="W279" s="32" t="inlineStr"/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Headwind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20 to 40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3</t>
        </is>
      </c>
      <c r="BC279" s="31">
        <f>IF(BB279="Stage 2",20,IF(BB279="Stage 1",0,IF(BB279="Stage 3",5,IF(BB279="Stage 4",-5,0))))</f>
        <v/>
      </c>
      <c r="BD279" s="31" t="inlineStr">
        <is>
          <t>Negative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IF(B280=0,"",RANK(B280,$B$2:$B$389,0))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3" t="inlineStr">
        <is>
          <t>MAZDOCK</t>
        </is>
      </c>
      <c r="D280" s="33" t="inlineStr">
        <is>
          <t>Mazagon Dock Shipbuilders Ltd</t>
        </is>
      </c>
      <c r="E280" s="31" t="inlineStr">
        <is>
          <t>aerospace &amp; defence</t>
        </is>
      </c>
      <c r="F280" s="31" t="inlineStr">
        <is>
          <t>miscellaneous</t>
        </is>
      </c>
      <c r="G280" s="31" t="inlineStr">
        <is>
          <t>largecap</t>
        </is>
      </c>
      <c r="H280" s="32" t="n">
        <v>102942.58</v>
      </c>
      <c r="I280" s="32" t="n">
        <v>2540</v>
      </c>
      <c r="J280" s="32" t="n">
        <v>-0.47</v>
      </c>
      <c r="K280" s="32" t="n">
        <v>370213</v>
      </c>
      <c r="L280" s="31" t="n">
        <v>7</v>
      </c>
      <c r="M280" s="31" t="inlineStr">
        <is>
          <t>Underperforming</t>
        </is>
      </c>
      <c r="N280" s="32">
        <f>IF(M280="Underperforming",-5,IF(L280&gt;=95,15,IF(L280&gt;=90,10,IF(L280&gt;=80,5,0))))</f>
        <v/>
      </c>
      <c r="O280" s="32" t="n">
        <v>53.71</v>
      </c>
      <c r="P280" s="32" t="n">
        <v>8.289999999999999</v>
      </c>
      <c r="Q280" s="32" t="inlineStr"/>
      <c r="R280" s="31" t="inlineStr">
        <is>
          <t>Earnings / Momentum Support</t>
        </is>
      </c>
      <c r="S280" s="31" t="inlineStr">
        <is>
          <t>Nifty 50</t>
        </is>
      </c>
      <c r="T280" s="32" t="n">
        <v>-2.49</v>
      </c>
      <c r="U280" s="32" t="n">
        <v>-4.73</v>
      </c>
      <c r="V280" s="32" t="n">
        <v>-2.3</v>
      </c>
      <c r="W280" s="32" t="n">
        <v>-0.02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Headwind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3</t>
        </is>
      </c>
      <c r="BC280" s="31">
        <f>IF(BB280="Stage 2",20,IF(BB280="Stage 1",0,IF(BB280="Stage 3",5,IF(BB280="Stage 4",-5,0))))</f>
        <v/>
      </c>
      <c r="BD280" s="31" t="inlineStr">
        <is>
          <t>Negative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Between 1.5 to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IF(B281=0,"",RANK(B281,$B$2:$B$389,0))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TVSMOTOR</t>
        </is>
      </c>
      <c r="D281" s="31" t="inlineStr">
        <is>
          <t>Tvs Motor Company Limited</t>
        </is>
      </c>
      <c r="E281" s="31" t="inlineStr">
        <is>
          <t>auto</t>
        </is>
      </c>
      <c r="F281" s="31" t="inlineStr">
        <is>
          <t>automobiles - motorcycles / mopeds</t>
        </is>
      </c>
      <c r="G281" s="31" t="inlineStr">
        <is>
          <t>largecap</t>
        </is>
      </c>
      <c r="H281" s="32" t="n">
        <v>208563.24</v>
      </c>
      <c r="I281" s="32" t="n">
        <v>4363.5</v>
      </c>
      <c r="J281" s="32" t="n">
        <v>-0.6</v>
      </c>
      <c r="K281" s="32" t="n">
        <v>519764</v>
      </c>
      <c r="L281" s="31" t="inlineStr"/>
      <c r="M281" s="31" t="inlineStr"/>
      <c r="N281" s="32">
        <f>IF(M281="Underperforming",-5,IF(L281&gt;=95,15,IF(L281&gt;=90,10,IF(L281&gt;=80,5,0))))</f>
        <v/>
      </c>
      <c r="O281" s="32" t="n">
        <v>68.83</v>
      </c>
      <c r="P281" s="32" t="n">
        <v>26.46</v>
      </c>
      <c r="Q281" s="32" t="inlineStr"/>
      <c r="R281" s="31" t="inlineStr">
        <is>
          <t>Earnings / Momentum Support</t>
        </is>
      </c>
      <c r="S281" s="31" t="inlineStr">
        <is>
          <t>Nifty Auto</t>
        </is>
      </c>
      <c r="T281" s="32" t="inlineStr"/>
      <c r="U281" s="32" t="inlineStr"/>
      <c r="V281" s="32" t="inlineStr"/>
      <c r="W281" s="32" t="inlineStr"/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Headwind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20 to 40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3</t>
        </is>
      </c>
      <c r="BC281" s="31">
        <f>IF(BB281="Stage 2",20,IF(BB281="Stage 1",0,IF(BB281="Stage 3",5,IF(BB281="Stage 4",-5,0))))</f>
        <v/>
      </c>
      <c r="BD281" s="31" t="inlineStr">
        <is>
          <t>Negative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Less than 1.5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More than 1.2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IF(B282=0,"",RANK(B282,$B$2:$B$389,0))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LUMAXIND</t>
        </is>
      </c>
      <c r="D282" s="31" t="inlineStr">
        <is>
          <t>Lumax Industries Limited</t>
        </is>
      </c>
      <c r="E282" s="31" t="inlineStr">
        <is>
          <t>auto</t>
        </is>
      </c>
      <c r="F282" s="31" t="inlineStr">
        <is>
          <t>auto ancillaries</t>
        </is>
      </c>
      <c r="G282" s="31" t="inlineStr">
        <is>
          <t>midcap</t>
        </is>
      </c>
      <c r="H282" s="32" t="n">
        <v>5496.47</v>
      </c>
      <c r="I282" s="32" t="n">
        <v>5822</v>
      </c>
      <c r="J282" s="32" t="n">
        <v>-0.99</v>
      </c>
      <c r="K282" s="32" t="n">
        <v>11881</v>
      </c>
      <c r="L282" s="31" t="inlineStr"/>
      <c r="M282" s="31" t="inlineStr"/>
      <c r="N282" s="32">
        <f>IF(M282="Underperforming",-5,IF(L282&gt;=95,15,IF(L282&gt;=90,10,IF(L282&gt;=80,5,0))))</f>
        <v/>
      </c>
      <c r="O282" s="32" t="n">
        <v>60.67</v>
      </c>
      <c r="P282" s="32" t="n">
        <v>12.12</v>
      </c>
      <c r="Q282" s="32" t="inlineStr"/>
      <c r="R282" s="31" t="inlineStr">
        <is>
          <t>Earnings / Momentum Support</t>
        </is>
      </c>
      <c r="S282" s="31" t="inlineStr">
        <is>
          <t>Nifty Auto</t>
        </is>
      </c>
      <c r="T282" s="32" t="inlineStr"/>
      <c r="U282" s="32" t="inlineStr"/>
      <c r="V282" s="32" t="inlineStr"/>
      <c r="W282" s="32" t="inlineStr"/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Headwind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3</t>
        </is>
      </c>
      <c r="BC282" s="31">
        <f>IF(BB282="Stage 2",20,IF(BB282="Stage 1",0,IF(BB282="Stage 3",5,IF(BB282="Stage 4",-5,0))))</f>
        <v/>
      </c>
      <c r="BD282" s="31" t="inlineStr">
        <is>
          <t>Negative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Less than 1.5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Between 0.7 to 1.2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IF(B283=0,"",RANK(B283,$B$2:$B$389,0))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ZENTEC</t>
        </is>
      </c>
      <c r="D283" s="31" t="inlineStr">
        <is>
          <t>Zen Technologies Limited</t>
        </is>
      </c>
      <c r="E283" s="31" t="inlineStr">
        <is>
          <t>aerospace &amp; defence</t>
        </is>
      </c>
      <c r="F283" s="31" t="inlineStr">
        <is>
          <t>miscellaneous</t>
        </is>
      </c>
      <c r="G283" s="31" t="inlineStr">
        <is>
          <t>midcap</t>
        </is>
      </c>
      <c r="H283" s="32" t="n">
        <v>17392.63</v>
      </c>
      <c r="I283" s="32" t="n">
        <v>1903.3</v>
      </c>
      <c r="J283" s="32" t="n">
        <v>-1.19</v>
      </c>
      <c r="K283" s="32" t="n">
        <v>327505</v>
      </c>
      <c r="L283" s="31" t="n">
        <v>44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61.38</v>
      </c>
      <c r="P283" s="32" t="n">
        <v>36</v>
      </c>
      <c r="Q283" s="32" t="inlineStr"/>
      <c r="R283" s="31" t="inlineStr">
        <is>
          <t>Earnings / Momentum Support</t>
        </is>
      </c>
      <c r="S283" s="31" t="inlineStr">
        <is>
          <t>Nifty 50</t>
        </is>
      </c>
      <c r="T283" s="32" t="n">
        <v>-2.49</v>
      </c>
      <c r="U283" s="32" t="n">
        <v>29.12</v>
      </c>
      <c r="V283" s="32" t="n">
        <v>32.42</v>
      </c>
      <c r="W283" s="32" t="n">
        <v>10.14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Headwind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20 to 40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3</t>
        </is>
      </c>
      <c r="BC283" s="31">
        <f>IF(BB283="Stage 2",20,IF(BB283="Stage 1",0,IF(BB283="Stage 3",5,IF(BB283="Stage 4",-5,0))))</f>
        <v/>
      </c>
      <c r="BD283" s="31" t="inlineStr">
        <is>
          <t>Negative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Less than 12%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IF(B284=0,"",RANK(B284,$B$2:$B$389,0))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MMP</t>
        </is>
      </c>
      <c r="D284" s="31" t="inlineStr">
        <is>
          <t>MMP Industries Ltd</t>
        </is>
      </c>
      <c r="E284" s="31" t="inlineStr">
        <is>
          <t>metals &amp; mining</t>
        </is>
      </c>
      <c r="F284" s="31" t="inlineStr">
        <is>
          <t>aluminium and aluminium products</t>
        </is>
      </c>
      <c r="G284" s="31" t="inlineStr">
        <is>
          <t>smallcap</t>
        </is>
      </c>
      <c r="H284" s="32" t="n">
        <v>760.4299999999999</v>
      </c>
      <c r="I284" s="32" t="n">
        <v>396.45</v>
      </c>
      <c r="J284" s="32" t="n">
        <v>-1.36</v>
      </c>
      <c r="K284" s="32" t="n">
        <v>107355</v>
      </c>
      <c r="L284" s="31" t="inlineStr"/>
      <c r="M284" s="31" t="inlineStr"/>
      <c r="N284" s="32">
        <f>IF(M284="Underperforming",-5,IF(L284&gt;=95,15,IF(L284&gt;=90,10,IF(L284&gt;=80,5,0))))</f>
        <v/>
      </c>
      <c r="O284" s="32" t="n">
        <v>78.95999999999999</v>
      </c>
      <c r="P284" s="32" t="n">
        <v>43.9</v>
      </c>
      <c r="Q284" s="32" t="inlineStr"/>
      <c r="R284" s="31" t="inlineStr">
        <is>
          <t>Earnings / Momentum Support</t>
        </is>
      </c>
      <c r="S284" s="31" t="inlineStr">
        <is>
          <t>Nifty Metal</t>
        </is>
      </c>
      <c r="T284" s="32" t="inlineStr"/>
      <c r="U284" s="32" t="inlineStr"/>
      <c r="V284" s="32" t="inlineStr"/>
      <c r="W284" s="32" t="inlineStr"/>
      <c r="X284" s="31" t="inlineStr">
        <is>
          <t>Cyclical in an Upturn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Headwind</t>
        </is>
      </c>
      <c r="AE284" s="31">
        <f>IF(AD284="Tailwind",10,0)</f>
        <v/>
      </c>
      <c r="AF284" s="31" t="inlineStr">
        <is>
          <t>Cyclical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Volatile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Above 40</t>
        </is>
      </c>
      <c r="AY284" s="31">
        <f>IF(AX284="Above 40",20,IF(AX284="20 to 40",10,IF(AX284="0 to 20",-5,0)))</f>
        <v/>
      </c>
      <c r="AZ284" s="31" t="inlineStr">
        <is>
          <t>Above 75</t>
        </is>
      </c>
      <c r="BA284" s="31">
        <f>IF(AZ284="Between 50 to 75",10,IF(AZ284="Above 75",0,0))</f>
        <v/>
      </c>
      <c r="BB284" s="31" t="inlineStr">
        <is>
          <t>Stage 3</t>
        </is>
      </c>
      <c r="BC284" s="31">
        <f>IF(BB284="Stage 2",20,IF(BB284="Stage 1",0,IF(BB284="Stage 3",5,IF(BB284="Stage 4",-5,0))))</f>
        <v/>
      </c>
      <c r="BD284" s="31" t="inlineStr">
        <is>
          <t>Negative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Less than 1.5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IF(B285=0,"",RANK(B285,$B$2:$B$389,0))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DATAPATTNS</t>
        </is>
      </c>
      <c r="D285" s="31" t="inlineStr">
        <is>
          <t>Data Patterns (India) Ltd</t>
        </is>
      </c>
      <c r="E285" s="31" t="inlineStr">
        <is>
          <t>aerospace &amp; defence</t>
        </is>
      </c>
      <c r="F285" s="31" t="inlineStr">
        <is>
          <t>electronics - components</t>
        </is>
      </c>
      <c r="G285" s="31" t="inlineStr">
        <is>
          <t>largecap</t>
        </is>
      </c>
      <c r="H285" s="32" t="n">
        <v>27039.7</v>
      </c>
      <c r="I285" s="32" t="n">
        <v>4736.2</v>
      </c>
      <c r="J285" s="32" t="n">
        <v>-1.94</v>
      </c>
      <c r="K285" s="32" t="n">
        <v>795070</v>
      </c>
      <c r="L285" s="31" t="n">
        <v>69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65.56</v>
      </c>
      <c r="P285" s="32" t="n">
        <v>32.12</v>
      </c>
      <c r="Q285" s="32" t="inlineStr"/>
      <c r="R285" s="31" t="inlineStr">
        <is>
          <t>Earnings / Momentum Support</t>
        </is>
      </c>
      <c r="S285" s="31" t="inlineStr">
        <is>
          <t>Nifty 50</t>
        </is>
      </c>
      <c r="T285" s="32" t="n">
        <v>-2.49</v>
      </c>
      <c r="U285" s="32" t="n">
        <v>86.84999999999999</v>
      </c>
      <c r="V285" s="32" t="n">
        <v>91.61</v>
      </c>
      <c r="W285" s="32" t="n">
        <v>18.47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Headwind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20 to 40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3</t>
        </is>
      </c>
      <c r="BC285" s="31">
        <f>IF(BB285="Stage 2",20,IF(BB285="Stage 1",0,IF(BB285="Stage 3",5,IF(BB285="Stage 4",-5,0))))</f>
        <v/>
      </c>
      <c r="BD285" s="31" t="inlineStr">
        <is>
          <t>Negative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Less than 12%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IF(B286=0,"",RANK(B286,$B$2:$B$389,0))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TCPLPACK</t>
        </is>
      </c>
      <c r="D286" s="31" t="inlineStr">
        <is>
          <t>TCPL Packaging Ltd</t>
        </is>
      </c>
      <c r="E286" s="31" t="inlineStr">
        <is>
          <t>industrials</t>
        </is>
      </c>
      <c r="F286" s="31" t="inlineStr">
        <is>
          <t>packaging</t>
        </is>
      </c>
      <c r="G286" s="31" t="inlineStr">
        <is>
          <t>smallcap</t>
        </is>
      </c>
      <c r="H286" s="32" t="n">
        <v>3732.18</v>
      </c>
      <c r="I286" s="32" t="n">
        <v>3980</v>
      </c>
      <c r="J286" s="32" t="n">
        <v>-2.96</v>
      </c>
      <c r="K286" s="32" t="n">
        <v>13924</v>
      </c>
      <c r="L286" s="31" t="inlineStr"/>
      <c r="M286" s="31" t="inlineStr"/>
      <c r="N286" s="32">
        <f>IF(M286="Underperforming",-5,IF(L286&gt;=95,15,IF(L286&gt;=90,10,IF(L286&gt;=80,5,0))))</f>
        <v/>
      </c>
      <c r="O286" s="32" t="n">
        <v>77.14</v>
      </c>
      <c r="P286" s="32" t="n">
        <v>34.68</v>
      </c>
      <c r="Q286" s="32" t="inlineStr"/>
      <c r="R286" s="31" t="inlineStr">
        <is>
          <t>Earnings / Momentum Support</t>
        </is>
      </c>
      <c r="S286" s="31" t="inlineStr">
        <is>
          <t>Nifty Infra</t>
        </is>
      </c>
      <c r="T286" s="32" t="inlineStr"/>
      <c r="U286" s="32" t="inlineStr"/>
      <c r="V286" s="32" t="inlineStr"/>
      <c r="W286" s="32" t="inlineStr"/>
      <c r="X286" s="31" t="inlineStr">
        <is>
          <t>Cyclical in an Upturn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Headwind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20 to 40</t>
        </is>
      </c>
      <c r="AY286" s="31">
        <f>IF(AX286="Above 40",20,IF(AX286="20 to 40",10,IF(AX286="0 to 20",-5,0)))</f>
        <v/>
      </c>
      <c r="AZ286" s="31" t="inlineStr">
        <is>
          <t>Above 75</t>
        </is>
      </c>
      <c r="BA286" s="31">
        <f>IF(AZ286="Between 50 to 75",10,IF(AZ286="Above 75",0,0))</f>
        <v/>
      </c>
      <c r="BB286" s="31" t="inlineStr">
        <is>
          <t>Stage 3</t>
        </is>
      </c>
      <c r="BC286" s="31">
        <f>IF(BB286="Stage 2",20,IF(BB286="Stage 1",0,IF(BB286="Stage 3",5,IF(BB286="Stage 4",-5,0))))</f>
        <v/>
      </c>
      <c r="BD286" s="31" t="inlineStr">
        <is>
          <t>Negative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More than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Less than 1.5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Between 0.7 to 1.2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IF(B287=0,"",RANK(B287,$B$2:$B$389,0))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KOLTEPATIL</t>
        </is>
      </c>
      <c r="D287" s="31" t="inlineStr">
        <is>
          <t>Kolte - Patil Developers Limited</t>
        </is>
      </c>
      <c r="E287" s="31" t="inlineStr">
        <is>
          <t>realty</t>
        </is>
      </c>
      <c r="F287" s="31" t="inlineStr">
        <is>
          <t>construction</t>
        </is>
      </c>
      <c r="G287" s="31" t="inlineStr">
        <is>
          <t>smallcap</t>
        </is>
      </c>
      <c r="H287" s="32" t="n">
        <v>4155.11</v>
      </c>
      <c r="I287" s="32" t="n">
        <v>452.1</v>
      </c>
      <c r="J287" s="32" t="n">
        <v>-3.51</v>
      </c>
      <c r="K287" s="32" t="n">
        <v>235362</v>
      </c>
      <c r="L287" s="31" t="inlineStr"/>
      <c r="M287" s="31" t="inlineStr"/>
      <c r="N287" s="32">
        <f>IF(M287="Underperforming",-5,IF(L287&gt;=95,15,IF(L287&gt;=90,10,IF(L287&gt;=80,5,0))))</f>
        <v/>
      </c>
      <c r="O287" s="32" t="n">
        <v>69.40000000000001</v>
      </c>
      <c r="P287" s="32" t="n">
        <v>24</v>
      </c>
      <c r="Q287" s="32" t="inlineStr"/>
      <c r="R287" s="31" t="inlineStr">
        <is>
          <t>Earnings / Momentum Support</t>
        </is>
      </c>
      <c r="S287" s="31" t="inlineStr">
        <is>
          <t>Nifty Realty</t>
        </is>
      </c>
      <c r="T287" s="32" t="inlineStr"/>
      <c r="U287" s="32" t="inlineStr"/>
      <c r="V287" s="32" t="inlineStr"/>
      <c r="W287" s="32" t="inlineStr"/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Headwind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20 to 40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3</t>
        </is>
      </c>
      <c r="BC287" s="31">
        <f>IF(BB287="Stage 2",20,IF(BB287="Stage 1",0,IF(BB287="Stage 3",5,IF(BB287="Stage 4",-5,0))))</f>
        <v/>
      </c>
      <c r="BD287" s="31" t="inlineStr">
        <is>
          <t>Negative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Between 0.7 to 1.2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IF(B288=0,"",RANK(B288,$B$2:$B$389,0))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YATHARTH</t>
        </is>
      </c>
      <c r="D288" s="31" t="inlineStr">
        <is>
          <t>Yatharth Hospital &amp; Trauma Care Services Ltd</t>
        </is>
      </c>
      <c r="E288" s="31" t="inlineStr">
        <is>
          <t>healthcare</t>
        </is>
      </c>
      <c r="F288" s="31" t="inlineStr">
        <is>
          <t>healthcare</t>
        </is>
      </c>
      <c r="G288" s="31" t="inlineStr">
        <is>
          <t>midcap</t>
        </is>
      </c>
      <c r="H288" s="32" t="n">
        <v>8239.74</v>
      </c>
      <c r="I288" s="32" t="n">
        <v>907.55</v>
      </c>
      <c r="J288" s="32" t="n">
        <v>6.13</v>
      </c>
      <c r="K288" s="32" t="n">
        <v>1470710</v>
      </c>
      <c r="L288" s="31" t="n">
        <v>17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58.05</v>
      </c>
      <c r="P288" s="32" t="n">
        <v>34.87</v>
      </c>
      <c r="Q288" s="32" t="inlineStr"/>
      <c r="R288" s="31" t="inlineStr">
        <is>
          <t>Earnings / Momentum Support</t>
        </is>
      </c>
      <c r="S288" s="31" t="inlineStr">
        <is>
          <t>Nifty Pharma</t>
        </is>
      </c>
      <c r="T288" s="32" t="n">
        <v>18.39</v>
      </c>
      <c r="U288" s="32" t="n">
        <v>19.48</v>
      </c>
      <c r="V288" s="32" t="n">
        <v>0.92</v>
      </c>
      <c r="W288" s="32" t="n">
        <v>3.81</v>
      </c>
      <c r="X288" s="31" t="inlineStr">
        <is>
          <t>Growing Industry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Yes</t>
        </is>
      </c>
      <c r="AC288" s="31">
        <f>IF(AB288="No",5,0)</f>
        <v/>
      </c>
      <c r="AD288" s="31" t="inlineStr">
        <is>
          <t>Headwind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Annuity, Lower One Time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3</t>
        </is>
      </c>
      <c r="BC288" s="31">
        <f>IF(BB288="Stage 2",20,IF(BB288="Stage 1",0,IF(BB288="Stage 3",5,IF(BB288="Stage 4",-5,0))))</f>
        <v/>
      </c>
      <c r="BD288" s="31" t="inlineStr">
        <is>
          <t>Negative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Less than 12%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IF(B289=0,"",RANK(B289,$B$2:$B$389,0))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BCLIND</t>
        </is>
      </c>
      <c r="D289" s="31" t="inlineStr">
        <is>
          <t>BCL Industries Ltd</t>
        </is>
      </c>
      <c r="E289" s="31" t="inlineStr">
        <is>
          <t>fmcg</t>
        </is>
      </c>
      <c r="F289" s="31" t="inlineStr">
        <is>
          <t>breweries &amp; distilleries</t>
        </is>
      </c>
      <c r="G289" s="31" t="inlineStr">
        <is>
          <t>smallcap</t>
        </is>
      </c>
      <c r="H289" s="32" t="n">
        <v>1077.35</v>
      </c>
      <c r="I289" s="32" t="n">
        <v>37.99</v>
      </c>
      <c r="J289" s="32" t="n">
        <v>4.08</v>
      </c>
      <c r="K289" s="32" t="n">
        <v>4441354</v>
      </c>
      <c r="L289" s="31" t="inlineStr"/>
      <c r="M289" s="31" t="inlineStr"/>
      <c r="N289" s="32">
        <f>IF(M289="Underperforming",-5,IF(L289&gt;=95,15,IF(L289&gt;=90,10,IF(L289&gt;=80,5,0))))</f>
        <v/>
      </c>
      <c r="O289" s="32" t="n">
        <v>54.86</v>
      </c>
      <c r="P289" s="32" t="n">
        <v>14.57</v>
      </c>
      <c r="Q289" s="32" t="inlineStr"/>
      <c r="R289" s="31" t="inlineStr">
        <is>
          <t>Earnings / Momentum Support</t>
        </is>
      </c>
      <c r="S289" s="31" t="inlineStr">
        <is>
          <t>Nifty FMCG</t>
        </is>
      </c>
      <c r="T289" s="32" t="inlineStr"/>
      <c r="U289" s="32" t="inlineStr"/>
      <c r="V289" s="32" t="inlineStr"/>
      <c r="W289" s="32" t="inlineStr"/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Headwind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B2C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Annuity, Lower One Time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3</t>
        </is>
      </c>
      <c r="BC289" s="31">
        <f>IF(BB289="Stage 2",20,IF(BB289="Stage 1",0,IF(BB289="Stage 3",5,IF(BB289="Stage 4",-5,0))))</f>
        <v/>
      </c>
      <c r="BD289" s="31" t="inlineStr">
        <is>
          <t>Negative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Less than 12%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IF(B290=0,"",RANK(B290,$B$2:$B$389,0))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GLENMARK</t>
        </is>
      </c>
      <c r="D290" s="31" t="inlineStr">
        <is>
          <t>Glenmark Pharmaceuticals Limited</t>
        </is>
      </c>
      <c r="E290" s="31" t="inlineStr">
        <is>
          <t>healthcare</t>
        </is>
      </c>
      <c r="F290" s="31" t="inlineStr">
        <is>
          <t>pharmaceuticals - indian - bulk drugs &amp; formln</t>
        </is>
      </c>
      <c r="G290" s="31" t="inlineStr">
        <is>
          <t>largecap</t>
        </is>
      </c>
      <c r="H290" s="32" t="n">
        <v>65411.33</v>
      </c>
      <c r="I290" s="32" t="n">
        <v>2390.7</v>
      </c>
      <c r="J290" s="32" t="n">
        <v>3.14</v>
      </c>
      <c r="K290" s="32" t="n">
        <v>698055</v>
      </c>
      <c r="L290" s="31" t="n">
        <v>20</v>
      </c>
      <c r="M290" s="31" t="inlineStr">
        <is>
          <t>Outperforming</t>
        </is>
      </c>
      <c r="N290" s="32">
        <f>IF(M290="Underperforming",-5,IF(L290&gt;=95,15,IF(L290&gt;=90,10,IF(L290&gt;=80,5,0))))</f>
        <v/>
      </c>
      <c r="O290" s="32" t="n">
        <v>59.71</v>
      </c>
      <c r="P290" s="32" t="n">
        <v>15.94</v>
      </c>
      <c r="Q290" s="32" t="inlineStr"/>
      <c r="R290" s="31" t="inlineStr">
        <is>
          <t>Earnings / Momentum Support</t>
        </is>
      </c>
      <c r="S290" s="31" t="inlineStr">
        <is>
          <t>Nifty Pharma</t>
        </is>
      </c>
      <c r="T290" s="32" t="n">
        <v>18.39</v>
      </c>
      <c r="U290" s="32" t="n">
        <v>19.94</v>
      </c>
      <c r="V290" s="32" t="n">
        <v>1.31</v>
      </c>
      <c r="W290" s="32" t="n">
        <v>4.4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Yes</t>
        </is>
      </c>
      <c r="AC290" s="31">
        <f>IF(AB290="No",5,0)</f>
        <v/>
      </c>
      <c r="AD290" s="31" t="inlineStr">
        <is>
          <t>Headwind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Annuity, Lower One Time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0 to 20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3</t>
        </is>
      </c>
      <c r="BC290" s="31">
        <f>IF(BB290="Stage 2",20,IF(BB290="Stage 1",0,IF(BB290="Stage 3",5,IF(BB290="Stage 4",-5,0))))</f>
        <v/>
      </c>
      <c r="BD290" s="31" t="inlineStr">
        <is>
          <t>Negative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IF(B291=0,"",RANK(B291,$B$2:$B$389,0))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UTTAMSUGAR</t>
        </is>
      </c>
      <c r="D291" s="31" t="inlineStr">
        <is>
          <t>Uttam Sugar Mills Limited</t>
        </is>
      </c>
      <c r="E291" s="31" t="inlineStr">
        <is>
          <t>fmcg</t>
        </is>
      </c>
      <c r="F291" s="31" t="inlineStr">
        <is>
          <t>sugar</t>
        </is>
      </c>
      <c r="G291" s="31" t="inlineStr">
        <is>
          <t>smallcap</t>
        </is>
      </c>
      <c r="H291" s="32" t="n">
        <v>1233.01</v>
      </c>
      <c r="I291" s="32" t="n">
        <v>328.36</v>
      </c>
      <c r="J291" s="32" t="n">
        <v>1.57</v>
      </c>
      <c r="K291" s="32" t="n">
        <v>2139886</v>
      </c>
      <c r="L291" s="31" t="inlineStr"/>
      <c r="M291" s="31" t="inlineStr"/>
      <c r="N291" s="32">
        <f>IF(M291="Underperforming",-5,IF(L291&gt;=95,15,IF(L291&gt;=90,10,IF(L291&gt;=80,5,0))))</f>
        <v/>
      </c>
      <c r="O291" s="32" t="n">
        <v>72.29000000000001</v>
      </c>
      <c r="P291" s="32" t="n">
        <v>18.01</v>
      </c>
      <c r="Q291" s="32" t="inlineStr"/>
      <c r="R291" s="31" t="inlineStr">
        <is>
          <t>Volume Spike / Accumulation</t>
        </is>
      </c>
      <c r="S291" s="31" t="inlineStr">
        <is>
          <t>Nifty FMCG</t>
        </is>
      </c>
      <c r="T291" s="32" t="inlineStr"/>
      <c r="U291" s="32" t="inlineStr"/>
      <c r="V291" s="32" t="inlineStr"/>
      <c r="W291" s="32" t="inlineStr"/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Headwind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B2C</t>
        </is>
      </c>
      <c r="AO291" s="31">
        <f>IF(AN291="B2C",10,IF(AN291="B2B",5,0))</f>
        <v/>
      </c>
      <c r="AP291" s="31" t="inlineStr">
        <is>
          <t>Yes</t>
        </is>
      </c>
      <c r="AQ291" s="31">
        <f>IF(AP291="Yes",10,0)</f>
        <v/>
      </c>
      <c r="AR291" s="31" t="inlineStr">
        <is>
          <t>Higher Annuity, Lower One Time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3</t>
        </is>
      </c>
      <c r="BC291" s="31">
        <f>IF(BB291="Stage 2",20,IF(BB291="Stage 1",0,IF(BB291="Stage 3",5,IF(BB291="Stage 4",-5,0))))</f>
        <v/>
      </c>
      <c r="BD291" s="31" t="inlineStr">
        <is>
          <t>Negative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Less than 12%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Between 0.7 to 1.2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IF(B292=0,"",RANK(B292,$B$2:$B$389,0))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3" t="inlineStr">
        <is>
          <t>GLAXO</t>
        </is>
      </c>
      <c r="D292" s="33" t="inlineStr">
        <is>
          <t>Glaxosmithkline Pharmaceuticals Limited</t>
        </is>
      </c>
      <c r="E292" s="31" t="inlineStr">
        <is>
          <t>healthcare</t>
        </is>
      </c>
      <c r="F292" s="31" t="inlineStr">
        <is>
          <t>pharmaceuticals - multinational</t>
        </is>
      </c>
      <c r="G292" s="31" t="inlineStr">
        <is>
          <t>largecap</t>
        </is>
      </c>
      <c r="H292" s="32" t="n">
        <v>49165.02</v>
      </c>
      <c r="I292" s="32" t="n">
        <v>2931.7</v>
      </c>
      <c r="J292" s="32" t="n">
        <v>1.02</v>
      </c>
      <c r="K292" s="32" t="n">
        <v>99260</v>
      </c>
      <c r="L292" s="31" t="n">
        <v>37</v>
      </c>
      <c r="M292" s="31" t="inlineStr">
        <is>
          <t>Underperforming</t>
        </is>
      </c>
      <c r="N292" s="32">
        <f>IF(M292="Underperforming",-5,IF(L292&gt;=95,15,IF(L292&gt;=90,10,IF(L292&gt;=80,5,0))))</f>
        <v/>
      </c>
      <c r="O292" s="32" t="n">
        <v>70.5</v>
      </c>
      <c r="P292" s="32" t="n">
        <v>24.78</v>
      </c>
      <c r="Q292" s="32" t="inlineStr"/>
      <c r="R292" s="31" t="inlineStr">
        <is>
          <t>Earnings / Momentum Support</t>
        </is>
      </c>
      <c r="S292" s="31" t="inlineStr">
        <is>
          <t>Nifty Pharma</t>
        </is>
      </c>
      <c r="T292" s="32" t="n">
        <v>18.39</v>
      </c>
      <c r="U292" s="32" t="n">
        <v>6.33</v>
      </c>
      <c r="V292" s="32" t="n">
        <v>-10.18</v>
      </c>
      <c r="W292" s="32" t="n">
        <v>8.01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Yes</t>
        </is>
      </c>
      <c r="AC292" s="31">
        <f>IF(AB292="No",5,0)</f>
        <v/>
      </c>
      <c r="AD292" s="31" t="inlineStr">
        <is>
          <t>Headwind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Annuity, Lower One Time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3</t>
        </is>
      </c>
      <c r="BC292" s="31">
        <f>IF(BB292="Stage 2",20,IF(BB292="Stage 1",0,IF(BB292="Stage 3",5,IF(BB292="Stage 4",-5,0))))</f>
        <v/>
      </c>
      <c r="BD292" s="31" t="inlineStr">
        <is>
          <t>Negative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Between 12 to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Yes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IF(B293=0,"",RANK(B293,$B$2:$B$389,0))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3" t="inlineStr">
        <is>
          <t>WINDLAS</t>
        </is>
      </c>
      <c r="D293" s="33" t="inlineStr">
        <is>
          <t>Windlas Biotech Ltd</t>
        </is>
      </c>
      <c r="E293" s="31" t="inlineStr">
        <is>
          <t>healthcare</t>
        </is>
      </c>
      <c r="F293" s="31" t="inlineStr">
        <is>
          <t>pharmaceuticals - indian - formulations</t>
        </is>
      </c>
      <c r="G293" s="31" t="inlineStr">
        <is>
          <t>smallcap</t>
        </is>
      </c>
      <c r="H293" s="32" t="n">
        <v>2050.42</v>
      </c>
      <c r="I293" s="32" t="n">
        <v>991.75</v>
      </c>
      <c r="J293" s="32" t="n">
        <v>-0.19</v>
      </c>
      <c r="K293" s="32" t="n">
        <v>200656</v>
      </c>
      <c r="L293" s="31" t="n">
        <v>30</v>
      </c>
      <c r="M293" s="31" t="inlineStr">
        <is>
          <t>Underperforming</t>
        </is>
      </c>
      <c r="N293" s="32">
        <f>IF(M293="Underperforming",-5,IF(L293&gt;=95,15,IF(L293&gt;=90,10,IF(L293&gt;=80,5,0))))</f>
        <v/>
      </c>
      <c r="O293" s="32" t="n">
        <v>70.05</v>
      </c>
      <c r="P293" s="32" t="n">
        <v>21.66</v>
      </c>
      <c r="Q293" s="32" t="inlineStr"/>
      <c r="R293" s="31" t="inlineStr">
        <is>
          <t>Earnings / Momentum Support</t>
        </is>
      </c>
      <c r="S293" s="31" t="inlineStr">
        <is>
          <t>Nifty Pharma</t>
        </is>
      </c>
      <c r="T293" s="32" t="n">
        <v>18.39</v>
      </c>
      <c r="U293" s="32" t="n">
        <v>-1.06</v>
      </c>
      <c r="V293" s="32" t="n">
        <v>-16.43</v>
      </c>
      <c r="W293" s="32" t="n">
        <v>6.29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Yes</t>
        </is>
      </c>
      <c r="AC293" s="31">
        <f>IF(AB293="No",5,0)</f>
        <v/>
      </c>
      <c r="AD293" s="31" t="inlineStr">
        <is>
          <t>Headwind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Annuity, Lower One Time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3</t>
        </is>
      </c>
      <c r="BC293" s="31">
        <f>IF(BB293="Stage 2",20,IF(BB293="Stage 1",0,IF(BB293="Stage 3",5,IF(BB293="Stage 4",-5,0))))</f>
        <v/>
      </c>
      <c r="BD293" s="31" t="inlineStr">
        <is>
          <t>Negative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Less than 12%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IF(B294=0,"",RANK(B294,$B$2:$B$389,0))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3" t="inlineStr">
        <is>
          <t>SURAKSHA</t>
        </is>
      </c>
      <c r="D294" s="33" t="inlineStr">
        <is>
          <t>Suraksha Diagnostic Ltd</t>
        </is>
      </c>
      <c r="E294" s="31" t="inlineStr">
        <is>
          <t>healthcare</t>
        </is>
      </c>
      <c r="F294" s="31" t="inlineStr">
        <is>
          <t>healthcare</t>
        </is>
      </c>
      <c r="G294" s="31" t="inlineStr">
        <is>
          <t>smallcap</t>
        </is>
      </c>
      <c r="H294" s="32" t="n">
        <v>1696.79</v>
      </c>
      <c r="I294" s="32" t="n">
        <v>321.5</v>
      </c>
      <c r="J294" s="32" t="n">
        <v>-1.32</v>
      </c>
      <c r="K294" s="32" t="n">
        <v>124829</v>
      </c>
      <c r="L294" s="31" t="n">
        <v>12</v>
      </c>
      <c r="M294" s="31" t="inlineStr">
        <is>
          <t>Underperforming</t>
        </is>
      </c>
      <c r="N294" s="32">
        <f>IF(M294="Underperforming",-5,IF(L294&gt;=95,15,IF(L294&gt;=90,10,IF(L294&gt;=80,5,0))))</f>
        <v/>
      </c>
      <c r="O294" s="32" t="n">
        <v>66.13</v>
      </c>
      <c r="P294" s="32" t="n">
        <v>15.89</v>
      </c>
      <c r="Q294" s="32" t="inlineStr"/>
      <c r="R294" s="31" t="inlineStr">
        <is>
          <t>Earnings / Momentum Support</t>
        </is>
      </c>
      <c r="S294" s="31" t="inlineStr">
        <is>
          <t>Nifty Pharma</t>
        </is>
      </c>
      <c r="T294" s="32" t="n">
        <v>18.39</v>
      </c>
      <c r="U294" s="32" t="n">
        <v>3.68</v>
      </c>
      <c r="V294" s="32" t="n">
        <v>-12.43</v>
      </c>
      <c r="W294" s="32" t="n">
        <v>1.72</v>
      </c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Yes</t>
        </is>
      </c>
      <c r="AC294" s="31">
        <f>IF(AB294="No",5,0)</f>
        <v/>
      </c>
      <c r="AD294" s="31" t="inlineStr">
        <is>
          <t>Headwind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Annuity, Lower One Time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0 to 20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3</t>
        </is>
      </c>
      <c r="BC294" s="31">
        <f>IF(BB294="Stage 2",20,IF(BB294="Stage 1",0,IF(BB294="Stage 3",5,IF(BB294="Stage 4",-5,0))))</f>
        <v/>
      </c>
      <c r="BD294" s="31" t="inlineStr">
        <is>
          <t>Negative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Yes</t>
        </is>
      </c>
      <c r="BS294" s="31">
        <f>IF(BR294="NO",5,0)</f>
        <v/>
      </c>
      <c r="BT294" s="31" t="inlineStr">
        <is>
          <t>Less than 1.5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IF(B295=0,"",RANK(B295,$B$2:$B$389,0))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SAILIFE</t>
        </is>
      </c>
      <c r="D295" s="31" t="inlineStr">
        <is>
          <t>Sai Life Sciences Ltd</t>
        </is>
      </c>
      <c r="E295" s="31" t="inlineStr">
        <is>
          <t>healthcare</t>
        </is>
      </c>
      <c r="F295" s="31" t="inlineStr">
        <is>
          <t>pharmaceuticals - indian - bulk drugs &amp; formln</t>
        </is>
      </c>
      <c r="G295" s="31" t="inlineStr">
        <is>
          <t>largecap</t>
        </is>
      </c>
      <c r="H295" s="32" t="n">
        <v>30938.56</v>
      </c>
      <c r="I295" s="32" t="n">
        <v>1435.9</v>
      </c>
      <c r="J295" s="32" t="n">
        <v>-1.48</v>
      </c>
      <c r="K295" s="32" t="n">
        <v>301198</v>
      </c>
      <c r="L295" s="31" t="n">
        <v>66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80.59</v>
      </c>
      <c r="P295" s="32" t="n">
        <v>37.47</v>
      </c>
      <c r="Q295" s="32" t="inlineStr"/>
      <c r="R295" s="31" t="inlineStr">
        <is>
          <t>Earnings / Momentum Support</t>
        </is>
      </c>
      <c r="S295" s="31" t="inlineStr">
        <is>
          <t>Nifty Pharma</t>
        </is>
      </c>
      <c r="T295" s="32" t="n">
        <v>18.39</v>
      </c>
      <c r="U295" s="32" t="n">
        <v>57.4</v>
      </c>
      <c r="V295" s="32" t="n">
        <v>32.95</v>
      </c>
      <c r="W295" s="32" t="n">
        <v>16.47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Yes</t>
        </is>
      </c>
      <c r="AC295" s="31">
        <f>IF(AB295="No",5,0)</f>
        <v/>
      </c>
      <c r="AD295" s="31" t="inlineStr">
        <is>
          <t>Headwind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Annuity, Lower One Time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20 to 40</t>
        </is>
      </c>
      <c r="AY295" s="31">
        <f>IF(AX295="Above 40",20,IF(AX295="20 to 40",10,IF(AX295="0 to 20",-5,0)))</f>
        <v/>
      </c>
      <c r="AZ295" s="31" t="inlineStr">
        <is>
          <t>Above 75</t>
        </is>
      </c>
      <c r="BA295" s="31">
        <f>IF(AZ295="Between 50 to 75",10,IF(AZ295="Above 75",0,0))</f>
        <v/>
      </c>
      <c r="BB295" s="31" t="inlineStr">
        <is>
          <t>Stage 3</t>
        </is>
      </c>
      <c r="BC295" s="31">
        <f>IF(BB295="Stage 2",20,IF(BB295="Stage 1",0,IF(BB295="Stage 3",5,IF(BB295="Stage 4",-5,0))))</f>
        <v/>
      </c>
      <c r="BD295" s="31" t="inlineStr">
        <is>
          <t>Negative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More than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IF(B296=0,"",RANK(B296,$B$2:$B$389,0))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MUKKA</t>
        </is>
      </c>
      <c r="D296" s="31" t="inlineStr">
        <is>
          <t>Mukka Proteins Ltd</t>
        </is>
      </c>
      <c r="E296" s="31" t="inlineStr">
        <is>
          <t>fmcg</t>
        </is>
      </c>
      <c r="F296" s="31" t="inlineStr">
        <is>
          <t>food - processing - indian</t>
        </is>
      </c>
      <c r="G296" s="31" t="inlineStr">
        <is>
          <t>smallcap</t>
        </is>
      </c>
      <c r="H296" s="32" t="n">
        <v>797.7</v>
      </c>
      <c r="I296" s="32" t="n">
        <v>25.8</v>
      </c>
      <c r="J296" s="32" t="n">
        <v>-2.97</v>
      </c>
      <c r="K296" s="32" t="n">
        <v>489250</v>
      </c>
      <c r="L296" s="31" t="inlineStr"/>
      <c r="M296" s="31" t="inlineStr"/>
      <c r="N296" s="32">
        <f>IF(M296="Underperforming",-5,IF(L296&gt;=95,15,IF(L296&gt;=90,10,IF(L296&gt;=80,5,0))))</f>
        <v/>
      </c>
      <c r="O296" s="32" t="n">
        <v>63.45</v>
      </c>
      <c r="P296" s="32" t="n">
        <v>11.18</v>
      </c>
      <c r="Q296" s="32" t="inlineStr"/>
      <c r="R296" s="31" t="inlineStr">
        <is>
          <t>Earnings / Momentum Support</t>
        </is>
      </c>
      <c r="S296" s="31" t="inlineStr">
        <is>
          <t>Nifty FMCG</t>
        </is>
      </c>
      <c r="T296" s="32" t="inlineStr"/>
      <c r="U296" s="32" t="inlineStr"/>
      <c r="V296" s="32" t="inlineStr"/>
      <c r="W296" s="32" t="inlineStr"/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Headwind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B2C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Annuity, Lower One Time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3</t>
        </is>
      </c>
      <c r="BC296" s="31">
        <f>IF(BB296="Stage 2",20,IF(BB296="Stage 1",0,IF(BB296="Stage 3",5,IF(BB296="Stage 4",-5,0))))</f>
        <v/>
      </c>
      <c r="BD296" s="31" t="inlineStr">
        <is>
          <t>Negative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Less than 1.5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More than 1.2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IF(B297=0,"",RANK(B297,$B$2:$B$389,0))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PVP</t>
        </is>
      </c>
      <c r="D297" s="31" t="inlineStr">
        <is>
          <t>Pvp Ventures Limited</t>
        </is>
      </c>
      <c r="E297" s="31" t="inlineStr">
        <is>
          <t>realty</t>
        </is>
      </c>
      <c r="F297" s="31" t="inlineStr">
        <is>
          <t>construction</t>
        </is>
      </c>
      <c r="G297" s="31" t="inlineStr">
        <is>
          <t>smallcap</t>
        </is>
      </c>
      <c r="H297" s="32" t="n">
        <v>1180.93</v>
      </c>
      <c r="I297" s="32" t="n">
        <v>48.59</v>
      </c>
      <c r="J297" s="32" t="n">
        <v>7.14</v>
      </c>
      <c r="K297" s="32" t="n">
        <v>5411350</v>
      </c>
      <c r="L297" s="31" t="inlineStr"/>
      <c r="M297" s="31" t="inlineStr"/>
      <c r="N297" s="32">
        <f>IF(M297="Underperforming",-5,IF(L297&gt;=95,15,IF(L297&gt;=90,10,IF(L297&gt;=80,5,0))))</f>
        <v/>
      </c>
      <c r="O297" s="32" t="n">
        <v>71.84</v>
      </c>
      <c r="P297" s="32" t="n">
        <v>18.46</v>
      </c>
      <c r="Q297" s="32" t="inlineStr"/>
      <c r="R297" s="31" t="inlineStr">
        <is>
          <t>Earnings / Momentum Support</t>
        </is>
      </c>
      <c r="S297" s="31" t="inlineStr">
        <is>
          <t>Nifty Realty</t>
        </is>
      </c>
      <c r="T297" s="32" t="inlineStr"/>
      <c r="U297" s="32" t="inlineStr"/>
      <c r="V297" s="32" t="inlineStr"/>
      <c r="W297" s="32" t="inlineStr"/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Headwind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0 to 20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3</t>
        </is>
      </c>
      <c r="BC297" s="31">
        <f>IF(BB297="Stage 2",20,IF(BB297="Stage 1",0,IF(BB297="Stage 3",5,IF(BB297="Stage 4",-5,0))))</f>
        <v/>
      </c>
      <c r="BD297" s="31" t="inlineStr">
        <is>
          <t>Negative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Yes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IF(B298=0,"",RANK(B298,$B$2:$B$389,0))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PITTIENG</t>
        </is>
      </c>
      <c r="D298" s="31" t="inlineStr">
        <is>
          <t>Pitti Engineering Ltd</t>
        </is>
      </c>
      <c r="E298" s="31" t="inlineStr">
        <is>
          <t>industrials</t>
        </is>
      </c>
      <c r="F298" s="31" t="inlineStr">
        <is>
          <t>engineering</t>
        </is>
      </c>
      <c r="G298" s="31" t="inlineStr">
        <is>
          <t>smallcap</t>
        </is>
      </c>
      <c r="H298" s="32" t="n">
        <v>3961.91</v>
      </c>
      <c r="I298" s="32" t="n">
        <v>1098.25</v>
      </c>
      <c r="J298" s="32" t="n">
        <v>4.38</v>
      </c>
      <c r="K298" s="32" t="n">
        <v>540305</v>
      </c>
      <c r="L298" s="31" t="inlineStr"/>
      <c r="M298" s="31" t="inlineStr"/>
      <c r="N298" s="32">
        <f>IF(M298="Underperforming",-5,IF(L298&gt;=95,15,IF(L298&gt;=90,10,IF(L298&gt;=80,5,0))))</f>
        <v/>
      </c>
      <c r="O298" s="32" t="n">
        <v>63.06</v>
      </c>
      <c r="P298" s="32" t="n">
        <v>11.09</v>
      </c>
      <c r="Q298" s="32" t="inlineStr"/>
      <c r="R298" s="31" t="inlineStr">
        <is>
          <t>Earnings / Momentum Support</t>
        </is>
      </c>
      <c r="S298" s="31" t="inlineStr">
        <is>
          <t>Nifty Infra</t>
        </is>
      </c>
      <c r="T298" s="32" t="inlineStr"/>
      <c r="U298" s="32" t="inlineStr"/>
      <c r="V298" s="32" t="inlineStr"/>
      <c r="W298" s="32" t="inlineStr"/>
      <c r="X298" s="31" t="inlineStr">
        <is>
          <t>Cyclical in an Upturn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Headwind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No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3</t>
        </is>
      </c>
      <c r="BC298" s="31">
        <f>IF(BB298="Stage 2",20,IF(BB298="Stage 1",0,IF(BB298="Stage 3",5,IF(BB298="Stage 4",-5,0))))</f>
        <v/>
      </c>
      <c r="BD298" s="31" t="inlineStr">
        <is>
          <t>Negative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Less than 1.5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Between 0.7 to 1.2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IF(B299=0,"",RANK(B299,$B$2:$B$389,0))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FINEORG</t>
        </is>
      </c>
      <c r="D299" s="31" t="inlineStr">
        <is>
          <t>Fine Organic Industries Ltd</t>
        </is>
      </c>
      <c r="E299" s="31" t="inlineStr">
        <is>
          <t>chemicals</t>
        </is>
      </c>
      <c r="F299" s="31" t="inlineStr">
        <is>
          <t>chemicals</t>
        </is>
      </c>
      <c r="G299" s="31" t="inlineStr">
        <is>
          <t>midcap</t>
        </is>
      </c>
      <c r="H299" s="32" t="n">
        <v>15820.24</v>
      </c>
      <c r="I299" s="32" t="n">
        <v>5277.4</v>
      </c>
      <c r="J299" s="32" t="n">
        <v>2.28</v>
      </c>
      <c r="K299" s="32" t="n">
        <v>93520</v>
      </c>
      <c r="L299" s="31" t="n">
        <v>19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60.16</v>
      </c>
      <c r="P299" s="32" t="n">
        <v>13.29</v>
      </c>
      <c r="Q299" s="32" t="inlineStr"/>
      <c r="R299" s="31" t="inlineStr">
        <is>
          <t>Earnings / Momentum Support</t>
        </is>
      </c>
      <c r="S299" s="31" t="inlineStr">
        <is>
          <t>Nifty 50</t>
        </is>
      </c>
      <c r="T299" s="32" t="n">
        <v>-2.49</v>
      </c>
      <c r="U299" s="32" t="n">
        <v>8.109999999999999</v>
      </c>
      <c r="V299" s="32" t="n">
        <v>10.87</v>
      </c>
      <c r="W299" s="32" t="n">
        <v>4.2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Headwind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3</t>
        </is>
      </c>
      <c r="BC299" s="31">
        <f>IF(BB299="Stage 2",20,IF(BB299="Stage 1",0,IF(BB299="Stage 3",5,IF(BB299="Stage 4",-5,0))))</f>
        <v/>
      </c>
      <c r="BD299" s="31" t="inlineStr">
        <is>
          <t>Negative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Between 12 to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IF(B300=0,"",RANK(B300,$B$2:$B$389,0))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MANGLMCEM</t>
        </is>
      </c>
      <c r="D300" s="31" t="inlineStr">
        <is>
          <t>Mangalam Cement Limited</t>
        </is>
      </c>
      <c r="E300" s="31" t="inlineStr">
        <is>
          <t>building materials</t>
        </is>
      </c>
      <c r="F300" s="31" t="inlineStr">
        <is>
          <t>cement - north india</t>
        </is>
      </c>
      <c r="G300" s="31" t="inlineStr">
        <is>
          <t>smallcap</t>
        </is>
      </c>
      <c r="H300" s="32" t="n">
        <v>2826.58</v>
      </c>
      <c r="I300" s="32" t="n">
        <v>1045.4</v>
      </c>
      <c r="J300" s="32" t="n">
        <v>1.7</v>
      </c>
      <c r="K300" s="32" t="n">
        <v>502008</v>
      </c>
      <c r="L300" s="31" t="inlineStr"/>
      <c r="M300" s="31" t="inlineStr"/>
      <c r="N300" s="32">
        <f>IF(M300="Underperforming",-5,IF(L300&gt;=95,15,IF(L300&gt;=90,10,IF(L300&gt;=80,5,0))))</f>
        <v/>
      </c>
      <c r="O300" s="32" t="n">
        <v>65.31</v>
      </c>
      <c r="P300" s="32" t="n">
        <v>23.14</v>
      </c>
      <c r="Q300" s="32" t="inlineStr"/>
      <c r="R300" s="31" t="inlineStr">
        <is>
          <t>Earnings / Momentum Support</t>
        </is>
      </c>
      <c r="S300" s="31" t="inlineStr">
        <is>
          <t>Nifty Infra</t>
        </is>
      </c>
      <c r="T300" s="32" t="inlineStr"/>
      <c r="U300" s="32" t="inlineStr"/>
      <c r="V300" s="32" t="inlineStr"/>
      <c r="W300" s="32" t="inlineStr"/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Headwind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20 to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3</t>
        </is>
      </c>
      <c r="BC300" s="31">
        <f>IF(BB300="Stage 2",20,IF(BB300="Stage 1",0,IF(BB300="Stage 3",5,IF(BB300="Stage 4",-5,0))))</f>
        <v/>
      </c>
      <c r="BD300" s="31" t="inlineStr">
        <is>
          <t>Negative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Less than 12%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Between 0.7 to 1.2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IF(B301=0,"",RANK(B301,$B$2:$B$389,0))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IMAGICAA</t>
        </is>
      </c>
      <c r="D301" s="31" t="inlineStr">
        <is>
          <t>Imagicaaworld Entertainment Ltd</t>
        </is>
      </c>
      <c r="E301" s="31" t="inlineStr">
        <is>
          <t>media</t>
        </is>
      </c>
      <c r="F301" s="31" t="inlineStr">
        <is>
          <t>recreation / amusement parks</t>
        </is>
      </c>
      <c r="G301" s="31" t="inlineStr">
        <is>
          <t>smallcap</t>
        </is>
      </c>
      <c r="H301" s="32" t="n">
        <v>2765.36</v>
      </c>
      <c r="I301" s="32" t="n">
        <v>49.53</v>
      </c>
      <c r="J301" s="32" t="n">
        <v>1.35</v>
      </c>
      <c r="K301" s="32" t="n">
        <v>1153794</v>
      </c>
      <c r="L301" s="31" t="inlineStr"/>
      <c r="M301" s="31" t="inlineStr"/>
      <c r="N301" s="32">
        <f>IF(M301="Underperforming",-5,IF(L301&gt;=95,15,IF(L301&gt;=90,10,IF(L301&gt;=80,5,0))))</f>
        <v/>
      </c>
      <c r="O301" s="32" t="n">
        <v>53.04</v>
      </c>
      <c r="P301" s="32" t="n">
        <v>11.35</v>
      </c>
      <c r="Q301" s="32" t="inlineStr"/>
      <c r="R301" s="31" t="inlineStr">
        <is>
          <t>Earnings / Momentum Support</t>
        </is>
      </c>
      <c r="S301" s="31" t="inlineStr">
        <is>
          <t>Nifty Media</t>
        </is>
      </c>
      <c r="T301" s="32" t="inlineStr"/>
      <c r="U301" s="32" t="inlineStr"/>
      <c r="V301" s="32" t="inlineStr"/>
      <c r="W301" s="32" t="inlineStr"/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Headwind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No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3</t>
        </is>
      </c>
      <c r="BC301" s="31">
        <f>IF(BB301="Stage 2",20,IF(BB301="Stage 1",0,IF(BB301="Stage 3",5,IF(BB301="Stage 4",-5,0))))</f>
        <v/>
      </c>
      <c r="BD301" s="31" t="inlineStr">
        <is>
          <t>Negative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More than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Yes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IF(B302=0,"",RANK(B302,$B$2:$B$389,0))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1" t="inlineStr">
        <is>
          <t>CHENNPETRO</t>
        </is>
      </c>
      <c r="D302" s="31" t="inlineStr">
        <is>
          <t>Chennai Petroleum Corporation Limited</t>
        </is>
      </c>
      <c r="E302" s="31" t="inlineStr">
        <is>
          <t>energy</t>
        </is>
      </c>
      <c r="F302" s="31" t="inlineStr">
        <is>
          <t>refineries</t>
        </is>
      </c>
      <c r="G302" s="31" t="inlineStr">
        <is>
          <t>largecap</t>
        </is>
      </c>
      <c r="H302" s="32" t="n">
        <v>20750.8</v>
      </c>
      <c r="I302" s="32" t="n">
        <v>1412.1</v>
      </c>
      <c r="J302" s="32" t="n">
        <v>1.33</v>
      </c>
      <c r="K302" s="32" t="n">
        <v>1858879</v>
      </c>
      <c r="L302" s="31" t="inlineStr"/>
      <c r="M302" s="31" t="inlineStr"/>
      <c r="N302" s="32">
        <f>IF(M302="Underperforming",-5,IF(L302&gt;=95,15,IF(L302&gt;=90,10,IF(L302&gt;=80,5,0))))</f>
        <v/>
      </c>
      <c r="O302" s="32" t="n">
        <v>75.39</v>
      </c>
      <c r="P302" s="32" t="n">
        <v>54.21</v>
      </c>
      <c r="Q302" s="32" t="inlineStr"/>
      <c r="R302" s="31" t="inlineStr">
        <is>
          <t>Earnings / Momentum Support</t>
        </is>
      </c>
      <c r="S302" s="31" t="inlineStr">
        <is>
          <t>Nifty Energy</t>
        </is>
      </c>
      <c r="T302" s="32" t="inlineStr"/>
      <c r="U302" s="32" t="inlineStr"/>
      <c r="V302" s="32" t="inlineStr"/>
      <c r="W302" s="32" t="inlineStr"/>
      <c r="X302" s="31" t="inlineStr">
        <is>
          <t>Cyclical in an Upturn</t>
        </is>
      </c>
      <c r="Y302" s="31">
        <f>IF(X302="Growing Industry",10,IF(X302="Cyclical in an Upturn",5,0))</f>
        <v/>
      </c>
      <c r="Z302" s="31" t="inlineStr">
        <is>
          <t>Oligopoly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Yes</t>
        </is>
      </c>
      <c r="AC302" s="31">
        <f>IF(AB302="No",5,0)</f>
        <v/>
      </c>
      <c r="AD302" s="31" t="inlineStr">
        <is>
          <t>Headwind</t>
        </is>
      </c>
      <c r="AE302" s="31">
        <f>IF(AD302="Tailwind",10,0)</f>
        <v/>
      </c>
      <c r="AF302" s="31" t="inlineStr">
        <is>
          <t>Cyclical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Volatile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Above 40</t>
        </is>
      </c>
      <c r="AY302" s="31">
        <f>IF(AX302="Above 40",20,IF(AX302="20 to 40",10,IF(AX302="0 to 20",-5,0)))</f>
        <v/>
      </c>
      <c r="AZ302" s="31" t="inlineStr">
        <is>
          <t>Above 75</t>
        </is>
      </c>
      <c r="BA302" s="31">
        <f>IF(AZ302="Between 50 to 75",10,IF(AZ302="Above 75",0,0))</f>
        <v/>
      </c>
      <c r="BB302" s="31" t="inlineStr">
        <is>
          <t>Stage 3</t>
        </is>
      </c>
      <c r="BC302" s="31">
        <f>IF(BB302="Stage 2",20,IF(BB302="Stage 1",0,IF(BB302="Stage 3",5,IF(BB302="Stage 4",-5,0))))</f>
        <v/>
      </c>
      <c r="BD302" s="31" t="inlineStr">
        <is>
          <t>Negative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Less than 1.5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IF(B303=0,"",RANK(B303,$B$2:$B$389,0))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QPOWER</t>
        </is>
      </c>
      <c r="D303" s="31" t="inlineStr">
        <is>
          <t>Quality Power Electrical Equipments Ltd</t>
        </is>
      </c>
      <c r="E303" s="31" t="inlineStr">
        <is>
          <t>industrials</t>
        </is>
      </c>
      <c r="F303" s="31" t="inlineStr">
        <is>
          <t>electric equipment</t>
        </is>
      </c>
      <c r="G303" s="31" t="inlineStr">
        <is>
          <t>midcap</t>
        </is>
      </c>
      <c r="H303" s="32" t="n">
        <v>10111.1</v>
      </c>
      <c r="I303" s="32" t="n">
        <v>1313.2</v>
      </c>
      <c r="J303" s="32" t="n">
        <v>0.58</v>
      </c>
      <c r="K303" s="32" t="n">
        <v>330055</v>
      </c>
      <c r="L303" s="31" t="n">
        <v>60</v>
      </c>
      <c r="M303" s="31" t="inlineStr">
        <is>
          <t>Outperforming</t>
        </is>
      </c>
      <c r="N303" s="32">
        <f>IF(M303="Underperforming",-5,IF(L303&gt;=95,15,IF(L303&gt;=90,10,IF(L303&gt;=80,5,0))))</f>
        <v/>
      </c>
      <c r="O303" s="32" t="n">
        <v>61</v>
      </c>
      <c r="P303" s="32" t="n">
        <v>14.57</v>
      </c>
      <c r="Q303" s="32" t="inlineStr"/>
      <c r="R303" s="31" t="inlineStr">
        <is>
          <t>Earnings / Momentum Support</t>
        </is>
      </c>
      <c r="S303" s="31" t="inlineStr">
        <is>
          <t>Nifty 50</t>
        </is>
      </c>
      <c r="T303" s="32" t="n">
        <v>-2.49</v>
      </c>
      <c r="U303" s="32" t="n">
        <v>65.73999999999999</v>
      </c>
      <c r="V303" s="32" t="n">
        <v>69.95999999999999</v>
      </c>
      <c r="W303" s="32" t="n">
        <v>14.36</v>
      </c>
      <c r="X303" s="31" t="inlineStr">
        <is>
          <t>Cyclical in an Upturn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Headwind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3</t>
        </is>
      </c>
      <c r="BC303" s="31">
        <f>IF(BB303="Stage 2",20,IF(BB303="Stage 1",0,IF(BB303="Stage 3",5,IF(BB303="Stage 4",-5,0))))</f>
        <v/>
      </c>
      <c r="BD303" s="31" t="inlineStr">
        <is>
          <t>Negative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Yes</t>
        </is>
      </c>
      <c r="BS303" s="31">
        <f>IF(BR303="NO",5,0)</f>
        <v/>
      </c>
      <c r="BT303" s="31" t="inlineStr">
        <is>
          <t>Between 1.5 to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IF(B304=0,"",RANK(B304,$B$2:$B$389,0))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3" t="inlineStr">
        <is>
          <t>GENUSPOWER</t>
        </is>
      </c>
      <c r="D304" s="33" t="inlineStr">
        <is>
          <t>Genus Power Infrastructures Limited</t>
        </is>
      </c>
      <c r="E304" s="31" t="inlineStr">
        <is>
          <t>consumer discretionary</t>
        </is>
      </c>
      <c r="F304" s="31" t="inlineStr">
        <is>
          <t>electronics - components</t>
        </is>
      </c>
      <c r="G304" s="31" t="inlineStr">
        <is>
          <t>midcap</t>
        </is>
      </c>
      <c r="H304" s="32" t="n">
        <v>10281.88</v>
      </c>
      <c r="I304" s="32" t="n">
        <v>339.6</v>
      </c>
      <c r="J304" s="32" t="n">
        <v>0.49</v>
      </c>
      <c r="K304" s="32" t="n">
        <v>3456459</v>
      </c>
      <c r="L304" s="31" t="n">
        <v>11</v>
      </c>
      <c r="M304" s="31" t="inlineStr">
        <is>
          <t>Underperforming</t>
        </is>
      </c>
      <c r="N304" s="32">
        <f>IF(M304="Underperforming",-5,IF(L304&gt;=95,15,IF(L304&gt;=90,10,IF(L304&gt;=80,5,0))))</f>
        <v/>
      </c>
      <c r="O304" s="32" t="n">
        <v>62.07</v>
      </c>
      <c r="P304" s="32" t="n">
        <v>9.01</v>
      </c>
      <c r="Q304" s="32" t="inlineStr"/>
      <c r="R304" s="31" t="inlineStr">
        <is>
          <t>Earnings / Momentum Support</t>
        </is>
      </c>
      <c r="S304" s="31" t="inlineStr">
        <is>
          <t>Nifty 50</t>
        </is>
      </c>
      <c r="T304" s="32" t="n">
        <v>-2.49</v>
      </c>
      <c r="U304" s="32" t="n">
        <v>-5.12</v>
      </c>
      <c r="V304" s="32" t="n">
        <v>-2.7</v>
      </c>
      <c r="W304" s="32" t="n">
        <v>1.26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Headwind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No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0 to 20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3</t>
        </is>
      </c>
      <c r="BC304" s="31">
        <f>IF(BB304="Stage 2",20,IF(BB304="Stage 1",0,IF(BB304="Stage 3",5,IF(BB304="Stage 4",-5,0))))</f>
        <v/>
      </c>
      <c r="BD304" s="31" t="inlineStr">
        <is>
          <t>Negative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Less than 1.5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Between 0.7 to 1.2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IF(B305=0,"",RANK(B305,$B$2:$B$389,0))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SUNDRMFAST</t>
        </is>
      </c>
      <c r="D305" s="31" t="inlineStr">
        <is>
          <t>Sundram Fasteners Limited</t>
        </is>
      </c>
      <c r="E305" s="31" t="inlineStr">
        <is>
          <t>auto</t>
        </is>
      </c>
      <c r="F305" s="31" t="inlineStr">
        <is>
          <t>auto ancillaries</t>
        </is>
      </c>
      <c r="G305" s="31" t="inlineStr">
        <is>
          <t>largecap</t>
        </is>
      </c>
      <c r="H305" s="32" t="n">
        <v>25803.76</v>
      </c>
      <c r="I305" s="32" t="n">
        <v>1231.6</v>
      </c>
      <c r="J305" s="32" t="n">
        <v>0.29</v>
      </c>
      <c r="K305" s="32" t="n">
        <v>194173</v>
      </c>
      <c r="L305" s="31" t="inlineStr"/>
      <c r="M305" s="31" t="inlineStr"/>
      <c r="N305" s="32">
        <f>IF(M305="Underperforming",-5,IF(L305&gt;=95,15,IF(L305&gt;=90,10,IF(L305&gt;=80,5,0))))</f>
        <v/>
      </c>
      <c r="O305" s="32" t="n">
        <v>82.09</v>
      </c>
      <c r="P305" s="32" t="n">
        <v>31.25</v>
      </c>
      <c r="Q305" s="32" t="inlineStr"/>
      <c r="R305" s="31" t="inlineStr">
        <is>
          <t>Earnings / Momentum Support</t>
        </is>
      </c>
      <c r="S305" s="31" t="inlineStr">
        <is>
          <t>Nifty Auto</t>
        </is>
      </c>
      <c r="T305" s="32" t="inlineStr"/>
      <c r="U305" s="32" t="inlineStr"/>
      <c r="V305" s="32" t="inlineStr"/>
      <c r="W305" s="32" t="inlineStr"/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Headwind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20 to 40</t>
        </is>
      </c>
      <c r="AY305" s="31">
        <f>IF(AX305="Above 40",20,IF(AX305="20 to 40",10,IF(AX305="0 to 20",-5,0)))</f>
        <v/>
      </c>
      <c r="AZ305" s="31" t="inlineStr">
        <is>
          <t>Above 75</t>
        </is>
      </c>
      <c r="BA305" s="31">
        <f>IF(AZ305="Between 50 to 75",10,IF(AZ305="Above 75",0,0))</f>
        <v/>
      </c>
      <c r="BB305" s="31" t="inlineStr">
        <is>
          <t>Stage 3</t>
        </is>
      </c>
      <c r="BC305" s="31">
        <f>IF(BB305="Stage 2",20,IF(BB305="Stage 1",0,IF(BB305="Stage 3",5,IF(BB305="Stage 4",-5,0))))</f>
        <v/>
      </c>
      <c r="BD305" s="31" t="inlineStr">
        <is>
          <t>Negative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Between 12 to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Yes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IF(B306=0,"",RANK(B306,$B$2:$B$389,0))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1" t="inlineStr">
        <is>
          <t>AEROFLEX</t>
        </is>
      </c>
      <c r="D306" s="31" t="inlineStr">
        <is>
          <t>Aeroflex Industries Ltd</t>
        </is>
      </c>
      <c r="E306" s="31" t="inlineStr">
        <is>
          <t>metals &amp; mining</t>
        </is>
      </c>
      <c r="F306" s="31" t="inlineStr">
        <is>
          <t>steel - medium / small</t>
        </is>
      </c>
      <c r="G306" s="31" t="inlineStr">
        <is>
          <t>midcap</t>
        </is>
      </c>
      <c r="H306" s="32" t="n">
        <v>6656.24</v>
      </c>
      <c r="I306" s="32" t="n">
        <v>504.25</v>
      </c>
      <c r="J306" s="32" t="n">
        <v>0.25</v>
      </c>
      <c r="K306" s="32" t="n">
        <v>1626805</v>
      </c>
      <c r="L306" s="31" t="inlineStr"/>
      <c r="M306" s="31" t="inlineStr"/>
      <c r="N306" s="32">
        <f>IF(M306="Underperforming",-5,IF(L306&gt;=95,15,IF(L306&gt;=90,10,IF(L306&gt;=80,5,0))))</f>
        <v/>
      </c>
      <c r="O306" s="32" t="n">
        <v>69.11</v>
      </c>
      <c r="P306" s="32" t="n">
        <v>62.71</v>
      </c>
      <c r="Q306" s="32" t="inlineStr"/>
      <c r="R306" s="31" t="inlineStr">
        <is>
          <t>Earnings / Momentum Support</t>
        </is>
      </c>
      <c r="S306" s="31" t="inlineStr">
        <is>
          <t>Nifty Metal</t>
        </is>
      </c>
      <c r="T306" s="32" t="inlineStr"/>
      <c r="U306" s="32" t="inlineStr"/>
      <c r="V306" s="32" t="inlineStr"/>
      <c r="W306" s="32" t="inlineStr"/>
      <c r="X306" s="31" t="inlineStr">
        <is>
          <t>Cyclical in an Upturn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Headwind</t>
        </is>
      </c>
      <c r="AE306" s="31">
        <f>IF(AD306="Tailwind",10,0)</f>
        <v/>
      </c>
      <c r="AF306" s="31" t="inlineStr">
        <is>
          <t>Cyclical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Volatile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Above 40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3</t>
        </is>
      </c>
      <c r="BC306" s="31">
        <f>IF(BB306="Stage 2",20,IF(BB306="Stage 1",0,IF(BB306="Stage 3",5,IF(BB306="Stage 4",-5,0))))</f>
        <v/>
      </c>
      <c r="BD306" s="31" t="inlineStr">
        <is>
          <t>Negative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Yes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IF(B307=0,"",RANK(B307,$B$2:$B$389,0))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MMFL</t>
        </is>
      </c>
      <c r="D307" s="31" t="inlineStr">
        <is>
          <t>Mm Forgings Limited</t>
        </is>
      </c>
      <c r="E307" s="31" t="inlineStr">
        <is>
          <t>industrials</t>
        </is>
      </c>
      <c r="F307" s="31" t="inlineStr">
        <is>
          <t>castings &amp; forgings</t>
        </is>
      </c>
      <c r="G307" s="31" t="inlineStr">
        <is>
          <t>smallcap</t>
        </is>
      </c>
      <c r="H307" s="32" t="n">
        <v>3150.86</v>
      </c>
      <c r="I307" s="32" t="n">
        <v>635.8</v>
      </c>
      <c r="J307" s="32" t="n">
        <v>-2.57</v>
      </c>
      <c r="K307" s="32" t="n">
        <v>112549</v>
      </c>
      <c r="L307" s="31" t="n">
        <v>87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74.2</v>
      </c>
      <c r="P307" s="32" t="n">
        <v>28.41</v>
      </c>
      <c r="Q307" s="32" t="inlineStr"/>
      <c r="R307" s="31" t="inlineStr">
        <is>
          <t>Earnings / Momentum Support</t>
        </is>
      </c>
      <c r="S307" s="31" t="inlineStr">
        <is>
          <t>Nifty 50</t>
        </is>
      </c>
      <c r="T307" s="32" t="n">
        <v>-2.49</v>
      </c>
      <c r="U307" s="32" t="n">
        <v>106.62</v>
      </c>
      <c r="V307" s="32" t="n">
        <v>111.89</v>
      </c>
      <c r="W307" s="32" t="n">
        <v>27.11</v>
      </c>
      <c r="X307" s="31" t="inlineStr">
        <is>
          <t>Cyclical in an Upturn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Headwind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20 to 40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3</t>
        </is>
      </c>
      <c r="BC307" s="31">
        <f>IF(BB307="Stage 2",20,IF(BB307="Stage 1",0,IF(BB307="Stage 3",5,IF(BB307="Stage 4",-5,0))))</f>
        <v/>
      </c>
      <c r="BD307" s="31" t="inlineStr">
        <is>
          <t>Negative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More than 20%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No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More than 1.2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IF(B308=0,"",RANK(B308,$B$2:$B$389,0))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BLACKBUCK</t>
        </is>
      </c>
      <c r="D308" s="31" t="inlineStr">
        <is>
          <t>BlackBuck Ltd</t>
        </is>
      </c>
      <c r="E308" s="31" t="inlineStr">
        <is>
          <t>transportation</t>
        </is>
      </c>
      <c r="F308" s="31" t="inlineStr">
        <is>
          <t>miscellaneous</t>
        </is>
      </c>
      <c r="G308" s="31" t="inlineStr">
        <is>
          <t>midcap</t>
        </is>
      </c>
      <c r="H308" s="32" t="n">
        <v>11553.05</v>
      </c>
      <c r="I308" s="32" t="n">
        <v>604.4</v>
      </c>
      <c r="J308" s="32" t="n">
        <v>-4.71</v>
      </c>
      <c r="K308" s="32" t="n">
        <v>473458</v>
      </c>
      <c r="L308" s="31" t="n">
        <v>29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58.92</v>
      </c>
      <c r="P308" s="32" t="n">
        <v>9.199999999999999</v>
      </c>
      <c r="Q308" s="32" t="inlineStr"/>
      <c r="R308" s="31" t="inlineStr">
        <is>
          <t>Earnings / Momentum Support</t>
        </is>
      </c>
      <c r="S308" s="31" t="inlineStr">
        <is>
          <t>Nifty 50</t>
        </is>
      </c>
      <c r="T308" s="32" t="n">
        <v>-2.49</v>
      </c>
      <c r="U308" s="32" t="n">
        <v>-1.54</v>
      </c>
      <c r="V308" s="32" t="n">
        <v>0.97</v>
      </c>
      <c r="W308" s="32" t="n">
        <v>6.02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Headwind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3</t>
        </is>
      </c>
      <c r="BC308" s="31">
        <f>IF(BB308="Stage 2",20,IF(BB308="Stage 1",0,IF(BB308="Stage 3",5,IF(BB308="Stage 4",-5,0))))</f>
        <v/>
      </c>
      <c r="BD308" s="31" t="inlineStr">
        <is>
          <t>Negative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Yes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IF(B309=0,"",RANK(B309,$B$2:$B$389,0))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3" t="inlineStr">
        <is>
          <t>VALIANTLAB</t>
        </is>
      </c>
      <c r="D309" s="33" t="inlineStr">
        <is>
          <t>Valiant Laboratories Ltd</t>
        </is>
      </c>
      <c r="E309" s="31" t="inlineStr">
        <is>
          <t>healthcare</t>
        </is>
      </c>
      <c r="F309" s="31" t="inlineStr">
        <is>
          <t>pharmaceuticals - indian - bulk drugs &amp; formln</t>
        </is>
      </c>
      <c r="G309" s="31" t="inlineStr">
        <is>
          <t>smallcap</t>
        </is>
      </c>
      <c r="H309" s="32" t="n">
        <v>519.99</v>
      </c>
      <c r="I309" s="32" t="n">
        <v>100.52</v>
      </c>
      <c r="J309" s="32" t="n">
        <v>4.99</v>
      </c>
      <c r="K309" s="32" t="n">
        <v>186900</v>
      </c>
      <c r="L309" s="31" t="n">
        <v>39</v>
      </c>
      <c r="M309" s="31" t="inlineStr">
        <is>
          <t>Underperforming</t>
        </is>
      </c>
      <c r="N309" s="32">
        <f>IF(M309="Underperforming",-5,IF(L309&gt;=95,15,IF(L309&gt;=90,10,IF(L309&gt;=80,5,0))))</f>
        <v/>
      </c>
      <c r="O309" s="32" t="n">
        <v>71.31</v>
      </c>
      <c r="P309" s="32" t="n">
        <v>18.28</v>
      </c>
      <c r="Q309" s="32" t="inlineStr"/>
      <c r="R309" s="31" t="inlineStr">
        <is>
          <t>Earnings / Momentum Support</t>
        </is>
      </c>
      <c r="S309" s="31" t="inlineStr">
        <is>
          <t>Nifty Pharma</t>
        </is>
      </c>
      <c r="T309" s="32" t="n">
        <v>18.39</v>
      </c>
      <c r="U309" s="32" t="n">
        <v>8.81</v>
      </c>
      <c r="V309" s="32" t="n">
        <v>-8.09</v>
      </c>
      <c r="W309" s="32" t="n">
        <v>8.75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Yes</t>
        </is>
      </c>
      <c r="AC309" s="31">
        <f>IF(AB309="No",5,0)</f>
        <v/>
      </c>
      <c r="AD309" s="31" t="inlineStr">
        <is>
          <t>Headwind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Annuity, Lower One Time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3</t>
        </is>
      </c>
      <c r="BC309" s="31">
        <f>IF(BB309="Stage 2",20,IF(BB309="Stage 1",0,IF(BB309="Stage 3",5,IF(BB309="Stage 4",-5,0))))</f>
        <v/>
      </c>
      <c r="BD309" s="31" t="inlineStr">
        <is>
          <t>Negative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More than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IF(B310=0,"",RANK(B310,$B$2:$B$389,0))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3" t="inlineStr">
        <is>
          <t>ANTHEM</t>
        </is>
      </c>
      <c r="D310" s="33" t="inlineStr">
        <is>
          <t>Anthem Biosciences Ltd</t>
        </is>
      </c>
      <c r="E310" s="31" t="inlineStr">
        <is>
          <t>healthcare</t>
        </is>
      </c>
      <c r="F310" s="31" t="inlineStr">
        <is>
          <t>pharmaceuticals - indian - bulk drugs &amp; formln</t>
        </is>
      </c>
      <c r="G310" s="31" t="inlineStr">
        <is>
          <t>largecap</t>
        </is>
      </c>
      <c r="H310" s="32" t="n">
        <v>49096.16</v>
      </c>
      <c r="I310" s="32" t="n">
        <v>883.35</v>
      </c>
      <c r="J310" s="32" t="n">
        <v>1.37</v>
      </c>
      <c r="K310" s="32" t="n">
        <v>1175514</v>
      </c>
      <c r="L310" s="31" t="n">
        <v>21</v>
      </c>
      <c r="M310" s="31" t="inlineStr">
        <is>
          <t>Underperforming</t>
        </is>
      </c>
      <c r="N310" s="32">
        <f>IF(M310="Underperforming",-5,IF(L310&gt;=95,15,IF(L310&gt;=90,10,IF(L310&gt;=80,5,0))))</f>
        <v/>
      </c>
      <c r="O310" s="32" t="n">
        <v>66.51000000000001</v>
      </c>
      <c r="P310" s="32" t="n">
        <v>39.76</v>
      </c>
      <c r="Q310" s="32" t="inlineStr"/>
      <c r="R310" s="31" t="inlineStr">
        <is>
          <t>Earnings / Momentum Support</t>
        </is>
      </c>
      <c r="S310" s="31" t="inlineStr">
        <is>
          <t>Nifty Pharma</t>
        </is>
      </c>
      <c r="T310" s="32" t="n">
        <v>18.39</v>
      </c>
      <c r="U310" s="32" t="n">
        <v>6.18</v>
      </c>
      <c r="V310" s="32" t="n">
        <v>-10.32</v>
      </c>
      <c r="W310" s="32" t="n">
        <v>4.68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Yes</t>
        </is>
      </c>
      <c r="AC310" s="31">
        <f>IF(AB310="No",5,0)</f>
        <v/>
      </c>
      <c r="AD310" s="31" t="inlineStr">
        <is>
          <t>Headwind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No</t>
        </is>
      </c>
      <c r="AQ310" s="31">
        <f>IF(AP310="Yes",10,0)</f>
        <v/>
      </c>
      <c r="AR310" s="31" t="inlineStr">
        <is>
          <t>Higher Annuity, Lower One Time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20 to 40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3</t>
        </is>
      </c>
      <c r="BC310" s="31">
        <f>IF(BB310="Stage 2",20,IF(BB310="Stage 1",0,IF(BB310="Stage 3",5,IF(BB310="Stage 4",-5,0))))</f>
        <v/>
      </c>
      <c r="BD310" s="31" t="inlineStr">
        <is>
          <t>Negative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Less than 12%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Yes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IF(B311=0,"",RANK(B311,$B$2:$B$389,0))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1" t="inlineStr">
        <is>
          <t>GUJALKALI</t>
        </is>
      </c>
      <c r="D311" s="31" t="inlineStr">
        <is>
          <t>Gujarat Alkalies And Chemicals Limited</t>
        </is>
      </c>
      <c r="E311" s="31" t="inlineStr">
        <is>
          <t>chemicals</t>
        </is>
      </c>
      <c r="F311" s="31" t="inlineStr">
        <is>
          <t>chemicals</t>
        </is>
      </c>
      <c r="G311" s="31" t="inlineStr">
        <is>
          <t>midcap</t>
        </is>
      </c>
      <c r="H311" s="32" t="n">
        <v>5024.92</v>
      </c>
      <c r="I311" s="32" t="n">
        <v>723</v>
      </c>
      <c r="J311" s="32" t="n">
        <v>5.66</v>
      </c>
      <c r="K311" s="32" t="n">
        <v>1413898</v>
      </c>
      <c r="L311" s="31" t="n">
        <v>29</v>
      </c>
      <c r="M311" s="31" t="inlineStr">
        <is>
          <t>Outperforming</t>
        </is>
      </c>
      <c r="N311" s="32">
        <f>IF(M311="Underperforming",-5,IF(L311&gt;=95,15,IF(L311&gt;=90,10,IF(L311&gt;=80,5,0))))</f>
        <v/>
      </c>
      <c r="O311" s="32" t="n">
        <v>58.52</v>
      </c>
      <c r="P311" s="32" t="n">
        <v>27.78</v>
      </c>
      <c r="Q311" s="32" t="inlineStr"/>
      <c r="R311" s="31" t="inlineStr">
        <is>
          <t>Volume Spike / Accumulation</t>
        </is>
      </c>
      <c r="S311" s="31" t="inlineStr">
        <is>
          <t>Nifty 50</t>
        </is>
      </c>
      <c r="T311" s="32" t="n">
        <v>-2.49</v>
      </c>
      <c r="U311" s="32" t="n">
        <v>22.23</v>
      </c>
      <c r="V311" s="32" t="n">
        <v>25.35</v>
      </c>
      <c r="W311" s="32" t="n">
        <v>5.94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Oligopoly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Shallow Cyclical (2 to 3 Years Growth)</t>
        </is>
      </c>
      <c r="AG311" s="31">
        <f>IF(AF311="Structural (10 Years Consistency)",10,IF(AF311="Shallow Cyclical (2 to 3 years growth)",5,0))</f>
        <v/>
      </c>
      <c r="AH311" s="31" t="inlineStr">
        <is>
          <t>Yes due to Product Mix change or Operating Leverage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Volatile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Yes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Allocated capital in Non-core Areas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Above 40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3</t>
        </is>
      </c>
      <c r="BC311" s="31">
        <f>IF(BB311="Stage 2",20,IF(BB311="Stage 1",0,IF(BB311="Stage 3",5,IF(BB311="Stage 4",-5,0))))</f>
        <v/>
      </c>
      <c r="BD311" s="31" t="inlineStr">
        <is>
          <t>Negative Trend</t>
        </is>
      </c>
      <c r="BE311" s="31">
        <f>IF(BD311="Positive Trend",20,IF(BD311="Negative Trend",-10,0))</f>
        <v/>
      </c>
      <c r="BF311" s="31" t="inlineStr">
        <is>
          <t>Sideways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Overhead supply in last 2 years in last 2 years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More than 20%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No</t>
        </is>
      </c>
      <c r="BS311" s="31">
        <f>IF(BR311="NO",5,0)</f>
        <v/>
      </c>
      <c r="BT311" s="31" t="inlineStr">
        <is>
          <t>Less than 1.5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More than 15%</t>
        </is>
      </c>
      <c r="CC311" s="31">
        <f>IF(CB311="More than 15%",-10,IF(CB311="Less than 15%",10,0))</f>
        <v/>
      </c>
      <c r="CD311" s="31" t="inlineStr">
        <is>
          <t>Yes Upto 10%</t>
        </is>
      </c>
      <c r="CE311" s="31">
        <f>IF(CD311="Yes, more than 10%",-10,IF(CD311="No",10,0))</f>
        <v/>
      </c>
    </row>
    <row r="312">
      <c r="A312" s="31">
        <f>IF(B312=0,"",RANK(B312,$B$2:$B$389,0))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1" t="inlineStr">
        <is>
          <t>TIIL</t>
        </is>
      </c>
      <c r="D312" s="31" t="inlineStr">
        <is>
          <t>Technocraft Industries (india) Limited</t>
        </is>
      </c>
      <c r="E312" s="31" t="inlineStr">
        <is>
          <t>metals &amp; mining</t>
        </is>
      </c>
      <c r="F312" s="31" t="inlineStr">
        <is>
          <t>steel - medium / small</t>
        </is>
      </c>
      <c r="G312" s="31" t="inlineStr">
        <is>
          <t>midcap</t>
        </is>
      </c>
      <c r="H312" s="32" t="n">
        <v>7524.65</v>
      </c>
      <c r="I312" s="32" t="n">
        <v>3441.3</v>
      </c>
      <c r="J312" s="32" t="n">
        <v>3.69</v>
      </c>
      <c r="K312" s="32" t="n">
        <v>89375</v>
      </c>
      <c r="L312" s="31" t="inlineStr"/>
      <c r="M312" s="31" t="inlineStr"/>
      <c r="N312" s="32">
        <f>IF(M312="Underperforming",-5,IF(L312&gt;=95,15,IF(L312&gt;=90,10,IF(L312&gt;=80,5,0))))</f>
        <v/>
      </c>
      <c r="O312" s="32" t="n">
        <v>76.44</v>
      </c>
      <c r="P312" s="32" t="n">
        <v>32.67</v>
      </c>
      <c r="Q312" s="32" t="inlineStr"/>
      <c r="R312" s="31" t="inlineStr">
        <is>
          <t>Earnings / Momentum Support</t>
        </is>
      </c>
      <c r="S312" s="31" t="inlineStr">
        <is>
          <t>Nifty Metal</t>
        </is>
      </c>
      <c r="T312" s="32" t="inlineStr"/>
      <c r="U312" s="32" t="inlineStr"/>
      <c r="V312" s="32" t="inlineStr"/>
      <c r="W312" s="32" t="inlineStr"/>
      <c r="X312" s="31" t="inlineStr">
        <is>
          <t>Cyclical in an Upturn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Headwind</t>
        </is>
      </c>
      <c r="AE312" s="31">
        <f>IF(AD312="Tailwind",10,0)</f>
        <v/>
      </c>
      <c r="AF312" s="31" t="inlineStr">
        <is>
          <t>Cyclical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Volatile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No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20 to 40</t>
        </is>
      </c>
      <c r="AY312" s="31">
        <f>IF(AX312="Above 40",20,IF(AX312="20 to 40",10,IF(AX312="0 to 20",-5,0)))</f>
        <v/>
      </c>
      <c r="AZ312" s="31" t="inlineStr">
        <is>
          <t>Above 75</t>
        </is>
      </c>
      <c r="BA312" s="31">
        <f>IF(AZ312="Between 50 to 75",10,IF(AZ312="Above 75",0,0))</f>
        <v/>
      </c>
      <c r="BB312" s="31" t="inlineStr">
        <is>
          <t>Stage 3</t>
        </is>
      </c>
      <c r="BC312" s="31">
        <f>IF(BB312="Stage 2",20,IF(BB312="Stage 1",0,IF(BB312="Stage 3",5,IF(BB312="Stage 4",-5,0))))</f>
        <v/>
      </c>
      <c r="BD312" s="31" t="inlineStr">
        <is>
          <t>Negative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No</t>
        </is>
      </c>
      <c r="BS312" s="31">
        <f>IF(BR312="NO",5,0)</f>
        <v/>
      </c>
      <c r="BT312" s="31" t="inlineStr">
        <is>
          <t>Less than 1.5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IF(B313=0,"",RANK(B313,$B$2:$B$389,0))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SAIL</t>
        </is>
      </c>
      <c r="D313" s="31" t="inlineStr">
        <is>
          <t>Steel Authority Of India Limited</t>
        </is>
      </c>
      <c r="E313" s="31" t="inlineStr">
        <is>
          <t>metals &amp; mining</t>
        </is>
      </c>
      <c r="F313" s="31" t="inlineStr">
        <is>
          <t>steel - large</t>
        </is>
      </c>
      <c r="G313" s="31" t="inlineStr">
        <is>
          <t>largecap</t>
        </is>
      </c>
      <c r="H313" s="32" t="n">
        <v>71648.09</v>
      </c>
      <c r="I313" s="32" t="n">
        <v>179.65</v>
      </c>
      <c r="J313" s="32" t="n">
        <v>3.57</v>
      </c>
      <c r="K313" s="32" t="n">
        <v>48023572</v>
      </c>
      <c r="L313" s="31" t="inlineStr"/>
      <c r="M313" s="31" t="inlineStr"/>
      <c r="N313" s="32">
        <f>IF(M313="Underperforming",-5,IF(L313&gt;=95,15,IF(L313&gt;=90,10,IF(L313&gt;=80,5,0))))</f>
        <v/>
      </c>
      <c r="O313" s="32" t="n">
        <v>53.17</v>
      </c>
      <c r="P313" s="32" t="n">
        <v>22.51</v>
      </c>
      <c r="Q313" s="32" t="inlineStr"/>
      <c r="R313" s="31" t="inlineStr">
        <is>
          <t>Earnings / Momentum Support</t>
        </is>
      </c>
      <c r="S313" s="31" t="inlineStr">
        <is>
          <t>Nifty Metal</t>
        </is>
      </c>
      <c r="T313" s="32" t="inlineStr"/>
      <c r="U313" s="32" t="inlineStr"/>
      <c r="V313" s="32" t="inlineStr"/>
      <c r="W313" s="32" t="inlineStr"/>
      <c r="X313" s="31" t="inlineStr">
        <is>
          <t>Cyclical in an Upturn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Headwind</t>
        </is>
      </c>
      <c r="AE313" s="31">
        <f>IF(AD313="Tailwind",10,0)</f>
        <v/>
      </c>
      <c r="AF313" s="31" t="inlineStr">
        <is>
          <t>Cyclical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Volatile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20 to 40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3</t>
        </is>
      </c>
      <c r="BC313" s="31">
        <f>IF(BB313="Stage 2",20,IF(BB313="Stage 1",0,IF(BB313="Stage 3",5,IF(BB313="Stage 4",-5,0))))</f>
        <v/>
      </c>
      <c r="BD313" s="31" t="inlineStr">
        <is>
          <t>Negative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No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IF(B314=0,"",RANK(B314,$B$2:$B$389,0))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GIPCL</t>
        </is>
      </c>
      <c r="D314" s="31" t="inlineStr">
        <is>
          <t>Gujarat Industries Power Company Limited</t>
        </is>
      </c>
      <c r="E314" s="31" t="inlineStr">
        <is>
          <t>power &amp; utilities</t>
        </is>
      </c>
      <c r="F314" s="31" t="inlineStr">
        <is>
          <t>power generation and supply</t>
        </is>
      </c>
      <c r="G314" s="31" t="inlineStr">
        <is>
          <t>smallcap</t>
        </is>
      </c>
      <c r="H314" s="32" t="n">
        <v>2679.65</v>
      </c>
      <c r="I314" s="32" t="n">
        <v>178.39</v>
      </c>
      <c r="J314" s="32" t="n">
        <v>3.33</v>
      </c>
      <c r="K314" s="32" t="n">
        <v>2016433</v>
      </c>
      <c r="L314" s="31" t="n">
        <v>14</v>
      </c>
      <c r="M314" s="31" t="inlineStr">
        <is>
          <t>Outperforming</t>
        </is>
      </c>
      <c r="N314" s="32">
        <f>IF(M314="Underperforming",-5,IF(L314&gt;=95,15,IF(L314&gt;=90,10,IF(L314&gt;=80,5,0))))</f>
        <v/>
      </c>
      <c r="O314" s="32" t="n">
        <v>59.41</v>
      </c>
      <c r="P314" s="32" t="n">
        <v>15.02</v>
      </c>
      <c r="Q314" s="32" t="inlineStr"/>
      <c r="R314" s="31" t="inlineStr">
        <is>
          <t>Earnings / Momentum Support</t>
        </is>
      </c>
      <c r="S314" s="31" t="inlineStr">
        <is>
          <t>Nifty IT</t>
        </is>
      </c>
      <c r="T314" s="32" t="n">
        <v>-13.85</v>
      </c>
      <c r="U314" s="32" t="n">
        <v>-6.05</v>
      </c>
      <c r="V314" s="32" t="n">
        <v>9.06</v>
      </c>
      <c r="W314" s="32" t="n">
        <v>2.47</v>
      </c>
      <c r="X314" s="31" t="inlineStr">
        <is>
          <t>Growing Industry</t>
        </is>
      </c>
      <c r="Y314" s="31">
        <f>IF(X314="Growing Industry",10,IF(X314="Cyclical in an Upturn",5,0))</f>
        <v/>
      </c>
      <c r="Z314" s="31" t="inlineStr">
        <is>
          <t>Oligopoly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Shallow Cyclical (2 to 3 Years Growth)</t>
        </is>
      </c>
      <c r="AG314" s="31">
        <f>IF(AF314="Structural (10 Years Consistency)",10,IF(AF314="Shallow Cyclical (2 to 3 years growth)",5,0))</f>
        <v/>
      </c>
      <c r="AH314" s="31" t="inlineStr">
        <is>
          <t>Yes due to Product Mix change or Operating Leverage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Volatile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Yes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Allocated capital in Non-core Areas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Above 40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3</t>
        </is>
      </c>
      <c r="BC314" s="31">
        <f>IF(BB314="Stage 2",20,IF(BB314="Stage 1",0,IF(BB314="Stage 3",5,IF(BB314="Stage 4",-5,0))))</f>
        <v/>
      </c>
      <c r="BD314" s="31" t="inlineStr">
        <is>
          <t>Negative Trend</t>
        </is>
      </c>
      <c r="BE314" s="31">
        <f>IF(BD314="Positive Trend",20,IF(BD314="Negative Trend",-10,0))</f>
        <v/>
      </c>
      <c r="BF314" s="31" t="inlineStr">
        <is>
          <t>Sideways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Overhead supply in last 2 years in last 2 years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More than 20%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No</t>
        </is>
      </c>
      <c r="BS314" s="31">
        <f>IF(BR314="NO",5,0)</f>
        <v/>
      </c>
      <c r="BT314" s="31" t="inlineStr">
        <is>
          <t>Less than 1.5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More than 15%</t>
        </is>
      </c>
      <c r="CC314" s="31">
        <f>IF(CB314="More than 15%",-10,IF(CB314="Less than 15%",10,0))</f>
        <v/>
      </c>
      <c r="CD314" s="31" t="inlineStr">
        <is>
          <t>Yes Upto 10%</t>
        </is>
      </c>
      <c r="CE314" s="31">
        <f>IF(CD314="Yes, more than 10%",-10,IF(CD314="No",10,0))</f>
        <v/>
      </c>
    </row>
    <row r="315">
      <c r="A315" s="31">
        <f>IF(B315=0,"",RANK(B315,$B$2:$B$389,0))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HINDALCO</t>
        </is>
      </c>
      <c r="D315" s="31" t="inlineStr">
        <is>
          <t>Hindalco Industries Limited</t>
        </is>
      </c>
      <c r="E315" s="31" t="inlineStr">
        <is>
          <t>metals &amp; mining</t>
        </is>
      </c>
      <c r="F315" s="31" t="inlineStr">
        <is>
          <t>aluminium and aluminium products</t>
        </is>
      </c>
      <c r="G315" s="31" t="inlineStr">
        <is>
          <t>largecap</t>
        </is>
      </c>
      <c r="H315" s="32" t="n">
        <v>232363.22</v>
      </c>
      <c r="I315" s="32" t="n">
        <v>1058.5</v>
      </c>
      <c r="J315" s="32" t="n">
        <v>2.37</v>
      </c>
      <c r="K315" s="32" t="n">
        <v>3954751</v>
      </c>
      <c r="L315" s="31" t="inlineStr"/>
      <c r="M315" s="31" t="inlineStr"/>
      <c r="N315" s="32">
        <f>IF(M315="Underperforming",-5,IF(L315&gt;=95,15,IF(L315&gt;=90,10,IF(L315&gt;=80,5,0))))</f>
        <v/>
      </c>
      <c r="O315" s="32" t="n">
        <v>57.51</v>
      </c>
      <c r="P315" s="32" t="n">
        <v>30.85</v>
      </c>
      <c r="Q315" s="32" t="inlineStr"/>
      <c r="R315" s="31" t="inlineStr">
        <is>
          <t>Earnings / Momentum Support</t>
        </is>
      </c>
      <c r="S315" s="31" t="inlineStr">
        <is>
          <t>Nifty Metal</t>
        </is>
      </c>
      <c r="T315" s="32" t="inlineStr"/>
      <c r="U315" s="32" t="inlineStr"/>
      <c r="V315" s="32" t="inlineStr"/>
      <c r="W315" s="32" t="inlineStr"/>
      <c r="X315" s="31" t="inlineStr">
        <is>
          <t>Cyclical in an Upturn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Headwind</t>
        </is>
      </c>
      <c r="AE315" s="31">
        <f>IF(AD315="Tailwind",10,0)</f>
        <v/>
      </c>
      <c r="AF315" s="31" t="inlineStr">
        <is>
          <t>Cyclical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Volatile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20 to 40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3</t>
        </is>
      </c>
      <c r="BC315" s="31">
        <f>IF(BB315="Stage 2",20,IF(BB315="Stage 1",0,IF(BB315="Stage 3",5,IF(BB315="Stage 4",-5,0))))</f>
        <v/>
      </c>
      <c r="BD315" s="31" t="inlineStr">
        <is>
          <t>Negative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More than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No</t>
        </is>
      </c>
      <c r="BS315" s="31">
        <f>IF(BR315="NO",5,0)</f>
        <v/>
      </c>
      <c r="BT315" s="31" t="inlineStr">
        <is>
          <t>Less than 1.5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Between 0.7 to 1.2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IF(B316=0,"",RANK(B316,$B$2:$B$389,0))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FMGOETZE</t>
        </is>
      </c>
      <c r="D316" s="31" t="inlineStr">
        <is>
          <t>Federal-mogul Goetze (india) Limited.</t>
        </is>
      </c>
      <c r="E316" s="31" t="inlineStr">
        <is>
          <t>auto</t>
        </is>
      </c>
      <c r="F316" s="31" t="inlineStr">
        <is>
          <t>auto ancillaries</t>
        </is>
      </c>
      <c r="G316" s="31" t="inlineStr">
        <is>
          <t>smallcap</t>
        </is>
      </c>
      <c r="H316" s="32" t="n">
        <v>2626.39</v>
      </c>
      <c r="I316" s="32" t="n">
        <v>483</v>
      </c>
      <c r="J316" s="32" t="n">
        <v>2.31</v>
      </c>
      <c r="K316" s="32" t="n">
        <v>63434</v>
      </c>
      <c r="L316" s="31" t="inlineStr"/>
      <c r="M316" s="31" t="inlineStr"/>
      <c r="N316" s="32">
        <f>IF(M316="Underperforming",-5,IF(L316&gt;=95,15,IF(L316&gt;=90,10,IF(L316&gt;=80,5,0))))</f>
        <v/>
      </c>
      <c r="O316" s="32" t="n">
        <v>53.64</v>
      </c>
      <c r="P316" s="32" t="n">
        <v>14.38</v>
      </c>
      <c r="Q316" s="32" t="inlineStr"/>
      <c r="R316" s="31" t="inlineStr">
        <is>
          <t>Earnings / Momentum Support</t>
        </is>
      </c>
      <c r="S316" s="31" t="inlineStr">
        <is>
          <t>Nifty Auto</t>
        </is>
      </c>
      <c r="T316" s="32" t="inlineStr"/>
      <c r="U316" s="32" t="inlineStr"/>
      <c r="V316" s="32" t="inlineStr"/>
      <c r="W316" s="32" t="inlineStr"/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Headwind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No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0 to 20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3</t>
        </is>
      </c>
      <c r="BC316" s="31">
        <f>IF(BB316="Stage 2",20,IF(BB316="Stage 1",0,IF(BB316="Stage 3",5,IF(BB316="Stage 4",-5,0))))</f>
        <v/>
      </c>
      <c r="BD316" s="31" t="inlineStr">
        <is>
          <t>Negative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Less than 12%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Less than 0.7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IF(B317=0,"",RANK(B317,$B$2:$B$389,0))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RAMRAT</t>
        </is>
      </c>
      <c r="D317" s="31" t="inlineStr">
        <is>
          <t>Ram Ratna Wires Ltd</t>
        </is>
      </c>
      <c r="E317" s="31" t="inlineStr">
        <is>
          <t>metals &amp; mining</t>
        </is>
      </c>
      <c r="F317" s="31" t="inlineStr">
        <is>
          <t>mining / minerals / metals</t>
        </is>
      </c>
      <c r="G317" s="31" t="inlineStr">
        <is>
          <t>smallcap</t>
        </is>
      </c>
      <c r="H317" s="32" t="n">
        <v>4456.02</v>
      </c>
      <c r="I317" s="32" t="n">
        <v>485.85</v>
      </c>
      <c r="J317" s="32" t="n">
        <v>1.78</v>
      </c>
      <c r="K317" s="32" t="n">
        <v>109408</v>
      </c>
      <c r="L317" s="31" t="inlineStr"/>
      <c r="M317" s="31" t="inlineStr"/>
      <c r="N317" s="32">
        <f>IF(M317="Underperforming",-5,IF(L317&gt;=95,15,IF(L317&gt;=90,10,IF(L317&gt;=80,5,0))))</f>
        <v/>
      </c>
      <c r="O317" s="32" t="n">
        <v>69.95</v>
      </c>
      <c r="P317" s="32" t="n">
        <v>42.54</v>
      </c>
      <c r="Q317" s="32" t="inlineStr"/>
      <c r="R317" s="31" t="inlineStr">
        <is>
          <t>Earnings / Momentum Support</t>
        </is>
      </c>
      <c r="S317" s="31" t="inlineStr">
        <is>
          <t>Nifty Metal</t>
        </is>
      </c>
      <c r="T317" s="32" t="inlineStr"/>
      <c r="U317" s="32" t="inlineStr"/>
      <c r="V317" s="32" t="inlineStr"/>
      <c r="W317" s="32" t="inlineStr"/>
      <c r="X317" s="31" t="inlineStr">
        <is>
          <t>Cyclical in an Upturn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Headwind</t>
        </is>
      </c>
      <c r="AE317" s="31">
        <f>IF(AD317="Tailwind",10,0)</f>
        <v/>
      </c>
      <c r="AF317" s="31" t="inlineStr">
        <is>
          <t>Cyclical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Volatile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Above 40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3</t>
        </is>
      </c>
      <c r="BC317" s="31">
        <f>IF(BB317="Stage 2",20,IF(BB317="Stage 1",0,IF(BB317="Stage 3",5,IF(BB317="Stage 4",-5,0))))</f>
        <v/>
      </c>
      <c r="BD317" s="31" t="inlineStr">
        <is>
          <t>Negative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More than 20%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No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Between 0.7 to 1.2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IF(B318=0,"",RANK(B318,$B$2:$B$389,0))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GNFC</t>
        </is>
      </c>
      <c r="D318" s="31" t="inlineStr">
        <is>
          <t>Gujarat Narmada Valley Fertilizers And Chemicals Limited</t>
        </is>
      </c>
      <c r="E318" s="31" t="inlineStr">
        <is>
          <t>chemicals</t>
        </is>
      </c>
      <c r="F318" s="31" t="inlineStr">
        <is>
          <t>chemicals</t>
        </is>
      </c>
      <c r="G318" s="31" t="inlineStr">
        <is>
          <t>midcap</t>
        </is>
      </c>
      <c r="H318" s="32" t="n">
        <v>8563.700000000001</v>
      </c>
      <c r="I318" s="32" t="n">
        <v>593</v>
      </c>
      <c r="J318" s="32" t="n">
        <v>1.75</v>
      </c>
      <c r="K318" s="32" t="n">
        <v>413426</v>
      </c>
      <c r="L318" s="31" t="n">
        <v>28</v>
      </c>
      <c r="M318" s="31" t="inlineStr">
        <is>
          <t>Outperforming</t>
        </is>
      </c>
      <c r="N318" s="32">
        <f>IF(M318="Underperforming",-5,IF(L318&gt;=95,15,IF(L318&gt;=90,10,IF(L318&gt;=80,5,0))))</f>
        <v/>
      </c>
      <c r="O318" s="32" t="n">
        <v>67.36</v>
      </c>
      <c r="P318" s="32" t="n">
        <v>35.46</v>
      </c>
      <c r="Q318" s="32" t="inlineStr"/>
      <c r="R318" s="31" t="inlineStr">
        <is>
          <t>Earnings / Momentum Support</t>
        </is>
      </c>
      <c r="S318" s="31" t="inlineStr">
        <is>
          <t>Nifty 50</t>
        </is>
      </c>
      <c r="T318" s="32" t="n">
        <v>-2.49</v>
      </c>
      <c r="U318" s="32" t="n">
        <v>13.44</v>
      </c>
      <c r="V318" s="32" t="n">
        <v>16.33</v>
      </c>
      <c r="W318" s="32" t="n">
        <v>5.87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Oligopoly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Shallow Cyclical (2 to 3 Years Growth)</t>
        </is>
      </c>
      <c r="AG318" s="31">
        <f>IF(AF318="Structural (10 Years Consistency)",10,IF(AF318="Shallow Cyclical (2 to 3 years growth)",5,0))</f>
        <v/>
      </c>
      <c r="AH318" s="31" t="inlineStr">
        <is>
          <t>Yes due to Product Mix change or Operating Leverage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Volatile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Yes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Allocated capital in Non-core Areas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Above 40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3</t>
        </is>
      </c>
      <c r="BC318" s="31">
        <f>IF(BB318="Stage 2",20,IF(BB318="Stage 1",0,IF(BB318="Stage 3",5,IF(BB318="Stage 4",-5,0))))</f>
        <v/>
      </c>
      <c r="BD318" s="31" t="inlineStr">
        <is>
          <t>Negative Trend</t>
        </is>
      </c>
      <c r="BE318" s="31">
        <f>IF(BD318="Positive Trend",20,IF(BD318="Negative Trend",-10,0))</f>
        <v/>
      </c>
      <c r="BF318" s="31" t="inlineStr">
        <is>
          <t>Sideways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Overhead supply in last 2 years in last 2 years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More than 20%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Less than 1.5</t>
        </is>
      </c>
      <c r="BU318" s="31">
        <f>IF(BT318="Above 2",0,IF(BT318="Between 1.5 to 2",5,IF(BT318="Less than 1.5",10,0)))</f>
        <v/>
      </c>
      <c r="BV318" s="31" t="inlineStr">
        <is>
          <t>Above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Less than 0.7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More than 15%</t>
        </is>
      </c>
      <c r="CC318" s="31">
        <f>IF(CB318="More than 15%",-10,IF(CB318="Less than 15%",10,0))</f>
        <v/>
      </c>
      <c r="CD318" s="31" t="inlineStr">
        <is>
          <t>Yes Upto 10%</t>
        </is>
      </c>
      <c r="CE318" s="31">
        <f>IF(CD318="Yes, more than 10%",-10,IF(CD318="No",10,0))</f>
        <v/>
      </c>
    </row>
    <row r="319">
      <c r="A319" s="31">
        <f>IF(B319=0,"",RANK(B319,$B$2:$B$389,0))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GAEL</t>
        </is>
      </c>
      <c r="D319" s="31" t="inlineStr">
        <is>
          <t>Gujarat Ambuja Exports Limited</t>
        </is>
      </c>
      <c r="E319" s="31" t="inlineStr">
        <is>
          <t>fmcg</t>
        </is>
      </c>
      <c r="F319" s="31" t="inlineStr">
        <is>
          <t>miscellaneous</t>
        </is>
      </c>
      <c r="G319" s="31" t="inlineStr">
        <is>
          <t>midcap</t>
        </is>
      </c>
      <c r="H319" s="32" t="n">
        <v>8139.57</v>
      </c>
      <c r="I319" s="32" t="n">
        <v>180.5</v>
      </c>
      <c r="J319" s="32" t="n">
        <v>1.71</v>
      </c>
      <c r="K319" s="32" t="n">
        <v>2502491</v>
      </c>
      <c r="L319" s="31" t="inlineStr"/>
      <c r="M319" s="31" t="inlineStr"/>
      <c r="N319" s="32">
        <f>IF(M319="Underperforming",-5,IF(L319&gt;=95,15,IF(L319&gt;=90,10,IF(L319&gt;=80,5,0))))</f>
        <v/>
      </c>
      <c r="O319" s="32" t="n">
        <v>65.40000000000001</v>
      </c>
      <c r="P319" s="32" t="n">
        <v>34.69</v>
      </c>
      <c r="Q319" s="32" t="inlineStr"/>
      <c r="R319" s="31" t="inlineStr">
        <is>
          <t>Earnings / Momentum Support</t>
        </is>
      </c>
      <c r="S319" s="31" t="inlineStr">
        <is>
          <t>Nifty FMCG</t>
        </is>
      </c>
      <c r="T319" s="32" t="inlineStr"/>
      <c r="U319" s="32" t="inlineStr"/>
      <c r="V319" s="32" t="inlineStr"/>
      <c r="W319" s="32" t="inlineStr"/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Oligopoly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Tailwind</t>
        </is>
      </c>
      <c r="AE319" s="31">
        <f>IF(AD319="Tailwind",10,0)</f>
        <v/>
      </c>
      <c r="AF319" s="31" t="inlineStr">
        <is>
          <t>Shallow Cyclical (2 to 3 Years Growth)</t>
        </is>
      </c>
      <c r="AG319" s="31">
        <f>IF(AF319="Structural (10 Years Consistency)",10,IF(AF319="Shallow Cyclical (2 to 3 years growth)",5,0))</f>
        <v/>
      </c>
      <c r="AH319" s="31" t="inlineStr">
        <is>
          <t>Yes due to Product Mix change or Operating Leverage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Volatile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Yes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Allocated capital in Non-core Areas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Above 40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3</t>
        </is>
      </c>
      <c r="BC319" s="31">
        <f>IF(BB319="Stage 2",20,IF(BB319="Stage 1",0,IF(BB319="Stage 3",5,IF(BB319="Stage 4",-5,0))))</f>
        <v/>
      </c>
      <c r="BD319" s="31" t="inlineStr">
        <is>
          <t>Negative Trend</t>
        </is>
      </c>
      <c r="BE319" s="31">
        <f>IF(BD319="Positive Trend",20,IF(BD319="Negative Trend",-10,0))</f>
        <v/>
      </c>
      <c r="BF319" s="31" t="inlineStr">
        <is>
          <t>Sideways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Overhead supply in last 2 years in last 2 years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More than 20%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Less than 1.5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Less than 0.7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More than 15%</t>
        </is>
      </c>
      <c r="CC319" s="31">
        <f>IF(CB319="More than 15%",-10,IF(CB319="Less than 15%",10,0))</f>
        <v/>
      </c>
      <c r="CD319" s="31" t="inlineStr">
        <is>
          <t>Yes Upto 10%</t>
        </is>
      </c>
      <c r="CE319" s="31">
        <f>IF(CD319="Yes, more than 10%",-10,IF(CD319="No",10,0))</f>
        <v/>
      </c>
    </row>
    <row r="320">
      <c r="A320" s="31">
        <f>IF(B320=0,"",RANK(B320,$B$2:$B$389,0))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1" t="inlineStr">
        <is>
          <t>DLF</t>
        </is>
      </c>
      <c r="D320" s="31" t="inlineStr">
        <is>
          <t>Dlf Limited</t>
        </is>
      </c>
      <c r="E320" s="31" t="inlineStr">
        <is>
          <t>realty</t>
        </is>
      </c>
      <c r="F320" s="31" t="inlineStr">
        <is>
          <t>construction</t>
        </is>
      </c>
      <c r="G320" s="31" t="inlineStr">
        <is>
          <t>largecap</t>
        </is>
      </c>
      <c r="H320" s="32" t="n">
        <v>167850.89</v>
      </c>
      <c r="I320" s="32" t="n">
        <v>689</v>
      </c>
      <c r="J320" s="32" t="n">
        <v>1.61</v>
      </c>
      <c r="K320" s="32" t="n">
        <v>5008291</v>
      </c>
      <c r="L320" s="31" t="inlineStr"/>
      <c r="M320" s="31" t="inlineStr"/>
      <c r="N320" s="32">
        <f>IF(M320="Underperforming",-5,IF(L320&gt;=95,15,IF(L320&gt;=90,10,IF(L320&gt;=80,5,0))))</f>
        <v/>
      </c>
      <c r="O320" s="32" t="n">
        <v>58.9</v>
      </c>
      <c r="P320" s="32" t="n">
        <v>12.91</v>
      </c>
      <c r="Q320" s="32" t="inlineStr"/>
      <c r="R320" s="31" t="inlineStr">
        <is>
          <t>Earnings / Momentum Support</t>
        </is>
      </c>
      <c r="S320" s="31" t="inlineStr">
        <is>
          <t>Nifty Realty</t>
        </is>
      </c>
      <c r="T320" s="32" t="inlineStr"/>
      <c r="U320" s="32" t="inlineStr"/>
      <c r="V320" s="32" t="inlineStr"/>
      <c r="W320" s="32" t="inlineStr"/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Headwind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No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3</t>
        </is>
      </c>
      <c r="BC320" s="31">
        <f>IF(BB320="Stage 2",20,IF(BB320="Stage 1",0,IF(BB320="Stage 3",5,IF(BB320="Stage 4",-5,0))))</f>
        <v/>
      </c>
      <c r="BD320" s="31" t="inlineStr">
        <is>
          <t>Negative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Less than 12%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Above 2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IF(B321=0,"",RANK(B321,$B$2:$B$389,0))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GRAPHITE</t>
        </is>
      </c>
      <c r="D321" s="31" t="inlineStr">
        <is>
          <t>Graphite India Limited</t>
        </is>
      </c>
      <c r="E321" s="31" t="inlineStr">
        <is>
          <t>industrials</t>
        </is>
      </c>
      <c r="F321" s="31" t="inlineStr">
        <is>
          <t>electrodes - graphites</t>
        </is>
      </c>
      <c r="G321" s="31" t="inlineStr">
        <is>
          <t>midcap</t>
        </is>
      </c>
      <c r="H321" s="32" t="n">
        <v>13886.32</v>
      </c>
      <c r="I321" s="32" t="n">
        <v>718.75</v>
      </c>
      <c r="J321" s="32" t="n">
        <v>1.13</v>
      </c>
      <c r="K321" s="32" t="n">
        <v>663514</v>
      </c>
      <c r="L321" s="31" t="n">
        <v>27</v>
      </c>
      <c r="M321" s="31" t="inlineStr">
        <is>
          <t>Outperforming</t>
        </is>
      </c>
      <c r="N321" s="32">
        <f>IF(M321="Underperforming",-5,IF(L321&gt;=95,15,IF(L321&gt;=90,10,IF(L321&gt;=80,5,0))))</f>
        <v/>
      </c>
      <c r="O321" s="32" t="n">
        <v>57.62</v>
      </c>
      <c r="P321" s="32" t="n">
        <v>14.47</v>
      </c>
      <c r="Q321" s="32" t="inlineStr"/>
      <c r="R321" s="31" t="inlineStr">
        <is>
          <t>Earnings / Momentum Support</t>
        </is>
      </c>
      <c r="S321" s="31" t="inlineStr">
        <is>
          <t>Nifty 50</t>
        </is>
      </c>
      <c r="T321" s="32" t="n">
        <v>-2.49</v>
      </c>
      <c r="U321" s="32" t="n">
        <v>33.77</v>
      </c>
      <c r="V321" s="32" t="n">
        <v>37.18</v>
      </c>
      <c r="W321" s="32" t="n">
        <v>5.81</v>
      </c>
      <c r="X321" s="31" t="inlineStr">
        <is>
          <t>Cyclical in an Upturn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Headwind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No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3</t>
        </is>
      </c>
      <c r="BC321" s="31">
        <f>IF(BB321="Stage 2",20,IF(BB321="Stage 1",0,IF(BB321="Stage 3",5,IF(BB321="Stage 4",-5,0))))</f>
        <v/>
      </c>
      <c r="BD321" s="31" t="inlineStr">
        <is>
          <t>Negative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More than 20%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Yes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IF(B322=0,"",RANK(B322,$B$2:$B$389,0))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UFLEX</t>
        </is>
      </c>
      <c r="D322" s="31" t="inlineStr">
        <is>
          <t>Uflex Limited</t>
        </is>
      </c>
      <c r="E322" s="31" t="inlineStr">
        <is>
          <t>industrials</t>
        </is>
      </c>
      <c r="F322" s="31" t="inlineStr">
        <is>
          <t>packaging</t>
        </is>
      </c>
      <c r="G322" s="31" t="inlineStr">
        <is>
          <t>smallcap</t>
        </is>
      </c>
      <c r="H322" s="32" t="n">
        <v>4438.12</v>
      </c>
      <c r="I322" s="32" t="n">
        <v>619.2</v>
      </c>
      <c r="J322" s="32" t="n">
        <v>0.75</v>
      </c>
      <c r="K322" s="32" t="n">
        <v>245729</v>
      </c>
      <c r="L322" s="31" t="inlineStr"/>
      <c r="M322" s="31" t="inlineStr"/>
      <c r="N322" s="32">
        <f>IF(M322="Underperforming",-5,IF(L322&gt;=95,15,IF(L322&gt;=90,10,IF(L322&gt;=80,5,0))))</f>
        <v/>
      </c>
      <c r="O322" s="32" t="n">
        <v>75.36</v>
      </c>
      <c r="P322" s="32" t="n">
        <v>22.21</v>
      </c>
      <c r="Q322" s="32" t="inlineStr"/>
      <c r="R322" s="31" t="inlineStr">
        <is>
          <t>Earnings / Momentum Support</t>
        </is>
      </c>
      <c r="S322" s="31" t="inlineStr">
        <is>
          <t>Nifty Infra</t>
        </is>
      </c>
      <c r="T322" s="32" t="inlineStr"/>
      <c r="U322" s="32" t="inlineStr"/>
      <c r="V322" s="32" t="inlineStr"/>
      <c r="W322" s="32" t="inlineStr"/>
      <c r="X322" s="31" t="inlineStr">
        <is>
          <t>Cyclical in an Upturn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Headwind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No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20 to 40</t>
        </is>
      </c>
      <c r="AY322" s="31">
        <f>IF(AX322="Above 40",20,IF(AX322="20 to 40",10,IF(AX322="0 to 20",-5,0)))</f>
        <v/>
      </c>
      <c r="AZ322" s="31" t="inlineStr">
        <is>
          <t>Above 75</t>
        </is>
      </c>
      <c r="BA322" s="31">
        <f>IF(AZ322="Between 50 to 75",10,IF(AZ322="Above 75",0,0))</f>
        <v/>
      </c>
      <c r="BB322" s="31" t="inlineStr">
        <is>
          <t>Stage 3</t>
        </is>
      </c>
      <c r="BC322" s="31">
        <f>IF(BB322="Stage 2",20,IF(BB322="Stage 1",0,IF(BB322="Stage 3",5,IF(BB322="Stage 4",-5,0))))</f>
        <v/>
      </c>
      <c r="BD322" s="31" t="inlineStr">
        <is>
          <t>Negative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No</t>
        </is>
      </c>
      <c r="BS322" s="31">
        <f>IF(BR322="NO",5,0)</f>
        <v/>
      </c>
      <c r="BT322" s="31" t="inlineStr">
        <is>
          <t>Less than 1.5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More than 1.2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IF(B323=0,"",RANK(B323,$B$2:$B$389,0))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3" t="inlineStr">
        <is>
          <t>BDL</t>
        </is>
      </c>
      <c r="D323" s="33" t="inlineStr">
        <is>
          <t>Bharat Dynamics Ltd</t>
        </is>
      </c>
      <c r="E323" s="31" t="inlineStr">
        <is>
          <t>aerospace &amp; defence</t>
        </is>
      </c>
      <c r="F323" s="31" t="inlineStr">
        <is>
          <t>engineering</t>
        </is>
      </c>
      <c r="G323" s="31" t="inlineStr">
        <is>
          <t>largecap</t>
        </is>
      </c>
      <c r="H323" s="32" t="n">
        <v>49815.84</v>
      </c>
      <c r="I323" s="32" t="n">
        <v>1368</v>
      </c>
      <c r="J323" s="32" t="n">
        <v>0.66</v>
      </c>
      <c r="K323" s="32" t="n">
        <v>920568</v>
      </c>
      <c r="L323" s="31" t="n">
        <v>4</v>
      </c>
      <c r="M323" s="31" t="inlineStr">
        <is>
          <t>Underperforming</t>
        </is>
      </c>
      <c r="N323" s="32">
        <f>IF(M323="Underperforming",-5,IF(L323&gt;=95,15,IF(L323&gt;=90,10,IF(L323&gt;=80,5,0))))</f>
        <v/>
      </c>
      <c r="O323" s="32" t="n">
        <v>51.87</v>
      </c>
      <c r="P323" s="32" t="n">
        <v>10.51</v>
      </c>
      <c r="Q323" s="32" t="inlineStr"/>
      <c r="R323" s="31" t="inlineStr">
        <is>
          <t>Earnings / Momentum Support</t>
        </is>
      </c>
      <c r="S323" s="31" t="inlineStr">
        <is>
          <t>Nifty 50</t>
        </is>
      </c>
      <c r="T323" s="32" t="n">
        <v>-2.49</v>
      </c>
      <c r="U323" s="32" t="n">
        <v>-10.1</v>
      </c>
      <c r="V323" s="32" t="n">
        <v>-7.8</v>
      </c>
      <c r="W323" s="32" t="n">
        <v>-1.22</v>
      </c>
      <c r="X323" s="31" t="inlineStr">
        <is>
          <t>Growing Industry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Headwind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0 to 20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3</t>
        </is>
      </c>
      <c r="BC323" s="31">
        <f>IF(BB323="Stage 2",20,IF(BB323="Stage 1",0,IF(BB323="Stage 3",5,IF(BB323="Stage 4",-5,0))))</f>
        <v/>
      </c>
      <c r="BD323" s="31" t="inlineStr">
        <is>
          <t>Negative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Yes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IF(B324=0,"",RANK(B324,$B$2:$B$389,0))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FLUOROCHEM</t>
        </is>
      </c>
      <c r="D324" s="31" t="inlineStr">
        <is>
          <t>Gujarat Fluorochemicals Ltd</t>
        </is>
      </c>
      <c r="E324" s="31" t="inlineStr">
        <is>
          <t>chemicals</t>
        </is>
      </c>
      <c r="F324" s="31" t="inlineStr">
        <is>
          <t>chemicals</t>
        </is>
      </c>
      <c r="G324" s="31" t="inlineStr">
        <is>
          <t>largecap</t>
        </is>
      </c>
      <c r="H324" s="32" t="n">
        <v>50771.57</v>
      </c>
      <c r="I324" s="32" t="n">
        <v>4635</v>
      </c>
      <c r="J324" s="32" t="n">
        <v>0.28</v>
      </c>
      <c r="K324" s="32" t="n">
        <v>144575</v>
      </c>
      <c r="L324" s="31" t="n">
        <v>46</v>
      </c>
      <c r="M324" s="31" t="inlineStr">
        <is>
          <t>Outperforming</t>
        </is>
      </c>
      <c r="N324" s="32">
        <f>IF(M324="Underperforming",-5,IF(L324&gt;=95,15,IF(L324&gt;=90,10,IF(L324&gt;=80,5,0))))</f>
        <v/>
      </c>
      <c r="O324" s="32" t="n">
        <v>68.3</v>
      </c>
      <c r="P324" s="32" t="n">
        <v>35.93</v>
      </c>
      <c r="Q324" s="32" t="inlineStr"/>
      <c r="R324" s="31" t="inlineStr">
        <is>
          <t>Earnings / Momentum Support</t>
        </is>
      </c>
      <c r="S324" s="31" t="inlineStr">
        <is>
          <t>Nifty 50</t>
        </is>
      </c>
      <c r="T324" s="32" t="n">
        <v>-2.49</v>
      </c>
      <c r="U324" s="32" t="n">
        <v>35.08</v>
      </c>
      <c r="V324" s="32" t="n">
        <v>38.53</v>
      </c>
      <c r="W324" s="32" t="n">
        <v>10.63</v>
      </c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Oligopoly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Shallow Cyclical (2 to 3 Years Growth)</t>
        </is>
      </c>
      <c r="AG324" s="31">
        <f>IF(AF324="Structural (10 Years Consistency)",10,IF(AF324="Shallow Cyclical (2 to 3 years growth)",5,0))</f>
        <v/>
      </c>
      <c r="AH324" s="31" t="inlineStr">
        <is>
          <t>Yes due to Product Mix change or Operating Leverage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Volatile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Yes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Allocated capital in Non-core Areas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Above 40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3</t>
        </is>
      </c>
      <c r="BC324" s="31">
        <f>IF(BB324="Stage 2",20,IF(BB324="Stage 1",0,IF(BB324="Stage 3",5,IF(BB324="Stage 4",-5,0))))</f>
        <v/>
      </c>
      <c r="BD324" s="31" t="inlineStr">
        <is>
          <t>Negative Trend</t>
        </is>
      </c>
      <c r="BE324" s="31">
        <f>IF(BD324="Positive Trend",20,IF(BD324="Negative Trend",-10,0))</f>
        <v/>
      </c>
      <c r="BF324" s="31" t="inlineStr">
        <is>
          <t>Sideways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Overhead supply in last 2 years in last 2 years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More than 20%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No</t>
        </is>
      </c>
      <c r="BS324" s="31">
        <f>IF(BR324="NO",5,0)</f>
        <v/>
      </c>
      <c r="BT324" s="31" t="inlineStr">
        <is>
          <t>Less than 1.5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More than 15%</t>
        </is>
      </c>
      <c r="CC324" s="31">
        <f>IF(CB324="More than 15%",-10,IF(CB324="Less than 15%",10,0))</f>
        <v/>
      </c>
      <c r="CD324" s="31" t="inlineStr">
        <is>
          <t>Yes Upto 10%</t>
        </is>
      </c>
      <c r="CE324" s="31">
        <f>IF(CD324="Yes, more than 10%",-10,IF(CD324="No",10,0))</f>
        <v/>
      </c>
    </row>
    <row r="325">
      <c r="A325" s="31">
        <f>IF(B325=0,"",RANK(B325,$B$2:$B$389,0))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1" t="inlineStr">
        <is>
          <t>M&amp;M</t>
        </is>
      </c>
      <c r="D325" s="31" t="inlineStr">
        <is>
          <t>Mahindra &amp; Mahindra Limited</t>
        </is>
      </c>
      <c r="E325" s="31" t="inlineStr">
        <is>
          <t>auto</t>
        </is>
      </c>
      <c r="F325" s="31" t="inlineStr">
        <is>
          <t>automobiles - passenger cars</t>
        </is>
      </c>
      <c r="G325" s="31" t="inlineStr">
        <is>
          <t>largecap</t>
        </is>
      </c>
      <c r="H325" s="32" t="n">
        <v>424316.91</v>
      </c>
      <c r="I325" s="32" t="n">
        <v>3414.1</v>
      </c>
      <c r="J325" s="32" t="n">
        <v>0.06</v>
      </c>
      <c r="K325" s="32" t="n">
        <v>1127126</v>
      </c>
      <c r="L325" s="31" t="inlineStr"/>
      <c r="M325" s="31" t="inlineStr"/>
      <c r="N325" s="32">
        <f>IF(M325="Underperforming",-5,IF(L325&gt;=95,15,IF(L325&gt;=90,10,IF(L325&gt;=80,5,0))))</f>
        <v/>
      </c>
      <c r="O325" s="32" t="n">
        <v>57.89</v>
      </c>
      <c r="P325" s="32" t="n">
        <v>16.04</v>
      </c>
      <c r="Q325" s="32" t="inlineStr"/>
      <c r="R325" s="31" t="inlineStr">
        <is>
          <t>Earnings / Momentum Support</t>
        </is>
      </c>
      <c r="S325" s="31" t="inlineStr">
        <is>
          <t>Nifty Auto</t>
        </is>
      </c>
      <c r="T325" s="32" t="inlineStr"/>
      <c r="U325" s="32" t="inlineStr"/>
      <c r="V325" s="32" t="inlineStr"/>
      <c r="W325" s="32" t="inlineStr"/>
      <c r="X325" s="31" t="inlineStr">
        <is>
          <t>Growing Industry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Headwind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No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0 to 20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3</t>
        </is>
      </c>
      <c r="BC325" s="31">
        <f>IF(BB325="Stage 2",20,IF(BB325="Stage 1",0,IF(BB325="Stage 3",5,IF(BB325="Stage 4",-5,0))))</f>
        <v/>
      </c>
      <c r="BD325" s="31" t="inlineStr">
        <is>
          <t>Negative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More than 20%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No</t>
        </is>
      </c>
      <c r="BS325" s="31">
        <f>IF(BR325="NO",5,0)</f>
        <v/>
      </c>
      <c r="BT325" s="31" t="inlineStr">
        <is>
          <t>Less than 1.5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More than 1.2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IF(B326=0,"",RANK(B326,$B$2:$B$389,0))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1" t="inlineStr">
        <is>
          <t>GPPL</t>
        </is>
      </c>
      <c r="D326" s="31" t="inlineStr">
        <is>
          <t>Gujarat Pipavav Port Limited</t>
        </is>
      </c>
      <c r="E326" s="31" t="inlineStr">
        <is>
          <t>transportation</t>
        </is>
      </c>
      <c r="F326" s="31" t="inlineStr">
        <is>
          <t>miscellaneous</t>
        </is>
      </c>
      <c r="G326" s="31" t="inlineStr">
        <is>
          <t>midcap</t>
        </is>
      </c>
      <c r="H326" s="32" t="n">
        <v>7906.18</v>
      </c>
      <c r="I326" s="32" t="n">
        <v>163.43</v>
      </c>
      <c r="J326" s="32" t="n">
        <v>-0.07000000000000001</v>
      </c>
      <c r="K326" s="32" t="n">
        <v>2328365</v>
      </c>
      <c r="L326" s="31" t="n">
        <v>19</v>
      </c>
      <c r="M326" s="31" t="inlineStr">
        <is>
          <t>Outperforming</t>
        </is>
      </c>
      <c r="N326" s="32">
        <f>IF(M326="Underperforming",-5,IF(L326&gt;=95,15,IF(L326&gt;=90,10,IF(L326&gt;=80,5,0))))</f>
        <v/>
      </c>
      <c r="O326" s="32" t="n">
        <v>57.37</v>
      </c>
      <c r="P326" s="32" t="n">
        <v>7.09</v>
      </c>
      <c r="Q326" s="32" t="inlineStr"/>
      <c r="R326" s="31" t="inlineStr">
        <is>
          <t>Earnings / Momentum Support</t>
        </is>
      </c>
      <c r="S326" s="31" t="inlineStr">
        <is>
          <t>Nifty 50</t>
        </is>
      </c>
      <c r="T326" s="32" t="n">
        <v>-2.49</v>
      </c>
      <c r="U326" s="32" t="n">
        <v>11.02</v>
      </c>
      <c r="V326" s="32" t="n">
        <v>13.85</v>
      </c>
      <c r="W326" s="32" t="n">
        <v>4.2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Oligopoly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Shallow Cyclical (2 to 3 Years Growth)</t>
        </is>
      </c>
      <c r="AG326" s="31">
        <f>IF(AF326="Structural (10 Years Consistency)",10,IF(AF326="Shallow Cyclical (2 to 3 years growth)",5,0))</f>
        <v/>
      </c>
      <c r="AH326" s="31" t="inlineStr">
        <is>
          <t>Yes due to Product Mix change or Operating Leverage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Volatile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Yes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Allocated capital in Non-core Areas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Above 40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3</t>
        </is>
      </c>
      <c r="BC326" s="31">
        <f>IF(BB326="Stage 2",20,IF(BB326="Stage 1",0,IF(BB326="Stage 3",5,IF(BB326="Stage 4",-5,0))))</f>
        <v/>
      </c>
      <c r="BD326" s="31" t="inlineStr">
        <is>
          <t>Negative Trend</t>
        </is>
      </c>
      <c r="BE326" s="31">
        <f>IF(BD326="Positive Trend",20,IF(BD326="Negative Trend",-10,0))</f>
        <v/>
      </c>
      <c r="BF326" s="31" t="inlineStr">
        <is>
          <t>Sideways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Overhead supply in last 2 years in last 2 years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More than 20%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No</t>
        </is>
      </c>
      <c r="BS326" s="31">
        <f>IF(BR326="NO",5,0)</f>
        <v/>
      </c>
      <c r="BT326" s="31" t="inlineStr">
        <is>
          <t>Less than 1.5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Less than 0.7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More than 15%</t>
        </is>
      </c>
      <c r="CC326" s="31">
        <f>IF(CB326="More than 15%",-10,IF(CB326="Less than 15%",10,0))</f>
        <v/>
      </c>
      <c r="CD326" s="31" t="inlineStr">
        <is>
          <t>Yes Upto 10%</t>
        </is>
      </c>
      <c r="CE326" s="31">
        <f>IF(CD326="Yes, more than 10%",-10,IF(CD326="No",10,0))</f>
        <v/>
      </c>
    </row>
    <row r="327">
      <c r="A327" s="31">
        <f>IF(B327=0,"",RANK(B327,$B$2:$B$389,0))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1" t="inlineStr">
        <is>
          <t>MAMATA</t>
        </is>
      </c>
      <c r="D327" s="31" t="inlineStr">
        <is>
          <t>Mamata Machinery Ltd</t>
        </is>
      </c>
      <c r="E327" s="31" t="inlineStr">
        <is>
          <t>industrials</t>
        </is>
      </c>
      <c r="F327" s="31" t="inlineStr">
        <is>
          <t>engineering</t>
        </is>
      </c>
      <c r="G327" s="31" t="inlineStr">
        <is>
          <t>smallcap</t>
        </is>
      </c>
      <c r="H327" s="32" t="n">
        <v>1034.39</v>
      </c>
      <c r="I327" s="32" t="n">
        <v>419.5</v>
      </c>
      <c r="J327" s="32" t="n">
        <v>-0.2</v>
      </c>
      <c r="K327" s="32" t="n">
        <v>54591</v>
      </c>
      <c r="L327" s="31" t="n">
        <v>10</v>
      </c>
      <c r="M327" s="31" t="inlineStr">
        <is>
          <t>Outperforming</t>
        </is>
      </c>
      <c r="N327" s="32">
        <f>IF(M327="Underperforming",-5,IF(L327&gt;=95,15,IF(L327&gt;=90,10,IF(L327&gt;=80,5,0))))</f>
        <v/>
      </c>
      <c r="O327" s="32" t="n">
        <v>54.03</v>
      </c>
      <c r="P327" s="32" t="n">
        <v>7.34</v>
      </c>
      <c r="Q327" s="32" t="inlineStr"/>
      <c r="R327" s="31" t="inlineStr">
        <is>
          <t>Earnings / Momentum Support</t>
        </is>
      </c>
      <c r="S327" s="31" t="inlineStr">
        <is>
          <t>Nifty 50</t>
        </is>
      </c>
      <c r="T327" s="32" t="n">
        <v>-2.49</v>
      </c>
      <c r="U327" s="32" t="n">
        <v>1.71</v>
      </c>
      <c r="V327" s="32" t="n">
        <v>4.31</v>
      </c>
      <c r="W327" s="32" t="n">
        <v>1.05</v>
      </c>
      <c r="X327" s="31" t="inlineStr">
        <is>
          <t>Cyclical in an Upturn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Headwind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0 to 20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3</t>
        </is>
      </c>
      <c r="BC327" s="31">
        <f>IF(BB327="Stage 2",20,IF(BB327="Stage 1",0,IF(BB327="Stage 3",5,IF(BB327="Stage 4",-5,0))))</f>
        <v/>
      </c>
      <c r="BD327" s="31" t="inlineStr">
        <is>
          <t>Negative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More than 20%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Yes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IF(B328=0,"",RANK(B328,$B$2:$B$389,0))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1" t="inlineStr">
        <is>
          <t>MBAPL</t>
        </is>
      </c>
      <c r="D328" s="31" t="inlineStr">
        <is>
          <t>Madhya Bharat Agro Products Ltd</t>
        </is>
      </c>
      <c r="E328" s="31" t="inlineStr">
        <is>
          <t>chemicals</t>
        </is>
      </c>
      <c r="F328" s="31" t="inlineStr">
        <is>
          <t>fertilizers</t>
        </is>
      </c>
      <c r="G328" s="31" t="inlineStr">
        <is>
          <t>smallcap</t>
        </is>
      </c>
      <c r="H328" s="32" t="n">
        <v>1485.45</v>
      </c>
      <c r="I328" s="32" t="n">
        <v>168.91</v>
      </c>
      <c r="J328" s="32" t="n">
        <v>-0.36</v>
      </c>
      <c r="K328" s="32" t="n">
        <v>1591886</v>
      </c>
      <c r="L328" s="31" t="n">
        <v>87</v>
      </c>
      <c r="M328" s="31" t="inlineStr">
        <is>
          <t>Outperforming</t>
        </is>
      </c>
      <c r="N328" s="32">
        <f>IF(M328="Underperforming",-5,IF(L328&gt;=95,15,IF(L328&gt;=90,10,IF(L328&gt;=80,5,0))))</f>
        <v/>
      </c>
      <c r="O328" s="32" t="n">
        <v>86.67</v>
      </c>
      <c r="P328" s="32" t="n">
        <v>70.16</v>
      </c>
      <c r="Q328" s="32" t="inlineStr"/>
      <c r="R328" s="31" t="inlineStr">
        <is>
          <t>Earnings / Momentum Support</t>
        </is>
      </c>
      <c r="S328" s="31" t="inlineStr">
        <is>
          <t>Nifty 50</t>
        </is>
      </c>
      <c r="T328" s="32" t="n">
        <v>-2.49</v>
      </c>
      <c r="U328" s="32" t="n">
        <v>91.08</v>
      </c>
      <c r="V328" s="32" t="n">
        <v>95.95</v>
      </c>
      <c r="W328" s="32" t="n">
        <v>28.01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Headwind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Above 40</t>
        </is>
      </c>
      <c r="AY328" s="31">
        <f>IF(AX328="Above 40",20,IF(AX328="20 to 40",10,IF(AX328="0 to 20",-5,0)))</f>
        <v/>
      </c>
      <c r="AZ328" s="31" t="inlineStr">
        <is>
          <t>Above 75</t>
        </is>
      </c>
      <c r="BA328" s="31">
        <f>IF(AZ328="Between 50 to 75",10,IF(AZ328="Above 75",0,0))</f>
        <v/>
      </c>
      <c r="BB328" s="31" t="inlineStr">
        <is>
          <t>Stage 3</t>
        </is>
      </c>
      <c r="BC328" s="31">
        <f>IF(BB328="Stage 2",20,IF(BB328="Stage 1",0,IF(BB328="Stage 3",5,IF(BB328="Stage 4",-5,0))))</f>
        <v/>
      </c>
      <c r="BD328" s="31" t="inlineStr">
        <is>
          <t>Negative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Between 12 to 20%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Yes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More than 1.2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IF(B329=0,"",RANK(B329,$B$2:$B$389,0))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1" t="inlineStr">
        <is>
          <t>HEROMOTOCO</t>
        </is>
      </c>
      <c r="D329" s="31" t="inlineStr">
        <is>
          <t>Hero Motocorp Limited</t>
        </is>
      </c>
      <c r="E329" s="31" t="inlineStr">
        <is>
          <t>auto</t>
        </is>
      </c>
      <c r="F329" s="31" t="inlineStr">
        <is>
          <t>automobiles - motorcycles / mopeds</t>
        </is>
      </c>
      <c r="G329" s="31" t="inlineStr">
        <is>
          <t>largecap</t>
        </is>
      </c>
      <c r="H329" s="32" t="n">
        <v>114753.3</v>
      </c>
      <c r="I329" s="32" t="n">
        <v>5685</v>
      </c>
      <c r="J329" s="32" t="n">
        <v>-0.87</v>
      </c>
      <c r="K329" s="32" t="n">
        <v>269801</v>
      </c>
      <c r="L329" s="31" t="inlineStr"/>
      <c r="M329" s="31" t="inlineStr"/>
      <c r="N329" s="32">
        <f>IF(M329="Underperforming",-5,IF(L329&gt;=95,15,IF(L329&gt;=90,10,IF(L329&gt;=80,5,0))))</f>
        <v/>
      </c>
      <c r="O329" s="32" t="n">
        <v>63.77</v>
      </c>
      <c r="P329" s="32" t="n">
        <v>16.31</v>
      </c>
      <c r="Q329" s="32" t="inlineStr"/>
      <c r="R329" s="31" t="inlineStr">
        <is>
          <t>Earnings / Momentum Support</t>
        </is>
      </c>
      <c r="S329" s="31" t="inlineStr">
        <is>
          <t>Nifty Auto</t>
        </is>
      </c>
      <c r="T329" s="32" t="inlineStr"/>
      <c r="U329" s="32" t="inlineStr"/>
      <c r="V329" s="32" t="inlineStr"/>
      <c r="W329" s="32" t="inlineStr"/>
      <c r="X329" s="31" t="inlineStr">
        <is>
          <t>Growing Industry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Headwind</t>
        </is>
      </c>
      <c r="AE329" s="31">
        <f>IF(AD329="Tailwind",10,0)</f>
        <v/>
      </c>
      <c r="AF329" s="31" t="inlineStr">
        <is>
          <t>Structural (10 Years Consistency)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Stable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0 to 20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3</t>
        </is>
      </c>
      <c r="BC329" s="31">
        <f>IF(BB329="Stage 2",20,IF(BB329="Stage 1",0,IF(BB329="Stage 3",5,IF(BB329="Stage 4",-5,0))))</f>
        <v/>
      </c>
      <c r="BD329" s="31" t="inlineStr">
        <is>
          <t>Negative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Less than 12%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No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IF(B330=0,"",RANK(B330,$B$2:$B$389,0))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3" t="inlineStr">
        <is>
          <t>BEML</t>
        </is>
      </c>
      <c r="D330" s="33" t="inlineStr">
        <is>
          <t>Beml Limited</t>
        </is>
      </c>
      <c r="E330" s="31" t="inlineStr">
        <is>
          <t>aerospace &amp; defence</t>
        </is>
      </c>
      <c r="F330" s="31" t="inlineStr">
        <is>
          <t>engineering</t>
        </is>
      </c>
      <c r="G330" s="31" t="inlineStr">
        <is>
          <t>midcap</t>
        </is>
      </c>
      <c r="H330" s="32" t="n">
        <v>16119.75</v>
      </c>
      <c r="I330" s="32" t="n">
        <v>1915</v>
      </c>
      <c r="J330" s="32" t="n">
        <v>-1.05</v>
      </c>
      <c r="K330" s="32" t="n">
        <v>239098</v>
      </c>
      <c r="L330" s="31" t="n">
        <v>9</v>
      </c>
      <c r="M330" s="31" t="inlineStr">
        <is>
          <t>Underperforming</t>
        </is>
      </c>
      <c r="N330" s="32">
        <f>IF(M330="Underperforming",-5,IF(L330&gt;=95,15,IF(L330&gt;=90,10,IF(L330&gt;=80,5,0))))</f>
        <v/>
      </c>
      <c r="O330" s="32" t="n">
        <v>59.02</v>
      </c>
      <c r="P330" s="32" t="n">
        <v>12.55</v>
      </c>
      <c r="Q330" s="32" t="inlineStr"/>
      <c r="R330" s="31" t="inlineStr">
        <is>
          <t>Earnings / Momentum Support</t>
        </is>
      </c>
      <c r="S330" s="31" t="inlineStr">
        <is>
          <t>Nifty 50</t>
        </is>
      </c>
      <c r="T330" s="32" t="n">
        <v>-2.49</v>
      </c>
      <c r="U330" s="32" t="n">
        <v>-3.75</v>
      </c>
      <c r="V330" s="32" t="n">
        <v>-1.3</v>
      </c>
      <c r="W330" s="32" t="n">
        <v>0.64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Headwind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0 to 20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3</t>
        </is>
      </c>
      <c r="BC330" s="31">
        <f>IF(BB330="Stage 2",20,IF(BB330="Stage 1",0,IF(BB330="Stage 3",5,IF(BB330="Stage 4",-5,0))))</f>
        <v/>
      </c>
      <c r="BD330" s="31" t="inlineStr">
        <is>
          <t>Negative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More than 20%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Yes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Less than 0.7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IF(B331=0,"",RANK(B331,$B$2:$B$389,0))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1" t="inlineStr">
        <is>
          <t>SIRCA</t>
        </is>
      </c>
      <c r="D331" s="31" t="inlineStr">
        <is>
          <t>Sirca Paints India Ltd</t>
        </is>
      </c>
      <c r="E331" s="31" t="inlineStr">
        <is>
          <t>building materials</t>
        </is>
      </c>
      <c r="F331" s="31" t="inlineStr">
        <is>
          <t>paints / varnishes</t>
        </is>
      </c>
      <c r="G331" s="31" t="inlineStr">
        <is>
          <t>smallcap</t>
        </is>
      </c>
      <c r="H331" s="32" t="n">
        <v>2562.49</v>
      </c>
      <c r="I331" s="32" t="n">
        <v>439.75</v>
      </c>
      <c r="J331" s="32" t="n">
        <v>-2.54</v>
      </c>
      <c r="K331" s="32" t="n">
        <v>1421291</v>
      </c>
      <c r="L331" s="31" t="inlineStr"/>
      <c r="M331" s="31" t="inlineStr"/>
      <c r="N331" s="32">
        <f>IF(M331="Underperforming",-5,IF(L331&gt;=95,15,IF(L331&gt;=90,10,IF(L331&gt;=80,5,0))))</f>
        <v/>
      </c>
      <c r="O331" s="32" t="n">
        <v>57.15</v>
      </c>
      <c r="P331" s="32" t="n">
        <v>17.91</v>
      </c>
      <c r="Q331" s="32" t="inlineStr"/>
      <c r="R331" s="31" t="inlineStr">
        <is>
          <t>Earnings / Momentum Support</t>
        </is>
      </c>
      <c r="S331" s="31" t="inlineStr">
        <is>
          <t>Nifty Infra</t>
        </is>
      </c>
      <c r="T331" s="32" t="inlineStr"/>
      <c r="U331" s="32" t="inlineStr"/>
      <c r="V331" s="32" t="inlineStr"/>
      <c r="W331" s="32" t="inlineStr"/>
      <c r="X331" s="31" t="inlineStr">
        <is>
          <t>Growing Industry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Headwind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3</t>
        </is>
      </c>
      <c r="BC331" s="31">
        <f>IF(BB331="Stage 2",20,IF(BB331="Stage 1",0,IF(BB331="Stage 3",5,IF(BB331="Stage 4",-5,0))))</f>
        <v/>
      </c>
      <c r="BD331" s="31" t="inlineStr">
        <is>
          <t>Negative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Less than 12%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No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IF(B332=0,"",RANK(B332,$B$2:$B$389,0))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TI</t>
        </is>
      </c>
      <c r="D332" s="31" t="inlineStr">
        <is>
          <t>Tilaknagar Industries Limited</t>
        </is>
      </c>
      <c r="E332" s="31" t="inlineStr">
        <is>
          <t>fmcg</t>
        </is>
      </c>
      <c r="F332" s="31" t="inlineStr">
        <is>
          <t>breweries &amp; distilleries</t>
        </is>
      </c>
      <c r="G332" s="31" t="inlineStr">
        <is>
          <t>midcap</t>
        </is>
      </c>
      <c r="H332" s="32" t="n">
        <v>14245.83</v>
      </c>
      <c r="I332" s="32" t="n">
        <v>578.6</v>
      </c>
      <c r="J332" s="32" t="n">
        <v>0.51</v>
      </c>
      <c r="K332" s="32" t="n">
        <v>935876</v>
      </c>
      <c r="L332" s="31" t="inlineStr"/>
      <c r="M332" s="31" t="inlineStr"/>
      <c r="N332" s="32">
        <f>IF(M332="Underperforming",-5,IF(L332&gt;=95,15,IF(L332&gt;=90,10,IF(L332&gt;=80,5,0))))</f>
        <v/>
      </c>
      <c r="O332" s="32" t="n">
        <v>73.55</v>
      </c>
      <c r="P332" s="32" t="n">
        <v>16.6</v>
      </c>
      <c r="Q332" s="32" t="inlineStr"/>
      <c r="R332" s="31" t="inlineStr">
        <is>
          <t>Earnings / Momentum Support</t>
        </is>
      </c>
      <c r="S332" s="31" t="inlineStr">
        <is>
          <t>Nifty FMCG</t>
        </is>
      </c>
      <c r="T332" s="32" t="inlineStr"/>
      <c r="U332" s="32" t="inlineStr"/>
      <c r="V332" s="32" t="inlineStr"/>
      <c r="W332" s="32" t="inlineStr"/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Headwind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B2C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Annuity, Lower One Time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0 to 20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3</t>
        </is>
      </c>
      <c r="BC332" s="31">
        <f>IF(BB332="Stage 2",20,IF(BB332="Stage 1",0,IF(BB332="Stage 3",5,IF(BB332="Stage 4",-5,0))))</f>
        <v/>
      </c>
      <c r="BD332" s="31" t="inlineStr">
        <is>
          <t>Negative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Less than 12%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No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Between 0.7 to 1.2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IF(B333=0,"",RANK(B333,$B$2:$B$389,0))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PERSISTENT</t>
        </is>
      </c>
      <c r="D333" s="31" t="inlineStr">
        <is>
          <t>Persistent Systems Limited</t>
        </is>
      </c>
      <c r="E333" s="31" t="inlineStr">
        <is>
          <t>i.t</t>
        </is>
      </c>
      <c r="F333" s="31" t="inlineStr">
        <is>
          <t>computers - software - large</t>
        </is>
      </c>
      <c r="G333" s="31" t="inlineStr">
        <is>
          <t>largecap</t>
        </is>
      </c>
      <c r="H333" s="32" t="n">
        <v>89404.81</v>
      </c>
      <c r="I333" s="32" t="n">
        <v>5694</v>
      </c>
      <c r="J333" s="32" t="n">
        <v>0.47</v>
      </c>
      <c r="K333" s="32" t="n">
        <v>362910</v>
      </c>
      <c r="L333" s="31" t="n">
        <v>23</v>
      </c>
      <c r="M333" s="31" t="inlineStr">
        <is>
          <t>Outperforming</t>
        </is>
      </c>
      <c r="N333" s="32">
        <f>IF(M333="Underperforming",-5,IF(L333&gt;=95,15,IF(L333&gt;=90,10,IF(L333&gt;=80,5,0))))</f>
        <v/>
      </c>
      <c r="O333" s="32" t="n">
        <v>59.31</v>
      </c>
      <c r="P333" s="32" t="n">
        <v>10.35</v>
      </c>
      <c r="Q333" s="32" t="inlineStr"/>
      <c r="R333" s="31" t="inlineStr">
        <is>
          <t>Earnings / Momentum Support</t>
        </is>
      </c>
      <c r="S333" s="31" t="inlineStr">
        <is>
          <t>Nifty IT</t>
        </is>
      </c>
      <c r="T333" s="32" t="n">
        <v>-13.85</v>
      </c>
      <c r="U333" s="32" t="n">
        <v>6.31</v>
      </c>
      <c r="V333" s="32" t="n">
        <v>23.4</v>
      </c>
      <c r="W333" s="32" t="n">
        <v>4.98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Headwind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Annuity, Lower One Time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3</t>
        </is>
      </c>
      <c r="BC333" s="31">
        <f>IF(BB333="Stage 2",20,IF(BB333="Stage 1",0,IF(BB333="Stage 3",5,IF(BB333="Stage 4",-5,0))))</f>
        <v/>
      </c>
      <c r="BD333" s="31" t="inlineStr">
        <is>
          <t>Negative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Between 12 to 20%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Yes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Between 50% to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IF(B334=0,"",RANK(B334,$B$2:$B$389,0))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1" t="inlineStr">
        <is>
          <t>POLICYBZR</t>
        </is>
      </c>
      <c r="D334" s="31" t="inlineStr">
        <is>
          <t>PB Fintech Ltd</t>
        </is>
      </c>
      <c r="E334" s="31" t="inlineStr">
        <is>
          <t>i.t</t>
        </is>
      </c>
      <c r="F334" s="31" t="inlineStr">
        <is>
          <t>miscellaneous</t>
        </is>
      </c>
      <c r="G334" s="31" t="inlineStr">
        <is>
          <t>largecap</t>
        </is>
      </c>
      <c r="H334" s="32" t="n">
        <v>83062.98</v>
      </c>
      <c r="I334" s="32" t="n">
        <v>1785</v>
      </c>
      <c r="J334" s="32" t="n">
        <v>-0.57</v>
      </c>
      <c r="K334" s="32" t="n">
        <v>763662</v>
      </c>
      <c r="L334" s="31" t="n">
        <v>5</v>
      </c>
      <c r="M334" s="31" t="inlineStr">
        <is>
          <t>Outperforming</t>
        </is>
      </c>
      <c r="N334" s="32">
        <f>IF(M334="Underperforming",-5,IF(L334&gt;=95,15,IF(L334&gt;=90,10,IF(L334&gt;=80,5,0))))</f>
        <v/>
      </c>
      <c r="O334" s="32" t="n">
        <v>61.41</v>
      </c>
      <c r="P334" s="32" t="n">
        <v>8.949999999999999</v>
      </c>
      <c r="Q334" s="32" t="inlineStr"/>
      <c r="R334" s="31" t="inlineStr">
        <is>
          <t>Earnings / Momentum Support</t>
        </is>
      </c>
      <c r="S334" s="31" t="inlineStr">
        <is>
          <t>Nifty IT</t>
        </is>
      </c>
      <c r="T334" s="32" t="n">
        <v>-13.85</v>
      </c>
      <c r="U334" s="32" t="n">
        <v>-6.07</v>
      </c>
      <c r="V334" s="32" t="n">
        <v>9.029999999999999</v>
      </c>
      <c r="W334" s="32" t="n">
        <v>-0.59</v>
      </c>
      <c r="X334" s="31" t="inlineStr">
        <is>
          <t>Growing Industry</t>
        </is>
      </c>
      <c r="Y334" s="31">
        <f>IF(X334="Growing Industry",10,IF(X334="Cyclical in an Upturn",5,0))</f>
        <v/>
      </c>
      <c r="Z334" s="31" t="inlineStr">
        <is>
          <t>Monopoly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Yes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Structural (10 Years Consistency)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Volatile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B2C</t>
        </is>
      </c>
      <c r="AO334" s="31">
        <f>IF(AN334="B2C",10,IF(AN334="B2B",5,0))</f>
        <v/>
      </c>
      <c r="AP334" s="31" t="inlineStr">
        <is>
          <t>Yes</t>
        </is>
      </c>
      <c r="AQ334" s="31">
        <f>IF(AP334="Yes",10,0)</f>
        <v/>
      </c>
      <c r="AR334" s="31" t="inlineStr">
        <is>
          <t>Fully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Allocated capital in Non-core Areas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20 to 40</t>
        </is>
      </c>
      <c r="AY334" s="31">
        <f>IF(AX334="Above 40",20,IF(AX334="20 to 40",10,IF(AX334="0 to 20",-5,0)))</f>
        <v/>
      </c>
      <c r="AZ334" s="31" t="inlineStr">
        <is>
          <t>Below 45</t>
        </is>
      </c>
      <c r="BA334" s="31">
        <f>IF(AZ334="Between 50 to 75",10,IF(AZ334="Above 75",0,0))</f>
        <v/>
      </c>
      <c r="BB334" s="31" t="inlineStr">
        <is>
          <t>Stage 1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Downtrend</t>
        </is>
      </c>
      <c r="BG334" s="31">
        <f>IF(BF334="Uptrend",10,IF(BF334="Sideways",5,0))</f>
        <v/>
      </c>
      <c r="BH334" s="31" t="inlineStr">
        <is>
          <t>Downtrend</t>
        </is>
      </c>
      <c r="BI334" s="31">
        <f>IF(BH334="Uptrend",10,IF(BH334="Sideways",5,0))</f>
        <v/>
      </c>
      <c r="BJ334" s="31" t="inlineStr">
        <is>
          <t>Overhead supply in last 2 years in last 2 years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Less than 12%</t>
        </is>
      </c>
      <c r="BO334" s="31">
        <f>IF(BN334="More than 20%",10,IF(BN334="Between 12 to 20%",5,IF(BN334="Less than 12%",0,0)))</f>
        <v/>
      </c>
      <c r="BP334" s="31" t="inlineStr">
        <is>
          <t>Yes</t>
        </is>
      </c>
      <c r="BQ334" s="31">
        <f>IF(BP334="No",10,0)</f>
        <v/>
      </c>
      <c r="BR334" s="31" t="inlineStr">
        <is>
          <t>Yes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Above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IF(B335=0,"",RANK(B335,$B$2:$B$389,0))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1" t="inlineStr">
        <is>
          <t>DHAMPURSUG</t>
        </is>
      </c>
      <c r="D335" s="31" t="inlineStr">
        <is>
          <t>Dhampur Sugar Mills Limited</t>
        </is>
      </c>
      <c r="E335" s="31" t="inlineStr">
        <is>
          <t>fmcg</t>
        </is>
      </c>
      <c r="F335" s="31" t="inlineStr">
        <is>
          <t>sugar</t>
        </is>
      </c>
      <c r="G335" s="31" t="inlineStr">
        <is>
          <t>smallcap</t>
        </is>
      </c>
      <c r="H335" s="32" t="n">
        <v>1191.15</v>
      </c>
      <c r="I335" s="32" t="n">
        <v>180.79</v>
      </c>
      <c r="J335" s="32" t="n">
        <v>-2.4</v>
      </c>
      <c r="K335" s="32" t="n">
        <v>9757317</v>
      </c>
      <c r="L335" s="31" t="inlineStr"/>
      <c r="M335" s="31" t="inlineStr"/>
      <c r="N335" s="32">
        <f>IF(M335="Underperforming",-5,IF(L335&gt;=95,15,IF(L335&gt;=90,10,IF(L335&gt;=80,5,0))))</f>
        <v/>
      </c>
      <c r="O335" s="32" t="n">
        <v>75.86</v>
      </c>
      <c r="P335" s="32" t="n">
        <v>18.22</v>
      </c>
      <c r="Q335" s="32" t="inlineStr"/>
      <c r="R335" s="31" t="inlineStr">
        <is>
          <t>Volume Spike / Accumulation</t>
        </is>
      </c>
      <c r="S335" s="31" t="inlineStr">
        <is>
          <t>Nifty FMCG</t>
        </is>
      </c>
      <c r="T335" s="32" t="inlineStr"/>
      <c r="U335" s="32" t="inlineStr"/>
      <c r="V335" s="32" t="inlineStr"/>
      <c r="W335" s="32" t="inlineStr"/>
      <c r="X335" s="31" t="inlineStr">
        <is>
          <t>Growing Industry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Headwind</t>
        </is>
      </c>
      <c r="AE335" s="31">
        <f>IF(AD335="Tailwind",10,0)</f>
        <v/>
      </c>
      <c r="AF335" s="31" t="inlineStr">
        <is>
          <t>Structural (10 Years Consistency)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Stable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B2C</t>
        </is>
      </c>
      <c r="AO335" s="31">
        <f>IF(AN335="B2C",10,IF(AN335="B2B",5,0))</f>
        <v/>
      </c>
      <c r="AP335" s="31" t="inlineStr">
        <is>
          <t>Yes</t>
        </is>
      </c>
      <c r="AQ335" s="31">
        <f>IF(AP335="Yes",10,0)</f>
        <v/>
      </c>
      <c r="AR335" s="31" t="inlineStr">
        <is>
          <t>Higher Annuity, Lower One Time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0 to 20</t>
        </is>
      </c>
      <c r="AY335" s="31">
        <f>IF(AX335="Above 40",20,IF(AX335="20 to 40",10,IF(AX335="0 to 20",-5,0)))</f>
        <v/>
      </c>
      <c r="AZ335" s="31" t="inlineStr">
        <is>
          <t>Above 75</t>
        </is>
      </c>
      <c r="BA335" s="31">
        <f>IF(AZ335="Between 50 to 75",10,IF(AZ335="Above 75",0,0))</f>
        <v/>
      </c>
      <c r="BB335" s="31" t="inlineStr">
        <is>
          <t>Stage 3</t>
        </is>
      </c>
      <c r="BC335" s="31">
        <f>IF(BB335="Stage 2",20,IF(BB335="Stage 1",0,IF(BB335="Stage 3",5,IF(BB335="Stage 4",-5,0))))</f>
        <v/>
      </c>
      <c r="BD335" s="31" t="inlineStr">
        <is>
          <t>Negative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Less than 12%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No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Above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Between 0.7 to 1.2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IF(B336=0,"",RANK(B336,$B$2:$B$389,0))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1" t="inlineStr">
        <is>
          <t>RATNAMANI</t>
        </is>
      </c>
      <c r="D336" s="31" t="inlineStr">
        <is>
          <t>Ratnamani Metals &amp; Tubes Limited</t>
        </is>
      </c>
      <c r="E336" s="31" t="inlineStr">
        <is>
          <t>industrials</t>
        </is>
      </c>
      <c r="F336" s="31" t="inlineStr">
        <is>
          <t>steel - medium / small</t>
        </is>
      </c>
      <c r="G336" s="31" t="inlineStr">
        <is>
          <t>midcap</t>
        </is>
      </c>
      <c r="H336" s="32" t="n">
        <v>16502.46</v>
      </c>
      <c r="I336" s="32" t="n">
        <v>2697</v>
      </c>
      <c r="J336" s="32" t="n">
        <v>14.55</v>
      </c>
      <c r="K336" s="32" t="n">
        <v>1237765</v>
      </c>
      <c r="L336" s="31" t="inlineStr"/>
      <c r="M336" s="31" t="inlineStr"/>
      <c r="N336" s="32">
        <f>IF(M336="Underperforming",-5,IF(L336&gt;=95,15,IF(L336&gt;=90,10,IF(L336&gt;=80,5,0))))</f>
        <v/>
      </c>
      <c r="O336" s="32" t="n">
        <v>46.42</v>
      </c>
      <c r="P336" s="32" t="n">
        <v>23.9</v>
      </c>
      <c r="Q336" s="32" t="inlineStr"/>
      <c r="R336" s="31" t="inlineStr">
        <is>
          <t>Volume Spike / Accumulation</t>
        </is>
      </c>
      <c r="S336" s="31" t="inlineStr">
        <is>
          <t>Nifty Metal</t>
        </is>
      </c>
      <c r="T336" s="32" t="inlineStr"/>
      <c r="U336" s="32" t="inlineStr"/>
      <c r="V336" s="32" t="inlineStr"/>
      <c r="W336" s="32" t="inlineStr"/>
      <c r="X336" s="31" t="inlineStr">
        <is>
          <t>Cyclical in an Upturn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Headwind</t>
        </is>
      </c>
      <c r="AE336" s="31">
        <f>IF(AD336="Tailwind",10,0)</f>
        <v/>
      </c>
      <c r="AF336" s="31" t="inlineStr">
        <is>
          <t>Structural (10 Years Consistency)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Stable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Yes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20 to 40</t>
        </is>
      </c>
      <c r="AY336" s="31">
        <f>IF(AX336="Above 40",20,IF(AX336="20 to 40",10,IF(AX336="0 to 20",-5,0)))</f>
        <v/>
      </c>
      <c r="AZ336" s="31" t="inlineStr">
        <is>
          <t>Below 45</t>
        </is>
      </c>
      <c r="BA336" s="31">
        <f>IF(AZ336="Between 50 to 75",10,IF(AZ336="Above 75",0,0))</f>
        <v/>
      </c>
      <c r="BB336" s="31" t="inlineStr">
        <is>
          <t>Stage 4</t>
        </is>
      </c>
      <c r="BC336" s="31">
        <f>IF(BB336="Stage 2",20,IF(BB336="Stage 1",0,IF(BB336="Stage 3",5,IF(BB336="Stage 4",-5,0))))</f>
        <v/>
      </c>
      <c r="BD336" s="31" t="inlineStr">
        <is>
          <t>Negative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Less than 12%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Yes</t>
        </is>
      </c>
      <c r="BS336" s="31">
        <f>IF(BR336="NO",5,0)</f>
        <v/>
      </c>
      <c r="BT336" s="31" t="inlineStr">
        <is>
          <t>Above 2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IF(B337=0,"",RANK(B337,$B$2:$B$389,0))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3" t="inlineStr">
        <is>
          <t>GUJTHEM</t>
        </is>
      </c>
      <c r="D337" s="33" t="inlineStr">
        <is>
          <t>Gujarat Themis Biosyn Ltd</t>
        </is>
      </c>
      <c r="E337" s="31" t="inlineStr">
        <is>
          <t>healthcare</t>
        </is>
      </c>
      <c r="F337" s="31" t="inlineStr">
        <is>
          <t>pharmaceuticals - indian - bulk drugs</t>
        </is>
      </c>
      <c r="G337" s="31" t="inlineStr">
        <is>
          <t>smallcap</t>
        </is>
      </c>
      <c r="H337" s="32" t="n">
        <v>4153.76</v>
      </c>
      <c r="I337" s="32" t="n">
        <v>411.7</v>
      </c>
      <c r="J337" s="32" t="n">
        <v>8</v>
      </c>
      <c r="K337" s="32" t="n">
        <v>1337706</v>
      </c>
      <c r="L337" s="31" t="n">
        <v>7</v>
      </c>
      <c r="M337" s="31" t="inlineStr">
        <is>
          <t>Underperforming</t>
        </is>
      </c>
      <c r="N337" s="32">
        <f>IF(M337="Underperforming",-5,IF(L337&gt;=95,15,IF(L337&gt;=90,10,IF(L337&gt;=80,5,0))))</f>
        <v/>
      </c>
      <c r="O337" s="32" t="n">
        <v>55.11</v>
      </c>
      <c r="P337" s="32" t="n">
        <v>22.28</v>
      </c>
      <c r="Q337" s="32" t="inlineStr"/>
      <c r="R337" s="31" t="inlineStr">
        <is>
          <t>Volume Spike / Accumulation</t>
        </is>
      </c>
      <c r="S337" s="31" t="inlineStr">
        <is>
          <t>Nifty Pharma</t>
        </is>
      </c>
      <c r="T337" s="32" t="n">
        <v>18.39</v>
      </c>
      <c r="U337" s="32" t="n">
        <v>-4.68</v>
      </c>
      <c r="V337" s="32" t="n">
        <v>-19.49</v>
      </c>
      <c r="W337" s="32" t="n">
        <v>0.23</v>
      </c>
      <c r="X337" s="31" t="inlineStr">
        <is>
          <t>Growing Industry</t>
        </is>
      </c>
      <c r="Y337" s="31">
        <f>IF(X337="Growing Industry",10,IF(X337="Cyclical in an Upturn",5,0))</f>
        <v/>
      </c>
      <c r="Z337" s="31" t="inlineStr">
        <is>
          <t>Oligopoly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Tailwind</t>
        </is>
      </c>
      <c r="AE337" s="31">
        <f>IF(AD337="Tailwind",10,0)</f>
        <v/>
      </c>
      <c r="AF337" s="31" t="inlineStr">
        <is>
          <t>Shallow Cyclical (2 to 3 Years Growth)</t>
        </is>
      </c>
      <c r="AG337" s="31">
        <f>IF(AF337="Structural (10 Years Consistency)",10,IF(AF337="Shallow Cyclical (2 to 3 years growth)",5,0))</f>
        <v/>
      </c>
      <c r="AH337" s="31" t="inlineStr">
        <is>
          <t>Yes due to Product Mix change or Operating Leverage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Volatile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Yes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Allocated capital in Non-core Areas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Above 40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3</t>
        </is>
      </c>
      <c r="BC337" s="31">
        <f>IF(BB337="Stage 2",20,IF(BB337="Stage 1",0,IF(BB337="Stage 3",5,IF(BB337="Stage 4",-5,0))))</f>
        <v/>
      </c>
      <c r="BD337" s="31" t="inlineStr">
        <is>
          <t>Negative Trend</t>
        </is>
      </c>
      <c r="BE337" s="31">
        <f>IF(BD337="Positive Trend",20,IF(BD337="Negative Trend",-10,0))</f>
        <v/>
      </c>
      <c r="BF337" s="31" t="inlineStr">
        <is>
          <t>Sideways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Overhead supply in last 2 years in last 2 years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More than 20%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No</t>
        </is>
      </c>
      <c r="BS337" s="31">
        <f>IF(BR337="NO",5,0)</f>
        <v/>
      </c>
      <c r="BT337" s="31" t="inlineStr">
        <is>
          <t>Less than 1.5</t>
        </is>
      </c>
      <c r="BU337" s="31">
        <f>IF(BT337="Above 2",0,IF(BT337="Between 1.5 to 2",5,IF(BT337="Less than 1.5",10,0)))</f>
        <v/>
      </c>
      <c r="BV337" s="31" t="inlineStr">
        <is>
          <t>Above 70%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Less than 0.7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More than 15%</t>
        </is>
      </c>
      <c r="CC337" s="31">
        <f>IF(CB337="More than 15%",-10,IF(CB337="Less than 15%",10,0))</f>
        <v/>
      </c>
      <c r="CD337" s="31" t="inlineStr">
        <is>
          <t>Yes Upto 10%</t>
        </is>
      </c>
      <c r="CE337" s="31">
        <f>IF(CD337="Yes, more than 10%",-10,IF(CD337="No",10,0))</f>
        <v/>
      </c>
    </row>
    <row r="338">
      <c r="A338" s="31">
        <f>IF(B338=0,"",RANK(B338,$B$2:$B$389,0))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3" t="inlineStr">
        <is>
          <t>LANDMARK</t>
        </is>
      </c>
      <c r="D338" s="33" t="inlineStr">
        <is>
          <t>Landmark Cars Ltd</t>
        </is>
      </c>
      <c r="E338" s="31" t="inlineStr">
        <is>
          <t>consumer discretionary</t>
        </is>
      </c>
      <c r="F338" s="31" t="inlineStr">
        <is>
          <t>trading</t>
        </is>
      </c>
      <c r="G338" s="31" t="inlineStr">
        <is>
          <t>smallcap</t>
        </is>
      </c>
      <c r="H338" s="32" t="n">
        <v>2093.77</v>
      </c>
      <c r="I338" s="32" t="n">
        <v>541.75</v>
      </c>
      <c r="J338" s="32" t="n">
        <v>7.29</v>
      </c>
      <c r="K338" s="32" t="n">
        <v>403038</v>
      </c>
      <c r="L338" s="31" t="n">
        <v>33</v>
      </c>
      <c r="M338" s="31" t="inlineStr">
        <is>
          <t>Underperforming</t>
        </is>
      </c>
      <c r="N338" s="32">
        <f>IF(M338="Underperforming",-5,IF(L338&gt;=95,15,IF(L338&gt;=90,10,IF(L338&gt;=80,5,0))))</f>
        <v/>
      </c>
      <c r="O338" s="32" t="n">
        <v>58.3</v>
      </c>
      <c r="P338" s="32" t="n">
        <v>24.99</v>
      </c>
      <c r="Q338" s="32" t="inlineStr"/>
      <c r="R338" s="31" t="inlineStr">
        <is>
          <t>Earnings / Momentum Support</t>
        </is>
      </c>
      <c r="S338" s="31" t="inlineStr">
        <is>
          <t>Nifty 50</t>
        </is>
      </c>
      <c r="T338" s="32" t="n">
        <v>-2.49</v>
      </c>
      <c r="U338" s="32" t="n">
        <v>-11.33</v>
      </c>
      <c r="V338" s="32" t="n">
        <v>-9.07</v>
      </c>
      <c r="W338" s="32" t="n">
        <v>7.39</v>
      </c>
      <c r="X338" s="31" t="inlineStr">
        <is>
          <t>Growing Industry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Headwind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20 to 40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3</t>
        </is>
      </c>
      <c r="BC338" s="31">
        <f>IF(BB338="Stage 2",20,IF(BB338="Stage 1",0,IF(BB338="Stage 3",5,IF(BB338="Stage 4",-5,0))))</f>
        <v/>
      </c>
      <c r="BD338" s="31" t="inlineStr">
        <is>
          <t>Negative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More than 20%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Yes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Above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More than 1.2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IF(B339=0,"",RANK(B339,$B$2:$B$389,0))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1" t="inlineStr">
        <is>
          <t>BALAMINES</t>
        </is>
      </c>
      <c r="D339" s="31" t="inlineStr">
        <is>
          <t>Balaji Amines Limited</t>
        </is>
      </c>
      <c r="E339" s="31" t="inlineStr">
        <is>
          <t>chemicals</t>
        </is>
      </c>
      <c r="F339" s="31" t="inlineStr">
        <is>
          <t>chemicals</t>
        </is>
      </c>
      <c r="G339" s="31" t="inlineStr">
        <is>
          <t>midcap</t>
        </is>
      </c>
      <c r="H339" s="32" t="n">
        <v>6733.58</v>
      </c>
      <c r="I339" s="32" t="n">
        <v>2224.5</v>
      </c>
      <c r="J339" s="32" t="n">
        <v>7.04</v>
      </c>
      <c r="K339" s="32" t="n">
        <v>690175</v>
      </c>
      <c r="L339" s="31" t="n">
        <v>56</v>
      </c>
      <c r="M339" s="31" t="inlineStr">
        <is>
          <t>Outperforming</t>
        </is>
      </c>
      <c r="N339" s="32">
        <f>IF(M339="Underperforming",-5,IF(L339&gt;=95,15,IF(L339&gt;=90,10,IF(L339&gt;=80,5,0))))</f>
        <v/>
      </c>
      <c r="O339" s="32" t="n">
        <v>60.98</v>
      </c>
      <c r="P339" s="32" t="n">
        <v>58.38</v>
      </c>
      <c r="Q339" s="32" t="inlineStr"/>
      <c r="R339" s="31" t="inlineStr">
        <is>
          <t>Earnings / Momentum Support</t>
        </is>
      </c>
      <c r="S339" s="31" t="inlineStr">
        <is>
          <t>Nifty 50</t>
        </is>
      </c>
      <c r="T339" s="32" t="n">
        <v>-2.49</v>
      </c>
      <c r="U339" s="32" t="n">
        <v>36.32</v>
      </c>
      <c r="V339" s="32" t="n">
        <v>39.8</v>
      </c>
      <c r="W339" s="32" t="n">
        <v>13.17</v>
      </c>
      <c r="X339" s="31" t="inlineStr">
        <is>
          <t>Growing Industry</t>
        </is>
      </c>
      <c r="Y339" s="31">
        <f>IF(X339="Growing Industry",10,IF(X339="Cyclical in an Upturn",5,0))</f>
        <v/>
      </c>
      <c r="Z339" s="31" t="inlineStr">
        <is>
          <t>Duopoly That Cooperate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Headwind</t>
        </is>
      </c>
      <c r="AE339" s="31">
        <f>IF(AD339="Tailwind",10,0)</f>
        <v/>
      </c>
      <c r="AF339" s="31" t="inlineStr">
        <is>
          <t>Shallow Cyclical (2 to 3 Years Growth)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No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20 to 40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4</t>
        </is>
      </c>
      <c r="BC339" s="31">
        <f>IF(BB339="Stage 2",20,IF(BB339="Stage 1",0,IF(BB339="Stage 3",5,IF(BB339="Stage 4",-5,0))))</f>
        <v/>
      </c>
      <c r="BD339" s="31" t="inlineStr">
        <is>
          <t>Negative Trend</t>
        </is>
      </c>
      <c r="BE339" s="31">
        <f>IF(BD339="Positive Trend",20,IF(BD339="Negative Trend",-10,0))</f>
        <v/>
      </c>
      <c r="BF339" s="31" t="inlineStr">
        <is>
          <t>Downtrend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Overhead supply in last 2 years in last 2 years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No</t>
        </is>
      </c>
      <c r="BM339" s="31">
        <f>IF(BL339="Yes",10,0)</f>
        <v/>
      </c>
      <c r="BN339" s="31" t="inlineStr">
        <is>
          <t>More than 20%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No</t>
        </is>
      </c>
      <c r="BS339" s="31">
        <f>IF(BR339="NO",5,0)</f>
        <v/>
      </c>
      <c r="BT339" s="31" t="inlineStr">
        <is>
          <t>Less than 1.5</t>
        </is>
      </c>
      <c r="BU339" s="31">
        <f>IF(BT339="Above 2",0,IF(BT339="Between 1.5 to 2",5,IF(BT339="Less than 1.5",10,0)))</f>
        <v/>
      </c>
      <c r="BV339" s="31" t="inlineStr">
        <is>
          <t>Above 70%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Less than 0.7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IF(B340=0,"",RANK(B340,$B$2:$B$389,0))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1" t="inlineStr">
        <is>
          <t>KCP</t>
        </is>
      </c>
      <c r="D340" s="31" t="inlineStr">
        <is>
          <t>Kcp Limited</t>
        </is>
      </c>
      <c r="E340" s="31" t="inlineStr">
        <is>
          <t>building materials</t>
        </is>
      </c>
      <c r="F340" s="31" t="inlineStr">
        <is>
          <t>cement - south india</t>
        </is>
      </c>
      <c r="G340" s="31" t="inlineStr">
        <is>
          <t>smallcap</t>
        </is>
      </c>
      <c r="H340" s="32" t="n">
        <v>2112.12</v>
      </c>
      <c r="I340" s="32" t="n">
        <v>175.35</v>
      </c>
      <c r="J340" s="32" t="n">
        <v>7.03</v>
      </c>
      <c r="K340" s="32" t="n">
        <v>1718818</v>
      </c>
      <c r="L340" s="31" t="inlineStr"/>
      <c r="M340" s="31" t="inlineStr"/>
      <c r="N340" s="32">
        <f>IF(M340="Underperforming",-5,IF(L340&gt;=95,15,IF(L340&gt;=90,10,IF(L340&gt;=80,5,0))))</f>
        <v/>
      </c>
      <c r="O340" s="32" t="n">
        <v>49.3</v>
      </c>
      <c r="P340" s="32" t="n">
        <v>5.14</v>
      </c>
      <c r="Q340" s="32" t="inlineStr"/>
      <c r="R340" s="31" t="inlineStr">
        <is>
          <t>Volume Spike / Accumulation</t>
        </is>
      </c>
      <c r="S340" s="31" t="inlineStr">
        <is>
          <t>Nifty Infra</t>
        </is>
      </c>
      <c r="T340" s="32" t="inlineStr"/>
      <c r="U340" s="32" t="inlineStr"/>
      <c r="V340" s="32" t="inlineStr"/>
      <c r="W340" s="32" t="inlineStr"/>
      <c r="X340" s="31" t="inlineStr">
        <is>
          <t>Growing Industry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Headwind</t>
        </is>
      </c>
      <c r="AE340" s="31">
        <f>IF(AD340="Tailwind",10,0)</f>
        <v/>
      </c>
      <c r="AF340" s="31" t="inlineStr">
        <is>
          <t>Structural (10 Years Consistency)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Stable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Yes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0 to 20</t>
        </is>
      </c>
      <c r="AY340" s="31">
        <f>IF(AX340="Above 40",20,IF(AX340="20 to 40",10,IF(AX340="0 to 20",-5,0)))</f>
        <v/>
      </c>
      <c r="AZ340" s="31" t="inlineStr">
        <is>
          <t>Below 45</t>
        </is>
      </c>
      <c r="BA340" s="31">
        <f>IF(AZ340="Between 50 to 75",10,IF(AZ340="Above 75",0,0))</f>
        <v/>
      </c>
      <c r="BB340" s="31" t="inlineStr">
        <is>
          <t>Stage 4</t>
        </is>
      </c>
      <c r="BC340" s="31">
        <f>IF(BB340="Stage 2",20,IF(BB340="Stage 1",0,IF(BB340="Stage 3",5,IF(BB340="Stage 4",-5,0))))</f>
        <v/>
      </c>
      <c r="BD340" s="31" t="inlineStr">
        <is>
          <t>Negative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More than 20%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No</t>
        </is>
      </c>
      <c r="BS340" s="31">
        <f>IF(BR340="NO",5,0)</f>
        <v/>
      </c>
      <c r="BT340" s="31" t="inlineStr">
        <is>
          <t>Above 2</t>
        </is>
      </c>
      <c r="BU340" s="31">
        <f>IF(BT340="Above 2",0,IF(BT340="Between 1.5 to 2",5,IF(BT340="Less than 1.5",10,0)))</f>
        <v/>
      </c>
      <c r="BV340" s="31" t="inlineStr">
        <is>
          <t>Between 50% to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Less than 0.7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IF(B341=0,"",RANK(B341,$B$2:$B$389,0))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1" t="inlineStr">
        <is>
          <t>RBA</t>
        </is>
      </c>
      <c r="D341" s="31" t="inlineStr">
        <is>
          <t>Restaurant Brands Asia Ltd</t>
        </is>
      </c>
      <c r="E341" s="31" t="inlineStr">
        <is>
          <t>consumer discretionary</t>
        </is>
      </c>
      <c r="F341" s="31" t="inlineStr">
        <is>
          <t>hotels</t>
        </is>
      </c>
      <c r="G341" s="31" t="inlineStr">
        <is>
          <t>midcap</t>
        </is>
      </c>
      <c r="H341" s="32" t="n">
        <v>7418.96</v>
      </c>
      <c r="I341" s="32" t="n">
        <v>106.45</v>
      </c>
      <c r="J341" s="32" t="n">
        <v>2.12</v>
      </c>
      <c r="K341" s="32" t="n">
        <v>9573599</v>
      </c>
      <c r="L341" s="31" t="n">
        <v>70</v>
      </c>
      <c r="M341" s="31" t="inlineStr">
        <is>
          <t>Outperforming</t>
        </is>
      </c>
      <c r="N341" s="32">
        <f>IF(M341="Underperforming",-5,IF(L341&gt;=95,15,IF(L341&gt;=90,10,IF(L341&gt;=80,5,0))))</f>
        <v/>
      </c>
      <c r="O341" s="32" t="n">
        <v>77.51000000000001</v>
      </c>
      <c r="P341" s="32" t="n">
        <v>35.1</v>
      </c>
      <c r="Q341" s="32" t="inlineStr"/>
      <c r="R341" s="31" t="inlineStr">
        <is>
          <t>Earnings / Momentum Support</t>
        </is>
      </c>
      <c r="S341" s="31" t="inlineStr">
        <is>
          <t>Nifty 50</t>
        </is>
      </c>
      <c r="T341" s="32" t="n">
        <v>-2.49</v>
      </c>
      <c r="U341" s="32" t="n">
        <v>30.02</v>
      </c>
      <c r="V341" s="32" t="n">
        <v>33.34</v>
      </c>
      <c r="W341" s="32" t="n">
        <v>18.88</v>
      </c>
      <c r="X341" s="31" t="inlineStr">
        <is>
          <t>Growing Industry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Headwind</t>
        </is>
      </c>
      <c r="AE341" s="31">
        <f>IF(AD341="Tailwind",10,0)</f>
        <v/>
      </c>
      <c r="AF341" s="31" t="inlineStr">
        <is>
          <t>Structural (10 Years Consistency)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Stable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No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20 to 40</t>
        </is>
      </c>
      <c r="AY341" s="31">
        <f>IF(AX341="Above 40",20,IF(AX341="20 to 40",10,IF(AX341="0 to 20",-5,0)))</f>
        <v/>
      </c>
      <c r="AZ341" s="31" t="inlineStr">
        <is>
          <t>Above 75</t>
        </is>
      </c>
      <c r="BA341" s="31">
        <f>IF(AZ341="Between 50 to 75",10,IF(AZ341="Above 75",0,0))</f>
        <v/>
      </c>
      <c r="BB341" s="31" t="inlineStr">
        <is>
          <t>Stage 3</t>
        </is>
      </c>
      <c r="BC341" s="31">
        <f>IF(BB341="Stage 2",20,IF(BB341="Stage 1",0,IF(BB341="Stage 3",5,IF(BB341="Stage 4",-5,0))))</f>
        <v/>
      </c>
      <c r="BD341" s="31" t="inlineStr">
        <is>
          <t>Negative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More than 20%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No</t>
        </is>
      </c>
      <c r="BS341" s="31">
        <f>IF(BR341="NO",5,0)</f>
        <v/>
      </c>
      <c r="BT341" s="31" t="inlineStr">
        <is>
          <t>Above 2</t>
        </is>
      </c>
      <c r="BU341" s="31">
        <f>IF(BT341="Above 2",0,IF(BT341="Between 1.5 to 2",5,IF(BT341="Less than 1.5",10,0)))</f>
        <v/>
      </c>
      <c r="BV341" s="31" t="inlineStr">
        <is>
          <t>Above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More than 1.2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IF(B342=0,"",RANK(B342,$B$2:$B$389,0))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1" t="inlineStr">
        <is>
          <t>MANALIPETC</t>
        </is>
      </c>
      <c r="D342" s="31" t="inlineStr">
        <is>
          <t>Manali Petrochemicals Limited</t>
        </is>
      </c>
      <c r="E342" s="31" t="inlineStr">
        <is>
          <t>energy</t>
        </is>
      </c>
      <c r="F342" s="31" t="inlineStr">
        <is>
          <t>petrochemicals</t>
        </is>
      </c>
      <c r="G342" s="31" t="inlineStr">
        <is>
          <t>smallcap</t>
        </is>
      </c>
      <c r="H342" s="32" t="n">
        <v>1273.14</v>
      </c>
      <c r="I342" s="32" t="n">
        <v>74.91</v>
      </c>
      <c r="J342" s="32" t="n">
        <v>1.2</v>
      </c>
      <c r="K342" s="32" t="n">
        <v>1781580</v>
      </c>
      <c r="L342" s="31" t="inlineStr"/>
      <c r="M342" s="31" t="inlineStr"/>
      <c r="N342" s="32">
        <f>IF(M342="Underperforming",-5,IF(L342&gt;=95,15,IF(L342&gt;=90,10,IF(L342&gt;=80,5,0))))</f>
        <v/>
      </c>
      <c r="O342" s="32" t="n">
        <v>67.31999999999999</v>
      </c>
      <c r="P342" s="32" t="n">
        <v>35.88</v>
      </c>
      <c r="Q342" s="32" t="inlineStr"/>
      <c r="R342" s="31" t="inlineStr">
        <is>
          <t>Earnings / Momentum Support</t>
        </is>
      </c>
      <c r="S342" s="31" t="inlineStr">
        <is>
          <t>Nifty Energy</t>
        </is>
      </c>
      <c r="T342" s="32" t="inlineStr"/>
      <c r="U342" s="32" t="inlineStr"/>
      <c r="V342" s="32" t="inlineStr"/>
      <c r="W342" s="32" t="inlineStr"/>
      <c r="X342" s="31" t="inlineStr">
        <is>
          <t>Cyclical in an Upturn</t>
        </is>
      </c>
      <c r="Y342" s="31">
        <f>IF(X342="Growing Industry",10,IF(X342="Cyclical in an Upturn",5,0))</f>
        <v/>
      </c>
      <c r="Z342" s="31" t="inlineStr">
        <is>
          <t>Oligopoly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Yes</t>
        </is>
      </c>
      <c r="AC342" s="31">
        <f>IF(AB342="No",5,0)</f>
        <v/>
      </c>
      <c r="AD342" s="31" t="inlineStr">
        <is>
          <t>Headwind</t>
        </is>
      </c>
      <c r="AE342" s="31">
        <f>IF(AD342="Tailwind",10,0)</f>
        <v/>
      </c>
      <c r="AF342" s="31" t="inlineStr">
        <is>
          <t>Cyclical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Volatile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No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20 to 40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3</t>
        </is>
      </c>
      <c r="BC342" s="31">
        <f>IF(BB342="Stage 2",20,IF(BB342="Stage 1",0,IF(BB342="Stage 3",5,IF(BB342="Stage 4",-5,0))))</f>
        <v/>
      </c>
      <c r="BD342" s="31" t="inlineStr">
        <is>
          <t>Negative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More than 20%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No</t>
        </is>
      </c>
      <c r="BS342" s="31">
        <f>IF(BR342="NO",5,0)</f>
        <v/>
      </c>
      <c r="BT342" s="31" t="inlineStr">
        <is>
          <t>Above 2</t>
        </is>
      </c>
      <c r="BU342" s="31">
        <f>IF(BT342="Above 2",0,IF(BT342="Between 1.5 to 2",5,IF(BT342="Less than 1.5",10,0)))</f>
        <v/>
      </c>
      <c r="BV342" s="31" t="inlineStr">
        <is>
          <t>Above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Less than 0.7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IF(B343=0,"",RANK(B343,$B$2:$B$389,0))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1" t="inlineStr">
        <is>
          <t>TNPETRO</t>
        </is>
      </c>
      <c r="D343" s="31" t="inlineStr">
        <is>
          <t>Tamilnadu Petroproducts Limited</t>
        </is>
      </c>
      <c r="E343" s="31" t="inlineStr">
        <is>
          <t>energy</t>
        </is>
      </c>
      <c r="F343" s="31" t="inlineStr">
        <is>
          <t>petrochemicals</t>
        </is>
      </c>
      <c r="G343" s="31" t="inlineStr">
        <is>
          <t>smallcap</t>
        </is>
      </c>
      <c r="H343" s="32" t="n">
        <v>1036.56</v>
      </c>
      <c r="I343" s="32" t="n">
        <v>116.34</v>
      </c>
      <c r="J343" s="32" t="n">
        <v>0.98</v>
      </c>
      <c r="K343" s="32" t="n">
        <v>637043</v>
      </c>
      <c r="L343" s="31" t="inlineStr"/>
      <c r="M343" s="31" t="inlineStr"/>
      <c r="N343" s="32">
        <f>IF(M343="Underperforming",-5,IF(L343&gt;=95,15,IF(L343&gt;=90,10,IF(L343&gt;=80,5,0))))</f>
        <v/>
      </c>
      <c r="O343" s="32" t="n">
        <v>73.14</v>
      </c>
      <c r="P343" s="32" t="n">
        <v>27.61</v>
      </c>
      <c r="Q343" s="32" t="inlineStr"/>
      <c r="R343" s="31" t="inlineStr">
        <is>
          <t>Earnings / Momentum Support</t>
        </is>
      </c>
      <c r="S343" s="31" t="inlineStr">
        <is>
          <t>Nifty Energy</t>
        </is>
      </c>
      <c r="T343" s="32" t="inlineStr"/>
      <c r="U343" s="32" t="inlineStr"/>
      <c r="V343" s="32" t="inlineStr"/>
      <c r="W343" s="32" t="inlineStr"/>
      <c r="X343" s="31" t="inlineStr">
        <is>
          <t>Cyclical in an Upturn</t>
        </is>
      </c>
      <c r="Y343" s="31">
        <f>IF(X343="Growing Industry",10,IF(X343="Cyclical in an Upturn",5,0))</f>
        <v/>
      </c>
      <c r="Z343" s="31" t="inlineStr">
        <is>
          <t>Oligopoly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Yes</t>
        </is>
      </c>
      <c r="AC343" s="31">
        <f>IF(AB343="No",5,0)</f>
        <v/>
      </c>
      <c r="AD343" s="31" t="inlineStr">
        <is>
          <t>Headwind</t>
        </is>
      </c>
      <c r="AE343" s="31">
        <f>IF(AD343="Tailwind",10,0)</f>
        <v/>
      </c>
      <c r="AF343" s="31" t="inlineStr">
        <is>
          <t>Cyclical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Volatile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No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20 to 40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3</t>
        </is>
      </c>
      <c r="BC343" s="31">
        <f>IF(BB343="Stage 2",20,IF(BB343="Stage 1",0,IF(BB343="Stage 3",5,IF(BB343="Stage 4",-5,0))))</f>
        <v/>
      </c>
      <c r="BD343" s="31" t="inlineStr">
        <is>
          <t>Negative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More than 20%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No</t>
        </is>
      </c>
      <c r="BS343" s="31">
        <f>IF(BR343="NO",5,0)</f>
        <v/>
      </c>
      <c r="BT343" s="31" t="inlineStr">
        <is>
          <t>Above 2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IF(B344=0,"",RANK(B344,$B$2:$B$389,0))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3" t="inlineStr">
        <is>
          <t>CHALET</t>
        </is>
      </c>
      <c r="D344" s="33" t="inlineStr">
        <is>
          <t>Chalet Hotels Ltd</t>
        </is>
      </c>
      <c r="E344" s="31" t="inlineStr">
        <is>
          <t>services</t>
        </is>
      </c>
      <c r="F344" s="31" t="inlineStr">
        <is>
          <t>hotels</t>
        </is>
      </c>
      <c r="G344" s="31" t="inlineStr">
        <is>
          <t>midcap</t>
        </is>
      </c>
      <c r="H344" s="32" t="n">
        <v>18876.2</v>
      </c>
      <c r="I344" s="32" t="n">
        <v>869.55</v>
      </c>
      <c r="J344" s="32" t="n">
        <v>0.88</v>
      </c>
      <c r="K344" s="32" t="n">
        <v>263446</v>
      </c>
      <c r="L344" s="31" t="n">
        <v>3</v>
      </c>
      <c r="M344" s="31" t="inlineStr">
        <is>
          <t>Underperforming</t>
        </is>
      </c>
      <c r="N344" s="32">
        <f>IF(M344="Underperforming",-5,IF(L344&gt;=95,15,IF(L344&gt;=90,10,IF(L344&gt;=80,5,0))))</f>
        <v/>
      </c>
      <c r="O344" s="32" t="n">
        <v>56.07</v>
      </c>
      <c r="P344" s="32" t="n">
        <v>10.72</v>
      </c>
      <c r="Q344" s="32" t="inlineStr"/>
      <c r="R344" s="31" t="inlineStr">
        <is>
          <t>Earnings / Momentum Support</t>
        </is>
      </c>
      <c r="S344" s="31" t="inlineStr">
        <is>
          <t>Nifty 50</t>
        </is>
      </c>
      <c r="T344" s="32" t="n">
        <v>-2.49</v>
      </c>
      <c r="U344" s="32" t="n">
        <v>-15.36</v>
      </c>
      <c r="V344" s="32" t="n">
        <v>-13.2</v>
      </c>
      <c r="W344" s="32" t="n">
        <v>-1.35</v>
      </c>
      <c r="X344" s="31" t="inlineStr">
        <is>
          <t>Growing Industry</t>
        </is>
      </c>
      <c r="Y344" s="31">
        <f>IF(X344="Growing Industry",10,IF(X344="Cyclical in an Upturn",5,0))</f>
        <v/>
      </c>
      <c r="Z344" s="31" t="inlineStr">
        <is>
          <t>Too Many Players with High ROCE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No</t>
        </is>
      </c>
      <c r="AC344" s="31">
        <f>IF(AB344="No",5,0)</f>
        <v/>
      </c>
      <c r="AD344" s="31" t="inlineStr">
        <is>
          <t>Headwind</t>
        </is>
      </c>
      <c r="AE344" s="31">
        <f>IF(AD344="Tailwind",10,0)</f>
        <v/>
      </c>
      <c r="AF344" s="31" t="inlineStr">
        <is>
          <t>Structural (10 Years Consistency)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Stable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No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0 to 20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3</t>
        </is>
      </c>
      <c r="BC344" s="31">
        <f>IF(BB344="Stage 2",20,IF(BB344="Stage 1",0,IF(BB344="Stage 3",5,IF(BB344="Stage 4",-5,0))))</f>
        <v/>
      </c>
      <c r="BD344" s="31" t="inlineStr">
        <is>
          <t>Negative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Less than 12%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No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Less than 0.7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IF(B345=0,"",RANK(B345,$B$2:$B$389,0))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1" t="inlineStr">
        <is>
          <t>BIL</t>
        </is>
      </c>
      <c r="D345" s="31" t="inlineStr">
        <is>
          <t>Bhartiya International Limited</t>
        </is>
      </c>
      <c r="E345" s="31" t="inlineStr">
        <is>
          <t>consumer discretionary</t>
        </is>
      </c>
      <c r="F345" s="31" t="inlineStr">
        <is>
          <t>leather / leather products</t>
        </is>
      </c>
      <c r="G345" s="31" t="inlineStr">
        <is>
          <t>smallcap</t>
        </is>
      </c>
      <c r="H345" s="32" t="n">
        <v>1114.54</v>
      </c>
      <c r="I345" s="32" t="n">
        <v>835.15</v>
      </c>
      <c r="J345" s="32" t="n">
        <v>0.49</v>
      </c>
      <c r="K345" s="32" t="n">
        <v>5644</v>
      </c>
      <c r="L345" s="31" t="n">
        <v>17</v>
      </c>
      <c r="M345" s="31" t="inlineStr">
        <is>
          <t>Outperforming</t>
        </is>
      </c>
      <c r="N345" s="32">
        <f>IF(M345="Underperforming",-5,IF(L345&gt;=95,15,IF(L345&gt;=90,10,IF(L345&gt;=80,5,0))))</f>
        <v/>
      </c>
      <c r="O345" s="32" t="n">
        <v>58.17</v>
      </c>
      <c r="P345" s="32" t="n">
        <v>16.17</v>
      </c>
      <c r="Q345" s="32" t="inlineStr"/>
      <c r="R345" s="31" t="inlineStr">
        <is>
          <t>Earnings / Momentum Support</t>
        </is>
      </c>
      <c r="S345" s="31" t="inlineStr">
        <is>
          <t>Nifty 50</t>
        </is>
      </c>
      <c r="T345" s="32" t="n">
        <v>-2.49</v>
      </c>
      <c r="U345" s="32" t="n">
        <v>-0.82</v>
      </c>
      <c r="V345" s="32" t="n">
        <v>1.71</v>
      </c>
      <c r="W345" s="32" t="n">
        <v>3.51</v>
      </c>
      <c r="X345" s="31" t="inlineStr">
        <is>
          <t>Growing Industry</t>
        </is>
      </c>
      <c r="Y345" s="31">
        <f>IF(X345="Growing Industry",10,IF(X345="Cyclical in an Upturn",5,0))</f>
        <v/>
      </c>
      <c r="Z345" s="31" t="inlineStr">
        <is>
          <t>Too Many Players with High ROCE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No</t>
        </is>
      </c>
      <c r="AC345" s="31">
        <f>IF(AB345="No",5,0)</f>
        <v/>
      </c>
      <c r="AD345" s="31" t="inlineStr">
        <is>
          <t>Headwind</t>
        </is>
      </c>
      <c r="AE345" s="31">
        <f>IF(AD345="Tailwind",10,0)</f>
        <v/>
      </c>
      <c r="AF345" s="31" t="inlineStr">
        <is>
          <t>Structural (10 Years Consistency)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Stable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No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0 to 20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3</t>
        </is>
      </c>
      <c r="BC345" s="31">
        <f>IF(BB345="Stage 2",20,IF(BB345="Stage 1",0,IF(BB345="Stage 3",5,IF(BB345="Stage 4",-5,0))))</f>
        <v/>
      </c>
      <c r="BD345" s="31" t="inlineStr">
        <is>
          <t>Negative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Close to 52 week high or retracement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More than 20%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Yes</t>
        </is>
      </c>
      <c r="BS345" s="31">
        <f>IF(BR345="NO",5,0)</f>
        <v/>
      </c>
      <c r="BT345" s="31" t="inlineStr">
        <is>
          <t>Above 2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Between 0.7 to 1.2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IF(B346=0,"",RANK(B346,$B$2:$B$389,0))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1" t="inlineStr">
        <is>
          <t>LT</t>
        </is>
      </c>
      <c r="D346" s="31" t="inlineStr">
        <is>
          <t>Larsen &amp; Toubro Limited</t>
        </is>
      </c>
      <c r="E346" s="31" t="inlineStr">
        <is>
          <t>realty</t>
        </is>
      </c>
      <c r="F346" s="31" t="inlineStr">
        <is>
          <t>engineering - turnkey services</t>
        </is>
      </c>
      <c r="G346" s="31" t="inlineStr">
        <is>
          <t>largecap</t>
        </is>
      </c>
      <c r="H346" s="32" t="n">
        <v>563085.95</v>
      </c>
      <c r="I346" s="32" t="n">
        <v>4090</v>
      </c>
      <c r="J346" s="32" t="n">
        <v>-0.07000000000000001</v>
      </c>
      <c r="K346" s="32" t="n">
        <v>1337714</v>
      </c>
      <c r="L346" s="31" t="inlineStr"/>
      <c r="M346" s="31" t="inlineStr"/>
      <c r="N346" s="32">
        <f>IF(M346="Underperforming",-5,IF(L346&gt;=95,15,IF(L346&gt;=90,10,IF(L346&gt;=80,5,0))))</f>
        <v/>
      </c>
      <c r="O346" s="32" t="n">
        <v>55.37</v>
      </c>
      <c r="P346" s="32" t="n">
        <v>7.09</v>
      </c>
      <c r="Q346" s="32" t="inlineStr"/>
      <c r="R346" s="31" t="inlineStr">
        <is>
          <t>Earnings / Momentum Support</t>
        </is>
      </c>
      <c r="S346" s="31" t="inlineStr">
        <is>
          <t>Nifty Realty</t>
        </is>
      </c>
      <c r="T346" s="32" t="inlineStr"/>
      <c r="U346" s="32" t="inlineStr"/>
      <c r="V346" s="32" t="inlineStr"/>
      <c r="W346" s="32" t="inlineStr"/>
      <c r="X346" s="31" t="inlineStr">
        <is>
          <t>Growing Industry</t>
        </is>
      </c>
      <c r="Y346" s="31">
        <f>IF(X346="Growing Industry",10,IF(X346="Cyclical in an Upturn",5,0))</f>
        <v/>
      </c>
      <c r="Z346" s="31" t="inlineStr">
        <is>
          <t>Too Many Players with High ROCE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No</t>
        </is>
      </c>
      <c r="AC346" s="31">
        <f>IF(AB346="No",5,0)</f>
        <v/>
      </c>
      <c r="AD346" s="31" t="inlineStr">
        <is>
          <t>Headwind</t>
        </is>
      </c>
      <c r="AE346" s="31">
        <f>IF(AD346="Tailwind",10,0)</f>
        <v/>
      </c>
      <c r="AF346" s="31" t="inlineStr">
        <is>
          <t>Structural (10 Years Consistency)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Stable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No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0 to 20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3</t>
        </is>
      </c>
      <c r="BC346" s="31">
        <f>IF(BB346="Stage 2",20,IF(BB346="Stage 1",0,IF(BB346="Stage 3",5,IF(BB346="Stage 4",-5,0))))</f>
        <v/>
      </c>
      <c r="BD346" s="31" t="inlineStr">
        <is>
          <t>Negative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Between 12 to 20%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No</t>
        </is>
      </c>
      <c r="BS346" s="31">
        <f>IF(BR346="NO",5,0)</f>
        <v/>
      </c>
      <c r="BT346" s="31" t="inlineStr">
        <is>
          <t>Above 2</t>
        </is>
      </c>
      <c r="BU346" s="31">
        <f>IF(BT346="Above 2",0,IF(BT346="Between 1.5 to 2",5,IF(BT346="Less than 1.5",10,0)))</f>
        <v/>
      </c>
      <c r="BV346" s="31" t="inlineStr">
        <is>
          <t>Above 70%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Between 0.7 to 1.2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IF(B347=0,"",RANK(B347,$B$2:$B$389,0))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1" t="inlineStr">
        <is>
          <t>EPL</t>
        </is>
      </c>
      <c r="D347" s="31" t="inlineStr">
        <is>
          <t>EPL Ltd</t>
        </is>
      </c>
      <c r="E347" s="31" t="inlineStr">
        <is>
          <t>industrials</t>
        </is>
      </c>
      <c r="F347" s="31" t="inlineStr">
        <is>
          <t>packaging</t>
        </is>
      </c>
      <c r="G347" s="31" t="inlineStr">
        <is>
          <t>midcap</t>
        </is>
      </c>
      <c r="H347" s="32" t="n">
        <v>8506.950000000001</v>
      </c>
      <c r="I347" s="32" t="n">
        <v>263.48</v>
      </c>
      <c r="J347" s="32" t="n">
        <v>-0.8</v>
      </c>
      <c r="K347" s="32" t="n">
        <v>3040104</v>
      </c>
      <c r="L347" s="31" t="n">
        <v>38</v>
      </c>
      <c r="M347" s="31" t="inlineStr">
        <is>
          <t>Outperforming</t>
        </is>
      </c>
      <c r="N347" s="32">
        <f>IF(M347="Underperforming",-5,IF(L347&gt;=95,15,IF(L347&gt;=90,10,IF(L347&gt;=80,5,0))))</f>
        <v/>
      </c>
      <c r="O347" s="32" t="n">
        <v>67.89</v>
      </c>
      <c r="P347" s="32" t="n">
        <v>15.18</v>
      </c>
      <c r="Q347" s="32" t="inlineStr"/>
      <c r="R347" s="31" t="inlineStr">
        <is>
          <t>Earnings / Momentum Support</t>
        </is>
      </c>
      <c r="S347" s="31" t="inlineStr">
        <is>
          <t>Nifty 50</t>
        </is>
      </c>
      <c r="T347" s="32" t="n">
        <v>-2.49</v>
      </c>
      <c r="U347" s="32" t="n">
        <v>14.45</v>
      </c>
      <c r="V347" s="32" t="n">
        <v>17.36</v>
      </c>
      <c r="W347" s="32" t="n">
        <v>8.02</v>
      </c>
      <c r="X347" s="31" t="inlineStr">
        <is>
          <t>Cyclical in an Upturn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Headwind</t>
        </is>
      </c>
      <c r="AE347" s="31">
        <f>IF(AD347="Tailwind",10,0)</f>
        <v/>
      </c>
      <c r="AF347" s="31" t="inlineStr">
        <is>
          <t>Structural (10 Years Consistency)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Stable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No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0 to 20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3</t>
        </is>
      </c>
      <c r="BC347" s="31">
        <f>IF(BB347="Stage 2",20,IF(BB347="Stage 1",0,IF(BB347="Stage 3",5,IF(BB347="Stage 4",-5,0))))</f>
        <v/>
      </c>
      <c r="BD347" s="31" t="inlineStr">
        <is>
          <t>Negative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Less than 12%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No</t>
        </is>
      </c>
      <c r="BS347" s="31">
        <f>IF(BR347="NO",5,0)</f>
        <v/>
      </c>
      <c r="BT347" s="31" t="inlineStr">
        <is>
          <t>Above 2</t>
        </is>
      </c>
      <c r="BU347" s="31">
        <f>IF(BT347="Above 2",0,IF(BT347="Between 1.5 to 2",5,IF(BT347="Less than 1.5",10,0)))</f>
        <v/>
      </c>
      <c r="BV347" s="31" t="inlineStr">
        <is>
          <t>Above 70%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Less than 0.7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IF(B348=0,"",RANK(B348,$B$2:$B$389,0))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1" t="inlineStr">
        <is>
          <t>RITCO</t>
        </is>
      </c>
      <c r="D348" s="31" t="inlineStr">
        <is>
          <t>Ritco Logistics Ltd</t>
        </is>
      </c>
      <c r="E348" s="31" t="inlineStr">
        <is>
          <t>transportation</t>
        </is>
      </c>
      <c r="F348" s="31" t="inlineStr">
        <is>
          <t>miscellaneous</t>
        </is>
      </c>
      <c r="G348" s="31" t="inlineStr">
        <is>
          <t>smallcap</t>
        </is>
      </c>
      <c r="H348" s="32" t="n">
        <v>909.92</v>
      </c>
      <c r="I348" s="32" t="n">
        <v>314.95</v>
      </c>
      <c r="J348" s="32" t="n">
        <v>-0.93</v>
      </c>
      <c r="K348" s="32" t="n">
        <v>84036</v>
      </c>
      <c r="L348" s="31" t="n">
        <v>35</v>
      </c>
      <c r="M348" s="31" t="inlineStr">
        <is>
          <t>Outperforming</t>
        </is>
      </c>
      <c r="N348" s="32">
        <f>IF(M348="Underperforming",-5,IF(L348&gt;=95,15,IF(L348&gt;=90,10,IF(L348&gt;=80,5,0))))</f>
        <v/>
      </c>
      <c r="O348" s="32" t="n">
        <v>67.89</v>
      </c>
      <c r="P348" s="32" t="n">
        <v>37.3</v>
      </c>
      <c r="Q348" s="32" t="inlineStr"/>
      <c r="R348" s="31" t="inlineStr">
        <is>
          <t>Earnings / Momentum Support</t>
        </is>
      </c>
      <c r="S348" s="31" t="inlineStr">
        <is>
          <t>Nifty 50</t>
        </is>
      </c>
      <c r="T348" s="32" t="n">
        <v>-2.49</v>
      </c>
      <c r="U348" s="32" t="n">
        <v>12.81</v>
      </c>
      <c r="V348" s="32" t="n">
        <v>15.69</v>
      </c>
      <c r="W348" s="32" t="n">
        <v>7.61</v>
      </c>
      <c r="X348" s="31" t="inlineStr">
        <is>
          <t>Growing Industry</t>
        </is>
      </c>
      <c r="Y348" s="31">
        <f>IF(X348="Growing Industry",10,IF(X348="Cyclical in an Upturn",5,0))</f>
        <v/>
      </c>
      <c r="Z348" s="31" t="inlineStr">
        <is>
          <t>Too Many Players with High ROCE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No</t>
        </is>
      </c>
      <c r="AC348" s="31">
        <f>IF(AB348="No",5,0)</f>
        <v/>
      </c>
      <c r="AD348" s="31" t="inlineStr">
        <is>
          <t>Headwind</t>
        </is>
      </c>
      <c r="AE348" s="31">
        <f>IF(AD348="Tailwind",10,0)</f>
        <v/>
      </c>
      <c r="AF348" s="31" t="inlineStr">
        <is>
          <t>Structural (10 Years Consistency)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Stable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No</t>
        </is>
      </c>
      <c r="AQ348" s="31">
        <f>IF(AP348="Yes",10,0)</f>
        <v/>
      </c>
      <c r="AR348" s="31" t="inlineStr">
        <is>
          <t>Higher One Time, Lower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20 to 40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3</t>
        </is>
      </c>
      <c r="BC348" s="31">
        <f>IF(BB348="Stage 2",20,IF(BB348="Stage 1",0,IF(BB348="Stage 3",5,IF(BB348="Stage 4",-5,0))))</f>
        <v/>
      </c>
      <c r="BD348" s="31" t="inlineStr">
        <is>
          <t>Negative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Close to 52 week high or retracement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Less than 12%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No</t>
        </is>
      </c>
      <c r="BS348" s="31">
        <f>IF(BR348="NO",5,0)</f>
        <v/>
      </c>
      <c r="BT348" s="31" t="inlineStr">
        <is>
          <t>Above 2</t>
        </is>
      </c>
      <c r="BU348" s="31">
        <f>IF(BT348="Above 2",0,IF(BT348="Between 1.5 to 2",5,IF(BT348="Less than 1.5",10,0)))</f>
        <v/>
      </c>
      <c r="BV348" s="31" t="inlineStr">
        <is>
          <t>Above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More than 1.2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IF(B349=0,"",RANK(B349,$B$2:$B$389,0))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1" t="inlineStr">
        <is>
          <t>ASIANENE</t>
        </is>
      </c>
      <c r="D349" s="31" t="inlineStr">
        <is>
          <t>Asian Energy Services Ltd</t>
        </is>
      </c>
      <c r="E349" s="31" t="inlineStr">
        <is>
          <t>energy</t>
        </is>
      </c>
      <c r="F349" s="31" t="inlineStr">
        <is>
          <t>oil drilling / allied services</t>
        </is>
      </c>
      <c r="G349" s="31" t="inlineStr">
        <is>
          <t>smallcap</t>
        </is>
      </c>
      <c r="H349" s="32" t="n">
        <v>2287.05</v>
      </c>
      <c r="I349" s="32" t="n">
        <v>465.75</v>
      </c>
      <c r="J349" s="32" t="n">
        <v>-0.97</v>
      </c>
      <c r="K349" s="32" t="n">
        <v>331044</v>
      </c>
      <c r="L349" s="31" t="inlineStr"/>
      <c r="M349" s="31" t="inlineStr"/>
      <c r="N349" s="32">
        <f>IF(M349="Underperforming",-5,IF(L349&gt;=95,15,IF(L349&gt;=90,10,IF(L349&gt;=80,5,0))))</f>
        <v/>
      </c>
      <c r="O349" s="32" t="n">
        <v>69.89</v>
      </c>
      <c r="P349" s="32" t="n">
        <v>20.07</v>
      </c>
      <c r="Q349" s="32" t="inlineStr"/>
      <c r="R349" s="31" t="inlineStr">
        <is>
          <t>Earnings / Momentum Support</t>
        </is>
      </c>
      <c r="S349" s="31" t="inlineStr">
        <is>
          <t>Nifty Energy</t>
        </is>
      </c>
      <c r="T349" s="32" t="inlineStr"/>
      <c r="U349" s="32" t="inlineStr"/>
      <c r="V349" s="32" t="inlineStr"/>
      <c r="W349" s="32" t="inlineStr"/>
      <c r="X349" s="31" t="inlineStr">
        <is>
          <t>Cyclical in an Upturn</t>
        </is>
      </c>
      <c r="Y349" s="31">
        <f>IF(X349="Growing Industry",10,IF(X349="Cyclical in an Upturn",5,0))</f>
        <v/>
      </c>
      <c r="Z349" s="31" t="inlineStr">
        <is>
          <t>Oligopoly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Yes</t>
        </is>
      </c>
      <c r="AC349" s="31">
        <f>IF(AB349="No",5,0)</f>
        <v/>
      </c>
      <c r="AD349" s="31" t="inlineStr">
        <is>
          <t>Headwind</t>
        </is>
      </c>
      <c r="AE349" s="31">
        <f>IF(AD349="Tailwind",10,0)</f>
        <v/>
      </c>
      <c r="AF349" s="31" t="inlineStr">
        <is>
          <t>Cyclical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Volatile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No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20 to 40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3</t>
        </is>
      </c>
      <c r="BC349" s="31">
        <f>IF(BB349="Stage 2",20,IF(BB349="Stage 1",0,IF(BB349="Stage 3",5,IF(BB349="Stage 4",-5,0))))</f>
        <v/>
      </c>
      <c r="BD349" s="31" t="inlineStr">
        <is>
          <t>Negative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More than 20%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No</t>
        </is>
      </c>
      <c r="BS349" s="31">
        <f>IF(BR349="NO",5,0)</f>
        <v/>
      </c>
      <c r="BT349" s="31" t="inlineStr">
        <is>
          <t>Above 2</t>
        </is>
      </c>
      <c r="BU349" s="31">
        <f>IF(BT349="Above 2",0,IF(BT349="Between 1.5 to 2",5,IF(BT349="Less than 1.5",10,0)))</f>
        <v/>
      </c>
      <c r="BV349" s="31" t="inlineStr">
        <is>
          <t>Above 70%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Less than 0.7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IF(B350=0,"",RANK(B350,$B$2:$B$389,0))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1" t="inlineStr">
        <is>
          <t>UNOMINDA</t>
        </is>
      </c>
      <c r="D350" s="31" t="inlineStr">
        <is>
          <t>Uno Minda Ltd</t>
        </is>
      </c>
      <c r="E350" s="31" t="inlineStr">
        <is>
          <t>auto</t>
        </is>
      </c>
      <c r="F350" s="31" t="inlineStr">
        <is>
          <t>auto ancillaries</t>
        </is>
      </c>
      <c r="G350" s="31" t="inlineStr">
        <is>
          <t>largecap</t>
        </is>
      </c>
      <c r="H350" s="32" t="n">
        <v>73049.60000000001</v>
      </c>
      <c r="I350" s="32" t="n">
        <v>1251.3</v>
      </c>
      <c r="J350" s="32" t="n">
        <v>-1.08</v>
      </c>
      <c r="K350" s="32" t="n">
        <v>1156117</v>
      </c>
      <c r="L350" s="31" t="inlineStr"/>
      <c r="M350" s="31" t="inlineStr"/>
      <c r="N350" s="32">
        <f>IF(M350="Underperforming",-5,IF(L350&gt;=95,15,IF(L350&gt;=90,10,IF(L350&gt;=80,5,0))))</f>
        <v/>
      </c>
      <c r="O350" s="32" t="n">
        <v>60.46</v>
      </c>
      <c r="P350" s="32" t="n">
        <v>18.93</v>
      </c>
      <c r="Q350" s="32" t="inlineStr"/>
      <c r="R350" s="31" t="inlineStr">
        <is>
          <t>Earnings / Momentum Support</t>
        </is>
      </c>
      <c r="S350" s="31" t="inlineStr">
        <is>
          <t>Nifty Auto</t>
        </is>
      </c>
      <c r="T350" s="32" t="inlineStr"/>
      <c r="U350" s="32" t="inlineStr"/>
      <c r="V350" s="32" t="inlineStr"/>
      <c r="W350" s="32" t="inlineStr"/>
      <c r="X350" s="31" t="inlineStr">
        <is>
          <t>Growing Industry</t>
        </is>
      </c>
      <c r="Y350" s="31">
        <f>IF(X350="Growing Industry",10,IF(X350="Cyclical in an Upturn",5,0))</f>
        <v/>
      </c>
      <c r="Z350" s="31" t="inlineStr">
        <is>
          <t>Too Many Players with High ROCE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Headwind</t>
        </is>
      </c>
      <c r="AE350" s="31">
        <f>IF(AD350="Tailwind",10,0)</f>
        <v/>
      </c>
      <c r="AF350" s="31" t="inlineStr">
        <is>
          <t>Structural (10 Years Consistency)</t>
        </is>
      </c>
      <c r="AG350" s="31">
        <f>IF(AF350="Structural (10 Years Consistency)",10,IF(AF350="Shallow Cyclical (2 to 3 years growth)",5,0))</f>
        <v/>
      </c>
      <c r="AH350" s="31" t="inlineStr">
        <is>
          <t>No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Stable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No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Good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0 to 20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3</t>
        </is>
      </c>
      <c r="BC350" s="31">
        <f>IF(BB350="Stage 2",20,IF(BB350="Stage 1",0,IF(BB350="Stage 3",5,IF(BB350="Stage 4",-5,0))))</f>
        <v/>
      </c>
      <c r="BD350" s="31" t="inlineStr">
        <is>
          <t>Negative Trend</t>
        </is>
      </c>
      <c r="BE350" s="31">
        <f>IF(BD350="Positive Trend",20,IF(BD350="Negative Trend",-10,0))</f>
        <v/>
      </c>
      <c r="BF350" s="31" t="inlineStr">
        <is>
          <t>Uptrend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Close to 52 week high or retracement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Less than 12%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Yes</t>
        </is>
      </c>
      <c r="BS350" s="31">
        <f>IF(BR350="NO",5,0)</f>
        <v/>
      </c>
      <c r="BT350" s="31" t="inlineStr">
        <is>
          <t>Above 2</t>
        </is>
      </c>
      <c r="BU350" s="31">
        <f>IF(BT350="Above 2",0,IF(BT350="Between 1.5 to 2",5,IF(BT350="Less than 1.5",10,0)))</f>
        <v/>
      </c>
      <c r="BV350" s="31" t="inlineStr">
        <is>
          <t>Above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Less than 0.7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Less than 15%</t>
        </is>
      </c>
      <c r="CC350" s="31">
        <f>IF(CB350="More than 15%",-10,IF(CB350="Less than 15%",10,0))</f>
        <v/>
      </c>
      <c r="CD350" s="31" t="inlineStr">
        <is>
          <t>No</t>
        </is>
      </c>
      <c r="CE350" s="31">
        <f>IF(CD350="Yes, more than 10%",-10,IF(CD350="No",10,0))</f>
        <v/>
      </c>
    </row>
    <row r="351">
      <c r="A351" s="31">
        <f>IF(B351=0,"",RANK(B351,$B$2:$B$389,0))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1" t="inlineStr">
        <is>
          <t>LUMAXTECH</t>
        </is>
      </c>
      <c r="D351" s="31" t="inlineStr">
        <is>
          <t>Lumax Auto Technologies Limited</t>
        </is>
      </c>
      <c r="E351" s="31" t="inlineStr">
        <is>
          <t>auto</t>
        </is>
      </c>
      <c r="F351" s="31" t="inlineStr">
        <is>
          <t>auto ancillaries</t>
        </is>
      </c>
      <c r="G351" s="31" t="inlineStr">
        <is>
          <t>midcap</t>
        </is>
      </c>
      <c r="H351" s="32" t="n">
        <v>13555.2</v>
      </c>
      <c r="I351" s="32" t="n">
        <v>1964.3</v>
      </c>
      <c r="J351" s="32" t="n">
        <v>-1.23</v>
      </c>
      <c r="K351" s="32" t="n">
        <v>121131</v>
      </c>
      <c r="L351" s="31" t="inlineStr"/>
      <c r="M351" s="31" t="inlineStr"/>
      <c r="N351" s="32">
        <f>IF(M351="Underperforming",-5,IF(L351&gt;=95,15,IF(L351&gt;=90,10,IF(L351&gt;=80,5,0))))</f>
        <v/>
      </c>
      <c r="O351" s="32" t="n">
        <v>65.67</v>
      </c>
      <c r="P351" s="32" t="n">
        <v>18.48</v>
      </c>
      <c r="Q351" s="32" t="inlineStr"/>
      <c r="R351" s="31" t="inlineStr">
        <is>
          <t>Earnings / Momentum Support</t>
        </is>
      </c>
      <c r="S351" s="31" t="inlineStr">
        <is>
          <t>Nifty Auto</t>
        </is>
      </c>
      <c r="T351" s="32" t="inlineStr"/>
      <c r="U351" s="32" t="inlineStr"/>
      <c r="V351" s="32" t="inlineStr"/>
      <c r="W351" s="32" t="inlineStr"/>
      <c r="X351" s="31" t="inlineStr">
        <is>
          <t>Growing Industry</t>
        </is>
      </c>
      <c r="Y351" s="31">
        <f>IF(X351="Growing Industry",10,IF(X351="Cyclical in an Upturn",5,0))</f>
        <v/>
      </c>
      <c r="Z351" s="31" t="inlineStr">
        <is>
          <t>Too Many Players with High ROCE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No</t>
        </is>
      </c>
      <c r="AC351" s="31">
        <f>IF(AB351="No",5,0)</f>
        <v/>
      </c>
      <c r="AD351" s="31" t="inlineStr">
        <is>
          <t>Headwind</t>
        </is>
      </c>
      <c r="AE351" s="31">
        <f>IF(AD351="Tailwind",10,0)</f>
        <v/>
      </c>
      <c r="AF351" s="31" t="inlineStr">
        <is>
          <t>Structural (10 Years Consistency)</t>
        </is>
      </c>
      <c r="AG351" s="31">
        <f>IF(AF351="Structural (10 Years Consistency)",10,IF(AF351="Shallow Cyclical (2 to 3 years growth)",5,0))</f>
        <v/>
      </c>
      <c r="AH351" s="31" t="inlineStr">
        <is>
          <t>No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Stable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B2B</t>
        </is>
      </c>
      <c r="AO351" s="31">
        <f>IF(AN351="B2C",10,IF(AN351="B2B",5,0))</f>
        <v/>
      </c>
      <c r="AP351" s="31" t="inlineStr">
        <is>
          <t>No</t>
        </is>
      </c>
      <c r="AQ351" s="31">
        <f>IF(AP351="Yes",10,0)</f>
        <v/>
      </c>
      <c r="AR351" s="31" t="inlineStr">
        <is>
          <t>Higher One Time, Lower Annuity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Good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0 to 20</t>
        </is>
      </c>
      <c r="AY351" s="31">
        <f>IF(AX351="Above 40",20,IF(AX351="20 to 40",10,IF(AX351="0 to 20",-5,0)))</f>
        <v/>
      </c>
      <c r="AZ351" s="31" t="inlineStr">
        <is>
          <t>Between 50 to 75</t>
        </is>
      </c>
      <c r="BA351" s="31">
        <f>IF(AZ351="Between 50 to 75",10,IF(AZ351="Above 75",0,0))</f>
        <v/>
      </c>
      <c r="BB351" s="31" t="inlineStr">
        <is>
          <t>Stage 3</t>
        </is>
      </c>
      <c r="BC351" s="31">
        <f>IF(BB351="Stage 2",20,IF(BB351="Stage 1",0,IF(BB351="Stage 3",5,IF(BB351="Stage 4",-5,0))))</f>
        <v/>
      </c>
      <c r="BD351" s="31" t="inlineStr">
        <is>
          <t>Negative Trend</t>
        </is>
      </c>
      <c r="BE351" s="31">
        <f>IF(BD351="Positive Trend",20,IF(BD351="Negative Trend",-10,0))</f>
        <v/>
      </c>
      <c r="BF351" s="31" t="inlineStr">
        <is>
          <t>Uptrend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Close to 52 week high or retracement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Yes</t>
        </is>
      </c>
      <c r="BM351" s="31">
        <f>IF(BL351="Yes",10,0)</f>
        <v/>
      </c>
      <c r="BN351" s="31" t="inlineStr">
        <is>
          <t>More than 20%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Yes</t>
        </is>
      </c>
      <c r="BS351" s="31">
        <f>IF(BR351="NO",5,0)</f>
        <v/>
      </c>
      <c r="BT351" s="31" t="inlineStr">
        <is>
          <t>Above 2</t>
        </is>
      </c>
      <c r="BU351" s="31">
        <f>IF(BT351="Above 2",0,IF(BT351="Between 1.5 to 2",5,IF(BT351="Less than 1.5",10,0)))</f>
        <v/>
      </c>
      <c r="BV351" s="31" t="inlineStr">
        <is>
          <t>Above 70%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Between 0.7 to 1.2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Less than 15%</t>
        </is>
      </c>
      <c r="CC351" s="31">
        <f>IF(CB351="More than 15%",-10,IF(CB351="Less than 15%",10,0))</f>
        <v/>
      </c>
      <c r="CD351" s="31" t="inlineStr">
        <is>
          <t>No</t>
        </is>
      </c>
      <c r="CE351" s="31">
        <f>IF(CD351="Yes, more than 10%",-10,IF(CD351="No",10,0))</f>
        <v/>
      </c>
    </row>
    <row r="352">
      <c r="A352" s="31">
        <f>IF(B352=0,"",RANK(B352,$B$2:$B$389,0))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1" t="inlineStr">
        <is>
          <t>ENDURANCE</t>
        </is>
      </c>
      <c r="D352" s="31" t="inlineStr">
        <is>
          <t>Endurance Technologies Limited</t>
        </is>
      </c>
      <c r="E352" s="31" t="inlineStr">
        <is>
          <t>auto</t>
        </is>
      </c>
      <c r="F352" s="31" t="inlineStr">
        <is>
          <t>auto ancillaries</t>
        </is>
      </c>
      <c r="G352" s="31" t="inlineStr">
        <is>
          <t>largecap</t>
        </is>
      </c>
      <c r="H352" s="32" t="n">
        <v>42613.81</v>
      </c>
      <c r="I352" s="32" t="n">
        <v>2988.2</v>
      </c>
      <c r="J352" s="32" t="n">
        <v>-1.36</v>
      </c>
      <c r="K352" s="32" t="n">
        <v>173843</v>
      </c>
      <c r="L352" s="31" t="inlineStr"/>
      <c r="M352" s="31" t="inlineStr"/>
      <c r="N352" s="32">
        <f>IF(M352="Underperforming",-5,IF(L352&gt;=95,15,IF(L352&gt;=90,10,IF(L352&gt;=80,5,0))))</f>
        <v/>
      </c>
      <c r="O352" s="32" t="n">
        <v>67.17</v>
      </c>
      <c r="P352" s="32" t="n">
        <v>19.42</v>
      </c>
      <c r="Q352" s="32" t="inlineStr"/>
      <c r="R352" s="31" t="inlineStr">
        <is>
          <t>Earnings / Momentum Support</t>
        </is>
      </c>
      <c r="S352" s="31" t="inlineStr">
        <is>
          <t>Nifty Auto</t>
        </is>
      </c>
      <c r="T352" s="32" t="inlineStr"/>
      <c r="U352" s="32" t="inlineStr"/>
      <c r="V352" s="32" t="inlineStr"/>
      <c r="W352" s="32" t="inlineStr"/>
      <c r="X352" s="31" t="inlineStr">
        <is>
          <t>Growing Industry</t>
        </is>
      </c>
      <c r="Y352" s="31">
        <f>IF(X352="Growing Industry",10,IF(X352="Cyclical in an Upturn",5,0))</f>
        <v/>
      </c>
      <c r="Z352" s="31" t="inlineStr">
        <is>
          <t>Too Many Players with High ROCE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No</t>
        </is>
      </c>
      <c r="AC352" s="31">
        <f>IF(AB352="No",5,0)</f>
        <v/>
      </c>
      <c r="AD352" s="31" t="inlineStr">
        <is>
          <t>Headwind</t>
        </is>
      </c>
      <c r="AE352" s="31">
        <f>IF(AD352="Tailwind",10,0)</f>
        <v/>
      </c>
      <c r="AF352" s="31" t="inlineStr">
        <is>
          <t>Structural (10 Years Consistency)</t>
        </is>
      </c>
      <c r="AG352" s="31">
        <f>IF(AF352="Structural (10 Years Consistency)",10,IF(AF352="Shallow Cyclical (2 to 3 years growth)",5,0))</f>
        <v/>
      </c>
      <c r="AH352" s="31" t="inlineStr">
        <is>
          <t>No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Stable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B2B</t>
        </is>
      </c>
      <c r="AO352" s="31">
        <f>IF(AN352="B2C",10,IF(AN352="B2B",5,0))</f>
        <v/>
      </c>
      <c r="AP352" s="31" t="inlineStr">
        <is>
          <t>No</t>
        </is>
      </c>
      <c r="AQ352" s="31">
        <f>IF(AP352="Yes",10,0)</f>
        <v/>
      </c>
      <c r="AR352" s="31" t="inlineStr">
        <is>
          <t>Higher One Time, Lower Annuity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Good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0 to 20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3</t>
        </is>
      </c>
      <c r="BC352" s="31">
        <f>IF(BB352="Stage 2",20,IF(BB352="Stage 1",0,IF(BB352="Stage 3",5,IF(BB352="Stage 4",-5,0))))</f>
        <v/>
      </c>
      <c r="BD352" s="31" t="inlineStr">
        <is>
          <t>Negative Trend</t>
        </is>
      </c>
      <c r="BE352" s="31">
        <f>IF(BD352="Positive Trend",20,IF(BD352="Negative Trend",-10,0))</f>
        <v/>
      </c>
      <c r="BF352" s="31" t="inlineStr">
        <is>
          <t>Uptrend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Close to 52 week high or retracement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Less than 12%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Yes</t>
        </is>
      </c>
      <c r="BS352" s="31">
        <f>IF(BR352="NO",5,0)</f>
        <v/>
      </c>
      <c r="BT352" s="31" t="inlineStr">
        <is>
          <t>Above 2</t>
        </is>
      </c>
      <c r="BU352" s="31">
        <f>IF(BT352="Above 2",0,IF(BT352="Between 1.5 to 2",5,IF(BT352="Less than 1.5",10,0)))</f>
        <v/>
      </c>
      <c r="BV352" s="31" t="inlineStr">
        <is>
          <t>Above 70%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Less than 0.7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Less than 15%</t>
        </is>
      </c>
      <c r="CC352" s="31">
        <f>IF(CB352="More than 15%",-10,IF(CB352="Less than 15%",10,0))</f>
        <v/>
      </c>
      <c r="CD352" s="31" t="inlineStr">
        <is>
          <t>No</t>
        </is>
      </c>
      <c r="CE352" s="31">
        <f>IF(CD352="Yes, more than 10%",-10,IF(CD352="No",10,0))</f>
        <v/>
      </c>
    </row>
    <row r="353">
      <c r="A353" s="31">
        <f>IF(B353=0,"",RANK(B353,$B$2:$B$389,0))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1" t="inlineStr">
        <is>
          <t>DEEPINDS</t>
        </is>
      </c>
      <c r="D353" s="31" t="inlineStr">
        <is>
          <t>Deep Industries Ltd</t>
        </is>
      </c>
      <c r="E353" s="31" t="inlineStr">
        <is>
          <t>energy</t>
        </is>
      </c>
      <c r="F353" s="31" t="inlineStr">
        <is>
          <t>oil drilling / allied services</t>
        </is>
      </c>
      <c r="G353" s="31" t="inlineStr">
        <is>
          <t>smallcap</t>
        </is>
      </c>
      <c r="H353" s="32" t="n">
        <v>4403.52</v>
      </c>
      <c r="I353" s="32" t="n">
        <v>678.05</v>
      </c>
      <c r="J353" s="32" t="n">
        <v>-1.45</v>
      </c>
      <c r="K353" s="32" t="n">
        <v>242723</v>
      </c>
      <c r="L353" s="31" t="inlineStr"/>
      <c r="M353" s="31" t="inlineStr"/>
      <c r="N353" s="32">
        <f>IF(M353="Underperforming",-5,IF(L353&gt;=95,15,IF(L353&gt;=90,10,IF(L353&gt;=80,5,0))))</f>
        <v/>
      </c>
      <c r="O353" s="32" t="n">
        <v>76.8</v>
      </c>
      <c r="P353" s="32" t="n">
        <v>26.84</v>
      </c>
      <c r="Q353" s="32" t="inlineStr"/>
      <c r="R353" s="31" t="inlineStr">
        <is>
          <t>Earnings / Momentum Support</t>
        </is>
      </c>
      <c r="S353" s="31" t="inlineStr">
        <is>
          <t>Nifty Energy</t>
        </is>
      </c>
      <c r="T353" s="32" t="inlineStr"/>
      <c r="U353" s="32" t="inlineStr"/>
      <c r="V353" s="32" t="inlineStr"/>
      <c r="W353" s="32" t="inlineStr"/>
      <c r="X353" s="31" t="inlineStr">
        <is>
          <t>Cyclical in an Upturn</t>
        </is>
      </c>
      <c r="Y353" s="31">
        <f>IF(X353="Growing Industry",10,IF(X353="Cyclical in an Upturn",5,0))</f>
        <v/>
      </c>
      <c r="Z353" s="31" t="inlineStr">
        <is>
          <t>Oligopoly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Yes</t>
        </is>
      </c>
      <c r="AC353" s="31">
        <f>IF(AB353="No",5,0)</f>
        <v/>
      </c>
      <c r="AD353" s="31" t="inlineStr">
        <is>
          <t>Headwind</t>
        </is>
      </c>
      <c r="AE353" s="31">
        <f>IF(AD353="Tailwind",10,0)</f>
        <v/>
      </c>
      <c r="AF353" s="31" t="inlineStr">
        <is>
          <t>Cyclical</t>
        </is>
      </c>
      <c r="AG353" s="31">
        <f>IF(AF353="Structural (10 Years Consistency)",10,IF(AF353="Shallow Cyclical (2 to 3 years growth)",5,0))</f>
        <v/>
      </c>
      <c r="AH353" s="31" t="inlineStr">
        <is>
          <t>No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Volatile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B2B</t>
        </is>
      </c>
      <c r="AO353" s="31">
        <f>IF(AN353="B2C",10,IF(AN353="B2B",5,0))</f>
        <v/>
      </c>
      <c r="AP353" s="31" t="inlineStr">
        <is>
          <t>No</t>
        </is>
      </c>
      <c r="AQ353" s="31">
        <f>IF(AP353="Yes",10,0)</f>
        <v/>
      </c>
      <c r="AR353" s="31" t="inlineStr">
        <is>
          <t>Higher One Time, Lower Annuity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Good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20 to 40</t>
        </is>
      </c>
      <c r="AY353" s="31">
        <f>IF(AX353="Above 40",20,IF(AX353="20 to 40",10,IF(AX353="0 to 20",-5,0)))</f>
        <v/>
      </c>
      <c r="AZ353" s="31" t="inlineStr">
        <is>
          <t>Above 75</t>
        </is>
      </c>
      <c r="BA353" s="31">
        <f>IF(AZ353="Between 50 to 75",10,IF(AZ353="Above 75",0,0))</f>
        <v/>
      </c>
      <c r="BB353" s="31" t="inlineStr">
        <is>
          <t>Stage 3</t>
        </is>
      </c>
      <c r="BC353" s="31">
        <f>IF(BB353="Stage 2",20,IF(BB353="Stage 1",0,IF(BB353="Stage 3",5,IF(BB353="Stage 4",-5,0))))</f>
        <v/>
      </c>
      <c r="BD353" s="31" t="inlineStr">
        <is>
          <t>Negative Trend</t>
        </is>
      </c>
      <c r="BE353" s="31">
        <f>IF(BD353="Positive Trend",20,IF(BD353="Negative Trend",-10,0))</f>
        <v/>
      </c>
      <c r="BF353" s="31" t="inlineStr">
        <is>
          <t>Uptrend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Close to 52 week high or retracement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More than 20%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No</t>
        </is>
      </c>
      <c r="BS353" s="31">
        <f>IF(BR353="NO",5,0)</f>
        <v/>
      </c>
      <c r="BT353" s="31" t="inlineStr">
        <is>
          <t>Less than 1.5</t>
        </is>
      </c>
      <c r="BU353" s="31">
        <f>IF(BT353="Above 2",0,IF(BT353="Between 1.5 to 2",5,IF(BT353="Less than 1.5",10,0)))</f>
        <v/>
      </c>
      <c r="BV353" s="31" t="inlineStr">
        <is>
          <t>Above 70%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Less than 0.7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Less than 15%</t>
        </is>
      </c>
      <c r="CC353" s="31">
        <f>IF(CB353="More than 15%",-10,IF(CB353="Less than 15%",10,0))</f>
        <v/>
      </c>
      <c r="CD353" s="31" t="inlineStr">
        <is>
          <t>No</t>
        </is>
      </c>
      <c r="CE353" s="31">
        <f>IF(CD353="Yes, more than 10%",-10,IF(CD353="No",10,0))</f>
        <v/>
      </c>
    </row>
    <row r="354">
      <c r="A354" s="31">
        <f>IF(B354=0,"",RANK(B354,$B$2:$B$389,0))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1" t="inlineStr">
        <is>
          <t>EMIL</t>
        </is>
      </c>
      <c r="D354" s="31" t="inlineStr">
        <is>
          <t>Electronics Mart India Ltd</t>
        </is>
      </c>
      <c r="E354" s="31" t="inlineStr">
        <is>
          <t>consumer discretionary</t>
        </is>
      </c>
      <c r="F354" s="31" t="inlineStr">
        <is>
          <t>trading</t>
        </is>
      </c>
      <c r="G354" s="31" t="inlineStr">
        <is>
          <t>midcap</t>
        </is>
      </c>
      <c r="H354" s="32" t="n">
        <v>7183.64</v>
      </c>
      <c r="I354" s="32" t="n">
        <v>183.48</v>
      </c>
      <c r="J354" s="32" t="n">
        <v>-1.73</v>
      </c>
      <c r="K354" s="32" t="n">
        <v>1771271</v>
      </c>
      <c r="L354" s="31" t="n">
        <v>74</v>
      </c>
      <c r="M354" s="31" t="inlineStr">
        <is>
          <t>Outperforming</t>
        </is>
      </c>
      <c r="N354" s="32">
        <f>IF(M354="Underperforming",-5,IF(L354&gt;=95,15,IF(L354&gt;=90,10,IF(L354&gt;=80,5,0))))</f>
        <v/>
      </c>
      <c r="O354" s="32" t="n">
        <v>75.66</v>
      </c>
      <c r="P354" s="32" t="n">
        <v>33.49</v>
      </c>
      <c r="Q354" s="32" t="inlineStr"/>
      <c r="R354" s="31" t="inlineStr">
        <is>
          <t>Earnings / Momentum Support</t>
        </is>
      </c>
      <c r="S354" s="31" t="inlineStr">
        <is>
          <t>Nifty 50</t>
        </is>
      </c>
      <c r="T354" s="32" t="n">
        <v>-2.49</v>
      </c>
      <c r="U354" s="32" t="n">
        <v>42.08</v>
      </c>
      <c r="V354" s="32" t="n">
        <v>45.7</v>
      </c>
      <c r="W354" s="32" t="n">
        <v>20.98</v>
      </c>
      <c r="X354" s="31" t="inlineStr">
        <is>
          <t>Growing Industry</t>
        </is>
      </c>
      <c r="Y354" s="31">
        <f>IF(X354="Growing Industry",10,IF(X354="Cyclical in an Upturn",5,0))</f>
        <v/>
      </c>
      <c r="Z354" s="31" t="inlineStr">
        <is>
          <t>Too Many Players with High ROCE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No</t>
        </is>
      </c>
      <c r="AC354" s="31">
        <f>IF(AB354="No",5,0)</f>
        <v/>
      </c>
      <c r="AD354" s="31" t="inlineStr">
        <is>
          <t>Headwind</t>
        </is>
      </c>
      <c r="AE354" s="31">
        <f>IF(AD354="Tailwind",10,0)</f>
        <v/>
      </c>
      <c r="AF354" s="31" t="inlineStr">
        <is>
          <t>Structural (10 Years Consistency)</t>
        </is>
      </c>
      <c r="AG354" s="31">
        <f>IF(AF354="Structural (10 Years Consistency)",10,IF(AF354="Shallow Cyclical (2 to 3 years growth)",5,0))</f>
        <v/>
      </c>
      <c r="AH354" s="31" t="inlineStr">
        <is>
          <t>No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Stable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No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Good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20 to 40</t>
        </is>
      </c>
      <c r="AY354" s="31">
        <f>IF(AX354="Above 40",20,IF(AX354="20 to 40",10,IF(AX354="0 to 20",-5,0)))</f>
        <v/>
      </c>
      <c r="AZ354" s="31" t="inlineStr">
        <is>
          <t>Above 75</t>
        </is>
      </c>
      <c r="BA354" s="31">
        <f>IF(AZ354="Between 50 to 75",10,IF(AZ354="Above 75",0,0))</f>
        <v/>
      </c>
      <c r="BB354" s="31" t="inlineStr">
        <is>
          <t>Stage 3</t>
        </is>
      </c>
      <c r="BC354" s="31">
        <f>IF(BB354="Stage 2",20,IF(BB354="Stage 1",0,IF(BB354="Stage 3",5,IF(BB354="Stage 4",-5,0))))</f>
        <v/>
      </c>
      <c r="BD354" s="31" t="inlineStr">
        <is>
          <t>Negative Trend</t>
        </is>
      </c>
      <c r="BE354" s="31">
        <f>IF(BD354="Positive Trend",20,IF(BD354="Negative Trend",-10,0))</f>
        <v/>
      </c>
      <c r="BF354" s="31" t="inlineStr">
        <is>
          <t>Uptrend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Close to 52 week high or retracement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More than 20%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No</t>
        </is>
      </c>
      <c r="BS354" s="31">
        <f>IF(BR354="NO",5,0)</f>
        <v/>
      </c>
      <c r="BT354" s="31" t="inlineStr">
        <is>
          <t>Above 2</t>
        </is>
      </c>
      <c r="BU354" s="31">
        <f>IF(BT354="Above 2",0,IF(BT354="Between 1.5 to 2",5,IF(BT354="Less than 1.5",10,0)))</f>
        <v/>
      </c>
      <c r="BV354" s="31" t="inlineStr">
        <is>
          <t>Above 70%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More than 1.2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Less than 15%</t>
        </is>
      </c>
      <c r="CC354" s="31">
        <f>IF(CB354="More than 15%",-10,IF(CB354="Less than 15%",10,0))</f>
        <v/>
      </c>
      <c r="CD354" s="31" t="inlineStr">
        <is>
          <t>No</t>
        </is>
      </c>
      <c r="CE354" s="31">
        <f>IF(CD354="Yes, more than 10%",-10,IF(CD354="No",10,0))</f>
        <v/>
      </c>
    </row>
    <row r="355">
      <c r="A355" s="31">
        <f>IF(B355=0,"",RANK(B355,$B$2:$B$389,0))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1" t="inlineStr">
        <is>
          <t>JINDRILL</t>
        </is>
      </c>
      <c r="D355" s="31" t="inlineStr">
        <is>
          <t>Jindal Drilling And Industries Limited</t>
        </is>
      </c>
      <c r="E355" s="31" t="inlineStr">
        <is>
          <t>energy</t>
        </is>
      </c>
      <c r="F355" s="31" t="inlineStr">
        <is>
          <t>oil drilling / allied services</t>
        </is>
      </c>
      <c r="G355" s="31" t="inlineStr">
        <is>
          <t>smallcap</t>
        </is>
      </c>
      <c r="H355" s="32" t="n">
        <v>1862.76</v>
      </c>
      <c r="I355" s="32" t="n">
        <v>630.95</v>
      </c>
      <c r="J355" s="32" t="n">
        <v>-1.84</v>
      </c>
      <c r="K355" s="32" t="n">
        <v>289038</v>
      </c>
      <c r="L355" s="31" t="inlineStr"/>
      <c r="M355" s="31" t="inlineStr"/>
      <c r="N355" s="32">
        <f>IF(M355="Underperforming",-5,IF(L355&gt;=95,15,IF(L355&gt;=90,10,IF(L355&gt;=80,5,0))))</f>
        <v/>
      </c>
      <c r="O355" s="32" t="n">
        <v>58.24</v>
      </c>
      <c r="P355" s="32" t="n">
        <v>46.04</v>
      </c>
      <c r="Q355" s="32" t="inlineStr"/>
      <c r="R355" s="31" t="inlineStr">
        <is>
          <t>Earnings / Momentum Support</t>
        </is>
      </c>
      <c r="S355" s="31" t="inlineStr">
        <is>
          <t>Nifty Energy</t>
        </is>
      </c>
      <c r="T355" s="32" t="inlineStr"/>
      <c r="U355" s="32" t="inlineStr"/>
      <c r="V355" s="32" t="inlineStr"/>
      <c r="W355" s="32" t="inlineStr"/>
      <c r="X355" s="31" t="inlineStr">
        <is>
          <t>Cyclical in an Upturn</t>
        </is>
      </c>
      <c r="Y355" s="31">
        <f>IF(X355="Growing Industry",10,IF(X355="Cyclical in an Upturn",5,0))</f>
        <v/>
      </c>
      <c r="Z355" s="31" t="inlineStr">
        <is>
          <t>Oligopoly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Yes</t>
        </is>
      </c>
      <c r="AC355" s="31">
        <f>IF(AB355="No",5,0)</f>
        <v/>
      </c>
      <c r="AD355" s="31" t="inlineStr">
        <is>
          <t>Headwind</t>
        </is>
      </c>
      <c r="AE355" s="31">
        <f>IF(AD355="Tailwind",10,0)</f>
        <v/>
      </c>
      <c r="AF355" s="31" t="inlineStr">
        <is>
          <t>Cyclical</t>
        </is>
      </c>
      <c r="AG355" s="31">
        <f>IF(AF355="Structural (10 Years Consistency)",10,IF(AF355="Shallow Cyclical (2 to 3 years growth)",5,0))</f>
        <v/>
      </c>
      <c r="AH355" s="31" t="inlineStr">
        <is>
          <t>No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Volatile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B2B</t>
        </is>
      </c>
      <c r="AO355" s="31">
        <f>IF(AN355="B2C",10,IF(AN355="B2B",5,0))</f>
        <v/>
      </c>
      <c r="AP355" s="31" t="inlineStr">
        <is>
          <t>No</t>
        </is>
      </c>
      <c r="AQ355" s="31">
        <f>IF(AP355="Yes",10,0)</f>
        <v/>
      </c>
      <c r="AR355" s="31" t="inlineStr">
        <is>
          <t>Higher One Time, Lower Annuity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Good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Above 40</t>
        </is>
      </c>
      <c r="AY355" s="31">
        <f>IF(AX355="Above 40",20,IF(AX355="20 to 40",10,IF(AX355="0 to 20",-5,0)))</f>
        <v/>
      </c>
      <c r="AZ355" s="31" t="inlineStr">
        <is>
          <t>Between 50 to 75</t>
        </is>
      </c>
      <c r="BA355" s="31">
        <f>IF(AZ355="Between 50 to 75",10,IF(AZ355="Above 75",0,0))</f>
        <v/>
      </c>
      <c r="BB355" s="31" t="inlineStr">
        <is>
          <t>Stage 3</t>
        </is>
      </c>
      <c r="BC355" s="31">
        <f>IF(BB355="Stage 2",20,IF(BB355="Stage 1",0,IF(BB355="Stage 3",5,IF(BB355="Stage 4",-5,0))))</f>
        <v/>
      </c>
      <c r="BD355" s="31" t="inlineStr">
        <is>
          <t>Negative Trend</t>
        </is>
      </c>
      <c r="BE355" s="31">
        <f>IF(BD355="Positive Trend",20,IF(BD355="Negative Trend",-10,0))</f>
        <v/>
      </c>
      <c r="BF355" s="31" t="inlineStr">
        <is>
          <t>Uptrend</t>
        </is>
      </c>
      <c r="BG355" s="31">
        <f>IF(BF355="Uptrend",10,IF(BF355="Sideways",5,0))</f>
        <v/>
      </c>
      <c r="BH355" s="31" t="inlineStr">
        <is>
          <t>Uptrend</t>
        </is>
      </c>
      <c r="BI355" s="31">
        <f>IF(BH355="Uptrend",10,IF(BH355="Sideways",5,0))</f>
        <v/>
      </c>
      <c r="BJ355" s="31" t="inlineStr">
        <is>
          <t>Close to 52 week high or retracement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Less than 12%</t>
        </is>
      </c>
      <c r="BO355" s="31">
        <f>IF(BN355="More than 20%",10,IF(BN355="Between 12 to 20%",5,IF(BN355="Less than 12%",0,0)))</f>
        <v/>
      </c>
      <c r="BP355" s="31" t="inlineStr">
        <is>
          <t>No</t>
        </is>
      </c>
      <c r="BQ355" s="31">
        <f>IF(BP355="No",10,0)</f>
        <v/>
      </c>
      <c r="BR355" s="31" t="inlineStr">
        <is>
          <t>No</t>
        </is>
      </c>
      <c r="BS355" s="31">
        <f>IF(BR355="NO",5,0)</f>
        <v/>
      </c>
      <c r="BT355" s="31" t="inlineStr">
        <is>
          <t>Above 2</t>
        </is>
      </c>
      <c r="BU355" s="31">
        <f>IF(BT355="Above 2",0,IF(BT355="Between 1.5 to 2",5,IF(BT355="Less than 1.5",10,0)))</f>
        <v/>
      </c>
      <c r="BV355" s="31" t="inlineStr">
        <is>
          <t>Above 70%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Less than 0.7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Less than 15%</t>
        </is>
      </c>
      <c r="CC355" s="31">
        <f>IF(CB355="More than 15%",-10,IF(CB355="Less than 15%",10,0))</f>
        <v/>
      </c>
      <c r="CD355" s="31" t="inlineStr">
        <is>
          <t>No</t>
        </is>
      </c>
      <c r="CE355" s="31">
        <f>IF(CD355="Yes, more than 10%",-10,IF(CD355="No",10,0))</f>
        <v/>
      </c>
    </row>
    <row r="356">
      <c r="A356" s="31">
        <f>IF(B356=0,"",RANK(B356,$B$2:$B$389,0))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1" t="inlineStr">
        <is>
          <t>SMLMAH</t>
        </is>
      </c>
      <c r="D356" s="31" t="inlineStr">
        <is>
          <t>SML Mahindra Ltd</t>
        </is>
      </c>
      <c r="E356" s="31" t="inlineStr">
        <is>
          <t>auto</t>
        </is>
      </c>
      <c r="F356" s="31" t="inlineStr">
        <is>
          <t>automobiles - lcvs / hcvs</t>
        </is>
      </c>
      <c r="G356" s="31" t="inlineStr">
        <is>
          <t>midcap</t>
        </is>
      </c>
      <c r="H356" s="32" t="n">
        <v>7704.7</v>
      </c>
      <c r="I356" s="32" t="n">
        <v>5204</v>
      </c>
      <c r="J356" s="32" t="n">
        <v>-2.25</v>
      </c>
      <c r="K356" s="32" t="n">
        <v>55684</v>
      </c>
      <c r="L356" s="31" t="inlineStr"/>
      <c r="M356" s="31" t="inlineStr"/>
      <c r="N356" s="32">
        <f>IF(M356="Underperforming",-5,IF(L356&gt;=95,15,IF(L356&gt;=90,10,IF(L356&gt;=80,5,0))))</f>
        <v/>
      </c>
      <c r="O356" s="32" t="n">
        <v>63.79</v>
      </c>
      <c r="P356" s="32" t="n">
        <v>16.07</v>
      </c>
      <c r="Q356" s="32" t="inlineStr"/>
      <c r="R356" s="31" t="inlineStr">
        <is>
          <t>Earnings / Momentum Support</t>
        </is>
      </c>
      <c r="S356" s="31" t="inlineStr">
        <is>
          <t>Nifty Auto</t>
        </is>
      </c>
      <c r="T356" s="32" t="inlineStr"/>
      <c r="U356" s="32" t="inlineStr"/>
      <c r="V356" s="32" t="inlineStr"/>
      <c r="W356" s="32" t="inlineStr"/>
      <c r="X356" s="31" t="inlineStr">
        <is>
          <t>Growing Industry</t>
        </is>
      </c>
      <c r="Y356" s="31">
        <f>IF(X356="Growing Industry",10,IF(X356="Cyclical in an Upturn",5,0))</f>
        <v/>
      </c>
      <c r="Z356" s="31" t="inlineStr">
        <is>
          <t>Too Many Players with High ROCE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No</t>
        </is>
      </c>
      <c r="AC356" s="31">
        <f>IF(AB356="No",5,0)</f>
        <v/>
      </c>
      <c r="AD356" s="31" t="inlineStr">
        <is>
          <t>Headwind</t>
        </is>
      </c>
      <c r="AE356" s="31">
        <f>IF(AD356="Tailwind",10,0)</f>
        <v/>
      </c>
      <c r="AF356" s="31" t="inlineStr">
        <is>
          <t>Structural (10 Years Consistency)</t>
        </is>
      </c>
      <c r="AG356" s="31">
        <f>IF(AF356="Structural (10 Years Consistency)",10,IF(AF356="Shallow Cyclical (2 to 3 years growth)",5,0))</f>
        <v/>
      </c>
      <c r="AH356" s="31" t="inlineStr">
        <is>
          <t>No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Stable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No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Good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0 to 20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3</t>
        </is>
      </c>
      <c r="BC356" s="31">
        <f>IF(BB356="Stage 2",20,IF(BB356="Stage 1",0,IF(BB356="Stage 3",5,IF(BB356="Stage 4",-5,0))))</f>
        <v/>
      </c>
      <c r="BD356" s="31" t="inlineStr">
        <is>
          <t>Negative Trend</t>
        </is>
      </c>
      <c r="BE356" s="31">
        <f>IF(BD356="Positive Trend",20,IF(BD356="Negative Trend",-10,0))</f>
        <v/>
      </c>
      <c r="BF356" s="31" t="inlineStr">
        <is>
          <t>Uptrend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Close to 52 week high or retracement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Yes</t>
        </is>
      </c>
      <c r="BM356" s="31">
        <f>IF(BL356="Yes",10,0)</f>
        <v/>
      </c>
      <c r="BN356" s="31" t="inlineStr">
        <is>
          <t>Less than 12%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Yes</t>
        </is>
      </c>
      <c r="BS356" s="31">
        <f>IF(BR356="NO",5,0)</f>
        <v/>
      </c>
      <c r="BT356" s="31" t="inlineStr">
        <is>
          <t>Above 2</t>
        </is>
      </c>
      <c r="BU356" s="31">
        <f>IF(BT356="Above 2",0,IF(BT356="Between 1.5 to 2",5,IF(BT356="Less than 1.5",10,0)))</f>
        <v/>
      </c>
      <c r="BV356" s="31" t="inlineStr">
        <is>
          <t>Above 70%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Less than 0.7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Less than 15%</t>
        </is>
      </c>
      <c r="CC356" s="31">
        <f>IF(CB356="More than 15%",-10,IF(CB356="Less than 15%",10,0))</f>
        <v/>
      </c>
      <c r="CD356" s="31" t="inlineStr">
        <is>
          <t>No</t>
        </is>
      </c>
      <c r="CE356" s="31">
        <f>IF(CD356="Yes, more than 10%",-10,IF(CD356="No",10,0))</f>
        <v/>
      </c>
    </row>
    <row r="357">
      <c r="A357" s="31">
        <f>IF(B357=0,"",RANK(B357,$B$2:$B$389,0))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1" t="inlineStr">
        <is>
          <t>DOLPHIN</t>
        </is>
      </c>
      <c r="D357" s="31" t="inlineStr">
        <is>
          <t>Dolphin Offshore Enterprises (India) Ltd</t>
        </is>
      </c>
      <c r="E357" s="31" t="inlineStr">
        <is>
          <t>energy</t>
        </is>
      </c>
      <c r="F357" s="31" t="inlineStr">
        <is>
          <t>oil drilling / allied services</t>
        </is>
      </c>
      <c r="G357" s="31" t="inlineStr">
        <is>
          <t>smallcap</t>
        </is>
      </c>
      <c r="H357" s="32" t="n">
        <v>2580.7</v>
      </c>
      <c r="I357" s="32" t="n">
        <v>616.45</v>
      </c>
      <c r="J357" s="32" t="n">
        <v>-4.44</v>
      </c>
      <c r="K357" s="32" t="n">
        <v>93462</v>
      </c>
      <c r="L357" s="31" t="inlineStr"/>
      <c r="M357" s="31" t="inlineStr"/>
      <c r="N357" s="32">
        <f>IF(M357="Underperforming",-5,IF(L357&gt;=95,15,IF(L357&gt;=90,10,IF(L357&gt;=80,5,0))))</f>
        <v/>
      </c>
      <c r="O357" s="32" t="n">
        <v>82.28</v>
      </c>
      <c r="P357" s="32" t="n">
        <v>32.73</v>
      </c>
      <c r="Q357" s="32" t="inlineStr"/>
      <c r="R357" s="31" t="inlineStr">
        <is>
          <t>Earnings / Momentum Support</t>
        </is>
      </c>
      <c r="S357" s="31" t="inlineStr">
        <is>
          <t>Nifty Energy</t>
        </is>
      </c>
      <c r="T357" s="32" t="inlineStr"/>
      <c r="U357" s="32" t="inlineStr"/>
      <c r="V357" s="32" t="inlineStr"/>
      <c r="W357" s="32" t="inlineStr"/>
      <c r="X357" s="31" t="inlineStr">
        <is>
          <t>Cyclical in an Upturn</t>
        </is>
      </c>
      <c r="Y357" s="31">
        <f>IF(X357="Growing Industry",10,IF(X357="Cyclical in an Upturn",5,0))</f>
        <v/>
      </c>
      <c r="Z357" s="31" t="inlineStr">
        <is>
          <t>Oligopoly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Yes</t>
        </is>
      </c>
      <c r="AC357" s="31">
        <f>IF(AB357="No",5,0)</f>
        <v/>
      </c>
      <c r="AD357" s="31" t="inlineStr">
        <is>
          <t>Headwind</t>
        </is>
      </c>
      <c r="AE357" s="31">
        <f>IF(AD357="Tailwind",10,0)</f>
        <v/>
      </c>
      <c r="AF357" s="31" t="inlineStr">
        <is>
          <t>Cyclical</t>
        </is>
      </c>
      <c r="AG357" s="31">
        <f>IF(AF357="Structural (10 Years Consistency)",10,IF(AF357="Shallow Cyclical (2 to 3 years growth)",5,0))</f>
        <v/>
      </c>
      <c r="AH357" s="31" t="inlineStr">
        <is>
          <t>No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Volatile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B2B</t>
        </is>
      </c>
      <c r="AO357" s="31">
        <f>IF(AN357="B2C",10,IF(AN357="B2B",5,0))</f>
        <v/>
      </c>
      <c r="AP357" s="31" t="inlineStr">
        <is>
          <t>No</t>
        </is>
      </c>
      <c r="AQ357" s="31">
        <f>IF(AP357="Yes",10,0)</f>
        <v/>
      </c>
      <c r="AR357" s="31" t="inlineStr">
        <is>
          <t>Higher One Time, Lower Annuity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Good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20 to 40</t>
        </is>
      </c>
      <c r="AY357" s="31">
        <f>IF(AX357="Above 40",20,IF(AX357="20 to 40",10,IF(AX357="0 to 20",-5,0)))</f>
        <v/>
      </c>
      <c r="AZ357" s="31" t="inlineStr">
        <is>
          <t>Above 75</t>
        </is>
      </c>
      <c r="BA357" s="31">
        <f>IF(AZ357="Between 50 to 75",10,IF(AZ357="Above 75",0,0))</f>
        <v/>
      </c>
      <c r="BB357" s="31" t="inlineStr">
        <is>
          <t>Stage 3</t>
        </is>
      </c>
      <c r="BC357" s="31">
        <f>IF(BB357="Stage 2",20,IF(BB357="Stage 1",0,IF(BB357="Stage 3",5,IF(BB357="Stage 4",-5,0))))</f>
        <v/>
      </c>
      <c r="BD357" s="31" t="inlineStr">
        <is>
          <t>Negative Trend</t>
        </is>
      </c>
      <c r="BE357" s="31">
        <f>IF(BD357="Positive Trend",20,IF(BD357="Negative Trend",-10,0))</f>
        <v/>
      </c>
      <c r="BF357" s="31" t="inlineStr">
        <is>
          <t>Uptrend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Close to 52 week high or retracement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Yes</t>
        </is>
      </c>
      <c r="BM357" s="31">
        <f>IF(BL357="Yes",10,0)</f>
        <v/>
      </c>
      <c r="BN357" s="31" t="inlineStr">
        <is>
          <t>More than 20%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No</t>
        </is>
      </c>
      <c r="BS357" s="31">
        <f>IF(BR357="NO",5,0)</f>
        <v/>
      </c>
      <c r="BT357" s="31" t="inlineStr">
        <is>
          <t>Less than 1.5</t>
        </is>
      </c>
      <c r="BU357" s="31">
        <f>IF(BT357="Above 2",0,IF(BT357="Between 1.5 to 2",5,IF(BT357="Less than 1.5",10,0)))</f>
        <v/>
      </c>
      <c r="BV357" s="31" t="inlineStr">
        <is>
          <t>Above 70%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Less than 0.7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Less than 15%</t>
        </is>
      </c>
      <c r="CC357" s="31">
        <f>IF(CB357="More than 15%",-10,IF(CB357="Less than 15%",10,0))</f>
        <v/>
      </c>
      <c r="CD357" s="31" t="inlineStr">
        <is>
          <t>No</t>
        </is>
      </c>
      <c r="CE357" s="31">
        <f>IF(CD357="Yes, more than 10%",-10,IF(CD357="No",10,0))</f>
        <v/>
      </c>
    </row>
    <row r="358">
      <c r="A358" s="31">
        <f>IF(B358=0,"",RANK(B358,$B$2:$B$389,0))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1" t="inlineStr">
        <is>
          <t>HATSUN</t>
        </is>
      </c>
      <c r="D358" s="31" t="inlineStr">
        <is>
          <t>Hatsun Agro Product Limited</t>
        </is>
      </c>
      <c r="E358" s="31" t="inlineStr">
        <is>
          <t>fmcg</t>
        </is>
      </c>
      <c r="F358" s="31" t="inlineStr">
        <is>
          <t>food - processing - indian</t>
        </is>
      </c>
      <c r="G358" s="31" t="inlineStr">
        <is>
          <t>largecap</t>
        </is>
      </c>
      <c r="H358" s="32" t="n">
        <v>21934.02</v>
      </c>
      <c r="I358" s="32" t="n">
        <v>1044.5</v>
      </c>
      <c r="J358" s="32" t="n">
        <v>6.07</v>
      </c>
      <c r="K358" s="32" t="n">
        <v>294862</v>
      </c>
      <c r="L358" s="31" t="inlineStr"/>
      <c r="M358" s="31" t="inlineStr"/>
      <c r="N358" s="32">
        <f>IF(M358="Underperforming",-5,IF(L358&gt;=95,15,IF(L358&gt;=90,10,IF(L358&gt;=80,5,0))))</f>
        <v/>
      </c>
      <c r="O358" s="32" t="n">
        <v>59.59</v>
      </c>
      <c r="P358" s="32" t="n">
        <v>12.7</v>
      </c>
      <c r="Q358" s="32" t="inlineStr"/>
      <c r="R358" s="31" t="inlineStr">
        <is>
          <t>Earnings / Momentum Support</t>
        </is>
      </c>
      <c r="S358" s="31" t="inlineStr">
        <is>
          <t>Nifty FMCG</t>
        </is>
      </c>
      <c r="T358" s="32" t="inlineStr"/>
      <c r="U358" s="32" t="inlineStr"/>
      <c r="V358" s="32" t="inlineStr"/>
      <c r="W358" s="32" t="inlineStr"/>
      <c r="X358" s="31" t="inlineStr">
        <is>
          <t>Growing Industry</t>
        </is>
      </c>
      <c r="Y358" s="31">
        <f>IF(X358="Growing Industry",10,IF(X358="Cyclical in an Upturn",5,0))</f>
        <v/>
      </c>
      <c r="Z358" s="31" t="inlineStr">
        <is>
          <t>Too Many Players with High ROCE</t>
        </is>
      </c>
      <c r="AA358" s="31">
        <f>IF(Z358="Monopoly",10,IF(Z358="Oligopoly",5,IF(Z358="Duopoly that cooperate",10,IF(Z358="Duopoly that compete",5,IF(Z358="Too many players with High ROCE",5,0)))))</f>
        <v/>
      </c>
      <c r="AB358" s="31" t="inlineStr">
        <is>
          <t>No</t>
        </is>
      </c>
      <c r="AC358" s="31">
        <f>IF(AB358="No",5,0)</f>
        <v/>
      </c>
      <c r="AD358" s="31" t="inlineStr">
        <is>
          <t>Headwind</t>
        </is>
      </c>
      <c r="AE358" s="31">
        <f>IF(AD358="Tailwind",10,0)</f>
        <v/>
      </c>
      <c r="AF358" s="31" t="inlineStr">
        <is>
          <t>Structural (10 Years Consistency)</t>
        </is>
      </c>
      <c r="AG358" s="31">
        <f>IF(AF358="Structural (10 Years Consistency)",10,IF(AF358="Shallow Cyclical (2 to 3 years growth)",5,0))</f>
        <v/>
      </c>
      <c r="AH358" s="31" t="inlineStr">
        <is>
          <t>No</t>
        </is>
      </c>
      <c r="AI358" s="31">
        <f>IF(AH358="Yes due to Product Mix change or Operating Leverage",10,IF(AH358="Yes, these are peak margins",-5,IF(AH358="No",5,0)))</f>
        <v/>
      </c>
      <c r="AJ358" s="31" t="inlineStr">
        <is>
          <t>Stable</t>
        </is>
      </c>
      <c r="AK358" s="31">
        <f>IF(AJ358="Stable",10,0)</f>
        <v/>
      </c>
      <c r="AL358" s="31" t="inlineStr">
        <is>
          <t>Yes</t>
        </is>
      </c>
      <c r="AM358" s="31">
        <f>IF(AL358="Yes",10,0)</f>
        <v/>
      </c>
      <c r="AN358" s="31" t="inlineStr">
        <is>
          <t>B2C</t>
        </is>
      </c>
      <c r="AO358" s="31">
        <f>IF(AN358="B2C",10,IF(AN358="B2B",5,0))</f>
        <v/>
      </c>
      <c r="AP358" s="31" t="inlineStr">
        <is>
          <t>No</t>
        </is>
      </c>
      <c r="AQ358" s="31">
        <f>IF(AP358="Yes",10,0)</f>
        <v/>
      </c>
      <c r="AR358" s="31" t="inlineStr">
        <is>
          <t>Higher Annuity, Lower One Time</t>
        </is>
      </c>
      <c r="AS358" s="31">
        <f>IF(AR358="Fully Annuity",10,IF(AR358="Higher Annuity, Lower One Time",5,IF(AR358="Higher One Time, Lower Annuity",3,0)))</f>
        <v/>
      </c>
      <c r="AT358" s="31" t="inlineStr">
        <is>
          <t>Good</t>
        </is>
      </c>
      <c r="AU358" s="31">
        <f>IF(AT358="Good",10,0)</f>
        <v/>
      </c>
      <c r="AV358" s="31" t="inlineStr">
        <is>
          <t>Yes for more than 2 years</t>
        </is>
      </c>
      <c r="AW358" s="31">
        <f>IF(AV358="Yes for more than 2 years",10,IF(AV358="Yes only for next 1 to 2 years",5,0))</f>
        <v/>
      </c>
      <c r="AX358" s="31" t="inlineStr">
        <is>
          <t>0 to 20</t>
        </is>
      </c>
      <c r="AY358" s="31">
        <f>IF(AX358="Above 40",20,IF(AX358="20 to 40",10,IF(AX358="0 to 20",-5,0)))</f>
        <v/>
      </c>
      <c r="AZ358" s="31" t="inlineStr">
        <is>
          <t>Between 50 to 75</t>
        </is>
      </c>
      <c r="BA358" s="31">
        <f>IF(AZ358="Between 50 to 75",10,IF(AZ358="Above 75",0,0))</f>
        <v/>
      </c>
      <c r="BB358" s="31" t="inlineStr">
        <is>
          <t>Stage 3</t>
        </is>
      </c>
      <c r="BC358" s="31">
        <f>IF(BB358="Stage 2",20,IF(BB358="Stage 1",0,IF(BB358="Stage 3",5,IF(BB358="Stage 4",-5,0))))</f>
        <v/>
      </c>
      <c r="BD358" s="31" t="inlineStr">
        <is>
          <t>Negative Trend</t>
        </is>
      </c>
      <c r="BE358" s="31">
        <f>IF(BD358="Positive Trend",20,IF(BD358="Negative Trend",-10,0))</f>
        <v/>
      </c>
      <c r="BF358" s="31" t="inlineStr">
        <is>
          <t>Uptrend</t>
        </is>
      </c>
      <c r="BG358" s="31">
        <f>IF(BF358="Uptrend",10,IF(BF358="Sideways",5,0))</f>
        <v/>
      </c>
      <c r="BH358" s="31" t="inlineStr">
        <is>
          <t>Uptrend</t>
        </is>
      </c>
      <c r="BI358" s="31">
        <f>IF(BH358="Uptrend",10,IF(BH358="Sideways",5,0))</f>
        <v/>
      </c>
      <c r="BJ358" s="31" t="inlineStr">
        <is>
          <t>Close to 52 week high or retracement</t>
        </is>
      </c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inlineStr">
        <is>
          <t>Yes</t>
        </is>
      </c>
      <c r="BM358" s="31">
        <f>IF(BL358="Yes",10,0)</f>
        <v/>
      </c>
      <c r="BN358" s="31" t="inlineStr">
        <is>
          <t>Less than 12%</t>
        </is>
      </c>
      <c r="BO358" s="31">
        <f>IF(BN358="More than 20%",10,IF(BN358="Between 12 to 20%",5,IF(BN358="Less than 12%",0,0)))</f>
        <v/>
      </c>
      <c r="BP358" s="31" t="inlineStr">
        <is>
          <t>No</t>
        </is>
      </c>
      <c r="BQ358" s="31">
        <f>IF(BP358="No",10,0)</f>
        <v/>
      </c>
      <c r="BR358" s="31" t="inlineStr">
        <is>
          <t>Yes</t>
        </is>
      </c>
      <c r="BS358" s="31">
        <f>IF(BR358="NO",5,0)</f>
        <v/>
      </c>
      <c r="BT358" s="31" t="inlineStr">
        <is>
          <t>Above 2</t>
        </is>
      </c>
      <c r="BU358" s="31">
        <f>IF(BT358="Above 2",0,IF(BT358="Between 1.5 to 2",5,IF(BT358="Less than 1.5",10,0)))</f>
        <v/>
      </c>
      <c r="BV358" s="31" t="inlineStr">
        <is>
          <t>Above 70%</t>
        </is>
      </c>
      <c r="BW358" s="31">
        <f>IF(BV358="Above 70%",10,IF(BV358="Between 50% to 70%",5,IF(BV358="Less than 50%",0,IF(BV358="Negative",-10,IF(BV358="Less than 50% and Borrowings are increasing",-5,0)))))</f>
        <v/>
      </c>
      <c r="BX358" s="31" t="inlineStr">
        <is>
          <t>Between 0.7 to 1.2</t>
        </is>
      </c>
      <c r="BY358" s="31">
        <f>IF(BX358="More than 1.2",-10,IF(BX358="Between 0.7 to 1.2",0,IF(BX358="Less than 0.7",10,0)))</f>
        <v/>
      </c>
      <c r="BZ358" s="31" t="inlineStr">
        <is>
          <t>No</t>
        </is>
      </c>
      <c r="CA358" s="31">
        <f>IF(BZ358="Yes",-10,0)</f>
        <v/>
      </c>
      <c r="CB358" s="31" t="inlineStr">
        <is>
          <t>Less than 15%</t>
        </is>
      </c>
      <c r="CC358" s="31">
        <f>IF(CB358="More than 15%",-10,IF(CB358="Less than 15%",10,0))</f>
        <v/>
      </c>
      <c r="CD358" s="31" t="inlineStr">
        <is>
          <t>No</t>
        </is>
      </c>
      <c r="CE358" s="31">
        <f>IF(CD358="Yes, more than 10%",-10,IF(CD358="No",10,0))</f>
        <v/>
      </c>
    </row>
    <row r="359">
      <c r="A359" s="31">
        <f>IF(B359=0,"",RANK(B359,$B$2:$B$389,0))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3" t="inlineStr">
        <is>
          <t>INDGN</t>
        </is>
      </c>
      <c r="D359" s="33" t="inlineStr">
        <is>
          <t>Indegene Ltd</t>
        </is>
      </c>
      <c r="E359" s="31" t="inlineStr">
        <is>
          <t>healthcare</t>
        </is>
      </c>
      <c r="F359" s="31" t="inlineStr">
        <is>
          <t>miscellaneous</t>
        </is>
      </c>
      <c r="G359" s="31" t="inlineStr">
        <is>
          <t>midcap</t>
        </is>
      </c>
      <c r="H359" s="32" t="n">
        <v>13681.39</v>
      </c>
      <c r="I359" s="32" t="n">
        <v>566.75</v>
      </c>
      <c r="J359" s="32" t="n">
        <v>-0.18</v>
      </c>
      <c r="K359" s="32" t="n">
        <v>344465</v>
      </c>
      <c r="L359" s="31" t="n">
        <v>15</v>
      </c>
      <c r="M359" s="31" t="inlineStr">
        <is>
          <t>Underperforming</t>
        </is>
      </c>
      <c r="N359" s="32">
        <f>IF(M359="Underperforming",-5,IF(L359&gt;=95,15,IF(L359&gt;=90,10,IF(L359&gt;=80,5,0))))</f>
        <v/>
      </c>
      <c r="O359" s="32" t="n">
        <v>64.63</v>
      </c>
      <c r="P359" s="32" t="n">
        <v>18.63</v>
      </c>
      <c r="Q359" s="32" t="inlineStr"/>
      <c r="R359" s="31" t="inlineStr">
        <is>
          <t>Earnings / Momentum Support</t>
        </is>
      </c>
      <c r="S359" s="31" t="inlineStr">
        <is>
          <t>Nifty Pharma</t>
        </is>
      </c>
      <c r="T359" s="32" t="n">
        <v>18.39</v>
      </c>
      <c r="U359" s="32" t="n">
        <v>-0.39</v>
      </c>
      <c r="V359" s="32" t="n">
        <v>-15.86</v>
      </c>
      <c r="W359" s="32" t="n">
        <v>2.66</v>
      </c>
      <c r="X359" s="31" t="inlineStr">
        <is>
          <t>Growing Industry</t>
        </is>
      </c>
      <c r="Y359" s="31">
        <f>IF(X359="Growing Industry",10,IF(X359="Cyclical in an Upturn",5,0))</f>
        <v/>
      </c>
      <c r="Z359" s="31" t="inlineStr">
        <is>
          <t>Too Many Players with High ROCE</t>
        </is>
      </c>
      <c r="AA359" s="31">
        <f>IF(Z359="Monopoly",10,IF(Z359="Oligopoly",5,IF(Z359="Duopoly that cooperate",10,IF(Z359="Duopoly that compete",5,IF(Z359="Too many players with High ROCE",5,0)))))</f>
        <v/>
      </c>
      <c r="AB359" s="31" t="inlineStr">
        <is>
          <t>Yes</t>
        </is>
      </c>
      <c r="AC359" s="31">
        <f>IF(AB359="No",5,0)</f>
        <v/>
      </c>
      <c r="AD359" s="31" t="inlineStr">
        <is>
          <t>Headwind</t>
        </is>
      </c>
      <c r="AE359" s="31">
        <f>IF(AD359="Tailwind",10,0)</f>
        <v/>
      </c>
      <c r="AF359" s="31" t="inlineStr">
        <is>
          <t>Structural (10 Years Consistency)</t>
        </is>
      </c>
      <c r="AG359" s="31">
        <f>IF(AF359="Structural (10 Years Consistency)",10,IF(AF359="Shallow Cyclical (2 to 3 years growth)",5,0))</f>
        <v/>
      </c>
      <c r="AH359" s="31" t="inlineStr">
        <is>
          <t>No</t>
        </is>
      </c>
      <c r="AI359" s="31">
        <f>IF(AH359="Yes due to Product Mix change or Operating Leverage",10,IF(AH359="Yes, these are peak margins",-5,IF(AH359="No",5,0)))</f>
        <v/>
      </c>
      <c r="AJ359" s="31" t="inlineStr">
        <is>
          <t>Stable</t>
        </is>
      </c>
      <c r="AK359" s="31">
        <f>IF(AJ359="Stable",10,0)</f>
        <v/>
      </c>
      <c r="AL359" s="31" t="inlineStr">
        <is>
          <t>Yes</t>
        </is>
      </c>
      <c r="AM359" s="31">
        <f>IF(AL359="Yes",10,0)</f>
        <v/>
      </c>
      <c r="AN359" s="31" t="inlineStr">
        <is>
          <t>B2B</t>
        </is>
      </c>
      <c r="AO359" s="31">
        <f>IF(AN359="B2C",10,IF(AN359="B2B",5,0))</f>
        <v/>
      </c>
      <c r="AP359" s="31" t="inlineStr">
        <is>
          <t>No</t>
        </is>
      </c>
      <c r="AQ359" s="31">
        <f>IF(AP359="Yes",10,0)</f>
        <v/>
      </c>
      <c r="AR359" s="31" t="inlineStr">
        <is>
          <t>Higher Annuity, Lower One Time</t>
        </is>
      </c>
      <c r="AS359" s="31">
        <f>IF(AR359="Fully Annuity",10,IF(AR359="Higher Annuity, Lower One Time",5,IF(AR359="Higher One Time, Lower Annuity",3,0)))</f>
        <v/>
      </c>
      <c r="AT359" s="31" t="inlineStr">
        <is>
          <t>Good</t>
        </is>
      </c>
      <c r="AU359" s="31">
        <f>IF(AT359="Good",10,0)</f>
        <v/>
      </c>
      <c r="AV359" s="31" t="inlineStr">
        <is>
          <t>Yes for more than 2 years</t>
        </is>
      </c>
      <c r="AW359" s="31">
        <f>IF(AV359="Yes for more than 2 years",10,IF(AV359="Yes only for next 1 to 2 years",5,0))</f>
        <v/>
      </c>
      <c r="AX359" s="31" t="inlineStr">
        <is>
          <t>0 to 20</t>
        </is>
      </c>
      <c r="AY359" s="31">
        <f>IF(AX359="Above 40",20,IF(AX359="20 to 40",10,IF(AX359="0 to 20",-5,0)))</f>
        <v/>
      </c>
      <c r="AZ359" s="31" t="inlineStr">
        <is>
          <t>Between 50 to 75</t>
        </is>
      </c>
      <c r="BA359" s="31">
        <f>IF(AZ359="Between 50 to 75",10,IF(AZ359="Above 75",0,0))</f>
        <v/>
      </c>
      <c r="BB359" s="31" t="inlineStr">
        <is>
          <t>Stage 3</t>
        </is>
      </c>
      <c r="BC359" s="31">
        <f>IF(BB359="Stage 2",20,IF(BB359="Stage 1",0,IF(BB359="Stage 3",5,IF(BB359="Stage 4",-5,0))))</f>
        <v/>
      </c>
      <c r="BD359" s="31" t="inlineStr">
        <is>
          <t>Negative Trend</t>
        </is>
      </c>
      <c r="BE359" s="31">
        <f>IF(BD359="Positive Trend",20,IF(BD359="Negative Trend",-10,0))</f>
        <v/>
      </c>
      <c r="BF359" s="31" t="inlineStr">
        <is>
          <t>Uptrend</t>
        </is>
      </c>
      <c r="BG359" s="31">
        <f>IF(BF359="Uptrend",10,IF(BF359="Sideways",5,0))</f>
        <v/>
      </c>
      <c r="BH359" s="31" t="inlineStr">
        <is>
          <t>Uptrend</t>
        </is>
      </c>
      <c r="BI359" s="31">
        <f>IF(BH359="Uptrend",10,IF(BH359="Sideways",5,0))</f>
        <v/>
      </c>
      <c r="BJ359" s="31" t="inlineStr">
        <is>
          <t>Close to 52 week high or retracement</t>
        </is>
      </c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inlineStr">
        <is>
          <t>Yes</t>
        </is>
      </c>
      <c r="BM359" s="31">
        <f>IF(BL359="Yes",10,0)</f>
        <v/>
      </c>
      <c r="BN359" s="31" t="inlineStr">
        <is>
          <t>Less than 12%</t>
        </is>
      </c>
      <c r="BO359" s="31">
        <f>IF(BN359="More than 20%",10,IF(BN359="Between 12 to 20%",5,IF(BN359="Less than 12%",0,0)))</f>
        <v/>
      </c>
      <c r="BP359" s="31" t="inlineStr">
        <is>
          <t>No</t>
        </is>
      </c>
      <c r="BQ359" s="31">
        <f>IF(BP359="No",10,0)</f>
        <v/>
      </c>
      <c r="BR359" s="31" t="inlineStr">
        <is>
          <t>No</t>
        </is>
      </c>
      <c r="BS359" s="31">
        <f>IF(BR359="NO",5,0)</f>
        <v/>
      </c>
      <c r="BT359" s="31" t="inlineStr">
        <is>
          <t>Above 2</t>
        </is>
      </c>
      <c r="BU359" s="31">
        <f>IF(BT359="Above 2",0,IF(BT359="Between 1.5 to 2",5,IF(BT359="Less than 1.5",10,0)))</f>
        <v/>
      </c>
      <c r="BV359" s="31" t="inlineStr">
        <is>
          <t>Above 70%</t>
        </is>
      </c>
      <c r="BW359" s="31">
        <f>IF(BV359="Above 70%",10,IF(BV359="Between 50% to 70%",5,IF(BV359="Less than 50%",0,IF(BV359="Negative",-10,IF(BV359="Less than 50% and Borrowings are increasing",-5,0)))))</f>
        <v/>
      </c>
      <c r="BX359" s="31" t="inlineStr">
        <is>
          <t>Less than 0.7</t>
        </is>
      </c>
      <c r="BY359" s="31">
        <f>IF(BX359="More than 1.2",-10,IF(BX359="Between 0.7 to 1.2",0,IF(BX359="Less than 0.7",10,0)))</f>
        <v/>
      </c>
      <c r="BZ359" s="31" t="inlineStr">
        <is>
          <t>No</t>
        </is>
      </c>
      <c r="CA359" s="31">
        <f>IF(BZ359="Yes",-10,0)</f>
        <v/>
      </c>
      <c r="CB359" s="31" t="inlineStr">
        <is>
          <t>Less than 15%</t>
        </is>
      </c>
      <c r="CC359" s="31">
        <f>IF(CB359="More than 15%",-10,IF(CB359="Less than 15%",10,0))</f>
        <v/>
      </c>
      <c r="CD359" s="31" t="inlineStr">
        <is>
          <t>No</t>
        </is>
      </c>
      <c r="CE359" s="31">
        <f>IF(CD359="Yes, more than 10%",-10,IF(CD359="No",10,0))</f>
        <v/>
      </c>
    </row>
    <row r="360">
      <c r="A360" s="31">
        <f>IF(B360=0,"",RANK(B360,$B$2:$B$389,0))</f>
        <v/>
      </c>
      <c r="B360" s="32">
        <f>SUM(N360,Y360,AA360,AC360,AE360,AG360,AI360,AK360,AM360,AO360,AQ360,AS360,AU360,AW360,AY360,BA360,BC360,BE360,BG360,BI360,BK360,BM360,BO360,BQ360,BS360,BU360,BW360,BY360,CA360,CC360,CE360)</f>
        <v/>
      </c>
      <c r="C360" s="33" t="inlineStr">
        <is>
          <t>HCG</t>
        </is>
      </c>
      <c r="D360" s="33" t="inlineStr">
        <is>
          <t>Healthcare Global Enterprises Limited</t>
        </is>
      </c>
      <c r="E360" s="31" t="inlineStr">
        <is>
          <t>healthcare</t>
        </is>
      </c>
      <c r="F360" s="31" t="inlineStr">
        <is>
          <t>healthcare</t>
        </is>
      </c>
      <c r="G360" s="31" t="inlineStr">
        <is>
          <t>midcap</t>
        </is>
      </c>
      <c r="H360" s="32" t="n">
        <v>10838.59</v>
      </c>
      <c r="I360" s="32" t="n">
        <v>718.8</v>
      </c>
      <c r="J360" s="32" t="n">
        <v>-0.98</v>
      </c>
      <c r="K360" s="32" t="n">
        <v>105127</v>
      </c>
      <c r="L360" s="31" t="n">
        <v>20</v>
      </c>
      <c r="M360" s="31" t="inlineStr">
        <is>
          <t>Underperforming</t>
        </is>
      </c>
      <c r="N360" s="32">
        <f>IF(M360="Underperforming",-5,IF(L360&gt;=95,15,IF(L360&gt;=90,10,IF(L360&gt;=80,5,0))))</f>
        <v/>
      </c>
      <c r="O360" s="32" t="n">
        <v>70.29000000000001</v>
      </c>
      <c r="P360" s="32" t="n">
        <v>32.55</v>
      </c>
      <c r="Q360" s="32" t="inlineStr"/>
      <c r="R360" s="31" t="inlineStr">
        <is>
          <t>Earnings / Momentum Support</t>
        </is>
      </c>
      <c r="S360" s="31" t="inlineStr">
        <is>
          <t>Nifty Pharma</t>
        </is>
      </c>
      <c r="T360" s="32" t="n">
        <v>18.39</v>
      </c>
      <c r="U360" s="32" t="n">
        <v>7.12</v>
      </c>
      <c r="V360" s="32" t="n">
        <v>-9.52</v>
      </c>
      <c r="W360" s="32" t="n">
        <v>4.24</v>
      </c>
      <c r="X360" s="31" t="inlineStr">
        <is>
          <t>Growing Industry</t>
        </is>
      </c>
      <c r="Y360" s="31">
        <f>IF(X360="Growing Industry",10,IF(X360="Cyclical in an Upturn",5,0))</f>
        <v/>
      </c>
      <c r="Z360" s="31" t="inlineStr">
        <is>
          <t>Too Many Players with High ROCE</t>
        </is>
      </c>
      <c r="AA360" s="31">
        <f>IF(Z360="Monopoly",10,IF(Z360="Oligopoly",5,IF(Z360="Duopoly that cooperate",10,IF(Z360="Duopoly that compete",5,IF(Z360="Too many players with High ROCE",5,0)))))</f>
        <v/>
      </c>
      <c r="AB360" s="31" t="inlineStr">
        <is>
          <t>Yes</t>
        </is>
      </c>
      <c r="AC360" s="31">
        <f>IF(AB360="No",5,0)</f>
        <v/>
      </c>
      <c r="AD360" s="31" t="inlineStr">
        <is>
          <t>Headwind</t>
        </is>
      </c>
      <c r="AE360" s="31">
        <f>IF(AD360="Tailwind",10,0)</f>
        <v/>
      </c>
      <c r="AF360" s="31" t="inlineStr">
        <is>
          <t>Structural (10 Years Consistency)</t>
        </is>
      </c>
      <c r="AG360" s="31">
        <f>IF(AF360="Structural (10 Years Consistency)",10,IF(AF360="Shallow Cyclical (2 to 3 years growth)",5,0))</f>
        <v/>
      </c>
      <c r="AH360" s="31" t="inlineStr">
        <is>
          <t>No</t>
        </is>
      </c>
      <c r="AI360" s="31">
        <f>IF(AH360="Yes due to Product Mix change or Operating Leverage",10,IF(AH360="Yes, these are peak margins",-5,IF(AH360="No",5,0)))</f>
        <v/>
      </c>
      <c r="AJ360" s="31" t="inlineStr">
        <is>
          <t>Stable</t>
        </is>
      </c>
      <c r="AK360" s="31">
        <f>IF(AJ360="Stable",10,0)</f>
        <v/>
      </c>
      <c r="AL360" s="31" t="inlineStr">
        <is>
          <t>Yes</t>
        </is>
      </c>
      <c r="AM360" s="31">
        <f>IF(AL360="Yes",10,0)</f>
        <v/>
      </c>
      <c r="AN360" s="31" t="inlineStr">
        <is>
          <t>B2B</t>
        </is>
      </c>
      <c r="AO360" s="31">
        <f>IF(AN360="B2C",10,IF(AN360="B2B",5,0))</f>
        <v/>
      </c>
      <c r="AP360" s="31" t="inlineStr">
        <is>
          <t>No</t>
        </is>
      </c>
      <c r="AQ360" s="31">
        <f>IF(AP360="Yes",10,0)</f>
        <v/>
      </c>
      <c r="AR360" s="31" t="inlineStr">
        <is>
          <t>Higher Annuity, Lower One Time</t>
        </is>
      </c>
      <c r="AS360" s="31">
        <f>IF(AR360="Fully Annuity",10,IF(AR360="Higher Annuity, Lower One Time",5,IF(AR360="Higher One Time, Lower Annuity",3,0)))</f>
        <v/>
      </c>
      <c r="AT360" s="31" t="inlineStr">
        <is>
          <t>Good</t>
        </is>
      </c>
      <c r="AU360" s="31">
        <f>IF(AT360="Good",10,0)</f>
        <v/>
      </c>
      <c r="AV360" s="31" t="inlineStr">
        <is>
          <t>Yes for more than 2 years</t>
        </is>
      </c>
      <c r="AW360" s="31">
        <f>IF(AV360="Yes for more than 2 years",10,IF(AV360="Yes only for next 1 to 2 years",5,0))</f>
        <v/>
      </c>
      <c r="AX360" s="31" t="inlineStr">
        <is>
          <t>20 to 40</t>
        </is>
      </c>
      <c r="AY360" s="31">
        <f>IF(AX360="Above 40",20,IF(AX360="20 to 40",10,IF(AX360="0 to 20",-5,0)))</f>
        <v/>
      </c>
      <c r="AZ360" s="31" t="inlineStr">
        <is>
          <t>Between 50 to 75</t>
        </is>
      </c>
      <c r="BA360" s="31">
        <f>IF(AZ360="Between 50 to 75",10,IF(AZ360="Above 75",0,0))</f>
        <v/>
      </c>
      <c r="BB360" s="31" t="inlineStr">
        <is>
          <t>Stage 3</t>
        </is>
      </c>
      <c r="BC360" s="31">
        <f>IF(BB360="Stage 2",20,IF(BB360="Stage 1",0,IF(BB360="Stage 3",5,IF(BB360="Stage 4",-5,0))))</f>
        <v/>
      </c>
      <c r="BD360" s="31" t="inlineStr">
        <is>
          <t>Negative Trend</t>
        </is>
      </c>
      <c r="BE360" s="31">
        <f>IF(BD360="Positive Trend",20,IF(BD360="Negative Trend",-10,0))</f>
        <v/>
      </c>
      <c r="BF360" s="31" t="inlineStr">
        <is>
          <t>Uptrend</t>
        </is>
      </c>
      <c r="BG360" s="31">
        <f>IF(BF360="Uptrend",10,IF(BF360="Sideways",5,0))</f>
        <v/>
      </c>
      <c r="BH360" s="31" t="inlineStr">
        <is>
          <t>Uptrend</t>
        </is>
      </c>
      <c r="BI360" s="31">
        <f>IF(BH360="Uptrend",10,IF(BH360="Sideways",5,0))</f>
        <v/>
      </c>
      <c r="BJ360" s="31" t="inlineStr">
        <is>
          <t>Close to 52 week high or retracement</t>
        </is>
      </c>
      <c r="BK360" s="31">
        <f>IF(BJ360="Overhead supply in last 2 years in last 2 years",-5,IF(BJ360="Close to 52 week high or retracement",5,IF(BJ360="Blue sky scenario",10,IF(BJ360="Long term Downtrend",-10,0))))</f>
        <v/>
      </c>
      <c r="BL360" s="31" t="inlineStr">
        <is>
          <t>Yes</t>
        </is>
      </c>
      <c r="BM360" s="31">
        <f>IF(BL360="Yes",10,0)</f>
        <v/>
      </c>
      <c r="BN360" s="31" t="inlineStr">
        <is>
          <t>More than 20%</t>
        </is>
      </c>
      <c r="BO360" s="31">
        <f>IF(BN360="More than 20%",10,IF(BN360="Between 12 to 20%",5,IF(BN360="Less than 12%",0,0)))</f>
        <v/>
      </c>
      <c r="BP360" s="31" t="inlineStr">
        <is>
          <t>No</t>
        </is>
      </c>
      <c r="BQ360" s="31">
        <f>IF(BP360="No",10,0)</f>
        <v/>
      </c>
      <c r="BR360" s="31" t="inlineStr">
        <is>
          <t>Yes</t>
        </is>
      </c>
      <c r="BS360" s="31">
        <f>IF(BR360="NO",5,0)</f>
        <v/>
      </c>
      <c r="BT360" s="31" t="inlineStr">
        <is>
          <t>Above 2</t>
        </is>
      </c>
      <c r="BU360" s="31">
        <f>IF(BT360="Above 2",0,IF(BT360="Between 1.5 to 2",5,IF(BT360="Less than 1.5",10,0)))</f>
        <v/>
      </c>
      <c r="BV360" s="31" t="inlineStr">
        <is>
          <t>Above 70%</t>
        </is>
      </c>
      <c r="BW360" s="31">
        <f>IF(BV360="Above 70%",10,IF(BV360="Between 50% to 70%",5,IF(BV360="Less than 50%",0,IF(BV360="Negative",-10,IF(BV360="Less than 50% and Borrowings are increasing",-5,0)))))</f>
        <v/>
      </c>
      <c r="BX360" s="31" t="inlineStr">
        <is>
          <t>More than 1.2</t>
        </is>
      </c>
      <c r="BY360" s="31">
        <f>IF(BX360="More than 1.2",-10,IF(BX360="Between 0.7 to 1.2",0,IF(BX360="Less than 0.7",10,0)))</f>
        <v/>
      </c>
      <c r="BZ360" s="31" t="inlineStr">
        <is>
          <t>No</t>
        </is>
      </c>
      <c r="CA360" s="31">
        <f>IF(BZ360="Yes",-10,0)</f>
        <v/>
      </c>
      <c r="CB360" s="31" t="inlineStr">
        <is>
          <t>Less than 15%</t>
        </is>
      </c>
      <c r="CC360" s="31">
        <f>IF(CB360="More than 15%",-10,IF(CB360="Less than 15%",10,0))</f>
        <v/>
      </c>
      <c r="CD360" s="31" t="inlineStr">
        <is>
          <t>No</t>
        </is>
      </c>
      <c r="CE360" s="31">
        <f>IF(CD360="Yes, more than 10%",-10,IF(CD360="No",10,0))</f>
        <v/>
      </c>
    </row>
    <row r="361">
      <c r="A361" s="31">
        <f>IF(B361=0,"",RANK(B361,$B$2:$B$389,0))</f>
        <v/>
      </c>
      <c r="B361" s="32">
        <f>SUM(N361,Y361,AA361,AC361,AE361,AG361,AI361,AK361,AM361,AO361,AQ361,AS361,AU361,AW361,AY361,BA361,BC361,BE361,BG361,BI361,BK361,BM361,BO361,BQ361,BS361,BU361,BW361,BY361,CA361,CC361,CE361)</f>
        <v/>
      </c>
      <c r="C361" s="31" t="inlineStr">
        <is>
          <t>JSWSTEEL</t>
        </is>
      </c>
      <c r="D361" s="31" t="inlineStr">
        <is>
          <t>Jsw Steel Limited</t>
        </is>
      </c>
      <c r="E361" s="31" t="inlineStr">
        <is>
          <t>metals &amp; mining</t>
        </is>
      </c>
      <c r="F361" s="31" t="inlineStr">
        <is>
          <t>steel - large</t>
        </is>
      </c>
      <c r="G361" s="31" t="inlineStr">
        <is>
          <t>largecap</t>
        </is>
      </c>
      <c r="H361" s="32" t="n">
        <v>316368.38</v>
      </c>
      <c r="I361" s="32" t="n">
        <v>1327</v>
      </c>
      <c r="J361" s="32" t="n">
        <v>2.57</v>
      </c>
      <c r="K361" s="32" t="n">
        <v>3600760</v>
      </c>
      <c r="L361" s="31" t="inlineStr"/>
      <c r="M361" s="31" t="inlineStr"/>
      <c r="N361" s="32">
        <f>IF(M361="Underperforming",-5,IF(L361&gt;=95,15,IF(L361&gt;=90,10,IF(L361&gt;=80,5,0))))</f>
        <v/>
      </c>
      <c r="O361" s="32" t="n">
        <v>59.83</v>
      </c>
      <c r="P361" s="32" t="n">
        <v>28.36</v>
      </c>
      <c r="Q361" s="32" t="inlineStr"/>
      <c r="R361" s="31" t="inlineStr">
        <is>
          <t>Earnings / Momentum Support</t>
        </is>
      </c>
      <c r="S361" s="31" t="inlineStr">
        <is>
          <t>Nifty Metal</t>
        </is>
      </c>
      <c r="T361" s="32" t="inlineStr"/>
      <c r="U361" s="32" t="inlineStr"/>
      <c r="V361" s="32" t="inlineStr"/>
      <c r="W361" s="32" t="inlineStr"/>
      <c r="X361" s="31" t="inlineStr">
        <is>
          <t>Cyclical in an Upturn</t>
        </is>
      </c>
      <c r="Y361" s="31">
        <f>IF(X361="Growing Industry",10,IF(X361="Cyclical in an Upturn",5,0))</f>
        <v/>
      </c>
      <c r="Z361" s="31" t="inlineStr">
        <is>
          <t>Too Many Players with High ROCE</t>
        </is>
      </c>
      <c r="AA361" s="31">
        <f>IF(Z361="Monopoly",10,IF(Z361="Oligopoly",5,IF(Z361="Duopoly that cooperate",10,IF(Z361="Duopoly that compete",5,IF(Z361="Too many players with High ROCE",5,0)))))</f>
        <v/>
      </c>
      <c r="AB361" s="31" t="inlineStr">
        <is>
          <t>No</t>
        </is>
      </c>
      <c r="AC361" s="31">
        <f>IF(AB361="No",5,0)</f>
        <v/>
      </c>
      <c r="AD361" s="31" t="inlineStr">
        <is>
          <t>Headwind</t>
        </is>
      </c>
      <c r="AE361" s="31">
        <f>IF(AD361="Tailwind",10,0)</f>
        <v/>
      </c>
      <c r="AF361" s="31" t="inlineStr">
        <is>
          <t>Cyclical</t>
        </is>
      </c>
      <c r="AG361" s="31">
        <f>IF(AF361="Structural (10 Years Consistency)",10,IF(AF361="Shallow Cyclical (2 to 3 years growth)",5,0))</f>
        <v/>
      </c>
      <c r="AH361" s="31" t="inlineStr">
        <is>
          <t>No</t>
        </is>
      </c>
      <c r="AI361" s="31">
        <f>IF(AH361="Yes due to Product Mix change or Operating Leverage",10,IF(AH361="Yes, these are peak margins",-5,IF(AH361="No",5,0)))</f>
        <v/>
      </c>
      <c r="AJ361" s="31" t="inlineStr">
        <is>
          <t>Volatile</t>
        </is>
      </c>
      <c r="AK361" s="31">
        <f>IF(AJ361="Stable",10,0)</f>
        <v/>
      </c>
      <c r="AL361" s="31" t="inlineStr">
        <is>
          <t>Yes</t>
        </is>
      </c>
      <c r="AM361" s="31">
        <f>IF(AL361="Yes",10,0)</f>
        <v/>
      </c>
      <c r="AN361" s="31" t="inlineStr">
        <is>
          <t>B2B</t>
        </is>
      </c>
      <c r="AO361" s="31">
        <f>IF(AN361="B2C",10,IF(AN361="B2B",5,0))</f>
        <v/>
      </c>
      <c r="AP361" s="31" t="inlineStr">
        <is>
          <t>No</t>
        </is>
      </c>
      <c r="AQ361" s="31">
        <f>IF(AP361="Yes",10,0)</f>
        <v/>
      </c>
      <c r="AR361" s="31" t="inlineStr">
        <is>
          <t>Higher One Time, Lower Annuity</t>
        </is>
      </c>
      <c r="AS361" s="31">
        <f>IF(AR361="Fully Annuity",10,IF(AR361="Higher Annuity, Lower One Time",5,IF(AR361="Higher One Time, Lower Annuity",3,0)))</f>
        <v/>
      </c>
      <c r="AT361" s="31" t="inlineStr">
        <is>
          <t>Good</t>
        </is>
      </c>
      <c r="AU361" s="31">
        <f>IF(AT361="Good",10,0)</f>
        <v/>
      </c>
      <c r="AV361" s="31" t="inlineStr">
        <is>
          <t>Yes for more than 2 years</t>
        </is>
      </c>
      <c r="AW361" s="31">
        <f>IF(AV361="Yes for more than 2 years",10,IF(AV361="Yes only for next 1 to 2 years",5,0))</f>
        <v/>
      </c>
      <c r="AX361" s="31" t="inlineStr">
        <is>
          <t>20 to 40</t>
        </is>
      </c>
      <c r="AY361" s="31">
        <f>IF(AX361="Above 40",20,IF(AX361="20 to 40",10,IF(AX361="0 to 20",-5,0)))</f>
        <v/>
      </c>
      <c r="AZ361" s="31" t="inlineStr">
        <is>
          <t>Between 50 to 75</t>
        </is>
      </c>
      <c r="BA361" s="31">
        <f>IF(AZ361="Between 50 to 75",10,IF(AZ361="Above 75",0,0))</f>
        <v/>
      </c>
      <c r="BB361" s="31" t="inlineStr">
        <is>
          <t>Stage 3</t>
        </is>
      </c>
      <c r="BC361" s="31">
        <f>IF(BB361="Stage 2",20,IF(BB361="Stage 1",0,IF(BB361="Stage 3",5,IF(BB361="Stage 4",-5,0))))</f>
        <v/>
      </c>
      <c r="BD361" s="31" t="inlineStr">
        <is>
          <t>Negative Trend</t>
        </is>
      </c>
      <c r="BE361" s="31">
        <f>IF(BD361="Positive Trend",20,IF(BD361="Negative Trend",-10,0))</f>
        <v/>
      </c>
      <c r="BF361" s="31" t="inlineStr">
        <is>
          <t>Uptrend</t>
        </is>
      </c>
      <c r="BG361" s="31">
        <f>IF(BF361="Uptrend",10,IF(BF361="Sideways",5,0))</f>
        <v/>
      </c>
      <c r="BH361" s="31" t="inlineStr">
        <is>
          <t>Uptrend</t>
        </is>
      </c>
      <c r="BI361" s="31">
        <f>IF(BH361="Uptrend",10,IF(BH361="Sideways",5,0))</f>
        <v/>
      </c>
      <c r="BJ361" s="31" t="inlineStr">
        <is>
          <t>Close to 52 week high or retracement</t>
        </is>
      </c>
      <c r="BK361" s="31">
        <f>IF(BJ361="Overhead supply in last 2 years in last 2 years",-5,IF(BJ361="Close to 52 week high or retracement",5,IF(BJ361="Blue sky scenario",10,IF(BJ361="Long term Downtrend",-10,0))))</f>
        <v/>
      </c>
      <c r="BL361" s="31" t="inlineStr">
        <is>
          <t>Yes</t>
        </is>
      </c>
      <c r="BM361" s="31">
        <f>IF(BL361="Yes",10,0)</f>
        <v/>
      </c>
      <c r="BN361" s="31" t="inlineStr">
        <is>
          <t>More than 20%</t>
        </is>
      </c>
      <c r="BO361" s="31">
        <f>IF(BN361="More than 20%",10,IF(BN361="Between 12 to 20%",5,IF(BN361="Less than 12%",0,0)))</f>
        <v/>
      </c>
      <c r="BP361" s="31" t="inlineStr">
        <is>
          <t>No</t>
        </is>
      </c>
      <c r="BQ361" s="31">
        <f>IF(BP361="No",10,0)</f>
        <v/>
      </c>
      <c r="BR361" s="31" t="inlineStr">
        <is>
          <t>No</t>
        </is>
      </c>
      <c r="BS361" s="31">
        <f>IF(BR361="NO",5,0)</f>
        <v/>
      </c>
      <c r="BT361" s="31" t="inlineStr">
        <is>
          <t>Above 2</t>
        </is>
      </c>
      <c r="BU361" s="31">
        <f>IF(BT361="Above 2",0,IF(BT361="Between 1.5 to 2",5,IF(BT361="Less than 1.5",10,0)))</f>
        <v/>
      </c>
      <c r="BV361" s="31" t="inlineStr">
        <is>
          <t>Above 70%</t>
        </is>
      </c>
      <c r="BW361" s="31">
        <f>IF(BV361="Above 70%",10,IF(BV361="Between 50% to 70%",5,IF(BV361="Less than 50%",0,IF(BV361="Negative",-10,IF(BV361="Less than 50% and Borrowings are increasing",-5,0)))))</f>
        <v/>
      </c>
      <c r="BX361" s="31" t="inlineStr">
        <is>
          <t>Between 0.7 to 1.2</t>
        </is>
      </c>
      <c r="BY361" s="31">
        <f>IF(BX361="More than 1.2",-10,IF(BX361="Between 0.7 to 1.2",0,IF(BX361="Less than 0.7",10,0)))</f>
        <v/>
      </c>
      <c r="BZ361" s="31" t="inlineStr">
        <is>
          <t>No</t>
        </is>
      </c>
      <c r="CA361" s="31">
        <f>IF(BZ361="Yes",-10,0)</f>
        <v/>
      </c>
      <c r="CB361" s="31" t="inlineStr">
        <is>
          <t>Less than 15%</t>
        </is>
      </c>
      <c r="CC361" s="31">
        <f>IF(CB361="More than 15%",-10,IF(CB361="Less than 15%",10,0))</f>
        <v/>
      </c>
      <c r="CD361" s="31" t="inlineStr">
        <is>
          <t>No</t>
        </is>
      </c>
      <c r="CE361" s="31">
        <f>IF(CD361="Yes, more than 10%",-10,IF(CD361="No",10,0))</f>
        <v/>
      </c>
    </row>
    <row r="362">
      <c r="A362" s="31">
        <f>IF(B362=0,"",RANK(B362,$B$2:$B$389,0))</f>
        <v/>
      </c>
      <c r="B362" s="32">
        <f>SUM(N362,Y362,AA362,AC362,AE362,AG362,AI362,AK362,AM362,AO362,AQ362,AS362,AU362,AW362,AY362,BA362,BC362,BE362,BG362,BI362,BK362,BM362,BO362,BQ362,BS362,BU362,BW362,BY362,CA362,CC362,CE362)</f>
        <v/>
      </c>
      <c r="C362" s="31" t="inlineStr">
        <is>
          <t>RATNAVEER</t>
        </is>
      </c>
      <c r="D362" s="31" t="inlineStr">
        <is>
          <t>Ratnaveer Precision Engineering Ltd</t>
        </is>
      </c>
      <c r="E362" s="31" t="inlineStr">
        <is>
          <t>metals &amp; mining</t>
        </is>
      </c>
      <c r="F362" s="31" t="inlineStr">
        <is>
          <t>steel - medium / small</t>
        </is>
      </c>
      <c r="G362" s="31" t="inlineStr">
        <is>
          <t>smallcap</t>
        </is>
      </c>
      <c r="H362" s="32" t="n">
        <v>1907.38</v>
      </c>
      <c r="I362" s="32" t="n">
        <v>271.32</v>
      </c>
      <c r="J362" s="32" t="n">
        <v>1.6</v>
      </c>
      <c r="K362" s="32" t="n">
        <v>10419922</v>
      </c>
      <c r="L362" s="31" t="inlineStr"/>
      <c r="M362" s="31" t="inlineStr"/>
      <c r="N362" s="32">
        <f>IF(M362="Underperforming",-5,IF(L362&gt;=95,15,IF(L362&gt;=90,10,IF(L362&gt;=80,5,0))))</f>
        <v/>
      </c>
      <c r="O362" s="32" t="n">
        <v>78.81</v>
      </c>
      <c r="P362" s="32" t="n">
        <v>51.97</v>
      </c>
      <c r="Q362" s="32" t="inlineStr"/>
      <c r="R362" s="31" t="inlineStr">
        <is>
          <t>Earnings / Momentum Support</t>
        </is>
      </c>
      <c r="S362" s="31" t="inlineStr">
        <is>
          <t>Nifty Metal</t>
        </is>
      </c>
      <c r="T362" s="32" t="inlineStr"/>
      <c r="U362" s="32" t="inlineStr"/>
      <c r="V362" s="32" t="inlineStr"/>
      <c r="W362" s="32" t="inlineStr"/>
      <c r="X362" s="31" t="inlineStr">
        <is>
          <t>Cyclical in an Upturn</t>
        </is>
      </c>
      <c r="Y362" s="31">
        <f>IF(X362="Growing Industry",10,IF(X362="Cyclical in an Upturn",5,0))</f>
        <v/>
      </c>
      <c r="Z362" s="31" t="inlineStr">
        <is>
          <t>Too Many Players with High ROCE</t>
        </is>
      </c>
      <c r="AA362" s="31">
        <f>IF(Z362="Monopoly",10,IF(Z362="Oligopoly",5,IF(Z362="Duopoly that cooperate",10,IF(Z362="Duopoly that compete",5,IF(Z362="Too many players with High ROCE",5,0)))))</f>
        <v/>
      </c>
      <c r="AB362" s="31" t="inlineStr">
        <is>
          <t>No</t>
        </is>
      </c>
      <c r="AC362" s="31">
        <f>IF(AB362="No",5,0)</f>
        <v/>
      </c>
      <c r="AD362" s="31" t="inlineStr">
        <is>
          <t>Headwind</t>
        </is>
      </c>
      <c r="AE362" s="31">
        <f>IF(AD362="Tailwind",10,0)</f>
        <v/>
      </c>
      <c r="AF362" s="31" t="inlineStr">
        <is>
          <t>Cyclical</t>
        </is>
      </c>
      <c r="AG362" s="31">
        <f>IF(AF362="Structural (10 Years Consistency)",10,IF(AF362="Shallow Cyclical (2 to 3 years growth)",5,0))</f>
        <v/>
      </c>
      <c r="AH362" s="31" t="inlineStr">
        <is>
          <t>No</t>
        </is>
      </c>
      <c r="AI362" s="31">
        <f>IF(AH362="Yes due to Product Mix change or Operating Leverage",10,IF(AH362="Yes, these are peak margins",-5,IF(AH362="No",5,0)))</f>
        <v/>
      </c>
      <c r="AJ362" s="31" t="inlineStr">
        <is>
          <t>Volatile</t>
        </is>
      </c>
      <c r="AK362" s="31">
        <f>IF(AJ362="Stable",10,0)</f>
        <v/>
      </c>
      <c r="AL362" s="31" t="inlineStr">
        <is>
          <t>Yes</t>
        </is>
      </c>
      <c r="AM362" s="31">
        <f>IF(AL362="Yes",10,0)</f>
        <v/>
      </c>
      <c r="AN362" s="31" t="inlineStr">
        <is>
          <t>B2B</t>
        </is>
      </c>
      <c r="AO362" s="31">
        <f>IF(AN362="B2C",10,IF(AN362="B2B",5,0))</f>
        <v/>
      </c>
      <c r="AP362" s="31" t="inlineStr">
        <is>
          <t>No</t>
        </is>
      </c>
      <c r="AQ362" s="31">
        <f>IF(AP362="Yes",10,0)</f>
        <v/>
      </c>
      <c r="AR362" s="31" t="inlineStr">
        <is>
          <t>Higher One Time, Lower Annuity</t>
        </is>
      </c>
      <c r="AS362" s="31">
        <f>IF(AR362="Fully Annuity",10,IF(AR362="Higher Annuity, Lower One Time",5,IF(AR362="Higher One Time, Lower Annuity",3,0)))</f>
        <v/>
      </c>
      <c r="AT362" s="31" t="inlineStr">
        <is>
          <t>Good</t>
        </is>
      </c>
      <c r="AU362" s="31">
        <f>IF(AT362="Good",10,0)</f>
        <v/>
      </c>
      <c r="AV362" s="31" t="inlineStr">
        <is>
          <t>Yes for more than 2 years</t>
        </is>
      </c>
      <c r="AW362" s="31">
        <f>IF(AV362="Yes for more than 2 years",10,IF(AV362="Yes only for next 1 to 2 years",5,0))</f>
        <v/>
      </c>
      <c r="AX362" s="31" t="inlineStr">
        <is>
          <t>Above 40</t>
        </is>
      </c>
      <c r="AY362" s="31">
        <f>IF(AX362="Above 40",20,IF(AX362="20 to 40",10,IF(AX362="0 to 20",-5,0)))</f>
        <v/>
      </c>
      <c r="AZ362" s="31" t="inlineStr">
        <is>
          <t>Above 75</t>
        </is>
      </c>
      <c r="BA362" s="31">
        <f>IF(AZ362="Between 50 to 75",10,IF(AZ362="Above 75",0,0))</f>
        <v/>
      </c>
      <c r="BB362" s="31" t="inlineStr">
        <is>
          <t>Stage 3</t>
        </is>
      </c>
      <c r="BC362" s="31">
        <f>IF(BB362="Stage 2",20,IF(BB362="Stage 1",0,IF(BB362="Stage 3",5,IF(BB362="Stage 4",-5,0))))</f>
        <v/>
      </c>
      <c r="BD362" s="31" t="inlineStr">
        <is>
          <t>Negative Trend</t>
        </is>
      </c>
      <c r="BE362" s="31">
        <f>IF(BD362="Positive Trend",20,IF(BD362="Negative Trend",-10,0))</f>
        <v/>
      </c>
      <c r="BF362" s="31" t="inlineStr">
        <is>
          <t>Uptrend</t>
        </is>
      </c>
      <c r="BG362" s="31">
        <f>IF(BF362="Uptrend",10,IF(BF362="Sideways",5,0))</f>
        <v/>
      </c>
      <c r="BH362" s="31" t="inlineStr">
        <is>
          <t>Uptrend</t>
        </is>
      </c>
      <c r="BI362" s="31">
        <f>IF(BH362="Uptrend",10,IF(BH362="Sideways",5,0))</f>
        <v/>
      </c>
      <c r="BJ362" s="31" t="inlineStr">
        <is>
          <t>Close to 52 week high or retracement</t>
        </is>
      </c>
      <c r="BK362" s="31">
        <f>IF(BJ362="Overhead supply in last 2 years in last 2 years",-5,IF(BJ362="Close to 52 week high or retracement",5,IF(BJ362="Blue sky scenario",10,IF(BJ362="Long term Downtrend",-10,0))))</f>
        <v/>
      </c>
      <c r="BL362" s="31" t="inlineStr">
        <is>
          <t>Yes</t>
        </is>
      </c>
      <c r="BM362" s="31">
        <f>IF(BL362="Yes",10,0)</f>
        <v/>
      </c>
      <c r="BN362" s="31" t="inlineStr">
        <is>
          <t>Less than 12%</t>
        </is>
      </c>
      <c r="BO362" s="31">
        <f>IF(BN362="More than 20%",10,IF(BN362="Between 12 to 20%",5,IF(BN362="Less than 12%",0,0)))</f>
        <v/>
      </c>
      <c r="BP362" s="31" t="inlineStr">
        <is>
          <t>No</t>
        </is>
      </c>
      <c r="BQ362" s="31">
        <f>IF(BP362="No",10,0)</f>
        <v/>
      </c>
      <c r="BR362" s="31" t="inlineStr">
        <is>
          <t>No</t>
        </is>
      </c>
      <c r="BS362" s="31">
        <f>IF(BR362="NO",5,0)</f>
        <v/>
      </c>
      <c r="BT362" s="31" t="inlineStr">
        <is>
          <t>Above 2</t>
        </is>
      </c>
      <c r="BU362" s="31">
        <f>IF(BT362="Above 2",0,IF(BT362="Between 1.5 to 2",5,IF(BT362="Less than 1.5",10,0)))</f>
        <v/>
      </c>
      <c r="BV362" s="31" t="inlineStr">
        <is>
          <t>Above 70%</t>
        </is>
      </c>
      <c r="BW362" s="31">
        <f>IF(BV362="Above 70%",10,IF(BV362="Between 50% to 70%",5,IF(BV362="Less than 50%",0,IF(BV362="Negative",-10,IF(BV362="Less than 50% and Borrowings are increasing",-5,0)))))</f>
        <v/>
      </c>
      <c r="BX362" s="31" t="inlineStr">
        <is>
          <t>Less than 0.7</t>
        </is>
      </c>
      <c r="BY362" s="31">
        <f>IF(BX362="More than 1.2",-10,IF(BX362="Between 0.7 to 1.2",0,IF(BX362="Less than 0.7",10,0)))</f>
        <v/>
      </c>
      <c r="BZ362" s="31" t="inlineStr">
        <is>
          <t>No</t>
        </is>
      </c>
      <c r="CA362" s="31">
        <f>IF(BZ362="Yes",-10,0)</f>
        <v/>
      </c>
      <c r="CB362" s="31" t="inlineStr">
        <is>
          <t>Less than 15%</t>
        </is>
      </c>
      <c r="CC362" s="31">
        <f>IF(CB362="More than 15%",-10,IF(CB362="Less than 15%",10,0))</f>
        <v/>
      </c>
      <c r="CD362" s="31" t="inlineStr">
        <is>
          <t>No</t>
        </is>
      </c>
      <c r="CE362" s="31">
        <f>IF(CD362="Yes, more than 10%",-10,IF(CD362="No",10,0))</f>
        <v/>
      </c>
    </row>
    <row r="363">
      <c r="A363" s="31">
        <f>IF(B363=0,"",RANK(B363,$B$2:$B$389,0))</f>
        <v/>
      </c>
      <c r="B363" s="32">
        <f>SUM(N363,Y363,AA363,AC363,AE363,AG363,AI363,AK363,AM363,AO363,AQ363,AS363,AU363,AW363,AY363,BA363,BC363,BE363,BG363,BI363,BK363,BM363,BO363,BQ363,BS363,BU363,BW363,BY363,CA363,CC363,CE363)</f>
        <v/>
      </c>
      <c r="C363" s="31" t="inlineStr">
        <is>
          <t>PETRONET</t>
        </is>
      </c>
      <c r="D363" s="31" t="inlineStr">
        <is>
          <t>Petronet Lng Limited</t>
        </is>
      </c>
      <c r="E363" s="31" t="inlineStr">
        <is>
          <t>energy</t>
        </is>
      </c>
      <c r="F363" s="31" t="inlineStr">
        <is>
          <t>miscellaneous</t>
        </is>
      </c>
      <c r="G363" s="31" t="inlineStr">
        <is>
          <t>largecap</t>
        </is>
      </c>
      <c r="H363" s="32" t="n">
        <v>43950</v>
      </c>
      <c r="I363" s="32" t="n">
        <v>295.95</v>
      </c>
      <c r="J363" s="32" t="n">
        <v>1.01</v>
      </c>
      <c r="K363" s="32" t="n">
        <v>1705131</v>
      </c>
      <c r="L363" s="31" t="inlineStr"/>
      <c r="M363" s="31" t="inlineStr"/>
      <c r="N363" s="32">
        <f>IF(M363="Underperforming",-5,IF(L363&gt;=95,15,IF(L363&gt;=90,10,IF(L363&gt;=80,5,0))))</f>
        <v/>
      </c>
      <c r="O363" s="32" t="n">
        <v>58.93</v>
      </c>
      <c r="P363" s="32" t="n">
        <v>6.34</v>
      </c>
      <c r="Q363" s="32" t="inlineStr"/>
      <c r="R363" s="31" t="inlineStr">
        <is>
          <t>Earnings / Momentum Support</t>
        </is>
      </c>
      <c r="S363" s="31" t="inlineStr">
        <is>
          <t>Nifty Energy</t>
        </is>
      </c>
      <c r="T363" s="32" t="inlineStr"/>
      <c r="U363" s="32" t="inlineStr"/>
      <c r="V363" s="32" t="inlineStr"/>
      <c r="W363" s="32" t="inlineStr"/>
      <c r="X363" s="31" t="inlineStr">
        <is>
          <t>Cyclical in an Upturn</t>
        </is>
      </c>
      <c r="Y363" s="31">
        <f>IF(X363="Growing Industry",10,IF(X363="Cyclical in an Upturn",5,0))</f>
        <v/>
      </c>
      <c r="Z363" s="31" t="inlineStr">
        <is>
          <t>Oligopoly</t>
        </is>
      </c>
      <c r="AA363" s="31">
        <f>IF(Z363="Monopoly",10,IF(Z363="Oligopoly",5,IF(Z363="Duopoly that cooperate",10,IF(Z363="Duopoly that compete",5,IF(Z363="Too many players with High ROCE",5,0)))))</f>
        <v/>
      </c>
      <c r="AB363" s="31" t="inlineStr">
        <is>
          <t>Yes</t>
        </is>
      </c>
      <c r="AC363" s="31">
        <f>IF(AB363="No",5,0)</f>
        <v/>
      </c>
      <c r="AD363" s="31" t="inlineStr">
        <is>
          <t>Headwind</t>
        </is>
      </c>
      <c r="AE363" s="31">
        <f>IF(AD363="Tailwind",10,0)</f>
        <v/>
      </c>
      <c r="AF363" s="31" t="inlineStr">
        <is>
          <t>Cyclical</t>
        </is>
      </c>
      <c r="AG363" s="31">
        <f>IF(AF363="Structural (10 Years Consistency)",10,IF(AF363="Shallow Cyclical (2 to 3 years growth)",5,0))</f>
        <v/>
      </c>
      <c r="AH363" s="31" t="inlineStr">
        <is>
          <t>No</t>
        </is>
      </c>
      <c r="AI363" s="31">
        <f>IF(AH363="Yes due to Product Mix change or Operating Leverage",10,IF(AH363="Yes, these are peak margins",-5,IF(AH363="No",5,0)))</f>
        <v/>
      </c>
      <c r="AJ363" s="31" t="inlineStr">
        <is>
          <t>Volatile</t>
        </is>
      </c>
      <c r="AK363" s="31">
        <f>IF(AJ363="Stable",10,0)</f>
        <v/>
      </c>
      <c r="AL363" s="31" t="inlineStr">
        <is>
          <t>Yes</t>
        </is>
      </c>
      <c r="AM363" s="31">
        <f>IF(AL363="Yes",10,0)</f>
        <v/>
      </c>
      <c r="AN363" s="31" t="inlineStr">
        <is>
          <t>B2B</t>
        </is>
      </c>
      <c r="AO363" s="31">
        <f>IF(AN363="B2C",10,IF(AN363="B2B",5,0))</f>
        <v/>
      </c>
      <c r="AP363" s="31" t="inlineStr">
        <is>
          <t>No</t>
        </is>
      </c>
      <c r="AQ363" s="31">
        <f>IF(AP363="Yes",10,0)</f>
        <v/>
      </c>
      <c r="AR363" s="31" t="inlineStr">
        <is>
          <t>Higher One Time, Lower Annuity</t>
        </is>
      </c>
      <c r="AS363" s="31">
        <f>IF(AR363="Fully Annuity",10,IF(AR363="Higher Annuity, Lower One Time",5,IF(AR363="Higher One Time, Lower Annuity",3,0)))</f>
        <v/>
      </c>
      <c r="AT363" s="31" t="inlineStr">
        <is>
          <t>Good</t>
        </is>
      </c>
      <c r="AU363" s="31">
        <f>IF(AT363="Good",10,0)</f>
        <v/>
      </c>
      <c r="AV363" s="31" t="inlineStr">
        <is>
          <t>Yes for more than 2 years</t>
        </is>
      </c>
      <c r="AW363" s="31">
        <f>IF(AV363="Yes for more than 2 years",10,IF(AV363="Yes only for next 1 to 2 years",5,0))</f>
        <v/>
      </c>
      <c r="AX363" s="31" t="inlineStr">
        <is>
          <t>0 to 20</t>
        </is>
      </c>
      <c r="AY363" s="31">
        <f>IF(AX363="Above 40",20,IF(AX363="20 to 40",10,IF(AX363="0 to 20",-5,0)))</f>
        <v/>
      </c>
      <c r="AZ363" s="31" t="inlineStr">
        <is>
          <t>Between 50 to 75</t>
        </is>
      </c>
      <c r="BA363" s="31">
        <f>IF(AZ363="Between 50 to 75",10,IF(AZ363="Above 75",0,0))</f>
        <v/>
      </c>
      <c r="BB363" s="31" t="inlineStr">
        <is>
          <t>Stage 3</t>
        </is>
      </c>
      <c r="BC363" s="31">
        <f>IF(BB363="Stage 2",20,IF(BB363="Stage 1",0,IF(BB363="Stage 3",5,IF(BB363="Stage 4",-5,0))))</f>
        <v/>
      </c>
      <c r="BD363" s="31" t="inlineStr">
        <is>
          <t>Negative Trend</t>
        </is>
      </c>
      <c r="BE363" s="31">
        <f>IF(BD363="Positive Trend",20,IF(BD363="Negative Trend",-10,0))</f>
        <v/>
      </c>
      <c r="BF363" s="31" t="inlineStr">
        <is>
          <t>Uptrend</t>
        </is>
      </c>
      <c r="BG363" s="31">
        <f>IF(BF363="Uptrend",10,IF(BF363="Sideways",5,0))</f>
        <v/>
      </c>
      <c r="BH363" s="31" t="inlineStr">
        <is>
          <t>Uptrend</t>
        </is>
      </c>
      <c r="BI363" s="31">
        <f>IF(BH363="Uptrend",10,IF(BH363="Sideways",5,0))</f>
        <v/>
      </c>
      <c r="BJ363" s="31" t="inlineStr">
        <is>
          <t>Close to 52 week high or retracement</t>
        </is>
      </c>
      <c r="BK363" s="31">
        <f>IF(BJ363="Overhead supply in last 2 years in last 2 years",-5,IF(BJ363="Close to 52 week high or retracement",5,IF(BJ363="Blue sky scenario",10,IF(BJ363="Long term Downtrend",-10,0))))</f>
        <v/>
      </c>
      <c r="BL363" s="31" t="inlineStr">
        <is>
          <t>Yes</t>
        </is>
      </c>
      <c r="BM363" s="31">
        <f>IF(BL363="Yes",10,0)</f>
        <v/>
      </c>
      <c r="BN363" s="31" t="inlineStr">
        <is>
          <t>More than 20%</t>
        </is>
      </c>
      <c r="BO363" s="31">
        <f>IF(BN363="More than 20%",10,IF(BN363="Between 12 to 20%",5,IF(BN363="Less than 12%",0,0)))</f>
        <v/>
      </c>
      <c r="BP363" s="31" t="inlineStr">
        <is>
          <t>No</t>
        </is>
      </c>
      <c r="BQ363" s="31">
        <f>IF(BP363="No",10,0)</f>
        <v/>
      </c>
      <c r="BR363" s="31" t="inlineStr">
        <is>
          <t>No</t>
        </is>
      </c>
      <c r="BS363" s="31">
        <f>IF(BR363="NO",5,0)</f>
        <v/>
      </c>
      <c r="BT363" s="31" t="inlineStr">
        <is>
          <t>Less than 1.5</t>
        </is>
      </c>
      <c r="BU363" s="31">
        <f>IF(BT363="Above 2",0,IF(BT363="Between 1.5 to 2",5,IF(BT363="Less than 1.5",10,0)))</f>
        <v/>
      </c>
      <c r="BV363" s="31" t="inlineStr">
        <is>
          <t>Above 70%</t>
        </is>
      </c>
      <c r="BW363" s="31">
        <f>IF(BV363="Above 70%",10,IF(BV363="Between 50% to 70%",5,IF(BV363="Less than 50%",0,IF(BV363="Negative",-10,IF(BV363="Less than 50% and Borrowings are increasing",-5,0)))))</f>
        <v/>
      </c>
      <c r="BX363" s="31" t="inlineStr">
        <is>
          <t>Less than 0.7</t>
        </is>
      </c>
      <c r="BY363" s="31">
        <f>IF(BX363="More than 1.2",-10,IF(BX363="Between 0.7 to 1.2",0,IF(BX363="Less than 0.7",10,0)))</f>
        <v/>
      </c>
      <c r="BZ363" s="31" t="inlineStr">
        <is>
          <t>No</t>
        </is>
      </c>
      <c r="CA363" s="31">
        <f>IF(BZ363="Yes",-10,0)</f>
        <v/>
      </c>
      <c r="CB363" s="31" t="inlineStr">
        <is>
          <t>Less than 15%</t>
        </is>
      </c>
      <c r="CC363" s="31">
        <f>IF(CB363="More than 15%",-10,IF(CB363="Less than 15%",10,0))</f>
        <v/>
      </c>
      <c r="CD363" s="31" t="inlineStr">
        <is>
          <t>No</t>
        </is>
      </c>
      <c r="CE363" s="31">
        <f>IF(CD363="Yes, more than 10%",-10,IF(CD363="No",10,0))</f>
        <v/>
      </c>
    </row>
    <row r="364">
      <c r="A364" s="31">
        <f>IF(B364=0,"",RANK(B364,$B$2:$B$389,0))</f>
        <v/>
      </c>
      <c r="B364" s="32">
        <f>SUM(N364,Y364,AA364,AC364,AE364,AG364,AI364,AK364,AM364,AO364,AQ364,AS364,AU364,AW364,AY364,BA364,BC364,BE364,BG364,BI364,BK364,BM364,BO364,BQ364,BS364,BU364,BW364,BY364,CA364,CC364,CE364)</f>
        <v/>
      </c>
      <c r="C364" s="31" t="inlineStr">
        <is>
          <t>OIL</t>
        </is>
      </c>
      <c r="D364" s="31" t="inlineStr">
        <is>
          <t>Oil India Limited</t>
        </is>
      </c>
      <c r="E364" s="31" t="inlineStr">
        <is>
          <t>energy</t>
        </is>
      </c>
      <c r="F364" s="31" t="inlineStr">
        <is>
          <t>oil drilling / allied services</t>
        </is>
      </c>
      <c r="G364" s="31" t="inlineStr">
        <is>
          <t>largecap</t>
        </is>
      </c>
      <c r="H364" s="32" t="n">
        <v>77263.87</v>
      </c>
      <c r="I364" s="32" t="n">
        <v>477</v>
      </c>
      <c r="J364" s="32" t="n">
        <v>0.42</v>
      </c>
      <c r="K364" s="32" t="n">
        <v>746725</v>
      </c>
      <c r="L364" s="31" t="inlineStr"/>
      <c r="M364" s="31" t="inlineStr"/>
      <c r="N364" s="32">
        <f>IF(M364="Underperforming",-5,IF(L364&gt;=95,15,IF(L364&gt;=90,10,IF(L364&gt;=80,5,0))))</f>
        <v/>
      </c>
      <c r="O364" s="32" t="n">
        <v>55.28</v>
      </c>
      <c r="P364" s="32" t="n">
        <v>14.08</v>
      </c>
      <c r="Q364" s="32" t="inlineStr"/>
      <c r="R364" s="31" t="inlineStr">
        <is>
          <t>Earnings / Momentum Support</t>
        </is>
      </c>
      <c r="S364" s="31" t="inlineStr">
        <is>
          <t>Nifty Energy</t>
        </is>
      </c>
      <c r="T364" s="32" t="inlineStr"/>
      <c r="U364" s="32" t="inlineStr"/>
      <c r="V364" s="32" t="inlineStr"/>
      <c r="W364" s="32" t="inlineStr"/>
      <c r="X364" s="31" t="inlineStr">
        <is>
          <t>Cyclical in an Upturn</t>
        </is>
      </c>
      <c r="Y364" s="31">
        <f>IF(X364="Growing Industry",10,IF(X364="Cyclical in an Upturn",5,0))</f>
        <v/>
      </c>
      <c r="Z364" s="31" t="inlineStr">
        <is>
          <t>Oligopoly</t>
        </is>
      </c>
      <c r="AA364" s="31">
        <f>IF(Z364="Monopoly",10,IF(Z364="Oligopoly",5,IF(Z364="Duopoly that cooperate",10,IF(Z364="Duopoly that compete",5,IF(Z364="Too many players with High ROCE",5,0)))))</f>
        <v/>
      </c>
      <c r="AB364" s="31" t="inlineStr">
        <is>
          <t>Yes</t>
        </is>
      </c>
      <c r="AC364" s="31">
        <f>IF(AB364="No",5,0)</f>
        <v/>
      </c>
      <c r="AD364" s="31" t="inlineStr">
        <is>
          <t>Headwind</t>
        </is>
      </c>
      <c r="AE364" s="31">
        <f>IF(AD364="Tailwind",10,0)</f>
        <v/>
      </c>
      <c r="AF364" s="31" t="inlineStr">
        <is>
          <t>Cyclical</t>
        </is>
      </c>
      <c r="AG364" s="31">
        <f>IF(AF364="Structural (10 Years Consistency)",10,IF(AF364="Shallow Cyclical (2 to 3 years growth)",5,0))</f>
        <v/>
      </c>
      <c r="AH364" s="31" t="inlineStr">
        <is>
          <t>No</t>
        </is>
      </c>
      <c r="AI364" s="31">
        <f>IF(AH364="Yes due to Product Mix change or Operating Leverage",10,IF(AH364="Yes, these are peak margins",-5,IF(AH364="No",5,0)))</f>
        <v/>
      </c>
      <c r="AJ364" s="31" t="inlineStr">
        <is>
          <t>Volatile</t>
        </is>
      </c>
      <c r="AK364" s="31">
        <f>IF(AJ364="Stable",10,0)</f>
        <v/>
      </c>
      <c r="AL364" s="31" t="inlineStr">
        <is>
          <t>Yes</t>
        </is>
      </c>
      <c r="AM364" s="31">
        <f>IF(AL364="Yes",10,0)</f>
        <v/>
      </c>
      <c r="AN364" s="31" t="inlineStr">
        <is>
          <t>B2B</t>
        </is>
      </c>
      <c r="AO364" s="31">
        <f>IF(AN364="B2C",10,IF(AN364="B2B",5,0))</f>
        <v/>
      </c>
      <c r="AP364" s="31" t="inlineStr">
        <is>
          <t>No</t>
        </is>
      </c>
      <c r="AQ364" s="31">
        <f>IF(AP364="Yes",10,0)</f>
        <v/>
      </c>
      <c r="AR364" s="31" t="inlineStr">
        <is>
          <t>Higher One Time, Lower Annuity</t>
        </is>
      </c>
      <c r="AS364" s="31">
        <f>IF(AR364="Fully Annuity",10,IF(AR364="Higher Annuity, Lower One Time",5,IF(AR364="Higher One Time, Lower Annuity",3,0)))</f>
        <v/>
      </c>
      <c r="AT364" s="31" t="inlineStr">
        <is>
          <t>Good</t>
        </is>
      </c>
      <c r="AU364" s="31">
        <f>IF(AT364="Good",10,0)</f>
        <v/>
      </c>
      <c r="AV364" s="31" t="inlineStr">
        <is>
          <t>Yes for more than 2 years</t>
        </is>
      </c>
      <c r="AW364" s="31">
        <f>IF(AV364="Yes for more than 2 years",10,IF(AV364="Yes only for next 1 to 2 years",5,0))</f>
        <v/>
      </c>
      <c r="AX364" s="31" t="inlineStr">
        <is>
          <t>0 to 20</t>
        </is>
      </c>
      <c r="AY364" s="31">
        <f>IF(AX364="Above 40",20,IF(AX364="20 to 40",10,IF(AX364="0 to 20",-5,0)))</f>
        <v/>
      </c>
      <c r="AZ364" s="31" t="inlineStr">
        <is>
          <t>Between 50 to 75</t>
        </is>
      </c>
      <c r="BA364" s="31">
        <f>IF(AZ364="Between 50 to 75",10,IF(AZ364="Above 75",0,0))</f>
        <v/>
      </c>
      <c r="BB364" s="31" t="inlineStr">
        <is>
          <t>Stage 3</t>
        </is>
      </c>
      <c r="BC364" s="31">
        <f>IF(BB364="Stage 2",20,IF(BB364="Stage 1",0,IF(BB364="Stage 3",5,IF(BB364="Stage 4",-5,0))))</f>
        <v/>
      </c>
      <c r="BD364" s="31" t="inlineStr">
        <is>
          <t>Negative Trend</t>
        </is>
      </c>
      <c r="BE364" s="31">
        <f>IF(BD364="Positive Trend",20,IF(BD364="Negative Trend",-10,0))</f>
        <v/>
      </c>
      <c r="BF364" s="31" t="inlineStr">
        <is>
          <t>Uptrend</t>
        </is>
      </c>
      <c r="BG364" s="31">
        <f>IF(BF364="Uptrend",10,IF(BF364="Sideways",5,0))</f>
        <v/>
      </c>
      <c r="BH364" s="31" t="inlineStr">
        <is>
          <t>Uptrend</t>
        </is>
      </c>
      <c r="BI364" s="31">
        <f>IF(BH364="Uptrend",10,IF(BH364="Sideways",5,0))</f>
        <v/>
      </c>
      <c r="BJ364" s="31" t="inlineStr">
        <is>
          <t>Close to 52 week high or retracement</t>
        </is>
      </c>
      <c r="BK364" s="31">
        <f>IF(BJ364="Overhead supply in last 2 years in last 2 years",-5,IF(BJ364="Close to 52 week high or retracement",5,IF(BJ364="Blue sky scenario",10,IF(BJ364="Long term Downtrend",-10,0))))</f>
        <v/>
      </c>
      <c r="BL364" s="31" t="inlineStr">
        <is>
          <t>Yes</t>
        </is>
      </c>
      <c r="BM364" s="31">
        <f>IF(BL364="Yes",10,0)</f>
        <v/>
      </c>
      <c r="BN364" s="31" t="inlineStr">
        <is>
          <t>More than 20%</t>
        </is>
      </c>
      <c r="BO364" s="31">
        <f>IF(BN364="More than 20%",10,IF(BN364="Between 12 to 20%",5,IF(BN364="Less than 12%",0,0)))</f>
        <v/>
      </c>
      <c r="BP364" s="31" t="inlineStr">
        <is>
          <t>No</t>
        </is>
      </c>
      <c r="BQ364" s="31">
        <f>IF(BP364="No",10,0)</f>
        <v/>
      </c>
      <c r="BR364" s="31" t="inlineStr">
        <is>
          <t>No</t>
        </is>
      </c>
      <c r="BS364" s="31">
        <f>IF(BR364="NO",5,0)</f>
        <v/>
      </c>
      <c r="BT364" s="31" t="inlineStr">
        <is>
          <t>Less than 1.5</t>
        </is>
      </c>
      <c r="BU364" s="31">
        <f>IF(BT364="Above 2",0,IF(BT364="Between 1.5 to 2",5,IF(BT364="Less than 1.5",10,0)))</f>
        <v/>
      </c>
      <c r="BV364" s="31" t="inlineStr">
        <is>
          <t>Above 70%</t>
        </is>
      </c>
      <c r="BW364" s="31">
        <f>IF(BV364="Above 70%",10,IF(BV364="Between 50% to 70%",5,IF(BV364="Less than 50%",0,IF(BV364="Negative",-10,IF(BV364="Less than 50% and Borrowings are increasing",-5,0)))))</f>
        <v/>
      </c>
      <c r="BX364" s="31" t="inlineStr">
        <is>
          <t>Less than 0.7</t>
        </is>
      </c>
      <c r="BY364" s="31">
        <f>IF(BX364="More than 1.2",-10,IF(BX364="Between 0.7 to 1.2",0,IF(BX364="Less than 0.7",10,0)))</f>
        <v/>
      </c>
      <c r="BZ364" s="31" t="inlineStr">
        <is>
          <t>No</t>
        </is>
      </c>
      <c r="CA364" s="31">
        <f>IF(BZ364="Yes",-10,0)</f>
        <v/>
      </c>
      <c r="CB364" s="31" t="inlineStr">
        <is>
          <t>Less than 15%</t>
        </is>
      </c>
      <c r="CC364" s="31">
        <f>IF(CB364="More than 15%",-10,IF(CB364="Less than 15%",10,0))</f>
        <v/>
      </c>
      <c r="CD364" s="31" t="inlineStr">
        <is>
          <t>No</t>
        </is>
      </c>
      <c r="CE364" s="31">
        <f>IF(CD364="Yes, more than 10%",-10,IF(CD364="No",10,0))</f>
        <v/>
      </c>
    </row>
    <row r="365">
      <c r="A365" s="31">
        <f>IF(B365=0,"",RANK(B365,$B$2:$B$389,0))</f>
        <v/>
      </c>
      <c r="B365" s="32">
        <f>SUM(N365,Y365,AA365,AC365,AE365,AG365,AI365,AK365,AM365,AO365,AQ365,AS365,AU365,AW365,AY365,BA365,BC365,BE365,BG365,BI365,BK365,BM365,BO365,BQ365,BS365,BU365,BW365,BY365,CA365,CC365,CE365)</f>
        <v/>
      </c>
      <c r="C365" s="31" t="inlineStr">
        <is>
          <t>DICIND</t>
        </is>
      </c>
      <c r="D365" s="31" t="inlineStr">
        <is>
          <t>Dic India Limited</t>
        </is>
      </c>
      <c r="E365" s="31" t="inlineStr">
        <is>
          <t>chemicals</t>
        </is>
      </c>
      <c r="F365" s="31" t="inlineStr">
        <is>
          <t>chemicals</t>
        </is>
      </c>
      <c r="G365" s="31" t="inlineStr">
        <is>
          <t>smallcap</t>
        </is>
      </c>
      <c r="H365" s="32" t="n">
        <v>545.14</v>
      </c>
      <c r="I365" s="32" t="n">
        <v>592.05</v>
      </c>
      <c r="J365" s="32" t="n">
        <v>-0.31</v>
      </c>
      <c r="K365" s="32" t="n">
        <v>13355</v>
      </c>
      <c r="L365" s="31" t="n">
        <v>16</v>
      </c>
      <c r="M365" s="31" t="inlineStr">
        <is>
          <t>Outperforming</t>
        </is>
      </c>
      <c r="N365" s="32">
        <f>IF(M365="Underperforming",-5,IF(L365&gt;=95,15,IF(L365&gt;=90,10,IF(L365&gt;=80,5,0))))</f>
        <v/>
      </c>
      <c r="O365" s="32" t="n">
        <v>67.29000000000001</v>
      </c>
      <c r="P365" s="32" t="n">
        <v>15.28</v>
      </c>
      <c r="Q365" s="32" t="inlineStr"/>
      <c r="R365" s="31" t="inlineStr">
        <is>
          <t>Earnings / Momentum Support</t>
        </is>
      </c>
      <c r="S365" s="31" t="inlineStr">
        <is>
          <t>Nifty 50</t>
        </is>
      </c>
      <c r="T365" s="32" t="n">
        <v>-2.49</v>
      </c>
      <c r="U365" s="32" t="n">
        <v>0.91</v>
      </c>
      <c r="V365" s="32" t="n">
        <v>3.48</v>
      </c>
      <c r="W365" s="32" t="n">
        <v>3.5</v>
      </c>
      <c r="X365" s="31" t="inlineStr">
        <is>
          <t>Growing Industry</t>
        </is>
      </c>
      <c r="Y365" s="31">
        <f>IF(X365="Growing Industry",10,IF(X365="Cyclical in an Upturn",5,0))</f>
        <v/>
      </c>
      <c r="Z365" s="31" t="inlineStr">
        <is>
          <t>Too Many Players with High ROCE</t>
        </is>
      </c>
      <c r="AA365" s="31">
        <f>IF(Z365="Monopoly",10,IF(Z365="Oligopoly",5,IF(Z365="Duopoly that cooperate",10,IF(Z365="Duopoly that compete",5,IF(Z365="Too many players with High ROCE",5,0)))))</f>
        <v/>
      </c>
      <c r="AB365" s="31" t="inlineStr">
        <is>
          <t>No</t>
        </is>
      </c>
      <c r="AC365" s="31">
        <f>IF(AB365="No",5,0)</f>
        <v/>
      </c>
      <c r="AD365" s="31" t="inlineStr">
        <is>
          <t>Headwind</t>
        </is>
      </c>
      <c r="AE365" s="31">
        <f>IF(AD365="Tailwind",10,0)</f>
        <v/>
      </c>
      <c r="AF365" s="31" t="inlineStr">
        <is>
          <t>Structural (10 Years Consistency)</t>
        </is>
      </c>
      <c r="AG365" s="31">
        <f>IF(AF365="Structural (10 Years Consistency)",10,IF(AF365="Shallow Cyclical (2 to 3 years growth)",5,0))</f>
        <v/>
      </c>
      <c r="AH365" s="31" t="inlineStr">
        <is>
          <t>No</t>
        </is>
      </c>
      <c r="AI365" s="31">
        <f>IF(AH365="Yes due to Product Mix change or Operating Leverage",10,IF(AH365="Yes, these are peak margins",-5,IF(AH365="No",5,0)))</f>
        <v/>
      </c>
      <c r="AJ365" s="31" t="inlineStr">
        <is>
          <t>Stable</t>
        </is>
      </c>
      <c r="AK365" s="31">
        <f>IF(AJ365="Stable",10,0)</f>
        <v/>
      </c>
      <c r="AL365" s="31" t="inlineStr">
        <is>
          <t>Yes</t>
        </is>
      </c>
      <c r="AM365" s="31">
        <f>IF(AL365="Yes",10,0)</f>
        <v/>
      </c>
      <c r="AN365" s="31" t="inlineStr">
        <is>
          <t>B2B</t>
        </is>
      </c>
      <c r="AO365" s="31">
        <f>IF(AN365="B2C",10,IF(AN365="B2B",5,0))</f>
        <v/>
      </c>
      <c r="AP365" s="31" t="inlineStr">
        <is>
          <t>No</t>
        </is>
      </c>
      <c r="AQ365" s="31">
        <f>IF(AP365="Yes",10,0)</f>
        <v/>
      </c>
      <c r="AR365" s="31" t="inlineStr">
        <is>
          <t>Higher One Time, Lower Annuity</t>
        </is>
      </c>
      <c r="AS365" s="31">
        <f>IF(AR365="Fully Annuity",10,IF(AR365="Higher Annuity, Lower One Time",5,IF(AR365="Higher One Time, Lower Annuity",3,0)))</f>
        <v/>
      </c>
      <c r="AT365" s="31" t="inlineStr">
        <is>
          <t>Good</t>
        </is>
      </c>
      <c r="AU365" s="31">
        <f>IF(AT365="Good",10,0)</f>
        <v/>
      </c>
      <c r="AV365" s="31" t="inlineStr">
        <is>
          <t>Yes for more than 2 years</t>
        </is>
      </c>
      <c r="AW365" s="31">
        <f>IF(AV365="Yes for more than 2 years",10,IF(AV365="Yes only for next 1 to 2 years",5,0))</f>
        <v/>
      </c>
      <c r="AX365" s="31" t="inlineStr">
        <is>
          <t>0 to 20</t>
        </is>
      </c>
      <c r="AY365" s="31">
        <f>IF(AX365="Above 40",20,IF(AX365="20 to 40",10,IF(AX365="0 to 20",-5,0)))</f>
        <v/>
      </c>
      <c r="AZ365" s="31" t="inlineStr">
        <is>
          <t>Between 50 to 75</t>
        </is>
      </c>
      <c r="BA365" s="31">
        <f>IF(AZ365="Between 50 to 75",10,IF(AZ365="Above 75",0,0))</f>
        <v/>
      </c>
      <c r="BB365" s="31" t="inlineStr">
        <is>
          <t>Stage 3</t>
        </is>
      </c>
      <c r="BC365" s="31">
        <f>IF(BB365="Stage 2",20,IF(BB365="Stage 1",0,IF(BB365="Stage 3",5,IF(BB365="Stage 4",-5,0))))</f>
        <v/>
      </c>
      <c r="BD365" s="31" t="inlineStr">
        <is>
          <t>Negative Trend</t>
        </is>
      </c>
      <c r="BE365" s="31">
        <f>IF(BD365="Positive Trend",20,IF(BD365="Negative Trend",-10,0))</f>
        <v/>
      </c>
      <c r="BF365" s="31" t="inlineStr">
        <is>
          <t>Uptrend</t>
        </is>
      </c>
      <c r="BG365" s="31">
        <f>IF(BF365="Uptrend",10,IF(BF365="Sideways",5,0))</f>
        <v/>
      </c>
      <c r="BH365" s="31" t="inlineStr">
        <is>
          <t>Uptrend</t>
        </is>
      </c>
      <c r="BI365" s="31">
        <f>IF(BH365="Uptrend",10,IF(BH365="Sideways",5,0))</f>
        <v/>
      </c>
      <c r="BJ365" s="31" t="inlineStr">
        <is>
          <t>Close to 52 week high or retracement</t>
        </is>
      </c>
      <c r="BK365" s="31">
        <f>IF(BJ365="Overhead supply in last 2 years in last 2 years",-5,IF(BJ365="Close to 52 week high or retracement",5,IF(BJ365="Blue sky scenario",10,IF(BJ365="Long term Downtrend",-10,0))))</f>
        <v/>
      </c>
      <c r="BL365" s="31" t="inlineStr">
        <is>
          <t>Yes</t>
        </is>
      </c>
      <c r="BM365" s="31">
        <f>IF(BL365="Yes",10,0)</f>
        <v/>
      </c>
      <c r="BN365" s="31" t="inlineStr">
        <is>
          <t>More than 20%</t>
        </is>
      </c>
      <c r="BO365" s="31">
        <f>IF(BN365="More than 20%",10,IF(BN365="Between 12 to 20%",5,IF(BN365="Less than 12%",0,0)))</f>
        <v/>
      </c>
      <c r="BP365" s="31" t="inlineStr">
        <is>
          <t>No</t>
        </is>
      </c>
      <c r="BQ365" s="31">
        <f>IF(BP365="No",10,0)</f>
        <v/>
      </c>
      <c r="BR365" s="31" t="inlineStr">
        <is>
          <t>No</t>
        </is>
      </c>
      <c r="BS365" s="31">
        <f>IF(BR365="NO",5,0)</f>
        <v/>
      </c>
      <c r="BT365" s="31" t="inlineStr">
        <is>
          <t>Above 2</t>
        </is>
      </c>
      <c r="BU365" s="31">
        <f>IF(BT365="Above 2",0,IF(BT365="Between 1.5 to 2",5,IF(BT365="Less than 1.5",10,0)))</f>
        <v/>
      </c>
      <c r="BV365" s="31" t="inlineStr">
        <is>
          <t>Negative</t>
        </is>
      </c>
      <c r="BW365" s="31">
        <f>IF(BV365="Above 70%",10,IF(BV365="Between 50% to 70%",5,IF(BV365="Less than 50%",0,IF(BV365="Negative",-10,IF(BV365="Less than 50% and Borrowings are increasing",-5,0)))))</f>
        <v/>
      </c>
      <c r="BX365" s="31" t="inlineStr">
        <is>
          <t>Less than 0.7</t>
        </is>
      </c>
      <c r="BY365" s="31">
        <f>IF(BX365="More than 1.2",-10,IF(BX365="Between 0.7 to 1.2",0,IF(BX365="Less than 0.7",10,0)))</f>
        <v/>
      </c>
      <c r="BZ365" s="31" t="inlineStr">
        <is>
          <t>No</t>
        </is>
      </c>
      <c r="CA365" s="31">
        <f>IF(BZ365="Yes",-10,0)</f>
        <v/>
      </c>
      <c r="CB365" s="31" t="inlineStr">
        <is>
          <t>Less than 15%</t>
        </is>
      </c>
      <c r="CC365" s="31">
        <f>IF(CB365="More than 15%",-10,IF(CB365="Less than 15%",10,0))</f>
        <v/>
      </c>
      <c r="CD365" s="31" t="inlineStr">
        <is>
          <t>No</t>
        </is>
      </c>
      <c r="CE365" s="31">
        <f>IF(CD365="Yes, more than 10%",-10,IF(CD365="No",10,0))</f>
        <v/>
      </c>
    </row>
    <row r="366">
      <c r="A366" s="31">
        <f>IF(B366=0,"",RANK(B366,$B$2:$B$389,0))</f>
        <v/>
      </c>
      <c r="B366" s="32">
        <f>SUM(N366,Y366,AA366,AC366,AE366,AG366,AI366,AK366,AM366,AO366,AQ366,AS366,AU366,AW366,AY366,BA366,BC366,BE366,BG366,BI366,BK366,BM366,BO366,BQ366,BS366,BU366,BW366,BY366,CA366,CC366,CE366)</f>
        <v/>
      </c>
      <c r="C366" s="31" t="inlineStr">
        <is>
          <t>JYOTICNC</t>
        </is>
      </c>
      <c r="D366" s="31" t="inlineStr">
        <is>
          <t>Jyoti CNC Automation Ltd</t>
        </is>
      </c>
      <c r="E366" s="31" t="inlineStr">
        <is>
          <t>industrials</t>
        </is>
      </c>
      <c r="F366" s="31" t="inlineStr">
        <is>
          <t>engineering</t>
        </is>
      </c>
      <c r="G366" s="31" t="inlineStr">
        <is>
          <t>largecap</t>
        </is>
      </c>
      <c r="H366" s="32" t="n">
        <v>22487.6</v>
      </c>
      <c r="I366" s="32" t="n">
        <v>980.25</v>
      </c>
      <c r="J366" s="32" t="n">
        <v>-0.86</v>
      </c>
      <c r="K366" s="32" t="n">
        <v>965588</v>
      </c>
      <c r="L366" s="31" t="n">
        <v>54</v>
      </c>
      <c r="M366" s="31" t="inlineStr">
        <is>
          <t>Outperforming</t>
        </is>
      </c>
      <c r="N366" s="32">
        <f>IF(M366="Underperforming",-5,IF(L366&gt;=95,15,IF(L366&gt;=90,10,IF(L366&gt;=80,5,0))))</f>
        <v/>
      </c>
      <c r="O366" s="32" t="n">
        <v>67.56</v>
      </c>
      <c r="P366" s="32" t="n">
        <v>17.95</v>
      </c>
      <c r="Q366" s="32" t="inlineStr"/>
      <c r="R366" s="31" t="inlineStr">
        <is>
          <t>Earnings / Momentum Support</t>
        </is>
      </c>
      <c r="S366" s="31" t="inlineStr">
        <is>
          <t>Nifty 50</t>
        </is>
      </c>
      <c r="T366" s="32" t="n">
        <v>-2.49</v>
      </c>
      <c r="U366" s="32" t="n">
        <v>3.58</v>
      </c>
      <c r="V366" s="32" t="n">
        <v>6.22</v>
      </c>
      <c r="W366" s="32" t="n">
        <v>12.83</v>
      </c>
      <c r="X366" s="31" t="inlineStr">
        <is>
          <t>Cyclical in an Upturn</t>
        </is>
      </c>
      <c r="Y366" s="31">
        <f>IF(X366="Growing Industry",10,IF(X366="Cyclical in an Upturn",5,0))</f>
        <v/>
      </c>
      <c r="Z366" s="31" t="inlineStr">
        <is>
          <t>Too Many Players with High ROCE</t>
        </is>
      </c>
      <c r="AA366" s="31">
        <f>IF(Z366="Monopoly",10,IF(Z366="Oligopoly",5,IF(Z366="Duopoly that cooperate",10,IF(Z366="Duopoly that compete",5,IF(Z366="Too many players with High ROCE",5,0)))))</f>
        <v/>
      </c>
      <c r="AB366" s="31" t="inlineStr">
        <is>
          <t>No</t>
        </is>
      </c>
      <c r="AC366" s="31">
        <f>IF(AB366="No",5,0)</f>
        <v/>
      </c>
      <c r="AD366" s="31" t="inlineStr">
        <is>
          <t>Headwind</t>
        </is>
      </c>
      <c r="AE366" s="31">
        <f>IF(AD366="Tailwind",10,0)</f>
        <v/>
      </c>
      <c r="AF366" s="31" t="inlineStr">
        <is>
          <t>Structural (10 Years Consistency)</t>
        </is>
      </c>
      <c r="AG366" s="31">
        <f>IF(AF366="Structural (10 Years Consistency)",10,IF(AF366="Shallow Cyclical (2 to 3 years growth)",5,0))</f>
        <v/>
      </c>
      <c r="AH366" s="31" t="inlineStr">
        <is>
          <t>No</t>
        </is>
      </c>
      <c r="AI366" s="31">
        <f>IF(AH366="Yes due to Product Mix change or Operating Leverage",10,IF(AH366="Yes, these are peak margins",-5,IF(AH366="No",5,0)))</f>
        <v/>
      </c>
      <c r="AJ366" s="31" t="inlineStr">
        <is>
          <t>Stable</t>
        </is>
      </c>
      <c r="AK366" s="31">
        <f>IF(AJ366="Stable",10,0)</f>
        <v/>
      </c>
      <c r="AL366" s="31" t="inlineStr">
        <is>
          <t>Yes</t>
        </is>
      </c>
      <c r="AM366" s="31">
        <f>IF(AL366="Yes",10,0)</f>
        <v/>
      </c>
      <c r="AN366" s="31" t="inlineStr">
        <is>
          <t>B2B</t>
        </is>
      </c>
      <c r="AO366" s="31">
        <f>IF(AN366="B2C",10,IF(AN366="B2B",5,0))</f>
        <v/>
      </c>
      <c r="AP366" s="31" t="inlineStr">
        <is>
          <t>No</t>
        </is>
      </c>
      <c r="AQ366" s="31">
        <f>IF(AP366="Yes",10,0)</f>
        <v/>
      </c>
      <c r="AR366" s="31" t="inlineStr">
        <is>
          <t>Higher One Time, Lower Annuity</t>
        </is>
      </c>
      <c r="AS366" s="31">
        <f>IF(AR366="Fully Annuity",10,IF(AR366="Higher Annuity, Lower One Time",5,IF(AR366="Higher One Time, Lower Annuity",3,0)))</f>
        <v/>
      </c>
      <c r="AT366" s="31" t="inlineStr">
        <is>
          <t>Good</t>
        </is>
      </c>
      <c r="AU366" s="31">
        <f>IF(AT366="Good",10,0)</f>
        <v/>
      </c>
      <c r="AV366" s="31" t="inlineStr">
        <is>
          <t>Yes for more than 2 years</t>
        </is>
      </c>
      <c r="AW366" s="31">
        <f>IF(AV366="Yes for more than 2 years",10,IF(AV366="Yes only for next 1 to 2 years",5,0))</f>
        <v/>
      </c>
      <c r="AX366" s="31" t="inlineStr">
        <is>
          <t>0 to 20</t>
        </is>
      </c>
      <c r="AY366" s="31">
        <f>IF(AX366="Above 40",20,IF(AX366="20 to 40",10,IF(AX366="0 to 20",-5,0)))</f>
        <v/>
      </c>
      <c r="AZ366" s="31" t="inlineStr">
        <is>
          <t>Between 50 to 75</t>
        </is>
      </c>
      <c r="BA366" s="31">
        <f>IF(AZ366="Between 50 to 75",10,IF(AZ366="Above 75",0,0))</f>
        <v/>
      </c>
      <c r="BB366" s="31" t="inlineStr">
        <is>
          <t>Stage 3</t>
        </is>
      </c>
      <c r="BC366" s="31">
        <f>IF(BB366="Stage 2",20,IF(BB366="Stage 1",0,IF(BB366="Stage 3",5,IF(BB366="Stage 4",-5,0))))</f>
        <v/>
      </c>
      <c r="BD366" s="31" t="inlineStr">
        <is>
          <t>Negative Trend</t>
        </is>
      </c>
      <c r="BE366" s="31">
        <f>IF(BD366="Positive Trend",20,IF(BD366="Negative Trend",-10,0))</f>
        <v/>
      </c>
      <c r="BF366" s="31" t="inlineStr">
        <is>
          <t>Uptrend</t>
        </is>
      </c>
      <c r="BG366" s="31">
        <f>IF(BF366="Uptrend",10,IF(BF366="Sideways",5,0))</f>
        <v/>
      </c>
      <c r="BH366" s="31" t="inlineStr">
        <is>
          <t>Uptrend</t>
        </is>
      </c>
      <c r="BI366" s="31">
        <f>IF(BH366="Uptrend",10,IF(BH366="Sideways",5,0))</f>
        <v/>
      </c>
      <c r="BJ366" s="31" t="inlineStr">
        <is>
          <t>Close to 52 week high or retracement</t>
        </is>
      </c>
      <c r="BK366" s="31">
        <f>IF(BJ366="Overhead supply in last 2 years in last 2 years",-5,IF(BJ366="Close to 52 week high or retracement",5,IF(BJ366="Blue sky scenario",10,IF(BJ366="Long term Downtrend",-10,0))))</f>
        <v/>
      </c>
      <c r="BL366" s="31" t="inlineStr">
        <is>
          <t>Yes</t>
        </is>
      </c>
      <c r="BM366" s="31">
        <f>IF(BL366="Yes",10,0)</f>
        <v/>
      </c>
      <c r="BN366" s="31" t="inlineStr">
        <is>
          <t>Less than 12%</t>
        </is>
      </c>
      <c r="BO366" s="31">
        <f>IF(BN366="More than 20%",10,IF(BN366="Between 12 to 20%",5,IF(BN366="Less than 12%",0,0)))</f>
        <v/>
      </c>
      <c r="BP366" s="31" t="inlineStr">
        <is>
          <t>No</t>
        </is>
      </c>
      <c r="BQ366" s="31">
        <f>IF(BP366="No",10,0)</f>
        <v/>
      </c>
      <c r="BR366" s="31" t="inlineStr">
        <is>
          <t>Yes</t>
        </is>
      </c>
      <c r="BS366" s="31">
        <f>IF(BR366="NO",5,0)</f>
        <v/>
      </c>
      <c r="BT366" s="31" t="inlineStr">
        <is>
          <t>Above 2</t>
        </is>
      </c>
      <c r="BU366" s="31">
        <f>IF(BT366="Above 2",0,IF(BT366="Between 1.5 to 2",5,IF(BT366="Less than 1.5",10,0)))</f>
        <v/>
      </c>
      <c r="BV366" s="31" t="inlineStr">
        <is>
          <t>Above 70%</t>
        </is>
      </c>
      <c r="BW366" s="31">
        <f>IF(BV366="Above 70%",10,IF(BV366="Between 50% to 70%",5,IF(BV366="Less than 50%",0,IF(BV366="Negative",-10,IF(BV366="Less than 50% and Borrowings are increasing",-5,0)))))</f>
        <v/>
      </c>
      <c r="BX366" s="31" t="inlineStr">
        <is>
          <t>Less than 0.7</t>
        </is>
      </c>
      <c r="BY366" s="31">
        <f>IF(BX366="More than 1.2",-10,IF(BX366="Between 0.7 to 1.2",0,IF(BX366="Less than 0.7",10,0)))</f>
        <v/>
      </c>
      <c r="BZ366" s="31" t="inlineStr">
        <is>
          <t>No</t>
        </is>
      </c>
      <c r="CA366" s="31">
        <f>IF(BZ366="Yes",-10,0)</f>
        <v/>
      </c>
      <c r="CB366" s="31" t="inlineStr">
        <is>
          <t>Less than 15%</t>
        </is>
      </c>
      <c r="CC366" s="31">
        <f>IF(CB366="More than 15%",-10,IF(CB366="Less than 15%",10,0))</f>
        <v/>
      </c>
      <c r="CD366" s="31" t="inlineStr">
        <is>
          <t>No</t>
        </is>
      </c>
      <c r="CE366" s="31">
        <f>IF(CD366="Yes, more than 10%",-10,IF(CD366="No",10,0))</f>
        <v/>
      </c>
    </row>
    <row r="367">
      <c r="A367" s="31">
        <f>IF(B367=0,"",RANK(B367,$B$2:$B$389,0))</f>
        <v/>
      </c>
      <c r="B367" s="32">
        <f>SUM(N367,Y367,AA367,AC367,AE367,AG367,AI367,AK367,AM367,AO367,AQ367,AS367,AU367,AW367,AY367,BA367,BC367,BE367,BG367,BI367,BK367,BM367,BO367,BQ367,BS367,BU367,BW367,BY367,CA367,CC367,CE367)</f>
        <v/>
      </c>
      <c r="C367" s="31" t="inlineStr">
        <is>
          <t>RKFORGE</t>
        </is>
      </c>
      <c r="D367" s="31" t="inlineStr">
        <is>
          <t>Ramkrishna Forgings Limited</t>
        </is>
      </c>
      <c r="E367" s="31" t="inlineStr">
        <is>
          <t>industrials</t>
        </is>
      </c>
      <c r="F367" s="31" t="inlineStr">
        <is>
          <t>castings &amp; forgings</t>
        </is>
      </c>
      <c r="G367" s="31" t="inlineStr">
        <is>
          <t>midcap</t>
        </is>
      </c>
      <c r="H367" s="32" t="n">
        <v>13426.84</v>
      </c>
      <c r="I367" s="32" t="n">
        <v>728.5</v>
      </c>
      <c r="J367" s="32" t="n">
        <v>-1.16</v>
      </c>
      <c r="K367" s="32" t="n">
        <v>685523</v>
      </c>
      <c r="L367" s="31" t="n">
        <v>52</v>
      </c>
      <c r="M367" s="31" t="inlineStr">
        <is>
          <t>Outperforming</t>
        </is>
      </c>
      <c r="N367" s="32">
        <f>IF(M367="Underperforming",-5,IF(L367&gt;=95,15,IF(L367&gt;=90,10,IF(L367&gt;=80,5,0))))</f>
        <v/>
      </c>
      <c r="O367" s="32" t="n">
        <v>72.83</v>
      </c>
      <c r="P367" s="32" t="n">
        <v>18.49</v>
      </c>
      <c r="Q367" s="32" t="inlineStr"/>
      <c r="R367" s="31" t="inlineStr">
        <is>
          <t>Earnings / Momentum Support</t>
        </is>
      </c>
      <c r="S367" s="31" t="inlineStr">
        <is>
          <t>Nifty 50</t>
        </is>
      </c>
      <c r="T367" s="32" t="n">
        <v>-2.49</v>
      </c>
      <c r="U367" s="32" t="n">
        <v>28.97</v>
      </c>
      <c r="V367" s="32" t="n">
        <v>32.26</v>
      </c>
      <c r="W367" s="32" t="n">
        <v>12.59</v>
      </c>
      <c r="X367" s="31" t="inlineStr">
        <is>
          <t>Cyclical in an Upturn</t>
        </is>
      </c>
      <c r="Y367" s="31">
        <f>IF(X367="Growing Industry",10,IF(X367="Cyclical in an Upturn",5,0))</f>
        <v/>
      </c>
      <c r="Z367" s="31" t="inlineStr">
        <is>
          <t>Too Many Players with High ROCE</t>
        </is>
      </c>
      <c r="AA367" s="31">
        <f>IF(Z367="Monopoly",10,IF(Z367="Oligopoly",5,IF(Z367="Duopoly that cooperate",10,IF(Z367="Duopoly that compete",5,IF(Z367="Too many players with High ROCE",5,0)))))</f>
        <v/>
      </c>
      <c r="AB367" s="31" t="inlineStr">
        <is>
          <t>No</t>
        </is>
      </c>
      <c r="AC367" s="31">
        <f>IF(AB367="No",5,0)</f>
        <v/>
      </c>
      <c r="AD367" s="31" t="inlineStr">
        <is>
          <t>Headwind</t>
        </is>
      </c>
      <c r="AE367" s="31">
        <f>IF(AD367="Tailwind",10,0)</f>
        <v/>
      </c>
      <c r="AF367" s="31" t="inlineStr">
        <is>
          <t>Structural (10 Years Consistency)</t>
        </is>
      </c>
      <c r="AG367" s="31">
        <f>IF(AF367="Structural (10 Years Consistency)",10,IF(AF367="Shallow Cyclical (2 to 3 years growth)",5,0))</f>
        <v/>
      </c>
      <c r="AH367" s="31" t="inlineStr">
        <is>
          <t>No</t>
        </is>
      </c>
      <c r="AI367" s="31">
        <f>IF(AH367="Yes due to Product Mix change or Operating Leverage",10,IF(AH367="Yes, these are peak margins",-5,IF(AH367="No",5,0)))</f>
        <v/>
      </c>
      <c r="AJ367" s="31" t="inlineStr">
        <is>
          <t>Stable</t>
        </is>
      </c>
      <c r="AK367" s="31">
        <f>IF(AJ367="Stable",10,0)</f>
        <v/>
      </c>
      <c r="AL367" s="31" t="inlineStr">
        <is>
          <t>Yes</t>
        </is>
      </c>
      <c r="AM367" s="31">
        <f>IF(AL367="Yes",10,0)</f>
        <v/>
      </c>
      <c r="AN367" s="31" t="inlineStr">
        <is>
          <t>B2B</t>
        </is>
      </c>
      <c r="AO367" s="31">
        <f>IF(AN367="B2C",10,IF(AN367="B2B",5,0))</f>
        <v/>
      </c>
      <c r="AP367" s="31" t="inlineStr">
        <is>
          <t>No</t>
        </is>
      </c>
      <c r="AQ367" s="31">
        <f>IF(AP367="Yes",10,0)</f>
        <v/>
      </c>
      <c r="AR367" s="31" t="inlineStr">
        <is>
          <t>Higher One Time, Lower Annuity</t>
        </is>
      </c>
      <c r="AS367" s="31">
        <f>IF(AR367="Fully Annuity",10,IF(AR367="Higher Annuity, Lower One Time",5,IF(AR367="Higher One Time, Lower Annuity",3,0)))</f>
        <v/>
      </c>
      <c r="AT367" s="31" t="inlineStr">
        <is>
          <t>Good</t>
        </is>
      </c>
      <c r="AU367" s="31">
        <f>IF(AT367="Good",10,0)</f>
        <v/>
      </c>
      <c r="AV367" s="31" t="inlineStr">
        <is>
          <t>Yes for more than 2 years</t>
        </is>
      </c>
      <c r="AW367" s="31">
        <f>IF(AV367="Yes for more than 2 years",10,IF(AV367="Yes only for next 1 to 2 years",5,0))</f>
        <v/>
      </c>
      <c r="AX367" s="31" t="inlineStr">
        <is>
          <t>0 to 20</t>
        </is>
      </c>
      <c r="AY367" s="31">
        <f>IF(AX367="Above 40",20,IF(AX367="20 to 40",10,IF(AX367="0 to 20",-5,0)))</f>
        <v/>
      </c>
      <c r="AZ367" s="31" t="inlineStr">
        <is>
          <t>Between 50 to 75</t>
        </is>
      </c>
      <c r="BA367" s="31">
        <f>IF(AZ367="Between 50 to 75",10,IF(AZ367="Above 75",0,0))</f>
        <v/>
      </c>
      <c r="BB367" s="31" t="inlineStr">
        <is>
          <t>Stage 3</t>
        </is>
      </c>
      <c r="BC367" s="31">
        <f>IF(BB367="Stage 2",20,IF(BB367="Stage 1",0,IF(BB367="Stage 3",5,IF(BB367="Stage 4",-5,0))))</f>
        <v/>
      </c>
      <c r="BD367" s="31" t="inlineStr">
        <is>
          <t>Negative Trend</t>
        </is>
      </c>
      <c r="BE367" s="31">
        <f>IF(BD367="Positive Trend",20,IF(BD367="Negative Trend",-10,0))</f>
        <v/>
      </c>
      <c r="BF367" s="31" t="inlineStr">
        <is>
          <t>Uptrend</t>
        </is>
      </c>
      <c r="BG367" s="31">
        <f>IF(BF367="Uptrend",10,IF(BF367="Sideways",5,0))</f>
        <v/>
      </c>
      <c r="BH367" s="31" t="inlineStr">
        <is>
          <t>Uptrend</t>
        </is>
      </c>
      <c r="BI367" s="31">
        <f>IF(BH367="Uptrend",10,IF(BH367="Sideways",5,0))</f>
        <v/>
      </c>
      <c r="BJ367" s="31" t="inlineStr">
        <is>
          <t>Close to 52 week high or retracement</t>
        </is>
      </c>
      <c r="BK367" s="31">
        <f>IF(BJ367="Overhead supply in last 2 years in last 2 years",-5,IF(BJ367="Close to 52 week high or retracement",5,IF(BJ367="Blue sky scenario",10,IF(BJ367="Long term Downtrend",-10,0))))</f>
        <v/>
      </c>
      <c r="BL367" s="31" t="inlineStr">
        <is>
          <t>Yes</t>
        </is>
      </c>
      <c r="BM367" s="31">
        <f>IF(BL367="Yes",10,0)</f>
        <v/>
      </c>
      <c r="BN367" s="31" t="inlineStr">
        <is>
          <t>More than 20%</t>
        </is>
      </c>
      <c r="BO367" s="31">
        <f>IF(BN367="More than 20%",10,IF(BN367="Between 12 to 20%",5,IF(BN367="Less than 12%",0,0)))</f>
        <v/>
      </c>
      <c r="BP367" s="31" t="inlineStr">
        <is>
          <t>No</t>
        </is>
      </c>
      <c r="BQ367" s="31">
        <f>IF(BP367="No",10,0)</f>
        <v/>
      </c>
      <c r="BR367" s="31" t="inlineStr">
        <is>
          <t>Yes</t>
        </is>
      </c>
      <c r="BS367" s="31">
        <f>IF(BR367="NO",5,0)</f>
        <v/>
      </c>
      <c r="BT367" s="31" t="inlineStr">
        <is>
          <t>Above 2</t>
        </is>
      </c>
      <c r="BU367" s="31">
        <f>IF(BT367="Above 2",0,IF(BT367="Between 1.5 to 2",5,IF(BT367="Less than 1.5",10,0)))</f>
        <v/>
      </c>
      <c r="BV367" s="31" t="inlineStr">
        <is>
          <t>Above 70%</t>
        </is>
      </c>
      <c r="BW367" s="31">
        <f>IF(BV367="Above 70%",10,IF(BV367="Between 50% to 70%",5,IF(BV367="Less than 50%",0,IF(BV367="Negative",-10,IF(BV367="Less than 50% and Borrowings are increasing",-5,0)))))</f>
        <v/>
      </c>
      <c r="BX367" s="31" t="inlineStr">
        <is>
          <t>Between 0.7 to 1.2</t>
        </is>
      </c>
      <c r="BY367" s="31">
        <f>IF(BX367="More than 1.2",-10,IF(BX367="Between 0.7 to 1.2",0,IF(BX367="Less than 0.7",10,0)))</f>
        <v/>
      </c>
      <c r="BZ367" s="31" t="inlineStr">
        <is>
          <t>No</t>
        </is>
      </c>
      <c r="CA367" s="31">
        <f>IF(BZ367="Yes",-10,0)</f>
        <v/>
      </c>
      <c r="CB367" s="31" t="inlineStr">
        <is>
          <t>Less than 15%</t>
        </is>
      </c>
      <c r="CC367" s="31">
        <f>IF(CB367="More than 15%",-10,IF(CB367="Less than 15%",10,0))</f>
        <v/>
      </c>
      <c r="CD367" s="31" t="inlineStr">
        <is>
          <t>No</t>
        </is>
      </c>
      <c r="CE367" s="31">
        <f>IF(CD367="Yes, more than 10%",-10,IF(CD367="No",10,0))</f>
        <v/>
      </c>
    </row>
    <row r="368">
      <c r="A368" s="31">
        <f>IF(B368=0,"",RANK(B368,$B$2:$B$389,0))</f>
        <v/>
      </c>
      <c r="B368" s="32">
        <f>SUM(N368,Y368,AA368,AC368,AE368,AG368,AI368,AK368,AM368,AO368,AQ368,AS368,AU368,AW368,AY368,BA368,BC368,BE368,BG368,BI368,BK368,BM368,BO368,BQ368,BS368,BU368,BW368,BY368,CA368,CC368,CE368)</f>
        <v/>
      </c>
      <c r="C368" s="33" t="inlineStr">
        <is>
          <t>SHANTIGEAR</t>
        </is>
      </c>
      <c r="D368" s="33" t="inlineStr">
        <is>
          <t>Shanthi Gears Limited</t>
        </is>
      </c>
      <c r="E368" s="31" t="inlineStr">
        <is>
          <t>industrials</t>
        </is>
      </c>
      <c r="F368" s="31" t="inlineStr">
        <is>
          <t>engineering</t>
        </is>
      </c>
      <c r="G368" s="31" t="inlineStr">
        <is>
          <t>smallcap</t>
        </is>
      </c>
      <c r="H368" s="32" t="n">
        <v>3561.53</v>
      </c>
      <c r="I368" s="32" t="n">
        <v>549</v>
      </c>
      <c r="J368" s="32" t="n">
        <v>18.26</v>
      </c>
      <c r="K368" s="32" t="n">
        <v>12216406</v>
      </c>
      <c r="L368" s="31" t="n">
        <v>1</v>
      </c>
      <c r="M368" s="31" t="inlineStr">
        <is>
          <t>Underperforming</t>
        </is>
      </c>
      <c r="N368" s="32">
        <f>IF(M368="Underperforming",-5,IF(L368&gt;=95,15,IF(L368&gt;=90,10,IF(L368&gt;=80,5,0))))</f>
        <v/>
      </c>
      <c r="O368" s="32" t="n">
        <v>57.26</v>
      </c>
      <c r="P368" s="32" t="n">
        <v>16.02</v>
      </c>
      <c r="Q368" s="32" t="inlineStr"/>
      <c r="R368" s="31" t="inlineStr">
        <is>
          <t>Volume Spike / Accumulation</t>
        </is>
      </c>
      <c r="S368" s="31" t="inlineStr">
        <is>
          <t>Nifty 50</t>
        </is>
      </c>
      <c r="T368" s="32" t="n">
        <v>-2.49</v>
      </c>
      <c r="U368" s="32" t="n">
        <v>-17.69</v>
      </c>
      <c r="V368" s="32" t="n">
        <v>-15.59</v>
      </c>
      <c r="W368" s="32" t="n">
        <v>-2.34</v>
      </c>
      <c r="X368" s="31" t="inlineStr">
        <is>
          <t>Cyclical in an Upturn</t>
        </is>
      </c>
      <c r="Y368" s="31">
        <f>IF(X368="Growing Industry",10,IF(X368="Cyclical in an Upturn",5,0))</f>
        <v/>
      </c>
      <c r="Z368" s="31" t="inlineStr">
        <is>
          <t>Too Many Players with High ROCE</t>
        </is>
      </c>
      <c r="AA368" s="31">
        <f>IF(Z368="Monopoly",10,IF(Z368="Oligopoly",5,IF(Z368="Duopoly that cooperate",10,IF(Z368="Duopoly that compete",5,IF(Z368="Too many players with High ROCE",5,0)))))</f>
        <v/>
      </c>
      <c r="AB368" s="31" t="inlineStr">
        <is>
          <t>No</t>
        </is>
      </c>
      <c r="AC368" s="31">
        <f>IF(AB368="No",5,0)</f>
        <v/>
      </c>
      <c r="AD368" s="31" t="inlineStr">
        <is>
          <t>Headwind</t>
        </is>
      </c>
      <c r="AE368" s="31">
        <f>IF(AD368="Tailwind",10,0)</f>
        <v/>
      </c>
      <c r="AF368" s="31" t="inlineStr">
        <is>
          <t>Structural (10 Years Consistency)</t>
        </is>
      </c>
      <c r="AG368" s="31">
        <f>IF(AF368="Structural (10 Years Consistency)",10,IF(AF368="Shallow Cyclical (2 to 3 years growth)",5,0))</f>
        <v/>
      </c>
      <c r="AH368" s="31" t="inlineStr">
        <is>
          <t>No</t>
        </is>
      </c>
      <c r="AI368" s="31">
        <f>IF(AH368="Yes due to Product Mix change or Operating Leverage",10,IF(AH368="Yes, these are peak margins",-5,IF(AH368="No",5,0)))</f>
        <v/>
      </c>
      <c r="AJ368" s="31" t="inlineStr">
        <is>
          <t>Stable</t>
        </is>
      </c>
      <c r="AK368" s="31">
        <f>IF(AJ368="Stable",10,0)</f>
        <v/>
      </c>
      <c r="AL368" s="31" t="inlineStr">
        <is>
          <t>Yes</t>
        </is>
      </c>
      <c r="AM368" s="31">
        <f>IF(AL368="Yes",10,0)</f>
        <v/>
      </c>
      <c r="AN368" s="31" t="inlineStr">
        <is>
          <t>B2B</t>
        </is>
      </c>
      <c r="AO368" s="31">
        <f>IF(AN368="B2C",10,IF(AN368="B2B",5,0))</f>
        <v/>
      </c>
      <c r="AP368" s="31" t="inlineStr">
        <is>
          <t>Yes</t>
        </is>
      </c>
      <c r="AQ368" s="31">
        <f>IF(AP368="Yes",10,0)</f>
        <v/>
      </c>
      <c r="AR368" s="31" t="inlineStr">
        <is>
          <t>Higher One Time, Lower Annuity</t>
        </is>
      </c>
      <c r="AS368" s="31">
        <f>IF(AR368="Fully Annuity",10,IF(AR368="Higher Annuity, Lower One Time",5,IF(AR368="Higher One Time, Lower Annuity",3,0)))</f>
        <v/>
      </c>
      <c r="AT368" s="31" t="inlineStr">
        <is>
          <t>Good</t>
        </is>
      </c>
      <c r="AU368" s="31">
        <f>IF(AT368="Good",10,0)</f>
        <v/>
      </c>
      <c r="AV368" s="31" t="inlineStr">
        <is>
          <t>Yes for more than 2 years</t>
        </is>
      </c>
      <c r="AW368" s="31">
        <f>IF(AV368="Yes for more than 2 years",10,IF(AV368="Yes only for next 1 to 2 years",5,0))</f>
        <v/>
      </c>
      <c r="AX368" s="31" t="inlineStr">
        <is>
          <t>0 to 20</t>
        </is>
      </c>
      <c r="AY368" s="31">
        <f>IF(AX368="Above 40",20,IF(AX368="20 to 40",10,IF(AX368="0 to 20",-5,0)))</f>
        <v/>
      </c>
      <c r="AZ368" s="31" t="inlineStr">
        <is>
          <t>Between 50 to 75</t>
        </is>
      </c>
      <c r="BA368" s="31">
        <f>IF(AZ368="Between 50 to 75",10,IF(AZ368="Above 75",0,0))</f>
        <v/>
      </c>
      <c r="BB368" s="31" t="inlineStr">
        <is>
          <t>Stage 4</t>
        </is>
      </c>
      <c r="BC368" s="31">
        <f>IF(BB368="Stage 2",20,IF(BB368="Stage 1",0,IF(BB368="Stage 3",5,IF(BB368="Stage 4",-5,0))))</f>
        <v/>
      </c>
      <c r="BD368" s="31" t="inlineStr">
        <is>
          <t>Negative Trend</t>
        </is>
      </c>
      <c r="BE368" s="31">
        <f>IF(BD368="Positive Trend",20,IF(BD368="Negative Trend",-10,0))</f>
        <v/>
      </c>
      <c r="BF368" s="31" t="inlineStr">
        <is>
          <t>Uptrend</t>
        </is>
      </c>
      <c r="BG368" s="31">
        <f>IF(BF368="Uptrend",10,IF(BF368="Sideways",5,0))</f>
        <v/>
      </c>
      <c r="BH368" s="31" t="inlineStr">
        <is>
          <t>Uptrend</t>
        </is>
      </c>
      <c r="BI368" s="31">
        <f>IF(BH368="Uptrend",10,IF(BH368="Sideways",5,0))</f>
        <v/>
      </c>
      <c r="BJ368" s="31" t="inlineStr">
        <is>
          <t>Close to 52 week high or retracement</t>
        </is>
      </c>
      <c r="BK368" s="31">
        <f>IF(BJ368="Overhead supply in last 2 years in last 2 years",-5,IF(BJ368="Close to 52 week high or retracement",5,IF(BJ368="Blue sky scenario",10,IF(BJ368="Long term Downtrend",-10,0))))</f>
        <v/>
      </c>
      <c r="BL368" s="31" t="inlineStr">
        <is>
          <t>Yes</t>
        </is>
      </c>
      <c r="BM368" s="31">
        <f>IF(BL368="Yes",10,0)</f>
        <v/>
      </c>
      <c r="BN368" s="31" t="inlineStr">
        <is>
          <t>Less than 12%</t>
        </is>
      </c>
      <c r="BO368" s="31">
        <f>IF(BN368="More than 20%",10,IF(BN368="Between 12 to 20%",5,IF(BN368="Less than 12%",0,0)))</f>
        <v/>
      </c>
      <c r="BP368" s="31" t="inlineStr">
        <is>
          <t>No</t>
        </is>
      </c>
      <c r="BQ368" s="31">
        <f>IF(BP368="No",10,0)</f>
        <v/>
      </c>
      <c r="BR368" s="31" t="inlineStr">
        <is>
          <t>Yes</t>
        </is>
      </c>
      <c r="BS368" s="31">
        <f>IF(BR368="NO",5,0)</f>
        <v/>
      </c>
      <c r="BT368" s="31" t="inlineStr">
        <is>
          <t>Above 2</t>
        </is>
      </c>
      <c r="BU368" s="31">
        <f>IF(BT368="Above 2",0,IF(BT368="Between 1.5 to 2",5,IF(BT368="Less than 1.5",10,0)))</f>
        <v/>
      </c>
      <c r="BV368" s="31" t="inlineStr">
        <is>
          <t>Above 70%</t>
        </is>
      </c>
      <c r="BW368" s="31">
        <f>IF(BV368="Above 70%",10,IF(BV368="Between 50% to 70%",5,IF(BV368="Less than 50%",0,IF(BV368="Negative",-10,IF(BV368="Less than 50% and Borrowings are increasing",-5,0)))))</f>
        <v/>
      </c>
      <c r="BX368" s="31" t="inlineStr">
        <is>
          <t>Less than 0.7</t>
        </is>
      </c>
      <c r="BY368" s="31">
        <f>IF(BX368="More than 1.2",-10,IF(BX368="Between 0.7 to 1.2",0,IF(BX368="Less than 0.7",10,0)))</f>
        <v/>
      </c>
      <c r="BZ368" s="31" t="inlineStr">
        <is>
          <t>No</t>
        </is>
      </c>
      <c r="CA368" s="31">
        <f>IF(BZ368="Yes",-10,0)</f>
        <v/>
      </c>
      <c r="CB368" s="31" t="inlineStr">
        <is>
          <t>Less than 15%</t>
        </is>
      </c>
      <c r="CC368" s="31">
        <f>IF(CB368="More than 15%",-10,IF(CB368="Less than 15%",10,0))</f>
        <v/>
      </c>
      <c r="CD368" s="31" t="inlineStr">
        <is>
          <t>No</t>
        </is>
      </c>
      <c r="CE368" s="31">
        <f>IF(CD368="Yes, more than 10%",-10,IF(CD368="No",10,0))</f>
        <v/>
      </c>
    </row>
    <row r="369">
      <c r="A369" s="31">
        <f>IF(B369=0,"",RANK(B369,$B$2:$B$389,0))</f>
        <v/>
      </c>
      <c r="B369" s="32">
        <f>SUM(N369,Y369,AA369,AC369,AE369,AG369,AI369,AK369,AM369,AO369,AQ369,AS369,AU369,AW369,AY369,BA369,BC369,BE369,BG369,BI369,BK369,BM369,BO369,BQ369,BS369,BU369,BW369,BY369,CA369,CC369,CE369)</f>
        <v/>
      </c>
      <c r="C369" s="33" t="inlineStr">
        <is>
          <t>ALLCARGO</t>
        </is>
      </c>
      <c r="D369" s="33" t="inlineStr">
        <is>
          <t>Allcargo Logistics Limited</t>
        </is>
      </c>
      <c r="E369" s="31" t="inlineStr">
        <is>
          <t>transportation</t>
        </is>
      </c>
      <c r="F369" s="31" t="inlineStr">
        <is>
          <t>miscellaneous</t>
        </is>
      </c>
      <c r="G369" s="31" t="inlineStr">
        <is>
          <t>smallcap</t>
        </is>
      </c>
      <c r="H369" s="32" t="n">
        <v>1822.8</v>
      </c>
      <c r="I369" s="32" t="n">
        <v>13.33</v>
      </c>
      <c r="J369" s="32" t="n">
        <v>9.529999999999999</v>
      </c>
      <c r="K369" s="32" t="n">
        <v>137257888</v>
      </c>
      <c r="L369" s="31" t="n">
        <v>1</v>
      </c>
      <c r="M369" s="31" t="inlineStr">
        <is>
          <t>Underperforming</t>
        </is>
      </c>
      <c r="N369" s="32">
        <f>IF(M369="Underperforming",-5,IF(L369&gt;=95,15,IF(L369&gt;=90,10,IF(L369&gt;=80,5,0))))</f>
        <v/>
      </c>
      <c r="O369" s="32" t="n">
        <v>59.88</v>
      </c>
      <c r="P369" s="32" t="n">
        <v>25.89</v>
      </c>
      <c r="Q369" s="32" t="inlineStr"/>
      <c r="R369" s="31" t="inlineStr">
        <is>
          <t>Earnings / Momentum Support</t>
        </is>
      </c>
      <c r="S369" s="31" t="inlineStr">
        <is>
          <t>Nifty 50</t>
        </is>
      </c>
      <c r="T369" s="32" t="n">
        <v>-2.49</v>
      </c>
      <c r="U369" s="32" t="n">
        <v>-63.9</v>
      </c>
      <c r="V369" s="32" t="n">
        <v>-62.98</v>
      </c>
      <c r="W369" s="32" t="n">
        <v>-3.14</v>
      </c>
      <c r="X369" s="31" t="inlineStr">
        <is>
          <t>Growing Industry</t>
        </is>
      </c>
      <c r="Y369" s="31">
        <f>IF(X369="Growing Industry",10,IF(X369="Cyclical in an Upturn",5,0))</f>
        <v/>
      </c>
      <c r="Z369" s="31" t="inlineStr">
        <is>
          <t>Too Many Players with High ROCE</t>
        </is>
      </c>
      <c r="AA369" s="31">
        <f>IF(Z369="Monopoly",10,IF(Z369="Oligopoly",5,IF(Z369="Duopoly that cooperate",10,IF(Z369="Duopoly that compete",5,IF(Z369="Too many players with High ROCE",5,0)))))</f>
        <v/>
      </c>
      <c r="AB369" s="31" t="inlineStr">
        <is>
          <t>No</t>
        </is>
      </c>
      <c r="AC369" s="31">
        <f>IF(AB369="No",5,0)</f>
        <v/>
      </c>
      <c r="AD369" s="31" t="inlineStr">
        <is>
          <t>Headwind</t>
        </is>
      </c>
      <c r="AE369" s="31">
        <f>IF(AD369="Tailwind",10,0)</f>
        <v/>
      </c>
      <c r="AF369" s="31" t="inlineStr">
        <is>
          <t>Structural (10 Years Consistency)</t>
        </is>
      </c>
      <c r="AG369" s="31">
        <f>IF(AF369="Structural (10 Years Consistency)",10,IF(AF369="Shallow Cyclical (2 to 3 years growth)",5,0))</f>
        <v/>
      </c>
      <c r="AH369" s="31" t="inlineStr">
        <is>
          <t>No</t>
        </is>
      </c>
      <c r="AI369" s="31">
        <f>IF(AH369="Yes due to Product Mix change or Operating Leverage",10,IF(AH369="Yes, these are peak margins",-5,IF(AH369="No",5,0)))</f>
        <v/>
      </c>
      <c r="AJ369" s="31" t="inlineStr">
        <is>
          <t>Stable</t>
        </is>
      </c>
      <c r="AK369" s="31">
        <f>IF(AJ369="Stable",10,0)</f>
        <v/>
      </c>
      <c r="AL369" s="31" t="inlineStr">
        <is>
          <t>Yes</t>
        </is>
      </c>
      <c r="AM369" s="31">
        <f>IF(AL369="Yes",10,0)</f>
        <v/>
      </c>
      <c r="AN369" s="31" t="inlineStr">
        <is>
          <t>B2B</t>
        </is>
      </c>
      <c r="AO369" s="31">
        <f>IF(AN369="B2C",10,IF(AN369="B2B",5,0))</f>
        <v/>
      </c>
      <c r="AP369" s="31" t="inlineStr">
        <is>
          <t>No</t>
        </is>
      </c>
      <c r="AQ369" s="31">
        <f>IF(AP369="Yes",10,0)</f>
        <v/>
      </c>
      <c r="AR369" s="31" t="inlineStr">
        <is>
          <t>Higher One Time, Lower Annuity</t>
        </is>
      </c>
      <c r="AS369" s="31">
        <f>IF(AR369="Fully Annuity",10,IF(AR369="Higher Annuity, Lower One Time",5,IF(AR369="Higher One Time, Lower Annuity",3,0)))</f>
        <v/>
      </c>
      <c r="AT369" s="31" t="inlineStr">
        <is>
          <t>Good</t>
        </is>
      </c>
      <c r="AU369" s="31">
        <f>IF(AT369="Good",10,0)</f>
        <v/>
      </c>
      <c r="AV369" s="31" t="inlineStr">
        <is>
          <t>Yes for more than 2 years</t>
        </is>
      </c>
      <c r="AW369" s="31">
        <f>IF(AV369="Yes for more than 2 years",10,IF(AV369="Yes only for next 1 to 2 years",5,0))</f>
        <v/>
      </c>
      <c r="AX369" s="31" t="inlineStr">
        <is>
          <t>20 to 40</t>
        </is>
      </c>
      <c r="AY369" s="31">
        <f>IF(AX369="Above 40",20,IF(AX369="20 to 40",10,IF(AX369="0 to 20",-5,0)))</f>
        <v/>
      </c>
      <c r="AZ369" s="31" t="inlineStr">
        <is>
          <t>Between 50 to 75</t>
        </is>
      </c>
      <c r="BA369" s="31">
        <f>IF(AZ369="Between 50 to 75",10,IF(AZ369="Above 75",0,0))</f>
        <v/>
      </c>
      <c r="BB369" s="31" t="inlineStr">
        <is>
          <t>Stage 4</t>
        </is>
      </c>
      <c r="BC369" s="31">
        <f>IF(BB369="Stage 2",20,IF(BB369="Stage 1",0,IF(BB369="Stage 3",5,IF(BB369="Stage 4",-5,0))))</f>
        <v/>
      </c>
      <c r="BD369" s="31" t="inlineStr">
        <is>
          <t>Negative Trend</t>
        </is>
      </c>
      <c r="BE369" s="31">
        <f>IF(BD369="Positive Trend",20,IF(BD369="Negative Trend",-10,0))</f>
        <v/>
      </c>
      <c r="BF369" s="31" t="inlineStr">
        <is>
          <t>Uptrend</t>
        </is>
      </c>
      <c r="BG369" s="31">
        <f>IF(BF369="Uptrend",10,IF(BF369="Sideways",5,0))</f>
        <v/>
      </c>
      <c r="BH369" s="31" t="inlineStr">
        <is>
          <t>Uptrend</t>
        </is>
      </c>
      <c r="BI369" s="31">
        <f>IF(BH369="Uptrend",10,IF(BH369="Sideways",5,0))</f>
        <v/>
      </c>
      <c r="BJ369" s="31" t="inlineStr">
        <is>
          <t>Close to 52 week high or retracement</t>
        </is>
      </c>
      <c r="BK369" s="31">
        <f>IF(BJ369="Overhead supply in last 2 years in last 2 years",-5,IF(BJ369="Close to 52 week high or retracement",5,IF(BJ369="Blue sky scenario",10,IF(BJ369="Long term Downtrend",-10,0))))</f>
        <v/>
      </c>
      <c r="BL369" s="31" t="inlineStr">
        <is>
          <t>Yes</t>
        </is>
      </c>
      <c r="BM369" s="31">
        <f>IF(BL369="Yes",10,0)</f>
        <v/>
      </c>
      <c r="BN369" s="31" t="inlineStr">
        <is>
          <t>More than 20%</t>
        </is>
      </c>
      <c r="BO369" s="31">
        <f>IF(BN369="More than 20%",10,IF(BN369="Between 12 to 20%",5,IF(BN369="Less than 12%",0,0)))</f>
        <v/>
      </c>
      <c r="BP369" s="31" t="inlineStr">
        <is>
          <t>No</t>
        </is>
      </c>
      <c r="BQ369" s="31">
        <f>IF(BP369="No",10,0)</f>
        <v/>
      </c>
      <c r="BR369" s="31" t="inlineStr">
        <is>
          <t>Yes</t>
        </is>
      </c>
      <c r="BS369" s="31">
        <f>IF(BR369="NO",5,0)</f>
        <v/>
      </c>
      <c r="BT369" s="31" t="inlineStr">
        <is>
          <t>Above 2</t>
        </is>
      </c>
      <c r="BU369" s="31">
        <f>IF(BT369="Above 2",0,IF(BT369="Between 1.5 to 2",5,IF(BT369="Less than 1.5",10,0)))</f>
        <v/>
      </c>
      <c r="BV369" s="31" t="inlineStr">
        <is>
          <t>Above 70%</t>
        </is>
      </c>
      <c r="BW369" s="31">
        <f>IF(BV369="Above 70%",10,IF(BV369="Between 50% to 70%",5,IF(BV369="Less than 50%",0,IF(BV369="Negative",-10,IF(BV369="Less than 50% and Borrowings are increasing",-5,0)))))</f>
        <v/>
      </c>
      <c r="BX369" s="31" t="inlineStr">
        <is>
          <t>More than 1.2</t>
        </is>
      </c>
      <c r="BY369" s="31">
        <f>IF(BX369="More than 1.2",-10,IF(BX369="Between 0.7 to 1.2",0,IF(BX369="Less than 0.7",10,0)))</f>
        <v/>
      </c>
      <c r="BZ369" s="31" t="inlineStr">
        <is>
          <t>No</t>
        </is>
      </c>
      <c r="CA369" s="31">
        <f>IF(BZ369="Yes",-10,0)</f>
        <v/>
      </c>
      <c r="CB369" s="31" t="inlineStr">
        <is>
          <t>Less than 15%</t>
        </is>
      </c>
      <c r="CC369" s="31">
        <f>IF(CB369="More than 15%",-10,IF(CB369="Less than 15%",10,0))</f>
        <v/>
      </c>
      <c r="CD369" s="31" t="inlineStr">
        <is>
          <t>No</t>
        </is>
      </c>
      <c r="CE369" s="31">
        <f>IF(CD369="Yes, more than 10%",-10,IF(CD369="No",10,0))</f>
        <v/>
      </c>
    </row>
    <row r="370">
      <c r="A370" s="31">
        <f>IF(B370=0,"",RANK(B370,$B$2:$B$389,0))</f>
        <v/>
      </c>
      <c r="B370" s="32">
        <f>SUM(N370,Y370,AA370,AC370,AE370,AG370,AI370,AK370,AM370,AO370,AQ370,AS370,AU370,AW370,AY370,BA370,BC370,BE370,BG370,BI370,BK370,BM370,BO370,BQ370,BS370,BU370,BW370,BY370,CA370,CC370,CE370)</f>
        <v/>
      </c>
      <c r="C370" s="31" t="inlineStr">
        <is>
          <t>PFOCUS</t>
        </is>
      </c>
      <c r="D370" s="31" t="inlineStr">
        <is>
          <t>Prime Focus Limited</t>
        </is>
      </c>
      <c r="E370" s="31" t="inlineStr">
        <is>
          <t>realty</t>
        </is>
      </c>
      <c r="F370" s="31" t="inlineStr">
        <is>
          <t>miscellaneous</t>
        </is>
      </c>
      <c r="G370" s="31" t="inlineStr">
        <is>
          <t>largecap</t>
        </is>
      </c>
      <c r="H370" s="32" t="n">
        <v>23057.89</v>
      </c>
      <c r="I370" s="32" t="n">
        <v>307.8</v>
      </c>
      <c r="J370" s="32" t="n">
        <v>3.65</v>
      </c>
      <c r="K370" s="32" t="n">
        <v>2085799</v>
      </c>
      <c r="L370" s="31" t="inlineStr"/>
      <c r="M370" s="31" t="inlineStr"/>
      <c r="N370" s="32">
        <f>IF(M370="Underperforming",-5,IF(L370&gt;=95,15,IF(L370&gt;=90,10,IF(L370&gt;=80,5,0))))</f>
        <v/>
      </c>
      <c r="O370" s="32" t="n">
        <v>59.03</v>
      </c>
      <c r="P370" s="32" t="n">
        <v>12.56</v>
      </c>
      <c r="Q370" s="32" t="inlineStr"/>
      <c r="R370" s="31" t="inlineStr">
        <is>
          <t>Earnings / Momentum Support</t>
        </is>
      </c>
      <c r="S370" s="31" t="inlineStr">
        <is>
          <t>Nifty Realty</t>
        </is>
      </c>
      <c r="T370" s="32" t="inlineStr"/>
      <c r="U370" s="32" t="inlineStr"/>
      <c r="V370" s="32" t="inlineStr"/>
      <c r="W370" s="32" t="inlineStr"/>
      <c r="X370" s="31" t="inlineStr">
        <is>
          <t>Growing Industry</t>
        </is>
      </c>
      <c r="Y370" s="31">
        <f>IF(X370="Growing Industry",10,IF(X370="Cyclical in an Upturn",5,0))</f>
        <v/>
      </c>
      <c r="Z370" s="31" t="inlineStr">
        <is>
          <t>Too Many Players with High ROCE</t>
        </is>
      </c>
      <c r="AA370" s="31">
        <f>IF(Z370="Monopoly",10,IF(Z370="Oligopoly",5,IF(Z370="Duopoly that cooperate",10,IF(Z370="Duopoly that compete",5,IF(Z370="Too many players with High ROCE",5,0)))))</f>
        <v/>
      </c>
      <c r="AB370" s="31" t="inlineStr">
        <is>
          <t>No</t>
        </is>
      </c>
      <c r="AC370" s="31">
        <f>IF(AB370="No",5,0)</f>
        <v/>
      </c>
      <c r="AD370" s="31" t="inlineStr">
        <is>
          <t>Headwind</t>
        </is>
      </c>
      <c r="AE370" s="31">
        <f>IF(AD370="Tailwind",10,0)</f>
        <v/>
      </c>
      <c r="AF370" s="31" t="inlineStr">
        <is>
          <t>Structural (10 Years Consistency)</t>
        </is>
      </c>
      <c r="AG370" s="31">
        <f>IF(AF370="Structural (10 Years Consistency)",10,IF(AF370="Shallow Cyclical (2 to 3 years growth)",5,0))</f>
        <v/>
      </c>
      <c r="AH370" s="31" t="inlineStr">
        <is>
          <t>No</t>
        </is>
      </c>
      <c r="AI370" s="31">
        <f>IF(AH370="Yes due to Product Mix change or Operating Leverage",10,IF(AH370="Yes, these are peak margins",-5,IF(AH370="No",5,0)))</f>
        <v/>
      </c>
      <c r="AJ370" s="31" t="inlineStr">
        <is>
          <t>Stable</t>
        </is>
      </c>
      <c r="AK370" s="31">
        <f>IF(AJ370="Stable",10,0)</f>
        <v/>
      </c>
      <c r="AL370" s="31" t="inlineStr">
        <is>
          <t>Yes</t>
        </is>
      </c>
      <c r="AM370" s="31">
        <f>IF(AL370="Yes",10,0)</f>
        <v/>
      </c>
      <c r="AN370" s="31" t="inlineStr">
        <is>
          <t>B2B</t>
        </is>
      </c>
      <c r="AO370" s="31">
        <f>IF(AN370="B2C",10,IF(AN370="B2B",5,0))</f>
        <v/>
      </c>
      <c r="AP370" s="31" t="inlineStr">
        <is>
          <t>No</t>
        </is>
      </c>
      <c r="AQ370" s="31">
        <f>IF(AP370="Yes",10,0)</f>
        <v/>
      </c>
      <c r="AR370" s="31" t="inlineStr">
        <is>
          <t>Higher One Time, Lower Annuity</t>
        </is>
      </c>
      <c r="AS370" s="31">
        <f>IF(AR370="Fully Annuity",10,IF(AR370="Higher Annuity, Lower One Time",5,IF(AR370="Higher One Time, Lower Annuity",3,0)))</f>
        <v/>
      </c>
      <c r="AT370" s="31" t="inlineStr">
        <is>
          <t>Good</t>
        </is>
      </c>
      <c r="AU370" s="31">
        <f>IF(AT370="Good",10,0)</f>
        <v/>
      </c>
      <c r="AV370" s="31" t="inlineStr">
        <is>
          <t>Yes for more than 2 years</t>
        </is>
      </c>
      <c r="AW370" s="31">
        <f>IF(AV370="Yes for more than 2 years",10,IF(AV370="Yes only for next 1 to 2 years",5,0))</f>
        <v/>
      </c>
      <c r="AX370" s="31" t="inlineStr">
        <is>
          <t>0 to 20</t>
        </is>
      </c>
      <c r="AY370" s="31">
        <f>IF(AX370="Above 40",20,IF(AX370="20 to 40",10,IF(AX370="0 to 20",-5,0)))</f>
        <v/>
      </c>
      <c r="AZ370" s="31" t="inlineStr">
        <is>
          <t>Between 50 to 75</t>
        </is>
      </c>
      <c r="BA370" s="31">
        <f>IF(AZ370="Between 50 to 75",10,IF(AZ370="Above 75",0,0))</f>
        <v/>
      </c>
      <c r="BB370" s="31" t="inlineStr">
        <is>
          <t>Stage 3</t>
        </is>
      </c>
      <c r="BC370" s="31">
        <f>IF(BB370="Stage 2",20,IF(BB370="Stage 1",0,IF(BB370="Stage 3",5,IF(BB370="Stage 4",-5,0))))</f>
        <v/>
      </c>
      <c r="BD370" s="31" t="inlineStr">
        <is>
          <t>Negative Trend</t>
        </is>
      </c>
      <c r="BE370" s="31">
        <f>IF(BD370="Positive Trend",20,IF(BD370="Negative Trend",-10,0))</f>
        <v/>
      </c>
      <c r="BF370" s="31" t="inlineStr">
        <is>
          <t>Uptrend</t>
        </is>
      </c>
      <c r="BG370" s="31">
        <f>IF(BF370="Uptrend",10,IF(BF370="Sideways",5,0))</f>
        <v/>
      </c>
      <c r="BH370" s="31" t="inlineStr">
        <is>
          <t>Uptrend</t>
        </is>
      </c>
      <c r="BI370" s="31">
        <f>IF(BH370="Uptrend",10,IF(BH370="Sideways",5,0))</f>
        <v/>
      </c>
      <c r="BJ370" s="31" t="inlineStr">
        <is>
          <t>Close to 52 week high or retracement</t>
        </is>
      </c>
      <c r="BK370" s="31">
        <f>IF(BJ370="Overhead supply in last 2 years in last 2 years",-5,IF(BJ370="Close to 52 week high or retracement",5,IF(BJ370="Blue sky scenario",10,IF(BJ370="Long term Downtrend",-10,0))))</f>
        <v/>
      </c>
      <c r="BL370" s="31" t="inlineStr">
        <is>
          <t>Yes</t>
        </is>
      </c>
      <c r="BM370" s="31">
        <f>IF(BL370="Yes",10,0)</f>
        <v/>
      </c>
      <c r="BN370" s="31" t="inlineStr">
        <is>
          <t>More than 20%</t>
        </is>
      </c>
      <c r="BO370" s="31">
        <f>IF(BN370="More than 20%",10,IF(BN370="Between 12 to 20%",5,IF(BN370="Less than 12%",0,0)))</f>
        <v/>
      </c>
      <c r="BP370" s="31" t="inlineStr">
        <is>
          <t>No</t>
        </is>
      </c>
      <c r="BQ370" s="31">
        <f>IF(BP370="No",10,0)</f>
        <v/>
      </c>
      <c r="BR370" s="31" t="inlineStr">
        <is>
          <t>Yes</t>
        </is>
      </c>
      <c r="BS370" s="31">
        <f>IF(BR370="NO",5,0)</f>
        <v/>
      </c>
      <c r="BT370" s="31" t="inlineStr">
        <is>
          <t>Above 2</t>
        </is>
      </c>
      <c r="BU370" s="31">
        <f>IF(BT370="Above 2",0,IF(BT370="Between 1.5 to 2",5,IF(BT370="Less than 1.5",10,0)))</f>
        <v/>
      </c>
      <c r="BV370" s="31" t="inlineStr">
        <is>
          <t>Above 70%</t>
        </is>
      </c>
      <c r="BW370" s="31">
        <f>IF(BV370="Above 70%",10,IF(BV370="Between 50% to 70%",5,IF(BV370="Less than 50%",0,IF(BV370="Negative",-10,IF(BV370="Less than 50% and Borrowings are increasing",-5,0)))))</f>
        <v/>
      </c>
      <c r="BX370" s="31" t="inlineStr">
        <is>
          <t>More than 1.2</t>
        </is>
      </c>
      <c r="BY370" s="31">
        <f>IF(BX370="More than 1.2",-10,IF(BX370="Between 0.7 to 1.2",0,IF(BX370="Less than 0.7",10,0)))</f>
        <v/>
      </c>
      <c r="BZ370" s="31" t="inlineStr">
        <is>
          <t>No</t>
        </is>
      </c>
      <c r="CA370" s="31">
        <f>IF(BZ370="Yes",-10,0)</f>
        <v/>
      </c>
      <c r="CB370" s="31" t="inlineStr">
        <is>
          <t>Less than 15%</t>
        </is>
      </c>
      <c r="CC370" s="31">
        <f>IF(CB370="More than 15%",-10,IF(CB370="Less than 15%",10,0))</f>
        <v/>
      </c>
      <c r="CD370" s="31" t="inlineStr">
        <is>
          <t>No</t>
        </is>
      </c>
      <c r="CE370" s="31">
        <f>IF(CD370="Yes, more than 10%",-10,IF(CD370="No",10,0))</f>
        <v/>
      </c>
    </row>
    <row r="371">
      <c r="A371" s="31">
        <f>IF(B371=0,"",RANK(B371,$B$2:$B$389,0))</f>
        <v/>
      </c>
      <c r="B371" s="32">
        <f>SUM(N371,Y371,AA371,AC371,AE371,AG371,AI371,AK371,AM371,AO371,AQ371,AS371,AU371,AW371,AY371,BA371,BC371,BE371,BG371,BI371,BK371,BM371,BO371,BQ371,BS371,BU371,BW371,BY371,CA371,CC371,CE371)</f>
        <v/>
      </c>
      <c r="C371" s="31" t="inlineStr">
        <is>
          <t>HINDZINC</t>
        </is>
      </c>
      <c r="D371" s="31" t="inlineStr">
        <is>
          <t>Hindustan Zinc Limited</t>
        </is>
      </c>
      <c r="E371" s="31" t="inlineStr">
        <is>
          <t>metals &amp; mining</t>
        </is>
      </c>
      <c r="F371" s="31" t="inlineStr">
        <is>
          <t>mining / minerals / metals</t>
        </is>
      </c>
      <c r="G371" s="31" t="inlineStr">
        <is>
          <t>largecap</t>
        </is>
      </c>
      <c r="H371" s="32" t="n">
        <v>251364.23</v>
      </c>
      <c r="I371" s="32" t="n">
        <v>604</v>
      </c>
      <c r="J371" s="32" t="n">
        <v>1.53</v>
      </c>
      <c r="K371" s="32" t="n">
        <v>12714573</v>
      </c>
      <c r="L371" s="31" t="inlineStr"/>
      <c r="M371" s="31" t="inlineStr"/>
      <c r="N371" s="32">
        <f>IF(M371="Underperforming",-5,IF(L371&gt;=95,15,IF(L371&gt;=90,10,IF(L371&gt;=80,5,0))))</f>
        <v/>
      </c>
      <c r="O371" s="32" t="n">
        <v>55.29</v>
      </c>
      <c r="P371" s="32" t="n">
        <v>10.83</v>
      </c>
      <c r="Q371" s="32" t="inlineStr"/>
      <c r="R371" s="31" t="inlineStr">
        <is>
          <t>Earnings / Momentum Support</t>
        </is>
      </c>
      <c r="S371" s="31" t="inlineStr">
        <is>
          <t>Nifty Metal</t>
        </is>
      </c>
      <c r="T371" s="32" t="inlineStr"/>
      <c r="U371" s="32" t="inlineStr"/>
      <c r="V371" s="32" t="inlineStr"/>
      <c r="W371" s="32" t="inlineStr"/>
      <c r="X371" s="31" t="inlineStr">
        <is>
          <t>Cyclical in an Upturn</t>
        </is>
      </c>
      <c r="Y371" s="31">
        <f>IF(X371="Growing Industry",10,IF(X371="Cyclical in an Upturn",5,0))</f>
        <v/>
      </c>
      <c r="Z371" s="31" t="inlineStr">
        <is>
          <t>Too Many Players with High ROCE</t>
        </is>
      </c>
      <c r="AA371" s="31">
        <f>IF(Z371="Monopoly",10,IF(Z371="Oligopoly",5,IF(Z371="Duopoly that cooperate",10,IF(Z371="Duopoly that compete",5,IF(Z371="Too many players with High ROCE",5,0)))))</f>
        <v/>
      </c>
      <c r="AB371" s="31" t="inlineStr">
        <is>
          <t>No</t>
        </is>
      </c>
      <c r="AC371" s="31">
        <f>IF(AB371="No",5,0)</f>
        <v/>
      </c>
      <c r="AD371" s="31" t="inlineStr">
        <is>
          <t>Headwind</t>
        </is>
      </c>
      <c r="AE371" s="31">
        <f>IF(AD371="Tailwind",10,0)</f>
        <v/>
      </c>
      <c r="AF371" s="31" t="inlineStr">
        <is>
          <t>Cyclical</t>
        </is>
      </c>
      <c r="AG371" s="31">
        <f>IF(AF371="Structural (10 Years Consistency)",10,IF(AF371="Shallow Cyclical (2 to 3 years growth)",5,0))</f>
        <v/>
      </c>
      <c r="AH371" s="31" t="inlineStr">
        <is>
          <t>No</t>
        </is>
      </c>
      <c r="AI371" s="31">
        <f>IF(AH371="Yes due to Product Mix change or Operating Leverage",10,IF(AH371="Yes, these are peak margins",-5,IF(AH371="No",5,0)))</f>
        <v/>
      </c>
      <c r="AJ371" s="31" t="inlineStr">
        <is>
          <t>Volatile</t>
        </is>
      </c>
      <c r="AK371" s="31">
        <f>IF(AJ371="Stable",10,0)</f>
        <v/>
      </c>
      <c r="AL371" s="31" t="inlineStr">
        <is>
          <t>Yes</t>
        </is>
      </c>
      <c r="AM371" s="31">
        <f>IF(AL371="Yes",10,0)</f>
        <v/>
      </c>
      <c r="AN371" s="31" t="inlineStr">
        <is>
          <t>B2B</t>
        </is>
      </c>
      <c r="AO371" s="31">
        <f>IF(AN371="B2C",10,IF(AN371="B2B",5,0))</f>
        <v/>
      </c>
      <c r="AP371" s="31" t="inlineStr">
        <is>
          <t>No</t>
        </is>
      </c>
      <c r="AQ371" s="31">
        <f>IF(AP371="Yes",10,0)</f>
        <v/>
      </c>
      <c r="AR371" s="31" t="inlineStr">
        <is>
          <t>Higher One Time, Lower Annuity</t>
        </is>
      </c>
      <c r="AS371" s="31">
        <f>IF(AR371="Fully Annuity",10,IF(AR371="Higher Annuity, Lower One Time",5,IF(AR371="Higher One Time, Lower Annuity",3,0)))</f>
        <v/>
      </c>
      <c r="AT371" s="31" t="inlineStr">
        <is>
          <t>Good</t>
        </is>
      </c>
      <c r="AU371" s="31">
        <f>IF(AT371="Good",10,0)</f>
        <v/>
      </c>
      <c r="AV371" s="31" t="inlineStr">
        <is>
          <t>Yes for more than 2 years</t>
        </is>
      </c>
      <c r="AW371" s="31">
        <f>IF(AV371="Yes for more than 2 years",10,IF(AV371="Yes only for next 1 to 2 years",5,0))</f>
        <v/>
      </c>
      <c r="AX371" s="31" t="inlineStr">
        <is>
          <t>0 to 20</t>
        </is>
      </c>
      <c r="AY371" s="31">
        <f>IF(AX371="Above 40",20,IF(AX371="20 to 40",10,IF(AX371="0 to 20",-5,0)))</f>
        <v/>
      </c>
      <c r="AZ371" s="31" t="inlineStr">
        <is>
          <t>Between 50 to 75</t>
        </is>
      </c>
      <c r="BA371" s="31">
        <f>IF(AZ371="Between 50 to 75",10,IF(AZ371="Above 75",0,0))</f>
        <v/>
      </c>
      <c r="BB371" s="31" t="inlineStr">
        <is>
          <t>Stage 3</t>
        </is>
      </c>
      <c r="BC371" s="31">
        <f>IF(BB371="Stage 2",20,IF(BB371="Stage 1",0,IF(BB371="Stage 3",5,IF(BB371="Stage 4",-5,0))))</f>
        <v/>
      </c>
      <c r="BD371" s="31" t="inlineStr">
        <is>
          <t>Negative Trend</t>
        </is>
      </c>
      <c r="BE371" s="31">
        <f>IF(BD371="Positive Trend",20,IF(BD371="Negative Trend",-10,0))</f>
        <v/>
      </c>
      <c r="BF371" s="31" t="inlineStr">
        <is>
          <t>Uptrend</t>
        </is>
      </c>
      <c r="BG371" s="31">
        <f>IF(BF371="Uptrend",10,IF(BF371="Sideways",5,0))</f>
        <v/>
      </c>
      <c r="BH371" s="31" t="inlineStr">
        <is>
          <t>Uptrend</t>
        </is>
      </c>
      <c r="BI371" s="31">
        <f>IF(BH371="Uptrend",10,IF(BH371="Sideways",5,0))</f>
        <v/>
      </c>
      <c r="BJ371" s="31" t="inlineStr">
        <is>
          <t>Close to 52 week high or retracement</t>
        </is>
      </c>
      <c r="BK371" s="31">
        <f>IF(BJ371="Overhead supply in last 2 years in last 2 years",-5,IF(BJ371="Close to 52 week high or retracement",5,IF(BJ371="Blue sky scenario",10,IF(BJ371="Long term Downtrend",-10,0))))</f>
        <v/>
      </c>
      <c r="BL371" s="31" t="inlineStr">
        <is>
          <t>Yes</t>
        </is>
      </c>
      <c r="BM371" s="31">
        <f>IF(BL371="Yes",10,0)</f>
        <v/>
      </c>
      <c r="BN371" s="31" t="inlineStr">
        <is>
          <t>More than 20%</t>
        </is>
      </c>
      <c r="BO371" s="31">
        <f>IF(BN371="More than 20%",10,IF(BN371="Between 12 to 20%",5,IF(BN371="Less than 12%",0,0)))</f>
        <v/>
      </c>
      <c r="BP371" s="31" t="inlineStr">
        <is>
          <t>No</t>
        </is>
      </c>
      <c r="BQ371" s="31">
        <f>IF(BP371="No",10,0)</f>
        <v/>
      </c>
      <c r="BR371" s="31" t="inlineStr">
        <is>
          <t>No</t>
        </is>
      </c>
      <c r="BS371" s="31">
        <f>IF(BR371="NO",5,0)</f>
        <v/>
      </c>
      <c r="BT371" s="31" t="inlineStr">
        <is>
          <t>Above 2</t>
        </is>
      </c>
      <c r="BU371" s="31">
        <f>IF(BT371="Above 2",0,IF(BT371="Between 1.5 to 2",5,IF(BT371="Less than 1.5",10,0)))</f>
        <v/>
      </c>
      <c r="BV371" s="31" t="inlineStr">
        <is>
          <t>Above 70%</t>
        </is>
      </c>
      <c r="BW371" s="31">
        <f>IF(BV371="Above 70%",10,IF(BV371="Between 50% to 70%",5,IF(BV371="Less than 50%",0,IF(BV371="Negative",-10,IF(BV371="Less than 50% and Borrowings are increasing",-5,0)))))</f>
        <v/>
      </c>
      <c r="BX371" s="31" t="inlineStr">
        <is>
          <t>Less than 0.7</t>
        </is>
      </c>
      <c r="BY371" s="31">
        <f>IF(BX371="More than 1.2",-10,IF(BX371="Between 0.7 to 1.2",0,IF(BX371="Less than 0.7",10,0)))</f>
        <v/>
      </c>
      <c r="BZ371" s="31" t="inlineStr">
        <is>
          <t>No</t>
        </is>
      </c>
      <c r="CA371" s="31">
        <f>IF(BZ371="Yes",-10,0)</f>
        <v/>
      </c>
      <c r="CB371" s="31" t="inlineStr">
        <is>
          <t>Less than 15%</t>
        </is>
      </c>
      <c r="CC371" s="31">
        <f>IF(CB371="More than 15%",-10,IF(CB371="Less than 15%",10,0))</f>
        <v/>
      </c>
      <c r="CD371" s="31" t="inlineStr">
        <is>
          <t>No</t>
        </is>
      </c>
      <c r="CE371" s="31">
        <f>IF(CD371="Yes, more than 10%",-10,IF(CD371="No",10,0))</f>
        <v/>
      </c>
    </row>
    <row r="372">
      <c r="A372" s="31">
        <f>IF(B372=0,"",RANK(B372,$B$2:$B$389,0))</f>
        <v/>
      </c>
      <c r="B372" s="32">
        <f>SUM(N372,Y372,AA372,AC372,AE372,AG372,AI372,AK372,AM372,AO372,AQ372,AS372,AU372,AW372,AY372,BA372,BC372,BE372,BG372,BI372,BK372,BM372,BO372,BQ372,BS372,BU372,BW372,BY372,CA372,CC372,CE372)</f>
        <v/>
      </c>
      <c r="C372" s="31" t="inlineStr">
        <is>
          <t>PRESTIGE</t>
        </is>
      </c>
      <c r="D372" s="31" t="inlineStr">
        <is>
          <t>Prestige Estates Projects Limited</t>
        </is>
      </c>
      <c r="E372" s="31" t="inlineStr">
        <is>
          <t>realty</t>
        </is>
      </c>
      <c r="F372" s="31" t="inlineStr">
        <is>
          <t>construction</t>
        </is>
      </c>
      <c r="G372" s="31" t="inlineStr">
        <is>
          <t>largecap</t>
        </is>
      </c>
      <c r="H372" s="32" t="n">
        <v>70252.10000000001</v>
      </c>
      <c r="I372" s="32" t="n">
        <v>1635.8</v>
      </c>
      <c r="J372" s="32" t="n">
        <v>0.29</v>
      </c>
      <c r="K372" s="32" t="n">
        <v>240241</v>
      </c>
      <c r="L372" s="31" t="inlineStr"/>
      <c r="M372" s="31" t="inlineStr"/>
      <c r="N372" s="32">
        <f>IF(M372="Underperforming",-5,IF(L372&gt;=95,15,IF(L372&gt;=90,10,IF(L372&gt;=80,5,0))))</f>
        <v/>
      </c>
      <c r="O372" s="32" t="n">
        <v>57.84</v>
      </c>
      <c r="P372" s="32" t="n">
        <v>17.82</v>
      </c>
      <c r="Q372" s="32" t="inlineStr"/>
      <c r="R372" s="31" t="inlineStr">
        <is>
          <t>Earnings / Momentum Support</t>
        </is>
      </c>
      <c r="S372" s="31" t="inlineStr">
        <is>
          <t>Nifty Realty</t>
        </is>
      </c>
      <c r="T372" s="32" t="inlineStr"/>
      <c r="U372" s="32" t="inlineStr"/>
      <c r="V372" s="32" t="inlineStr"/>
      <c r="W372" s="32" t="inlineStr"/>
      <c r="X372" s="31" t="inlineStr">
        <is>
          <t>Growing Industry</t>
        </is>
      </c>
      <c r="Y372" s="31">
        <f>IF(X372="Growing Industry",10,IF(X372="Cyclical in an Upturn",5,0))</f>
        <v/>
      </c>
      <c r="Z372" s="31" t="inlineStr">
        <is>
          <t>Too Many Players with High ROCE</t>
        </is>
      </c>
      <c r="AA372" s="31">
        <f>IF(Z372="Monopoly",10,IF(Z372="Oligopoly",5,IF(Z372="Duopoly that cooperate",10,IF(Z372="Duopoly that compete",5,IF(Z372="Too many players with High ROCE",5,0)))))</f>
        <v/>
      </c>
      <c r="AB372" s="31" t="inlineStr">
        <is>
          <t>No</t>
        </is>
      </c>
      <c r="AC372" s="31">
        <f>IF(AB372="No",5,0)</f>
        <v/>
      </c>
      <c r="AD372" s="31" t="inlineStr">
        <is>
          <t>Headwind</t>
        </is>
      </c>
      <c r="AE372" s="31">
        <f>IF(AD372="Tailwind",10,0)</f>
        <v/>
      </c>
      <c r="AF372" s="31" t="inlineStr">
        <is>
          <t>Structural (10 Years Consistency)</t>
        </is>
      </c>
      <c r="AG372" s="31">
        <f>IF(AF372="Structural (10 Years Consistency)",10,IF(AF372="Shallow Cyclical (2 to 3 years growth)",5,0))</f>
        <v/>
      </c>
      <c r="AH372" s="31" t="inlineStr">
        <is>
          <t>No</t>
        </is>
      </c>
      <c r="AI372" s="31">
        <f>IF(AH372="Yes due to Product Mix change or Operating Leverage",10,IF(AH372="Yes, these are peak margins",-5,IF(AH372="No",5,0)))</f>
        <v/>
      </c>
      <c r="AJ372" s="31" t="inlineStr">
        <is>
          <t>Stable</t>
        </is>
      </c>
      <c r="AK372" s="31">
        <f>IF(AJ372="Stable",10,0)</f>
        <v/>
      </c>
      <c r="AL372" s="31" t="inlineStr">
        <is>
          <t>Yes</t>
        </is>
      </c>
      <c r="AM372" s="31">
        <f>IF(AL372="Yes",10,0)</f>
        <v/>
      </c>
      <c r="AN372" s="31" t="inlineStr">
        <is>
          <t>B2B</t>
        </is>
      </c>
      <c r="AO372" s="31">
        <f>IF(AN372="B2C",10,IF(AN372="B2B",5,0))</f>
        <v/>
      </c>
      <c r="AP372" s="31" t="inlineStr">
        <is>
          <t>No</t>
        </is>
      </c>
      <c r="AQ372" s="31">
        <f>IF(AP372="Yes",10,0)</f>
        <v/>
      </c>
      <c r="AR372" s="31" t="inlineStr">
        <is>
          <t>Higher One Time, Lower Annuity</t>
        </is>
      </c>
      <c r="AS372" s="31">
        <f>IF(AR372="Fully Annuity",10,IF(AR372="Higher Annuity, Lower One Time",5,IF(AR372="Higher One Time, Lower Annuity",3,0)))</f>
        <v/>
      </c>
      <c r="AT372" s="31" t="inlineStr">
        <is>
          <t>Good</t>
        </is>
      </c>
      <c r="AU372" s="31">
        <f>IF(AT372="Good",10,0)</f>
        <v/>
      </c>
      <c r="AV372" s="31" t="inlineStr">
        <is>
          <t>Yes for more than 2 years</t>
        </is>
      </c>
      <c r="AW372" s="31">
        <f>IF(AV372="Yes for more than 2 years",10,IF(AV372="Yes only for next 1 to 2 years",5,0))</f>
        <v/>
      </c>
      <c r="AX372" s="31" t="inlineStr">
        <is>
          <t>0 to 20</t>
        </is>
      </c>
      <c r="AY372" s="31">
        <f>IF(AX372="Above 40",20,IF(AX372="20 to 40",10,IF(AX372="0 to 20",-5,0)))</f>
        <v/>
      </c>
      <c r="AZ372" s="31" t="inlineStr">
        <is>
          <t>Between 50 to 75</t>
        </is>
      </c>
      <c r="BA372" s="31">
        <f>IF(AZ372="Between 50 to 75",10,IF(AZ372="Above 75",0,0))</f>
        <v/>
      </c>
      <c r="BB372" s="31" t="inlineStr">
        <is>
          <t>Stage 3</t>
        </is>
      </c>
      <c r="BC372" s="31">
        <f>IF(BB372="Stage 2",20,IF(BB372="Stage 1",0,IF(BB372="Stage 3",5,IF(BB372="Stage 4",-5,0))))</f>
        <v/>
      </c>
      <c r="BD372" s="31" t="inlineStr">
        <is>
          <t>Negative Trend</t>
        </is>
      </c>
      <c r="BE372" s="31">
        <f>IF(BD372="Positive Trend",20,IF(BD372="Negative Trend",-10,0))</f>
        <v/>
      </c>
      <c r="BF372" s="31" t="inlineStr">
        <is>
          <t>Uptrend</t>
        </is>
      </c>
      <c r="BG372" s="31">
        <f>IF(BF372="Uptrend",10,IF(BF372="Sideways",5,0))</f>
        <v/>
      </c>
      <c r="BH372" s="31" t="inlineStr">
        <is>
          <t>Uptrend</t>
        </is>
      </c>
      <c r="BI372" s="31">
        <f>IF(BH372="Uptrend",10,IF(BH372="Sideways",5,0))</f>
        <v/>
      </c>
      <c r="BJ372" s="31" t="inlineStr">
        <is>
          <t>Close to 52 week high or retracement</t>
        </is>
      </c>
      <c r="BK372" s="31">
        <f>IF(BJ372="Overhead supply in last 2 years in last 2 years",-5,IF(BJ372="Close to 52 week high or retracement",5,IF(BJ372="Blue sky scenario",10,IF(BJ372="Long term Downtrend",-10,0))))</f>
        <v/>
      </c>
      <c r="BL372" s="31" t="inlineStr">
        <is>
          <t>Yes</t>
        </is>
      </c>
      <c r="BM372" s="31">
        <f>IF(BL372="Yes",10,0)</f>
        <v/>
      </c>
      <c r="BN372" s="31" t="inlineStr">
        <is>
          <t>Less than 12%</t>
        </is>
      </c>
      <c r="BO372" s="31">
        <f>IF(BN372="More than 20%",10,IF(BN372="Between 12 to 20%",5,IF(BN372="Less than 12%",0,0)))</f>
        <v/>
      </c>
      <c r="BP372" s="31" t="inlineStr">
        <is>
          <t>No</t>
        </is>
      </c>
      <c r="BQ372" s="31">
        <f>IF(BP372="No",10,0)</f>
        <v/>
      </c>
      <c r="BR372" s="31" t="inlineStr">
        <is>
          <t>Yes</t>
        </is>
      </c>
      <c r="BS372" s="31">
        <f>IF(BR372="NO",5,0)</f>
        <v/>
      </c>
      <c r="BT372" s="31" t="inlineStr">
        <is>
          <t>Above 2</t>
        </is>
      </c>
      <c r="BU372" s="31">
        <f>IF(BT372="Above 2",0,IF(BT372="Between 1.5 to 2",5,IF(BT372="Less than 1.5",10,0)))</f>
        <v/>
      </c>
      <c r="BV372" s="31" t="inlineStr">
        <is>
          <t>Above 70%</t>
        </is>
      </c>
      <c r="BW372" s="31">
        <f>IF(BV372="Above 70%",10,IF(BV372="Between 50% to 70%",5,IF(BV372="Less than 50%",0,IF(BV372="Negative",-10,IF(BV372="Less than 50% and Borrowings are increasing",-5,0)))))</f>
        <v/>
      </c>
      <c r="BX372" s="31" t="inlineStr">
        <is>
          <t>Between 0.7 to 1.2</t>
        </is>
      </c>
      <c r="BY372" s="31">
        <f>IF(BX372="More than 1.2",-10,IF(BX372="Between 0.7 to 1.2",0,IF(BX372="Less than 0.7",10,0)))</f>
        <v/>
      </c>
      <c r="BZ372" s="31" t="inlineStr">
        <is>
          <t>No</t>
        </is>
      </c>
      <c r="CA372" s="31">
        <f>IF(BZ372="Yes",-10,0)</f>
        <v/>
      </c>
      <c r="CB372" s="31" t="inlineStr">
        <is>
          <t>Less than 15%</t>
        </is>
      </c>
      <c r="CC372" s="31">
        <f>IF(CB372="More than 15%",-10,IF(CB372="Less than 15%",10,0))</f>
        <v/>
      </c>
      <c r="CD372" s="31" t="inlineStr">
        <is>
          <t>No</t>
        </is>
      </c>
      <c r="CE372" s="31">
        <f>IF(CD372="Yes, more than 10%",-10,IF(CD372="No",10,0))</f>
        <v/>
      </c>
    </row>
    <row r="373">
      <c r="A373" s="31">
        <f>IF(B373=0,"",RANK(B373,$B$2:$B$389,0))</f>
        <v/>
      </c>
      <c r="B373" s="32">
        <f>SUM(N373,Y373,AA373,AC373,AE373,AG373,AI373,AK373,AM373,AO373,AQ373,AS373,AU373,AW373,AY373,BA373,BC373,BE373,BG373,BI373,BK373,BM373,BO373,BQ373,BS373,BU373,BW373,BY373,CA373,CC373,CE373)</f>
        <v/>
      </c>
      <c r="C373" s="31" t="inlineStr">
        <is>
          <t>JTLIND</t>
        </is>
      </c>
      <c r="D373" s="31" t="inlineStr">
        <is>
          <t>JTL Industries Ltd</t>
        </is>
      </c>
      <c r="E373" s="31" t="inlineStr">
        <is>
          <t>metals &amp; mining</t>
        </is>
      </c>
      <c r="F373" s="31" t="inlineStr">
        <is>
          <t>steel - medium / small</t>
        </is>
      </c>
      <c r="G373" s="31" t="inlineStr">
        <is>
          <t>smallcap</t>
        </is>
      </c>
      <c r="H373" s="32" t="n">
        <v>3125.79</v>
      </c>
      <c r="I373" s="32" t="n">
        <v>79.52</v>
      </c>
      <c r="J373" s="32" t="n">
        <v>0</v>
      </c>
      <c r="K373" s="32" t="n">
        <v>2117821</v>
      </c>
      <c r="L373" s="31" t="inlineStr"/>
      <c r="M373" s="31" t="inlineStr"/>
      <c r="N373" s="32">
        <f>IF(M373="Underperforming",-5,IF(L373&gt;=95,15,IF(L373&gt;=90,10,IF(L373&gt;=80,5,0))))</f>
        <v/>
      </c>
      <c r="O373" s="32" t="n">
        <v>56.99</v>
      </c>
      <c r="P373" s="32" t="n">
        <v>9.81</v>
      </c>
      <c r="Q373" s="32" t="inlineStr"/>
      <c r="R373" s="31" t="inlineStr">
        <is>
          <t>Earnings / Momentum Support</t>
        </is>
      </c>
      <c r="S373" s="31" t="inlineStr">
        <is>
          <t>Nifty Metal</t>
        </is>
      </c>
      <c r="T373" s="32" t="inlineStr"/>
      <c r="U373" s="32" t="inlineStr"/>
      <c r="V373" s="32" t="inlineStr"/>
      <c r="W373" s="32" t="inlineStr"/>
      <c r="X373" s="31" t="inlineStr">
        <is>
          <t>Cyclical in an Upturn</t>
        </is>
      </c>
      <c r="Y373" s="31">
        <f>IF(X373="Growing Industry",10,IF(X373="Cyclical in an Upturn",5,0))</f>
        <v/>
      </c>
      <c r="Z373" s="31" t="inlineStr">
        <is>
          <t>Too Many Players with High ROCE</t>
        </is>
      </c>
      <c r="AA373" s="31">
        <f>IF(Z373="Monopoly",10,IF(Z373="Oligopoly",5,IF(Z373="Duopoly that cooperate",10,IF(Z373="Duopoly that compete",5,IF(Z373="Too many players with High ROCE",5,0)))))</f>
        <v/>
      </c>
      <c r="AB373" s="31" t="inlineStr">
        <is>
          <t>No</t>
        </is>
      </c>
      <c r="AC373" s="31">
        <f>IF(AB373="No",5,0)</f>
        <v/>
      </c>
      <c r="AD373" s="31" t="inlineStr">
        <is>
          <t>Headwind</t>
        </is>
      </c>
      <c r="AE373" s="31">
        <f>IF(AD373="Tailwind",10,0)</f>
        <v/>
      </c>
      <c r="AF373" s="31" t="inlineStr">
        <is>
          <t>Cyclical</t>
        </is>
      </c>
      <c r="AG373" s="31">
        <f>IF(AF373="Structural (10 Years Consistency)",10,IF(AF373="Shallow Cyclical (2 to 3 years growth)",5,0))</f>
        <v/>
      </c>
      <c r="AH373" s="31" t="inlineStr">
        <is>
          <t>No</t>
        </is>
      </c>
      <c r="AI373" s="31">
        <f>IF(AH373="Yes due to Product Mix change or Operating Leverage",10,IF(AH373="Yes, these are peak margins",-5,IF(AH373="No",5,0)))</f>
        <v/>
      </c>
      <c r="AJ373" s="31" t="inlineStr">
        <is>
          <t>Volatile</t>
        </is>
      </c>
      <c r="AK373" s="31">
        <f>IF(AJ373="Stable",10,0)</f>
        <v/>
      </c>
      <c r="AL373" s="31" t="inlineStr">
        <is>
          <t>Yes</t>
        </is>
      </c>
      <c r="AM373" s="31">
        <f>IF(AL373="Yes",10,0)</f>
        <v/>
      </c>
      <c r="AN373" s="31" t="inlineStr">
        <is>
          <t>B2B</t>
        </is>
      </c>
      <c r="AO373" s="31">
        <f>IF(AN373="B2C",10,IF(AN373="B2B",5,0))</f>
        <v/>
      </c>
      <c r="AP373" s="31" t="inlineStr">
        <is>
          <t>No</t>
        </is>
      </c>
      <c r="AQ373" s="31">
        <f>IF(AP373="Yes",10,0)</f>
        <v/>
      </c>
      <c r="AR373" s="31" t="inlineStr">
        <is>
          <t>Higher One Time, Lower Annuity</t>
        </is>
      </c>
      <c r="AS373" s="31">
        <f>IF(AR373="Fully Annuity",10,IF(AR373="Higher Annuity, Lower One Time",5,IF(AR373="Higher One Time, Lower Annuity",3,0)))</f>
        <v/>
      </c>
      <c r="AT373" s="31" t="inlineStr">
        <is>
          <t>Good</t>
        </is>
      </c>
      <c r="AU373" s="31">
        <f>IF(AT373="Good",10,0)</f>
        <v/>
      </c>
      <c r="AV373" s="31" t="inlineStr">
        <is>
          <t>Yes for more than 2 years</t>
        </is>
      </c>
      <c r="AW373" s="31">
        <f>IF(AV373="Yes for more than 2 years",10,IF(AV373="Yes only for next 1 to 2 years",5,0))</f>
        <v/>
      </c>
      <c r="AX373" s="31" t="inlineStr">
        <is>
          <t>0 to 20</t>
        </is>
      </c>
      <c r="AY373" s="31">
        <f>IF(AX373="Above 40",20,IF(AX373="20 to 40",10,IF(AX373="0 to 20",-5,0)))</f>
        <v/>
      </c>
      <c r="AZ373" s="31" t="inlineStr">
        <is>
          <t>Between 50 to 75</t>
        </is>
      </c>
      <c r="BA373" s="31">
        <f>IF(AZ373="Between 50 to 75",10,IF(AZ373="Above 75",0,0))</f>
        <v/>
      </c>
      <c r="BB373" s="31" t="inlineStr">
        <is>
          <t>Stage 3</t>
        </is>
      </c>
      <c r="BC373" s="31">
        <f>IF(BB373="Stage 2",20,IF(BB373="Stage 1",0,IF(BB373="Stage 3",5,IF(BB373="Stage 4",-5,0))))</f>
        <v/>
      </c>
      <c r="BD373" s="31" t="inlineStr">
        <is>
          <t>Negative Trend</t>
        </is>
      </c>
      <c r="BE373" s="31">
        <f>IF(BD373="Positive Trend",20,IF(BD373="Negative Trend",-10,0))</f>
        <v/>
      </c>
      <c r="BF373" s="31" t="inlineStr">
        <is>
          <t>Uptrend</t>
        </is>
      </c>
      <c r="BG373" s="31">
        <f>IF(BF373="Uptrend",10,IF(BF373="Sideways",5,0))</f>
        <v/>
      </c>
      <c r="BH373" s="31" t="inlineStr">
        <is>
          <t>Uptrend</t>
        </is>
      </c>
      <c r="BI373" s="31">
        <f>IF(BH373="Uptrend",10,IF(BH373="Sideways",5,0))</f>
        <v/>
      </c>
      <c r="BJ373" s="31" t="inlineStr">
        <is>
          <t>Close to 52 week high or retracement</t>
        </is>
      </c>
      <c r="BK373" s="31">
        <f>IF(BJ373="Overhead supply in last 2 years in last 2 years",-5,IF(BJ373="Close to 52 week high or retracement",5,IF(BJ373="Blue sky scenario",10,IF(BJ373="Long term Downtrend",-10,0))))</f>
        <v/>
      </c>
      <c r="BL373" s="31" t="inlineStr">
        <is>
          <t>Yes</t>
        </is>
      </c>
      <c r="BM373" s="31">
        <f>IF(BL373="Yes",10,0)</f>
        <v/>
      </c>
      <c r="BN373" s="31" t="inlineStr">
        <is>
          <t>More than 20%</t>
        </is>
      </c>
      <c r="BO373" s="31">
        <f>IF(BN373="More than 20%",10,IF(BN373="Between 12 to 20%",5,IF(BN373="Less than 12%",0,0)))</f>
        <v/>
      </c>
      <c r="BP373" s="31" t="inlineStr">
        <is>
          <t>No</t>
        </is>
      </c>
      <c r="BQ373" s="31">
        <f>IF(BP373="No",10,0)</f>
        <v/>
      </c>
      <c r="BR373" s="31" t="inlineStr">
        <is>
          <t>No</t>
        </is>
      </c>
      <c r="BS373" s="31">
        <f>IF(BR373="NO",5,0)</f>
        <v/>
      </c>
      <c r="BT373" s="31" t="inlineStr">
        <is>
          <t>Above 2</t>
        </is>
      </c>
      <c r="BU373" s="31">
        <f>IF(BT373="Above 2",0,IF(BT373="Between 1.5 to 2",5,IF(BT373="Less than 1.5",10,0)))</f>
        <v/>
      </c>
      <c r="BV373" s="31" t="inlineStr">
        <is>
          <t>Above 70%</t>
        </is>
      </c>
      <c r="BW373" s="31">
        <f>IF(BV373="Above 70%",10,IF(BV373="Between 50% to 70%",5,IF(BV373="Less than 50%",0,IF(BV373="Negative",-10,IF(BV373="Less than 50% and Borrowings are increasing",-5,0)))))</f>
        <v/>
      </c>
      <c r="BX373" s="31" t="inlineStr">
        <is>
          <t>Less than 0.7</t>
        </is>
      </c>
      <c r="BY373" s="31">
        <f>IF(BX373="More than 1.2",-10,IF(BX373="Between 0.7 to 1.2",0,IF(BX373="Less than 0.7",10,0)))</f>
        <v/>
      </c>
      <c r="BZ373" s="31" t="inlineStr">
        <is>
          <t>No</t>
        </is>
      </c>
      <c r="CA373" s="31">
        <f>IF(BZ373="Yes",-10,0)</f>
        <v/>
      </c>
      <c r="CB373" s="31" t="inlineStr">
        <is>
          <t>Less than 15%</t>
        </is>
      </c>
      <c r="CC373" s="31">
        <f>IF(CB373="More than 15%",-10,IF(CB373="Less than 15%",10,0))</f>
        <v/>
      </c>
      <c r="CD373" s="31" t="inlineStr">
        <is>
          <t>No</t>
        </is>
      </c>
      <c r="CE373" s="31">
        <f>IF(CD373="Yes, more than 10%",-10,IF(CD373="No",10,0))</f>
        <v/>
      </c>
    </row>
    <row r="374">
      <c r="A374" s="31">
        <f>IF(B374=0,"",RANK(B374,$B$2:$B$389,0))</f>
        <v/>
      </c>
      <c r="B374" s="32">
        <f>SUM(N374,Y374,AA374,AC374,AE374,AG374,AI374,AK374,AM374,AO374,AQ374,AS374,AU374,AW374,AY374,BA374,BC374,BE374,BG374,BI374,BK374,BM374,BO374,BQ374,BS374,BU374,BW374,BY374,CA374,CC374,CE374)</f>
        <v/>
      </c>
      <c r="C374" s="31" t="inlineStr">
        <is>
          <t>MAHASTEEL</t>
        </is>
      </c>
      <c r="D374" s="31" t="inlineStr">
        <is>
          <t>Mahamaya Steel Industries Limited</t>
        </is>
      </c>
      <c r="E374" s="31" t="inlineStr">
        <is>
          <t>metals &amp; mining</t>
        </is>
      </c>
      <c r="F374" s="31" t="inlineStr">
        <is>
          <t>steel - medium / small</t>
        </is>
      </c>
      <c r="G374" s="31" t="inlineStr">
        <is>
          <t>smallcap</t>
        </is>
      </c>
      <c r="H374" s="32" t="n">
        <v>1897.02</v>
      </c>
      <c r="I374" s="32" t="n">
        <v>1175</v>
      </c>
      <c r="J374" s="32" t="n">
        <v>1.79</v>
      </c>
      <c r="K374" s="32" t="n">
        <v>34895</v>
      </c>
      <c r="L374" s="31" t="inlineStr"/>
      <c r="M374" s="31" t="inlineStr"/>
      <c r="N374" s="32">
        <f>IF(M374="Underperforming",-5,IF(L374&gt;=95,15,IF(L374&gt;=90,10,IF(L374&gt;=80,5,0))))</f>
        <v/>
      </c>
      <c r="O374" s="32" t="n">
        <v>68.70999999999999</v>
      </c>
      <c r="P374" s="32" t="n">
        <v>19.73</v>
      </c>
      <c r="Q374" s="32" t="inlineStr"/>
      <c r="R374" s="31" t="inlineStr">
        <is>
          <t>Earnings / Momentum Support</t>
        </is>
      </c>
      <c r="S374" s="31" t="inlineStr">
        <is>
          <t>Nifty Metal</t>
        </is>
      </c>
      <c r="T374" s="32" t="inlineStr"/>
      <c r="U374" s="32" t="inlineStr"/>
      <c r="V374" s="32" t="inlineStr"/>
      <c r="W374" s="32" t="inlineStr"/>
      <c r="X374" s="31" t="inlineStr">
        <is>
          <t>Cyclical in an Upturn</t>
        </is>
      </c>
      <c r="Y374" s="31">
        <f>IF(X374="Growing Industry",10,IF(X374="Cyclical in an Upturn",5,0))</f>
        <v/>
      </c>
      <c r="Z374" s="31" t="inlineStr">
        <is>
          <t>Too Many Players with High ROCE</t>
        </is>
      </c>
      <c r="AA374" s="31">
        <f>IF(Z374="Monopoly",10,IF(Z374="Oligopoly",5,IF(Z374="Duopoly that cooperate",10,IF(Z374="Duopoly that compete",5,IF(Z374="Too many players with High ROCE",5,0)))))</f>
        <v/>
      </c>
      <c r="AB374" s="31" t="inlineStr">
        <is>
          <t>No</t>
        </is>
      </c>
      <c r="AC374" s="31">
        <f>IF(AB374="No",5,0)</f>
        <v/>
      </c>
      <c r="AD374" s="31" t="inlineStr">
        <is>
          <t>Headwind</t>
        </is>
      </c>
      <c r="AE374" s="31">
        <f>IF(AD374="Tailwind",10,0)</f>
        <v/>
      </c>
      <c r="AF374" s="31" t="inlineStr">
        <is>
          <t>Cyclical</t>
        </is>
      </c>
      <c r="AG374" s="31">
        <f>IF(AF374="Structural (10 Years Consistency)",10,IF(AF374="Shallow Cyclical (2 to 3 years growth)",5,0))</f>
        <v/>
      </c>
      <c r="AH374" s="31" t="inlineStr">
        <is>
          <t>No</t>
        </is>
      </c>
      <c r="AI374" s="31">
        <f>IF(AH374="Yes due to Product Mix change or Operating Leverage",10,IF(AH374="Yes, these are peak margins",-5,IF(AH374="No",5,0)))</f>
        <v/>
      </c>
      <c r="AJ374" s="31" t="inlineStr">
        <is>
          <t>Volatile</t>
        </is>
      </c>
      <c r="AK374" s="31">
        <f>IF(AJ374="Stable",10,0)</f>
        <v/>
      </c>
      <c r="AL374" s="31" t="inlineStr">
        <is>
          <t>Yes</t>
        </is>
      </c>
      <c r="AM374" s="31">
        <f>IF(AL374="Yes",10,0)</f>
        <v/>
      </c>
      <c r="AN374" s="31" t="inlineStr">
        <is>
          <t>B2B</t>
        </is>
      </c>
      <c r="AO374" s="31">
        <f>IF(AN374="B2C",10,IF(AN374="B2B",5,0))</f>
        <v/>
      </c>
      <c r="AP374" s="31" t="inlineStr">
        <is>
          <t>No</t>
        </is>
      </c>
      <c r="AQ374" s="31">
        <f>IF(AP374="Yes",10,0)</f>
        <v/>
      </c>
      <c r="AR374" s="31" t="inlineStr">
        <is>
          <t>Higher One Time, Lower Annuity</t>
        </is>
      </c>
      <c r="AS374" s="31">
        <f>IF(AR374="Fully Annuity",10,IF(AR374="Higher Annuity, Lower One Time",5,IF(AR374="Higher One Time, Lower Annuity",3,0)))</f>
        <v/>
      </c>
      <c r="AT374" s="31" t="inlineStr">
        <is>
          <t>Good</t>
        </is>
      </c>
      <c r="AU374" s="31">
        <f>IF(AT374="Good",10,0)</f>
        <v/>
      </c>
      <c r="AV374" s="31" t="inlineStr">
        <is>
          <t>Yes for more than 2 years</t>
        </is>
      </c>
      <c r="AW374" s="31">
        <f>IF(AV374="Yes for more than 2 years",10,IF(AV374="Yes only for next 1 to 2 years",5,0))</f>
        <v/>
      </c>
      <c r="AX374" s="31" t="inlineStr">
        <is>
          <t>0 to 20</t>
        </is>
      </c>
      <c r="AY374" s="31">
        <f>IF(AX374="Above 40",20,IF(AX374="20 to 40",10,IF(AX374="0 to 20",-5,0)))</f>
        <v/>
      </c>
      <c r="AZ374" s="31" t="inlineStr">
        <is>
          <t>Between 50 to 75</t>
        </is>
      </c>
      <c r="BA374" s="31">
        <f>IF(AZ374="Between 50 to 75",10,IF(AZ374="Above 75",0,0))</f>
        <v/>
      </c>
      <c r="BB374" s="31" t="inlineStr">
        <is>
          <t>Stage 3</t>
        </is>
      </c>
      <c r="BC374" s="31">
        <f>IF(BB374="Stage 2",20,IF(BB374="Stage 1",0,IF(BB374="Stage 3",5,IF(BB374="Stage 4",-5,0))))</f>
        <v/>
      </c>
      <c r="BD374" s="31" t="inlineStr">
        <is>
          <t>Negative Trend</t>
        </is>
      </c>
      <c r="BE374" s="31">
        <f>IF(BD374="Positive Trend",20,IF(BD374="Negative Trend",-10,0))</f>
        <v/>
      </c>
      <c r="BF374" s="31" t="inlineStr">
        <is>
          <t>Uptrend</t>
        </is>
      </c>
      <c r="BG374" s="31">
        <f>IF(BF374="Uptrend",10,IF(BF374="Sideways",5,0))</f>
        <v/>
      </c>
      <c r="BH374" s="31" t="inlineStr">
        <is>
          <t>Uptrend</t>
        </is>
      </c>
      <c r="BI374" s="31">
        <f>IF(BH374="Uptrend",10,IF(BH374="Sideways",5,0))</f>
        <v/>
      </c>
      <c r="BJ374" s="31" t="inlineStr">
        <is>
          <t>Close to 52 week high or retracement</t>
        </is>
      </c>
      <c r="BK374" s="31">
        <f>IF(BJ374="Overhead supply in last 2 years in last 2 years",-5,IF(BJ374="Close to 52 week high or retracement",5,IF(BJ374="Blue sky scenario",10,IF(BJ374="Long term Downtrend",-10,0))))</f>
        <v/>
      </c>
      <c r="BL374" s="31" t="inlineStr">
        <is>
          <t>Yes</t>
        </is>
      </c>
      <c r="BM374" s="31">
        <f>IF(BL374="Yes",10,0)</f>
        <v/>
      </c>
      <c r="BN374" s="31" t="inlineStr">
        <is>
          <t>More than 20%</t>
        </is>
      </c>
      <c r="BO374" s="31">
        <f>IF(BN374="More than 20%",10,IF(BN374="Between 12 to 20%",5,IF(BN374="Less than 12%",0,0)))</f>
        <v/>
      </c>
      <c r="BP374" s="31" t="inlineStr">
        <is>
          <t>No</t>
        </is>
      </c>
      <c r="BQ374" s="31">
        <f>IF(BP374="No",10,0)</f>
        <v/>
      </c>
      <c r="BR374" s="31" t="inlineStr">
        <is>
          <t>Yes</t>
        </is>
      </c>
      <c r="BS374" s="31">
        <f>IF(BR374="NO",5,0)</f>
        <v/>
      </c>
      <c r="BT374" s="31" t="inlineStr">
        <is>
          <t>Above 2</t>
        </is>
      </c>
      <c r="BU374" s="31">
        <f>IF(BT374="Above 2",0,IF(BT374="Between 1.5 to 2",5,IF(BT374="Less than 1.5",10,0)))</f>
        <v/>
      </c>
      <c r="BV374" s="31" t="inlineStr">
        <is>
          <t>Above 70%</t>
        </is>
      </c>
      <c r="BW374" s="31">
        <f>IF(BV374="Above 70%",10,IF(BV374="Between 50% to 70%",5,IF(BV374="Less than 50%",0,IF(BV374="Negative",-10,IF(BV374="Less than 50% and Borrowings are increasing",-5,0)))))</f>
        <v/>
      </c>
      <c r="BX374" s="31" t="inlineStr">
        <is>
          <t>Less than 0.7</t>
        </is>
      </c>
      <c r="BY374" s="31">
        <f>IF(BX374="More than 1.2",-10,IF(BX374="Between 0.7 to 1.2",0,IF(BX374="Less than 0.7",10,0)))</f>
        <v/>
      </c>
      <c r="BZ374" s="31" t="inlineStr">
        <is>
          <t>No</t>
        </is>
      </c>
      <c r="CA374" s="31">
        <f>IF(BZ374="Yes",-10,0)</f>
        <v/>
      </c>
      <c r="CB374" s="31" t="inlineStr">
        <is>
          <t>Less than 15%</t>
        </is>
      </c>
      <c r="CC374" s="31">
        <f>IF(CB374="More than 15%",-10,IF(CB374="Less than 15%",10,0))</f>
        <v/>
      </c>
      <c r="CD374" s="31" t="inlineStr">
        <is>
          <t>No</t>
        </is>
      </c>
      <c r="CE374" s="31">
        <f>IF(CD374="Yes, more than 10%",-10,IF(CD374="No",10,0))</f>
        <v/>
      </c>
    </row>
    <row r="375">
      <c r="A375" s="31">
        <f>IF(B375=0,"",RANK(B375,$B$2:$B$389,0))</f>
        <v/>
      </c>
      <c r="B375" s="32">
        <f>SUM(N375,Y375,AA375,AC375,AE375,AG375,AI375,AK375,AM375,AO375,AQ375,AS375,AU375,AW375,AY375,BA375,BC375,BE375,BG375,BI375,BK375,BM375,BO375,BQ375,BS375,BU375,BW375,BY375,CA375,CC375,CE375)</f>
        <v/>
      </c>
      <c r="C375" s="31" t="inlineStr">
        <is>
          <t>ASHOKLEY</t>
        </is>
      </c>
      <c r="D375" s="31" t="inlineStr">
        <is>
          <t>Ashok Leyland Limited</t>
        </is>
      </c>
      <c r="E375" s="31" t="inlineStr">
        <is>
          <t>auto</t>
        </is>
      </c>
      <c r="F375" s="31" t="inlineStr">
        <is>
          <t>automobiles - lcvs / hcvs</t>
        </is>
      </c>
      <c r="G375" s="31" t="inlineStr">
        <is>
          <t>largecap</t>
        </is>
      </c>
      <c r="H375" s="32" t="n">
        <v>101617.68</v>
      </c>
      <c r="I375" s="32" t="n">
        <v>173.29</v>
      </c>
      <c r="J375" s="32" t="n">
        <v>0.17</v>
      </c>
      <c r="K375" s="32" t="n">
        <v>8830319</v>
      </c>
      <c r="L375" s="31" t="inlineStr"/>
      <c r="M375" s="31" t="inlineStr"/>
      <c r="N375" s="32">
        <f>IF(M375="Underperforming",-5,IF(L375&gt;=95,15,IF(L375&gt;=90,10,IF(L375&gt;=80,5,0))))</f>
        <v/>
      </c>
      <c r="O375" s="32" t="n">
        <v>55.52</v>
      </c>
      <c r="P375" s="32" t="n">
        <v>14.27</v>
      </c>
      <c r="Q375" s="32" t="inlineStr"/>
      <c r="R375" s="31" t="inlineStr">
        <is>
          <t>Earnings / Momentum Support</t>
        </is>
      </c>
      <c r="S375" s="31" t="inlineStr">
        <is>
          <t>Nifty Auto</t>
        </is>
      </c>
      <c r="T375" s="32" t="inlineStr"/>
      <c r="U375" s="32" t="inlineStr"/>
      <c r="V375" s="32" t="inlineStr"/>
      <c r="W375" s="32" t="inlineStr"/>
      <c r="X375" s="31" t="inlineStr">
        <is>
          <t>Growing Industry</t>
        </is>
      </c>
      <c r="Y375" s="31">
        <f>IF(X375="Growing Industry",10,IF(X375="Cyclical in an Upturn",5,0))</f>
        <v/>
      </c>
      <c r="Z375" s="31" t="inlineStr">
        <is>
          <t>Too Many Players with High ROCE</t>
        </is>
      </c>
      <c r="AA375" s="31">
        <f>IF(Z375="Monopoly",10,IF(Z375="Oligopoly",5,IF(Z375="Duopoly that cooperate",10,IF(Z375="Duopoly that compete",5,IF(Z375="Too many players with High ROCE",5,0)))))</f>
        <v/>
      </c>
      <c r="AB375" s="31" t="inlineStr">
        <is>
          <t>No</t>
        </is>
      </c>
      <c r="AC375" s="31">
        <f>IF(AB375="No",5,0)</f>
        <v/>
      </c>
      <c r="AD375" s="31" t="inlineStr">
        <is>
          <t>Headwind</t>
        </is>
      </c>
      <c r="AE375" s="31">
        <f>IF(AD375="Tailwind",10,0)</f>
        <v/>
      </c>
      <c r="AF375" s="31" t="inlineStr">
        <is>
          <t>Structural (10 Years Consistency)</t>
        </is>
      </c>
      <c r="AG375" s="31">
        <f>IF(AF375="Structural (10 Years Consistency)",10,IF(AF375="Shallow Cyclical (2 to 3 years growth)",5,0))</f>
        <v/>
      </c>
      <c r="AH375" s="31" t="inlineStr">
        <is>
          <t>No</t>
        </is>
      </c>
      <c r="AI375" s="31">
        <f>IF(AH375="Yes due to Product Mix change or Operating Leverage",10,IF(AH375="Yes, these are peak margins",-5,IF(AH375="No",5,0)))</f>
        <v/>
      </c>
      <c r="AJ375" s="31" t="inlineStr">
        <is>
          <t>Stable</t>
        </is>
      </c>
      <c r="AK375" s="31">
        <f>IF(AJ375="Stable",10,0)</f>
        <v/>
      </c>
      <c r="AL375" s="31" t="inlineStr">
        <is>
          <t>Yes</t>
        </is>
      </c>
      <c r="AM375" s="31">
        <f>IF(AL375="Yes",10,0)</f>
        <v/>
      </c>
      <c r="AN375" s="31" t="inlineStr">
        <is>
          <t>B2B</t>
        </is>
      </c>
      <c r="AO375" s="31">
        <f>IF(AN375="B2C",10,IF(AN375="B2B",5,0))</f>
        <v/>
      </c>
      <c r="AP375" s="31" t="inlineStr">
        <is>
          <t>No</t>
        </is>
      </c>
      <c r="AQ375" s="31">
        <f>IF(AP375="Yes",10,0)</f>
        <v/>
      </c>
      <c r="AR375" s="31" t="inlineStr">
        <is>
          <t>Higher One Time, Lower Annuity</t>
        </is>
      </c>
      <c r="AS375" s="31">
        <f>IF(AR375="Fully Annuity",10,IF(AR375="Higher Annuity, Lower One Time",5,IF(AR375="Higher One Time, Lower Annuity",3,0)))</f>
        <v/>
      </c>
      <c r="AT375" s="31" t="inlineStr">
        <is>
          <t>Good</t>
        </is>
      </c>
      <c r="AU375" s="31">
        <f>IF(AT375="Good",10,0)</f>
        <v/>
      </c>
      <c r="AV375" s="31" t="inlineStr">
        <is>
          <t>Yes for more than 2 years</t>
        </is>
      </c>
      <c r="AW375" s="31">
        <f>IF(AV375="Yes for more than 2 years",10,IF(AV375="Yes only for next 1 to 2 years",5,0))</f>
        <v/>
      </c>
      <c r="AX375" s="31" t="inlineStr">
        <is>
          <t>0 to 20</t>
        </is>
      </c>
      <c r="AY375" s="31">
        <f>IF(AX375="Above 40",20,IF(AX375="20 to 40",10,IF(AX375="0 to 20",-5,0)))</f>
        <v/>
      </c>
      <c r="AZ375" s="31" t="inlineStr">
        <is>
          <t>Between 50 to 75</t>
        </is>
      </c>
      <c r="BA375" s="31">
        <f>IF(AZ375="Between 50 to 75",10,IF(AZ375="Above 75",0,0))</f>
        <v/>
      </c>
      <c r="BB375" s="31" t="inlineStr">
        <is>
          <t>Stage 3</t>
        </is>
      </c>
      <c r="BC375" s="31">
        <f>IF(BB375="Stage 2",20,IF(BB375="Stage 1",0,IF(BB375="Stage 3",5,IF(BB375="Stage 4",-5,0))))</f>
        <v/>
      </c>
      <c r="BD375" s="31" t="inlineStr">
        <is>
          <t>Negative Trend</t>
        </is>
      </c>
      <c r="BE375" s="31">
        <f>IF(BD375="Positive Trend",20,IF(BD375="Negative Trend",-10,0))</f>
        <v/>
      </c>
      <c r="BF375" s="31" t="inlineStr">
        <is>
          <t>Uptrend</t>
        </is>
      </c>
      <c r="BG375" s="31">
        <f>IF(BF375="Uptrend",10,IF(BF375="Sideways",5,0))</f>
        <v/>
      </c>
      <c r="BH375" s="31" t="inlineStr">
        <is>
          <t>Uptrend</t>
        </is>
      </c>
      <c r="BI375" s="31">
        <f>IF(BH375="Uptrend",10,IF(BH375="Sideways",5,0))</f>
        <v/>
      </c>
      <c r="BJ375" s="31" t="inlineStr">
        <is>
          <t>Close to 52 week high or retracement</t>
        </is>
      </c>
      <c r="BK375" s="31">
        <f>IF(BJ375="Overhead supply in last 2 years in last 2 years",-5,IF(BJ375="Close to 52 week high or retracement",5,IF(BJ375="Blue sky scenario",10,IF(BJ375="Long term Downtrend",-10,0))))</f>
        <v/>
      </c>
      <c r="BL375" s="31" t="inlineStr">
        <is>
          <t>Yes</t>
        </is>
      </c>
      <c r="BM375" s="31">
        <f>IF(BL375="Yes",10,0)</f>
        <v/>
      </c>
      <c r="BN375" s="31" t="inlineStr">
        <is>
          <t>Less than 12%</t>
        </is>
      </c>
      <c r="BO375" s="31">
        <f>IF(BN375="More than 20%",10,IF(BN375="Between 12 to 20%",5,IF(BN375="Less than 12%",0,0)))</f>
        <v/>
      </c>
      <c r="BP375" s="31" t="inlineStr">
        <is>
          <t>No</t>
        </is>
      </c>
      <c r="BQ375" s="31">
        <f>IF(BP375="No",10,0)</f>
        <v/>
      </c>
      <c r="BR375" s="31" t="inlineStr">
        <is>
          <t>No</t>
        </is>
      </c>
      <c r="BS375" s="31">
        <f>IF(BR375="NO",5,0)</f>
        <v/>
      </c>
      <c r="BT375" s="31" t="inlineStr">
        <is>
          <t>Above 2</t>
        </is>
      </c>
      <c r="BU375" s="31">
        <f>IF(BT375="Above 2",0,IF(BT375="Between 1.5 to 2",5,IF(BT375="Less than 1.5",10,0)))</f>
        <v/>
      </c>
      <c r="BV375" s="31" t="inlineStr">
        <is>
          <t>Above 70%</t>
        </is>
      </c>
      <c r="BW375" s="31">
        <f>IF(BV375="Above 70%",10,IF(BV375="Between 50% to 70%",5,IF(BV375="Less than 50%",0,IF(BV375="Negative",-10,IF(BV375="Less than 50% and Borrowings are increasing",-5,0)))))</f>
        <v/>
      </c>
      <c r="BX375" s="31" t="inlineStr">
        <is>
          <t>More than 1.2</t>
        </is>
      </c>
      <c r="BY375" s="31">
        <f>IF(BX375="More than 1.2",-10,IF(BX375="Between 0.7 to 1.2",0,IF(BX375="Less than 0.7",10,0)))</f>
        <v/>
      </c>
      <c r="BZ375" s="31" t="inlineStr">
        <is>
          <t>No</t>
        </is>
      </c>
      <c r="CA375" s="31">
        <f>IF(BZ375="Yes",-10,0)</f>
        <v/>
      </c>
      <c r="CB375" s="31" t="inlineStr">
        <is>
          <t>Less than 15%</t>
        </is>
      </c>
      <c r="CC375" s="31">
        <f>IF(CB375="More than 15%",-10,IF(CB375="Less than 15%",10,0))</f>
        <v/>
      </c>
      <c r="CD375" s="31" t="inlineStr">
        <is>
          <t>No</t>
        </is>
      </c>
      <c r="CE375" s="31">
        <f>IF(CD375="Yes, more than 10%",-10,IF(CD375="No",10,0))</f>
        <v/>
      </c>
    </row>
    <row r="376">
      <c r="A376" s="31">
        <f>IF(B376=0,"",RANK(B376,$B$2:$B$389,0))</f>
        <v/>
      </c>
      <c r="B376" s="32">
        <f>SUM(N376,Y376,AA376,AC376,AE376,AG376,AI376,AK376,AM376,AO376,AQ376,AS376,AU376,AW376,AY376,BA376,BC376,BE376,BG376,BI376,BK376,BM376,BO376,BQ376,BS376,BU376,BW376,BY376,CA376,CC376,CE376)</f>
        <v/>
      </c>
      <c r="C376" s="31" t="inlineStr">
        <is>
          <t>GRAVITA</t>
        </is>
      </c>
      <c r="D376" s="31" t="inlineStr">
        <is>
          <t>Gravita India Limited</t>
        </is>
      </c>
      <c r="E376" s="31" t="inlineStr">
        <is>
          <t>metals &amp; mining</t>
        </is>
      </c>
      <c r="F376" s="31" t="inlineStr">
        <is>
          <t>mining / minerals / metals</t>
        </is>
      </c>
      <c r="G376" s="31" t="inlineStr">
        <is>
          <t>midcap</t>
        </is>
      </c>
      <c r="H376" s="32" t="n">
        <v>13445.69</v>
      </c>
      <c r="I376" s="32" t="n">
        <v>1807.8</v>
      </c>
      <c r="J376" s="32" t="n">
        <v>-0.76</v>
      </c>
      <c r="K376" s="32" t="n">
        <v>159060</v>
      </c>
      <c r="L376" s="31" t="inlineStr"/>
      <c r="M376" s="31" t="inlineStr"/>
      <c r="N376" s="32">
        <f>IF(M376="Underperforming",-5,IF(L376&gt;=95,15,IF(L376&gt;=90,10,IF(L376&gt;=80,5,0))))</f>
        <v/>
      </c>
      <c r="O376" s="32" t="n">
        <v>56.87</v>
      </c>
      <c r="P376" s="32" t="n">
        <v>14.97</v>
      </c>
      <c r="Q376" s="32" t="inlineStr"/>
      <c r="R376" s="31" t="inlineStr">
        <is>
          <t>Earnings / Momentum Support</t>
        </is>
      </c>
      <c r="S376" s="31" t="inlineStr">
        <is>
          <t>Nifty Metal</t>
        </is>
      </c>
      <c r="T376" s="32" t="inlineStr"/>
      <c r="U376" s="32" t="inlineStr"/>
      <c r="V376" s="32" t="inlineStr"/>
      <c r="W376" s="32" t="inlineStr"/>
      <c r="X376" s="31" t="inlineStr">
        <is>
          <t>Cyclical in an Upturn</t>
        </is>
      </c>
      <c r="Y376" s="31">
        <f>IF(X376="Growing Industry",10,IF(X376="Cyclical in an Upturn",5,0))</f>
        <v/>
      </c>
      <c r="Z376" s="31" t="inlineStr">
        <is>
          <t>Too Many Players with High ROCE</t>
        </is>
      </c>
      <c r="AA376" s="31">
        <f>IF(Z376="Monopoly",10,IF(Z376="Oligopoly",5,IF(Z376="Duopoly that cooperate",10,IF(Z376="Duopoly that compete",5,IF(Z376="Too many players with High ROCE",5,0)))))</f>
        <v/>
      </c>
      <c r="AB376" s="31" t="inlineStr">
        <is>
          <t>No</t>
        </is>
      </c>
      <c r="AC376" s="31">
        <f>IF(AB376="No",5,0)</f>
        <v/>
      </c>
      <c r="AD376" s="31" t="inlineStr">
        <is>
          <t>Headwind</t>
        </is>
      </c>
      <c r="AE376" s="31">
        <f>IF(AD376="Tailwind",10,0)</f>
        <v/>
      </c>
      <c r="AF376" s="31" t="inlineStr">
        <is>
          <t>Cyclical</t>
        </is>
      </c>
      <c r="AG376" s="31">
        <f>IF(AF376="Structural (10 Years Consistency)",10,IF(AF376="Shallow Cyclical (2 to 3 years growth)",5,0))</f>
        <v/>
      </c>
      <c r="AH376" s="31" t="inlineStr">
        <is>
          <t>No</t>
        </is>
      </c>
      <c r="AI376" s="31">
        <f>IF(AH376="Yes due to Product Mix change or Operating Leverage",10,IF(AH376="Yes, these are peak margins",-5,IF(AH376="No",5,0)))</f>
        <v/>
      </c>
      <c r="AJ376" s="31" t="inlineStr">
        <is>
          <t>Volatile</t>
        </is>
      </c>
      <c r="AK376" s="31">
        <f>IF(AJ376="Stable",10,0)</f>
        <v/>
      </c>
      <c r="AL376" s="31" t="inlineStr">
        <is>
          <t>Yes</t>
        </is>
      </c>
      <c r="AM376" s="31">
        <f>IF(AL376="Yes",10,0)</f>
        <v/>
      </c>
      <c r="AN376" s="31" t="inlineStr">
        <is>
          <t>B2B</t>
        </is>
      </c>
      <c r="AO376" s="31">
        <f>IF(AN376="B2C",10,IF(AN376="B2B",5,0))</f>
        <v/>
      </c>
      <c r="AP376" s="31" t="inlineStr">
        <is>
          <t>No</t>
        </is>
      </c>
      <c r="AQ376" s="31">
        <f>IF(AP376="Yes",10,0)</f>
        <v/>
      </c>
      <c r="AR376" s="31" t="inlineStr">
        <is>
          <t>Higher One Time, Lower Annuity</t>
        </is>
      </c>
      <c r="AS376" s="31">
        <f>IF(AR376="Fully Annuity",10,IF(AR376="Higher Annuity, Lower One Time",5,IF(AR376="Higher One Time, Lower Annuity",3,0)))</f>
        <v/>
      </c>
      <c r="AT376" s="31" t="inlineStr">
        <is>
          <t>Good</t>
        </is>
      </c>
      <c r="AU376" s="31">
        <f>IF(AT376="Good",10,0)</f>
        <v/>
      </c>
      <c r="AV376" s="31" t="inlineStr">
        <is>
          <t>Yes for more than 2 years</t>
        </is>
      </c>
      <c r="AW376" s="31">
        <f>IF(AV376="Yes for more than 2 years",10,IF(AV376="Yes only for next 1 to 2 years",5,0))</f>
        <v/>
      </c>
      <c r="AX376" s="31" t="inlineStr">
        <is>
          <t>0 to 20</t>
        </is>
      </c>
      <c r="AY376" s="31">
        <f>IF(AX376="Above 40",20,IF(AX376="20 to 40",10,IF(AX376="0 to 20",-5,0)))</f>
        <v/>
      </c>
      <c r="AZ376" s="31" t="inlineStr">
        <is>
          <t>Between 50 to 75</t>
        </is>
      </c>
      <c r="BA376" s="31">
        <f>IF(AZ376="Between 50 to 75",10,IF(AZ376="Above 75",0,0))</f>
        <v/>
      </c>
      <c r="BB376" s="31" t="inlineStr">
        <is>
          <t>Stage 3</t>
        </is>
      </c>
      <c r="BC376" s="31">
        <f>IF(BB376="Stage 2",20,IF(BB376="Stage 1",0,IF(BB376="Stage 3",5,IF(BB376="Stage 4",-5,0))))</f>
        <v/>
      </c>
      <c r="BD376" s="31" t="inlineStr">
        <is>
          <t>Negative Trend</t>
        </is>
      </c>
      <c r="BE376" s="31">
        <f>IF(BD376="Positive Trend",20,IF(BD376="Negative Trend",-10,0))</f>
        <v/>
      </c>
      <c r="BF376" s="31" t="inlineStr">
        <is>
          <t>Uptrend</t>
        </is>
      </c>
      <c r="BG376" s="31">
        <f>IF(BF376="Uptrend",10,IF(BF376="Sideways",5,0))</f>
        <v/>
      </c>
      <c r="BH376" s="31" t="inlineStr">
        <is>
          <t>Uptrend</t>
        </is>
      </c>
      <c r="BI376" s="31">
        <f>IF(BH376="Uptrend",10,IF(BH376="Sideways",5,0))</f>
        <v/>
      </c>
      <c r="BJ376" s="31" t="inlineStr">
        <is>
          <t>Close to 52 week high or retracement</t>
        </is>
      </c>
      <c r="BK376" s="31">
        <f>IF(BJ376="Overhead supply in last 2 years in last 2 years",-5,IF(BJ376="Close to 52 week high or retracement",5,IF(BJ376="Blue sky scenario",10,IF(BJ376="Long term Downtrend",-10,0))))</f>
        <v/>
      </c>
      <c r="BL376" s="31" t="inlineStr">
        <is>
          <t>Yes</t>
        </is>
      </c>
      <c r="BM376" s="31">
        <f>IF(BL376="Yes",10,0)</f>
        <v/>
      </c>
      <c r="BN376" s="31" t="inlineStr">
        <is>
          <t>Between 12 to 20%</t>
        </is>
      </c>
      <c r="BO376" s="31">
        <f>IF(BN376="More than 20%",10,IF(BN376="Between 12 to 20%",5,IF(BN376="Less than 12%",0,0)))</f>
        <v/>
      </c>
      <c r="BP376" s="31" t="inlineStr">
        <is>
          <t>No</t>
        </is>
      </c>
      <c r="BQ376" s="31">
        <f>IF(BP376="No",10,0)</f>
        <v/>
      </c>
      <c r="BR376" s="31" t="inlineStr">
        <is>
          <t>No</t>
        </is>
      </c>
      <c r="BS376" s="31">
        <f>IF(BR376="NO",5,0)</f>
        <v/>
      </c>
      <c r="BT376" s="31" t="inlineStr">
        <is>
          <t>Above 2</t>
        </is>
      </c>
      <c r="BU376" s="31">
        <f>IF(BT376="Above 2",0,IF(BT376="Between 1.5 to 2",5,IF(BT376="Less than 1.5",10,0)))</f>
        <v/>
      </c>
      <c r="BV376" s="31" t="inlineStr">
        <is>
          <t>Above 70%</t>
        </is>
      </c>
      <c r="BW376" s="31">
        <f>IF(BV376="Above 70%",10,IF(BV376="Between 50% to 70%",5,IF(BV376="Less than 50%",0,IF(BV376="Negative",-10,IF(BV376="Less than 50% and Borrowings are increasing",-5,0)))))</f>
        <v/>
      </c>
      <c r="BX376" s="31" t="inlineStr">
        <is>
          <t>Less than 0.7</t>
        </is>
      </c>
      <c r="BY376" s="31">
        <f>IF(BX376="More than 1.2",-10,IF(BX376="Between 0.7 to 1.2",0,IF(BX376="Less than 0.7",10,0)))</f>
        <v/>
      </c>
      <c r="BZ376" s="31" t="inlineStr">
        <is>
          <t>No</t>
        </is>
      </c>
      <c r="CA376" s="31">
        <f>IF(BZ376="Yes",-10,0)</f>
        <v/>
      </c>
      <c r="CB376" s="31" t="inlineStr">
        <is>
          <t>Less than 15%</t>
        </is>
      </c>
      <c r="CC376" s="31">
        <f>IF(CB376="More than 15%",-10,IF(CB376="Less than 15%",10,0))</f>
        <v/>
      </c>
      <c r="CD376" s="31" t="inlineStr">
        <is>
          <t>No</t>
        </is>
      </c>
      <c r="CE376" s="31">
        <f>IF(CD376="Yes, more than 10%",-10,IF(CD376="No",10,0))</f>
        <v/>
      </c>
    </row>
    <row r="377">
      <c r="A377" s="31">
        <f>IF(B377=0,"",RANK(B377,$B$2:$B$389,0))</f>
        <v/>
      </c>
      <c r="B377" s="32">
        <f>SUM(N377,Y377,AA377,AC377,AE377,AG377,AI377,AK377,AM377,AO377,AQ377,AS377,AU377,AW377,AY377,BA377,BC377,BE377,BG377,BI377,BK377,BM377,BO377,BQ377,BS377,BU377,BW377,BY377,CA377,CC377,CE377)</f>
        <v/>
      </c>
      <c r="C377" s="31" t="inlineStr">
        <is>
          <t>SALSTEEL</t>
        </is>
      </c>
      <c r="D377" s="31" t="inlineStr">
        <is>
          <t>SAL Steel</t>
        </is>
      </c>
      <c r="E377" s="31" t="inlineStr">
        <is>
          <t>metals &amp; mining</t>
        </is>
      </c>
      <c r="F377" s="31" t="inlineStr">
        <is>
          <t>steel - sponge iron</t>
        </is>
      </c>
      <c r="G377" s="31" t="inlineStr">
        <is>
          <t>smallcap</t>
        </is>
      </c>
      <c r="H377" s="32" t="n">
        <v>1142.64</v>
      </c>
      <c r="I377" s="32" t="n">
        <v>77.06</v>
      </c>
      <c r="J377" s="32" t="n">
        <v>-2.37</v>
      </c>
      <c r="K377" s="32" t="n">
        <v>883589</v>
      </c>
      <c r="L377" s="31" t="inlineStr"/>
      <c r="M377" s="31" t="inlineStr"/>
      <c r="N377" s="32">
        <f>IF(M377="Underperforming",-5,IF(L377&gt;=95,15,IF(L377&gt;=90,10,IF(L377&gt;=80,5,0))))</f>
        <v/>
      </c>
      <c r="O377" s="32" t="n">
        <v>77.61</v>
      </c>
      <c r="P377" s="32" t="n">
        <v>26.56</v>
      </c>
      <c r="Q377" s="32" t="inlineStr"/>
      <c r="R377" s="31" t="inlineStr">
        <is>
          <t>Earnings / Momentum Support</t>
        </is>
      </c>
      <c r="S377" s="31" t="inlineStr">
        <is>
          <t>Nifty Metal</t>
        </is>
      </c>
      <c r="T377" s="32" t="inlineStr"/>
      <c r="U377" s="32" t="inlineStr"/>
      <c r="V377" s="32" t="inlineStr"/>
      <c r="W377" s="32" t="inlineStr"/>
      <c r="X377" s="31" t="inlineStr">
        <is>
          <t>Cyclical in an Upturn</t>
        </is>
      </c>
      <c r="Y377" s="31">
        <f>IF(X377="Growing Industry",10,IF(X377="Cyclical in an Upturn",5,0))</f>
        <v/>
      </c>
      <c r="Z377" s="31" t="inlineStr">
        <is>
          <t>Too Many Players with High ROCE</t>
        </is>
      </c>
      <c r="AA377" s="31">
        <f>IF(Z377="Monopoly",10,IF(Z377="Oligopoly",5,IF(Z377="Duopoly that cooperate",10,IF(Z377="Duopoly that compete",5,IF(Z377="Too many players with High ROCE",5,0)))))</f>
        <v/>
      </c>
      <c r="AB377" s="31" t="inlineStr">
        <is>
          <t>No</t>
        </is>
      </c>
      <c r="AC377" s="31">
        <f>IF(AB377="No",5,0)</f>
        <v/>
      </c>
      <c r="AD377" s="31" t="inlineStr">
        <is>
          <t>Headwind</t>
        </is>
      </c>
      <c r="AE377" s="31">
        <f>IF(AD377="Tailwind",10,0)</f>
        <v/>
      </c>
      <c r="AF377" s="31" t="inlineStr">
        <is>
          <t>Cyclical</t>
        </is>
      </c>
      <c r="AG377" s="31">
        <f>IF(AF377="Structural (10 Years Consistency)",10,IF(AF377="Shallow Cyclical (2 to 3 years growth)",5,0))</f>
        <v/>
      </c>
      <c r="AH377" s="31" t="inlineStr">
        <is>
          <t>No</t>
        </is>
      </c>
      <c r="AI377" s="31">
        <f>IF(AH377="Yes due to Product Mix change or Operating Leverage",10,IF(AH377="Yes, these are peak margins",-5,IF(AH377="No",5,0)))</f>
        <v/>
      </c>
      <c r="AJ377" s="31" t="inlineStr">
        <is>
          <t>Volatile</t>
        </is>
      </c>
      <c r="AK377" s="31">
        <f>IF(AJ377="Stable",10,0)</f>
        <v/>
      </c>
      <c r="AL377" s="31" t="inlineStr">
        <is>
          <t>Yes</t>
        </is>
      </c>
      <c r="AM377" s="31">
        <f>IF(AL377="Yes",10,0)</f>
        <v/>
      </c>
      <c r="AN377" s="31" t="inlineStr">
        <is>
          <t>B2B</t>
        </is>
      </c>
      <c r="AO377" s="31">
        <f>IF(AN377="B2C",10,IF(AN377="B2B",5,0))</f>
        <v/>
      </c>
      <c r="AP377" s="31" t="inlineStr">
        <is>
          <t>No</t>
        </is>
      </c>
      <c r="AQ377" s="31">
        <f>IF(AP377="Yes",10,0)</f>
        <v/>
      </c>
      <c r="AR377" s="31" t="inlineStr">
        <is>
          <t>Higher One Time, Lower Annuity</t>
        </is>
      </c>
      <c r="AS377" s="31">
        <f>IF(AR377="Fully Annuity",10,IF(AR377="Higher Annuity, Lower One Time",5,IF(AR377="Higher One Time, Lower Annuity",3,0)))</f>
        <v/>
      </c>
      <c r="AT377" s="31" t="inlineStr">
        <is>
          <t>Good</t>
        </is>
      </c>
      <c r="AU377" s="31">
        <f>IF(AT377="Good",10,0)</f>
        <v/>
      </c>
      <c r="AV377" s="31" t="inlineStr">
        <is>
          <t>Yes for more than 2 years</t>
        </is>
      </c>
      <c r="AW377" s="31">
        <f>IF(AV377="Yes for more than 2 years",10,IF(AV377="Yes only for next 1 to 2 years",5,0))</f>
        <v/>
      </c>
      <c r="AX377" s="31" t="inlineStr">
        <is>
          <t>20 to 40</t>
        </is>
      </c>
      <c r="AY377" s="31">
        <f>IF(AX377="Above 40",20,IF(AX377="20 to 40",10,IF(AX377="0 to 20",-5,0)))</f>
        <v/>
      </c>
      <c r="AZ377" s="31" t="inlineStr">
        <is>
          <t>Above 75</t>
        </is>
      </c>
      <c r="BA377" s="31">
        <f>IF(AZ377="Between 50 to 75",10,IF(AZ377="Above 75",0,0))</f>
        <v/>
      </c>
      <c r="BB377" s="31" t="inlineStr">
        <is>
          <t>Stage 3</t>
        </is>
      </c>
      <c r="BC377" s="31">
        <f>IF(BB377="Stage 2",20,IF(BB377="Stage 1",0,IF(BB377="Stage 3",5,IF(BB377="Stage 4",-5,0))))</f>
        <v/>
      </c>
      <c r="BD377" s="31" t="inlineStr">
        <is>
          <t>Negative Trend</t>
        </is>
      </c>
      <c r="BE377" s="31">
        <f>IF(BD377="Positive Trend",20,IF(BD377="Negative Trend",-10,0))</f>
        <v/>
      </c>
      <c r="BF377" s="31" t="inlineStr">
        <is>
          <t>Uptrend</t>
        </is>
      </c>
      <c r="BG377" s="31">
        <f>IF(BF377="Uptrend",10,IF(BF377="Sideways",5,0))</f>
        <v/>
      </c>
      <c r="BH377" s="31" t="inlineStr">
        <is>
          <t>Uptrend</t>
        </is>
      </c>
      <c r="BI377" s="31">
        <f>IF(BH377="Uptrend",10,IF(BH377="Sideways",5,0))</f>
        <v/>
      </c>
      <c r="BJ377" s="31" t="inlineStr">
        <is>
          <t>Close to 52 week high or retracement</t>
        </is>
      </c>
      <c r="BK377" s="31">
        <f>IF(BJ377="Overhead supply in last 2 years in last 2 years",-5,IF(BJ377="Close to 52 week high or retracement",5,IF(BJ377="Blue sky scenario",10,IF(BJ377="Long term Downtrend",-10,0))))</f>
        <v/>
      </c>
      <c r="BL377" s="31" t="inlineStr">
        <is>
          <t>Yes</t>
        </is>
      </c>
      <c r="BM377" s="31">
        <f>IF(BL377="Yes",10,0)</f>
        <v/>
      </c>
      <c r="BN377" s="31" t="inlineStr">
        <is>
          <t>More than 20%</t>
        </is>
      </c>
      <c r="BO377" s="31">
        <f>IF(BN377="More than 20%",10,IF(BN377="Between 12 to 20%",5,IF(BN377="Less than 12%",0,0)))</f>
        <v/>
      </c>
      <c r="BP377" s="31" t="inlineStr">
        <is>
          <t>No</t>
        </is>
      </c>
      <c r="BQ377" s="31">
        <f>IF(BP377="No",10,0)</f>
        <v/>
      </c>
      <c r="BR377" s="31" t="inlineStr">
        <is>
          <t>No</t>
        </is>
      </c>
      <c r="BS377" s="31">
        <f>IF(BR377="NO",5,0)</f>
        <v/>
      </c>
      <c r="BT377" s="31" t="inlineStr">
        <is>
          <t>Less than 1.5</t>
        </is>
      </c>
      <c r="BU377" s="31">
        <f>IF(BT377="Above 2",0,IF(BT377="Between 1.5 to 2",5,IF(BT377="Less than 1.5",10,0)))</f>
        <v/>
      </c>
      <c r="BV377" s="31" t="inlineStr">
        <is>
          <t>Above 70%</t>
        </is>
      </c>
      <c r="BW377" s="31">
        <f>IF(BV377="Above 70%",10,IF(BV377="Between 50% to 70%",5,IF(BV377="Less than 50%",0,IF(BV377="Negative",-10,IF(BV377="Less than 50% and Borrowings are increasing",-5,0)))))</f>
        <v/>
      </c>
      <c r="BX377" s="31" t="inlineStr">
        <is>
          <t>More than 1.2</t>
        </is>
      </c>
      <c r="BY377" s="31">
        <f>IF(BX377="More than 1.2",-10,IF(BX377="Between 0.7 to 1.2",0,IF(BX377="Less than 0.7",10,0)))</f>
        <v/>
      </c>
      <c r="BZ377" s="31" t="inlineStr">
        <is>
          <t>No</t>
        </is>
      </c>
      <c r="CA377" s="31">
        <f>IF(BZ377="Yes",-10,0)</f>
        <v/>
      </c>
      <c r="CB377" s="31" t="inlineStr">
        <is>
          <t>Less than 15%</t>
        </is>
      </c>
      <c r="CC377" s="31">
        <f>IF(CB377="More than 15%",-10,IF(CB377="Less than 15%",10,0))</f>
        <v/>
      </c>
      <c r="CD377" s="31" t="inlineStr">
        <is>
          <t>No</t>
        </is>
      </c>
      <c r="CE377" s="31">
        <f>IF(CD377="Yes, more than 10%",-10,IF(CD377="No",10,0))</f>
        <v/>
      </c>
    </row>
    <row r="378">
      <c r="A378" s="31">
        <f>IF(B378=0,"",RANK(B378,$B$2:$B$389,0))</f>
        <v/>
      </c>
      <c r="B378" s="32">
        <f>SUM(N378,Y378,AA378,AC378,AE378,AG378,AI378,AK378,AM378,AO378,AQ378,AS378,AU378,AW378,AY378,BA378,BC378,BE378,BG378,BI378,BK378,BM378,BO378,BQ378,BS378,BU378,BW378,BY378,CA378,CC378,CE378)</f>
        <v/>
      </c>
      <c r="C378" s="31" t="inlineStr">
        <is>
          <t>20MICRONS</t>
        </is>
      </c>
      <c r="D378" s="31" t="inlineStr">
        <is>
          <t>20 Microns Limited</t>
        </is>
      </c>
      <c r="E378" s="31" t="inlineStr">
        <is>
          <t>metals &amp; mining</t>
        </is>
      </c>
      <c r="F378" s="31" t="inlineStr">
        <is>
          <t>mining / minerals / metals</t>
        </is>
      </c>
      <c r="G378" s="31" t="inlineStr">
        <is>
          <t>smallcap</t>
        </is>
      </c>
      <c r="H378" s="32" t="n">
        <v>720.52</v>
      </c>
      <c r="I378" s="32" t="n">
        <v>213.26</v>
      </c>
      <c r="J378" s="32" t="n">
        <v>4.44</v>
      </c>
      <c r="K378" s="32" t="n">
        <v>712672</v>
      </c>
      <c r="L378" s="31" t="inlineStr"/>
      <c r="M378" s="31" t="inlineStr"/>
      <c r="N378" s="32">
        <f>IF(M378="Underperforming",-5,IF(L378&gt;=95,15,IF(L378&gt;=90,10,IF(L378&gt;=80,5,0))))</f>
        <v/>
      </c>
      <c r="O378" s="32" t="n">
        <v>57.75</v>
      </c>
      <c r="P378" s="32" t="n">
        <v>14.2</v>
      </c>
      <c r="Q378" s="32" t="inlineStr"/>
      <c r="R378" s="31" t="inlineStr">
        <is>
          <t>Earnings / Momentum Support</t>
        </is>
      </c>
      <c r="S378" s="31" t="inlineStr">
        <is>
          <t>Nifty Metal</t>
        </is>
      </c>
      <c r="T378" s="32" t="inlineStr"/>
      <c r="U378" s="32" t="inlineStr"/>
      <c r="V378" s="32" t="inlineStr"/>
      <c r="W378" s="32" t="inlineStr"/>
      <c r="X378" s="31" t="inlineStr">
        <is>
          <t>Cyclical in an Upturn</t>
        </is>
      </c>
      <c r="Y378" s="31">
        <f>IF(X378="Growing Industry",10,IF(X378="Cyclical in an Upturn",5,0))</f>
        <v/>
      </c>
      <c r="Z378" s="31" t="inlineStr">
        <is>
          <t>Too Many Players with High ROCE</t>
        </is>
      </c>
      <c r="AA378" s="31">
        <f>IF(Z378="Monopoly",10,IF(Z378="Oligopoly",5,IF(Z378="Duopoly that cooperate",10,IF(Z378="Duopoly that compete",5,IF(Z378="Too many players with High ROCE",5,0)))))</f>
        <v/>
      </c>
      <c r="AB378" s="31" t="inlineStr">
        <is>
          <t>No</t>
        </is>
      </c>
      <c r="AC378" s="31">
        <f>IF(AB378="No",5,0)</f>
        <v/>
      </c>
      <c r="AD378" s="31" t="inlineStr">
        <is>
          <t>Headwind</t>
        </is>
      </c>
      <c r="AE378" s="31">
        <f>IF(AD378="Tailwind",10,0)</f>
        <v/>
      </c>
      <c r="AF378" s="31" t="inlineStr">
        <is>
          <t>Cyclical</t>
        </is>
      </c>
      <c r="AG378" s="31">
        <f>IF(AF378="Structural (10 Years Consistency)",10,IF(AF378="Shallow Cyclical (2 to 3 years growth)",5,0))</f>
        <v/>
      </c>
      <c r="AH378" s="31" t="inlineStr">
        <is>
          <t>No</t>
        </is>
      </c>
      <c r="AI378" s="31">
        <f>IF(AH378="Yes due to Product Mix change or Operating Leverage",10,IF(AH378="Yes, these are peak margins",-5,IF(AH378="No",5,0)))</f>
        <v/>
      </c>
      <c r="AJ378" s="31" t="inlineStr">
        <is>
          <t>Volatile</t>
        </is>
      </c>
      <c r="AK378" s="31">
        <f>IF(AJ378="Stable",10,0)</f>
        <v/>
      </c>
      <c r="AL378" s="31" t="inlineStr">
        <is>
          <t>Yes</t>
        </is>
      </c>
      <c r="AM378" s="31">
        <f>IF(AL378="Yes",10,0)</f>
        <v/>
      </c>
      <c r="AN378" s="31" t="inlineStr">
        <is>
          <t>B2B</t>
        </is>
      </c>
      <c r="AO378" s="31">
        <f>IF(AN378="B2C",10,IF(AN378="B2B",5,0))</f>
        <v/>
      </c>
      <c r="AP378" s="31" t="inlineStr">
        <is>
          <t>No</t>
        </is>
      </c>
      <c r="AQ378" s="31">
        <f>IF(AP378="Yes",10,0)</f>
        <v/>
      </c>
      <c r="AR378" s="31" t="inlineStr">
        <is>
          <t>Higher One Time, Lower Annuity</t>
        </is>
      </c>
      <c r="AS378" s="31">
        <f>IF(AR378="Fully Annuity",10,IF(AR378="Higher Annuity, Lower One Time",5,IF(AR378="Higher One Time, Lower Annuity",3,0)))</f>
        <v/>
      </c>
      <c r="AT378" s="31" t="inlineStr">
        <is>
          <t>Good</t>
        </is>
      </c>
      <c r="AU378" s="31">
        <f>IF(AT378="Good",10,0)</f>
        <v/>
      </c>
      <c r="AV378" s="31" t="inlineStr">
        <is>
          <t>Yes for more than 2 years</t>
        </is>
      </c>
      <c r="AW378" s="31">
        <f>IF(AV378="Yes for more than 2 years",10,IF(AV378="Yes only for next 1 to 2 years",5,0))</f>
        <v/>
      </c>
      <c r="AX378" s="31" t="inlineStr">
        <is>
          <t>0 to 20</t>
        </is>
      </c>
      <c r="AY378" s="31">
        <f>IF(AX378="Above 40",20,IF(AX378="20 to 40",10,IF(AX378="0 to 20",-5,0)))</f>
        <v/>
      </c>
      <c r="AZ378" s="31" t="inlineStr">
        <is>
          <t>Between 50 to 75</t>
        </is>
      </c>
      <c r="BA378" s="31">
        <f>IF(AZ378="Between 50 to 75",10,IF(AZ378="Above 75",0,0))</f>
        <v/>
      </c>
      <c r="BB378" s="31" t="inlineStr">
        <is>
          <t>Stage 3</t>
        </is>
      </c>
      <c r="BC378" s="31">
        <f>IF(BB378="Stage 2",20,IF(BB378="Stage 1",0,IF(BB378="Stage 3",5,IF(BB378="Stage 4",-5,0))))</f>
        <v/>
      </c>
      <c r="BD378" s="31" t="inlineStr">
        <is>
          <t>Negative Trend</t>
        </is>
      </c>
      <c r="BE378" s="31">
        <f>IF(BD378="Positive Trend",20,IF(BD378="Negative Trend",-10,0))</f>
        <v/>
      </c>
      <c r="BF378" s="31" t="inlineStr">
        <is>
          <t>Uptrend</t>
        </is>
      </c>
      <c r="BG378" s="31">
        <f>IF(BF378="Uptrend",10,IF(BF378="Sideways",5,0))</f>
        <v/>
      </c>
      <c r="BH378" s="31" t="inlineStr">
        <is>
          <t>Uptrend</t>
        </is>
      </c>
      <c r="BI378" s="31">
        <f>IF(BH378="Uptrend",10,IF(BH378="Sideways",5,0))</f>
        <v/>
      </c>
      <c r="BJ378" s="31" t="inlineStr">
        <is>
          <t>Close to 52 week high or retracement</t>
        </is>
      </c>
      <c r="BK378" s="31">
        <f>IF(BJ378="Overhead supply in last 2 years in last 2 years",-5,IF(BJ378="Close to 52 week high or retracement",5,IF(BJ378="Blue sky scenario",10,IF(BJ378="Long term Downtrend",-10,0))))</f>
        <v/>
      </c>
      <c r="BL378" s="31" t="inlineStr">
        <is>
          <t>Yes</t>
        </is>
      </c>
      <c r="BM378" s="31">
        <f>IF(BL378="Yes",10,0)</f>
        <v/>
      </c>
      <c r="BN378" s="31" t="inlineStr">
        <is>
          <t>Less than 12%</t>
        </is>
      </c>
      <c r="BO378" s="31">
        <f>IF(BN378="More than 20%",10,IF(BN378="Between 12 to 20%",5,IF(BN378="Less than 12%",0,0)))</f>
        <v/>
      </c>
      <c r="BP378" s="31" t="inlineStr">
        <is>
          <t>No</t>
        </is>
      </c>
      <c r="BQ378" s="31">
        <f>IF(BP378="No",10,0)</f>
        <v/>
      </c>
      <c r="BR378" s="31" t="inlineStr">
        <is>
          <t>No</t>
        </is>
      </c>
      <c r="BS378" s="31">
        <f>IF(BR378="NO",5,0)</f>
        <v/>
      </c>
      <c r="BT378" s="31" t="inlineStr">
        <is>
          <t>Above 2</t>
        </is>
      </c>
      <c r="BU378" s="31">
        <f>IF(BT378="Above 2",0,IF(BT378="Between 1.5 to 2",5,IF(BT378="Less than 1.5",10,0)))</f>
        <v/>
      </c>
      <c r="BV378" s="31" t="inlineStr">
        <is>
          <t>Above 70%</t>
        </is>
      </c>
      <c r="BW378" s="31">
        <f>IF(BV378="Above 70%",10,IF(BV378="Between 50% to 70%",5,IF(BV378="Less than 50%",0,IF(BV378="Negative",-10,IF(BV378="Less than 50% and Borrowings are increasing",-5,0)))))</f>
        <v/>
      </c>
      <c r="BX378" s="31" t="inlineStr">
        <is>
          <t>Less than 0.7</t>
        </is>
      </c>
      <c r="BY378" s="31">
        <f>IF(BX378="More than 1.2",-10,IF(BX378="Between 0.7 to 1.2",0,IF(BX378="Less than 0.7",10,0)))</f>
        <v/>
      </c>
      <c r="BZ378" s="31" t="inlineStr">
        <is>
          <t>No</t>
        </is>
      </c>
      <c r="CA378" s="31">
        <f>IF(BZ378="Yes",-10,0)</f>
        <v/>
      </c>
      <c r="CB378" s="31" t="inlineStr">
        <is>
          <t>Less than 15%</t>
        </is>
      </c>
      <c r="CC378" s="31">
        <f>IF(CB378="More than 15%",-10,IF(CB378="Less than 15%",10,0))</f>
        <v/>
      </c>
      <c r="CD378" s="31" t="inlineStr">
        <is>
          <t>No</t>
        </is>
      </c>
      <c r="CE378" s="31">
        <f>IF(CD378="Yes, more than 10%",-10,IF(CD378="No",10,0))</f>
        <v/>
      </c>
    </row>
    <row r="379">
      <c r="A379" s="31">
        <f>IF(B379=0,"",RANK(B379,$B$2:$B$389,0))</f>
        <v/>
      </c>
      <c r="B379" s="32">
        <f>SUM(N379,Y379,AA379,AC379,AE379,AG379,AI379,AK379,AM379,AO379,AQ379,AS379,AU379,AW379,AY379,BA379,BC379,BE379,BG379,BI379,BK379,BM379,BO379,BQ379,BS379,BU379,BW379,BY379,CA379,CC379,CE379)</f>
        <v/>
      </c>
      <c r="C379" s="31" t="inlineStr">
        <is>
          <t>JAYNECOIND</t>
        </is>
      </c>
      <c r="D379" s="31" t="inlineStr">
        <is>
          <t>Jayaswal Neco Industries Limited</t>
        </is>
      </c>
      <c r="E379" s="31" t="inlineStr">
        <is>
          <t>metals &amp; mining</t>
        </is>
      </c>
      <c r="F379" s="31" t="inlineStr">
        <is>
          <t>steel - large</t>
        </is>
      </c>
      <c r="G379" s="31" t="inlineStr">
        <is>
          <t>midcap</t>
        </is>
      </c>
      <c r="H379" s="32" t="n">
        <v>9699.299999999999</v>
      </c>
      <c r="I379" s="32" t="n">
        <v>104.22</v>
      </c>
      <c r="J379" s="32" t="n">
        <v>4.33</v>
      </c>
      <c r="K379" s="32" t="n">
        <v>13196903</v>
      </c>
      <c r="L379" s="31" t="inlineStr"/>
      <c r="M379" s="31" t="inlineStr"/>
      <c r="N379" s="32">
        <f>IF(M379="Underperforming",-5,IF(L379&gt;=95,15,IF(L379&gt;=90,10,IF(L379&gt;=80,5,0))))</f>
        <v/>
      </c>
      <c r="O379" s="32" t="n">
        <v>59.69</v>
      </c>
      <c r="P379" s="32" t="n">
        <v>7.68</v>
      </c>
      <c r="Q379" s="32" t="inlineStr"/>
      <c r="R379" s="31" t="inlineStr">
        <is>
          <t>Earnings / Momentum Support</t>
        </is>
      </c>
      <c r="S379" s="31" t="inlineStr">
        <is>
          <t>Nifty Metal</t>
        </is>
      </c>
      <c r="T379" s="32" t="inlineStr"/>
      <c r="U379" s="32" t="inlineStr"/>
      <c r="V379" s="32" t="inlineStr"/>
      <c r="W379" s="32" t="inlineStr"/>
      <c r="X379" s="31" t="inlineStr">
        <is>
          <t>Cyclical in an Upturn</t>
        </is>
      </c>
      <c r="Y379" s="31">
        <f>IF(X379="Growing Industry",10,IF(X379="Cyclical in an Upturn",5,0))</f>
        <v/>
      </c>
      <c r="Z379" s="31" t="inlineStr">
        <is>
          <t>Too Many Players with High ROCE</t>
        </is>
      </c>
      <c r="AA379" s="31">
        <f>IF(Z379="Monopoly",10,IF(Z379="Oligopoly",5,IF(Z379="Duopoly that cooperate",10,IF(Z379="Duopoly that compete",5,IF(Z379="Too many players with High ROCE",5,0)))))</f>
        <v/>
      </c>
      <c r="AB379" s="31" t="inlineStr">
        <is>
          <t>No</t>
        </is>
      </c>
      <c r="AC379" s="31">
        <f>IF(AB379="No",5,0)</f>
        <v/>
      </c>
      <c r="AD379" s="31" t="inlineStr">
        <is>
          <t>Headwind</t>
        </is>
      </c>
      <c r="AE379" s="31">
        <f>IF(AD379="Tailwind",10,0)</f>
        <v/>
      </c>
      <c r="AF379" s="31" t="inlineStr">
        <is>
          <t>Cyclical</t>
        </is>
      </c>
      <c r="AG379" s="31">
        <f>IF(AF379="Structural (10 Years Consistency)",10,IF(AF379="Shallow Cyclical (2 to 3 years growth)",5,0))</f>
        <v/>
      </c>
      <c r="AH379" s="31" t="inlineStr">
        <is>
          <t>No</t>
        </is>
      </c>
      <c r="AI379" s="31">
        <f>IF(AH379="Yes due to Product Mix change or Operating Leverage",10,IF(AH379="Yes, these are peak margins",-5,IF(AH379="No",5,0)))</f>
        <v/>
      </c>
      <c r="AJ379" s="31" t="inlineStr">
        <is>
          <t>Volatile</t>
        </is>
      </c>
      <c r="AK379" s="31">
        <f>IF(AJ379="Stable",10,0)</f>
        <v/>
      </c>
      <c r="AL379" s="31" t="inlineStr">
        <is>
          <t>Yes</t>
        </is>
      </c>
      <c r="AM379" s="31">
        <f>IF(AL379="Yes",10,0)</f>
        <v/>
      </c>
      <c r="AN379" s="31" t="inlineStr">
        <is>
          <t>B2B</t>
        </is>
      </c>
      <c r="AO379" s="31">
        <f>IF(AN379="B2C",10,IF(AN379="B2B",5,0))</f>
        <v/>
      </c>
      <c r="AP379" s="31" t="inlineStr">
        <is>
          <t>No</t>
        </is>
      </c>
      <c r="AQ379" s="31">
        <f>IF(AP379="Yes",10,0)</f>
        <v/>
      </c>
      <c r="AR379" s="31" t="inlineStr">
        <is>
          <t>Higher One Time, Lower Annuity</t>
        </is>
      </c>
      <c r="AS379" s="31">
        <f>IF(AR379="Fully Annuity",10,IF(AR379="Higher Annuity, Lower One Time",5,IF(AR379="Higher One Time, Lower Annuity",3,0)))</f>
        <v/>
      </c>
      <c r="AT379" s="31" t="inlineStr">
        <is>
          <t>Good</t>
        </is>
      </c>
      <c r="AU379" s="31">
        <f>IF(AT379="Good",10,0)</f>
        <v/>
      </c>
      <c r="AV379" s="31" t="inlineStr">
        <is>
          <t>Yes for more than 2 years</t>
        </is>
      </c>
      <c r="AW379" s="31">
        <f>IF(AV379="Yes for more than 2 years",10,IF(AV379="Yes only for next 1 to 2 years",5,0))</f>
        <v/>
      </c>
      <c r="AX379" s="31" t="inlineStr">
        <is>
          <t>0 to 20</t>
        </is>
      </c>
      <c r="AY379" s="31">
        <f>IF(AX379="Above 40",20,IF(AX379="20 to 40",10,IF(AX379="0 to 20",-5,0)))</f>
        <v/>
      </c>
      <c r="AZ379" s="31" t="inlineStr">
        <is>
          <t>Between 50 to 75</t>
        </is>
      </c>
      <c r="BA379" s="31">
        <f>IF(AZ379="Between 50 to 75",10,IF(AZ379="Above 75",0,0))</f>
        <v/>
      </c>
      <c r="BB379" s="31" t="inlineStr">
        <is>
          <t>Stage 3</t>
        </is>
      </c>
      <c r="BC379" s="31">
        <f>IF(BB379="Stage 2",20,IF(BB379="Stage 1",0,IF(BB379="Stage 3",5,IF(BB379="Stage 4",-5,0))))</f>
        <v/>
      </c>
      <c r="BD379" s="31" t="inlineStr">
        <is>
          <t>Negative Trend</t>
        </is>
      </c>
      <c r="BE379" s="31">
        <f>IF(BD379="Positive Trend",20,IF(BD379="Negative Trend",-10,0))</f>
        <v/>
      </c>
      <c r="BF379" s="31" t="inlineStr">
        <is>
          <t>Uptrend</t>
        </is>
      </c>
      <c r="BG379" s="31">
        <f>IF(BF379="Uptrend",10,IF(BF379="Sideways",5,0))</f>
        <v/>
      </c>
      <c r="BH379" s="31" t="inlineStr">
        <is>
          <t>Uptrend</t>
        </is>
      </c>
      <c r="BI379" s="31">
        <f>IF(BH379="Uptrend",10,IF(BH379="Sideways",5,0))</f>
        <v/>
      </c>
      <c r="BJ379" s="31" t="inlineStr">
        <is>
          <t>Close to 52 week high or retracement</t>
        </is>
      </c>
      <c r="BK379" s="31">
        <f>IF(BJ379="Overhead supply in last 2 years in last 2 years",-5,IF(BJ379="Close to 52 week high or retracement",5,IF(BJ379="Blue sky scenario",10,IF(BJ379="Long term Downtrend",-10,0))))</f>
        <v/>
      </c>
      <c r="BL379" s="31" t="inlineStr">
        <is>
          <t>Yes</t>
        </is>
      </c>
      <c r="BM379" s="31">
        <f>IF(BL379="Yes",10,0)</f>
        <v/>
      </c>
      <c r="BN379" s="31" t="inlineStr">
        <is>
          <t>More than 20%</t>
        </is>
      </c>
      <c r="BO379" s="31">
        <f>IF(BN379="More than 20%",10,IF(BN379="Between 12 to 20%",5,IF(BN379="Less than 12%",0,0)))</f>
        <v/>
      </c>
      <c r="BP379" s="31" t="inlineStr">
        <is>
          <t>No</t>
        </is>
      </c>
      <c r="BQ379" s="31">
        <f>IF(BP379="No",10,0)</f>
        <v/>
      </c>
      <c r="BR379" s="31" t="inlineStr">
        <is>
          <t>No</t>
        </is>
      </c>
      <c r="BS379" s="31">
        <f>IF(BR379="NO",5,0)</f>
        <v/>
      </c>
      <c r="BT379" s="31" t="inlineStr">
        <is>
          <t>Above 2</t>
        </is>
      </c>
      <c r="BU379" s="31">
        <f>IF(BT379="Above 2",0,IF(BT379="Between 1.5 to 2",5,IF(BT379="Less than 1.5",10,0)))</f>
        <v/>
      </c>
      <c r="BV379" s="31" t="inlineStr">
        <is>
          <t>Above 70%</t>
        </is>
      </c>
      <c r="BW379" s="31">
        <f>IF(BV379="Above 70%",10,IF(BV379="Between 50% to 70%",5,IF(BV379="Less than 50%",0,IF(BV379="Negative",-10,IF(BV379="Less than 50% and Borrowings are increasing",-5,0)))))</f>
        <v/>
      </c>
      <c r="BX379" s="31" t="inlineStr">
        <is>
          <t>Between 0.7 to 1.2</t>
        </is>
      </c>
      <c r="BY379" s="31">
        <f>IF(BX379="More than 1.2",-10,IF(BX379="Between 0.7 to 1.2",0,IF(BX379="Less than 0.7",10,0)))</f>
        <v/>
      </c>
      <c r="BZ379" s="31" t="inlineStr">
        <is>
          <t>No</t>
        </is>
      </c>
      <c r="CA379" s="31">
        <f>IF(BZ379="Yes",-10,0)</f>
        <v/>
      </c>
      <c r="CB379" s="31" t="inlineStr">
        <is>
          <t>Less than 15%</t>
        </is>
      </c>
      <c r="CC379" s="31">
        <f>IF(CB379="More than 15%",-10,IF(CB379="Less than 15%",10,0))</f>
        <v/>
      </c>
      <c r="CD379" s="31" t="inlineStr">
        <is>
          <t>No</t>
        </is>
      </c>
      <c r="CE379" s="31">
        <f>IF(CD379="Yes, more than 10%",-10,IF(CD379="No",10,0))</f>
        <v/>
      </c>
    </row>
    <row r="380">
      <c r="A380" s="31">
        <f>IF(B380=0,"",RANK(B380,$B$2:$B$389,0))</f>
        <v/>
      </c>
      <c r="B380" s="32">
        <f>SUM(N380,Y380,AA380,AC380,AE380,AG380,AI380,AK380,AM380,AO380,AQ380,AS380,AU380,AW380,AY380,BA380,BC380,BE380,BG380,BI380,BK380,BM380,BO380,BQ380,BS380,BU380,BW380,BY380,CA380,CC380,CE380)</f>
        <v/>
      </c>
      <c r="C380" s="31" t="inlineStr">
        <is>
          <t>ANURAS</t>
        </is>
      </c>
      <c r="D380" s="31" t="inlineStr">
        <is>
          <t>Anupam Rasayan India Ltd</t>
        </is>
      </c>
      <c r="E380" s="31" t="inlineStr">
        <is>
          <t>chemicals</t>
        </is>
      </c>
      <c r="F380" s="31" t="inlineStr">
        <is>
          <t>chemicals</t>
        </is>
      </c>
      <c r="G380" s="31" t="inlineStr">
        <is>
          <t>midcap</t>
        </is>
      </c>
      <c r="H380" s="32" t="n">
        <v>14159.31</v>
      </c>
      <c r="I380" s="32" t="n">
        <v>1255.5</v>
      </c>
      <c r="J380" s="32" t="n">
        <v>0.95</v>
      </c>
      <c r="K380" s="32" t="n">
        <v>633272</v>
      </c>
      <c r="L380" s="31" t="n">
        <v>8</v>
      </c>
      <c r="M380" s="31" t="inlineStr">
        <is>
          <t>Outperforming</t>
        </is>
      </c>
      <c r="N380" s="32">
        <f>IF(M380="Underperforming",-5,IF(L380&gt;=95,15,IF(L380&gt;=90,10,IF(L380&gt;=80,5,0))))</f>
        <v/>
      </c>
      <c r="O380" s="32" t="n">
        <v>47.57</v>
      </c>
      <c r="P380" s="32" t="n">
        <v>8.52</v>
      </c>
      <c r="Q380" s="32" t="inlineStr"/>
      <c r="R380" s="31" t="inlineStr">
        <is>
          <t>Earnings / Momentum Support</t>
        </is>
      </c>
      <c r="S380" s="31" t="inlineStr">
        <is>
          <t>Nifty 50</t>
        </is>
      </c>
      <c r="T380" s="32" t="n">
        <v>-2.49</v>
      </c>
      <c r="U380" s="32" t="n">
        <v>9.99</v>
      </c>
      <c r="V380" s="32" t="n">
        <v>12.8</v>
      </c>
      <c r="W380" s="32" t="n">
        <v>0.34</v>
      </c>
      <c r="X380" s="31" t="inlineStr">
        <is>
          <t>Growing Industry</t>
        </is>
      </c>
      <c r="Y380" s="31">
        <f>IF(X380="Growing Industry",10,IF(X380="Cyclical in an Upturn",5,0))</f>
        <v/>
      </c>
      <c r="Z380" s="31" t="inlineStr">
        <is>
          <t>Too Many Players with High ROCE</t>
        </is>
      </c>
      <c r="AA380" s="31">
        <f>IF(Z380="Monopoly",10,IF(Z380="Oligopoly",5,IF(Z380="Duopoly that cooperate",10,IF(Z380="Duopoly that compete",5,IF(Z380="Too many players with High ROCE",5,0)))))</f>
        <v/>
      </c>
      <c r="AB380" s="31" t="inlineStr">
        <is>
          <t>No</t>
        </is>
      </c>
      <c r="AC380" s="31">
        <f>IF(AB380="No",5,0)</f>
        <v/>
      </c>
      <c r="AD380" s="31" t="inlineStr">
        <is>
          <t>Headwind</t>
        </is>
      </c>
      <c r="AE380" s="31">
        <f>IF(AD380="Tailwind",10,0)</f>
        <v/>
      </c>
      <c r="AF380" s="31" t="inlineStr">
        <is>
          <t>Structural (10 Years Consistency)</t>
        </is>
      </c>
      <c r="AG380" s="31">
        <f>IF(AF380="Structural (10 Years Consistency)",10,IF(AF380="Shallow Cyclical (2 to 3 years growth)",5,0))</f>
        <v/>
      </c>
      <c r="AH380" s="31" t="inlineStr">
        <is>
          <t>No</t>
        </is>
      </c>
      <c r="AI380" s="31">
        <f>IF(AH380="Yes due to Product Mix change or Operating Leverage",10,IF(AH380="Yes, these are peak margins",-5,IF(AH380="No",5,0)))</f>
        <v/>
      </c>
      <c r="AJ380" s="31" t="inlineStr">
        <is>
          <t>Stable</t>
        </is>
      </c>
      <c r="AK380" s="31">
        <f>IF(AJ380="Stable",10,0)</f>
        <v/>
      </c>
      <c r="AL380" s="31" t="inlineStr">
        <is>
          <t>Yes</t>
        </is>
      </c>
      <c r="AM380" s="31">
        <f>IF(AL380="Yes",10,0)</f>
        <v/>
      </c>
      <c r="AN380" s="31" t="inlineStr">
        <is>
          <t>B2B</t>
        </is>
      </c>
      <c r="AO380" s="31">
        <f>IF(AN380="B2C",10,IF(AN380="B2B",5,0))</f>
        <v/>
      </c>
      <c r="AP380" s="31" t="inlineStr">
        <is>
          <t>No</t>
        </is>
      </c>
      <c r="AQ380" s="31">
        <f>IF(AP380="Yes",10,0)</f>
        <v/>
      </c>
      <c r="AR380" s="31" t="inlineStr">
        <is>
          <t>Higher One Time, Lower Annuity</t>
        </is>
      </c>
      <c r="AS380" s="31">
        <f>IF(AR380="Fully Annuity",10,IF(AR380="Higher Annuity, Lower One Time",5,IF(AR380="Higher One Time, Lower Annuity",3,0)))</f>
        <v/>
      </c>
      <c r="AT380" s="31" t="inlineStr">
        <is>
          <t>Good</t>
        </is>
      </c>
      <c r="AU380" s="31">
        <f>IF(AT380="Good",10,0)</f>
        <v/>
      </c>
      <c r="AV380" s="31" t="inlineStr">
        <is>
          <t>Yes for more than 2 years</t>
        </is>
      </c>
      <c r="AW380" s="31">
        <f>IF(AV380="Yes for more than 2 years",10,IF(AV380="Yes only for next 1 to 2 years",5,0))</f>
        <v/>
      </c>
      <c r="AX380" s="31" t="inlineStr">
        <is>
          <t>0 to 20</t>
        </is>
      </c>
      <c r="AY380" s="31">
        <f>IF(AX380="Above 40",20,IF(AX380="20 to 40",10,IF(AX380="0 to 20",-5,0)))</f>
        <v/>
      </c>
      <c r="AZ380" s="31" t="inlineStr">
        <is>
          <t>Below 45</t>
        </is>
      </c>
      <c r="BA380" s="31">
        <f>IF(AZ380="Between 50 to 75",10,IF(AZ380="Above 75",0,0))</f>
        <v/>
      </c>
      <c r="BB380" s="31" t="inlineStr">
        <is>
          <t>Stage 4</t>
        </is>
      </c>
      <c r="BC380" s="31">
        <f>IF(BB380="Stage 2",20,IF(BB380="Stage 1",0,IF(BB380="Stage 3",5,IF(BB380="Stage 4",-5,0))))</f>
        <v/>
      </c>
      <c r="BD380" s="31" t="inlineStr">
        <is>
          <t>Negative Trend</t>
        </is>
      </c>
      <c r="BE380" s="31">
        <f>IF(BD380="Positive Trend",20,IF(BD380="Negative Trend",-10,0))</f>
        <v/>
      </c>
      <c r="BF380" s="31" t="inlineStr">
        <is>
          <t>Uptrend</t>
        </is>
      </c>
      <c r="BG380" s="31">
        <f>IF(BF380="Uptrend",10,IF(BF380="Sideways",5,0))</f>
        <v/>
      </c>
      <c r="BH380" s="31" t="inlineStr">
        <is>
          <t>Uptrend</t>
        </is>
      </c>
      <c r="BI380" s="31">
        <f>IF(BH380="Uptrend",10,IF(BH380="Sideways",5,0))</f>
        <v/>
      </c>
      <c r="BJ380" s="31" t="inlineStr">
        <is>
          <t>Close to 52 week high or retracement</t>
        </is>
      </c>
      <c r="BK380" s="31">
        <f>IF(BJ380="Overhead supply in last 2 years in last 2 years",-5,IF(BJ380="Close to 52 week high or retracement",5,IF(BJ380="Blue sky scenario",10,IF(BJ380="Long term Downtrend",-10,0))))</f>
        <v/>
      </c>
      <c r="BL380" s="31" t="inlineStr">
        <is>
          <t>Yes</t>
        </is>
      </c>
      <c r="BM380" s="31">
        <f>IF(BL380="Yes",10,0)</f>
        <v/>
      </c>
      <c r="BN380" s="31" t="inlineStr">
        <is>
          <t>Less than 12%</t>
        </is>
      </c>
      <c r="BO380" s="31">
        <f>IF(BN380="More than 20%",10,IF(BN380="Between 12 to 20%",5,IF(BN380="Less than 12%",0,0)))</f>
        <v/>
      </c>
      <c r="BP380" s="31" t="inlineStr">
        <is>
          <t>No</t>
        </is>
      </c>
      <c r="BQ380" s="31">
        <f>IF(BP380="No",10,0)</f>
        <v/>
      </c>
      <c r="BR380" s="31" t="inlineStr">
        <is>
          <t>Yes</t>
        </is>
      </c>
      <c r="BS380" s="31">
        <f>IF(BR380="NO",5,0)</f>
        <v/>
      </c>
      <c r="BT380" s="31" t="inlineStr">
        <is>
          <t>Above 2</t>
        </is>
      </c>
      <c r="BU380" s="31">
        <f>IF(BT380="Above 2",0,IF(BT380="Between 1.5 to 2",5,IF(BT380="Less than 1.5",10,0)))</f>
        <v/>
      </c>
      <c r="BV380" s="31" t="inlineStr">
        <is>
          <t>Above 70%</t>
        </is>
      </c>
      <c r="BW380" s="31">
        <f>IF(BV380="Above 70%",10,IF(BV380="Between 50% to 70%",5,IF(BV380="Less than 50%",0,IF(BV380="Negative",-10,IF(BV380="Less than 50% and Borrowings are increasing",-5,0)))))</f>
        <v/>
      </c>
      <c r="BX380" s="31" t="inlineStr">
        <is>
          <t>Less than 0.7</t>
        </is>
      </c>
      <c r="BY380" s="31">
        <f>IF(BX380="More than 1.2",-10,IF(BX380="Between 0.7 to 1.2",0,IF(BX380="Less than 0.7",10,0)))</f>
        <v/>
      </c>
      <c r="BZ380" s="31" t="inlineStr">
        <is>
          <t>No</t>
        </is>
      </c>
      <c r="CA380" s="31">
        <f>IF(BZ380="Yes",-10,0)</f>
        <v/>
      </c>
      <c r="CB380" s="31" t="inlineStr">
        <is>
          <t>Less than 15%</t>
        </is>
      </c>
      <c r="CC380" s="31">
        <f>IF(CB380="More than 15%",-10,IF(CB380="Less than 15%",10,0))</f>
        <v/>
      </c>
      <c r="CD380" s="31" t="inlineStr">
        <is>
          <t>No</t>
        </is>
      </c>
      <c r="CE380" s="31">
        <f>IF(CD380="Yes, more than 10%",-10,IF(CD380="No",10,0))</f>
        <v/>
      </c>
    </row>
    <row r="381">
      <c r="A381" s="31">
        <f>IF(B381=0,"",RANK(B381,$B$2:$B$389,0))</f>
        <v/>
      </c>
      <c r="B381" s="32">
        <f>SUM(N381,Y381,AA381,AC381,AE381,AG381,AI381,AK381,AM381,AO381,AQ381,AS381,AU381,AW381,AY381,BA381,BC381,BE381,BG381,BI381,BK381,BM381,BO381,BQ381,BS381,BU381,BW381,BY381,CA381,CC381,CE381)</f>
        <v/>
      </c>
      <c r="C381" s="31" t="inlineStr">
        <is>
          <t>STYLEBAAZA</t>
        </is>
      </c>
      <c r="D381" s="31" t="inlineStr">
        <is>
          <t>Baazar Style Retail Ltd</t>
        </is>
      </c>
      <c r="E381" s="31" t="inlineStr">
        <is>
          <t>consumer discretionary</t>
        </is>
      </c>
      <c r="F381" s="31" t="inlineStr">
        <is>
          <t>trading</t>
        </is>
      </c>
      <c r="G381" s="31" t="inlineStr">
        <is>
          <t>smallcap</t>
        </is>
      </c>
      <c r="H381" s="32" t="n">
        <v>3179.04</v>
      </c>
      <c r="I381" s="32" t="n">
        <v>396.8</v>
      </c>
      <c r="J381" s="32" t="n">
        <v>-4.99</v>
      </c>
      <c r="K381" s="32" t="n">
        <v>1751181</v>
      </c>
      <c r="L381" s="31" t="n">
        <v>46</v>
      </c>
      <c r="M381" s="31" t="inlineStr">
        <is>
          <t>Outperforming</t>
        </is>
      </c>
      <c r="N381" s="32">
        <f>IF(M381="Underperforming",-5,IF(L381&gt;=95,15,IF(L381&gt;=90,10,IF(L381&gt;=80,5,0))))</f>
        <v/>
      </c>
      <c r="O381" s="32" t="n">
        <v>63.15</v>
      </c>
      <c r="P381" s="32" t="n">
        <v>13.63</v>
      </c>
      <c r="Q381" s="32" t="inlineStr"/>
      <c r="R381" s="31" t="inlineStr">
        <is>
          <t>Earnings / Momentum Support</t>
        </is>
      </c>
      <c r="S381" s="31" t="inlineStr">
        <is>
          <t>Nifty 50</t>
        </is>
      </c>
      <c r="T381" s="32" t="n">
        <v>-2.49</v>
      </c>
      <c r="U381" s="32" t="n">
        <v>32.61</v>
      </c>
      <c r="V381" s="32" t="n">
        <v>35.99</v>
      </c>
      <c r="W381" s="32" t="n">
        <v>10.6</v>
      </c>
      <c r="X381" s="31" t="inlineStr">
        <is>
          <t>Growing Industry</t>
        </is>
      </c>
      <c r="Y381" s="31">
        <f>IF(X381="Growing Industry",10,IF(X381="Cyclical in an Upturn",5,0))</f>
        <v/>
      </c>
      <c r="Z381" s="31" t="inlineStr">
        <is>
          <t>Too Many Players with High ROCE</t>
        </is>
      </c>
      <c r="AA381" s="31">
        <f>IF(Z381="Monopoly",10,IF(Z381="Oligopoly",5,IF(Z381="Duopoly that cooperate",10,IF(Z381="Duopoly that compete",5,IF(Z381="Too many players with High ROCE",5,0)))))</f>
        <v/>
      </c>
      <c r="AB381" s="31" t="inlineStr">
        <is>
          <t>No</t>
        </is>
      </c>
      <c r="AC381" s="31">
        <f>IF(AB381="No",5,0)</f>
        <v/>
      </c>
      <c r="AD381" s="31" t="inlineStr">
        <is>
          <t>Headwind</t>
        </is>
      </c>
      <c r="AE381" s="31">
        <f>IF(AD381="Tailwind",10,0)</f>
        <v/>
      </c>
      <c r="AF381" s="31" t="inlineStr">
        <is>
          <t>Structural (10 Years Consistency)</t>
        </is>
      </c>
      <c r="AG381" s="31">
        <f>IF(AF381="Structural (10 Years Consistency)",10,IF(AF381="Shallow Cyclical (2 to 3 years growth)",5,0))</f>
        <v/>
      </c>
      <c r="AH381" s="31" t="inlineStr">
        <is>
          <t>No</t>
        </is>
      </c>
      <c r="AI381" s="31">
        <f>IF(AH381="Yes due to Product Mix change or Operating Leverage",10,IF(AH381="Yes, these are peak margins",-5,IF(AH381="No",5,0)))</f>
        <v/>
      </c>
      <c r="AJ381" s="31" t="inlineStr">
        <is>
          <t>Stable</t>
        </is>
      </c>
      <c r="AK381" s="31">
        <f>IF(AJ381="Stable",10,0)</f>
        <v/>
      </c>
      <c r="AL381" s="31" t="inlineStr">
        <is>
          <t>Yes</t>
        </is>
      </c>
      <c r="AM381" s="31">
        <f>IF(AL381="Yes",10,0)</f>
        <v/>
      </c>
      <c r="AN381" s="31" t="inlineStr">
        <is>
          <t>B2B</t>
        </is>
      </c>
      <c r="AO381" s="31">
        <f>IF(AN381="B2C",10,IF(AN381="B2B",5,0))</f>
        <v/>
      </c>
      <c r="AP381" s="31" t="inlineStr">
        <is>
          <t>No</t>
        </is>
      </c>
      <c r="AQ381" s="31">
        <f>IF(AP381="Yes",10,0)</f>
        <v/>
      </c>
      <c r="AR381" s="31" t="inlineStr">
        <is>
          <t>Higher One Time, Lower Annuity</t>
        </is>
      </c>
      <c r="AS381" s="31">
        <f>IF(AR381="Fully Annuity",10,IF(AR381="Higher Annuity, Lower One Time",5,IF(AR381="Higher One Time, Lower Annuity",3,0)))</f>
        <v/>
      </c>
      <c r="AT381" s="31" t="inlineStr">
        <is>
          <t>Good</t>
        </is>
      </c>
      <c r="AU381" s="31">
        <f>IF(AT381="Good",10,0)</f>
        <v/>
      </c>
      <c r="AV381" s="31" t="inlineStr">
        <is>
          <t>Yes for more than 2 years</t>
        </is>
      </c>
      <c r="AW381" s="31">
        <f>IF(AV381="Yes for more than 2 years",10,IF(AV381="Yes only for next 1 to 2 years",5,0))</f>
        <v/>
      </c>
      <c r="AX381" s="31" t="inlineStr">
        <is>
          <t>0 to 20</t>
        </is>
      </c>
      <c r="AY381" s="31">
        <f>IF(AX381="Above 40",20,IF(AX381="20 to 40",10,IF(AX381="0 to 20",-5,0)))</f>
        <v/>
      </c>
      <c r="AZ381" s="31" t="inlineStr">
        <is>
          <t>Between 50 to 75</t>
        </is>
      </c>
      <c r="BA381" s="31">
        <f>IF(AZ381="Between 50 to 75",10,IF(AZ381="Above 75",0,0))</f>
        <v/>
      </c>
      <c r="BB381" s="31" t="inlineStr">
        <is>
          <t>Stage 3</t>
        </is>
      </c>
      <c r="BC381" s="31">
        <f>IF(BB381="Stage 2",20,IF(BB381="Stage 1",0,IF(BB381="Stage 3",5,IF(BB381="Stage 4",-5,0))))</f>
        <v/>
      </c>
      <c r="BD381" s="31" t="inlineStr">
        <is>
          <t>Negative Trend</t>
        </is>
      </c>
      <c r="BE381" s="31">
        <f>IF(BD381="Positive Trend",20,IF(BD381="Negative Trend",-10,0))</f>
        <v/>
      </c>
      <c r="BF381" s="31" t="inlineStr">
        <is>
          <t>Uptrend</t>
        </is>
      </c>
      <c r="BG381" s="31">
        <f>IF(BF381="Uptrend",10,IF(BF381="Sideways",5,0))</f>
        <v/>
      </c>
      <c r="BH381" s="31" t="inlineStr">
        <is>
          <t>Uptrend</t>
        </is>
      </c>
      <c r="BI381" s="31">
        <f>IF(BH381="Uptrend",10,IF(BH381="Sideways",5,0))</f>
        <v/>
      </c>
      <c r="BJ381" s="31" t="inlineStr">
        <is>
          <t>Close to 52 week high or retracement</t>
        </is>
      </c>
      <c r="BK381" s="31">
        <f>IF(BJ381="Overhead supply in last 2 years in last 2 years",-5,IF(BJ381="Close to 52 week high or retracement",5,IF(BJ381="Blue sky scenario",10,IF(BJ381="Long term Downtrend",-10,0))))</f>
        <v/>
      </c>
      <c r="BL381" s="31" t="inlineStr">
        <is>
          <t>Yes</t>
        </is>
      </c>
      <c r="BM381" s="31">
        <f>IF(BL381="Yes",10,0)</f>
        <v/>
      </c>
      <c r="BN381" s="31" t="inlineStr">
        <is>
          <t>Less than 12%</t>
        </is>
      </c>
      <c r="BO381" s="31">
        <f>IF(BN381="More than 20%",10,IF(BN381="Between 12 to 20%",5,IF(BN381="Less than 12%",0,0)))</f>
        <v/>
      </c>
      <c r="BP381" s="31" t="inlineStr">
        <is>
          <t>No</t>
        </is>
      </c>
      <c r="BQ381" s="31">
        <f>IF(BP381="No",10,0)</f>
        <v/>
      </c>
      <c r="BR381" s="31" t="inlineStr">
        <is>
          <t>Yes</t>
        </is>
      </c>
      <c r="BS381" s="31">
        <f>IF(BR381="NO",5,0)</f>
        <v/>
      </c>
      <c r="BT381" s="31" t="inlineStr">
        <is>
          <t>Above 2</t>
        </is>
      </c>
      <c r="BU381" s="31">
        <f>IF(BT381="Above 2",0,IF(BT381="Between 1.5 to 2",5,IF(BT381="Less than 1.5",10,0)))</f>
        <v/>
      </c>
      <c r="BV381" s="31" t="inlineStr">
        <is>
          <t>Above 70%</t>
        </is>
      </c>
      <c r="BW381" s="31">
        <f>IF(BV381="Above 70%",10,IF(BV381="Between 50% to 70%",5,IF(BV381="Less than 50%",0,IF(BV381="Negative",-10,IF(BV381="Less than 50% and Borrowings are increasing",-5,0)))))</f>
        <v/>
      </c>
      <c r="BX381" s="31" t="inlineStr">
        <is>
          <t>More than 1.2</t>
        </is>
      </c>
      <c r="BY381" s="31">
        <f>IF(BX381="More than 1.2",-10,IF(BX381="Between 0.7 to 1.2",0,IF(BX381="Less than 0.7",10,0)))</f>
        <v/>
      </c>
      <c r="BZ381" s="31" t="inlineStr">
        <is>
          <t>No</t>
        </is>
      </c>
      <c r="CA381" s="31">
        <f>IF(BZ381="Yes",-10,0)</f>
        <v/>
      </c>
      <c r="CB381" s="31" t="inlineStr">
        <is>
          <t>Less than 15%</t>
        </is>
      </c>
      <c r="CC381" s="31">
        <f>IF(CB381="More than 15%",-10,IF(CB381="Less than 15%",10,0))</f>
        <v/>
      </c>
      <c r="CD381" s="31" t="inlineStr">
        <is>
          <t>No</t>
        </is>
      </c>
      <c r="CE381" s="31">
        <f>IF(CD381="Yes, more than 10%",-10,IF(CD381="No",10,0))</f>
        <v/>
      </c>
    </row>
    <row r="382">
      <c r="A382" s="31">
        <f>IF(B382=0,"",RANK(B382,$B$2:$B$389,0))</f>
        <v/>
      </c>
      <c r="B382" s="32">
        <f>SUM(N382,Y382,AA382,AC382,AE382,AG382,AI382,AK382,AM382,AO382,AQ382,AS382,AU382,AW382,AY382,BA382,BC382,BE382,BG382,BI382,BK382,BM382,BO382,BQ382,BS382,BU382,BW382,BY382,CA382,CC382,CE382)</f>
        <v/>
      </c>
      <c r="C382" s="33" t="inlineStr">
        <is>
          <t>TVSSCS</t>
        </is>
      </c>
      <c r="D382" s="33" t="inlineStr">
        <is>
          <t>TVS Supply Chain Solutions Ltd</t>
        </is>
      </c>
      <c r="E382" s="31" t="inlineStr">
        <is>
          <t>transportation</t>
        </is>
      </c>
      <c r="F382" s="31" t="inlineStr">
        <is>
          <t>miscellaneous</t>
        </is>
      </c>
      <c r="G382" s="31" t="inlineStr">
        <is>
          <t>midcap</t>
        </is>
      </c>
      <c r="H382" s="32" t="n">
        <v>5357.69</v>
      </c>
      <c r="I382" s="32" t="n">
        <v>132.99</v>
      </c>
      <c r="J382" s="32" t="n">
        <v>9.51</v>
      </c>
      <c r="K382" s="32" t="n">
        <v>43355786</v>
      </c>
      <c r="L382" s="31" t="n">
        <v>3</v>
      </c>
      <c r="M382" s="31" t="inlineStr">
        <is>
          <t>Underperforming</t>
        </is>
      </c>
      <c r="N382" s="32">
        <f>IF(M382="Underperforming",-5,IF(L382&gt;=95,15,IF(L382&gt;=90,10,IF(L382&gt;=80,5,0))))</f>
        <v/>
      </c>
      <c r="O382" s="32" t="n">
        <v>47.81</v>
      </c>
      <c r="P382" s="32" t="n">
        <v>14.29</v>
      </c>
      <c r="Q382" s="32" t="inlineStr"/>
      <c r="R382" s="31" t="inlineStr">
        <is>
          <t>Volume Spike / Accumulation</t>
        </is>
      </c>
      <c r="S382" s="31" t="inlineStr">
        <is>
          <t>Nifty 50</t>
        </is>
      </c>
      <c r="T382" s="32" t="n">
        <v>-2.49</v>
      </c>
      <c r="U382" s="32" t="n">
        <v>-7.92</v>
      </c>
      <c r="V382" s="32" t="n">
        <v>-5.57</v>
      </c>
      <c r="W382" s="32" t="n">
        <v>-1.41</v>
      </c>
      <c r="X382" s="31" t="inlineStr">
        <is>
          <t>Growing Industry</t>
        </is>
      </c>
      <c r="Y382" s="31">
        <f>IF(X382="Growing Industry",10,IF(X382="Cyclical in an Upturn",5,0))</f>
        <v/>
      </c>
      <c r="Z382" s="31" t="inlineStr">
        <is>
          <t>Too Many Players with High ROCE</t>
        </is>
      </c>
      <c r="AA382" s="31">
        <f>IF(Z382="Monopoly",10,IF(Z382="Oligopoly",5,IF(Z382="Duopoly that cooperate",10,IF(Z382="Duopoly that compete",5,IF(Z382="Too many players with High ROCE",5,0)))))</f>
        <v/>
      </c>
      <c r="AB382" s="31" t="inlineStr">
        <is>
          <t>No</t>
        </is>
      </c>
      <c r="AC382" s="31">
        <f>IF(AB382="No",5,0)</f>
        <v/>
      </c>
      <c r="AD382" s="31" t="inlineStr">
        <is>
          <t>Headwind</t>
        </is>
      </c>
      <c r="AE382" s="31">
        <f>IF(AD382="Tailwind",10,0)</f>
        <v/>
      </c>
      <c r="AF382" s="31" t="inlineStr">
        <is>
          <t>Structural (10 Years Consistency)</t>
        </is>
      </c>
      <c r="AG382" s="31">
        <f>IF(AF382="Structural (10 Years Consistency)",10,IF(AF382="Shallow Cyclical (2 to 3 years growth)",5,0))</f>
        <v/>
      </c>
      <c r="AH382" s="31" t="inlineStr">
        <is>
          <t>No</t>
        </is>
      </c>
      <c r="AI382" s="31">
        <f>IF(AH382="Yes due to Product Mix change or Operating Leverage",10,IF(AH382="Yes, these are peak margins",-5,IF(AH382="No",5,0)))</f>
        <v/>
      </c>
      <c r="AJ382" s="31" t="inlineStr">
        <is>
          <t>Stable</t>
        </is>
      </c>
      <c r="AK382" s="31">
        <f>IF(AJ382="Stable",10,0)</f>
        <v/>
      </c>
      <c r="AL382" s="31" t="inlineStr">
        <is>
          <t>Yes</t>
        </is>
      </c>
      <c r="AM382" s="31">
        <f>IF(AL382="Yes",10,0)</f>
        <v/>
      </c>
      <c r="AN382" s="31" t="inlineStr">
        <is>
          <t>B2B</t>
        </is>
      </c>
      <c r="AO382" s="31">
        <f>IF(AN382="B2C",10,IF(AN382="B2B",5,0))</f>
        <v/>
      </c>
      <c r="AP382" s="31" t="inlineStr">
        <is>
          <t>Yes</t>
        </is>
      </c>
      <c r="AQ382" s="31">
        <f>IF(AP382="Yes",10,0)</f>
        <v/>
      </c>
      <c r="AR382" s="31" t="inlineStr">
        <is>
          <t>Higher One Time, Lower Annuity</t>
        </is>
      </c>
      <c r="AS382" s="31">
        <f>IF(AR382="Fully Annuity",10,IF(AR382="Higher Annuity, Lower One Time",5,IF(AR382="Higher One Time, Lower Annuity",3,0)))</f>
        <v/>
      </c>
      <c r="AT382" s="31" t="inlineStr">
        <is>
          <t>Good</t>
        </is>
      </c>
      <c r="AU382" s="31">
        <f>IF(AT382="Good",10,0)</f>
        <v/>
      </c>
      <c r="AV382" s="31" t="inlineStr">
        <is>
          <t>Yes for more than 2 years</t>
        </is>
      </c>
      <c r="AW382" s="31">
        <f>IF(AV382="Yes for more than 2 years",10,IF(AV382="Yes only for next 1 to 2 years",5,0))</f>
        <v/>
      </c>
      <c r="AX382" s="31" t="inlineStr">
        <is>
          <t>0 to 20</t>
        </is>
      </c>
      <c r="AY382" s="31">
        <f>IF(AX382="Above 40",20,IF(AX382="20 to 40",10,IF(AX382="0 to 20",-5,0)))</f>
        <v/>
      </c>
      <c r="AZ382" s="31" t="inlineStr">
        <is>
          <t>Below 45</t>
        </is>
      </c>
      <c r="BA382" s="31">
        <f>IF(AZ382="Between 50 to 75",10,IF(AZ382="Above 75",0,0))</f>
        <v/>
      </c>
      <c r="BB382" s="31" t="inlineStr">
        <is>
          <t>Stage 3</t>
        </is>
      </c>
      <c r="BC382" s="31">
        <f>IF(BB382="Stage 2",20,IF(BB382="Stage 1",0,IF(BB382="Stage 3",5,IF(BB382="Stage 4",-5,0))))</f>
        <v/>
      </c>
      <c r="BD382" s="31" t="inlineStr">
        <is>
          <t>Negative Trend</t>
        </is>
      </c>
      <c r="BE382" s="31">
        <f>IF(BD382="Positive Trend",20,IF(BD382="Negative Trend",-10,0))</f>
        <v/>
      </c>
      <c r="BF382" s="31" t="inlineStr">
        <is>
          <t>Uptrend</t>
        </is>
      </c>
      <c r="BG382" s="31">
        <f>IF(BF382="Uptrend",10,IF(BF382="Sideways",5,0))</f>
        <v/>
      </c>
      <c r="BH382" s="31" t="inlineStr">
        <is>
          <t>Uptrend</t>
        </is>
      </c>
      <c r="BI382" s="31">
        <f>IF(BH382="Uptrend",10,IF(BH382="Sideways",5,0))</f>
        <v/>
      </c>
      <c r="BJ382" s="31" t="inlineStr">
        <is>
          <t>Close to 52 week high or retracement</t>
        </is>
      </c>
      <c r="BK382" s="31">
        <f>IF(BJ382="Overhead supply in last 2 years in last 2 years",-5,IF(BJ382="Close to 52 week high or retracement",5,IF(BJ382="Blue sky scenario",10,IF(BJ382="Long term Downtrend",-10,0))))</f>
        <v/>
      </c>
      <c r="BL382" s="31" t="inlineStr">
        <is>
          <t>Yes</t>
        </is>
      </c>
      <c r="BM382" s="31">
        <f>IF(BL382="Yes",10,0)</f>
        <v/>
      </c>
      <c r="BN382" s="31" t="inlineStr">
        <is>
          <t>Less than 12%</t>
        </is>
      </c>
      <c r="BO382" s="31">
        <f>IF(BN382="More than 20%",10,IF(BN382="Between 12 to 20%",5,IF(BN382="Less than 12%",0,0)))</f>
        <v/>
      </c>
      <c r="BP382" s="31" t="inlineStr">
        <is>
          <t>No</t>
        </is>
      </c>
      <c r="BQ382" s="31">
        <f>IF(BP382="No",10,0)</f>
        <v/>
      </c>
      <c r="BR382" s="31" t="inlineStr">
        <is>
          <t>Yes</t>
        </is>
      </c>
      <c r="BS382" s="31">
        <f>IF(BR382="NO",5,0)</f>
        <v/>
      </c>
      <c r="BT382" s="31" t="inlineStr">
        <is>
          <t>Above 2</t>
        </is>
      </c>
      <c r="BU382" s="31">
        <f>IF(BT382="Above 2",0,IF(BT382="Between 1.5 to 2",5,IF(BT382="Less than 1.5",10,0)))</f>
        <v/>
      </c>
      <c r="BV382" s="31" t="inlineStr">
        <is>
          <t>Above 70%</t>
        </is>
      </c>
      <c r="BW382" s="31">
        <f>IF(BV382="Above 70%",10,IF(BV382="Between 50% to 70%",5,IF(BV382="Less than 50%",0,IF(BV382="Negative",-10,IF(BV382="Less than 50% and Borrowings are increasing",-5,0)))))</f>
        <v/>
      </c>
      <c r="BX382" s="31" t="inlineStr">
        <is>
          <t>More than 1.2</t>
        </is>
      </c>
      <c r="BY382" s="31">
        <f>IF(BX382="More than 1.2",-10,IF(BX382="Between 0.7 to 1.2",0,IF(BX382="Less than 0.7",10,0)))</f>
        <v/>
      </c>
      <c r="BZ382" s="31" t="inlineStr">
        <is>
          <t>No</t>
        </is>
      </c>
      <c r="CA382" s="31">
        <f>IF(BZ382="Yes",-10,0)</f>
        <v/>
      </c>
      <c r="CB382" s="31" t="inlineStr">
        <is>
          <t>Less than 15%</t>
        </is>
      </c>
      <c r="CC382" s="31">
        <f>IF(CB382="More than 15%",-10,IF(CB382="Less than 15%",10,0))</f>
        <v/>
      </c>
      <c r="CD382" s="31" t="inlineStr">
        <is>
          <t>No</t>
        </is>
      </c>
      <c r="CE382" s="31">
        <f>IF(CD382="Yes, more than 10%",-10,IF(CD382="No",10,0))</f>
        <v/>
      </c>
    </row>
    <row r="383">
      <c r="A383" s="31">
        <f>IF(B383=0,"",RANK(B383,$B$2:$B$389,0))</f>
        <v/>
      </c>
      <c r="B383" s="32">
        <f>SUM(N383,Y383,AA383,AC383,AE383,AG383,AI383,AK383,AM383,AO383,AQ383,AS383,AU383,AW383,AY383,BA383,BC383,BE383,BG383,BI383,BK383,BM383,BO383,BQ383,BS383,BU383,BW383,BY383,CA383,CC383,CE383)</f>
        <v/>
      </c>
      <c r="C383" s="31" t="inlineStr">
        <is>
          <t>JINDALSTEL</t>
        </is>
      </c>
      <c r="D383" s="31" t="inlineStr">
        <is>
          <t>Jindal Steel Ltd</t>
        </is>
      </c>
      <c r="E383" s="31" t="inlineStr">
        <is>
          <t>metals &amp; mining</t>
        </is>
      </c>
      <c r="F383" s="31" t="inlineStr">
        <is>
          <t>steel - large</t>
        </is>
      </c>
      <c r="G383" s="31" t="inlineStr">
        <is>
          <t>largecap</t>
        </is>
      </c>
      <c r="H383" s="32" t="n">
        <v>115045.54</v>
      </c>
      <c r="I383" s="32" t="n">
        <v>1149</v>
      </c>
      <c r="J383" s="32" t="n">
        <v>1.88</v>
      </c>
      <c r="K383" s="32" t="n">
        <v>895537</v>
      </c>
      <c r="L383" s="31" t="inlineStr"/>
      <c r="M383" s="31" t="inlineStr"/>
      <c r="N383" s="32">
        <f>IF(M383="Underperforming",-5,IF(L383&gt;=95,15,IF(L383&gt;=90,10,IF(L383&gt;=80,5,0))))</f>
        <v/>
      </c>
      <c r="O383" s="32" t="n">
        <v>51.62</v>
      </c>
      <c r="P383" s="32" t="n">
        <v>13.88</v>
      </c>
      <c r="Q383" s="32" t="inlineStr"/>
      <c r="R383" s="31" t="inlineStr">
        <is>
          <t>Earnings / Momentum Support</t>
        </is>
      </c>
      <c r="S383" s="31" t="inlineStr">
        <is>
          <t>Nifty Metal</t>
        </is>
      </c>
      <c r="T383" s="32" t="inlineStr"/>
      <c r="U383" s="32" t="inlineStr"/>
      <c r="V383" s="32" t="inlineStr"/>
      <c r="W383" s="32" t="inlineStr"/>
      <c r="X383" s="31" t="inlineStr">
        <is>
          <t>Cyclical in an Upturn</t>
        </is>
      </c>
      <c r="Y383" s="31">
        <f>IF(X383="Growing Industry",10,IF(X383="Cyclical in an Upturn",5,0))</f>
        <v/>
      </c>
      <c r="Z383" s="31" t="inlineStr">
        <is>
          <t>Too Many Players with High ROCE</t>
        </is>
      </c>
      <c r="AA383" s="31">
        <f>IF(Z383="Monopoly",10,IF(Z383="Oligopoly",5,IF(Z383="Duopoly that cooperate",10,IF(Z383="Duopoly that compete",5,IF(Z383="Too many players with High ROCE",5,0)))))</f>
        <v/>
      </c>
      <c r="AB383" s="31" t="inlineStr">
        <is>
          <t>No</t>
        </is>
      </c>
      <c r="AC383" s="31">
        <f>IF(AB383="No",5,0)</f>
        <v/>
      </c>
      <c r="AD383" s="31" t="inlineStr">
        <is>
          <t>Headwind</t>
        </is>
      </c>
      <c r="AE383" s="31">
        <f>IF(AD383="Tailwind",10,0)</f>
        <v/>
      </c>
      <c r="AF383" s="31" t="inlineStr">
        <is>
          <t>Cyclical</t>
        </is>
      </c>
      <c r="AG383" s="31">
        <f>IF(AF383="Structural (10 Years Consistency)",10,IF(AF383="Shallow Cyclical (2 to 3 years growth)",5,0))</f>
        <v/>
      </c>
      <c r="AH383" s="31" t="inlineStr">
        <is>
          <t>No</t>
        </is>
      </c>
      <c r="AI383" s="31">
        <f>IF(AH383="Yes due to Product Mix change or Operating Leverage",10,IF(AH383="Yes, these are peak margins",-5,IF(AH383="No",5,0)))</f>
        <v/>
      </c>
      <c r="AJ383" s="31" t="inlineStr">
        <is>
          <t>Volatile</t>
        </is>
      </c>
      <c r="AK383" s="31">
        <f>IF(AJ383="Stable",10,0)</f>
        <v/>
      </c>
      <c r="AL383" s="31" t="inlineStr">
        <is>
          <t>Yes</t>
        </is>
      </c>
      <c r="AM383" s="31">
        <f>IF(AL383="Yes",10,0)</f>
        <v/>
      </c>
      <c r="AN383" s="31" t="inlineStr">
        <is>
          <t>B2B</t>
        </is>
      </c>
      <c r="AO383" s="31">
        <f>IF(AN383="B2C",10,IF(AN383="B2B",5,0))</f>
        <v/>
      </c>
      <c r="AP383" s="31" t="inlineStr">
        <is>
          <t>No</t>
        </is>
      </c>
      <c r="AQ383" s="31">
        <f>IF(AP383="Yes",10,0)</f>
        <v/>
      </c>
      <c r="AR383" s="31" t="inlineStr">
        <is>
          <t>Higher One Time, Lower Annuity</t>
        </is>
      </c>
      <c r="AS383" s="31">
        <f>IF(AR383="Fully Annuity",10,IF(AR383="Higher Annuity, Lower One Time",5,IF(AR383="Higher One Time, Lower Annuity",3,0)))</f>
        <v/>
      </c>
      <c r="AT383" s="31" t="inlineStr">
        <is>
          <t>Good</t>
        </is>
      </c>
      <c r="AU383" s="31">
        <f>IF(AT383="Good",10,0)</f>
        <v/>
      </c>
      <c r="AV383" s="31" t="inlineStr">
        <is>
          <t>Yes for more than 2 years</t>
        </is>
      </c>
      <c r="AW383" s="31">
        <f>IF(AV383="Yes for more than 2 years",10,IF(AV383="Yes only for next 1 to 2 years",5,0))</f>
        <v/>
      </c>
      <c r="AX383" s="31" t="inlineStr">
        <is>
          <t>0 to 20</t>
        </is>
      </c>
      <c r="AY383" s="31">
        <f>IF(AX383="Above 40",20,IF(AX383="20 to 40",10,IF(AX383="0 to 20",-5,0)))</f>
        <v/>
      </c>
      <c r="AZ383" s="31" t="inlineStr">
        <is>
          <t>Between 50 to 75</t>
        </is>
      </c>
      <c r="BA383" s="31">
        <f>IF(AZ383="Between 50 to 75",10,IF(AZ383="Above 75",0,0))</f>
        <v/>
      </c>
      <c r="BB383" s="31" t="inlineStr">
        <is>
          <t>Stage 3</t>
        </is>
      </c>
      <c r="BC383" s="31">
        <f>IF(BB383="Stage 2",20,IF(BB383="Stage 1",0,IF(BB383="Stage 3",5,IF(BB383="Stage 4",-5,0))))</f>
        <v/>
      </c>
      <c r="BD383" s="31" t="inlineStr">
        <is>
          <t>Negative Trend</t>
        </is>
      </c>
      <c r="BE383" s="31">
        <f>IF(BD383="Positive Trend",20,IF(BD383="Negative Trend",-10,0))</f>
        <v/>
      </c>
      <c r="BF383" s="31" t="inlineStr">
        <is>
          <t>Uptrend</t>
        </is>
      </c>
      <c r="BG383" s="31">
        <f>IF(BF383="Uptrend",10,IF(BF383="Sideways",5,0))</f>
        <v/>
      </c>
      <c r="BH383" s="31" t="inlineStr">
        <is>
          <t>Uptrend</t>
        </is>
      </c>
      <c r="BI383" s="31">
        <f>IF(BH383="Uptrend",10,IF(BH383="Sideways",5,0))</f>
        <v/>
      </c>
      <c r="BJ383" s="31" t="inlineStr">
        <is>
          <t>Close to 52 week high or retracement</t>
        </is>
      </c>
      <c r="BK383" s="31">
        <f>IF(BJ383="Overhead supply in last 2 years in last 2 years",-5,IF(BJ383="Close to 52 week high or retracement",5,IF(BJ383="Blue sky scenario",10,IF(BJ383="Long term Downtrend",-10,0))))</f>
        <v/>
      </c>
      <c r="BL383" s="31" t="inlineStr">
        <is>
          <t>Yes</t>
        </is>
      </c>
      <c r="BM383" s="31">
        <f>IF(BL383="Yes",10,0)</f>
        <v/>
      </c>
      <c r="BN383" s="31" t="inlineStr">
        <is>
          <t>Less than 12%</t>
        </is>
      </c>
      <c r="BO383" s="31">
        <f>IF(BN383="More than 20%",10,IF(BN383="Between 12 to 20%",5,IF(BN383="Less than 12%",0,0)))</f>
        <v/>
      </c>
      <c r="BP383" s="31" t="inlineStr">
        <is>
          <t>No</t>
        </is>
      </c>
      <c r="BQ383" s="31">
        <f>IF(BP383="No",10,0)</f>
        <v/>
      </c>
      <c r="BR383" s="31" t="inlineStr">
        <is>
          <t>Yes</t>
        </is>
      </c>
      <c r="BS383" s="31">
        <f>IF(BR383="NO",5,0)</f>
        <v/>
      </c>
      <c r="BT383" s="31" t="inlineStr">
        <is>
          <t>Above 2</t>
        </is>
      </c>
      <c r="BU383" s="31">
        <f>IF(BT383="Above 2",0,IF(BT383="Between 1.5 to 2",5,IF(BT383="Less than 1.5",10,0)))</f>
        <v/>
      </c>
      <c r="BV383" s="31" t="inlineStr">
        <is>
          <t>Above 70%</t>
        </is>
      </c>
      <c r="BW383" s="31">
        <f>IF(BV383="Above 70%",10,IF(BV383="Between 50% to 70%",5,IF(BV383="Less than 50%",0,IF(BV383="Negative",-10,IF(BV383="Less than 50% and Borrowings are increasing",-5,0)))))</f>
        <v/>
      </c>
      <c r="BX383" s="31" t="inlineStr">
        <is>
          <t>Less than 0.7</t>
        </is>
      </c>
      <c r="BY383" s="31">
        <f>IF(BX383="More than 1.2",-10,IF(BX383="Between 0.7 to 1.2",0,IF(BX383="Less than 0.7",10,0)))</f>
        <v/>
      </c>
      <c r="BZ383" s="31" t="inlineStr">
        <is>
          <t>No</t>
        </is>
      </c>
      <c r="CA383" s="31">
        <f>IF(BZ383="Yes",-10,0)</f>
        <v/>
      </c>
      <c r="CB383" s="31" t="inlineStr">
        <is>
          <t>Less than 15%</t>
        </is>
      </c>
      <c r="CC383" s="31">
        <f>IF(CB383="More than 15%",-10,IF(CB383="Less than 15%",10,0))</f>
        <v/>
      </c>
      <c r="CD383" s="31" t="inlineStr">
        <is>
          <t>No</t>
        </is>
      </c>
      <c r="CE383" s="31">
        <f>IF(CD383="Yes, more than 10%",-10,IF(CD383="No",10,0))</f>
        <v/>
      </c>
    </row>
    <row r="384">
      <c r="A384" s="31">
        <f>IF(B384=0,"",RANK(B384,$B$2:$B$389,0))</f>
        <v/>
      </c>
      <c r="B384" s="32">
        <f>SUM(N384,Y384,AA384,AC384,AE384,AG384,AI384,AK384,AM384,AO384,AQ384,AS384,AU384,AW384,AY384,BA384,BC384,BE384,BG384,BI384,BK384,BM384,BO384,BQ384,BS384,BU384,BW384,BY384,CA384,CC384,CE384)</f>
        <v/>
      </c>
      <c r="C384" s="31" t="inlineStr">
        <is>
          <t>WHEELS</t>
        </is>
      </c>
      <c r="D384" s="31" t="inlineStr">
        <is>
          <t>Wheels India Limited</t>
        </is>
      </c>
      <c r="E384" s="31" t="inlineStr">
        <is>
          <t>auto</t>
        </is>
      </c>
      <c r="F384" s="31" t="inlineStr">
        <is>
          <t>auto ancillaries</t>
        </is>
      </c>
      <c r="G384" s="31" t="inlineStr">
        <is>
          <t>smallcap</t>
        </is>
      </c>
      <c r="H384" s="32" t="n">
        <v>3696.23</v>
      </c>
      <c r="I384" s="32" t="n">
        <v>1561.4</v>
      </c>
      <c r="J384" s="32" t="n">
        <v>3.21</v>
      </c>
      <c r="K384" s="32" t="n">
        <v>145920</v>
      </c>
      <c r="L384" s="31" t="inlineStr"/>
      <c r="M384" s="31" t="inlineStr"/>
      <c r="N384" s="32">
        <f>IF(M384="Underperforming",-5,IF(L384&gt;=95,15,IF(L384&gt;=90,10,IF(L384&gt;=80,5,0))))</f>
        <v/>
      </c>
      <c r="O384" s="32" t="inlineStr"/>
      <c r="P384" s="32" t="inlineStr"/>
      <c r="Q384" s="32" t="inlineStr"/>
      <c r="R384" s="31" t="inlineStr"/>
      <c r="S384" s="31" t="inlineStr"/>
      <c r="T384" s="32" t="inlineStr"/>
      <c r="U384" s="32" t="inlineStr"/>
      <c r="V384" s="32" t="inlineStr"/>
      <c r="W384" s="32" t="inlineStr"/>
      <c r="X384" s="31" t="n"/>
      <c r="Y384" s="31">
        <f>IF(X384="Growing Industry",10,IF(X384="Cyclical in an Upturn",5,0))</f>
        <v/>
      </c>
      <c r="Z384" s="31" t="n"/>
      <c r="AA384" s="31">
        <f>IF(Z384="Monopoly",10,IF(Z384="Oligopoly",5,IF(Z384="Duopoly that cooperate",10,IF(Z384="Duopoly that compete",5,IF(Z384="Too many players with High ROCE",5,0)))))</f>
        <v/>
      </c>
      <c r="AB384" s="31" t="n"/>
      <c r="AC384" s="31">
        <f>IF(AB384="No",5,0)</f>
        <v/>
      </c>
      <c r="AD384" s="31" t="n"/>
      <c r="AE384" s="31">
        <f>IF(AD384="Tailwind",10,0)</f>
        <v/>
      </c>
      <c r="AF384" s="31" t="n"/>
      <c r="AG384" s="31">
        <f>IF(AF384="Structural (10 Years Consistency)",10,IF(AF384="Shallow Cyclical (2 to 3 years growth)",5,0))</f>
        <v/>
      </c>
      <c r="AH384" s="31" t="n"/>
      <c r="AI384" s="31">
        <f>IF(AH384="Yes due to Product Mix change or Operating Leverage",10,IF(AH384="Yes, these are peak margins",-5,IF(AH384="No",5,0)))</f>
        <v/>
      </c>
      <c r="AJ384" s="31" t="n"/>
      <c r="AK384" s="31">
        <f>IF(AJ384="Stable",10,0)</f>
        <v/>
      </c>
      <c r="AL384" s="31" t="n"/>
      <c r="AM384" s="31">
        <f>IF(AL384="Yes",10,0)</f>
        <v/>
      </c>
      <c r="AN384" s="31" t="n"/>
      <c r="AO384" s="31">
        <f>IF(AN384="B2C",10,IF(AN384="B2B",5,0))</f>
        <v/>
      </c>
      <c r="AP384" s="31" t="n"/>
      <c r="AQ384" s="31">
        <f>IF(AP384="Yes",10,0)</f>
        <v/>
      </c>
      <c r="AR384" s="31" t="n"/>
      <c r="AS384" s="31">
        <f>IF(AR384="Fully Annuity",10,IF(AR384="Higher Annuity, Lower One Time",5,IF(AR384="Higher One Time, Lower Annuity",3,0)))</f>
        <v/>
      </c>
      <c r="AT384" s="31" t="n"/>
      <c r="AU384" s="31">
        <f>IF(AT384="Good",10,0)</f>
        <v/>
      </c>
      <c r="AV384" s="31" t="n"/>
      <c r="AW384" s="31">
        <f>IF(AV384="Yes for more than 2 years",10,IF(AV384="Yes only for next 1 to 2 years",5,0))</f>
        <v/>
      </c>
      <c r="AX384" s="31" t="n"/>
      <c r="AY384" s="31">
        <f>IF(AX384="Above 40",20,IF(AX384="20 to 40",10,IF(AX384="0 to 20",-5,0)))</f>
        <v/>
      </c>
      <c r="AZ384" s="31" t="n"/>
      <c r="BA384" s="31">
        <f>IF(AZ384="Between 50 to 75",10,IF(AZ384="Above 75",0,0))</f>
        <v/>
      </c>
      <c r="BB384" s="31" t="n"/>
      <c r="BC384" s="31">
        <f>IF(BB384="Stage 2",20,IF(BB384="Stage 1",0,IF(BB384="Stage 3",5,IF(BB384="Stage 4",-5,0))))</f>
        <v/>
      </c>
      <c r="BD384" s="31" t="n"/>
      <c r="BE384" s="31">
        <f>IF(BD384="Positive Trend",20,IF(BD384="Negative Trend",-10,0))</f>
        <v/>
      </c>
      <c r="BF384" s="31" t="n"/>
      <c r="BG384" s="31">
        <f>IF(BF384="Uptrend",10,IF(BF384="Sideways",5,0))</f>
        <v/>
      </c>
      <c r="BH384" s="31" t="n"/>
      <c r="BI384" s="31">
        <f>IF(BH384="Uptrend",10,IF(BH384="Sideways",5,0))</f>
        <v/>
      </c>
      <c r="BJ384" s="31" t="n"/>
      <c r="BK384" s="31">
        <f>IF(BJ384="Overhead supply in last 2 years in last 2 years",-5,IF(BJ384="Close to 52 week high or retracement",5,IF(BJ384="Blue sky scenario",10,IF(BJ384="Long term Downtrend",-10,0))))</f>
        <v/>
      </c>
      <c r="BL384" s="31" t="n"/>
      <c r="BM384" s="31">
        <f>IF(BL384="Yes",10,0)</f>
        <v/>
      </c>
      <c r="BN384" s="31" t="n"/>
      <c r="BO384" s="31">
        <f>IF(BN384="More than 20%",10,IF(BN384="Between 12 to 20%",5,IF(BN384="Less than 12%",0,0)))</f>
        <v/>
      </c>
      <c r="BP384" s="31" t="n"/>
      <c r="BQ384" s="31">
        <f>IF(BP384="No",10,0)</f>
        <v/>
      </c>
      <c r="BR384" s="31" t="n"/>
      <c r="BS384" s="31">
        <f>IF(BR384="NO",5,0)</f>
        <v/>
      </c>
      <c r="BT384" s="31" t="n"/>
      <c r="BU384" s="31">
        <f>IF(BT384="Above 2",0,IF(BT384="Between 1.5 to 2",5,IF(BT384="Less than 1.5",10,0)))</f>
        <v/>
      </c>
      <c r="BV384" s="31" t="n"/>
      <c r="BW384" s="31">
        <f>IF(BV384="Above 70%",10,IF(BV384="Between 50% to 70%",5,IF(BV384="Less than 50%",0,IF(BV384="Negative",-10,IF(BV384="Less than 50% and Borrowings are increasing",-5,0)))))</f>
        <v/>
      </c>
      <c r="BX384" s="31" t="n"/>
      <c r="BY384" s="31">
        <f>IF(BX384="More than 1.2",-10,IF(BX384="Between 0.7 to 1.2",0,IF(BX384="Less than 0.7",10,0)))</f>
        <v/>
      </c>
      <c r="BZ384" s="31" t="n"/>
      <c r="CA384" s="31">
        <f>IF(BZ384="Yes",-10,0)</f>
        <v/>
      </c>
      <c r="CB384" s="31" t="n"/>
      <c r="CC384" s="31">
        <f>IF(CB384="More than 15%",-10,IF(CB384="Less than 15%",10,0))</f>
        <v/>
      </c>
      <c r="CD384" s="31" t="n"/>
      <c r="CE384" s="31">
        <f>IF(CD384="Yes, more than 10%",-10,IF(CD384="No",10,0))</f>
        <v/>
      </c>
    </row>
    <row r="385">
      <c r="A385" s="31">
        <f>IF(B385=0,"",RANK(B385,$B$2:$B$389,0))</f>
        <v/>
      </c>
      <c r="B385" s="32">
        <f>SUM(N385,Y385,AA385,AC385,AE385,AG385,AI385,AK385,AM385,AO385,AQ385,AS385,AU385,AW385,AY385,BA385,BC385,BE385,BG385,BI385,BK385,BM385,BO385,BQ385,BS385,BU385,BW385,BY385,CA385,CC385,CE385)</f>
        <v/>
      </c>
      <c r="C385" s="31" t="inlineStr">
        <is>
          <t>PVRINOX</t>
        </is>
      </c>
      <c r="D385" s="31" t="inlineStr">
        <is>
          <t>PVR Inox Ltd</t>
        </is>
      </c>
      <c r="E385" s="31" t="inlineStr">
        <is>
          <t>media</t>
        </is>
      </c>
      <c r="F385" s="31" t="inlineStr">
        <is>
          <t>entertainment / electronic media software</t>
        </is>
      </c>
      <c r="G385" s="31" t="inlineStr">
        <is>
          <t>midcap</t>
        </is>
      </c>
      <c r="H385" s="32" t="n">
        <v>11948.97</v>
      </c>
      <c r="I385" s="32" t="n">
        <v>1245</v>
      </c>
      <c r="J385" s="32" t="n">
        <v>2.32</v>
      </c>
      <c r="K385" s="32" t="n">
        <v>1281972</v>
      </c>
      <c r="L385" s="31" t="inlineStr"/>
      <c r="M385" s="31" t="inlineStr"/>
      <c r="N385" s="32">
        <f>IF(M385="Underperforming",-5,IF(L385&gt;=95,15,IF(L385&gt;=90,10,IF(L385&gt;=80,5,0))))</f>
        <v/>
      </c>
      <c r="O385" s="32" t="inlineStr"/>
      <c r="P385" s="32" t="inlineStr"/>
      <c r="Q385" s="32" t="inlineStr"/>
      <c r="R385" s="31" t="inlineStr"/>
      <c r="S385" s="31" t="inlineStr"/>
      <c r="T385" s="32" t="inlineStr"/>
      <c r="U385" s="32" t="inlineStr"/>
      <c r="V385" s="32" t="inlineStr"/>
      <c r="W385" s="32" t="inlineStr"/>
      <c r="X385" s="31" t="n"/>
      <c r="Y385" s="31">
        <f>IF(X385="Growing Industry",10,IF(X385="Cyclical in an Upturn",5,0))</f>
        <v/>
      </c>
      <c r="Z385" s="31" t="n"/>
      <c r="AA385" s="31">
        <f>IF(Z385="Monopoly",10,IF(Z385="Oligopoly",5,IF(Z385="Duopoly that cooperate",10,IF(Z385="Duopoly that compete",5,IF(Z385="Too many players with High ROCE",5,0)))))</f>
        <v/>
      </c>
      <c r="AB385" s="31" t="n"/>
      <c r="AC385" s="31">
        <f>IF(AB385="No",5,0)</f>
        <v/>
      </c>
      <c r="AD385" s="31" t="n"/>
      <c r="AE385" s="31">
        <f>IF(AD385="Tailwind",10,0)</f>
        <v/>
      </c>
      <c r="AF385" s="31" t="n"/>
      <c r="AG385" s="31">
        <f>IF(AF385="Structural (10 Years Consistency)",10,IF(AF385="Shallow Cyclical (2 to 3 years growth)",5,0))</f>
        <v/>
      </c>
      <c r="AH385" s="31" t="n"/>
      <c r="AI385" s="31">
        <f>IF(AH385="Yes due to Product Mix change or Operating Leverage",10,IF(AH385="Yes, these are peak margins",-5,IF(AH385="No",5,0)))</f>
        <v/>
      </c>
      <c r="AJ385" s="31" t="n"/>
      <c r="AK385" s="31">
        <f>IF(AJ385="Stable",10,0)</f>
        <v/>
      </c>
      <c r="AL385" s="31" t="n"/>
      <c r="AM385" s="31">
        <f>IF(AL385="Yes",10,0)</f>
        <v/>
      </c>
      <c r="AN385" s="31" t="n"/>
      <c r="AO385" s="31">
        <f>IF(AN385="B2C",10,IF(AN385="B2B",5,0))</f>
        <v/>
      </c>
      <c r="AP385" s="31" t="n"/>
      <c r="AQ385" s="31">
        <f>IF(AP385="Yes",10,0)</f>
        <v/>
      </c>
      <c r="AR385" s="31" t="n"/>
      <c r="AS385" s="31">
        <f>IF(AR385="Fully Annuity",10,IF(AR385="Higher Annuity, Lower One Time",5,IF(AR385="Higher One Time, Lower Annuity",3,0)))</f>
        <v/>
      </c>
      <c r="AT385" s="31" t="n"/>
      <c r="AU385" s="31">
        <f>IF(AT385="Good",10,0)</f>
        <v/>
      </c>
      <c r="AV385" s="31" t="n"/>
      <c r="AW385" s="31">
        <f>IF(AV385="Yes for more than 2 years",10,IF(AV385="Yes only for next 1 to 2 years",5,0))</f>
        <v/>
      </c>
      <c r="AX385" s="31" t="n"/>
      <c r="AY385" s="31">
        <f>IF(AX385="Above 40",20,IF(AX385="20 to 40",10,IF(AX385="0 to 20",-5,0)))</f>
        <v/>
      </c>
      <c r="AZ385" s="31" t="n"/>
      <c r="BA385" s="31">
        <f>IF(AZ385="Between 50 to 75",10,IF(AZ385="Above 75",0,0))</f>
        <v/>
      </c>
      <c r="BB385" s="31" t="n"/>
      <c r="BC385" s="31">
        <f>IF(BB385="Stage 2",20,IF(BB385="Stage 1",0,IF(BB385="Stage 3",5,IF(BB385="Stage 4",-5,0))))</f>
        <v/>
      </c>
      <c r="BD385" s="31" t="n"/>
      <c r="BE385" s="31">
        <f>IF(BD385="Positive Trend",20,IF(BD385="Negative Trend",-10,0))</f>
        <v/>
      </c>
      <c r="BF385" s="31" t="n"/>
      <c r="BG385" s="31">
        <f>IF(BF385="Uptrend",10,IF(BF385="Sideways",5,0))</f>
        <v/>
      </c>
      <c r="BH385" s="31" t="n"/>
      <c r="BI385" s="31">
        <f>IF(BH385="Uptrend",10,IF(BH385="Sideways",5,0))</f>
        <v/>
      </c>
      <c r="BJ385" s="31" t="n"/>
      <c r="BK385" s="31">
        <f>IF(BJ385="Overhead supply in last 2 years in last 2 years",-5,IF(BJ385="Close to 52 week high or retracement",5,IF(BJ385="Blue sky scenario",10,IF(BJ385="Long term Downtrend",-10,0))))</f>
        <v/>
      </c>
      <c r="BL385" s="31" t="n"/>
      <c r="BM385" s="31">
        <f>IF(BL385="Yes",10,0)</f>
        <v/>
      </c>
      <c r="BN385" s="31" t="n"/>
      <c r="BO385" s="31">
        <f>IF(BN385="More than 20%",10,IF(BN385="Between 12 to 20%",5,IF(BN385="Less than 12%",0,0)))</f>
        <v/>
      </c>
      <c r="BP385" s="31" t="n"/>
      <c r="BQ385" s="31">
        <f>IF(BP385="No",10,0)</f>
        <v/>
      </c>
      <c r="BR385" s="31" t="n"/>
      <c r="BS385" s="31">
        <f>IF(BR385="NO",5,0)</f>
        <v/>
      </c>
      <c r="BT385" s="31" t="n"/>
      <c r="BU385" s="31">
        <f>IF(BT385="Above 2",0,IF(BT385="Between 1.5 to 2",5,IF(BT385="Less than 1.5",10,0)))</f>
        <v/>
      </c>
      <c r="BV385" s="31" t="n"/>
      <c r="BW385" s="31">
        <f>IF(BV385="Above 70%",10,IF(BV385="Between 50% to 70%",5,IF(BV385="Less than 50%",0,IF(BV385="Negative",-10,IF(BV385="Less than 50% and Borrowings are increasing",-5,0)))))</f>
        <v/>
      </c>
      <c r="BX385" s="31" t="n"/>
      <c r="BY385" s="31">
        <f>IF(BX385="More than 1.2",-10,IF(BX385="Between 0.7 to 1.2",0,IF(BX385="Less than 0.7",10,0)))</f>
        <v/>
      </c>
      <c r="BZ385" s="31" t="n"/>
      <c r="CA385" s="31">
        <f>IF(BZ385="Yes",-10,0)</f>
        <v/>
      </c>
      <c r="CB385" s="31" t="n"/>
      <c r="CC385" s="31">
        <f>IF(CB385="More than 15%",-10,IF(CB385="Less than 15%",10,0))</f>
        <v/>
      </c>
      <c r="CD385" s="31" t="n"/>
      <c r="CE385" s="31">
        <f>IF(CD385="Yes, more than 10%",-10,IF(CD385="No",10,0))</f>
        <v/>
      </c>
    </row>
    <row r="386">
      <c r="A386" s="31">
        <f>IF(B386=0,"",RANK(B386,$B$2:$B$389,0))</f>
        <v/>
      </c>
      <c r="B386" s="32">
        <f>SUM(N386,Y386,AA386,AC386,AE386,AG386,AI386,AK386,AM386,AO386,AQ386,AS386,AU386,AW386,AY386,BA386,BC386,BE386,BG386,BI386,BK386,BM386,BO386,BQ386,BS386,BU386,BW386,BY386,CA386,CC386,CE386)</f>
        <v/>
      </c>
      <c r="C386" s="31" t="inlineStr">
        <is>
          <t>MANAKSTEEL</t>
        </is>
      </c>
      <c r="D386" s="31" t="inlineStr">
        <is>
          <t>Manaksia Steels Limited</t>
        </is>
      </c>
      <c r="E386" s="31" t="inlineStr">
        <is>
          <t>metals &amp; mining</t>
        </is>
      </c>
      <c r="F386" s="31" t="inlineStr">
        <is>
          <t>steel - medium / small</t>
        </is>
      </c>
      <c r="G386" s="31" t="inlineStr">
        <is>
          <t>smallcap</t>
        </is>
      </c>
      <c r="H386" s="32" t="n">
        <v>560.05</v>
      </c>
      <c r="I386" s="32" t="n">
        <v>87</v>
      </c>
      <c r="J386" s="32" t="n">
        <v>1.8</v>
      </c>
      <c r="K386" s="32" t="n">
        <v>66534</v>
      </c>
      <c r="L386" s="31" t="inlineStr"/>
      <c r="M386" s="31" t="inlineStr"/>
      <c r="N386" s="32">
        <f>IF(M386="Underperforming",-5,IF(L386&gt;=95,15,IF(L386&gt;=90,10,IF(L386&gt;=80,5,0))))</f>
        <v/>
      </c>
      <c r="O386" s="32" t="inlineStr"/>
      <c r="P386" s="32" t="inlineStr"/>
      <c r="Q386" s="32" t="inlineStr"/>
      <c r="R386" s="31" t="inlineStr"/>
      <c r="S386" s="31" t="inlineStr"/>
      <c r="T386" s="32" t="inlineStr"/>
      <c r="U386" s="32" t="inlineStr"/>
      <c r="V386" s="32" t="inlineStr"/>
      <c r="W386" s="32" t="inlineStr"/>
      <c r="X386" s="31" t="n"/>
      <c r="Y386" s="31">
        <f>IF(X386="Growing Industry",10,IF(X386="Cyclical in an Upturn",5,0))</f>
        <v/>
      </c>
      <c r="Z386" s="31" t="n"/>
      <c r="AA386" s="31">
        <f>IF(Z386="Monopoly",10,IF(Z386="Oligopoly",5,IF(Z386="Duopoly that cooperate",10,IF(Z386="Duopoly that compete",5,IF(Z386="Too many players with High ROCE",5,0)))))</f>
        <v/>
      </c>
      <c r="AB386" s="31" t="n"/>
      <c r="AC386" s="31">
        <f>IF(AB386="No",5,0)</f>
        <v/>
      </c>
      <c r="AD386" s="31" t="n"/>
      <c r="AE386" s="31">
        <f>IF(AD386="Tailwind",10,0)</f>
        <v/>
      </c>
      <c r="AF386" s="31" t="n"/>
      <c r="AG386" s="31">
        <f>IF(AF386="Structural (10 Years Consistency)",10,IF(AF386="Shallow Cyclical (2 to 3 years growth)",5,0))</f>
        <v/>
      </c>
      <c r="AH386" s="31" t="n"/>
      <c r="AI386" s="31">
        <f>IF(AH386="Yes due to Product Mix change or Operating Leverage",10,IF(AH386="Yes, these are peak margins",-5,IF(AH386="No",5,0)))</f>
        <v/>
      </c>
      <c r="AJ386" s="31" t="n"/>
      <c r="AK386" s="31">
        <f>IF(AJ386="Stable",10,0)</f>
        <v/>
      </c>
      <c r="AL386" s="31" t="n"/>
      <c r="AM386" s="31">
        <f>IF(AL386="Yes",10,0)</f>
        <v/>
      </c>
      <c r="AN386" s="31" t="n"/>
      <c r="AO386" s="31">
        <f>IF(AN386="B2C",10,IF(AN386="B2B",5,0))</f>
        <v/>
      </c>
      <c r="AP386" s="31" t="n"/>
      <c r="AQ386" s="31">
        <f>IF(AP386="Yes",10,0)</f>
        <v/>
      </c>
      <c r="AR386" s="31" t="n"/>
      <c r="AS386" s="31">
        <f>IF(AR386="Fully Annuity",10,IF(AR386="Higher Annuity, Lower One Time",5,IF(AR386="Higher One Time, Lower Annuity",3,0)))</f>
        <v/>
      </c>
      <c r="AT386" s="31" t="n"/>
      <c r="AU386" s="31">
        <f>IF(AT386="Good",10,0)</f>
        <v/>
      </c>
      <c r="AV386" s="31" t="n"/>
      <c r="AW386" s="31">
        <f>IF(AV386="Yes for more than 2 years",10,IF(AV386="Yes only for next 1 to 2 years",5,0))</f>
        <v/>
      </c>
      <c r="AX386" s="31" t="n"/>
      <c r="AY386" s="31">
        <f>IF(AX386="Above 40",20,IF(AX386="20 to 40",10,IF(AX386="0 to 20",-5,0)))</f>
        <v/>
      </c>
      <c r="AZ386" s="31" t="n"/>
      <c r="BA386" s="31">
        <f>IF(AZ386="Between 50 to 75",10,IF(AZ386="Above 75",0,0))</f>
        <v/>
      </c>
      <c r="BB386" s="31" t="n"/>
      <c r="BC386" s="31">
        <f>IF(BB386="Stage 2",20,IF(BB386="Stage 1",0,IF(BB386="Stage 3",5,IF(BB386="Stage 4",-5,0))))</f>
        <v/>
      </c>
      <c r="BD386" s="31" t="n"/>
      <c r="BE386" s="31">
        <f>IF(BD386="Positive Trend",20,IF(BD386="Negative Trend",-10,0))</f>
        <v/>
      </c>
      <c r="BF386" s="31" t="n"/>
      <c r="BG386" s="31">
        <f>IF(BF386="Uptrend",10,IF(BF386="Sideways",5,0))</f>
        <v/>
      </c>
      <c r="BH386" s="31" t="n"/>
      <c r="BI386" s="31">
        <f>IF(BH386="Uptrend",10,IF(BH386="Sideways",5,0))</f>
        <v/>
      </c>
      <c r="BJ386" s="31" t="n"/>
      <c r="BK386" s="31">
        <f>IF(BJ386="Overhead supply in last 2 years in last 2 years",-5,IF(BJ386="Close to 52 week high or retracement",5,IF(BJ386="Blue sky scenario",10,IF(BJ386="Long term Downtrend",-10,0))))</f>
        <v/>
      </c>
      <c r="BL386" s="31" t="n"/>
      <c r="BM386" s="31">
        <f>IF(BL386="Yes",10,0)</f>
        <v/>
      </c>
      <c r="BN386" s="31" t="n"/>
      <c r="BO386" s="31">
        <f>IF(BN386="More than 20%",10,IF(BN386="Between 12 to 20%",5,IF(BN386="Less than 12%",0,0)))</f>
        <v/>
      </c>
      <c r="BP386" s="31" t="n"/>
      <c r="BQ386" s="31">
        <f>IF(BP386="No",10,0)</f>
        <v/>
      </c>
      <c r="BR386" s="31" t="n"/>
      <c r="BS386" s="31">
        <f>IF(BR386="NO",5,0)</f>
        <v/>
      </c>
      <c r="BT386" s="31" t="n"/>
      <c r="BU386" s="31">
        <f>IF(BT386="Above 2",0,IF(BT386="Between 1.5 to 2",5,IF(BT386="Less than 1.5",10,0)))</f>
        <v/>
      </c>
      <c r="BV386" s="31" t="n"/>
      <c r="BW386" s="31">
        <f>IF(BV386="Above 70%",10,IF(BV386="Between 50% to 70%",5,IF(BV386="Less than 50%",0,IF(BV386="Negative",-10,IF(BV386="Less than 50% and Borrowings are increasing",-5,0)))))</f>
        <v/>
      </c>
      <c r="BX386" s="31" t="n"/>
      <c r="BY386" s="31">
        <f>IF(BX386="More than 1.2",-10,IF(BX386="Between 0.7 to 1.2",0,IF(BX386="Less than 0.7",10,0)))</f>
        <v/>
      </c>
      <c r="BZ386" s="31" t="n"/>
      <c r="CA386" s="31">
        <f>IF(BZ386="Yes",-10,0)</f>
        <v/>
      </c>
      <c r="CB386" s="31" t="n"/>
      <c r="CC386" s="31">
        <f>IF(CB386="More than 15%",-10,IF(CB386="Less than 15%",10,0))</f>
        <v/>
      </c>
      <c r="CD386" s="31" t="n"/>
      <c r="CE386" s="31">
        <f>IF(CD386="Yes, more than 10%",-10,IF(CD386="No",10,0))</f>
        <v/>
      </c>
    </row>
    <row r="387">
      <c r="A387" s="31">
        <f>IF(B387=0,"",RANK(B387,$B$2:$B$389,0))</f>
        <v/>
      </c>
      <c r="B387" s="32">
        <f>SUM(N387,Y387,AA387,AC387,AE387,AG387,AI387,AK387,AM387,AO387,AQ387,AS387,AU387,AW387,AY387,BA387,BC387,BE387,BG387,BI387,BK387,BM387,BO387,BQ387,BS387,BU387,BW387,BY387,CA387,CC387,CE387)</f>
        <v/>
      </c>
      <c r="C387" s="31" t="inlineStr">
        <is>
          <t>TVSSRICHAK</t>
        </is>
      </c>
      <c r="D387" s="31" t="inlineStr">
        <is>
          <t>Tvs Srichakra Limited</t>
        </is>
      </c>
      <c r="E387" s="31" t="inlineStr">
        <is>
          <t>auto</t>
        </is>
      </c>
      <c r="F387" s="31" t="inlineStr">
        <is>
          <t>tyres</t>
        </is>
      </c>
      <c r="G387" s="31" t="inlineStr">
        <is>
          <t>smallcap</t>
        </is>
      </c>
      <c r="H387" s="32" t="n">
        <v>3735.95</v>
      </c>
      <c r="I387" s="32" t="n">
        <v>4934.5</v>
      </c>
      <c r="J387" s="32" t="n">
        <v>1.14</v>
      </c>
      <c r="K387" s="32" t="n">
        <v>22134</v>
      </c>
      <c r="L387" s="31" t="inlineStr"/>
      <c r="M387" s="31" t="inlineStr"/>
      <c r="N387" s="32">
        <f>IF(M387="Underperforming",-5,IF(L387&gt;=95,15,IF(L387&gt;=90,10,IF(L387&gt;=80,5,0))))</f>
        <v/>
      </c>
      <c r="O387" s="32" t="inlineStr"/>
      <c r="P387" s="32" t="inlineStr"/>
      <c r="Q387" s="32" t="inlineStr"/>
      <c r="R387" s="31" t="inlineStr"/>
      <c r="S387" s="31" t="inlineStr"/>
      <c r="T387" s="32" t="inlineStr"/>
      <c r="U387" s="32" t="inlineStr"/>
      <c r="V387" s="32" t="inlineStr"/>
      <c r="W387" s="32" t="inlineStr"/>
      <c r="X387" s="31" t="n"/>
      <c r="Y387" s="31">
        <f>IF(X387="Growing Industry",10,IF(X387="Cyclical in an Upturn",5,0))</f>
        <v/>
      </c>
      <c r="Z387" s="31" t="n"/>
      <c r="AA387" s="31">
        <f>IF(Z387="Monopoly",10,IF(Z387="Oligopoly",5,IF(Z387="Duopoly that cooperate",10,IF(Z387="Duopoly that compete",5,IF(Z387="Too many players with High ROCE",5,0)))))</f>
        <v/>
      </c>
      <c r="AB387" s="31" t="n"/>
      <c r="AC387" s="31">
        <f>IF(AB387="No",5,0)</f>
        <v/>
      </c>
      <c r="AD387" s="31" t="n"/>
      <c r="AE387" s="31">
        <f>IF(AD387="Tailwind",10,0)</f>
        <v/>
      </c>
      <c r="AF387" s="31" t="n"/>
      <c r="AG387" s="31">
        <f>IF(AF387="Structural (10 Years Consistency)",10,IF(AF387="Shallow Cyclical (2 to 3 years growth)",5,0))</f>
        <v/>
      </c>
      <c r="AH387" s="31" t="n"/>
      <c r="AI387" s="31">
        <f>IF(AH387="Yes due to Product Mix change or Operating Leverage",10,IF(AH387="Yes, these are peak margins",-5,IF(AH387="No",5,0)))</f>
        <v/>
      </c>
      <c r="AJ387" s="31" t="n"/>
      <c r="AK387" s="31">
        <f>IF(AJ387="Stable",10,0)</f>
        <v/>
      </c>
      <c r="AL387" s="31" t="n"/>
      <c r="AM387" s="31">
        <f>IF(AL387="Yes",10,0)</f>
        <v/>
      </c>
      <c r="AN387" s="31" t="n"/>
      <c r="AO387" s="31">
        <f>IF(AN387="B2C",10,IF(AN387="B2B",5,0))</f>
        <v/>
      </c>
      <c r="AP387" s="31" t="n"/>
      <c r="AQ387" s="31">
        <f>IF(AP387="Yes",10,0)</f>
        <v/>
      </c>
      <c r="AR387" s="31" t="n"/>
      <c r="AS387" s="31">
        <f>IF(AR387="Fully Annuity",10,IF(AR387="Higher Annuity, Lower One Time",5,IF(AR387="Higher One Time, Lower Annuity",3,0)))</f>
        <v/>
      </c>
      <c r="AT387" s="31" t="n"/>
      <c r="AU387" s="31">
        <f>IF(AT387="Good",10,0)</f>
        <v/>
      </c>
      <c r="AV387" s="31" t="n"/>
      <c r="AW387" s="31">
        <f>IF(AV387="Yes for more than 2 years",10,IF(AV387="Yes only for next 1 to 2 years",5,0))</f>
        <v/>
      </c>
      <c r="AX387" s="31" t="n"/>
      <c r="AY387" s="31">
        <f>IF(AX387="Above 40",20,IF(AX387="20 to 40",10,IF(AX387="0 to 20",-5,0)))</f>
        <v/>
      </c>
      <c r="AZ387" s="31" t="n"/>
      <c r="BA387" s="31">
        <f>IF(AZ387="Between 50 to 75",10,IF(AZ387="Above 75",0,0))</f>
        <v/>
      </c>
      <c r="BB387" s="31" t="n"/>
      <c r="BC387" s="31">
        <f>IF(BB387="Stage 2",20,IF(BB387="Stage 1",0,IF(BB387="Stage 3",5,IF(BB387="Stage 4",-5,0))))</f>
        <v/>
      </c>
      <c r="BD387" s="31" t="n"/>
      <c r="BE387" s="31">
        <f>IF(BD387="Positive Trend",20,IF(BD387="Negative Trend",-10,0))</f>
        <v/>
      </c>
      <c r="BF387" s="31" t="n"/>
      <c r="BG387" s="31">
        <f>IF(BF387="Uptrend",10,IF(BF387="Sideways",5,0))</f>
        <v/>
      </c>
      <c r="BH387" s="31" t="n"/>
      <c r="BI387" s="31">
        <f>IF(BH387="Uptrend",10,IF(BH387="Sideways",5,0))</f>
        <v/>
      </c>
      <c r="BJ387" s="31" t="n"/>
      <c r="BK387" s="31">
        <f>IF(BJ387="Overhead supply in last 2 years in last 2 years",-5,IF(BJ387="Close to 52 week high or retracement",5,IF(BJ387="Blue sky scenario",10,IF(BJ387="Long term Downtrend",-10,0))))</f>
        <v/>
      </c>
      <c r="BL387" s="31" t="n"/>
      <c r="BM387" s="31">
        <f>IF(BL387="Yes",10,0)</f>
        <v/>
      </c>
      <c r="BN387" s="31" t="n"/>
      <c r="BO387" s="31">
        <f>IF(BN387="More than 20%",10,IF(BN387="Between 12 to 20%",5,IF(BN387="Less than 12%",0,0)))</f>
        <v/>
      </c>
      <c r="BP387" s="31" t="n"/>
      <c r="BQ387" s="31">
        <f>IF(BP387="No",10,0)</f>
        <v/>
      </c>
      <c r="BR387" s="31" t="n"/>
      <c r="BS387" s="31">
        <f>IF(BR387="NO",5,0)</f>
        <v/>
      </c>
      <c r="BT387" s="31" t="n"/>
      <c r="BU387" s="31">
        <f>IF(BT387="Above 2",0,IF(BT387="Between 1.5 to 2",5,IF(BT387="Less than 1.5",10,0)))</f>
        <v/>
      </c>
      <c r="BV387" s="31" t="n"/>
      <c r="BW387" s="31">
        <f>IF(BV387="Above 70%",10,IF(BV387="Between 50% to 70%",5,IF(BV387="Less than 50%",0,IF(BV387="Negative",-10,IF(BV387="Less than 50% and Borrowings are increasing",-5,0)))))</f>
        <v/>
      </c>
      <c r="BX387" s="31" t="n"/>
      <c r="BY387" s="31">
        <f>IF(BX387="More than 1.2",-10,IF(BX387="Between 0.7 to 1.2",0,IF(BX387="Less than 0.7",10,0)))</f>
        <v/>
      </c>
      <c r="BZ387" s="31" t="n"/>
      <c r="CA387" s="31">
        <f>IF(BZ387="Yes",-10,0)</f>
        <v/>
      </c>
      <c r="CB387" s="31" t="n"/>
      <c r="CC387" s="31">
        <f>IF(CB387="More than 15%",-10,IF(CB387="Less than 15%",10,0))</f>
        <v/>
      </c>
      <c r="CD387" s="31" t="n"/>
      <c r="CE387" s="31">
        <f>IF(CD387="Yes, more than 10%",-10,IF(CD387="No",10,0))</f>
        <v/>
      </c>
    </row>
    <row r="388">
      <c r="A388" s="31">
        <f>IF(B388=0,"",RANK(B388,$B$2:$B$389,0))</f>
        <v/>
      </c>
      <c r="B388" s="32">
        <f>SUM(N388,Y388,AA388,AC388,AE388,AG388,AI388,AK388,AM388,AO388,AQ388,AS388,AU388,AW388,AY388,BA388,BC388,BE388,BG388,BI388,BK388,BM388,BO388,BQ388,BS388,BU388,BW388,BY388,CA388,CC388,CE388)</f>
        <v/>
      </c>
      <c r="C388" s="31" t="inlineStr">
        <is>
          <t>POLYPLEX</t>
        </is>
      </c>
      <c r="D388" s="31" t="inlineStr">
        <is>
          <t>Polyplex Corporation Limited</t>
        </is>
      </c>
      <c r="E388" s="31" t="inlineStr">
        <is>
          <t>industrials</t>
        </is>
      </c>
      <c r="F388" s="31" t="inlineStr">
        <is>
          <t>packaging</t>
        </is>
      </c>
      <c r="G388" s="31" t="inlineStr">
        <is>
          <t>smallcap</t>
        </is>
      </c>
      <c r="H388" s="32" t="n">
        <v>3748.57</v>
      </c>
      <c r="I388" s="32" t="n">
        <v>1170</v>
      </c>
      <c r="J388" s="32" t="n">
        <v>-2.02</v>
      </c>
      <c r="K388" s="32" t="n">
        <v>55104</v>
      </c>
      <c r="L388" s="31" t="inlineStr"/>
      <c r="M388" s="31" t="inlineStr"/>
      <c r="N388" s="32">
        <f>IF(M388="Underperforming",-5,IF(L388&gt;=95,15,IF(L388&gt;=90,10,IF(L388&gt;=80,5,0))))</f>
        <v/>
      </c>
      <c r="O388" s="32" t="inlineStr"/>
      <c r="P388" s="32" t="inlineStr"/>
      <c r="Q388" s="32" t="inlineStr"/>
      <c r="R388" s="31" t="inlineStr"/>
      <c r="S388" s="31" t="inlineStr"/>
      <c r="T388" s="32" t="inlineStr"/>
      <c r="U388" s="32" t="inlineStr"/>
      <c r="V388" s="32" t="inlineStr"/>
      <c r="W388" s="32" t="inlineStr"/>
      <c r="X388" s="31" t="n"/>
      <c r="Y388" s="31">
        <f>IF(X388="Growing Industry",10,IF(X388="Cyclical in an Upturn",5,0))</f>
        <v/>
      </c>
      <c r="Z388" s="31" t="n"/>
      <c r="AA388" s="31">
        <f>IF(Z388="Monopoly",10,IF(Z388="Oligopoly",5,IF(Z388="Duopoly that cooperate",10,IF(Z388="Duopoly that compete",5,IF(Z388="Too many players with High ROCE",5,0)))))</f>
        <v/>
      </c>
      <c r="AB388" s="31" t="n"/>
      <c r="AC388" s="31">
        <f>IF(AB388="No",5,0)</f>
        <v/>
      </c>
      <c r="AD388" s="31" t="n"/>
      <c r="AE388" s="31">
        <f>IF(AD388="Tailwind",10,0)</f>
        <v/>
      </c>
      <c r="AF388" s="31" t="n"/>
      <c r="AG388" s="31">
        <f>IF(AF388="Structural (10 Years Consistency)",10,IF(AF388="Shallow Cyclical (2 to 3 years growth)",5,0))</f>
        <v/>
      </c>
      <c r="AH388" s="31" t="n"/>
      <c r="AI388" s="31">
        <f>IF(AH388="Yes due to Product Mix change or Operating Leverage",10,IF(AH388="Yes, these are peak margins",-5,IF(AH388="No",5,0)))</f>
        <v/>
      </c>
      <c r="AJ388" s="31" t="n"/>
      <c r="AK388" s="31">
        <f>IF(AJ388="Stable",10,0)</f>
        <v/>
      </c>
      <c r="AL388" s="31" t="n"/>
      <c r="AM388" s="31">
        <f>IF(AL388="Yes",10,0)</f>
        <v/>
      </c>
      <c r="AN388" s="31" t="n"/>
      <c r="AO388" s="31">
        <f>IF(AN388="B2C",10,IF(AN388="B2B",5,0))</f>
        <v/>
      </c>
      <c r="AP388" s="31" t="n"/>
      <c r="AQ388" s="31">
        <f>IF(AP388="Yes",10,0)</f>
        <v/>
      </c>
      <c r="AR388" s="31" t="n"/>
      <c r="AS388" s="31">
        <f>IF(AR388="Fully Annuity",10,IF(AR388="Higher Annuity, Lower One Time",5,IF(AR388="Higher One Time, Lower Annuity",3,0)))</f>
        <v/>
      </c>
      <c r="AT388" s="31" t="n"/>
      <c r="AU388" s="31">
        <f>IF(AT388="Good",10,0)</f>
        <v/>
      </c>
      <c r="AV388" s="31" t="n"/>
      <c r="AW388" s="31">
        <f>IF(AV388="Yes for more than 2 years",10,IF(AV388="Yes only for next 1 to 2 years",5,0))</f>
        <v/>
      </c>
      <c r="AX388" s="31" t="n"/>
      <c r="AY388" s="31">
        <f>IF(AX388="Above 40",20,IF(AX388="20 to 40",10,IF(AX388="0 to 20",-5,0)))</f>
        <v/>
      </c>
      <c r="AZ388" s="31" t="n"/>
      <c r="BA388" s="31">
        <f>IF(AZ388="Between 50 to 75",10,IF(AZ388="Above 75",0,0))</f>
        <v/>
      </c>
      <c r="BB388" s="31" t="n"/>
      <c r="BC388" s="31">
        <f>IF(BB388="Stage 2",20,IF(BB388="Stage 1",0,IF(BB388="Stage 3",5,IF(BB388="Stage 4",-5,0))))</f>
        <v/>
      </c>
      <c r="BD388" s="31" t="n"/>
      <c r="BE388" s="31">
        <f>IF(BD388="Positive Trend",20,IF(BD388="Negative Trend",-10,0))</f>
        <v/>
      </c>
      <c r="BF388" s="31" t="n"/>
      <c r="BG388" s="31">
        <f>IF(BF388="Uptrend",10,IF(BF388="Sideways",5,0))</f>
        <v/>
      </c>
      <c r="BH388" s="31" t="n"/>
      <c r="BI388" s="31">
        <f>IF(BH388="Uptrend",10,IF(BH388="Sideways",5,0))</f>
        <v/>
      </c>
      <c r="BJ388" s="31" t="n"/>
      <c r="BK388" s="31">
        <f>IF(BJ388="Overhead supply in last 2 years in last 2 years",-5,IF(BJ388="Close to 52 week high or retracement",5,IF(BJ388="Blue sky scenario",10,IF(BJ388="Long term Downtrend",-10,0))))</f>
        <v/>
      </c>
      <c r="BL388" s="31" t="n"/>
      <c r="BM388" s="31">
        <f>IF(BL388="Yes",10,0)</f>
        <v/>
      </c>
      <c r="BN388" s="31" t="n"/>
      <c r="BO388" s="31">
        <f>IF(BN388="More than 20%",10,IF(BN388="Between 12 to 20%",5,IF(BN388="Less than 12%",0,0)))</f>
        <v/>
      </c>
      <c r="BP388" s="31" t="n"/>
      <c r="BQ388" s="31">
        <f>IF(BP388="No",10,0)</f>
        <v/>
      </c>
      <c r="BR388" s="31" t="n"/>
      <c r="BS388" s="31">
        <f>IF(BR388="NO",5,0)</f>
        <v/>
      </c>
      <c r="BT388" s="31" t="n"/>
      <c r="BU388" s="31">
        <f>IF(BT388="Above 2",0,IF(BT388="Between 1.5 to 2",5,IF(BT388="Less than 1.5",10,0)))</f>
        <v/>
      </c>
      <c r="BV388" s="31" t="n"/>
      <c r="BW388" s="31">
        <f>IF(BV388="Above 70%",10,IF(BV388="Between 50% to 70%",5,IF(BV388="Less than 50%",0,IF(BV388="Negative",-10,IF(BV388="Less than 50% and Borrowings are increasing",-5,0)))))</f>
        <v/>
      </c>
      <c r="BX388" s="31" t="n"/>
      <c r="BY388" s="31">
        <f>IF(BX388="More than 1.2",-10,IF(BX388="Between 0.7 to 1.2",0,IF(BX388="Less than 0.7",10,0)))</f>
        <v/>
      </c>
      <c r="BZ388" s="31" t="n"/>
      <c r="CA388" s="31">
        <f>IF(BZ388="Yes",-10,0)</f>
        <v/>
      </c>
      <c r="CB388" s="31" t="n"/>
      <c r="CC388" s="31">
        <f>IF(CB388="More than 15%",-10,IF(CB388="Less than 15%",10,0))</f>
        <v/>
      </c>
      <c r="CD388" s="31" t="n"/>
      <c r="CE388" s="31">
        <f>IF(CD388="Yes, more than 10%",-10,IF(CD388="No",10,0))</f>
        <v/>
      </c>
    </row>
    <row r="389">
      <c r="A389" s="31">
        <f>IF(B389=0,"",RANK(B389,$B$2:$B$389,0))</f>
        <v/>
      </c>
      <c r="B389" s="32">
        <f>SUM(N389,Y389,AA389,AC389,AE389,AG389,AI389,AK389,AM389,AO389,AQ389,AS389,AU389,AW389,AY389,BA389,BC389,BE389,BG389,BI389,BK389,BM389,BO389,BQ389,BS389,BU389,BW389,BY389,CA389,CC389,CE389)</f>
        <v/>
      </c>
      <c r="C389" s="31" t="inlineStr">
        <is>
          <t>MUNJALAU</t>
        </is>
      </c>
      <c r="D389" s="31" t="inlineStr">
        <is>
          <t>Munjal Auto Industries Limited</t>
        </is>
      </c>
      <c r="E389" s="31" t="inlineStr">
        <is>
          <t>auto</t>
        </is>
      </c>
      <c r="F389" s="31" t="inlineStr">
        <is>
          <t>auto ancillaries</t>
        </is>
      </c>
      <c r="G389" s="31" t="inlineStr">
        <is>
          <t>smallcap</t>
        </is>
      </c>
      <c r="H389" s="32" t="n">
        <v>1153.5</v>
      </c>
      <c r="I389" s="32" t="n">
        <v>112.14</v>
      </c>
      <c r="J389" s="32" t="n">
        <v>-2.78</v>
      </c>
      <c r="K389" s="32" t="n">
        <v>871131</v>
      </c>
      <c r="L389" s="31" t="inlineStr"/>
      <c r="M389" s="31" t="inlineStr"/>
      <c r="N389" s="32">
        <f>IF(M389="Underperforming",-5,IF(L389&gt;=95,15,IF(L389&gt;=90,10,IF(L389&gt;=80,5,0))))</f>
        <v/>
      </c>
      <c r="O389" s="32" t="inlineStr"/>
      <c r="P389" s="32" t="inlineStr"/>
      <c r="Q389" s="32" t="inlineStr"/>
      <c r="R389" s="31" t="inlineStr"/>
      <c r="S389" s="31" t="inlineStr"/>
      <c r="T389" s="32" t="inlineStr"/>
      <c r="U389" s="32" t="inlineStr"/>
      <c r="V389" s="32" t="inlineStr"/>
      <c r="W389" s="32" t="inlineStr"/>
      <c r="X389" s="31" t="n"/>
      <c r="Y389" s="31">
        <f>IF(X389="Growing Industry",10,IF(X389="Cyclical in an Upturn",5,0))</f>
        <v/>
      </c>
      <c r="Z389" s="31" t="n"/>
      <c r="AA389" s="31">
        <f>IF(Z389="Monopoly",10,IF(Z389="Oligopoly",5,IF(Z389="Duopoly that cooperate",10,IF(Z389="Duopoly that compete",5,IF(Z389="Too many players with High ROCE",5,0)))))</f>
        <v/>
      </c>
      <c r="AB389" s="31" t="n"/>
      <c r="AC389" s="31">
        <f>IF(AB389="No",5,0)</f>
        <v/>
      </c>
      <c r="AD389" s="31" t="n"/>
      <c r="AE389" s="31">
        <f>IF(AD389="Tailwind",10,0)</f>
        <v/>
      </c>
      <c r="AF389" s="31" t="n"/>
      <c r="AG389" s="31">
        <f>IF(AF389="Structural (10 Years Consistency)",10,IF(AF389="Shallow Cyclical (2 to 3 years growth)",5,0))</f>
        <v/>
      </c>
      <c r="AH389" s="31" t="n"/>
      <c r="AI389" s="31">
        <f>IF(AH389="Yes due to Product Mix change or Operating Leverage",10,IF(AH389="Yes, these are peak margins",-5,IF(AH389="No",5,0)))</f>
        <v/>
      </c>
      <c r="AJ389" s="31" t="n"/>
      <c r="AK389" s="31">
        <f>IF(AJ389="Stable",10,0)</f>
        <v/>
      </c>
      <c r="AL389" s="31" t="n"/>
      <c r="AM389" s="31">
        <f>IF(AL389="Yes",10,0)</f>
        <v/>
      </c>
      <c r="AN389" s="31" t="n"/>
      <c r="AO389" s="31">
        <f>IF(AN389="B2C",10,IF(AN389="B2B",5,0))</f>
        <v/>
      </c>
      <c r="AP389" s="31" t="n"/>
      <c r="AQ389" s="31">
        <f>IF(AP389="Yes",10,0)</f>
        <v/>
      </c>
      <c r="AR389" s="31" t="n"/>
      <c r="AS389" s="31">
        <f>IF(AR389="Fully Annuity",10,IF(AR389="Higher Annuity, Lower One Time",5,IF(AR389="Higher One Time, Lower Annuity",3,0)))</f>
        <v/>
      </c>
      <c r="AT389" s="31" t="n"/>
      <c r="AU389" s="31">
        <f>IF(AT389="Good",10,0)</f>
        <v/>
      </c>
      <c r="AV389" s="31" t="n"/>
      <c r="AW389" s="31">
        <f>IF(AV389="Yes for more than 2 years",10,IF(AV389="Yes only for next 1 to 2 years",5,0))</f>
        <v/>
      </c>
      <c r="AX389" s="31" t="n"/>
      <c r="AY389" s="31">
        <f>IF(AX389="Above 40",20,IF(AX389="20 to 40",10,IF(AX389="0 to 20",-5,0)))</f>
        <v/>
      </c>
      <c r="AZ389" s="31" t="n"/>
      <c r="BA389" s="31">
        <f>IF(AZ389="Between 50 to 75",10,IF(AZ389="Above 75",0,0))</f>
        <v/>
      </c>
      <c r="BB389" s="31" t="n"/>
      <c r="BC389" s="31">
        <f>IF(BB389="Stage 2",20,IF(BB389="Stage 1",0,IF(BB389="Stage 3",5,IF(BB389="Stage 4",-5,0))))</f>
        <v/>
      </c>
      <c r="BD389" s="31" t="n"/>
      <c r="BE389" s="31">
        <f>IF(BD389="Positive Trend",20,IF(BD389="Negative Trend",-10,0))</f>
        <v/>
      </c>
      <c r="BF389" s="31" t="n"/>
      <c r="BG389" s="31">
        <f>IF(BF389="Uptrend",10,IF(BF389="Sideways",5,0))</f>
        <v/>
      </c>
      <c r="BH389" s="31" t="n"/>
      <c r="BI389" s="31">
        <f>IF(BH389="Uptrend",10,IF(BH389="Sideways",5,0))</f>
        <v/>
      </c>
      <c r="BJ389" s="31" t="n"/>
      <c r="BK389" s="31">
        <f>IF(BJ389="Overhead supply in last 2 years in last 2 years",-5,IF(BJ389="Close to 52 week high or retracement",5,IF(BJ389="Blue sky scenario",10,IF(BJ389="Long term Downtrend",-10,0))))</f>
        <v/>
      </c>
      <c r="BL389" s="31" t="n"/>
      <c r="BM389" s="31">
        <f>IF(BL389="Yes",10,0)</f>
        <v/>
      </c>
      <c r="BN389" s="31" t="n"/>
      <c r="BO389" s="31">
        <f>IF(BN389="More than 20%",10,IF(BN389="Between 12 to 20%",5,IF(BN389="Less than 12%",0,0)))</f>
        <v/>
      </c>
      <c r="BP389" s="31" t="n"/>
      <c r="BQ389" s="31">
        <f>IF(BP389="No",10,0)</f>
        <v/>
      </c>
      <c r="BR389" s="31" t="n"/>
      <c r="BS389" s="31">
        <f>IF(BR389="NO",5,0)</f>
        <v/>
      </c>
      <c r="BT389" s="31" t="n"/>
      <c r="BU389" s="31">
        <f>IF(BT389="Above 2",0,IF(BT389="Between 1.5 to 2",5,IF(BT389="Less than 1.5",10,0)))</f>
        <v/>
      </c>
      <c r="BV389" s="31" t="n"/>
      <c r="BW389" s="31">
        <f>IF(BV389="Above 70%",10,IF(BV389="Between 50% to 70%",5,IF(BV389="Less than 50%",0,IF(BV389="Negative",-10,IF(BV389="Less than 50% and Borrowings are increasing",-5,0)))))</f>
        <v/>
      </c>
      <c r="BX389" s="31" t="n"/>
      <c r="BY389" s="31">
        <f>IF(BX389="More than 1.2",-10,IF(BX389="Between 0.7 to 1.2",0,IF(BX389="Less than 0.7",10,0)))</f>
        <v/>
      </c>
      <c r="BZ389" s="31" t="n"/>
      <c r="CA389" s="31">
        <f>IF(BZ389="Yes",-10,0)</f>
        <v/>
      </c>
      <c r="CB389" s="31" t="n"/>
      <c r="CC389" s="31">
        <f>IF(CB389="More than 15%",-10,IF(CB389="Less than 15%",10,0))</f>
        <v/>
      </c>
      <c r="CD389" s="31" t="n"/>
      <c r="CE389" s="31">
        <f>IF(CD389="Yes, more than 10%",-10,IF(CD389="No",10,0))</f>
        <v/>
      </c>
    </row>
  </sheetData>
  <autoFilter ref="A1:CE389"/>
  <conditionalFormatting sqref="B2:B38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8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8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8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8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8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8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8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8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8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8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8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8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8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8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8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8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8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8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8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8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8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8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8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8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8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8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8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8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8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8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89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89">
    <cfRule type="cellIs" priority="36" operator="equal" dxfId="3" stopIfTrue="1">
      <formula>"Underperforming"</formula>
    </cfRule>
  </conditionalFormatting>
  <conditionalFormatting sqref="N2:N389">
    <cfRule type="cellIs" priority="37" operator="equal" dxfId="3" stopIfTrue="1">
      <formula>-5</formula>
    </cfRule>
  </conditionalFormatting>
  <conditionalFormatting sqref="Q2:Q389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89" showDropDown="0" showInputMessage="0" showErrorMessage="0" allowBlank="1" type="list">
      <formula1>"Growing Industry,Stagnant Industry,Cyclical in an Upturn"</formula1>
    </dataValidation>
    <dataValidation sqref="Z2:Z38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89" showDropDown="0" showInputMessage="0" showErrorMessage="0" allowBlank="1" type="list">
      <formula1>"Yes,No"</formula1>
    </dataValidation>
    <dataValidation sqref="AD2:AD389" showDropDown="0" showInputMessage="0" showErrorMessage="0" allowBlank="1" type="list">
      <formula1>"Tailwind,Headwind"</formula1>
    </dataValidation>
    <dataValidation sqref="AF2:AF389" showDropDown="0" showInputMessage="0" showErrorMessage="0" allowBlank="1" type="list">
      <formula1>"Structural (10 Years Consistency),Shallow Cyclical (2 to 3 Years Growth),Cyclical"</formula1>
    </dataValidation>
    <dataValidation sqref="AH2:AH389" showDropDown="0" showInputMessage="0" showErrorMessage="0" allowBlank="1" type="list">
      <formula1>"Yes due to Product Mix change or Operating Leverage,Yes, these are peak margins,No"</formula1>
    </dataValidation>
    <dataValidation sqref="AJ2:AJ389" showDropDown="0" showInputMessage="0" showErrorMessage="0" allowBlank="1" type="list">
      <formula1>"Stable,Volatile"</formula1>
    </dataValidation>
    <dataValidation sqref="AL2:AL389" showDropDown="0" showInputMessage="0" showErrorMessage="0" allowBlank="1" type="list">
      <formula1>"Yes,No"</formula1>
    </dataValidation>
    <dataValidation sqref="AN2:AN389" showDropDown="0" showInputMessage="0" showErrorMessage="0" allowBlank="1" type="list">
      <formula1>"B2C,B2B,B2G"</formula1>
    </dataValidation>
    <dataValidation sqref="AP2:AP389" showDropDown="0" showInputMessage="0" showErrorMessage="0" allowBlank="1" type="list">
      <formula1>"Yes,No"</formula1>
    </dataValidation>
    <dataValidation sqref="AR2:AR389" showDropDown="0" showInputMessage="0" showErrorMessage="0" allowBlank="1" type="list">
      <formula1>"Fully Annuity,Higher Annuity, Lower One time,Higher One Time, Lower Annuity,Fully One Time"</formula1>
    </dataValidation>
    <dataValidation sqref="AT2:AT389" showDropDown="0" showInputMessage="0" showErrorMessage="0" allowBlank="1" type="list">
      <formula1>"Good,Allocated capital in Non-core Areas"</formula1>
    </dataValidation>
    <dataValidation sqref="AV2:AV389" showDropDown="0" showInputMessage="0" showErrorMessage="0" allowBlank="1" type="list">
      <formula1>"Yes for more than 2 years,Yes only for next 1 to 2 years,No"</formula1>
    </dataValidation>
    <dataValidation sqref="AX2:AX389" showDropDown="0" showInputMessage="0" showErrorMessage="0" allowBlank="1" type="list">
      <formula1>"Above 40,20 to 40,0 to 20"</formula1>
    </dataValidation>
    <dataValidation sqref="AZ2:AZ389" showDropDown="0" showInputMessage="0" showErrorMessage="0" allowBlank="1" type="list">
      <formula1>"Between 50 to 75,Above 75,Below 45"</formula1>
    </dataValidation>
    <dataValidation sqref="BB2:BB389" showDropDown="0" showInputMessage="0" showErrorMessage="0" allowBlank="1" type="list">
      <formula1>"Stage 1,Stage 2,Stage 3,Stage 4"</formula1>
    </dataValidation>
    <dataValidation sqref="BD2:BD389" showDropDown="0" showInputMessage="0" showErrorMessage="0" allowBlank="1" type="list">
      <formula1>"Positive Trend,Negative Trend"</formula1>
    </dataValidation>
    <dataValidation sqref="BF2:BF389" showDropDown="0" showInputMessage="0" showErrorMessage="0" allowBlank="1" type="list">
      <formula1>"Uptrend,Sideways,Downtrend"</formula1>
    </dataValidation>
    <dataValidation sqref="BH2:BH389" showDropDown="0" showInputMessage="0" showErrorMessage="0" allowBlank="1" type="list">
      <formula1>"Uptrend,Sideways,Downtrend"</formula1>
    </dataValidation>
    <dataValidation sqref="BJ2:BJ38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89" showDropDown="0" showInputMessage="0" showErrorMessage="0" allowBlank="1" type="list">
      <formula1>"Yes,No"</formula1>
    </dataValidation>
    <dataValidation sqref="BN2:BN389" showDropDown="0" showInputMessage="0" showErrorMessage="0" allowBlank="1" type="list">
      <formula1>"More than 20%,Between 12 to 20%,Less than 12%"</formula1>
    </dataValidation>
    <dataValidation sqref="BP2:BP389" showDropDown="0" showInputMessage="0" showErrorMessage="0" allowBlank="1" type="list">
      <formula1>"Yes,No"</formula1>
    </dataValidation>
    <dataValidation sqref="BR2:BR389" showDropDown="0" showInputMessage="0" showErrorMessage="0" allowBlank="1" type="list">
      <formula1>"Yes,No"</formula1>
    </dataValidation>
    <dataValidation sqref="BT2:BT389" showDropDown="0" showInputMessage="0" showErrorMessage="0" allowBlank="1" type="list">
      <formula1>"Above 2,Between 1.5 to 2,Less than 1.5"</formula1>
    </dataValidation>
    <dataValidation sqref="BV2:BV389" showDropDown="0" showInputMessage="0" showErrorMessage="0" allowBlank="1" type="list">
      <formula1>"Above 70%,Between 50% to 70%,Less than 50%,Less than 50% and Borrowings are increasing,Negative"</formula1>
    </dataValidation>
    <dataValidation sqref="BX2:BX389" showDropDown="0" showInputMessage="0" showErrorMessage="0" allowBlank="1" type="list">
      <formula1>"More than 1.2,Between 0.7 to 1.2,Less than 0.7"</formula1>
    </dataValidation>
    <dataValidation sqref="BZ2:BZ389" showDropDown="0" showInputMessage="0" showErrorMessage="0" allowBlank="1" type="list">
      <formula1>"Yes,No"</formula1>
    </dataValidation>
    <dataValidation sqref="CB2:CB389" showDropDown="0" showInputMessage="0" showErrorMessage="0" allowBlank="1" type="list">
      <formula1>"More than 15%,Less than 15%"</formula1>
    </dataValidation>
    <dataValidation sqref="CD2:CD38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4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IF(B2=0,"",RANK(B2,$B$2:$B$43,0))</f>
        <v/>
      </c>
      <c r="B2" s="32">
        <f>SUM(N2,Y2,AA2,AC2,AE2,AG2,AI2,AK2,AM2,AO2,AQ2,AS2,AU2,AW2,AY2,BA2,BC2,BE2,BG2,BI2,BK2,BM2,BO2,BQ2,BS2,BU2,BW2,BY2,CA2)</f>
        <v/>
      </c>
      <c r="C2" s="31" t="inlineStr">
        <is>
          <t>TMB</t>
        </is>
      </c>
      <c r="D2" s="31" t="inlineStr">
        <is>
          <t>Tamilnad Mercantile Bank Ltd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13911.97</v>
      </c>
      <c r="I2" s="32" t="n">
        <v>875.4</v>
      </c>
      <c r="J2" s="32" t="n">
        <v>-0.36</v>
      </c>
      <c r="K2" s="32" t="n">
        <v>177454</v>
      </c>
      <c r="L2" s="31" t="n">
        <v>80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70.78</v>
      </c>
      <c r="P2" s="32" t="n">
        <v>40.25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4.74</v>
      </c>
      <c r="U2" s="32" t="n">
        <v>109.08</v>
      </c>
      <c r="V2" s="32" t="n">
        <v>99.63</v>
      </c>
      <c r="W2" s="32" t="n">
        <v>23.15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No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IF(B3=0,"",RANK(B3,$B$2:$B$43,0))</f>
        <v/>
      </c>
      <c r="B3" s="32">
        <f>SUM(N3,Y3,AA3,AC3,AE3,AG3,AI3,AK3,AM3,AO3,AQ3,AS3,AU3,AW3,AY3,BA3,BC3,BE3,BG3,BI3,BK3,BM3,BO3,BQ3,BS3,BU3,BW3,BY3,CA3)</f>
        <v/>
      </c>
      <c r="C3" s="31" t="inlineStr">
        <is>
          <t>WELINV</t>
        </is>
      </c>
      <c r="D3" s="31" t="inlineStr">
        <is>
          <t>Welspun Investments And Commercials Limited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738.9400000000001</v>
      </c>
      <c r="I3" s="32" t="n">
        <v>2123.1</v>
      </c>
      <c r="J3" s="32" t="n">
        <v>5</v>
      </c>
      <c r="K3" s="32" t="n">
        <v>421</v>
      </c>
      <c r="L3" s="31" t="n">
        <v>72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76.90000000000001</v>
      </c>
      <c r="P3" s="32" t="n">
        <v>54.28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4.74</v>
      </c>
      <c r="U3" s="32" t="n">
        <v>119.85</v>
      </c>
      <c r="V3" s="32" t="n">
        <v>109.91</v>
      </c>
      <c r="W3" s="32" t="n">
        <v>19.64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IF(B4=0,"",RANK(B4,$B$2:$B$43,0))</f>
        <v/>
      </c>
      <c r="B4" s="32">
        <f>SUM(N4,Y4,AA4,AC4,AE4,AG4,AI4,AK4,AM4,AO4,AQ4,AS4,AU4,AW4,AY4,BA4,BC4,BE4,BG4,BI4,BK4,BM4,BO4,BQ4,BS4,BU4,BW4,BY4,CA4)</f>
        <v/>
      </c>
      <c r="C4" s="31" t="inlineStr">
        <is>
          <t>MANAPPURAM</t>
        </is>
      </c>
      <c r="D4" s="31" t="inlineStr">
        <is>
          <t>Manappuram Finance Limited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largecap</t>
        </is>
      </c>
      <c r="H4" s="32" t="n">
        <v>33581.27</v>
      </c>
      <c r="I4" s="32" t="n">
        <v>365.05</v>
      </c>
      <c r="J4" s="32" t="n">
        <v>2.11</v>
      </c>
      <c r="K4" s="32" t="n">
        <v>10480176</v>
      </c>
      <c r="L4" s="31" t="n">
        <v>38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62.41</v>
      </c>
      <c r="P4" s="32" t="n">
        <v>20.02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4.74</v>
      </c>
      <c r="U4" s="32" t="n">
        <v>35.09</v>
      </c>
      <c r="V4" s="32" t="n">
        <v>28.98</v>
      </c>
      <c r="W4" s="32" t="n">
        <v>8.4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IF(B5=0,"",RANK(B5,$B$2:$B$43,0))</f>
        <v/>
      </c>
      <c r="B5" s="32">
        <f>SUM(N5,Y5,AA5,AC5,AE5,AG5,AI5,AK5,AM5,AO5,AQ5,AS5,AU5,AW5,AY5,BA5,BC5,BE5,BG5,BI5,BK5,BM5,BO5,BQ5,BS5,BU5,BW5,BY5,CA5)</f>
        <v/>
      </c>
      <c r="C5" s="31" t="inlineStr">
        <is>
          <t>KTKBANK</t>
        </is>
      </c>
      <c r="D5" s="31" t="inlineStr">
        <is>
          <t>The Karnataka Bank Limited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midcap</t>
        </is>
      </c>
      <c r="H5" s="32" t="n">
        <v>12416.42</v>
      </c>
      <c r="I5" s="32" t="n">
        <v>333.25</v>
      </c>
      <c r="J5" s="32" t="n">
        <v>1.51</v>
      </c>
      <c r="K5" s="32" t="n">
        <v>2850485</v>
      </c>
      <c r="L5" s="31" t="n">
        <v>72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78.18000000000001</v>
      </c>
      <c r="P5" s="32" t="n">
        <v>48.05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4.74</v>
      </c>
      <c r="U5" s="32" t="n">
        <v>95.75</v>
      </c>
      <c r="V5" s="32" t="n">
        <v>86.89</v>
      </c>
      <c r="W5" s="32" t="n">
        <v>19.73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IF(B6=0,"",RANK(B6,$B$2:$B$43,0))</f>
        <v/>
      </c>
      <c r="B6" s="32">
        <f>SUM(N6,Y6,AA6,AC6,AE6,AG6,AI6,AK6,AM6,AO6,AQ6,AS6,AU6,AW6,AY6,BA6,BC6,BE6,BG6,BI6,BK6,BM6,BO6,BQ6,BS6,BU6,BW6,BY6,CA6)</f>
        <v/>
      </c>
      <c r="C6" s="31" t="inlineStr">
        <is>
          <t>FEDFINA</t>
        </is>
      </c>
      <c r="D6" s="31" t="inlineStr">
        <is>
          <t>Fedbank Financial Services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midcap</t>
        </is>
      </c>
      <c r="H6" s="32" t="n">
        <v>5880.03</v>
      </c>
      <c r="I6" s="32" t="n">
        <v>159.05</v>
      </c>
      <c r="J6" s="32" t="n">
        <v>1.41</v>
      </c>
      <c r="K6" s="32" t="n">
        <v>1428949</v>
      </c>
      <c r="L6" s="31" t="n">
        <v>14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56.41</v>
      </c>
      <c r="P6" s="32" t="n">
        <v>28.16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4.74</v>
      </c>
      <c r="U6" s="32" t="n">
        <v>10.43</v>
      </c>
      <c r="V6" s="32" t="n">
        <v>5.43</v>
      </c>
      <c r="W6" s="32" t="n">
        <v>2.49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IF(B7=0,"",RANK(B7,$B$2:$B$43,0))</f>
        <v/>
      </c>
      <c r="B7" s="32">
        <f>SUM(N7,Y7,AA7,AC7,AE7,AG7,AI7,AK7,AM7,AO7,AQ7,AS7,AU7,AW7,AY7,BA7,BC7,BE7,BG7,BI7,BK7,BM7,BO7,BQ7,BS7,BU7,BW7,BY7,CA7)</f>
        <v/>
      </c>
      <c r="C7" s="31" t="inlineStr">
        <is>
          <t>DHANBANK</t>
        </is>
      </c>
      <c r="D7" s="31" t="inlineStr">
        <is>
          <t>Dhanlaxmi Bank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smallcap</t>
        </is>
      </c>
      <c r="H7" s="32" t="n">
        <v>1331.32</v>
      </c>
      <c r="I7" s="32" t="n">
        <v>34.01</v>
      </c>
      <c r="J7" s="32" t="n">
        <v>0.83</v>
      </c>
      <c r="K7" s="32" t="n">
        <v>1900946</v>
      </c>
      <c r="L7" s="31" t="n">
        <v>27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59.99</v>
      </c>
      <c r="P7" s="32" t="n">
        <v>36.4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4.74</v>
      </c>
      <c r="U7" s="32" t="n">
        <v>24.46</v>
      </c>
      <c r="V7" s="32" t="n">
        <v>18.84</v>
      </c>
      <c r="W7" s="32" t="n">
        <v>5.86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IF(B8=0,"",RANK(B8,$B$2:$B$43,0))</f>
        <v/>
      </c>
      <c r="B8" s="32">
        <f>SUM(N8,Y8,AA8,AC8,AE8,AG8,AI8,AK8,AM8,AO8,AQ8,AS8,AU8,AW8,AY8,BA8,BC8,BE8,BG8,BI8,BK8,BM8,BO8,BQ8,BS8,BU8,BW8,BY8,CA8)</f>
        <v/>
      </c>
      <c r="C8" s="31" t="inlineStr">
        <is>
          <t>SGFIN</t>
        </is>
      </c>
      <c r="D8" s="31" t="inlineStr">
        <is>
          <t>SG Finserve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4527.97</v>
      </c>
      <c r="I8" s="32" t="n">
        <v>688.4</v>
      </c>
      <c r="J8" s="32" t="n">
        <v>0.18</v>
      </c>
      <c r="K8" s="32" t="n">
        <v>347295</v>
      </c>
      <c r="L8" s="31" t="n">
        <v>67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66.78</v>
      </c>
      <c r="P8" s="32" t="n">
        <v>51.24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4.74</v>
      </c>
      <c r="U8" s="32" t="n">
        <v>79.81</v>
      </c>
      <c r="V8" s="32" t="n">
        <v>71.68000000000001</v>
      </c>
      <c r="W8" s="32" t="n">
        <v>16.94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IF(B9=0,"",RANK(B9,$B$2:$B$43,0))</f>
        <v/>
      </c>
      <c r="B9" s="32">
        <f>SUM(N9,Y9,AA9,AC9,AE9,AG9,AI9,AK9,AM9,AO9,AQ9,AS9,AU9,AW9,AY9,BA9,BC9,BE9,BG9,BI9,BK9,BM9,BO9,BQ9,BS9,BU9,BW9,BY9,CA9)</f>
        <v/>
      </c>
      <c r="C9" s="31" t="inlineStr">
        <is>
          <t>GEECEE</t>
        </is>
      </c>
      <c r="D9" s="31" t="inlineStr">
        <is>
          <t>Geecee Ventures Limited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766.73</v>
      </c>
      <c r="I9" s="32" t="n">
        <v>367</v>
      </c>
      <c r="J9" s="32" t="n">
        <v>0.1</v>
      </c>
      <c r="K9" s="32" t="n">
        <v>3955</v>
      </c>
      <c r="L9" s="31" t="n">
        <v>18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60.78</v>
      </c>
      <c r="P9" s="32" t="n">
        <v>35.36</v>
      </c>
      <c r="Q9" s="32" t="inlineStr"/>
      <c r="R9" s="31" t="inlineStr">
        <is>
          <t>Earnings / Momentum Support</t>
        </is>
      </c>
      <c r="S9" s="31" t="inlineStr">
        <is>
          <t>Nifty Bank</t>
        </is>
      </c>
      <c r="T9" s="32" t="n">
        <v>4.74</v>
      </c>
      <c r="U9" s="32" t="n">
        <v>4.77</v>
      </c>
      <c r="V9" s="32" t="n">
        <v>0.03</v>
      </c>
      <c r="W9" s="32" t="n">
        <v>3.88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IF(B10=0,"",RANK(B10,$B$2:$B$43,0))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JSFB</t>
        </is>
      </c>
      <c r="D10" s="31" t="inlineStr">
        <is>
          <t>Jana Small Finance Bank Ltd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midcap</t>
        </is>
      </c>
      <c r="H10" s="32" t="n">
        <v>6134.54</v>
      </c>
      <c r="I10" s="32" t="n">
        <v>581.55</v>
      </c>
      <c r="J10" s="32" t="n">
        <v>-0.14</v>
      </c>
      <c r="K10" s="32" t="n">
        <v>3680416</v>
      </c>
      <c r="L10" s="31" t="n">
        <v>44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69.17</v>
      </c>
      <c r="P10" s="32" t="n">
        <v>38.83</v>
      </c>
      <c r="Q10" s="32" t="inlineStr"/>
      <c r="R10" s="31" t="inlineStr">
        <is>
          <t>Earnings / Momentum Support</t>
        </is>
      </c>
      <c r="S10" s="31" t="inlineStr">
        <is>
          <t>Nifty Bank</t>
        </is>
      </c>
      <c r="T10" s="32" t="n">
        <v>4.74</v>
      </c>
      <c r="U10" s="32" t="n">
        <v>17.34</v>
      </c>
      <c r="V10" s="32" t="n">
        <v>12.03</v>
      </c>
      <c r="W10" s="32" t="n">
        <v>10.4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3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IF(B11=0,"",RANK(B11,$B$2:$B$43,0))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FEDERALBNK</t>
        </is>
      </c>
      <c r="D11" s="31" t="inlineStr">
        <is>
          <t>The Federal Bank  Limited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largecap</t>
        </is>
      </c>
      <c r="H11" s="32" t="n">
        <v>89096.21000000001</v>
      </c>
      <c r="I11" s="32" t="n">
        <v>357.75</v>
      </c>
      <c r="J11" s="32" t="n">
        <v>-0.9</v>
      </c>
      <c r="K11" s="32" t="n">
        <v>4624949</v>
      </c>
      <c r="L11" s="31" t="n">
        <v>70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76.29000000000001</v>
      </c>
      <c r="P11" s="32" t="n">
        <v>46.22</v>
      </c>
      <c r="Q11" s="32" t="inlineStr"/>
      <c r="R11" s="31" t="inlineStr">
        <is>
          <t>Earnings / Momentum Support</t>
        </is>
      </c>
      <c r="S11" s="31" t="inlineStr">
        <is>
          <t>Nifty Bank</t>
        </is>
      </c>
      <c r="T11" s="32" t="n">
        <v>4.74</v>
      </c>
      <c r="U11" s="32" t="n">
        <v>84.48999999999999</v>
      </c>
      <c r="V11" s="32" t="n">
        <v>76.15000000000001</v>
      </c>
      <c r="W11" s="32" t="n">
        <v>18.92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Above 75</t>
        </is>
      </c>
      <c r="BO11" s="31">
        <f>IF(BN11="Between 50 to 75",10,IF(BN11="Above 75",0,0))</f>
        <v/>
      </c>
      <c r="BP11" s="31" t="inlineStr">
        <is>
          <t>Stage 3</t>
        </is>
      </c>
      <c r="BQ11" s="31">
        <f>IF(BP11="Stage 2",20,IF(BP11="Stage 1",0,IF(BP11="Stage 3",5,IF(BP11="Stage 4",-5,0))))</f>
        <v/>
      </c>
      <c r="BR11" s="31" t="inlineStr">
        <is>
          <t>Negative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IF(B12=0,"",RANK(B12,$B$2:$B$43,0))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TFCILTD</t>
        </is>
      </c>
      <c r="D12" s="31" t="inlineStr">
        <is>
          <t>Tourism Finance Corporation Of India Limited</t>
        </is>
      </c>
      <c r="E12" s="31" t="inlineStr">
        <is>
          <t>financials</t>
        </is>
      </c>
      <c r="F12" s="31" t="inlineStr">
        <is>
          <t>finance - term-lending institutions</t>
        </is>
      </c>
      <c r="G12" s="31" t="inlineStr">
        <is>
          <t>midcap</t>
        </is>
      </c>
      <c r="H12" s="32" t="n">
        <v>6064.54</v>
      </c>
      <c r="I12" s="32" t="n">
        <v>129.56</v>
      </c>
      <c r="J12" s="32" t="n">
        <v>-1.09</v>
      </c>
      <c r="K12" s="32" t="n">
        <v>13132163</v>
      </c>
      <c r="L12" s="31" t="n">
        <v>94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83.51000000000001</v>
      </c>
      <c r="P12" s="32" t="n">
        <v>58.31</v>
      </c>
      <c r="Q12" s="32" t="inlineStr"/>
      <c r="R12" s="31" t="inlineStr">
        <is>
          <t>Earnings / Momentum Support</t>
        </is>
      </c>
      <c r="S12" s="31" t="inlineStr">
        <is>
          <t>Nifty Bank</t>
        </is>
      </c>
      <c r="T12" s="32" t="n">
        <v>4.74</v>
      </c>
      <c r="U12" s="32" t="n">
        <v>113.03</v>
      </c>
      <c r="V12" s="32" t="n">
        <v>103.4</v>
      </c>
      <c r="W12" s="32" t="n">
        <v>35.24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Above 40</t>
        </is>
      </c>
      <c r="BM12" s="31">
        <f>IF(BL12="Above 40",20,IF(BL12="20 to 40",10,IF(BL12="0 to 20",-5,0)))</f>
        <v/>
      </c>
      <c r="BN12" s="31" t="inlineStr">
        <is>
          <t>Above 75</t>
        </is>
      </c>
      <c r="BO12" s="31">
        <f>IF(BN12="Between 50 to 75",10,IF(BN12="Above 75",0,0))</f>
        <v/>
      </c>
      <c r="BP12" s="31" t="inlineStr">
        <is>
          <t>Stage 3</t>
        </is>
      </c>
      <c r="BQ12" s="31">
        <f>IF(BP12="Stage 2",20,IF(BP12="Stage 1",0,IF(BP12="Stage 3",5,IF(BP12="Stage 4",-5,0))))</f>
        <v/>
      </c>
      <c r="BR12" s="31" t="inlineStr">
        <is>
          <t>Negative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IF(B13=0,"",RANK(B13,$B$2:$B$43,0))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RBLBANK</t>
        </is>
      </c>
      <c r="D13" s="31" t="inlineStr">
        <is>
          <t>Rbl Bank Limited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largecap</t>
        </is>
      </c>
      <c r="H13" s="32" t="n">
        <v>60780.9</v>
      </c>
      <c r="I13" s="32" t="n">
        <v>388</v>
      </c>
      <c r="J13" s="32" t="n">
        <v>-1.15</v>
      </c>
      <c r="K13" s="32" t="n">
        <v>2631141</v>
      </c>
      <c r="L13" s="31" t="n">
        <v>56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65.42</v>
      </c>
      <c r="P13" s="32" t="n">
        <v>35.84</v>
      </c>
      <c r="Q13" s="32" t="inlineStr"/>
      <c r="R13" s="31" t="inlineStr">
        <is>
          <t>Earnings / Momentum Support</t>
        </is>
      </c>
      <c r="S13" s="31" t="inlineStr">
        <is>
          <t>Nifty Bank</t>
        </is>
      </c>
      <c r="T13" s="32" t="n">
        <v>4.74</v>
      </c>
      <c r="U13" s="32" t="n">
        <v>56.01</v>
      </c>
      <c r="V13" s="32" t="n">
        <v>48.96</v>
      </c>
      <c r="W13" s="32" t="n">
        <v>13.24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3</t>
        </is>
      </c>
      <c r="BQ13" s="31">
        <f>IF(BP13="Stage 2",20,IF(BP13="Stage 1",0,IF(BP13="Stage 3",5,IF(BP13="Stage 4",-5,0))))</f>
        <v/>
      </c>
      <c r="BR13" s="31" t="inlineStr">
        <is>
          <t>Negative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IF(B14=0,"",RANK(B14,$B$2:$B$43,0))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ESAFSFB</t>
        </is>
      </c>
      <c r="D14" s="31" t="inlineStr">
        <is>
          <t>ESAF Small Finance Bank Ltd</t>
        </is>
      </c>
      <c r="E14" s="31" t="inlineStr">
        <is>
          <t>bank</t>
        </is>
      </c>
      <c r="F14" s="31" t="inlineStr">
        <is>
          <t>banks - private sector</t>
        </is>
      </c>
      <c r="G14" s="31" t="inlineStr">
        <is>
          <t>smallcap</t>
        </is>
      </c>
      <c r="H14" s="32" t="n">
        <v>2267.09</v>
      </c>
      <c r="I14" s="32" t="n">
        <v>43.32</v>
      </c>
      <c r="J14" s="32" t="n">
        <v>-1.41</v>
      </c>
      <c r="K14" s="32" t="n">
        <v>648379</v>
      </c>
      <c r="L14" s="31" t="n">
        <v>75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70.31999999999999</v>
      </c>
      <c r="P14" s="32" t="n">
        <v>36.31</v>
      </c>
      <c r="Q14" s="32" t="inlineStr"/>
      <c r="R14" s="31" t="inlineStr">
        <is>
          <t>Earnings / Momentum Support</t>
        </is>
      </c>
      <c r="S14" s="31" t="inlineStr">
        <is>
          <t>Nifty Bank</t>
        </is>
      </c>
      <c r="T14" s="32" t="n">
        <v>4.74</v>
      </c>
      <c r="U14" s="32" t="n">
        <v>49.1</v>
      </c>
      <c r="V14" s="32" t="n">
        <v>42.36</v>
      </c>
      <c r="W14" s="32" t="n">
        <v>21.68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3</t>
        </is>
      </c>
      <c r="BQ14" s="31">
        <f>IF(BP14="Stage 2",20,IF(BP14="Stage 1",0,IF(BP14="Stage 3",5,IF(BP14="Stage 4",-5,0))))</f>
        <v/>
      </c>
      <c r="BR14" s="31" t="inlineStr">
        <is>
          <t>Negative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IF(B15=0,"",RANK(B15,$B$2:$B$43,0))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DCBBANK</t>
        </is>
      </c>
      <c r="D15" s="31" t="inlineStr">
        <is>
          <t>Dcb Bank Limited</t>
        </is>
      </c>
      <c r="E15" s="31" t="inlineStr">
        <is>
          <t>bank</t>
        </is>
      </c>
      <c r="F15" s="31" t="inlineStr">
        <is>
          <t>banks - private sector</t>
        </is>
      </c>
      <c r="G15" s="31" t="inlineStr">
        <is>
          <t>midcap</t>
        </is>
      </c>
      <c r="H15" s="32" t="n">
        <v>6557.17</v>
      </c>
      <c r="I15" s="32" t="n">
        <v>199.74</v>
      </c>
      <c r="J15" s="32" t="n">
        <v>-1.89</v>
      </c>
      <c r="K15" s="32" t="n">
        <v>3378441</v>
      </c>
      <c r="L15" s="31" t="n">
        <v>61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64.52</v>
      </c>
      <c r="P15" s="32" t="n">
        <v>25.9</v>
      </c>
      <c r="Q15" s="32" t="inlineStr"/>
      <c r="R15" s="31" t="inlineStr">
        <is>
          <t>Earnings / Momentum Support</t>
        </is>
      </c>
      <c r="S15" s="31" t="inlineStr">
        <is>
          <t>Nifty Bank</t>
        </is>
      </c>
      <c r="T15" s="32" t="n">
        <v>4.74</v>
      </c>
      <c r="U15" s="32" t="n">
        <v>68.04000000000001</v>
      </c>
      <c r="V15" s="32" t="n">
        <v>60.44</v>
      </c>
      <c r="W15" s="32" t="n">
        <v>15.26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3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IF(B16=0,"",RANK(B16,$B$2:$B$43,0))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IFCI</t>
        </is>
      </c>
      <c r="D16" s="31" t="inlineStr">
        <is>
          <t>Ifci Limited</t>
        </is>
      </c>
      <c r="E16" s="31" t="inlineStr">
        <is>
          <t>financials</t>
        </is>
      </c>
      <c r="F16" s="31" t="inlineStr">
        <is>
          <t>finance - term-lending institutions</t>
        </is>
      </c>
      <c r="G16" s="31" t="inlineStr">
        <is>
          <t>largecap</t>
        </is>
      </c>
      <c r="H16" s="32" t="n">
        <v>21799.7</v>
      </c>
      <c r="I16" s="32" t="n">
        <v>82.48</v>
      </c>
      <c r="J16" s="32" t="n">
        <v>1.94</v>
      </c>
      <c r="K16" s="32" t="n">
        <v>35494504</v>
      </c>
      <c r="L16" s="31" t="n">
        <v>64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61.83</v>
      </c>
      <c r="P16" s="32" t="n">
        <v>44.84</v>
      </c>
      <c r="Q16" s="32" t="inlineStr"/>
      <c r="R16" s="31" t="inlineStr">
        <is>
          <t>Earnings / Momentum Support</t>
        </is>
      </c>
      <c r="S16" s="31" t="inlineStr">
        <is>
          <t>Nifty Bank</t>
        </is>
      </c>
      <c r="T16" s="32" t="n">
        <v>4.74</v>
      </c>
      <c r="U16" s="32" t="n">
        <v>49.72</v>
      </c>
      <c r="V16" s="32" t="n">
        <v>42.95</v>
      </c>
      <c r="W16" s="32" t="n">
        <v>15.81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less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Above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3</t>
        </is>
      </c>
      <c r="BQ16" s="31">
        <f>IF(BP16="Stage 2",20,IF(BP16="Stage 1",0,IF(BP16="Stage 3",5,IF(BP16="Stage 4",-5,0))))</f>
        <v/>
      </c>
      <c r="BR16" s="31" t="inlineStr">
        <is>
          <t>Negative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IF(B17=0,"",RANK(B17,$B$2:$B$43,0))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IIFL</t>
        </is>
      </c>
      <c r="D17" s="31" t="inlineStr">
        <is>
          <t>IIFL Finance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largecap</t>
        </is>
      </c>
      <c r="H17" s="32" t="n">
        <v>28913.59</v>
      </c>
      <c r="I17" s="32" t="n">
        <v>696.4</v>
      </c>
      <c r="J17" s="32" t="n">
        <v>2.44</v>
      </c>
      <c r="K17" s="32" t="n">
        <v>5378730</v>
      </c>
      <c r="L17" s="31" t="n">
        <v>73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76.04000000000001</v>
      </c>
      <c r="P17" s="32" t="n">
        <v>25.06</v>
      </c>
      <c r="Q17" s="32" t="inlineStr"/>
      <c r="R17" s="31" t="inlineStr">
        <is>
          <t>Earnings / Momentum Support</t>
        </is>
      </c>
      <c r="S17" s="31" t="inlineStr">
        <is>
          <t>Nifty Bank</t>
        </is>
      </c>
      <c r="T17" s="32" t="n">
        <v>4.74</v>
      </c>
      <c r="U17" s="32" t="n">
        <v>51.81</v>
      </c>
      <c r="V17" s="32" t="n">
        <v>44.95</v>
      </c>
      <c r="W17" s="32" t="n">
        <v>19.87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Above 75</t>
        </is>
      </c>
      <c r="BO17" s="31">
        <f>IF(BN17="Between 50 to 75",10,IF(BN17="Above 75",0,0))</f>
        <v/>
      </c>
      <c r="BP17" s="31" t="inlineStr">
        <is>
          <t>Stage 3</t>
        </is>
      </c>
      <c r="BQ17" s="31">
        <f>IF(BP17="Stage 2",20,IF(BP17="Stage 1",0,IF(BP17="Stage 3",5,IF(BP17="Stage 4",-5,0))))</f>
        <v/>
      </c>
      <c r="BR17" s="31" t="inlineStr">
        <is>
          <t>Negative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IF(B18=0,"",RANK(B18,$B$2:$B$43,0))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AUBANK</t>
        </is>
      </c>
      <c r="D18" s="31" t="inlineStr">
        <is>
          <t>AU Small Finance Bank Ltd</t>
        </is>
      </c>
      <c r="E18" s="31" t="inlineStr">
        <is>
          <t>bank</t>
        </is>
      </c>
      <c r="F18" s="31" t="inlineStr">
        <is>
          <t>banks - private sector</t>
        </is>
      </c>
      <c r="G18" s="31" t="inlineStr">
        <is>
          <t>largecap</t>
        </is>
      </c>
      <c r="H18" s="32" t="n">
        <v>83001.07000000001</v>
      </c>
      <c r="I18" s="32" t="n">
        <v>1114</v>
      </c>
      <c r="J18" s="32" t="n">
        <v>0.52</v>
      </c>
      <c r="K18" s="32" t="n">
        <v>1584997</v>
      </c>
      <c r="L18" s="31" t="n">
        <v>50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63.76</v>
      </c>
      <c r="P18" s="32" t="n">
        <v>24.51</v>
      </c>
      <c r="Q18" s="32" t="inlineStr"/>
      <c r="R18" s="31" t="inlineStr">
        <is>
          <t>Earnings / Momentum Support</t>
        </is>
      </c>
      <c r="S18" s="31" t="inlineStr">
        <is>
          <t>Nifty Bank</t>
        </is>
      </c>
      <c r="T18" s="32" t="n">
        <v>4.74</v>
      </c>
      <c r="U18" s="32" t="n">
        <v>49.49</v>
      </c>
      <c r="V18" s="32" t="n">
        <v>42.73</v>
      </c>
      <c r="W18" s="32" t="n">
        <v>11.54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3</t>
        </is>
      </c>
      <c r="BQ18" s="31">
        <f>IF(BP18="Stage 2",20,IF(BP18="Stage 1",0,IF(BP18="Stage 3",5,IF(BP18="Stage 4",-5,0))))</f>
        <v/>
      </c>
      <c r="BR18" s="31" t="inlineStr">
        <is>
          <t>Negative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IF(B19=0,"",RANK(B19,$B$2:$B$43,0))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ABCAPITAL</t>
        </is>
      </c>
      <c r="D19" s="31" t="inlineStr">
        <is>
          <t>Aditya Birla Capital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largecap</t>
        </is>
      </c>
      <c r="H19" s="32" t="n">
        <v>112922.72</v>
      </c>
      <c r="I19" s="32" t="n">
        <v>412.9</v>
      </c>
      <c r="J19" s="32" t="n">
        <v>-0.02</v>
      </c>
      <c r="K19" s="32" t="n">
        <v>2082136</v>
      </c>
      <c r="L19" s="31" t="n">
        <v>48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68.04000000000001</v>
      </c>
      <c r="P19" s="32" t="n">
        <v>27.53</v>
      </c>
      <c r="Q19" s="32" t="inlineStr"/>
      <c r="R19" s="31" t="inlineStr">
        <is>
          <t>Earnings / Momentum Support</t>
        </is>
      </c>
      <c r="S19" s="31" t="inlineStr">
        <is>
          <t>Nifty Bank</t>
        </is>
      </c>
      <c r="T19" s="32" t="n">
        <v>4.74</v>
      </c>
      <c r="U19" s="32" t="n">
        <v>44.23</v>
      </c>
      <c r="V19" s="32" t="n">
        <v>37.71</v>
      </c>
      <c r="W19" s="32" t="n">
        <v>10.88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No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between 2.5x to 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3</t>
        </is>
      </c>
      <c r="BQ19" s="31">
        <f>IF(BP19="Stage 2",20,IF(BP19="Stage 1",0,IF(BP19="Stage 3",5,IF(BP19="Stage 4",-5,0))))</f>
        <v/>
      </c>
      <c r="BR19" s="31" t="inlineStr">
        <is>
          <t>Negative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IF(B20=0,"",RANK(B20,$B$2:$B$43,0))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MUFIN</t>
        </is>
      </c>
      <c r="D20" s="31" t="inlineStr">
        <is>
          <t>Mufin Green Finance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smallcap</t>
        </is>
      </c>
      <c r="H20" s="32" t="n">
        <v>2764.16</v>
      </c>
      <c r="I20" s="32" t="n">
        <v>138.61</v>
      </c>
      <c r="J20" s="32" t="n">
        <v>-0.63</v>
      </c>
      <c r="K20" s="32" t="n">
        <v>4250195</v>
      </c>
      <c r="L20" s="31" t="n">
        <v>55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65.89</v>
      </c>
      <c r="P20" s="32" t="n">
        <v>37.78</v>
      </c>
      <c r="Q20" s="32" t="inlineStr"/>
      <c r="R20" s="31" t="inlineStr">
        <is>
          <t>Earnings / Momentum Support</t>
        </is>
      </c>
      <c r="S20" s="31" t="inlineStr">
        <is>
          <t>Nifty Bank</t>
        </is>
      </c>
      <c r="T20" s="32" t="n">
        <v>4.74</v>
      </c>
      <c r="U20" s="32" t="n">
        <v>58.66</v>
      </c>
      <c r="V20" s="32" t="n">
        <v>51.48</v>
      </c>
      <c r="W20" s="32" t="n">
        <v>13.09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between 2.5x to 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3</t>
        </is>
      </c>
      <c r="BQ20" s="31">
        <f>IF(BP20="Stage 2",20,IF(BP20="Stage 1",0,IF(BP20="Stage 3",5,IF(BP20="Stage 4",-5,0))))</f>
        <v/>
      </c>
      <c r="BR20" s="31" t="inlineStr">
        <is>
          <t>Negative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IF(B21=0,"",RANK(B21,$B$2:$B$43,0))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SHRIRAMFIN</t>
        </is>
      </c>
      <c r="D21" s="31" t="inlineStr">
        <is>
          <t>Shriram Finance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largecap</t>
        </is>
      </c>
      <c r="H21" s="32" t="n">
        <v>265879.41</v>
      </c>
      <c r="I21" s="32" t="n">
        <v>1119</v>
      </c>
      <c r="J21" s="32" t="n">
        <v>-0.97</v>
      </c>
      <c r="K21" s="32" t="n">
        <v>3032754</v>
      </c>
      <c r="L21" s="31" t="n">
        <v>70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65.7</v>
      </c>
      <c r="P21" s="32" t="n">
        <v>20.22</v>
      </c>
      <c r="Q21" s="32" t="inlineStr"/>
      <c r="R21" s="31" t="inlineStr">
        <is>
          <t>Earnings / Momentum Support</t>
        </is>
      </c>
      <c r="S21" s="31" t="inlineStr">
        <is>
          <t>Nifty Bank</t>
        </is>
      </c>
      <c r="T21" s="32" t="n">
        <v>4.74</v>
      </c>
      <c r="U21" s="32" t="n">
        <v>85.65000000000001</v>
      </c>
      <c r="V21" s="32" t="n">
        <v>77.25</v>
      </c>
      <c r="W21" s="32" t="n">
        <v>18.71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No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between 2.5x to 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3</t>
        </is>
      </c>
      <c r="BQ21" s="31">
        <f>IF(BP21="Stage 2",20,IF(BP21="Stage 1",0,IF(BP21="Stage 3",5,IF(BP21="Stage 4",-5,0))))</f>
        <v/>
      </c>
      <c r="BR21" s="31" t="inlineStr">
        <is>
          <t>Negative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IF(B22=0,"",RANK(B22,$B$2:$B$43,0))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STEL</t>
        </is>
      </c>
      <c r="D22" s="31" t="inlineStr">
        <is>
          <t>Stel Holdings Limited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smallcap</t>
        </is>
      </c>
      <c r="H22" s="32" t="n">
        <v>1127.72</v>
      </c>
      <c r="I22" s="32" t="n">
        <v>625</v>
      </c>
      <c r="J22" s="32" t="n">
        <v>2.28</v>
      </c>
      <c r="K22" s="32" t="n">
        <v>19609</v>
      </c>
      <c r="L22" s="31" t="n">
        <v>63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64.97</v>
      </c>
      <c r="P22" s="32" t="n">
        <v>21.74</v>
      </c>
      <c r="Q22" s="32" t="inlineStr"/>
      <c r="R22" s="31" t="inlineStr">
        <is>
          <t>Earnings / Momentum Support</t>
        </is>
      </c>
      <c r="S22" s="31" t="inlineStr">
        <is>
          <t>Nifty Bank</t>
        </is>
      </c>
      <c r="T22" s="32" t="n">
        <v>4.74</v>
      </c>
      <c r="U22" s="32" t="n">
        <v>41.12</v>
      </c>
      <c r="V22" s="32" t="n">
        <v>34.74</v>
      </c>
      <c r="W22" s="32" t="n">
        <v>15.79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less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3</t>
        </is>
      </c>
      <c r="BQ22" s="31">
        <f>IF(BP22="Stage 2",20,IF(BP22="Stage 1",0,IF(BP22="Stage 3",5,IF(BP22="Stage 4",-5,0))))</f>
        <v/>
      </c>
      <c r="BR22" s="31" t="inlineStr">
        <is>
          <t>Negative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IF(B23=0,"",RANK(B23,$B$2:$B$43,0))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UNIONBANK</t>
        </is>
      </c>
      <c r="D23" s="31" t="inlineStr">
        <is>
          <t>Union Bank Of India Ltd</t>
        </is>
      </c>
      <c r="E23" s="31" t="inlineStr">
        <is>
          <t>bank</t>
        </is>
      </c>
      <c r="F23" s="31" t="inlineStr">
        <is>
          <t>banks - public sector</t>
        </is>
      </c>
      <c r="G23" s="31" t="inlineStr">
        <is>
          <t>largecap</t>
        </is>
      </c>
      <c r="H23" s="32" t="n">
        <v>140038.49</v>
      </c>
      <c r="I23" s="32" t="n">
        <v>183.6</v>
      </c>
      <c r="J23" s="32" t="n">
        <v>0.08</v>
      </c>
      <c r="K23" s="32" t="n">
        <v>4409057</v>
      </c>
      <c r="L23" s="31" t="n">
        <v>50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61.51</v>
      </c>
      <c r="P23" s="32" t="n">
        <v>20.65</v>
      </c>
      <c r="Q23" s="32" t="inlineStr"/>
      <c r="R23" s="31" t="inlineStr">
        <is>
          <t>Earnings / Momentum Support</t>
        </is>
      </c>
      <c r="S23" s="31" t="inlineStr">
        <is>
          <t>Nifty Bank</t>
        </is>
      </c>
      <c r="T23" s="32" t="n">
        <v>4.74</v>
      </c>
      <c r="U23" s="32" t="n">
        <v>40.15</v>
      </c>
      <c r="V23" s="32" t="n">
        <v>33.81</v>
      </c>
      <c r="W23" s="32" t="n">
        <v>11.68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less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3</t>
        </is>
      </c>
      <c r="BQ23" s="31">
        <f>IF(BP23="Stage 2",20,IF(BP23="Stage 1",0,IF(BP23="Stage 3",5,IF(BP23="Stage 4",-5,0))))</f>
        <v/>
      </c>
      <c r="BR23" s="31" t="inlineStr">
        <is>
          <t>Negative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IF(B24=0,"",RANK(B24,$B$2:$B$43,0))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PNBHOUSING</t>
        </is>
      </c>
      <c r="D24" s="31" t="inlineStr">
        <is>
          <t>Pnb Housing Finance Limited</t>
        </is>
      </c>
      <c r="E24" s="31" t="inlineStr">
        <is>
          <t>financials</t>
        </is>
      </c>
      <c r="F24" s="31" t="inlineStr">
        <is>
          <t>finance - housing</t>
        </is>
      </c>
      <c r="G24" s="31" t="inlineStr">
        <is>
          <t>largecap</t>
        </is>
      </c>
      <c r="H24" s="32" t="n">
        <v>30496.84</v>
      </c>
      <c r="I24" s="32" t="n">
        <v>1165</v>
      </c>
      <c r="J24" s="32" t="n">
        <v>-0.45</v>
      </c>
      <c r="K24" s="32" t="n">
        <v>504930</v>
      </c>
      <c r="L24" s="31" t="n">
        <v>47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69.19</v>
      </c>
      <c r="P24" s="32" t="n">
        <v>34.45</v>
      </c>
      <c r="Q24" s="32" t="inlineStr"/>
      <c r="R24" s="31" t="inlineStr">
        <is>
          <t>Earnings / Momentum Support</t>
        </is>
      </c>
      <c r="S24" s="31" t="inlineStr">
        <is>
          <t>Nifty Bank</t>
        </is>
      </c>
      <c r="T24" s="32" t="n">
        <v>4.74</v>
      </c>
      <c r="U24" s="32" t="n">
        <v>47.48</v>
      </c>
      <c r="V24" s="32" t="n">
        <v>40.8</v>
      </c>
      <c r="W24" s="32" t="n">
        <v>10.81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3</t>
        </is>
      </c>
      <c r="BQ24" s="31">
        <f>IF(BP24="Stage 2",20,IF(BP24="Stage 1",0,IF(BP24="Stage 3",5,IF(BP24="Stage 4",-5,0))))</f>
        <v/>
      </c>
      <c r="BR24" s="31" t="inlineStr">
        <is>
          <t>Negative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IF(B25=0,"",RANK(B25,$B$2:$B$43,0))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IDFCFIRSTB</t>
        </is>
      </c>
      <c r="D25" s="31" t="inlineStr">
        <is>
          <t>IDFC First Bank Ltd</t>
        </is>
      </c>
      <c r="E25" s="31" t="inlineStr">
        <is>
          <t>bank</t>
        </is>
      </c>
      <c r="F25" s="31" t="inlineStr">
        <is>
          <t>banks - private sector</t>
        </is>
      </c>
      <c r="G25" s="31" t="inlineStr">
        <is>
          <t>largecap</t>
        </is>
      </c>
      <c r="H25" s="32" t="n">
        <v>74732.83</v>
      </c>
      <c r="I25" s="32" t="n">
        <v>85.89</v>
      </c>
      <c r="J25" s="32" t="n">
        <v>-0.99</v>
      </c>
      <c r="K25" s="32" t="n">
        <v>11877772</v>
      </c>
      <c r="L25" s="31" t="n">
        <v>47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69.59999999999999</v>
      </c>
      <c r="P25" s="32" t="n">
        <v>25.31</v>
      </c>
      <c r="Q25" s="32" t="inlineStr"/>
      <c r="R25" s="31" t="inlineStr">
        <is>
          <t>Earnings / Momentum Support</t>
        </is>
      </c>
      <c r="S25" s="31" t="inlineStr">
        <is>
          <t>Nifty Bank</t>
        </is>
      </c>
      <c r="T25" s="32" t="n">
        <v>4.74</v>
      </c>
      <c r="U25" s="32" t="n">
        <v>24.86</v>
      </c>
      <c r="V25" s="32" t="n">
        <v>19.22</v>
      </c>
      <c r="W25" s="32" t="n">
        <v>10.83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No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less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3</t>
        </is>
      </c>
      <c r="BQ25" s="31">
        <f>IF(BP25="Stage 2",20,IF(BP25="Stage 1",0,IF(BP25="Stage 3",5,IF(BP25="Stage 4",-5,0))))</f>
        <v/>
      </c>
      <c r="BR25" s="31" t="inlineStr">
        <is>
          <t>Negative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IF(B26=0,"",RANK(B26,$B$2:$B$43,0))</f>
        <v/>
      </c>
      <c r="B26" s="32">
        <f>SUM(N26,Y26,AA26,AC26,AE26,AG26,AI26,AK26,AM26,AO26,AQ26,AS26,AU26,AW26,AY26,BA26,BC26,BE26,BG26,BI26,BK26,BM26,BO26,BQ26,BS26,BU26,BW26,BY26,CA26)</f>
        <v/>
      </c>
      <c r="C26" s="33" t="inlineStr">
        <is>
          <t>INDOSTAR</t>
        </is>
      </c>
      <c r="D26" s="33" t="inlineStr">
        <is>
          <t>Indostar Capital Finance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smallcap</t>
        </is>
      </c>
      <c r="H26" s="32" t="n">
        <v>4090.52</v>
      </c>
      <c r="I26" s="32" t="n">
        <v>262.5</v>
      </c>
      <c r="J26" s="32" t="n">
        <v>3.69</v>
      </c>
      <c r="K26" s="32" t="n">
        <v>173105</v>
      </c>
      <c r="L26" s="31" t="n">
        <v>16</v>
      </c>
      <c r="M26" s="31" t="inlineStr">
        <is>
          <t>Underperforming</t>
        </is>
      </c>
      <c r="N26" s="32">
        <f>IF(M26="Underperforming",-5,IF(L26&gt;=95,15,IF(L26&gt;=90,10,IF(L26&gt;=80,5,0))))</f>
        <v/>
      </c>
      <c r="O26" s="32" t="n">
        <v>54.61</v>
      </c>
      <c r="P26" s="32" t="n">
        <v>20.25</v>
      </c>
      <c r="Q26" s="32" t="inlineStr"/>
      <c r="R26" s="31" t="inlineStr">
        <is>
          <t>Earnings / Momentum Support</t>
        </is>
      </c>
      <c r="S26" s="31" t="inlineStr">
        <is>
          <t>Nifty Bank</t>
        </is>
      </c>
      <c r="T26" s="32" t="n">
        <v>4.74</v>
      </c>
      <c r="U26" s="32" t="n">
        <v>-6.48</v>
      </c>
      <c r="V26" s="32" t="n">
        <v>-10.71</v>
      </c>
      <c r="W26" s="32" t="n">
        <v>2.89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3</t>
        </is>
      </c>
      <c r="BQ26" s="31">
        <f>IF(BP26="Stage 2",20,IF(BP26="Stage 1",0,IF(BP26="Stage 3",5,IF(BP26="Stage 4",-5,0))))</f>
        <v/>
      </c>
      <c r="BR26" s="31" t="inlineStr">
        <is>
          <t>Negative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IF(B27=0,"",RANK(B27,$B$2:$B$43,0))</f>
        <v/>
      </c>
      <c r="B27" s="32">
        <f>SUM(N27,Y27,AA27,AC27,AE27,AG27,AI27,AK27,AM27,AO27,AQ27,AS27,AU27,AW27,AY27,BA27,BC27,BE27,BG27,BI27,BK27,BM27,BO27,BQ27,BS27,BU27,BW27,BY27,CA27)</f>
        <v/>
      </c>
      <c r="C27" s="33" t="inlineStr">
        <is>
          <t>NIACL</t>
        </is>
      </c>
      <c r="D27" s="33" t="inlineStr">
        <is>
          <t>New India Assurance Company Ltd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largecap</t>
        </is>
      </c>
      <c r="H27" s="32" t="n">
        <v>30344.62</v>
      </c>
      <c r="I27" s="32" t="n">
        <v>183.9</v>
      </c>
      <c r="J27" s="32" t="n">
        <v>-0.12</v>
      </c>
      <c r="K27" s="32" t="n">
        <v>748595</v>
      </c>
      <c r="L27" s="31" t="n">
        <v>13</v>
      </c>
      <c r="M27" s="31" t="inlineStr">
        <is>
          <t>Underperforming</t>
        </is>
      </c>
      <c r="N27" s="32">
        <f>IF(M27="Underperforming",-5,IF(L27&gt;=95,15,IF(L27&gt;=90,10,IF(L27&gt;=80,5,0))))</f>
        <v/>
      </c>
      <c r="O27" s="32" t="n">
        <v>59.3</v>
      </c>
      <c r="P27" s="32" t="n">
        <v>26.38</v>
      </c>
      <c r="Q27" s="32" t="inlineStr"/>
      <c r="R27" s="31" t="inlineStr">
        <is>
          <t>Earnings / Momentum Support</t>
        </is>
      </c>
      <c r="S27" s="31" t="inlineStr">
        <is>
          <t>Nifty Bank</t>
        </is>
      </c>
      <c r="T27" s="32" t="n">
        <v>4.74</v>
      </c>
      <c r="U27" s="32" t="n">
        <v>-4.49</v>
      </c>
      <c r="V27" s="32" t="n">
        <v>-8.81</v>
      </c>
      <c r="W27" s="32" t="n">
        <v>2.21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20 to 40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3</t>
        </is>
      </c>
      <c r="BQ27" s="31">
        <f>IF(BP27="Stage 2",20,IF(BP27="Stage 1",0,IF(BP27="Stage 3",5,IF(BP27="Stage 4",-5,0))))</f>
        <v/>
      </c>
      <c r="BR27" s="31" t="inlineStr">
        <is>
          <t>Negative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IF(B28=0,"",RANK(B28,$B$2:$B$43,0))</f>
        <v/>
      </c>
      <c r="B28" s="32">
        <f>SUM(N28,Y28,AA28,AC28,AE28,AG28,AI28,AK28,AM28,AO28,AQ28,AS28,AU28,AW28,AY28,BA28,BC28,BE28,BG28,BI28,BK28,BM28,BO28,BQ28,BS28,BU28,BW28,BY28,CA28)</f>
        <v/>
      </c>
      <c r="C28" s="33" t="inlineStr">
        <is>
          <t>KOTAKBANK</t>
        </is>
      </c>
      <c r="D28" s="33" t="inlineStr">
        <is>
          <t>Kotak Mahindra Bank Limited</t>
        </is>
      </c>
      <c r="E28" s="31" t="inlineStr">
        <is>
          <t>bank</t>
        </is>
      </c>
      <c r="F28" s="31" t="inlineStr">
        <is>
          <t>banks - private sector</t>
        </is>
      </c>
      <c r="G28" s="31" t="inlineStr">
        <is>
          <t>largecap</t>
        </is>
      </c>
      <c r="H28" s="32" t="n">
        <v>400653.44</v>
      </c>
      <c r="I28" s="32" t="n">
        <v>401.45</v>
      </c>
      <c r="J28" s="32" t="n">
        <v>-0.34</v>
      </c>
      <c r="K28" s="32" t="n">
        <v>14607148</v>
      </c>
      <c r="L28" s="31" t="n">
        <v>11</v>
      </c>
      <c r="M28" s="31" t="inlineStr">
        <is>
          <t>Underperforming</t>
        </is>
      </c>
      <c r="N28" s="32">
        <f>IF(M28="Underperforming",-5,IF(L28&gt;=95,15,IF(L28&gt;=90,10,IF(L28&gt;=80,5,0))))</f>
        <v/>
      </c>
      <c r="O28" s="32" t="n">
        <v>54.55</v>
      </c>
      <c r="P28" s="32" t="n">
        <v>8.970000000000001</v>
      </c>
      <c r="Q28" s="32" t="inlineStr"/>
      <c r="R28" s="31" t="inlineStr">
        <is>
          <t>Earnings / Momentum Support</t>
        </is>
      </c>
      <c r="S28" s="31" t="inlineStr">
        <is>
          <t>Nifty Bank</t>
        </is>
      </c>
      <c r="T28" s="32" t="n">
        <v>4.74</v>
      </c>
      <c r="U28" s="32" t="n">
        <v>1.55</v>
      </c>
      <c r="V28" s="32" t="n">
        <v>-3.04</v>
      </c>
      <c r="W28" s="32" t="n">
        <v>1.45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more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3</t>
        </is>
      </c>
      <c r="BQ28" s="31">
        <f>IF(BP28="Stage 2",20,IF(BP28="Stage 1",0,IF(BP28="Stage 3",5,IF(BP28="Stage 4",-5,0))))</f>
        <v/>
      </c>
      <c r="BR28" s="31" t="inlineStr">
        <is>
          <t>Negative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IF(B29=0,"",RANK(B29,$B$2:$B$43,0))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MCX</t>
        </is>
      </c>
      <c r="D29" s="31" t="inlineStr">
        <is>
          <t>Multi Commodity Exchange Of India Limited</t>
        </is>
      </c>
      <c r="E29" s="31" t="inlineStr">
        <is>
          <t>financials</t>
        </is>
      </c>
      <c r="F29" s="31" t="inlineStr">
        <is>
          <t>miscellaneous</t>
        </is>
      </c>
      <c r="G29" s="31" t="inlineStr">
        <is>
          <t>largecap</t>
        </is>
      </c>
      <c r="H29" s="32" t="n">
        <v>81214.89999999999</v>
      </c>
      <c r="I29" s="32" t="n">
        <v>3268</v>
      </c>
      <c r="J29" s="32" t="n">
        <v>2.61</v>
      </c>
      <c r="K29" s="32" t="n">
        <v>3378063</v>
      </c>
      <c r="L29" s="31" t="n">
        <v>61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66.47</v>
      </c>
      <c r="P29" s="32" t="n">
        <v>20.57</v>
      </c>
      <c r="Q29" s="32" t="inlineStr"/>
      <c r="R29" s="31" t="inlineStr">
        <is>
          <t>Earnings / Momentum Support</t>
        </is>
      </c>
      <c r="S29" s="31" t="inlineStr">
        <is>
          <t>Nifty Bank</t>
        </is>
      </c>
      <c r="T29" s="32" t="n">
        <v>4.74</v>
      </c>
      <c r="U29" s="32" t="n">
        <v>100.06</v>
      </c>
      <c r="V29" s="32" t="n">
        <v>91.01000000000001</v>
      </c>
      <c r="W29" s="32" t="n">
        <v>15.33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above 5x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3</t>
        </is>
      </c>
      <c r="BQ29" s="31">
        <f>IF(BP29="Stage 2",20,IF(BP29="Stage 1",0,IF(BP29="Stage 3",5,IF(BP29="Stage 4",-5,0))))</f>
        <v/>
      </c>
      <c r="BR29" s="31" t="inlineStr">
        <is>
          <t>Negative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IF(B30=0,"",RANK(B30,$B$2:$B$43,0))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MONARCH</t>
        </is>
      </c>
      <c r="D30" s="31" t="inlineStr">
        <is>
          <t>Monarch Networth Capital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smallcap</t>
        </is>
      </c>
      <c r="H30" s="32" t="n">
        <v>3056.94</v>
      </c>
      <c r="I30" s="32" t="n">
        <v>385.8</v>
      </c>
      <c r="J30" s="32" t="n">
        <v>0.09</v>
      </c>
      <c r="K30" s="32" t="n">
        <v>90824</v>
      </c>
      <c r="L30" s="31" t="n">
        <v>35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69.89</v>
      </c>
      <c r="P30" s="32" t="n">
        <v>32.36</v>
      </c>
      <c r="Q30" s="32" t="inlineStr"/>
      <c r="R30" s="31" t="inlineStr">
        <is>
          <t>Earnings / Momentum Support</t>
        </is>
      </c>
      <c r="S30" s="31" t="inlineStr">
        <is>
          <t>Nifty Bank</t>
        </is>
      </c>
      <c r="T30" s="32" t="n">
        <v>4.74</v>
      </c>
      <c r="U30" s="32" t="n">
        <v>15.91</v>
      </c>
      <c r="V30" s="32" t="n">
        <v>10.67</v>
      </c>
      <c r="W30" s="32" t="n">
        <v>7.7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between 2.5x to 5x and Growth less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20 to 40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3</t>
        </is>
      </c>
      <c r="BQ30" s="31">
        <f>IF(BP30="Stage 2",20,IF(BP30="Stage 1",0,IF(BP30="Stage 3",5,IF(BP30="Stage 4",-5,0))))</f>
        <v/>
      </c>
      <c r="BR30" s="31" t="inlineStr">
        <is>
          <t>Negative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IF(B31=0,"",RANK(B31,$B$2:$B$43,0))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NAM-INDIA</t>
        </is>
      </c>
      <c r="D31" s="31" t="inlineStr">
        <is>
          <t>Nippon Life India Asset Management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largecap</t>
        </is>
      </c>
      <c r="H31" s="32" t="n">
        <v>79975.92</v>
      </c>
      <c r="I31" s="32" t="n">
        <v>1247.8</v>
      </c>
      <c r="J31" s="32" t="n">
        <v>-0.26</v>
      </c>
      <c r="K31" s="32" t="n">
        <v>859964</v>
      </c>
      <c r="L31" s="31" t="n">
        <v>51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67.39</v>
      </c>
      <c r="P31" s="32" t="n">
        <v>39.74</v>
      </c>
      <c r="Q31" s="32" t="inlineStr"/>
      <c r="R31" s="31" t="inlineStr">
        <is>
          <t>Earnings / Momentum Support</t>
        </is>
      </c>
      <c r="S31" s="31" t="inlineStr">
        <is>
          <t>Nifty Bank</t>
        </is>
      </c>
      <c r="T31" s="32" t="n">
        <v>4.74</v>
      </c>
      <c r="U31" s="32" t="n">
        <v>47.74</v>
      </c>
      <c r="V31" s="32" t="n">
        <v>41.05</v>
      </c>
      <c r="W31" s="32" t="n">
        <v>11.71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above 5x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20 to 40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3</t>
        </is>
      </c>
      <c r="BQ31" s="31">
        <f>IF(BP31="Stage 2",20,IF(BP31="Stage 1",0,IF(BP31="Stage 3",5,IF(BP31="Stage 4",-5,0))))</f>
        <v/>
      </c>
      <c r="BR31" s="31" t="inlineStr">
        <is>
          <t>Negative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IF(B32=0,"",RANK(B32,$B$2:$B$43,0))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PRUDENT</t>
        </is>
      </c>
      <c r="D32" s="31" t="inlineStr">
        <is>
          <t>Prudent Corporate Advisory Services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midcap</t>
        </is>
      </c>
      <c r="H32" s="32" t="n">
        <v>13885.73</v>
      </c>
      <c r="I32" s="32" t="n">
        <v>3332</v>
      </c>
      <c r="J32" s="32" t="n">
        <v>-0.64</v>
      </c>
      <c r="K32" s="32" t="n">
        <v>33770</v>
      </c>
      <c r="L32" s="31" t="n">
        <v>41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67.45</v>
      </c>
      <c r="P32" s="32" t="n">
        <v>31.57</v>
      </c>
      <c r="Q32" s="32" t="inlineStr"/>
      <c r="R32" s="31" t="inlineStr">
        <is>
          <t>Earnings / Momentum Support</t>
        </is>
      </c>
      <c r="S32" s="31" t="inlineStr">
        <is>
          <t>Nifty Bank</t>
        </is>
      </c>
      <c r="T32" s="32" t="n">
        <v>4.74</v>
      </c>
      <c r="U32" s="32" t="n">
        <v>16.1</v>
      </c>
      <c r="V32" s="32" t="n">
        <v>10.85</v>
      </c>
      <c r="W32" s="32" t="n">
        <v>9.289999999999999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above 5x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20 to 40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3</t>
        </is>
      </c>
      <c r="BQ32" s="31">
        <f>IF(BP32="Stage 2",20,IF(BP32="Stage 1",0,IF(BP32="Stage 3",5,IF(BP32="Stage 4",-5,0))))</f>
        <v/>
      </c>
      <c r="BR32" s="31" t="inlineStr">
        <is>
          <t>Negative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IF(B33=0,"",RANK(B33,$B$2:$B$43,0))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ANANDRATHI</t>
        </is>
      </c>
      <c r="D33" s="31" t="inlineStr">
        <is>
          <t>Anand Rathi Wealth Ltd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largecap</t>
        </is>
      </c>
      <c r="H33" s="32" t="n">
        <v>36329.83</v>
      </c>
      <c r="I33" s="32" t="n">
        <v>2162.1</v>
      </c>
      <c r="J33" s="32" t="n">
        <v>-1.18</v>
      </c>
      <c r="K33" s="32" t="n">
        <v>160278</v>
      </c>
      <c r="L33" s="31" t="n">
        <v>59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75.59</v>
      </c>
      <c r="P33" s="32" t="n">
        <v>54.63</v>
      </c>
      <c r="Q33" s="32" t="inlineStr"/>
      <c r="R33" s="31" t="inlineStr">
        <is>
          <t>Earnings / Momentum Support</t>
        </is>
      </c>
      <c r="S33" s="31" t="inlineStr">
        <is>
          <t>Nifty Bank</t>
        </is>
      </c>
      <c r="T33" s="32" t="n">
        <v>4.74</v>
      </c>
      <c r="U33" s="32" t="n">
        <v>56.55</v>
      </c>
      <c r="V33" s="32" t="n">
        <v>49.47</v>
      </c>
      <c r="W33" s="32" t="n">
        <v>14.23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above 5x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Above 40</t>
        </is>
      </c>
      <c r="BM33" s="31">
        <f>IF(BL33="Above 40",20,IF(BL33="20 to 40",10,IF(BL33="0 to 20",-5,0)))</f>
        <v/>
      </c>
      <c r="BN33" s="31" t="inlineStr">
        <is>
          <t>Above 75</t>
        </is>
      </c>
      <c r="BO33" s="31">
        <f>IF(BN33="Between 50 to 75",10,IF(BN33="Above 75",0,0))</f>
        <v/>
      </c>
      <c r="BP33" s="31" t="inlineStr">
        <is>
          <t>Stage 3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IF(B34=0,"",RANK(B34,$B$2:$B$43,0))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EDELWEISS</t>
        </is>
      </c>
      <c r="D34" s="31" t="inlineStr">
        <is>
          <t>Edelweiss Financial Services Limited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midcap</t>
        </is>
      </c>
      <c r="H34" s="32" t="n">
        <v>12179.97</v>
      </c>
      <c r="I34" s="32" t="n">
        <v>125.41</v>
      </c>
      <c r="J34" s="32" t="n">
        <v>-2.54</v>
      </c>
      <c r="K34" s="32" t="n">
        <v>5292055</v>
      </c>
      <c r="L34" s="31" t="n">
        <v>47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60.74</v>
      </c>
      <c r="P34" s="32" t="n">
        <v>12.46</v>
      </c>
      <c r="Q34" s="32" t="inlineStr"/>
      <c r="R34" s="31" t="inlineStr">
        <is>
          <t>Earnings / Momentum Support</t>
        </is>
      </c>
      <c r="S34" s="31" t="inlineStr">
        <is>
          <t>Nifty Bank</t>
        </is>
      </c>
      <c r="T34" s="32" t="n">
        <v>4.74</v>
      </c>
      <c r="U34" s="32" t="n">
        <v>38.91</v>
      </c>
      <c r="V34" s="32" t="n">
        <v>32.63</v>
      </c>
      <c r="W34" s="32" t="n">
        <v>10.73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between 2.5x to 5x and Growth more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3</t>
        </is>
      </c>
      <c r="BQ34" s="31">
        <f>IF(BP34="Stage 2",20,IF(BP34="Stage 1",0,IF(BP34="Stage 3",5,IF(BP34="Stage 4",-5,0))))</f>
        <v/>
      </c>
      <c r="BR34" s="31" t="inlineStr">
        <is>
          <t>Negative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IF(B35=0,"",RANK(B35,$B$2:$B$43,0))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GEOJITFSL</t>
        </is>
      </c>
      <c r="D35" s="31" t="inlineStr">
        <is>
          <t>Geojit Financial Services Ltd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smallcap</t>
        </is>
      </c>
      <c r="H35" s="32" t="n">
        <v>2253.07</v>
      </c>
      <c r="I35" s="32" t="n">
        <v>82.98</v>
      </c>
      <c r="J35" s="32" t="n">
        <v>2.8</v>
      </c>
      <c r="K35" s="32" t="n">
        <v>1890394</v>
      </c>
      <c r="L35" s="31" t="n">
        <v>23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62.91</v>
      </c>
      <c r="P35" s="32" t="n">
        <v>13.01</v>
      </c>
      <c r="Q35" s="32" t="inlineStr"/>
      <c r="R35" s="31" t="inlineStr">
        <is>
          <t>Earnings / Momentum Support</t>
        </is>
      </c>
      <c r="S35" s="31" t="inlineStr">
        <is>
          <t>Nifty Bank</t>
        </is>
      </c>
      <c r="T35" s="32" t="n">
        <v>4.74</v>
      </c>
      <c r="U35" s="32" t="n">
        <v>12.01</v>
      </c>
      <c r="V35" s="32" t="n">
        <v>6.94</v>
      </c>
      <c r="W35" s="32" t="n">
        <v>5.03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less than 2.5x and Growth less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3</t>
        </is>
      </c>
      <c r="BQ35" s="31">
        <f>IF(BP35="Stage 2",20,IF(BP35="Stage 1",0,IF(BP35="Stage 3",5,IF(BP35="Stage 4",-5,0))))</f>
        <v/>
      </c>
      <c r="BR35" s="31" t="inlineStr">
        <is>
          <t>Negative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IF(B36=0,"",RANK(B36,$B$2:$B$43,0))</f>
        <v/>
      </c>
      <c r="B36" s="32">
        <f>SUM(N36,Y36,AA36,AC36,AE36,AG36,AI36,AK36,AM36,AO36,AQ36,AS36,AU36,AW36,AY36,BA36,BC36,BE36,BG36,BI36,BK36,BM36,BO36,BQ36,BS36,BU36,BW36,BY36,CA36)</f>
        <v/>
      </c>
      <c r="C36" s="33" t="inlineStr">
        <is>
          <t>LICI</t>
        </is>
      </c>
      <c r="D36" s="33" t="inlineStr">
        <is>
          <t>Life Insurance Corporation of India Ltd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largecap</t>
        </is>
      </c>
      <c r="H36" s="32" t="n">
        <v>534146.0600000001</v>
      </c>
      <c r="I36" s="32" t="n">
        <v>421.85</v>
      </c>
      <c r="J36" s="32" t="n">
        <v>-0.09</v>
      </c>
      <c r="K36" s="32" t="n">
        <v>10783798</v>
      </c>
      <c r="L36" s="31" t="n">
        <v>10</v>
      </c>
      <c r="M36" s="31" t="inlineStr">
        <is>
          <t>Underperforming</t>
        </is>
      </c>
      <c r="N36" s="32">
        <f>IF(M36="Underperforming",-5,IF(L36&gt;=95,15,IF(L36&gt;=90,10,IF(L36&gt;=80,5,0))))</f>
        <v/>
      </c>
      <c r="O36" s="32" t="n">
        <v>53.12</v>
      </c>
      <c r="P36" s="32" t="n">
        <v>15.68</v>
      </c>
      <c r="Q36" s="32" t="inlineStr"/>
      <c r="R36" s="31" t="inlineStr">
        <is>
          <t>Earnings / Momentum Support</t>
        </is>
      </c>
      <c r="S36" s="31" t="inlineStr">
        <is>
          <t>Nifty Bank</t>
        </is>
      </c>
      <c r="T36" s="32" t="n">
        <v>4.74</v>
      </c>
      <c r="U36" s="32" t="n">
        <v>-2.79</v>
      </c>
      <c r="V36" s="32" t="n">
        <v>-7.19</v>
      </c>
      <c r="W36" s="32" t="n">
        <v>0.8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between 2.5x to 5x and Growth more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3</t>
        </is>
      </c>
      <c r="BQ36" s="31">
        <f>IF(BP36="Stage 2",20,IF(BP36="Stage 1",0,IF(BP36="Stage 3",5,IF(BP36="Stage 4",-5,0))))</f>
        <v/>
      </c>
      <c r="BR36" s="31" t="inlineStr">
        <is>
          <t>Negative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IF(B37=0,"",RANK(B37,$B$2:$B$43,0))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PNB</t>
        </is>
      </c>
      <c r="D37" s="31" t="inlineStr">
        <is>
          <t>Punjab National Bank Ltd</t>
        </is>
      </c>
      <c r="E37" s="31" t="inlineStr">
        <is>
          <t>bank</t>
        </is>
      </c>
      <c r="F37" s="31" t="inlineStr">
        <is>
          <t>banks - public sector</t>
        </is>
      </c>
      <c r="G37" s="31" t="inlineStr">
        <is>
          <t>largecap</t>
        </is>
      </c>
      <c r="H37" s="32" t="n">
        <v>133950.25</v>
      </c>
      <c r="I37" s="32" t="n">
        <v>115.86</v>
      </c>
      <c r="J37" s="32" t="n">
        <v>-0.59</v>
      </c>
      <c r="K37" s="32" t="n">
        <v>10449880</v>
      </c>
      <c r="L37" s="31" t="n">
        <v>32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59.17</v>
      </c>
      <c r="P37" s="32" t="n">
        <v>9.57</v>
      </c>
      <c r="Q37" s="32" t="inlineStr"/>
      <c r="R37" s="31" t="inlineStr">
        <is>
          <t>Earnings / Momentum Support</t>
        </is>
      </c>
      <c r="S37" s="31" t="inlineStr">
        <is>
          <t>Nifty Bank</t>
        </is>
      </c>
      <c r="T37" s="32" t="n">
        <v>4.74</v>
      </c>
      <c r="U37" s="32" t="n">
        <v>13.91</v>
      </c>
      <c r="V37" s="32" t="n">
        <v>8.76</v>
      </c>
      <c r="W37" s="32" t="n">
        <v>7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less than 2.5x and Growth less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3</t>
        </is>
      </c>
      <c r="BQ37" s="31">
        <f>IF(BP37="Stage 2",20,IF(BP37="Stage 1",0,IF(BP37="Stage 3",5,IF(BP37="Stage 4",-5,0))))</f>
        <v/>
      </c>
      <c r="BR37" s="31" t="inlineStr">
        <is>
          <t>Negative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IF(B38=0,"",RANK(B38,$B$2:$B$43,0))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MOTILALOFS</t>
        </is>
      </c>
      <c r="D38" s="31" t="inlineStr">
        <is>
          <t>Motilal Oswal Financial Services Limited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largecap</t>
        </is>
      </c>
      <c r="H38" s="32" t="n">
        <v>59612.52</v>
      </c>
      <c r="I38" s="32" t="n">
        <v>990</v>
      </c>
      <c r="J38" s="32" t="n">
        <v>0</v>
      </c>
      <c r="K38" s="32" t="n">
        <v>879318</v>
      </c>
      <c r="L38" s="31" t="n">
        <v>25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62.28</v>
      </c>
      <c r="P38" s="32" t="n">
        <v>16.37</v>
      </c>
      <c r="Q38" s="32" t="inlineStr"/>
      <c r="R38" s="31" t="inlineStr">
        <is>
          <t>Earnings / Momentum Support</t>
        </is>
      </c>
      <c r="S38" s="31" t="inlineStr">
        <is>
          <t>Nifty Bank</t>
        </is>
      </c>
      <c r="T38" s="32" t="n">
        <v>4.74</v>
      </c>
      <c r="U38" s="32" t="n">
        <v>7.4</v>
      </c>
      <c r="V38" s="32" t="n">
        <v>2.54</v>
      </c>
      <c r="W38" s="32" t="n">
        <v>5.47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between 2.5x to 5x and Growth less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3</t>
        </is>
      </c>
      <c r="BQ38" s="31">
        <f>IF(BP38="Stage 2",20,IF(BP38="Stage 1",0,IF(BP38="Stage 3",5,IF(BP38="Stage 4",-5,0))))</f>
        <v/>
      </c>
      <c r="BR38" s="31" t="inlineStr">
        <is>
          <t>Negative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IF(B39=0,"",RANK(B39,$B$2:$B$43,0))</f>
        <v/>
      </c>
      <c r="B39" s="32">
        <f>SUM(N39,Y39,AA39,AC39,AE39,AG39,AI39,AK39,AM39,AO39,AQ39,AS39,AU39,AW39,AY39,BA39,BC39,BE39,BG39,BI39,BK39,BM39,BO39,BQ39,BS39,BU39,BW39,BY39,CA39)</f>
        <v/>
      </c>
      <c r="C39" s="31" t="inlineStr">
        <is>
          <t>360ONE</t>
        </is>
      </c>
      <c r="D39" s="31" t="inlineStr">
        <is>
          <t>360 ONE WAM Ltd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largecap</t>
        </is>
      </c>
      <c r="H39" s="32" t="n">
        <v>48761.53</v>
      </c>
      <c r="I39" s="32" t="n">
        <v>1189.8</v>
      </c>
      <c r="J39" s="32" t="n">
        <v>-0.77</v>
      </c>
      <c r="K39" s="32" t="n">
        <v>677386</v>
      </c>
      <c r="L39" s="31" t="n">
        <v>18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60.73</v>
      </c>
      <c r="P39" s="32" t="n">
        <v>16.39</v>
      </c>
      <c r="Q39" s="32" t="inlineStr"/>
      <c r="R39" s="31" t="inlineStr">
        <is>
          <t>Earnings / Momentum Support</t>
        </is>
      </c>
      <c r="S39" s="31" t="inlineStr">
        <is>
          <t>Nifty Bank</t>
        </is>
      </c>
      <c r="T39" s="32" t="n">
        <v>4.74</v>
      </c>
      <c r="U39" s="32" t="n">
        <v>12.48</v>
      </c>
      <c r="V39" s="32" t="n">
        <v>7.39</v>
      </c>
      <c r="W39" s="32" t="n">
        <v>4.02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between 2.5x to 5x and Growth less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3</t>
        </is>
      </c>
      <c r="BQ39" s="31">
        <f>IF(BP39="Stage 2",20,IF(BP39="Stage 1",0,IF(BP39="Stage 3",5,IF(BP39="Stage 4",-5,0))))</f>
        <v/>
      </c>
      <c r="BR39" s="31" t="inlineStr">
        <is>
          <t>Negative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IF(B40=0,"",RANK(B40,$B$2:$B$43,0))</f>
        <v/>
      </c>
      <c r="B40" s="32">
        <f>SUM(N40,Y40,AA40,AC40,AE40,AG40,AI40,AK40,AM40,AO40,AQ40,AS40,AU40,AW40,AY40,BA40,BC40,BE40,BG40,BI40,BK40,BM40,BO40,BQ40,BS40,BU40,BW40,BY40,CA40)</f>
        <v/>
      </c>
      <c r="C40" s="33" t="inlineStr">
        <is>
          <t>HDFCAMC</t>
        </is>
      </c>
      <c r="D40" s="33" t="inlineStr">
        <is>
          <t>HDFC Asset Management Company Ltd</t>
        </is>
      </c>
      <c r="E40" s="31" t="inlineStr">
        <is>
          <t>financials</t>
        </is>
      </c>
      <c r="F40" s="31" t="inlineStr">
        <is>
          <t>finance &amp; investments</t>
        </is>
      </c>
      <c r="G40" s="31" t="inlineStr">
        <is>
          <t>largecap</t>
        </is>
      </c>
      <c r="H40" s="32" t="n">
        <v>111878.5</v>
      </c>
      <c r="I40" s="32" t="n">
        <v>2618</v>
      </c>
      <c r="J40" s="32" t="n">
        <v>0.31</v>
      </c>
      <c r="K40" s="32" t="n">
        <v>649177</v>
      </c>
      <c r="L40" s="31" t="n">
        <v>1</v>
      </c>
      <c r="M40" s="31" t="inlineStr">
        <is>
          <t>Underperforming</t>
        </is>
      </c>
      <c r="N40" s="32">
        <f>IF(M40="Underperforming",-5,IF(L40&gt;=95,15,IF(L40&gt;=90,10,IF(L40&gt;=80,5,0))))</f>
        <v/>
      </c>
      <c r="O40" s="32" t="n">
        <v>50.63</v>
      </c>
      <c r="P40" s="32" t="n">
        <v>7.06</v>
      </c>
      <c r="Q40" s="32" t="inlineStr"/>
      <c r="R40" s="31" t="inlineStr">
        <is>
          <t>Earnings / Momentum Support</t>
        </is>
      </c>
      <c r="S40" s="31" t="inlineStr">
        <is>
          <t>Nifty Bank</t>
        </is>
      </c>
      <c r="T40" s="32" t="n">
        <v>4.74</v>
      </c>
      <c r="U40" s="32" t="n">
        <v>-8.470000000000001</v>
      </c>
      <c r="V40" s="32" t="n">
        <v>-12.61</v>
      </c>
      <c r="W40" s="32" t="n">
        <v>-2.23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No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above 5x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3</t>
        </is>
      </c>
      <c r="BQ40" s="31">
        <f>IF(BP40="Stage 2",20,IF(BP40="Stage 1",0,IF(BP40="Stage 3",5,IF(BP40="Stage 4",-5,0))))</f>
        <v/>
      </c>
      <c r="BR40" s="31" t="inlineStr">
        <is>
          <t>Negative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IF(B41=0,"",RANK(B41,$B$2:$B$43,0))</f>
        <v/>
      </c>
      <c r="B41" s="32">
        <f>SUM(N41,Y41,AA41,AC41,AE41,AG41,AI41,AK41,AM41,AO41,AQ41,AS41,AU41,AW41,AY41,BA41,BC41,BE41,BG41,BI41,BK41,BM41,BO41,BQ41,BS41,BU41,BW41,BY41,CA41)</f>
        <v/>
      </c>
      <c r="C41" s="33" t="inlineStr">
        <is>
          <t>CDSL</t>
        </is>
      </c>
      <c r="D41" s="33" t="inlineStr">
        <is>
          <t>Central Depository Services Ltd</t>
        </is>
      </c>
      <c r="E41" s="31" t="inlineStr">
        <is>
          <t>financials</t>
        </is>
      </c>
      <c r="F41" s="31" t="inlineStr">
        <is>
          <t>miscellaneous</t>
        </is>
      </c>
      <c r="G41" s="31" t="inlineStr">
        <is>
          <t>largecap</t>
        </is>
      </c>
      <c r="H41" s="32" t="n">
        <v>29028.01</v>
      </c>
      <c r="I41" s="32" t="n">
        <v>1385.1</v>
      </c>
      <c r="J41" s="32" t="n">
        <v>-0.27</v>
      </c>
      <c r="K41" s="32" t="n">
        <v>2218068</v>
      </c>
      <c r="L41" s="31" t="n">
        <v>12</v>
      </c>
      <c r="M41" s="31" t="inlineStr">
        <is>
          <t>Underperforming</t>
        </is>
      </c>
      <c r="N41" s="32">
        <f>IF(M41="Underperforming",-5,IF(L41&gt;=95,15,IF(L41&gt;=90,10,IF(L41&gt;=80,5,0))))</f>
        <v/>
      </c>
      <c r="O41" s="32" t="n">
        <v>55.61</v>
      </c>
      <c r="P41" s="32" t="n">
        <v>11.11</v>
      </c>
      <c r="Q41" s="32" t="inlineStr"/>
      <c r="R41" s="31" t="inlineStr">
        <is>
          <t>Earnings / Momentum Support</t>
        </is>
      </c>
      <c r="S41" s="31" t="inlineStr">
        <is>
          <t>Nifty Bank</t>
        </is>
      </c>
      <c r="T41" s="32" t="n">
        <v>4.74</v>
      </c>
      <c r="U41" s="32" t="n">
        <v>-10.98</v>
      </c>
      <c r="V41" s="32" t="n">
        <v>-15</v>
      </c>
      <c r="W41" s="32" t="n">
        <v>1.65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above 5x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3</t>
        </is>
      </c>
      <c r="BQ41" s="31">
        <f>IF(BP41="Stage 2",20,IF(BP41="Stage 1",0,IF(BP41="Stage 3",5,IF(BP41="Stage 4",-5,0))))</f>
        <v/>
      </c>
      <c r="BR41" s="31" t="inlineStr">
        <is>
          <t>Negative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IF(B42=0,"",RANK(B42,$B$2:$B$43,0))</f>
        <v/>
      </c>
      <c r="B42" s="32">
        <f>SUM(N42,Y42,AA42,AC42,AE42,AG42,AI42,AK42,AM42,AO42,AQ42,AS42,AU42,AW42,AY42,BA42,BC42,BE42,BG42,BI42,BK42,BM42,BO42,BQ42,BS42,BU42,BW42,BY42,CA42)</f>
        <v/>
      </c>
      <c r="C42" s="33" t="inlineStr">
        <is>
          <t>CRISIL</t>
        </is>
      </c>
      <c r="D42" s="33" t="inlineStr">
        <is>
          <t>Crisil Limited</t>
        </is>
      </c>
      <c r="E42" s="31" t="inlineStr">
        <is>
          <t>financials</t>
        </is>
      </c>
      <c r="F42" s="31" t="inlineStr">
        <is>
          <t>miscellaneous</t>
        </is>
      </c>
      <c r="G42" s="31" t="inlineStr">
        <is>
          <t>largecap</t>
        </is>
      </c>
      <c r="H42" s="32" t="n">
        <v>33014.55</v>
      </c>
      <c r="I42" s="32" t="n">
        <v>4493</v>
      </c>
      <c r="J42" s="32" t="n">
        <v>-0.48</v>
      </c>
      <c r="K42" s="32" t="n">
        <v>35298</v>
      </c>
      <c r="L42" s="31" t="n">
        <v>6</v>
      </c>
      <c r="M42" s="31" t="inlineStr">
        <is>
          <t>Underperforming</t>
        </is>
      </c>
      <c r="N42" s="32">
        <f>IF(M42="Underperforming",-5,IF(L42&gt;=95,15,IF(L42&gt;=90,10,IF(L42&gt;=80,5,0))))</f>
        <v/>
      </c>
      <c r="O42" s="32" t="n">
        <v>57.98</v>
      </c>
      <c r="P42" s="32" t="n">
        <v>13.72</v>
      </c>
      <c r="Q42" s="32" t="inlineStr"/>
      <c r="R42" s="31" t="inlineStr">
        <is>
          <t>Earnings / Momentum Support</t>
        </is>
      </c>
      <c r="S42" s="31" t="inlineStr">
        <is>
          <t>Nifty Bank</t>
        </is>
      </c>
      <c r="T42" s="32" t="n">
        <v>4.74</v>
      </c>
      <c r="U42" s="32" t="n">
        <v>-13.75</v>
      </c>
      <c r="V42" s="32" t="n">
        <v>-17.65</v>
      </c>
      <c r="W42" s="32" t="n">
        <v>-0.36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above 5x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3</t>
        </is>
      </c>
      <c r="BQ42" s="31">
        <f>IF(BP42="Stage 2",20,IF(BP42="Stage 1",0,IF(BP42="Stage 3",5,IF(BP42="Stage 4",-5,0))))</f>
        <v/>
      </c>
      <c r="BR42" s="31" t="inlineStr">
        <is>
          <t>Negative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IF(B43=0,"",RANK(B43,$B$2:$B$43,0))</f>
        <v/>
      </c>
      <c r="B43" s="32">
        <f>SUM(N43,Y43,AA43,AC43,AE43,AG43,AI43,AK43,AM43,AO43,AQ43,AS43,AU43,AW43,AY43,BA43,BC43,BE43,BG43,BI43,BK43,BM43,BO43,BQ43,BS43,BU43,BW43,BY43,CA43)</f>
        <v/>
      </c>
      <c r="C43" s="31" t="inlineStr">
        <is>
          <t>KARURVYSYA</t>
        </is>
      </c>
      <c r="D43" s="31" t="inlineStr">
        <is>
          <t>Karur Vysya Bank Limited</t>
        </is>
      </c>
      <c r="E43" s="31" t="inlineStr">
        <is>
          <t>bank</t>
        </is>
      </c>
      <c r="F43" s="31" t="inlineStr">
        <is>
          <t>banks - private sector</t>
        </is>
      </c>
      <c r="G43" s="31" t="inlineStr">
        <is>
          <t>largecap</t>
        </is>
      </c>
      <c r="H43" s="32" t="n">
        <v>32431.74</v>
      </c>
      <c r="I43" s="32" t="n">
        <v>338.15</v>
      </c>
      <c r="J43" s="32" t="n">
        <v>0.79</v>
      </c>
      <c r="K43" s="32" t="n">
        <v>1319495</v>
      </c>
      <c r="L43" s="31" t="inlineStr"/>
      <c r="M43" s="31" t="inlineStr"/>
      <c r="N43" s="32">
        <f>IF(M43="Underperforming",-5,IF(L43&gt;=95,15,IF(L43&gt;=90,10,IF(L43&gt;=80,5,0))))</f>
        <v/>
      </c>
      <c r="O43" s="32" t="inlineStr"/>
      <c r="P43" s="32" t="inlineStr"/>
      <c r="Q43" s="32" t="inlineStr"/>
      <c r="R43" s="31" t="inlineStr"/>
      <c r="S43" s="31" t="inlineStr"/>
      <c r="T43" s="32" t="inlineStr"/>
      <c r="U43" s="32" t="inlineStr"/>
      <c r="V43" s="32" t="inlineStr"/>
      <c r="W43" s="32" t="inlineStr"/>
      <c r="X43" s="31" t="n"/>
      <c r="Y43" s="31">
        <f>IF(X43="Growing Industry",10,IF(X43="Cyclical in an Upturn",5,0))</f>
        <v/>
      </c>
      <c r="Z43" s="31" t="n"/>
      <c r="AA43" s="31">
        <f>IF(Z43="Fragmented with Low ROE",-5,IF(Z43="Fragmented with High ROE",10,IF(Z43= "highly cyclical",5,0)))</f>
        <v/>
      </c>
      <c r="AB43" s="31" t="n"/>
      <c r="AC43" s="31">
        <f>IF(AB43="No",5,0)</f>
        <v/>
      </c>
      <c r="AD43" s="31" t="n"/>
      <c r="AE43" s="31">
        <f>IF(AD43="Tailwind",10,0)</f>
        <v/>
      </c>
      <c r="AF43" s="31" t="n"/>
      <c r="AG43" s="31">
        <f>IF(AF43="Structural (10 Years Consistency)",15,IF(AF43="Shallow Cyclical (2 to 3 years growth)",10,IF(AF43 = "Cyclical in an Uptick",5,IF(AF43 = "Cyclical in an Downtick",-10,0))))</f>
        <v/>
      </c>
      <c r="AH43" s="31" t="n"/>
      <c r="AI43" s="31">
        <f>IF(AH43="Yes",10,0)</f>
        <v/>
      </c>
      <c r="AJ43" s="31" t="n"/>
      <c r="AK43" s="31">
        <f>IF(AJ43="Yes",10,0)</f>
        <v/>
      </c>
      <c r="AL43" s="31" t="n"/>
      <c r="AM43" s="31">
        <f>IF(AL43="No",10,0)</f>
        <v/>
      </c>
      <c r="AN43" s="31" t="n"/>
      <c r="AO43" s="31">
        <f>IF(AN43="Yes",10,0)</f>
        <v/>
      </c>
      <c r="AP43" s="31" t="n"/>
      <c r="AQ43" s="31">
        <f>IF(AP43="Yes",10,0)</f>
        <v/>
      </c>
      <c r="AR43" s="31" t="n"/>
      <c r="AS43" s="31">
        <f>IF(AR43="Yes",5,0)</f>
        <v/>
      </c>
      <c r="AT43" s="31" t="n"/>
      <c r="AU43" s="31">
        <f>IF(AT43="No",10,IF(AT43="Yes",-10,0))</f>
        <v/>
      </c>
      <c r="AV43" s="31" t="n"/>
      <c r="AW43" s="31">
        <f>IF(AV43="No",10,0)</f>
        <v/>
      </c>
      <c r="AX43" s="31" t="n"/>
      <c r="AY43" s="31">
        <f>IF(AX43="No",10,IF(AX43= "Yes CEO Resignation",-5,0))</f>
        <v/>
      </c>
      <c r="AZ43" s="31" t="n"/>
      <c r="BA43" s="31">
        <f>IF(AZ43="No",10,IF(AZ43="Yes",-5,0))</f>
        <v/>
      </c>
      <c r="BB43" s="31" t="n"/>
      <c r="BC43" s="31">
        <f>IF(BB43="No",5,IF(BB43="Yes",-5,0))</f>
        <v/>
      </c>
      <c r="BD43" s="31" t="n"/>
      <c r="BE43" s="31">
        <f>IF(BD43="Yes",10,0)</f>
        <v/>
      </c>
      <c r="BF43" s="31" t="n"/>
      <c r="BG43" s="31">
        <f>IF(BF43="Yes",10,0)</f>
        <v/>
      </c>
      <c r="BH43" s="31" t="n"/>
      <c r="BI43" s="31">
        <f>IF(BH43="Yes",10,0)</f>
        <v/>
      </c>
      <c r="BJ43" s="31" t="n"/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n"/>
      <c r="BM43" s="31">
        <f>IF(BL43="Above 40",20,IF(BL43="20 to 40",10,IF(BL43="0 to 20",-5,0)))</f>
        <v/>
      </c>
      <c r="BN43" s="31" t="n"/>
      <c r="BO43" s="31">
        <f>IF(BN43="Between 50 to 75",10,IF(BN43="Above 75",0,0))</f>
        <v/>
      </c>
      <c r="BP43" s="31" t="n"/>
      <c r="BQ43" s="31">
        <f>IF(BP43="Stage 2",20,IF(BP43="Stage 1",0,IF(BP43="Stage 3",5,IF(BP43="Stage 4",-5,0))))</f>
        <v/>
      </c>
      <c r="BR43" s="31" t="n"/>
      <c r="BS43" s="31">
        <f>IF(BR43="Positive Trend",20,IF(BR43="Negative Trend",-10,0))</f>
        <v/>
      </c>
      <c r="BT43" s="31" t="n"/>
      <c r="BU43" s="31">
        <f>IF(BT43="Uptrend",10,IF(BT43="Sideways",5,0))</f>
        <v/>
      </c>
      <c r="BV43" s="31" t="n"/>
      <c r="BW43" s="31">
        <f>IF(BV43="Uptrend",10,IF(BV43="Sideways",5,0))</f>
        <v/>
      </c>
      <c r="BX43" s="31" t="n"/>
      <c r="BY43" s="31">
        <f>IF(BX43="Overhead supply in last 2 years in last 2 years",-5,IF(BX43="Close to 52 week high or retracement",5,IF(BX43="Blue sky scenario",10,IF(BX43="Long term Downtrend",-10,0))))</f>
        <v/>
      </c>
      <c r="BZ43" s="31" t="n"/>
      <c r="CA43" s="31">
        <f>IF(BZ43="Yes",10,0)</f>
        <v/>
      </c>
    </row>
  </sheetData>
  <autoFilter ref="A1:CA43"/>
  <conditionalFormatting sqref="B2:B4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43">
    <cfRule type="cellIs" priority="34" operator="equal" dxfId="3" stopIfTrue="1">
      <formula>"Underperforming"</formula>
    </cfRule>
  </conditionalFormatting>
  <conditionalFormatting sqref="N2:N43">
    <cfRule type="cellIs" priority="35" operator="equal" dxfId="3" stopIfTrue="1">
      <formula>-5</formula>
    </cfRule>
  </conditionalFormatting>
  <conditionalFormatting sqref="Q2:Q43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43" showDropDown="0" showInputMessage="0" showErrorMessage="0" allowBlank="1" type="list">
      <formula1>"Growing Industry,Stagnant Industry,Cyclical in an Upturn"</formula1>
    </dataValidation>
    <dataValidation sqref="Z2:Z43" showDropDown="0" showInputMessage="0" showErrorMessage="0" allowBlank="1" type="list">
      <formula1>"Fragmented with Low ROE,Fragmented with High ROE,Highly Cyclical"</formula1>
    </dataValidation>
    <dataValidation sqref="AB2:AB43" showDropDown="0" showInputMessage="0" showErrorMessage="0" allowBlank="1" type="list">
      <formula1>"Yes,No"</formula1>
    </dataValidation>
    <dataValidation sqref="AD2:AD43" showDropDown="0" showInputMessage="0" showErrorMessage="0" allowBlank="1" type="list">
      <formula1>"Tailwind,Headwind"</formula1>
    </dataValidation>
    <dataValidation sqref="AF2:AF4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3" showDropDown="0" showInputMessage="0" showErrorMessage="0" allowBlank="1" type="list">
      <formula1>"Yes,No"</formula1>
    </dataValidation>
    <dataValidation sqref="AJ2:AJ43" showDropDown="0" showInputMessage="0" showErrorMessage="0" allowBlank="1" type="list">
      <formula1>"Yes,No,Not Applicable"</formula1>
    </dataValidation>
    <dataValidation sqref="AL2:AL43" showDropDown="0" showInputMessage="0" showErrorMessage="0" allowBlank="1" type="list">
      <formula1>"Yes,No"</formula1>
    </dataValidation>
    <dataValidation sqref="AN2:AN43" showDropDown="0" showInputMessage="0" showErrorMessage="0" allowBlank="1" type="list">
      <formula1>"Yes,No"</formula1>
    </dataValidation>
    <dataValidation sqref="AP2:AP43" showDropDown="0" showInputMessage="0" showErrorMessage="0" allowBlank="1" type="list">
      <formula1>"Yes,No"</formula1>
    </dataValidation>
    <dataValidation sqref="AR2:AR43" showDropDown="0" showInputMessage="0" showErrorMessage="0" allowBlank="1" type="list">
      <formula1>"Yes,No"</formula1>
    </dataValidation>
    <dataValidation sqref="AT2:AT43" showDropDown="0" showInputMessage="0" showErrorMessage="0" allowBlank="1" type="list">
      <formula1>"No,Yes"</formula1>
    </dataValidation>
    <dataValidation sqref="AV2:AV43" showDropDown="0" showInputMessage="0" showErrorMessage="0" allowBlank="1" type="list">
      <formula1>"No,Yes"</formula1>
    </dataValidation>
    <dataValidation sqref="AX2:AX43" showDropDown="0" showInputMessage="0" showErrorMessage="0" allowBlank="1" type="list">
      <formula1>"No,Yes CEO Resignation,Yes CEO Retirement"</formula1>
    </dataValidation>
    <dataValidation sqref="AZ2:AZ43" showDropDown="0" showInputMessage="0" showErrorMessage="0" allowBlank="1" type="list">
      <formula1>"No,Yes"</formula1>
    </dataValidation>
    <dataValidation sqref="BB2:BB43" showDropDown="0" showInputMessage="0" showErrorMessage="0" allowBlank="1" type="list">
      <formula1>"No,Yes"</formula1>
    </dataValidation>
    <dataValidation sqref="BD2:BD43" showDropDown="0" showInputMessage="0" showErrorMessage="0" allowBlank="1" type="list">
      <formula1>"Yes,No"</formula1>
    </dataValidation>
    <dataValidation sqref="BF2:BF43" showDropDown="0" showInputMessage="0" showErrorMessage="0" allowBlank="1" type="list">
      <formula1>"Yes,No"</formula1>
    </dataValidation>
    <dataValidation sqref="BH2:BH43" showDropDown="0" showInputMessage="0" showErrorMessage="0" allowBlank="1" type="list">
      <formula1>"Yes,No"</formula1>
    </dataValidation>
    <dataValidation sqref="BJ2:BJ4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3" showDropDown="0" showInputMessage="0" showErrorMessage="0" allowBlank="1" type="list">
      <formula1>"Above 40,20 to 40,0 to 20"</formula1>
    </dataValidation>
    <dataValidation sqref="BN2:BN43" showDropDown="0" showInputMessage="0" showErrorMessage="0" allowBlank="1" type="list">
      <formula1>"Between 50 to 75,Above 75,Below 45"</formula1>
    </dataValidation>
    <dataValidation sqref="BP2:BP43" showDropDown="0" showInputMessage="0" showErrorMessage="0" allowBlank="1" type="list">
      <formula1>"Stage 1,Stage 2,Stage 3,Stage 4"</formula1>
    </dataValidation>
    <dataValidation sqref="BR2:BR43" showDropDown="0" showInputMessage="0" showErrorMessage="0" allowBlank="1" type="list">
      <formula1>"Positive Trend,Negative Trend"</formula1>
    </dataValidation>
    <dataValidation sqref="BT2:BT43" showDropDown="0" showInputMessage="0" showErrorMessage="0" allowBlank="1" type="list">
      <formula1>"Uptrend,Sideways,Downtrend"</formula1>
    </dataValidation>
    <dataValidation sqref="BV2:BV43" showDropDown="0" showInputMessage="0" showErrorMessage="0" allowBlank="1" type="list">
      <formula1>"Uptrend,Sideways,Downtrend"</formula1>
    </dataValidation>
    <dataValidation sqref="BX2:BX4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0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IF(B2=0,"",RANK(B2,$B$2:$B$20,0))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138.9</v>
      </c>
      <c r="E2" s="32" t="inlineStr">
        <is>
          <t>5%</t>
        </is>
      </c>
      <c r="F2" s="32" t="n">
        <v>50000</v>
      </c>
      <c r="G2" s="32" t="n">
        <v>19</v>
      </c>
      <c r="H2" s="31" t="inlineStr">
        <is>
          <t>SJS</t>
        </is>
      </c>
      <c r="I2" s="31" t="inlineStr">
        <is>
          <t>S J S Enterprises Ltd</t>
        </is>
      </c>
      <c r="J2" s="31" t="inlineStr">
        <is>
          <t>auto</t>
        </is>
      </c>
      <c r="K2" s="31" t="inlineStr">
        <is>
          <t>plastics products</t>
        </is>
      </c>
      <c r="L2" s="31" t="inlineStr">
        <is>
          <t>midcap</t>
        </is>
      </c>
      <c r="M2" s="32" t="n">
        <v>7992.97</v>
      </c>
      <c r="N2" s="32" t="n">
        <v>2561.7</v>
      </c>
      <c r="O2" s="32" t="n">
        <v>2.57</v>
      </c>
      <c r="P2" s="32" t="n">
        <v>194561</v>
      </c>
      <c r="Q2" s="31" t="inlineStr"/>
      <c r="R2" s="31" t="inlineStr"/>
      <c r="S2" s="32">
        <f>IF(R2="Underperforming",-5,IF(Q2&gt;=95,15,IF(Q2&gt;=90,10,IF(Q2&gt;=80,5,0))))</f>
        <v/>
      </c>
      <c r="T2" s="32" t="n">
        <v>71.45999999999999</v>
      </c>
      <c r="U2" s="32" t="n">
        <v>46.97</v>
      </c>
      <c r="V2" s="32" t="inlineStr"/>
      <c r="W2" s="31" t="inlineStr">
        <is>
          <t>Earnings / Momentum Support</t>
        </is>
      </c>
      <c r="X2" s="31" t="inlineStr">
        <is>
          <t>Nifty Auto</t>
        </is>
      </c>
      <c r="Y2" s="32" t="inlineStr"/>
      <c r="Z2" s="32" t="inlineStr"/>
      <c r="AA2" s="32" t="inlineStr"/>
      <c r="AB2" s="32" t="inlineStr"/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Headwind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No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3</t>
        </is>
      </c>
      <c r="BH2" s="31">
        <f>IF(BG2="Stage 2",20,IF(BG2="Stage 1",0,IF(BG2="Stage 3",5,IF(BG2="Stage 4",-5,0))))</f>
        <v/>
      </c>
      <c r="BI2" s="31" t="inlineStr">
        <is>
          <t>Negative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Close to 52 week high or retracement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Above 2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IF(B3=0,"",RANK(B3,$B$2:$B$20,0))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138.7</v>
      </c>
      <c r="E3" s="32" t="inlineStr">
        <is>
          <t>5%</t>
        </is>
      </c>
      <c r="F3" s="32" t="n">
        <v>50000</v>
      </c>
      <c r="G3" s="32" t="n">
        <v>26</v>
      </c>
      <c r="H3" s="31" t="inlineStr">
        <is>
          <t>IPCALAB</t>
        </is>
      </c>
      <c r="I3" s="31" t="inlineStr">
        <is>
          <t>Ipca Laboratories Limited</t>
        </is>
      </c>
      <c r="J3" s="31" t="inlineStr">
        <is>
          <t>healthcare</t>
        </is>
      </c>
      <c r="K3" s="31" t="inlineStr">
        <is>
          <t>pharmaceuticals - indian - bulk drugs &amp; formln</t>
        </is>
      </c>
      <c r="L3" s="31" t="inlineStr">
        <is>
          <t>largecap</t>
        </is>
      </c>
      <c r="M3" s="32" t="n">
        <v>48487.95</v>
      </c>
      <c r="N3" s="32" t="n">
        <v>1920.4</v>
      </c>
      <c r="O3" s="32" t="n">
        <v>0.48</v>
      </c>
      <c r="P3" s="32" t="n">
        <v>288479</v>
      </c>
      <c r="Q3" s="31" t="n">
        <v>45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67.19</v>
      </c>
      <c r="U3" s="32" t="n">
        <v>37.97</v>
      </c>
      <c r="V3" s="32" t="inlineStr"/>
      <c r="W3" s="31" t="inlineStr">
        <is>
          <t>Earnings / Momentum Support</t>
        </is>
      </c>
      <c r="X3" s="31" t="inlineStr">
        <is>
          <t>Nifty Pharma</t>
        </is>
      </c>
      <c r="Y3" s="32" t="n">
        <v>18.39</v>
      </c>
      <c r="Z3" s="32" t="n">
        <v>35.21</v>
      </c>
      <c r="AA3" s="32" t="n">
        <v>14.21</v>
      </c>
      <c r="AB3" s="32" t="n">
        <v>10.43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Yes</t>
        </is>
      </c>
      <c r="AH3" s="31">
        <f>IF(AG3="No",5,0)</f>
        <v/>
      </c>
      <c r="AI3" s="31" t="inlineStr">
        <is>
          <t>Headwind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No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20 to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3</t>
        </is>
      </c>
      <c r="BH3" s="31">
        <f>IF(BG3="Stage 2",20,IF(BG3="Stage 1",0,IF(BG3="Stage 3",5,IF(BG3="Stage 4",-5,0))))</f>
        <v/>
      </c>
      <c r="BI3" s="31" t="inlineStr">
        <is>
          <t>Negative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Close to 52 week high or retracement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IF(B4=0,"",RANK(B4,$B$2:$B$20,0))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138.1</v>
      </c>
      <c r="E4" s="32" t="inlineStr">
        <is>
          <t>5%</t>
        </is>
      </c>
      <c r="F4" s="32" t="n">
        <v>50000</v>
      </c>
      <c r="G4" s="32" t="n">
        <v>91</v>
      </c>
      <c r="H4" s="31" t="inlineStr">
        <is>
          <t>PANACHE</t>
        </is>
      </c>
      <c r="I4" s="31" t="inlineStr">
        <is>
          <t>Panache Digilife Ltd</t>
        </is>
      </c>
      <c r="J4" s="31" t="inlineStr">
        <is>
          <t>i.t</t>
        </is>
      </c>
      <c r="K4" s="31" t="inlineStr">
        <is>
          <t>computers - hardware</t>
        </is>
      </c>
      <c r="L4" s="31" t="inlineStr">
        <is>
          <t>smallcap</t>
        </is>
      </c>
      <c r="M4" s="32" t="n">
        <v>853.79</v>
      </c>
      <c r="N4" s="32" t="n">
        <v>550</v>
      </c>
      <c r="O4" s="32" t="n">
        <v>3.16</v>
      </c>
      <c r="P4" s="32" t="n">
        <v>9336</v>
      </c>
      <c r="Q4" s="31" t="n">
        <v>90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73.01000000000001</v>
      </c>
      <c r="U4" s="32" t="n">
        <v>30.04</v>
      </c>
      <c r="V4" s="32" t="inlineStr"/>
      <c r="W4" s="31" t="inlineStr">
        <is>
          <t>Earnings / Momentum Support</t>
        </is>
      </c>
      <c r="X4" s="31" t="inlineStr">
        <is>
          <t>Nifty IT</t>
        </is>
      </c>
      <c r="Y4" s="32" t="n">
        <v>-13.85</v>
      </c>
      <c r="Z4" s="32" t="n">
        <v>112.88</v>
      </c>
      <c r="AA4" s="32" t="n">
        <v>147.1</v>
      </c>
      <c r="AB4" s="32" t="n">
        <v>30.56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Headwind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No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20 to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3</t>
        </is>
      </c>
      <c r="BH4" s="31">
        <f>IF(BG4="Stage 2",20,IF(BG4="Stage 1",0,IF(BG4="Stage 3",5,IF(BG4="Stage 4",-5,0))))</f>
        <v/>
      </c>
      <c r="BI4" s="31" t="inlineStr">
        <is>
          <t>Negative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Close to 52 week high or retracement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Above 2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IF(B5=0,"",RANK(B5,$B$2:$B$20,0))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138.7</v>
      </c>
      <c r="E5" s="32" t="inlineStr">
        <is>
          <t>5%</t>
        </is>
      </c>
      <c r="F5" s="32" t="n">
        <v>50000</v>
      </c>
      <c r="G5" s="32" t="n">
        <v>58</v>
      </c>
      <c r="H5" s="31" t="inlineStr">
        <is>
          <t>SHILPAMED</t>
        </is>
      </c>
      <c r="I5" s="31" t="inlineStr">
        <is>
          <t>Shilpa Medicare Limited</t>
        </is>
      </c>
      <c r="J5" s="31" t="inlineStr">
        <is>
          <t>healthcare</t>
        </is>
      </c>
      <c r="K5" s="31" t="inlineStr">
        <is>
          <t>pharmaceuticals - indian - formulations</t>
        </is>
      </c>
      <c r="L5" s="31" t="inlineStr">
        <is>
          <t>midcap</t>
        </is>
      </c>
      <c r="M5" s="32" t="n">
        <v>15938.94</v>
      </c>
      <c r="N5" s="32" t="n">
        <v>855.8</v>
      </c>
      <c r="O5" s="32" t="n">
        <v>5.01</v>
      </c>
      <c r="P5" s="32" t="n">
        <v>3176968</v>
      </c>
      <c r="Q5" s="31" t="n">
        <v>91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87.72</v>
      </c>
      <c r="U5" s="32" t="n">
        <v>76.05</v>
      </c>
      <c r="V5" s="32" t="inlineStr"/>
      <c r="W5" s="31" t="inlineStr">
        <is>
          <t>Earnings / Momentum Support</t>
        </is>
      </c>
      <c r="X5" s="31" t="inlineStr">
        <is>
          <t>Nifty Pharma</t>
        </is>
      </c>
      <c r="Y5" s="32" t="n">
        <v>18.39</v>
      </c>
      <c r="Z5" s="32" t="n">
        <v>91.56</v>
      </c>
      <c r="AA5" s="32" t="n">
        <v>61.8</v>
      </c>
      <c r="AB5" s="32" t="n">
        <v>31.69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Yes</t>
        </is>
      </c>
      <c r="AH5" s="31">
        <f>IF(AG5="No",5,0)</f>
        <v/>
      </c>
      <c r="AI5" s="31" t="inlineStr">
        <is>
          <t>Headwind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No</t>
        </is>
      </c>
      <c r="AV5" s="31">
        <f>IF(AU5="Yes",10,0)</f>
        <v/>
      </c>
      <c r="AW5" s="31" t="inlineStr">
        <is>
          <t>Higher Annuity, Lower One Time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3</t>
        </is>
      </c>
      <c r="BH5" s="31">
        <f>IF(BG5="Stage 2",20,IF(BG5="Stage 1",0,IF(BG5="Stage 3",5,IF(BG5="Stage 4",-5,0))))</f>
        <v/>
      </c>
      <c r="BI5" s="31" t="inlineStr">
        <is>
          <t>Negative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Close to 52 week high or retracement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IF(B6=0,"",RANK(B6,$B$2:$B$20,0))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138.6</v>
      </c>
      <c r="E6" s="32" t="inlineStr">
        <is>
          <t>5%</t>
        </is>
      </c>
      <c r="F6" s="32" t="n">
        <v>50000</v>
      </c>
      <c r="G6" s="32" t="n">
        <v>59</v>
      </c>
      <c r="H6" s="31" t="inlineStr">
        <is>
          <t>UFBL</t>
        </is>
      </c>
      <c r="I6" s="31" t="inlineStr">
        <is>
          <t>United Foodbrands Ltd</t>
        </is>
      </c>
      <c r="J6" s="31" t="inlineStr">
        <is>
          <t>consumer discretionary</t>
        </is>
      </c>
      <c r="K6" s="31" t="inlineStr">
        <is>
          <t>hotels</t>
        </is>
      </c>
      <c r="L6" s="31" t="inlineStr">
        <is>
          <t>smallcap</t>
        </is>
      </c>
      <c r="M6" s="32" t="n">
        <v>3215.25</v>
      </c>
      <c r="N6" s="32" t="n">
        <v>838.85</v>
      </c>
      <c r="O6" s="32" t="n">
        <v>1.98</v>
      </c>
      <c r="P6" s="32" t="n">
        <v>67553</v>
      </c>
      <c r="Q6" s="31" t="n">
        <v>97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75.45999999999999</v>
      </c>
      <c r="U6" s="32" t="n">
        <v>55.76</v>
      </c>
      <c r="V6" s="32" t="inlineStr"/>
      <c r="W6" s="31" t="inlineStr">
        <is>
          <t>Earnings / Momentum Support</t>
        </is>
      </c>
      <c r="X6" s="31" t="inlineStr">
        <is>
          <t>Nifty 50</t>
        </is>
      </c>
      <c r="Y6" s="32" t="n">
        <v>-2.49</v>
      </c>
      <c r="Z6" s="32" t="n">
        <v>210.12</v>
      </c>
      <c r="AA6" s="32" t="n">
        <v>218.03</v>
      </c>
      <c r="AB6" s="32" t="n">
        <v>48.79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Headwind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No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3</t>
        </is>
      </c>
      <c r="BH6" s="31">
        <f>IF(BG6="Stage 2",20,IF(BG6="Stage 1",0,IF(BG6="Stage 3",5,IF(BG6="Stage 4",-5,0))))</f>
        <v/>
      </c>
      <c r="BI6" s="31" t="inlineStr">
        <is>
          <t>Negative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Close to 52 week high or retracement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Between 1.5 to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More than 1.2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IF(B7=0,"",RANK(B7,$B$2:$B$20,0))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138.6</v>
      </c>
      <c r="E7" s="32" t="inlineStr">
        <is>
          <t>5%</t>
        </is>
      </c>
      <c r="F7" s="32" t="n">
        <v>50000</v>
      </c>
      <c r="G7" s="32" t="n">
        <v>29</v>
      </c>
      <c r="H7" s="31" t="inlineStr">
        <is>
          <t>AETHER</t>
        </is>
      </c>
      <c r="I7" s="31" t="inlineStr">
        <is>
          <t>Aether Industries Ltd</t>
        </is>
      </c>
      <c r="J7" s="31" t="inlineStr">
        <is>
          <t>chemicals</t>
        </is>
      </c>
      <c r="K7" s="31" t="inlineStr">
        <is>
          <t>chemicals</t>
        </is>
      </c>
      <c r="L7" s="31" t="inlineStr">
        <is>
          <t>largecap</t>
        </is>
      </c>
      <c r="M7" s="32" t="n">
        <v>21587.03</v>
      </c>
      <c r="N7" s="32" t="n">
        <v>1667.8</v>
      </c>
      <c r="O7" s="32" t="n">
        <v>2.53</v>
      </c>
      <c r="P7" s="32" t="n">
        <v>352448</v>
      </c>
      <c r="Q7" s="31" t="n">
        <v>88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75.98</v>
      </c>
      <c r="U7" s="32" t="n">
        <v>51.6</v>
      </c>
      <c r="V7" s="32" t="inlineStr"/>
      <c r="W7" s="31" t="inlineStr">
        <is>
          <t>Earnings / Momentum Support</t>
        </is>
      </c>
      <c r="X7" s="31" t="inlineStr">
        <is>
          <t>Nifty 50</t>
        </is>
      </c>
      <c r="Y7" s="32" t="n">
        <v>-2.49</v>
      </c>
      <c r="Z7" s="32" t="n">
        <v>110.89</v>
      </c>
      <c r="AA7" s="32" t="n">
        <v>116.27</v>
      </c>
      <c r="AB7" s="32" t="n">
        <v>28.51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Headwind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No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3</t>
        </is>
      </c>
      <c r="BH7" s="31">
        <f>IF(BG7="Stage 2",20,IF(BG7="Stage 1",0,IF(BG7="Stage 3",5,IF(BG7="Stage 4",-5,0))))</f>
        <v/>
      </c>
      <c r="BI7" s="31" t="inlineStr">
        <is>
          <t>Negative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Close to 52 week high or retracement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IF(B8=0,"",RANK(B8,$B$2:$B$20,0))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139.5</v>
      </c>
      <c r="E8" s="32" t="inlineStr">
        <is>
          <t>5%</t>
        </is>
      </c>
      <c r="F8" s="32" t="n">
        <v>50000</v>
      </c>
      <c r="G8" s="32" t="n">
        <v>20</v>
      </c>
      <c r="H8" s="31" t="inlineStr">
        <is>
          <t>WELCORP</t>
        </is>
      </c>
      <c r="I8" s="31" t="inlineStr">
        <is>
          <t>Welspun Corp Limited</t>
        </is>
      </c>
      <c r="J8" s="31" t="inlineStr">
        <is>
          <t>industrials</t>
        </is>
      </c>
      <c r="K8" s="31" t="inlineStr">
        <is>
          <t>steel - large</t>
        </is>
      </c>
      <c r="L8" s="31" t="inlineStr">
        <is>
          <t>largecap</t>
        </is>
      </c>
      <c r="M8" s="32" t="n">
        <v>60985.76</v>
      </c>
      <c r="N8" s="32" t="n">
        <v>2409.2</v>
      </c>
      <c r="O8" s="32" t="n">
        <v>4.21</v>
      </c>
      <c r="P8" s="32" t="n">
        <v>6562559</v>
      </c>
      <c r="Q8" s="31" t="inlineStr"/>
      <c r="R8" s="31" t="inlineStr"/>
      <c r="S8" s="32">
        <f>IF(R8="Underperforming",-5,IF(Q8&gt;=95,15,IF(Q8&gt;=90,10,IF(Q8&gt;=80,5,0))))</f>
        <v/>
      </c>
      <c r="T8" s="32" t="n">
        <v>93.18000000000001</v>
      </c>
      <c r="U8" s="32" t="n">
        <v>73.64</v>
      </c>
      <c r="V8" s="32" t="inlineStr"/>
      <c r="W8" s="31" t="inlineStr">
        <is>
          <t>Earnings / Momentum Support</t>
        </is>
      </c>
      <c r="X8" s="31" t="inlineStr">
        <is>
          <t>Nifty Metal</t>
        </is>
      </c>
      <c r="Y8" s="32" t="inlineStr"/>
      <c r="Z8" s="32" t="inlineStr"/>
      <c r="AA8" s="32" t="inlineStr"/>
      <c r="AB8" s="32" t="inlineStr"/>
      <c r="AC8" s="31" t="inlineStr">
        <is>
          <t>Cyclical in an Upturn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Headwind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No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3</t>
        </is>
      </c>
      <c r="BH8" s="31">
        <f>IF(BG8="Stage 2",20,IF(BG8="Stage 1",0,IF(BG8="Stage 3",5,IF(BG8="Stage 4",-5,0))))</f>
        <v/>
      </c>
      <c r="BI8" s="31" t="inlineStr">
        <is>
          <t>Negative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Close to 52 week high or retracement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IF(B9=0,"",RANK(B9,$B$2:$B$20,0))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139.4</v>
      </c>
      <c r="E9" s="32" t="inlineStr">
        <is>
          <t>5%</t>
        </is>
      </c>
      <c r="F9" s="32" t="n">
        <v>50000</v>
      </c>
      <c r="G9" s="32" t="n">
        <v>122</v>
      </c>
      <c r="H9" s="31" t="inlineStr">
        <is>
          <t>ACMESOLAR</t>
        </is>
      </c>
      <c r="I9" s="31" t="inlineStr">
        <is>
          <t>ACME Solar Holdings Ltd</t>
        </is>
      </c>
      <c r="J9" s="31" t="inlineStr">
        <is>
          <t>realty</t>
        </is>
      </c>
      <c r="K9" s="31" t="inlineStr">
        <is>
          <t>engineering - turnkey services</t>
        </is>
      </c>
      <c r="L9" s="31" t="inlineStr">
        <is>
          <t>largecap</t>
        </is>
      </c>
      <c r="M9" s="32" t="n">
        <v>28388.07</v>
      </c>
      <c r="N9" s="32" t="n">
        <v>409.15</v>
      </c>
      <c r="O9" s="32" t="n">
        <v>1.88</v>
      </c>
      <c r="P9" s="32" t="n">
        <v>3368613</v>
      </c>
      <c r="Q9" s="31" t="inlineStr"/>
      <c r="R9" s="31" t="inlineStr"/>
      <c r="S9" s="32">
        <f>IF(R9="Underperforming",-5,IF(Q9&gt;=95,15,IF(Q9&gt;=90,10,IF(Q9&gt;=80,5,0))))</f>
        <v/>
      </c>
      <c r="T9" s="32" t="n">
        <v>70.7</v>
      </c>
      <c r="U9" s="32" t="n">
        <v>43.96</v>
      </c>
      <c r="V9" s="32" t="inlineStr"/>
      <c r="W9" s="31" t="inlineStr">
        <is>
          <t>Earnings / Momentum Support</t>
        </is>
      </c>
      <c r="X9" s="31" t="inlineStr">
        <is>
          <t>Nifty Realty</t>
        </is>
      </c>
      <c r="Y9" s="32" t="inlineStr"/>
      <c r="Z9" s="32" t="inlineStr"/>
      <c r="AA9" s="32" t="inlineStr"/>
      <c r="AB9" s="32" t="inlineStr"/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Headwind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No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3</t>
        </is>
      </c>
      <c r="BH9" s="31">
        <f>IF(BG9="Stage 2",20,IF(BG9="Stage 1",0,IF(BG9="Stage 3",5,IF(BG9="Stage 4",-5,0))))</f>
        <v/>
      </c>
      <c r="BI9" s="31" t="inlineStr">
        <is>
          <t>Negative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Close to 52 week high or retracement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Less than 1.5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More than 1.2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IF(B10=0,"",RANK(B10,$B$2:$B$20,0))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138.1</v>
      </c>
      <c r="E10" s="32" t="inlineStr">
        <is>
          <t>5%</t>
        </is>
      </c>
      <c r="F10" s="32" t="n">
        <v>50000</v>
      </c>
      <c r="G10" s="32" t="n">
        <v>181</v>
      </c>
      <c r="H10" s="31" t="inlineStr">
        <is>
          <t>KANPRPLA</t>
        </is>
      </c>
      <c r="I10" s="31" t="inlineStr">
        <is>
          <t>Kanpur Plastipack Ltd</t>
        </is>
      </c>
      <c r="J10" s="31" t="inlineStr">
        <is>
          <t>industrials</t>
        </is>
      </c>
      <c r="K10" s="31" t="inlineStr">
        <is>
          <t>packaging</t>
        </is>
      </c>
      <c r="L10" s="31" t="inlineStr">
        <is>
          <t>smallcap</t>
        </is>
      </c>
      <c r="M10" s="32" t="n">
        <v>638.6799999999999</v>
      </c>
      <c r="N10" s="32" t="n">
        <v>275.05</v>
      </c>
      <c r="O10" s="32" t="n">
        <v>5.42</v>
      </c>
      <c r="P10" s="32" t="n">
        <v>98184</v>
      </c>
      <c r="Q10" s="31" t="n">
        <v>45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70.81999999999999</v>
      </c>
      <c r="U10" s="32" t="n">
        <v>22.68</v>
      </c>
      <c r="V10" s="32" t="inlineStr"/>
      <c r="W10" s="31" t="inlineStr">
        <is>
          <t>Earnings / Momentum Support</t>
        </is>
      </c>
      <c r="X10" s="31" t="inlineStr">
        <is>
          <t>Nifty 50</t>
        </is>
      </c>
      <c r="Y10" s="32" t="n">
        <v>-2.49</v>
      </c>
      <c r="Z10" s="32" t="n">
        <v>24.76</v>
      </c>
      <c r="AA10" s="32" t="n">
        <v>27.94</v>
      </c>
      <c r="AB10" s="32" t="n">
        <v>10.56</v>
      </c>
      <c r="AC10" s="31" t="inlineStr">
        <is>
          <t>Cyclical in an Upturn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Headwind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No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3</t>
        </is>
      </c>
      <c r="BH10" s="31">
        <f>IF(BG10="Stage 2",20,IF(BG10="Stage 1",0,IF(BG10="Stage 3",5,IF(BG10="Stage 4",-5,0))))</f>
        <v/>
      </c>
      <c r="BI10" s="31" t="inlineStr">
        <is>
          <t>Negative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Close to 52 week high or retracement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IF(B11=0,"",RANK(B11,$B$2:$B$20,0))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139.6</v>
      </c>
      <c r="E11" s="32" t="inlineStr">
        <is>
          <t>5%</t>
        </is>
      </c>
      <c r="F11" s="32" t="n">
        <v>50000</v>
      </c>
      <c r="G11" s="32" t="n">
        <v>209</v>
      </c>
      <c r="H11" s="31" t="inlineStr">
        <is>
          <t>HFCL</t>
        </is>
      </c>
      <c r="I11" s="31" t="inlineStr">
        <is>
          <t>HFCL Ltd</t>
        </is>
      </c>
      <c r="J11" s="31" t="inlineStr">
        <is>
          <t>telecom</t>
        </is>
      </c>
      <c r="K11" s="31" t="inlineStr">
        <is>
          <t>cables - telephone</t>
        </is>
      </c>
      <c r="L11" s="31" t="inlineStr">
        <is>
          <t>largecap</t>
        </is>
      </c>
      <c r="M11" s="32" t="n">
        <v>34899.27</v>
      </c>
      <c r="N11" s="32" t="n">
        <v>238.42</v>
      </c>
      <c r="O11" s="32" t="n">
        <v>4.57</v>
      </c>
      <c r="P11" s="32" t="n">
        <v>53433328</v>
      </c>
      <c r="Q11" s="31" t="inlineStr"/>
      <c r="R11" s="31" t="inlineStr"/>
      <c r="S11" s="32">
        <f>IF(R11="Underperforming",-5,IF(Q11&gt;=95,15,IF(Q11&gt;=90,10,IF(Q11&gt;=80,5,0))))</f>
        <v/>
      </c>
      <c r="T11" s="32" t="n">
        <v>77.34</v>
      </c>
      <c r="U11" s="32" t="n">
        <v>63.19</v>
      </c>
      <c r="V11" s="32" t="inlineStr"/>
      <c r="W11" s="31" t="inlineStr">
        <is>
          <t>Earnings / Momentum Support</t>
        </is>
      </c>
      <c r="X11" s="31" t="inlineStr">
        <is>
          <t>Nifty Infra</t>
        </is>
      </c>
      <c r="Y11" s="32" t="inlineStr"/>
      <c r="Z11" s="32" t="inlineStr"/>
      <c r="AA11" s="32" t="inlineStr"/>
      <c r="AB11" s="32" t="inlineStr"/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Oligopoly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Yes</t>
        </is>
      </c>
      <c r="AH11" s="31">
        <f>IF(AG11="No",5,0)</f>
        <v/>
      </c>
      <c r="AI11" s="31" t="inlineStr">
        <is>
          <t>Headwind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No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3</t>
        </is>
      </c>
      <c r="BH11" s="31">
        <f>IF(BG11="Stage 2",20,IF(BG11="Stage 1",0,IF(BG11="Stage 3",5,IF(BG11="Stage 4",-5,0))))</f>
        <v/>
      </c>
      <c r="BI11" s="31" t="inlineStr">
        <is>
          <t>Negative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Close to 52 week high or retracement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IF(B12=0,"",RANK(B12,$B$2:$B$20,0))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139.4</v>
      </c>
      <c r="E12" s="32" t="inlineStr">
        <is>
          <t>5%</t>
        </is>
      </c>
      <c r="F12" s="32" t="n">
        <v>50000</v>
      </c>
      <c r="G12" s="32" t="n">
        <v>2</v>
      </c>
      <c r="H12" s="31" t="inlineStr">
        <is>
          <t>PTCIL</t>
        </is>
      </c>
      <c r="I12" s="31" t="inlineStr">
        <is>
          <t>PTC Industries Ltd</t>
        </is>
      </c>
      <c r="J12" s="31" t="inlineStr">
        <is>
          <t>industrials</t>
        </is>
      </c>
      <c r="K12" s="31" t="inlineStr">
        <is>
          <t>castings &amp; forgings</t>
        </is>
      </c>
      <c r="L12" s="31" t="inlineStr">
        <is>
          <t>largecap</t>
        </is>
      </c>
      <c r="M12" s="32" t="n">
        <v>30928.13</v>
      </c>
      <c r="N12" s="32" t="n">
        <v>21672</v>
      </c>
      <c r="O12" s="32" t="n">
        <v>5.06</v>
      </c>
      <c r="P12" s="32" t="n">
        <v>92265</v>
      </c>
      <c r="Q12" s="31" t="n">
        <v>62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68.93000000000001</v>
      </c>
      <c r="U12" s="32" t="n">
        <v>25.3</v>
      </c>
      <c r="V12" s="32" t="inlineStr"/>
      <c r="W12" s="31" t="inlineStr">
        <is>
          <t>Earnings / Momentum Support</t>
        </is>
      </c>
      <c r="X12" s="31" t="inlineStr">
        <is>
          <t>Nifty 50</t>
        </is>
      </c>
      <c r="Y12" s="32" t="n">
        <v>-2.49</v>
      </c>
      <c r="Z12" s="32" t="n">
        <v>49.88</v>
      </c>
      <c r="AA12" s="32" t="n">
        <v>53.7</v>
      </c>
      <c r="AB12" s="32" t="n">
        <v>15.5</v>
      </c>
      <c r="AC12" s="31" t="inlineStr">
        <is>
          <t>Cyclical in an Upturn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Headwind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No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3</t>
        </is>
      </c>
      <c r="BH12" s="31">
        <f>IF(BG12="Stage 2",20,IF(BG12="Stage 1",0,IF(BG12="Stage 3",5,IF(BG12="Stage 4",-5,0))))</f>
        <v/>
      </c>
      <c r="BI12" s="31" t="inlineStr">
        <is>
          <t>Negative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Close to 52 week high or retracement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IF(B13=0,"",RANK(B13,$B$2:$B$20,0))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139.3</v>
      </c>
      <c r="E13" s="32" t="inlineStr">
        <is>
          <t>5%</t>
        </is>
      </c>
      <c r="F13" s="32" t="n">
        <v>50000</v>
      </c>
      <c r="G13" s="32" t="n">
        <v>11</v>
      </c>
      <c r="H13" s="31" t="inlineStr">
        <is>
          <t>KENNAMET</t>
        </is>
      </c>
      <c r="I13" s="31" t="inlineStr">
        <is>
          <t>Kennametal India Ltd</t>
        </is>
      </c>
      <c r="J13" s="31" t="inlineStr">
        <is>
          <t>industrials</t>
        </is>
      </c>
      <c r="K13" s="31" t="inlineStr">
        <is>
          <t>castings &amp; forgings</t>
        </is>
      </c>
      <c r="L13" s="31" t="inlineStr">
        <is>
          <t>midcap</t>
        </is>
      </c>
      <c r="M13" s="32" t="n">
        <v>8889.540000000001</v>
      </c>
      <c r="N13" s="32" t="n">
        <v>4235.5</v>
      </c>
      <c r="O13" s="32" t="n">
        <v>4.72</v>
      </c>
      <c r="P13" s="32" t="n">
        <v>96674</v>
      </c>
      <c r="Q13" s="31" t="n">
        <v>77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80.40000000000001</v>
      </c>
      <c r="U13" s="32" t="n">
        <v>45</v>
      </c>
      <c r="V13" s="32" t="inlineStr"/>
      <c r="W13" s="31" t="inlineStr">
        <is>
          <t>Earnings / Momentum Support</t>
        </is>
      </c>
      <c r="X13" s="31" t="inlineStr">
        <is>
          <t>Nifty 50</t>
        </is>
      </c>
      <c r="Y13" s="32" t="n">
        <v>-2.49</v>
      </c>
      <c r="Z13" s="32" t="n">
        <v>91.73</v>
      </c>
      <c r="AA13" s="32" t="n">
        <v>96.62</v>
      </c>
      <c r="AB13" s="32" t="n">
        <v>22.43</v>
      </c>
      <c r="AC13" s="31" t="inlineStr">
        <is>
          <t>Cyclical in an Upturn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Headwind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No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3</t>
        </is>
      </c>
      <c r="BH13" s="31">
        <f>IF(BG13="Stage 2",20,IF(BG13="Stage 1",0,IF(BG13="Stage 3",5,IF(BG13="Stage 4",-5,0))))</f>
        <v/>
      </c>
      <c r="BI13" s="31" t="inlineStr">
        <is>
          <t>Negative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Close to 52 week high or retracement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IF(B14=0,"",RANK(B14,$B$2:$B$20,0))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139.2</v>
      </c>
      <c r="E14" s="32" t="inlineStr">
        <is>
          <t>5%</t>
        </is>
      </c>
      <c r="F14" s="32" t="n">
        <v>50000</v>
      </c>
      <c r="G14" s="32" t="n">
        <v>10</v>
      </c>
      <c r="H14" s="31" t="inlineStr">
        <is>
          <t>SHRIPISTON</t>
        </is>
      </c>
      <c r="I14" s="31" t="inlineStr">
        <is>
          <t>Shriram Pistons &amp; Rings Limited</t>
        </is>
      </c>
      <c r="J14" s="31" t="inlineStr">
        <is>
          <t>auto</t>
        </is>
      </c>
      <c r="K14" s="31" t="inlineStr">
        <is>
          <t>auto ancillaries</t>
        </is>
      </c>
      <c r="L14" s="31" t="inlineStr">
        <is>
          <t>largecap</t>
        </is>
      </c>
      <c r="M14" s="32" t="n">
        <v>20263.36</v>
      </c>
      <c r="N14" s="32" t="n">
        <v>4750</v>
      </c>
      <c r="O14" s="32" t="n">
        <v>3.26</v>
      </c>
      <c r="P14" s="32" t="n">
        <v>191669</v>
      </c>
      <c r="Q14" s="31" t="inlineStr"/>
      <c r="R14" s="31" t="inlineStr"/>
      <c r="S14" s="32">
        <f>IF(R14="Underperforming",-5,IF(Q14&gt;=95,15,IF(Q14&gt;=90,10,IF(Q14&gt;=80,5,0))))</f>
        <v/>
      </c>
      <c r="T14" s="32" t="n">
        <v>75.92</v>
      </c>
      <c r="U14" s="32" t="n">
        <v>50.27</v>
      </c>
      <c r="V14" s="32" t="inlineStr"/>
      <c r="W14" s="31" t="inlineStr">
        <is>
          <t>Earnings / Momentum Support</t>
        </is>
      </c>
      <c r="X14" s="31" t="inlineStr">
        <is>
          <t>Nifty Auto</t>
        </is>
      </c>
      <c r="Y14" s="32" t="inlineStr"/>
      <c r="Z14" s="32" t="inlineStr"/>
      <c r="AA14" s="32" t="inlineStr"/>
      <c r="AB14" s="32" t="inlineStr"/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Headwind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No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3</t>
        </is>
      </c>
      <c r="BH14" s="31">
        <f>IF(BG14="Stage 2",20,IF(BG14="Stage 1",0,IF(BG14="Stage 3",5,IF(BG14="Stage 4",-5,0))))</f>
        <v/>
      </c>
      <c r="BI14" s="31" t="inlineStr">
        <is>
          <t>Negative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Close to 52 week high or retracement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Less than 12%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No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IF(B15=0,"",RANK(B15,$B$2:$B$20,0))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139.1</v>
      </c>
      <c r="E15" s="32" t="inlineStr">
        <is>
          <t>5%</t>
        </is>
      </c>
      <c r="F15" s="32" t="n">
        <v>50000</v>
      </c>
      <c r="G15" s="32" t="n">
        <v>77</v>
      </c>
      <c r="H15" s="31" t="inlineStr">
        <is>
          <t>WELENT</t>
        </is>
      </c>
      <c r="I15" s="31" t="inlineStr">
        <is>
          <t>Welspun Enterprises Limited</t>
        </is>
      </c>
      <c r="J15" s="31" t="inlineStr">
        <is>
          <t>realty</t>
        </is>
      </c>
      <c r="K15" s="31" t="inlineStr">
        <is>
          <t>construction</t>
        </is>
      </c>
      <c r="L15" s="31" t="inlineStr">
        <is>
          <t>midcap</t>
        </is>
      </c>
      <c r="M15" s="32" t="n">
        <v>8740.139999999999</v>
      </c>
      <c r="N15" s="32" t="n">
        <v>647.9</v>
      </c>
      <c r="O15" s="32" t="n">
        <v>2.61</v>
      </c>
      <c r="P15" s="32" t="n">
        <v>2321895</v>
      </c>
      <c r="Q15" s="31" t="inlineStr"/>
      <c r="R15" s="31" t="inlineStr"/>
      <c r="S15" s="32">
        <f>IF(R15="Underperforming",-5,IF(Q15&gt;=95,15,IF(Q15&gt;=90,10,IF(Q15&gt;=80,5,0))))</f>
        <v/>
      </c>
      <c r="T15" s="32" t="n">
        <v>66.06</v>
      </c>
      <c r="U15" s="32" t="n">
        <v>22.7</v>
      </c>
      <c r="V15" s="32" t="inlineStr"/>
      <c r="W15" s="31" t="inlineStr">
        <is>
          <t>Earnings / Momentum Support</t>
        </is>
      </c>
      <c r="X15" s="31" t="inlineStr">
        <is>
          <t>Nifty Realty</t>
        </is>
      </c>
      <c r="Y15" s="32" t="inlineStr"/>
      <c r="Z15" s="32" t="inlineStr"/>
      <c r="AA15" s="32" t="inlineStr"/>
      <c r="AB15" s="32" t="inlineStr"/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Headwind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No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3</t>
        </is>
      </c>
      <c r="BH15" s="31">
        <f>IF(BG15="Stage 2",20,IF(BG15="Stage 1",0,IF(BG15="Stage 3",5,IF(BG15="Stage 4",-5,0))))</f>
        <v/>
      </c>
      <c r="BI15" s="31" t="inlineStr">
        <is>
          <t>Negative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Close to 52 week high or retracement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No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IF(B16=0,"",RANK(B16,$B$2:$B$20,0))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</v>
      </c>
      <c r="E16" s="32" t="inlineStr">
        <is>
          <t>5%</t>
        </is>
      </c>
      <c r="F16" s="32" t="n">
        <v>50000</v>
      </c>
      <c r="G16" s="32" t="n">
        <v>160</v>
      </c>
      <c r="H16" s="31" t="inlineStr">
        <is>
          <t>SETL</t>
        </is>
      </c>
      <c r="I16" s="31" t="inlineStr">
        <is>
          <t>Standard Enginnering Technology Ltd</t>
        </is>
      </c>
      <c r="J16" s="31" t="inlineStr">
        <is>
          <t>industrials</t>
        </is>
      </c>
      <c r="K16" s="31" t="inlineStr">
        <is>
          <t>engineering</t>
        </is>
      </c>
      <c r="L16" s="31" t="inlineStr">
        <is>
          <t>midcap</t>
        </is>
      </c>
      <c r="M16" s="32" t="n">
        <v>5939.86</v>
      </c>
      <c r="N16" s="32" t="n">
        <v>312.35</v>
      </c>
      <c r="O16" s="32" t="n">
        <v>4.9</v>
      </c>
      <c r="P16" s="32" t="n">
        <v>4637679</v>
      </c>
      <c r="Q16" s="31" t="inlineStr"/>
      <c r="R16" s="31" t="inlineStr"/>
      <c r="S16" s="32">
        <f>IF(R16="Underperforming",-5,IF(Q16&gt;=95,15,IF(Q16&gt;=90,10,IF(Q16&gt;=80,5,0))))</f>
        <v/>
      </c>
      <c r="T16" s="32" t="n">
        <v>80.98999999999999</v>
      </c>
      <c r="U16" s="32" t="n">
        <v>56.91</v>
      </c>
      <c r="V16" s="32" t="inlineStr"/>
      <c r="W16" s="31" t="inlineStr">
        <is>
          <t>Earnings / Momentum Support</t>
        </is>
      </c>
      <c r="X16" s="31" t="inlineStr">
        <is>
          <t>Nifty Infra</t>
        </is>
      </c>
      <c r="Y16" s="32" t="inlineStr"/>
      <c r="Z16" s="32" t="inlineStr"/>
      <c r="AA16" s="32" t="inlineStr"/>
      <c r="AB16" s="32" t="inlineStr"/>
      <c r="AC16" s="31" t="inlineStr">
        <is>
          <t>Cyclical in an Upturn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Headwind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No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3</t>
        </is>
      </c>
      <c r="BH16" s="31">
        <f>IF(BG16="Stage 2",20,IF(BG16="Stage 1",0,IF(BG16="Stage 3",5,IF(BG16="Stage 4",-5,0))))</f>
        <v/>
      </c>
      <c r="BI16" s="31" t="inlineStr">
        <is>
          <t>Negative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Close to 52 week high or retracement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IF(B17=0,"",RANK(B17,$B$2:$B$20,0))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138.7</v>
      </c>
      <c r="E17" s="32" t="inlineStr">
        <is>
          <t>5%</t>
        </is>
      </c>
      <c r="F17" s="32" t="n">
        <v>50000</v>
      </c>
      <c r="G17" s="32" t="n">
        <v>250</v>
      </c>
      <c r="H17" s="31" t="inlineStr">
        <is>
          <t>KRISHANA</t>
        </is>
      </c>
      <c r="I17" s="31" t="inlineStr">
        <is>
          <t>Krishana Phoschem Ltd</t>
        </is>
      </c>
      <c r="J17" s="31" t="inlineStr">
        <is>
          <t>chemicals</t>
        </is>
      </c>
      <c r="K17" s="31" t="inlineStr">
        <is>
          <t>fertilizers</t>
        </is>
      </c>
      <c r="L17" s="31" t="inlineStr">
        <is>
          <t>smallcap</t>
        </is>
      </c>
      <c r="M17" s="32" t="n">
        <v>1226.72</v>
      </c>
      <c r="N17" s="32" t="n">
        <v>199.3</v>
      </c>
      <c r="O17" s="32" t="n">
        <v>0.45</v>
      </c>
      <c r="P17" s="32" t="n">
        <v>879731</v>
      </c>
      <c r="Q17" s="31" t="n">
        <v>78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79.52</v>
      </c>
      <c r="U17" s="32" t="n">
        <v>50.24</v>
      </c>
      <c r="V17" s="32" t="inlineStr"/>
      <c r="W17" s="31" t="inlineStr">
        <is>
          <t>Earnings / Momentum Support</t>
        </is>
      </c>
      <c r="X17" s="31" t="inlineStr">
        <is>
          <t>Nifty 50</t>
        </is>
      </c>
      <c r="Y17" s="32" t="n">
        <v>-2.49</v>
      </c>
      <c r="Z17" s="32" t="n">
        <v>65.06999999999999</v>
      </c>
      <c r="AA17" s="32" t="n">
        <v>69.27</v>
      </c>
      <c r="AB17" s="32" t="n">
        <v>22.75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Headwind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No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3</t>
        </is>
      </c>
      <c r="BH17" s="31">
        <f>IF(BG17="Stage 2",20,IF(BG17="Stage 1",0,IF(BG17="Stage 3",5,IF(BG17="Stage 4",-5,0))))</f>
        <v/>
      </c>
      <c r="BI17" s="31" t="inlineStr">
        <is>
          <t>Negative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Close to 52 week high or retracement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Less than 1.5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More than 1.2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IF(B18=0,"",RANK(B18,$B$2:$B$20,0))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138.8</v>
      </c>
      <c r="E18" s="32" t="inlineStr">
        <is>
          <t>5%</t>
        </is>
      </c>
      <c r="F18" s="32" t="n">
        <v>50000</v>
      </c>
      <c r="G18" s="32" t="n">
        <v>55</v>
      </c>
      <c r="H18" s="31" t="inlineStr">
        <is>
          <t>YATHARTH</t>
        </is>
      </c>
      <c r="I18" s="31" t="inlineStr">
        <is>
          <t>Yatharth Hospital &amp; Trauma Care Services Ltd</t>
        </is>
      </c>
      <c r="J18" s="31" t="inlineStr">
        <is>
          <t>healthcare</t>
        </is>
      </c>
      <c r="K18" s="31" t="inlineStr">
        <is>
          <t>healthcare</t>
        </is>
      </c>
      <c r="L18" s="31" t="inlineStr">
        <is>
          <t>midcap</t>
        </is>
      </c>
      <c r="M18" s="32" t="n">
        <v>8239.74</v>
      </c>
      <c r="N18" s="32" t="n">
        <v>907.55</v>
      </c>
      <c r="O18" s="32" t="n">
        <v>6.13</v>
      </c>
      <c r="P18" s="32" t="n">
        <v>1470710</v>
      </c>
      <c r="Q18" s="31" t="n">
        <v>17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58.05</v>
      </c>
      <c r="U18" s="32" t="n">
        <v>34.87</v>
      </c>
      <c r="V18" s="32" t="inlineStr"/>
      <c r="W18" s="31" t="inlineStr">
        <is>
          <t>Earnings / Momentum Support</t>
        </is>
      </c>
      <c r="X18" s="31" t="inlineStr">
        <is>
          <t>Nifty Pharma</t>
        </is>
      </c>
      <c r="Y18" s="32" t="n">
        <v>18.39</v>
      </c>
      <c r="Z18" s="32" t="n">
        <v>19.48</v>
      </c>
      <c r="AA18" s="32" t="n">
        <v>0.92</v>
      </c>
      <c r="AB18" s="32" t="n">
        <v>3.81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Yes</t>
        </is>
      </c>
      <c r="AH18" s="31">
        <f>IF(AG18="No",5,0)</f>
        <v/>
      </c>
      <c r="AI18" s="31" t="inlineStr">
        <is>
          <t>Headwind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No</t>
        </is>
      </c>
      <c r="AV18" s="31">
        <f>IF(AU18="Yes",10,0)</f>
        <v/>
      </c>
      <c r="AW18" s="31" t="inlineStr">
        <is>
          <t>Higher Annuity, Lower One Time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3</t>
        </is>
      </c>
      <c r="BH18" s="31">
        <f>IF(BG18="Stage 2",20,IF(BG18="Stage 1",0,IF(BG18="Stage 3",5,IF(BG18="Stage 4",-5,0))))</f>
        <v/>
      </c>
      <c r="BI18" s="31" t="inlineStr">
        <is>
          <t>Negative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Close to 52 week high or retracement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Less than 12%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IF(B19=0,"",RANK(B19,$B$2:$B$20,0))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139.2</v>
      </c>
      <c r="E19" s="32" t="inlineStr">
        <is>
          <t>5%</t>
        </is>
      </c>
      <c r="F19" s="32" t="n">
        <v>50000</v>
      </c>
      <c r="G19" s="32" t="n">
        <v>1029</v>
      </c>
      <c r="H19" s="31" t="inlineStr">
        <is>
          <t>PVP</t>
        </is>
      </c>
      <c r="I19" s="31" t="inlineStr">
        <is>
          <t>Pvp Ventures Limited</t>
        </is>
      </c>
      <c r="J19" s="31" t="inlineStr">
        <is>
          <t>realty</t>
        </is>
      </c>
      <c r="K19" s="31" t="inlineStr">
        <is>
          <t>construction</t>
        </is>
      </c>
      <c r="L19" s="31" t="inlineStr">
        <is>
          <t>smallcap</t>
        </is>
      </c>
      <c r="M19" s="32" t="n">
        <v>1180.93</v>
      </c>
      <c r="N19" s="32" t="n">
        <v>48.59</v>
      </c>
      <c r="O19" s="32" t="n">
        <v>7.14</v>
      </c>
      <c r="P19" s="32" t="n">
        <v>5411350</v>
      </c>
      <c r="Q19" s="31" t="inlineStr"/>
      <c r="R19" s="31" t="inlineStr"/>
      <c r="S19" s="32">
        <f>IF(R19="Underperforming",-5,IF(Q19&gt;=95,15,IF(Q19&gt;=90,10,IF(Q19&gt;=80,5,0))))</f>
        <v/>
      </c>
      <c r="T19" s="32" t="n">
        <v>71.84</v>
      </c>
      <c r="U19" s="32" t="n">
        <v>18.46</v>
      </c>
      <c r="V19" s="32" t="inlineStr"/>
      <c r="W19" s="31" t="inlineStr">
        <is>
          <t>Earnings / Momentum Support</t>
        </is>
      </c>
      <c r="X19" s="31" t="inlineStr">
        <is>
          <t>Nifty Realty</t>
        </is>
      </c>
      <c r="Y19" s="32" t="inlineStr"/>
      <c r="Z19" s="32" t="inlineStr"/>
      <c r="AA19" s="32" t="inlineStr"/>
      <c r="AB19" s="32" t="inlineStr"/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Headwind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No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0 to 20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3</t>
        </is>
      </c>
      <c r="BH19" s="31">
        <f>IF(BG19="Stage 2",20,IF(BG19="Stage 1",0,IF(BG19="Stage 3",5,IF(BG19="Stage 4",-5,0))))</f>
        <v/>
      </c>
      <c r="BI19" s="31" t="inlineStr">
        <is>
          <t>Negative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Close to 52 week high or retracement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IF(B20=0,"",RANK(B20,$B$2:$B$20,0))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139.6</v>
      </c>
      <c r="E20" s="32" t="inlineStr">
        <is>
          <t>5%</t>
        </is>
      </c>
      <c r="F20" s="32" t="n">
        <v>50000</v>
      </c>
      <c r="G20" s="32" t="n">
        <v>42</v>
      </c>
      <c r="H20" s="31" t="inlineStr">
        <is>
          <t>MAHASTEEL</t>
        </is>
      </c>
      <c r="I20" s="31" t="inlineStr">
        <is>
          <t>Mahamaya Steel Industries Limited</t>
        </is>
      </c>
      <c r="J20" s="31" t="inlineStr">
        <is>
          <t>metals &amp; mining</t>
        </is>
      </c>
      <c r="K20" s="31" t="inlineStr">
        <is>
          <t>steel - medium / small</t>
        </is>
      </c>
      <c r="L20" s="31" t="inlineStr">
        <is>
          <t>smallcap</t>
        </is>
      </c>
      <c r="M20" s="32" t="n">
        <v>1897.02</v>
      </c>
      <c r="N20" s="32" t="n">
        <v>1175</v>
      </c>
      <c r="O20" s="32" t="n">
        <v>1.79</v>
      </c>
      <c r="P20" s="32" t="n">
        <v>34895</v>
      </c>
      <c r="Q20" s="31" t="inlineStr"/>
      <c r="R20" s="31" t="inlineStr"/>
      <c r="S20" s="32">
        <f>IF(R20="Underperforming",-5,IF(Q20&gt;=95,15,IF(Q20&gt;=90,10,IF(Q20&gt;=80,5,0))))</f>
        <v/>
      </c>
      <c r="T20" s="32" t="n">
        <v>68.70999999999999</v>
      </c>
      <c r="U20" s="32" t="n">
        <v>19.73</v>
      </c>
      <c r="V20" s="32" t="inlineStr"/>
      <c r="W20" s="31" t="inlineStr">
        <is>
          <t>Earnings / Momentum Support</t>
        </is>
      </c>
      <c r="X20" s="31" t="inlineStr">
        <is>
          <t>Nifty Metal</t>
        </is>
      </c>
      <c r="Y20" s="32" t="inlineStr"/>
      <c r="Z20" s="32" t="inlineStr"/>
      <c r="AA20" s="32" t="inlineStr"/>
      <c r="AB20" s="32" t="inlineStr"/>
      <c r="AC20" s="31" t="inlineStr">
        <is>
          <t>Cyclical in an Upturn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Headwind</t>
        </is>
      </c>
      <c r="AJ20" s="31">
        <f>IF(AI20="Tailwind",10,0)</f>
        <v/>
      </c>
      <c r="AK20" s="31" t="inlineStr">
        <is>
          <t>Cyclical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Volatile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No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0 to 20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3</t>
        </is>
      </c>
      <c r="BH20" s="31">
        <f>IF(BG20="Stage 2",20,IF(BG20="Stage 1",0,IF(BG20="Stage 3",5,IF(BG20="Stage 4",-5,0))))</f>
        <v/>
      </c>
      <c r="BI20" s="31" t="inlineStr">
        <is>
          <t>Negative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Close to 52 week high or retracement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</sheetData>
  <autoFilter ref="A1:CJ20"/>
  <conditionalFormatting sqref="B2:B2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0">
    <cfRule type="cellIs" priority="36" operator="equal" dxfId="3" stopIfTrue="1">
      <formula>"Underperforming"</formula>
    </cfRule>
  </conditionalFormatting>
  <conditionalFormatting sqref="S2:S20">
    <cfRule type="cellIs" priority="37" operator="equal" dxfId="3" stopIfTrue="1">
      <formula>-5</formula>
    </cfRule>
  </conditionalFormatting>
  <conditionalFormatting sqref="V2:V20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0" showDropDown="0" showInputMessage="0" showErrorMessage="0" allowBlank="1" type="list">
      <formula1>"Growing Industry,Stagnant Industry,Cyclical in an Upturn"</formula1>
    </dataValidation>
    <dataValidation sqref="AE2:AE2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0" showDropDown="0" showInputMessage="0" showErrorMessage="0" allowBlank="1" type="list">
      <formula1>"Yes,No"</formula1>
    </dataValidation>
    <dataValidation sqref="AI2:AI20" showDropDown="0" showInputMessage="0" showErrorMessage="0" allowBlank="1" type="list">
      <formula1>"Tailwind,Headwind"</formula1>
    </dataValidation>
    <dataValidation sqref="AK2:AK20" showDropDown="0" showInputMessage="0" showErrorMessage="0" allowBlank="1" type="list">
      <formula1>"Structural (10 Years Consistency),Shallow Cyclical (2 to 3 Years Growth),Cyclical"</formula1>
    </dataValidation>
    <dataValidation sqref="AM2:AM20" showDropDown="0" showInputMessage="0" showErrorMessage="0" allowBlank="1" type="list">
      <formula1>"Yes due to Product Mix change or Operating Leverage,Yes, these are peak margins,No"</formula1>
    </dataValidation>
    <dataValidation sqref="AO2:AO20" showDropDown="0" showInputMessage="0" showErrorMessage="0" allowBlank="1" type="list">
      <formula1>"Stable,Volatile"</formula1>
    </dataValidation>
    <dataValidation sqref="AQ2:AQ20" showDropDown="0" showInputMessage="0" showErrorMessage="0" allowBlank="1" type="list">
      <formula1>"Yes,No"</formula1>
    </dataValidation>
    <dataValidation sqref="AS2:AS20" showDropDown="0" showInputMessage="0" showErrorMessage="0" allowBlank="1" type="list">
      <formula1>"B2C,B2B,B2G"</formula1>
    </dataValidation>
    <dataValidation sqref="AU2:AU20" showDropDown="0" showInputMessage="0" showErrorMessage="0" allowBlank="1" type="list">
      <formula1>"Yes,No"</formula1>
    </dataValidation>
    <dataValidation sqref="AW2:AW20" showDropDown="0" showInputMessage="0" showErrorMessage="0" allowBlank="1" type="list">
      <formula1>"Fully Annuity,Higher Annuity, Lower One time,Higher One Time, Lower Annuity,Fully One Time"</formula1>
    </dataValidation>
    <dataValidation sqref="AY2:AY20" showDropDown="0" showInputMessage="0" showErrorMessage="0" allowBlank="1" type="list">
      <formula1>"Good,Allocated capital in Non-core Areas"</formula1>
    </dataValidation>
    <dataValidation sqref="BA2:BA20" showDropDown="0" showInputMessage="0" showErrorMessage="0" allowBlank="1" type="list">
      <formula1>"Yes for more than 2 years,Yes only for next 1 to 2 years,No"</formula1>
    </dataValidation>
    <dataValidation sqref="BC2:BC20" showDropDown="0" showInputMessage="0" showErrorMessage="0" allowBlank="1" type="list">
      <formula1>"Above 40,20 to 40,0 to 20"</formula1>
    </dataValidation>
    <dataValidation sqref="BE2:BE20" showDropDown="0" showInputMessage="0" showErrorMessage="0" allowBlank="1" type="list">
      <formula1>"Between 50 to 75,Above 75,Below 45"</formula1>
    </dataValidation>
    <dataValidation sqref="BG2:BG20" showDropDown="0" showInputMessage="0" showErrorMessage="0" allowBlank="1" type="list">
      <formula1>"Stage 1,Stage 2,Stage 3,Stage 4"</formula1>
    </dataValidation>
    <dataValidation sqref="BI2:BI20" showDropDown="0" showInputMessage="0" showErrorMessage="0" allowBlank="1" type="list">
      <formula1>"Positive Trend,Negative Trend"</formula1>
    </dataValidation>
    <dataValidation sqref="BK2:BK20" showDropDown="0" showInputMessage="0" showErrorMessage="0" allowBlank="1" type="list">
      <formula1>"Uptrend,Sideways,Downtrend"</formula1>
    </dataValidation>
    <dataValidation sqref="BM2:BM20" showDropDown="0" showInputMessage="0" showErrorMessage="0" allowBlank="1" type="list">
      <formula1>"Uptrend,Sideways,Downtrend"</formula1>
    </dataValidation>
    <dataValidation sqref="BO2:BO2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0" showDropDown="0" showInputMessage="0" showErrorMessage="0" allowBlank="1" type="list">
      <formula1>"Yes,No"</formula1>
    </dataValidation>
    <dataValidation sqref="BS2:BS20" showDropDown="0" showInputMessage="0" showErrorMessage="0" allowBlank="1" type="list">
      <formula1>"More than 20%,Between 12 to 20%,Less than 12%"</formula1>
    </dataValidation>
    <dataValidation sqref="BU2:BU20" showDropDown="0" showInputMessage="0" showErrorMessage="0" allowBlank="1" type="list">
      <formula1>"Yes,No"</formula1>
    </dataValidation>
    <dataValidation sqref="BW2:BW20" showDropDown="0" showInputMessage="0" showErrorMessage="0" allowBlank="1" type="list">
      <formula1>"Yes,No"</formula1>
    </dataValidation>
    <dataValidation sqref="BY2:BY20" showDropDown="0" showInputMessage="0" showErrorMessage="0" allowBlank="1" type="list">
      <formula1>"Above 2,Between 1.5 to 2,Less than 1.5"</formula1>
    </dataValidation>
    <dataValidation sqref="CA2:CA20" showDropDown="0" showInputMessage="0" showErrorMessage="0" allowBlank="1" type="list">
      <formula1>"Above 70%,Between 50% to 70%,Less than 50%,Less than 50% and Borrowings are increasing,Negative"</formula1>
    </dataValidation>
    <dataValidation sqref="CC2:CC20" showDropDown="0" showInputMessage="0" showErrorMessage="0" allowBlank="1" type="list">
      <formula1>"More than 1.2,Between 0.7 to 1.2,Less than 0.7"</formula1>
    </dataValidation>
    <dataValidation sqref="CE2:CE20" showDropDown="0" showInputMessage="0" showErrorMessage="0" allowBlank="1" type="list">
      <formula1>"Yes,No"</formula1>
    </dataValidation>
    <dataValidation sqref="CG2:CG20" showDropDown="0" showInputMessage="0" showErrorMessage="0" allowBlank="1" type="list">
      <formula1>"More than 15%,Less than 15%"</formula1>
    </dataValidation>
    <dataValidation sqref="CI2:CI2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4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IF(B2=0,"",RANK(B2,$B$2:$B$4,0))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140</v>
      </c>
      <c r="E2" s="32" t="inlineStr">
        <is>
          <t>5%</t>
        </is>
      </c>
      <c r="F2" s="32" t="n">
        <v>50000</v>
      </c>
      <c r="G2" s="32" t="n">
        <v>23</v>
      </c>
      <c r="H2" s="31" t="inlineStr">
        <is>
          <t>WELINV</t>
        </is>
      </c>
      <c r="I2" s="31" t="inlineStr">
        <is>
          <t>Welspun Investments And Commercials Limited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smallcap</t>
        </is>
      </c>
      <c r="M2" s="32" t="n">
        <v>738.9400000000001</v>
      </c>
      <c r="N2" s="32" t="n">
        <v>2123.1</v>
      </c>
      <c r="O2" s="32" t="n">
        <v>5</v>
      </c>
      <c r="P2" s="32" t="n">
        <v>421</v>
      </c>
      <c r="Q2" s="31" t="n">
        <v>72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76.90000000000001</v>
      </c>
      <c r="U2" s="32" t="n">
        <v>54.28</v>
      </c>
      <c r="V2" s="32" t="inlineStr"/>
      <c r="W2" s="31" t="inlineStr">
        <is>
          <t>Earnings / Momentum Support</t>
        </is>
      </c>
      <c r="X2" s="31" t="inlineStr">
        <is>
          <t>Nifty Bank</t>
        </is>
      </c>
      <c r="Y2" s="32" t="n">
        <v>4.74</v>
      </c>
      <c r="Z2" s="32" t="n">
        <v>119.85</v>
      </c>
      <c r="AA2" s="32" t="n">
        <v>109.91</v>
      </c>
      <c r="AB2" s="32" t="n">
        <v>19.64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Headwind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No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3</t>
        </is>
      </c>
      <c r="BV2" s="31">
        <f>IF(BU2="Stage 2",20,IF(BU2="Stage 1",0,IF(BU2="Stage 3",5,IF(BU2="Stage 4",-5,0))))</f>
        <v/>
      </c>
      <c r="BW2" s="31" t="inlineStr">
        <is>
          <t>Negative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Close to 52 week high or retracement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IF(B3=0,"",RANK(B3,$B$2:$B$4,0))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140</v>
      </c>
      <c r="E3" s="32" t="inlineStr">
        <is>
          <t>5%</t>
        </is>
      </c>
      <c r="F3" s="32" t="n">
        <v>50000</v>
      </c>
      <c r="G3" s="32" t="n">
        <v>44</v>
      </c>
      <c r="H3" s="31" t="inlineStr">
        <is>
          <t>AUBANK</t>
        </is>
      </c>
      <c r="I3" s="31" t="inlineStr">
        <is>
          <t>AU Small Finance Bank Ltd</t>
        </is>
      </c>
      <c r="J3" s="31" t="inlineStr">
        <is>
          <t>bank</t>
        </is>
      </c>
      <c r="K3" s="31" t="inlineStr">
        <is>
          <t>banks - private sector</t>
        </is>
      </c>
      <c r="L3" s="31" t="inlineStr">
        <is>
          <t>largecap</t>
        </is>
      </c>
      <c r="M3" s="32" t="n">
        <v>83001.07000000001</v>
      </c>
      <c r="N3" s="32" t="n">
        <v>1114</v>
      </c>
      <c r="O3" s="32" t="n">
        <v>0.52</v>
      </c>
      <c r="P3" s="32" t="n">
        <v>1584997</v>
      </c>
      <c r="Q3" s="31" t="n">
        <v>50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63.76</v>
      </c>
      <c r="U3" s="32" t="n">
        <v>24.51</v>
      </c>
      <c r="V3" s="32" t="inlineStr"/>
      <c r="W3" s="31" t="inlineStr">
        <is>
          <t>Earnings / Momentum Support</t>
        </is>
      </c>
      <c r="X3" s="31" t="inlineStr">
        <is>
          <t>Nifty Bank</t>
        </is>
      </c>
      <c r="Y3" s="32" t="n">
        <v>4.74</v>
      </c>
      <c r="Z3" s="32" t="n">
        <v>49.49</v>
      </c>
      <c r="AA3" s="32" t="n">
        <v>42.73</v>
      </c>
      <c r="AB3" s="32" t="n">
        <v>11.54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Headwind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No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between 2.5x to 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20 to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3</t>
        </is>
      </c>
      <c r="BV3" s="31">
        <f>IF(BU3="Stage 2",20,IF(BU3="Stage 1",0,IF(BU3="Stage 3",5,IF(BU3="Stage 4",-5,0))))</f>
        <v/>
      </c>
      <c r="BW3" s="31" t="inlineStr">
        <is>
          <t>Negative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Close to 52 week high or retracement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IF(B4=0,"",RANK(B4,$B$2:$B$4,0))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138.8</v>
      </c>
      <c r="E4" s="32" t="inlineStr">
        <is>
          <t>5%</t>
        </is>
      </c>
      <c r="F4" s="32" t="n">
        <v>50000</v>
      </c>
      <c r="G4" s="32" t="n">
        <v>71</v>
      </c>
      <c r="H4" s="31" t="inlineStr">
        <is>
          <t>IIFL</t>
        </is>
      </c>
      <c r="I4" s="31" t="inlineStr">
        <is>
          <t>IIFL Finance Ltd</t>
        </is>
      </c>
      <c r="J4" s="31" t="inlineStr">
        <is>
          <t>financials</t>
        </is>
      </c>
      <c r="K4" s="31" t="inlineStr">
        <is>
          <t>finance &amp; investments</t>
        </is>
      </c>
      <c r="L4" s="31" t="inlineStr">
        <is>
          <t>largecap</t>
        </is>
      </c>
      <c r="M4" s="32" t="n">
        <v>28913.59</v>
      </c>
      <c r="N4" s="32" t="n">
        <v>696.4</v>
      </c>
      <c r="O4" s="32" t="n">
        <v>2.44</v>
      </c>
      <c r="P4" s="32" t="n">
        <v>5378730</v>
      </c>
      <c r="Q4" s="31" t="n">
        <v>73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76.04000000000001</v>
      </c>
      <c r="U4" s="32" t="n">
        <v>25.06</v>
      </c>
      <c r="V4" s="32" t="inlineStr"/>
      <c r="W4" s="31" t="inlineStr">
        <is>
          <t>Earnings / Momentum Support</t>
        </is>
      </c>
      <c r="X4" s="31" t="inlineStr">
        <is>
          <t>Nifty Bank</t>
        </is>
      </c>
      <c r="Y4" s="32" t="n">
        <v>4.74</v>
      </c>
      <c r="Z4" s="32" t="n">
        <v>51.81</v>
      </c>
      <c r="AA4" s="32" t="n">
        <v>44.95</v>
      </c>
      <c r="AB4" s="32" t="n">
        <v>19.87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Headwind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No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less than 2.5x and Growth more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20 to 40</t>
        </is>
      </c>
      <c r="BR4" s="31">
        <f>IF(BQ4="Above 40",20,IF(BQ4="20 to 40",10,IF(BQ4="0 to 20",-5,0)))</f>
        <v/>
      </c>
      <c r="BS4" s="31" t="inlineStr">
        <is>
          <t>Above 75</t>
        </is>
      </c>
      <c r="BT4" s="31">
        <f>IF(BS4="Between 50 to 75",10,IF(BS4="Above 75",0,0))</f>
        <v/>
      </c>
      <c r="BU4" s="31" t="inlineStr">
        <is>
          <t>Stage 3</t>
        </is>
      </c>
      <c r="BV4" s="31">
        <f>IF(BU4="Stage 2",20,IF(BU4="Stage 1",0,IF(BU4="Stage 3",5,IF(BU4="Stage 4",-5,0))))</f>
        <v/>
      </c>
      <c r="BW4" s="31" t="inlineStr">
        <is>
          <t>Negative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Close to 52 week high or retracement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</sheetData>
  <autoFilter ref="A1:CF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4">
    <cfRule type="cellIs" priority="34" operator="equal" dxfId="3" stopIfTrue="1">
      <formula>"Underperforming"</formula>
    </cfRule>
  </conditionalFormatting>
  <conditionalFormatting sqref="S2:S4">
    <cfRule type="cellIs" priority="35" operator="equal" dxfId="3" stopIfTrue="1">
      <formula>-5</formula>
    </cfRule>
  </conditionalFormatting>
  <conditionalFormatting sqref="V2:V4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4" showDropDown="0" showInputMessage="0" showErrorMessage="0" allowBlank="1" type="list">
      <formula1>"Growing Industry,Stagnant Industry,Cyclical in an Upturn"</formula1>
    </dataValidation>
    <dataValidation sqref="AE2:AE4" showDropDown="0" showInputMessage="0" showErrorMessage="0" allowBlank="1" type="list">
      <formula1>"Fragmented with Low ROE,Fragmented with High ROE,Highly Cyclical"</formula1>
    </dataValidation>
    <dataValidation sqref="AG2:AG4" showDropDown="0" showInputMessage="0" showErrorMessage="0" allowBlank="1" type="list">
      <formula1>"Yes,No"</formula1>
    </dataValidation>
    <dataValidation sqref="AI2:AI4" showDropDown="0" showInputMessage="0" showErrorMessage="0" allowBlank="1" type="list">
      <formula1>"Tailwind,Headwind"</formula1>
    </dataValidation>
    <dataValidation sqref="AK2:AK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4" showDropDown="0" showInputMessage="0" showErrorMessage="0" allowBlank="1" type="list">
      <formula1>"Yes,No"</formula1>
    </dataValidation>
    <dataValidation sqref="AO2:AO4" showDropDown="0" showInputMessage="0" showErrorMessage="0" allowBlank="1" type="list">
      <formula1>"Yes,No,Not Applicable"</formula1>
    </dataValidation>
    <dataValidation sqref="AQ2:AQ4" showDropDown="0" showInputMessage="0" showErrorMessage="0" allowBlank="1" type="list">
      <formula1>"Yes,No"</formula1>
    </dataValidation>
    <dataValidation sqref="AS2:AS4" showDropDown="0" showInputMessage="0" showErrorMessage="0" allowBlank="1" type="list">
      <formula1>"Yes,No"</formula1>
    </dataValidation>
    <dataValidation sqref="AU2:AU4" showDropDown="0" showInputMessage="0" showErrorMessage="0" allowBlank="1" type="list">
      <formula1>"Yes,No"</formula1>
    </dataValidation>
    <dataValidation sqref="AW2:AW4" showDropDown="0" showInputMessage="0" showErrorMessage="0" allowBlank="1" type="list">
      <formula1>"Yes,No"</formula1>
    </dataValidation>
    <dataValidation sqref="AY2:AY4" showDropDown="0" showInputMessage="0" showErrorMessage="0" allowBlank="1" type="list">
      <formula1>"No,Yes"</formula1>
    </dataValidation>
    <dataValidation sqref="BA2:BA4" showDropDown="0" showInputMessage="0" showErrorMessage="0" allowBlank="1" type="list">
      <formula1>"No,Yes"</formula1>
    </dataValidation>
    <dataValidation sqref="BC2:BC4" showDropDown="0" showInputMessage="0" showErrorMessage="0" allowBlank="1" type="list">
      <formula1>"No,Yes CEO Resignation,Yes CEO Retirement"</formula1>
    </dataValidation>
    <dataValidation sqref="BE2:BE4" showDropDown="0" showInputMessage="0" showErrorMessage="0" allowBlank="1" type="list">
      <formula1>"No,Yes"</formula1>
    </dataValidation>
    <dataValidation sqref="BG2:BG4" showDropDown="0" showInputMessage="0" showErrorMessage="0" allowBlank="1" type="list">
      <formula1>"No,Yes"</formula1>
    </dataValidation>
    <dataValidation sqref="BI2:BI4" showDropDown="0" showInputMessage="0" showErrorMessage="0" allowBlank="1" type="list">
      <formula1>"Yes,No"</formula1>
    </dataValidation>
    <dataValidation sqref="BK2:BK4" showDropDown="0" showInputMessage="0" showErrorMessage="0" allowBlank="1" type="list">
      <formula1>"Yes,No"</formula1>
    </dataValidation>
    <dataValidation sqref="BM2:BM4" showDropDown="0" showInputMessage="0" showErrorMessage="0" allowBlank="1" type="list">
      <formula1>"Yes,No"</formula1>
    </dataValidation>
    <dataValidation sqref="BO2:BO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4" showDropDown="0" showInputMessage="0" showErrorMessage="0" allowBlank="1" type="list">
      <formula1>"Above 40,20 to 40,0 to 20"</formula1>
    </dataValidation>
    <dataValidation sqref="BS2:BS4" showDropDown="0" showInputMessage="0" showErrorMessage="0" allowBlank="1" type="list">
      <formula1>"Between 50 to 75,Above 75,Below 45"</formula1>
    </dataValidation>
    <dataValidation sqref="BU2:BU4" showDropDown="0" showInputMessage="0" showErrorMessage="0" allowBlank="1" type="list">
      <formula1>"Stage 1,Stage 2,Stage 3,Stage 4"</formula1>
    </dataValidation>
    <dataValidation sqref="BW2:BW4" showDropDown="0" showInputMessage="0" showErrorMessage="0" allowBlank="1" type="list">
      <formula1>"Positive Trend,Negative Trend"</formula1>
    </dataValidation>
    <dataValidation sqref="BY2:BY4" showDropDown="0" showInputMessage="0" showErrorMessage="0" allowBlank="1" type="list">
      <formula1>"Uptrend,Sideways,Downtrend"</formula1>
    </dataValidation>
    <dataValidation sqref="CA2:CA4" showDropDown="0" showInputMessage="0" showErrorMessage="0" allowBlank="1" type="list">
      <formula1>"Uptrend,Sideways,Downtrend"</formula1>
    </dataValidation>
    <dataValidation sqref="CC2:CC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9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IF(B2=0,"",RANK(B2,$B$2:$B$97,0))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VADILALIND</t>
        </is>
      </c>
      <c r="D2" s="31" t="inlineStr">
        <is>
          <t>Vadilal Industries Ltd</t>
        </is>
      </c>
      <c r="E2" s="31" t="inlineStr">
        <is>
          <t>fmcg</t>
        </is>
      </c>
      <c r="F2" s="31" t="inlineStr">
        <is>
          <t>FMCG - Dairy Products</t>
        </is>
      </c>
      <c r="G2" s="31" t="inlineStr">
        <is>
          <t>midcap</t>
        </is>
      </c>
      <c r="H2" s="32" t="n">
        <v>5329.06</v>
      </c>
      <c r="I2" s="32" t="n">
        <v>7414</v>
      </c>
      <c r="J2" s="32" t="n">
        <v>-0.05</v>
      </c>
      <c r="K2" s="32" t="n">
        <v>0</v>
      </c>
      <c r="L2" s="31" t="inlineStr"/>
      <c r="M2" s="31" t="inlineStr"/>
      <c r="N2" s="32">
        <f>IF(M2="Underperforming",-5,IF(L2&gt;=95,15,IF(L2&gt;=90,10,IF(L2&gt;=80,5,0))))</f>
        <v/>
      </c>
      <c r="O2" s="32" t="n">
        <v>73.01000000000001</v>
      </c>
      <c r="P2" s="32" t="n">
        <v>48.99</v>
      </c>
      <c r="Q2" s="32" t="inlineStr"/>
      <c r="R2" s="31" t="inlineStr">
        <is>
          <t>Earnings / Momentum Support</t>
        </is>
      </c>
      <c r="S2" s="31" t="inlineStr">
        <is>
          <t>Nifty FMCG</t>
        </is>
      </c>
      <c r="T2" s="32" t="inlineStr"/>
      <c r="U2" s="32" t="inlineStr"/>
      <c r="V2" s="32" t="inlineStr"/>
      <c r="W2" s="32" t="inlineStr"/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No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3</t>
        </is>
      </c>
      <c r="BC2" s="31">
        <f>IF(BB2="Stage 2",20,IF(BB2="Stage 1",0,IF(BB2="Stage 3",5,IF(BB2="Stage 4",-5,0))))</f>
        <v/>
      </c>
      <c r="BD2" s="31" t="inlineStr">
        <is>
          <t>Negative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21</t>
        </is>
      </c>
      <c r="CG2" s="31">
        <f>IF(CF2&gt;20,10,IF(CF2&gt;=10,5,2))</f>
        <v/>
      </c>
    </row>
    <row r="3">
      <c r="A3" s="31">
        <f>IF(B3=0,"",RANK(B3,$B$2:$B$97,0))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PRICOLLTD</t>
        </is>
      </c>
      <c r="D3" s="31" t="inlineStr">
        <is>
          <t>Pricol Ltd</t>
        </is>
      </c>
      <c r="E3" s="31" t="inlineStr">
        <is>
          <t>auto</t>
        </is>
      </c>
      <c r="F3" s="31" t="inlineStr">
        <is>
          <t>Auto Ancillaries - 2 Wheelers</t>
        </is>
      </c>
      <c r="G3" s="31" t="inlineStr">
        <is>
          <t>midcap</t>
        </is>
      </c>
      <c r="H3" s="32" t="n">
        <v>9609.139999999999</v>
      </c>
      <c r="I3" s="32" t="n">
        <v>788.4</v>
      </c>
      <c r="J3" s="32" t="n">
        <v>-1.1</v>
      </c>
      <c r="K3" s="32" t="n">
        <v>0</v>
      </c>
      <c r="L3" s="31" t="inlineStr"/>
      <c r="M3" s="31" t="inlineStr"/>
      <c r="N3" s="32">
        <f>IF(M3="Underperforming",-5,IF(L3&gt;=95,15,IF(L3&gt;=90,10,IF(L3&gt;=80,5,0))))</f>
        <v/>
      </c>
      <c r="O3" s="32" t="n">
        <v>75.62</v>
      </c>
      <c r="P3" s="32" t="n">
        <v>31.44</v>
      </c>
      <c r="Q3" s="32" t="inlineStr"/>
      <c r="R3" s="31" t="inlineStr">
        <is>
          <t>Earnings / Momentum Support</t>
        </is>
      </c>
      <c r="S3" s="31" t="inlineStr">
        <is>
          <t>Nifty Auto</t>
        </is>
      </c>
      <c r="T3" s="32" t="inlineStr"/>
      <c r="U3" s="32" t="inlineStr"/>
      <c r="V3" s="32" t="inlineStr"/>
      <c r="W3" s="32" t="inlineStr"/>
      <c r="X3" s="31" t="inlineStr">
        <is>
          <t>Cyclical in an Upturn</t>
        </is>
      </c>
      <c r="Y3" s="31">
        <f>IF(X3="Growing Industry",10,IF(X3="Cyclical in an Upturn",5,0))</f>
        <v/>
      </c>
      <c r="Z3" s="31" t="inlineStr">
        <is>
          <t>Oligopoly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Shallow Cyclical (2 to 3 Years Growth)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Fully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Allocated capital in Non-core Areas</t>
        </is>
      </c>
      <c r="AU3" s="31">
        <f>IF(AT3="Good",10,0)</f>
        <v/>
      </c>
      <c r="AV3" s="31" t="inlineStr">
        <is>
          <t>Yes only for next 1 to 2 years</t>
        </is>
      </c>
      <c r="AW3" s="31">
        <f>IF(AV3="Yes for more than 2 years",10,IF(AV3="Yes only for next 1 to 2 years",5,0))</f>
        <v/>
      </c>
      <c r="AX3" s="31" t="inlineStr">
        <is>
          <t>20 to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Between 12 to 20%</t>
        </is>
      </c>
      <c r="BO3" s="31">
        <f>IF(BN3="More than 20%",10,IF(BN3="Between 12 to 20%",5,IF(BN3="Less than 12%",0,0)))</f>
        <v/>
      </c>
      <c r="BP3" s="31" t="inlineStr">
        <is>
          <t>Yes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Between 1.5 to 2</t>
        </is>
      </c>
      <c r="BU3" s="31">
        <f>IF(BT3="Above 2",0,IF(BT3="Between 1.5 to 2",5,IF(BT3="Less than 1.5",10,0)))</f>
        <v/>
      </c>
      <c r="BV3" s="31" t="inlineStr">
        <is>
          <t>Between 50% to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21</t>
        </is>
      </c>
      <c r="CG3" s="31">
        <f>IF(CF3&gt;20,10,IF(CF3&gt;=10,5,2))</f>
        <v/>
      </c>
    </row>
    <row r="4">
      <c r="A4" s="31">
        <f>IF(B4=0,"",RANK(B4,$B$2:$B$97,0))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RPTECH</t>
        </is>
      </c>
      <c r="D4" s="31" t="inlineStr">
        <is>
          <t>Rashi Peripherals Ltd</t>
        </is>
      </c>
      <c r="E4" s="31" t="inlineStr">
        <is>
          <t>i.t</t>
        </is>
      </c>
      <c r="F4" s="31" t="inlineStr">
        <is>
          <t>Trading</t>
        </is>
      </c>
      <c r="G4" s="31" t="inlineStr">
        <is>
          <t>midcap</t>
        </is>
      </c>
      <c r="H4" s="32" t="n">
        <v>5766.34</v>
      </c>
      <c r="I4" s="32" t="n">
        <v>868.35</v>
      </c>
      <c r="J4" s="32" t="n">
        <v>-0.98</v>
      </c>
      <c r="K4" s="32" t="n">
        <v>0</v>
      </c>
      <c r="L4" s="31" t="n">
        <v>96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75.67</v>
      </c>
      <c r="P4" s="32" t="n">
        <v>81.94</v>
      </c>
      <c r="Q4" s="32" t="inlineStr"/>
      <c r="R4" s="31" t="inlineStr">
        <is>
          <t>Earnings / Momentum Support</t>
        </is>
      </c>
      <c r="S4" s="31" t="inlineStr">
        <is>
          <t>Nifty IT</t>
        </is>
      </c>
      <c r="T4" s="32" t="n">
        <v>-13.85</v>
      </c>
      <c r="U4" s="32" t="n">
        <v>210.63</v>
      </c>
      <c r="V4" s="32" t="n">
        <v>260.56</v>
      </c>
      <c r="W4" s="32" t="n">
        <v>39.91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No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3</t>
        </is>
      </c>
      <c r="BC4" s="31">
        <f>IF(BB4="Stage 2",20,IF(BB4="Stage 1",0,IF(BB4="Stage 3",5,IF(BB4="Stage 4",-5,0))))</f>
        <v/>
      </c>
      <c r="BD4" s="31" t="inlineStr">
        <is>
          <t>Negative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22</t>
        </is>
      </c>
      <c r="CG4" s="31">
        <f>IF(CF4&gt;20,10,IF(CF4&gt;=10,5,2))</f>
        <v/>
      </c>
    </row>
    <row r="5">
      <c r="A5" s="31">
        <f>IF(B5=0,"",RANK(B5,$B$2:$B$97,0))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PGIL</t>
        </is>
      </c>
      <c r="D5" s="31" t="inlineStr">
        <is>
          <t>Pearl Global Industries Ltd</t>
        </is>
      </c>
      <c r="E5" s="31" t="inlineStr">
        <is>
          <t>consumer discretionary</t>
        </is>
      </c>
      <c r="F5" s="31" t="inlineStr">
        <is>
          <t>Textiles - Readymade Apparel</t>
        </is>
      </c>
      <c r="G5" s="31" t="inlineStr">
        <is>
          <t>midcap</t>
        </is>
      </c>
      <c r="H5" s="32" t="n">
        <v>11081.11</v>
      </c>
      <c r="I5" s="32" t="n">
        <v>2399</v>
      </c>
      <c r="J5" s="32" t="n">
        <v>0.54</v>
      </c>
      <c r="K5" s="32" t="n">
        <v>0</v>
      </c>
      <c r="L5" s="31" t="n">
        <v>81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70.81999999999999</v>
      </c>
      <c r="P5" s="32" t="n">
        <v>57.27</v>
      </c>
      <c r="Q5" s="32" t="inlineStr"/>
      <c r="R5" s="31" t="inlineStr">
        <is>
          <t>Earnings / Momentum Support</t>
        </is>
      </c>
      <c r="S5" s="31" t="inlineStr">
        <is>
          <t>Nifty 50</t>
        </is>
      </c>
      <c r="T5" s="32" t="n">
        <v>-2.49</v>
      </c>
      <c r="U5" s="32" t="n">
        <v>77.69</v>
      </c>
      <c r="V5" s="32" t="n">
        <v>82.20999999999999</v>
      </c>
      <c r="W5" s="32" t="n">
        <v>23.53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No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3</t>
        </is>
      </c>
      <c r="BC5" s="31">
        <f>IF(BB5="Stage 2",20,IF(BB5="Stage 1",0,IF(BB5="Stage 3",5,IF(BB5="Stage 4",-5,0))))</f>
        <v/>
      </c>
      <c r="BD5" s="31" t="inlineStr">
        <is>
          <t>Negative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21</t>
        </is>
      </c>
      <c r="CG5" s="31">
        <f>IF(CF5&gt;20,10,IF(CF5&gt;=10,5,2))</f>
        <v/>
      </c>
    </row>
    <row r="6">
      <c r="A6" s="31">
        <f>IF(B6=0,"",RANK(B6,$B$2:$B$97,0))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MODISONLTD</t>
        </is>
      </c>
      <c r="D6" s="31" t="inlineStr">
        <is>
          <t>Modison Ltd</t>
        </is>
      </c>
      <c r="E6" s="31" t="inlineStr">
        <is>
          <t>industrials</t>
        </is>
      </c>
      <c r="F6" s="31" t="inlineStr">
        <is>
          <t>Capital Goods - Electric General</t>
        </is>
      </c>
      <c r="G6" s="31" t="inlineStr">
        <is>
          <t>smallcap</t>
        </is>
      </c>
      <c r="H6" s="32" t="n">
        <v>1288.27</v>
      </c>
      <c r="I6" s="32" t="n">
        <v>397</v>
      </c>
      <c r="J6" s="32" t="n">
        <v>2.54</v>
      </c>
      <c r="K6" s="32" t="n">
        <v>0</v>
      </c>
      <c r="L6" s="31" t="n">
        <v>98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74.63</v>
      </c>
      <c r="P6" s="32" t="n">
        <v>59.7</v>
      </c>
      <c r="Q6" s="32" t="inlineStr"/>
      <c r="R6" s="31" t="inlineStr">
        <is>
          <t>Earnings / Momentum Support</t>
        </is>
      </c>
      <c r="S6" s="31" t="inlineStr">
        <is>
          <t>Nifty 50</t>
        </is>
      </c>
      <c r="T6" s="32" t="n">
        <v>-2.49</v>
      </c>
      <c r="U6" s="32" t="n">
        <v>148.28</v>
      </c>
      <c r="V6" s="32" t="n">
        <v>154.61</v>
      </c>
      <c r="W6" s="32" t="n">
        <v>52.29</v>
      </c>
      <c r="X6" s="31" t="inlineStr">
        <is>
          <t>Cyclical in an Upturn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No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Negative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27</t>
        </is>
      </c>
      <c r="CG6" s="31">
        <f>IF(CF6&gt;20,10,IF(CF6&gt;=10,5,2))</f>
        <v/>
      </c>
    </row>
    <row r="7">
      <c r="A7" s="31">
        <f>IF(B7=0,"",RANK(B7,$B$2:$B$97,0))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INDOBORAX</t>
        </is>
      </c>
      <c r="D7" s="31" t="inlineStr">
        <is>
          <t>Indo Borax &amp; Chemicals Ltd</t>
        </is>
      </c>
      <c r="E7" s="31" t="inlineStr">
        <is>
          <t>chemicals</t>
        </is>
      </c>
      <c r="F7" s="31" t="inlineStr">
        <is>
          <t>Chemicals - Inorganic</t>
        </is>
      </c>
      <c r="G7" s="31" t="inlineStr">
        <is>
          <t>smallcap</t>
        </is>
      </c>
      <c r="H7" s="32" t="n">
        <v>1614.61</v>
      </c>
      <c r="I7" s="32" t="n">
        <v>503.15</v>
      </c>
      <c r="J7" s="32" t="n">
        <v>-1.7</v>
      </c>
      <c r="K7" s="32" t="n">
        <v>0</v>
      </c>
      <c r="L7" s="31" t="n">
        <v>93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81.09</v>
      </c>
      <c r="P7" s="32" t="n">
        <v>75.02</v>
      </c>
      <c r="Q7" s="32" t="inlineStr"/>
      <c r="R7" s="31" t="inlineStr">
        <is>
          <t>Earnings / Momentum Support</t>
        </is>
      </c>
      <c r="S7" s="31" t="inlineStr">
        <is>
          <t>Nifty 50</t>
        </is>
      </c>
      <c r="T7" s="32" t="n">
        <v>-2.49</v>
      </c>
      <c r="U7" s="32" t="n">
        <v>116.58</v>
      </c>
      <c r="V7" s="32" t="n">
        <v>122.1</v>
      </c>
      <c r="W7" s="32" t="n">
        <v>34.57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No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24</t>
        </is>
      </c>
      <c r="CG7" s="31">
        <f>IF(CF7&gt;20,10,IF(CF7&gt;=10,5,2))</f>
        <v/>
      </c>
    </row>
    <row r="8">
      <c r="A8" s="31">
        <f>IF(B8=0,"",RANK(B8,$B$2:$B$97,0))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PARAS</t>
        </is>
      </c>
      <c r="D8" s="31" t="inlineStr">
        <is>
          <t>Paras Defence and Space Technologies Ltd</t>
        </is>
      </c>
      <c r="E8" s="31" t="inlineStr">
        <is>
          <t>aerospace &amp; defence</t>
        </is>
      </c>
      <c r="F8" s="31" t="inlineStr">
        <is>
          <t>Aerospace &amp; Defence - Equipments</t>
        </is>
      </c>
      <c r="G8" s="31" t="inlineStr">
        <is>
          <t>midcap</t>
        </is>
      </c>
      <c r="H8" s="32" t="n">
        <v>12257.33</v>
      </c>
      <c r="I8" s="32" t="n">
        <v>1521</v>
      </c>
      <c r="J8" s="32" t="n">
        <v>1.43</v>
      </c>
      <c r="K8" s="32" t="n">
        <v>0</v>
      </c>
      <c r="L8" s="31" t="n">
        <v>95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73.39</v>
      </c>
      <c r="P8" s="32" t="n">
        <v>64.98999999999999</v>
      </c>
      <c r="Q8" s="32" t="inlineStr"/>
      <c r="R8" s="31" t="inlineStr">
        <is>
          <t>Earnings / Momentum Support</t>
        </is>
      </c>
      <c r="S8" s="31" t="inlineStr">
        <is>
          <t>Nifty 50</t>
        </is>
      </c>
      <c r="T8" s="32" t="n">
        <v>-2.49</v>
      </c>
      <c r="U8" s="32" t="n">
        <v>119.29</v>
      </c>
      <c r="V8" s="32" t="n">
        <v>124.88</v>
      </c>
      <c r="W8" s="32" t="n">
        <v>38.06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23</t>
        </is>
      </c>
      <c r="CG8" s="31">
        <f>IF(CF8&gt;20,10,IF(CF8&gt;=10,5,2))</f>
        <v/>
      </c>
    </row>
    <row r="9">
      <c r="A9" s="31">
        <f>IF(B9=0,"",RANK(B9,$B$2:$B$97,0))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AURUM</t>
        </is>
      </c>
      <c r="D9" s="31" t="inlineStr">
        <is>
          <t>Aurum Proptech Ltd</t>
        </is>
      </c>
      <c r="E9" s="31" t="inlineStr">
        <is>
          <t>i.t</t>
        </is>
      </c>
      <c r="F9" s="31" t="inlineStr">
        <is>
          <t>IT Enabled Services</t>
        </is>
      </c>
      <c r="G9" s="31" t="inlineStr">
        <is>
          <t>smallcap</t>
        </is>
      </c>
      <c r="H9" s="32" t="n">
        <v>1680.25</v>
      </c>
      <c r="I9" s="32" t="n">
        <v>233</v>
      </c>
      <c r="J9" s="32" t="n">
        <v>2.27</v>
      </c>
      <c r="K9" s="32" t="n">
        <v>0</v>
      </c>
      <c r="L9" s="31" t="n">
        <v>49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62.97</v>
      </c>
      <c r="P9" s="32" t="n">
        <v>49.9</v>
      </c>
      <c r="Q9" s="32" t="inlineStr"/>
      <c r="R9" s="31" t="inlineStr">
        <is>
          <t>Earnings / Momentum Support</t>
        </is>
      </c>
      <c r="S9" s="31" t="inlineStr">
        <is>
          <t>Nifty IT</t>
        </is>
      </c>
      <c r="T9" s="32" t="n">
        <v>-13.85</v>
      </c>
      <c r="U9" s="32" t="n">
        <v>28.48</v>
      </c>
      <c r="V9" s="32" t="n">
        <v>49.13</v>
      </c>
      <c r="W9" s="32" t="n">
        <v>11.31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20</t>
        </is>
      </c>
      <c r="CG9" s="31">
        <f>IF(CF9&gt;20,10,IF(CF9&gt;=10,5,2))</f>
        <v/>
      </c>
    </row>
    <row r="10">
      <c r="A10" s="31">
        <f>IF(B10=0,"",RANK(B10,$B$2:$B$97,0))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INNOVACAP</t>
        </is>
      </c>
      <c r="D10" s="31" t="inlineStr">
        <is>
          <t>Innova Captab Ltd</t>
        </is>
      </c>
      <c r="E10" s="31" t="inlineStr">
        <is>
          <t>healthcare</t>
        </is>
      </c>
      <c r="F10" s="31" t="inlineStr">
        <is>
          <t>Pharma - API</t>
        </is>
      </c>
      <c r="G10" s="31" t="inlineStr">
        <is>
          <t>midcap</t>
        </is>
      </c>
      <c r="H10" s="32" t="n">
        <v>6180.29</v>
      </c>
      <c r="I10" s="32" t="n">
        <v>1080</v>
      </c>
      <c r="J10" s="32" t="n">
        <v>-0.78</v>
      </c>
      <c r="K10" s="32" t="n">
        <v>0</v>
      </c>
      <c r="L10" s="31" t="n">
        <v>48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74.45</v>
      </c>
      <c r="P10" s="32" t="n">
        <v>60.47</v>
      </c>
      <c r="Q10" s="32" t="inlineStr"/>
      <c r="R10" s="31" t="inlineStr">
        <is>
          <t>Earnings / Momentum Support</t>
        </is>
      </c>
      <c r="S10" s="31" t="inlineStr">
        <is>
          <t>Nifty Pharma</t>
        </is>
      </c>
      <c r="T10" s="32" t="n">
        <v>18.39</v>
      </c>
      <c r="U10" s="32" t="n">
        <v>19.79</v>
      </c>
      <c r="V10" s="32" t="n">
        <v>1.18</v>
      </c>
      <c r="W10" s="32" t="n">
        <v>11.02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20</t>
        </is>
      </c>
      <c r="CG10" s="31">
        <f>IF(CF10&gt;20,10,IF(CF10&gt;=10,5,2))</f>
        <v/>
      </c>
    </row>
    <row r="11">
      <c r="A11" s="31">
        <f>IF(B11=0,"",RANK(B11,$B$2:$B$97,0))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MINDACORP</t>
        </is>
      </c>
      <c r="D11" s="31" t="inlineStr">
        <is>
          <t>Minda Corporation Ltd</t>
        </is>
      </c>
      <c r="E11" s="31" t="inlineStr">
        <is>
          <t>Consumer Cyclical</t>
        </is>
      </c>
      <c r="F11" s="31" t="inlineStr">
        <is>
          <t>Auto Ancillaries - Diversified</t>
        </is>
      </c>
      <c r="G11" s="31" t="inlineStr">
        <is>
          <t>midcap</t>
        </is>
      </c>
      <c r="H11" s="32" t="n">
        <v>17237.63</v>
      </c>
      <c r="I11" s="32" t="n">
        <v>721</v>
      </c>
      <c r="J11" s="32" t="n">
        <v>-0.9399999999999999</v>
      </c>
      <c r="K11" s="32" t="n">
        <v>0</v>
      </c>
      <c r="L11" s="31" t="inlineStr"/>
      <c r="M11" s="31" t="inlineStr"/>
      <c r="N11" s="32">
        <f>IF(M11="Underperforming",-5,IF(L11&gt;=95,15,IF(L11&gt;=90,10,IF(L11&gt;=80,5,0))))</f>
        <v/>
      </c>
      <c r="O11" s="32" t="n">
        <v>71.34</v>
      </c>
      <c r="P11" s="32" t="n">
        <v>41.8</v>
      </c>
      <c r="Q11" s="32" t="inlineStr"/>
      <c r="R11" s="31" t="inlineStr">
        <is>
          <t>Earnings / Momentum Support</t>
        </is>
      </c>
      <c r="S11" s="31" t="inlineStr">
        <is>
          <t>Nifty Auto</t>
        </is>
      </c>
      <c r="T11" s="32" t="inlineStr"/>
      <c r="U11" s="32" t="inlineStr"/>
      <c r="V11" s="32" t="inlineStr"/>
      <c r="W11" s="32" t="inlineStr"/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B2C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23</t>
        </is>
      </c>
      <c r="CG11" s="31">
        <f>IF(CF11&gt;20,10,IF(CF11&gt;=10,5,2))</f>
        <v/>
      </c>
    </row>
    <row r="12">
      <c r="A12" s="31">
        <f>IF(B12=0,"",RANK(B12,$B$2:$B$97,0))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3" t="inlineStr">
        <is>
          <t>VMARCIND</t>
        </is>
      </c>
      <c r="D12" s="33" t="inlineStr">
        <is>
          <t>V-Marc India Ltd</t>
        </is>
      </c>
      <c r="E12" s="31" t="inlineStr">
        <is>
          <t>unknown</t>
        </is>
      </c>
      <c r="F12" s="31" t="inlineStr">
        <is>
          <t>Cables - Power</t>
        </is>
      </c>
      <c r="G12" s="31" t="inlineStr">
        <is>
          <t>midcap</t>
        </is>
      </c>
      <c r="H12" s="32" t="n">
        <v>5831.66</v>
      </c>
      <c r="I12" s="32" t="n">
        <v>398</v>
      </c>
      <c r="J12" s="32" t="n">
        <v>1.23</v>
      </c>
      <c r="K12" s="32" t="n">
        <v>0</v>
      </c>
      <c r="L12" s="31" t="n">
        <v>1</v>
      </c>
      <c r="M12" s="31" t="inlineStr">
        <is>
          <t>Underperforming</t>
        </is>
      </c>
      <c r="N12" s="32">
        <f>IF(M12="Underperforming",-5,IF(L12&gt;=95,15,IF(L12&gt;=90,10,IF(L12&gt;=80,5,0))))</f>
        <v/>
      </c>
      <c r="O12" s="32" t="n">
        <v>39.35</v>
      </c>
      <c r="P12" s="32" t="n">
        <v>41.13</v>
      </c>
      <c r="Q12" s="32" t="n">
        <v>1138.8</v>
      </c>
      <c r="R12" s="31" t="inlineStr">
        <is>
          <t>Earnings / Momentum Support</t>
        </is>
      </c>
      <c r="S12" s="31" t="inlineStr">
        <is>
          <t>Nifty 50</t>
        </is>
      </c>
      <c r="T12" s="32" t="n">
        <v>-2.49</v>
      </c>
      <c r="U12" s="32" t="n">
        <v>-17.36</v>
      </c>
      <c r="V12" s="32" t="n">
        <v>-15.26</v>
      </c>
      <c r="W12" s="32" t="n">
        <v>-4.28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Below 45</t>
        </is>
      </c>
      <c r="BA12" s="31">
        <f>IF(AZ12="Between 50 to 75",10,IF(AZ12="Above 75",0,0))</f>
        <v/>
      </c>
      <c r="BB12" s="31" t="inlineStr">
        <is>
          <t>Stage 4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No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20</t>
        </is>
      </c>
      <c r="CG12" s="31">
        <f>IF(CF12&gt;20,10,IF(CF12&gt;=10,5,2))</f>
        <v/>
      </c>
    </row>
    <row r="13">
      <c r="A13" s="31">
        <f>IF(B13=0,"",RANK(B13,$B$2:$B$97,0))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MARKSANS</t>
        </is>
      </c>
      <c r="D13" s="31" t="inlineStr">
        <is>
          <t>Marksans Pharma Ltd</t>
        </is>
      </c>
      <c r="E13" s="31" t="inlineStr">
        <is>
          <t>healthcare</t>
        </is>
      </c>
      <c r="F13" s="31" t="inlineStr">
        <is>
          <t>Pharma - Formulators</t>
        </is>
      </c>
      <c r="G13" s="31" t="inlineStr">
        <is>
          <t>midcap</t>
        </is>
      </c>
      <c r="H13" s="32" t="n">
        <v>14648.52</v>
      </c>
      <c r="I13" s="32" t="n">
        <v>323.25</v>
      </c>
      <c r="J13" s="32" t="n">
        <v>0.61</v>
      </c>
      <c r="K13" s="32" t="n">
        <v>0</v>
      </c>
      <c r="L13" s="31" t="n">
        <v>82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73.42</v>
      </c>
      <c r="P13" s="32" t="n">
        <v>58.65</v>
      </c>
      <c r="Q13" s="32" t="inlineStr"/>
      <c r="R13" s="31" t="inlineStr">
        <is>
          <t>Earnings / Momentum Support</t>
        </is>
      </c>
      <c r="S13" s="31" t="inlineStr">
        <is>
          <t>Nifty Pharma</t>
        </is>
      </c>
      <c r="T13" s="32" t="n">
        <v>18.39</v>
      </c>
      <c r="U13" s="32" t="n">
        <v>79.03</v>
      </c>
      <c r="V13" s="32" t="n">
        <v>51.22</v>
      </c>
      <c r="W13" s="32" t="n">
        <v>24.5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27</t>
        </is>
      </c>
      <c r="CG13" s="31">
        <f>IF(CF13&gt;20,10,IF(CF13&gt;=10,5,2))</f>
        <v/>
      </c>
    </row>
    <row r="14">
      <c r="A14" s="31">
        <f>IF(B14=0,"",RANK(B14,$B$2:$B$97,0))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MOREPENLAB</t>
        </is>
      </c>
      <c r="D14" s="31" t="inlineStr">
        <is>
          <t>Morepen Laboratories Ltd</t>
        </is>
      </c>
      <c r="E14" s="31" t="inlineStr">
        <is>
          <t>healthcare</t>
        </is>
      </c>
      <c r="F14" s="31" t="inlineStr">
        <is>
          <t>Pharma - API &amp; CRAMS</t>
        </is>
      </c>
      <c r="G14" s="31" t="inlineStr">
        <is>
          <t>midcap</t>
        </is>
      </c>
      <c r="H14" s="32" t="n">
        <v>5189.12</v>
      </c>
      <c r="I14" s="32" t="n">
        <v>94.7</v>
      </c>
      <c r="J14" s="32" t="n">
        <v>-1.36</v>
      </c>
      <c r="K14" s="32" t="n">
        <v>0</v>
      </c>
      <c r="L14" s="31" t="n">
        <v>97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83.45999999999999</v>
      </c>
      <c r="P14" s="32" t="n">
        <v>43.1</v>
      </c>
      <c r="Q14" s="32" t="inlineStr"/>
      <c r="R14" s="31" t="inlineStr">
        <is>
          <t>Earnings / Momentum Support</t>
        </is>
      </c>
      <c r="S14" s="31" t="inlineStr">
        <is>
          <t>Nifty Pharma</t>
        </is>
      </c>
      <c r="T14" s="32" t="n">
        <v>18.39</v>
      </c>
      <c r="U14" s="32" t="n">
        <v>96.66</v>
      </c>
      <c r="V14" s="32" t="n">
        <v>66.11</v>
      </c>
      <c r="W14" s="32" t="n">
        <v>47.23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26</t>
        </is>
      </c>
      <c r="CG14" s="31">
        <f>IF(CF14&gt;20,10,IF(CF14&gt;=10,5,2))</f>
        <v/>
      </c>
    </row>
    <row r="15">
      <c r="A15" s="31">
        <f>IF(B15=0,"",RANK(B15,$B$2:$B$97,0))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MANORAMA</t>
        </is>
      </c>
      <c r="D15" s="31" t="inlineStr">
        <is>
          <t>Manorama Industries Ltd</t>
        </is>
      </c>
      <c r="E15" s="31" t="inlineStr">
        <is>
          <t>fmcg</t>
        </is>
      </c>
      <c r="F15" s="31" t="inlineStr">
        <is>
          <t>FMCG - Chocolate</t>
        </is>
      </c>
      <c r="G15" s="31" t="inlineStr">
        <is>
          <t>midcap</t>
        </is>
      </c>
      <c r="H15" s="32" t="n">
        <v>12004.62</v>
      </c>
      <c r="I15" s="32" t="n">
        <v>1901.8</v>
      </c>
      <c r="J15" s="32" t="n">
        <v>-1.32</v>
      </c>
      <c r="K15" s="32" t="n">
        <v>0</v>
      </c>
      <c r="L15" s="31" t="inlineStr"/>
      <c r="M15" s="31" t="inlineStr"/>
      <c r="N15" s="32">
        <f>IF(M15="Underperforming",-5,IF(L15&gt;=95,15,IF(L15&gt;=90,10,IF(L15&gt;=80,5,0))))</f>
        <v/>
      </c>
      <c r="O15" s="32" t="n">
        <v>74.95999999999999</v>
      </c>
      <c r="P15" s="32" t="n">
        <v>22.42</v>
      </c>
      <c r="Q15" s="32" t="inlineStr"/>
      <c r="R15" s="31" t="inlineStr">
        <is>
          <t>Earnings / Momentum Support</t>
        </is>
      </c>
      <c r="S15" s="31" t="inlineStr">
        <is>
          <t>Nifty FMCG</t>
        </is>
      </c>
      <c r="T15" s="32" t="inlineStr"/>
      <c r="U15" s="32" t="inlineStr"/>
      <c r="V15" s="32" t="inlineStr"/>
      <c r="W15" s="32" t="inlineStr"/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21</t>
        </is>
      </c>
      <c r="CG15" s="31">
        <f>IF(CF15&gt;20,10,IF(CF15&gt;=10,5,2))</f>
        <v/>
      </c>
    </row>
    <row r="16">
      <c r="A16" s="31">
        <f>IF(B16=0,"",RANK(B16,$B$2:$B$97,0))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GAYAPROJ</t>
        </is>
      </c>
      <c r="D16" s="31" t="inlineStr">
        <is>
          <t>Gayatri Projects Ltd</t>
        </is>
      </c>
      <c r="E16" s="31" t="inlineStr">
        <is>
          <t>realty</t>
        </is>
      </c>
      <c r="F16" s="31" t="inlineStr">
        <is>
          <t>Construction - Civil/Turnkey</t>
        </is>
      </c>
      <c r="G16" s="31" t="inlineStr">
        <is>
          <t>smallcap</t>
        </is>
      </c>
      <c r="H16" s="32" t="n">
        <v>1039.1</v>
      </c>
      <c r="I16" s="32" t="n">
        <v>22.38</v>
      </c>
      <c r="J16" s="32" t="n">
        <v>2.85</v>
      </c>
      <c r="K16" s="32" t="n">
        <v>0</v>
      </c>
      <c r="L16" s="31" t="inlineStr"/>
      <c r="M16" s="31" t="inlineStr"/>
      <c r="N16" s="32">
        <f>IF(M16="Underperforming",-5,IF(L16&gt;=95,15,IF(L16&gt;=90,10,IF(L16&gt;=80,5,0))))</f>
        <v/>
      </c>
      <c r="O16" s="32" t="n">
        <v>63.4</v>
      </c>
      <c r="P16" s="32" t="n">
        <v>29.68</v>
      </c>
      <c r="Q16" s="32" t="inlineStr"/>
      <c r="R16" s="31" t="inlineStr">
        <is>
          <t>Earnings / Momentum Support</t>
        </is>
      </c>
      <c r="S16" s="31" t="inlineStr">
        <is>
          <t>Nifty Realty</t>
        </is>
      </c>
      <c r="T16" s="32" t="inlineStr"/>
      <c r="U16" s="32" t="inlineStr"/>
      <c r="V16" s="32" t="inlineStr"/>
      <c r="W16" s="32" t="inlineStr"/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26</t>
        </is>
      </c>
      <c r="CG16" s="31">
        <f>IF(CF16&gt;20,10,IF(CF16&gt;=10,5,2))</f>
        <v/>
      </c>
    </row>
    <row r="17">
      <c r="A17" s="31">
        <f>IF(B17=0,"",RANK(B17,$B$2:$B$97,0))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AFCOM</t>
        </is>
      </c>
      <c r="D17" s="31" t="inlineStr">
        <is>
          <t>Afcom Holdings Ltd</t>
        </is>
      </c>
      <c r="E17" s="31" t="inlineStr">
        <is>
          <t>Industrials</t>
        </is>
      </c>
      <c r="F17" s="31" t="inlineStr">
        <is>
          <t>Air Transport Service</t>
        </is>
      </c>
      <c r="G17" s="31" t="inlineStr">
        <is>
          <t>smallcap</t>
        </is>
      </c>
      <c r="H17" s="32" t="n">
        <v>4606.81</v>
      </c>
      <c r="I17" s="32" t="n">
        <v>1604.4</v>
      </c>
      <c r="J17" s="32" t="n">
        <v>3.91</v>
      </c>
      <c r="K17" s="32" t="n">
        <v>0</v>
      </c>
      <c r="L17" s="31" t="n">
        <v>87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72.66</v>
      </c>
      <c r="P17" s="32" t="n">
        <v>44.1</v>
      </c>
      <c r="Q17" s="32" t="inlineStr"/>
      <c r="R17" s="31" t="inlineStr">
        <is>
          <t>Earnings / Momentum Support</t>
        </is>
      </c>
      <c r="S17" s="31" t="inlineStr">
        <is>
          <t>Nifty 50</t>
        </is>
      </c>
      <c r="T17" s="32" t="n">
        <v>-2.49</v>
      </c>
      <c r="U17" s="32" t="n">
        <v>76.18000000000001</v>
      </c>
      <c r="V17" s="32" t="n">
        <v>80.67</v>
      </c>
      <c r="W17" s="32" t="n">
        <v>27.49</v>
      </c>
      <c r="X17" s="31" t="inlineStr">
        <is>
          <t>Cyclical in an Upturn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Less than 50%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25</t>
        </is>
      </c>
      <c r="CG17" s="31">
        <f>IF(CF17&gt;20,10,IF(CF17&gt;=10,5,2))</f>
        <v/>
      </c>
    </row>
    <row r="18">
      <c r="A18" s="31">
        <f>IF(B18=0,"",RANK(B18,$B$2:$B$97,0))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PRECWIRE</t>
        </is>
      </c>
      <c r="D18" s="31" t="inlineStr">
        <is>
          <t>Precision Wires India Ltd</t>
        </is>
      </c>
      <c r="E18" s="31" t="inlineStr">
        <is>
          <t>Industrials</t>
        </is>
      </c>
      <c r="F18" s="31" t="inlineStr">
        <is>
          <t>Copper Wires</t>
        </is>
      </c>
      <c r="G18" s="31" t="inlineStr">
        <is>
          <t>midcap</t>
        </is>
      </c>
      <c r="H18" s="32" t="n">
        <v>7824.18</v>
      </c>
      <c r="I18" s="32" t="n">
        <v>428</v>
      </c>
      <c r="J18" s="32" t="n">
        <v>-2.39</v>
      </c>
      <c r="K18" s="32" t="n">
        <v>0</v>
      </c>
      <c r="L18" s="31" t="n">
        <v>78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63.15</v>
      </c>
      <c r="P18" s="32" t="n">
        <v>42</v>
      </c>
      <c r="Q18" s="32" t="inlineStr"/>
      <c r="R18" s="31" t="inlineStr">
        <is>
          <t>Earnings / Momentum Support</t>
        </is>
      </c>
      <c r="S18" s="31" t="inlineStr">
        <is>
          <t>Nifty 50</t>
        </is>
      </c>
      <c r="T18" s="32" t="n">
        <v>-2.49</v>
      </c>
      <c r="U18" s="32" t="n">
        <v>147.72</v>
      </c>
      <c r="V18" s="32" t="n">
        <v>154.03</v>
      </c>
      <c r="W18" s="32" t="n">
        <v>22.54</v>
      </c>
      <c r="X18" s="31" t="inlineStr">
        <is>
          <t>Cyclical in an Upturn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25</t>
        </is>
      </c>
      <c r="CG18" s="31">
        <f>IF(CF18&gt;20,10,IF(CF18&gt;=10,5,2))</f>
        <v/>
      </c>
    </row>
    <row r="19">
      <c r="A19" s="31">
        <f>IF(B19=0,"",RANK(B19,$B$2:$B$97,0))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HONASA</t>
        </is>
      </c>
      <c r="D19" s="31" t="inlineStr">
        <is>
          <t>Honasa Consumer Ltd</t>
        </is>
      </c>
      <c r="E19" s="31" t="inlineStr">
        <is>
          <t>services</t>
        </is>
      </c>
      <c r="F19" s="31" t="inlineStr">
        <is>
          <t>New age - Platform - E-Retail</t>
        </is>
      </c>
      <c r="G19" s="31" t="inlineStr">
        <is>
          <t>midcap</t>
        </is>
      </c>
      <c r="H19" s="32" t="n">
        <v>16006.16</v>
      </c>
      <c r="I19" s="32" t="n">
        <v>490.95</v>
      </c>
      <c r="J19" s="32" t="n">
        <v>1.88</v>
      </c>
      <c r="K19" s="32" t="n">
        <v>0</v>
      </c>
      <c r="L19" s="31" t="n">
        <v>63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71.3</v>
      </c>
      <c r="P19" s="32" t="n">
        <v>61.28</v>
      </c>
      <c r="Q19" s="32" t="inlineStr"/>
      <c r="R19" s="31" t="inlineStr">
        <is>
          <t>Earnings / Momentum Support</t>
        </is>
      </c>
      <c r="S19" s="31" t="inlineStr">
        <is>
          <t>Nifty 50</t>
        </is>
      </c>
      <c r="T19" s="32" t="n">
        <v>-2.49</v>
      </c>
      <c r="U19" s="32" t="n">
        <v>60.61</v>
      </c>
      <c r="V19" s="32" t="n">
        <v>64.7</v>
      </c>
      <c r="W19" s="32" t="n">
        <v>15.8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B2C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25</t>
        </is>
      </c>
      <c r="CG19" s="31">
        <f>IF(CF19&gt;20,10,IF(CF19&gt;=10,5,2))</f>
        <v/>
      </c>
    </row>
    <row r="20">
      <c r="A20" s="31">
        <f>IF(B20=0,"",RANK(B20,$B$2:$B$97,0))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KINGFA</t>
        </is>
      </c>
      <c r="D20" s="31" t="inlineStr">
        <is>
          <t>Kingfa Science &amp; Technology (India) Ltd</t>
        </is>
      </c>
      <c r="E20" s="31" t="inlineStr">
        <is>
          <t>plastic products</t>
        </is>
      </c>
      <c r="F20" s="31" t="inlineStr">
        <is>
          <t>Plastics - Plastic &amp; Plastic Products</t>
        </is>
      </c>
      <c r="G20" s="31" t="inlineStr">
        <is>
          <t>midcap</t>
        </is>
      </c>
      <c r="H20" s="32" t="n">
        <v>7806.95</v>
      </c>
      <c r="I20" s="32" t="n">
        <v>5761</v>
      </c>
      <c r="J20" s="32" t="n">
        <v>-0.9</v>
      </c>
      <c r="K20" s="32" t="n">
        <v>0</v>
      </c>
      <c r="L20" s="31" t="n">
        <v>39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67.90000000000001</v>
      </c>
      <c r="P20" s="32" t="n">
        <v>34.22</v>
      </c>
      <c r="Q20" s="32" t="inlineStr"/>
      <c r="R20" s="31" t="inlineStr">
        <is>
          <t>Earnings / Momentum Support</t>
        </is>
      </c>
      <c r="S20" s="31" t="inlineStr">
        <is>
          <t>Nifty 50</t>
        </is>
      </c>
      <c r="T20" s="32" t="n">
        <v>-2.49</v>
      </c>
      <c r="U20" s="32" t="n">
        <v>28.93</v>
      </c>
      <c r="V20" s="32" t="n">
        <v>32.21</v>
      </c>
      <c r="W20" s="32" t="n">
        <v>8.630000000000001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23</t>
        </is>
      </c>
      <c r="CG20" s="31">
        <f>IF(CF20&gt;20,10,IF(CF20&gt;=10,5,2))</f>
        <v/>
      </c>
    </row>
    <row r="21">
      <c r="A21" s="31">
        <f>IF(B21=0,"",RANK(B21,$B$2:$B$97,0))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SJS</t>
        </is>
      </c>
      <c r="D21" s="31" t="inlineStr">
        <is>
          <t>S J S Enterprises Ltd</t>
        </is>
      </c>
      <c r="E21" s="31" t="inlineStr">
        <is>
          <t>auto</t>
        </is>
      </c>
      <c r="F21" s="31" t="inlineStr">
        <is>
          <t>Auto Ancillaries - Diversified</t>
        </is>
      </c>
      <c r="G21" s="31" t="inlineStr">
        <is>
          <t>midcap</t>
        </is>
      </c>
      <c r="H21" s="32" t="n">
        <v>8208.43</v>
      </c>
      <c r="I21" s="32" t="n">
        <v>2563</v>
      </c>
      <c r="J21" s="32" t="n">
        <v>2.63</v>
      </c>
      <c r="K21" s="32" t="n">
        <v>0</v>
      </c>
      <c r="L21" s="31" t="inlineStr"/>
      <c r="M21" s="31" t="inlineStr"/>
      <c r="N21" s="32">
        <f>IF(M21="Underperforming",-5,IF(L21&gt;=95,15,IF(L21&gt;=90,10,IF(L21&gt;=80,5,0))))</f>
        <v/>
      </c>
      <c r="O21" s="32" t="n">
        <v>71.45999999999999</v>
      </c>
      <c r="P21" s="32" t="n">
        <v>46.97</v>
      </c>
      <c r="Q21" s="32" t="inlineStr"/>
      <c r="R21" s="31" t="inlineStr">
        <is>
          <t>Earnings / Momentum Support</t>
        </is>
      </c>
      <c r="S21" s="31" t="inlineStr">
        <is>
          <t>Nifty Auto</t>
        </is>
      </c>
      <c r="T21" s="32" t="inlineStr"/>
      <c r="U21" s="32" t="inlineStr"/>
      <c r="V21" s="32" t="inlineStr"/>
      <c r="W21" s="32" t="inlineStr"/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23</t>
        </is>
      </c>
      <c r="CG21" s="31">
        <f>IF(CF21&gt;20,10,IF(CF21&gt;=10,5,2))</f>
        <v/>
      </c>
    </row>
    <row r="22">
      <c r="A22" s="31">
        <f>IF(B22=0,"",RANK(B22,$B$2:$B$97,0))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FCL</t>
        </is>
      </c>
      <c r="D22" s="31" t="inlineStr">
        <is>
          <t>Fineotex Chemical Ltd</t>
        </is>
      </c>
      <c r="E22" s="31" t="inlineStr">
        <is>
          <t>chemicals</t>
        </is>
      </c>
      <c r="F22" s="31" t="inlineStr">
        <is>
          <t>Speciality Chemicals</t>
        </is>
      </c>
      <c r="G22" s="31" t="inlineStr">
        <is>
          <t>midcap</t>
        </is>
      </c>
      <c r="H22" s="32" t="n">
        <v>5764.28</v>
      </c>
      <c r="I22" s="32" t="n">
        <v>49.5</v>
      </c>
      <c r="J22" s="32" t="n">
        <v>4.36</v>
      </c>
      <c r="K22" s="32" t="n">
        <v>0</v>
      </c>
      <c r="L22" s="31" t="n">
        <v>80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73.34999999999999</v>
      </c>
      <c r="P22" s="32" t="n">
        <v>49.63</v>
      </c>
      <c r="Q22" s="32" t="inlineStr"/>
      <c r="R22" s="31" t="inlineStr">
        <is>
          <t>Earnings / Momentum Support</t>
        </is>
      </c>
      <c r="S22" s="31" t="inlineStr">
        <is>
          <t>Nifty 50</t>
        </is>
      </c>
      <c r="T22" s="32" t="n">
        <v>-2.49</v>
      </c>
      <c r="U22" s="32" t="n">
        <v>86.87</v>
      </c>
      <c r="V22" s="32" t="n">
        <v>91.63</v>
      </c>
      <c r="W22" s="32" t="n">
        <v>23.4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23</t>
        </is>
      </c>
      <c r="CG22" s="31">
        <f>IF(CF22&gt;20,10,IF(CF22&gt;=10,5,2))</f>
        <v/>
      </c>
    </row>
    <row r="23">
      <c r="A23" s="31">
        <f>IF(B23=0,"",RANK(B23,$B$2:$B$97,0))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UNIPARTS</t>
        </is>
      </c>
      <c r="D23" s="31" t="inlineStr">
        <is>
          <t>Uniparts India Ltd</t>
        </is>
      </c>
      <c r="E23" s="31" t="inlineStr">
        <is>
          <t>industrials</t>
        </is>
      </c>
      <c r="F23" s="31" t="inlineStr">
        <is>
          <t>Castings, Forgings &amp; Fastners</t>
        </is>
      </c>
      <c r="G23" s="31" t="inlineStr">
        <is>
          <t>smallcap</t>
        </is>
      </c>
      <c r="H23" s="32" t="n">
        <v>3644.49</v>
      </c>
      <c r="I23" s="32" t="n">
        <v>807</v>
      </c>
      <c r="J23" s="32" t="n">
        <v>-1.02</v>
      </c>
      <c r="K23" s="32" t="n">
        <v>0</v>
      </c>
      <c r="L23" s="31" t="n">
        <v>85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79.31</v>
      </c>
      <c r="P23" s="32" t="n">
        <v>66.2</v>
      </c>
      <c r="Q23" s="32" t="inlineStr"/>
      <c r="R23" s="31" t="inlineStr">
        <is>
          <t>Earnings / Momentum Support</t>
        </is>
      </c>
      <c r="S23" s="31" t="inlineStr">
        <is>
          <t>Nifty 50</t>
        </is>
      </c>
      <c r="T23" s="32" t="n">
        <v>-2.49</v>
      </c>
      <c r="U23" s="32" t="n">
        <v>107.67</v>
      </c>
      <c r="V23" s="32" t="n">
        <v>112.96</v>
      </c>
      <c r="W23" s="32" t="n">
        <v>26.18</v>
      </c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21</t>
        </is>
      </c>
      <c r="CG23" s="31">
        <f>IF(CF23&gt;20,10,IF(CF23&gt;=10,5,2))</f>
        <v/>
      </c>
    </row>
    <row r="24">
      <c r="A24" s="31">
        <f>IF(B24=0,"",RANK(B24,$B$2:$B$97,0))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IRISDOREME</t>
        </is>
      </c>
      <c r="D24" s="31" t="inlineStr">
        <is>
          <t>Iris Clothings Ltd</t>
        </is>
      </c>
      <c r="E24" s="31" t="inlineStr">
        <is>
          <t>consumer discretionary</t>
        </is>
      </c>
      <c r="F24" s="31" t="inlineStr">
        <is>
          <t>Textiles - Readymade Apparel</t>
        </is>
      </c>
      <c r="G24" s="31" t="inlineStr">
        <is>
          <t>smallcap</t>
        </is>
      </c>
      <c r="H24" s="32" t="n">
        <v>1100.88</v>
      </c>
      <c r="I24" s="32" t="n">
        <v>57.84</v>
      </c>
      <c r="J24" s="32" t="n">
        <v>1.47</v>
      </c>
      <c r="K24" s="32" t="n">
        <v>0</v>
      </c>
      <c r="L24" s="31" t="n">
        <v>85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81.48999999999999</v>
      </c>
      <c r="P24" s="32" t="n">
        <v>46.5</v>
      </c>
      <c r="Q24" s="32" t="inlineStr"/>
      <c r="R24" s="31" t="inlineStr">
        <is>
          <t>Earnings / Momentum Support</t>
        </is>
      </c>
      <c r="S24" s="31" t="inlineStr">
        <is>
          <t>Nifty 50</t>
        </is>
      </c>
      <c r="T24" s="32" t="n">
        <v>-2.49</v>
      </c>
      <c r="U24" s="32" t="n">
        <v>78.63</v>
      </c>
      <c r="V24" s="32" t="n">
        <v>83.18000000000001</v>
      </c>
      <c r="W24" s="32" t="n">
        <v>26.17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21</t>
        </is>
      </c>
      <c r="CG24" s="31">
        <f>IF(CF24&gt;20,10,IF(CF24&gt;=10,5,2))</f>
        <v/>
      </c>
    </row>
    <row r="25">
      <c r="A25" s="31">
        <f>IF(B25=0,"",RANK(B25,$B$2:$B$97,0))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ADOR</t>
        </is>
      </c>
      <c r="D25" s="31" t="inlineStr">
        <is>
          <t>Ador Welding Ltd</t>
        </is>
      </c>
      <c r="E25" s="31" t="inlineStr">
        <is>
          <t>industrials</t>
        </is>
      </c>
      <c r="F25" s="31" t="inlineStr">
        <is>
          <t>Welding Equipments</t>
        </is>
      </c>
      <c r="G25" s="31" t="inlineStr">
        <is>
          <t>smallcap</t>
        </is>
      </c>
      <c r="H25" s="32" t="n">
        <v>2822.91</v>
      </c>
      <c r="I25" s="32" t="n">
        <v>1622.1</v>
      </c>
      <c r="J25" s="32" t="n">
        <v>0.28</v>
      </c>
      <c r="K25" s="32" t="n">
        <v>0</v>
      </c>
      <c r="L25" s="31" t="n">
        <v>83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81.45999999999999</v>
      </c>
      <c r="P25" s="32" t="n">
        <v>60.05</v>
      </c>
      <c r="Q25" s="32" t="inlineStr"/>
      <c r="R25" s="31" t="inlineStr">
        <is>
          <t>Earnings / Momentum Support</t>
        </is>
      </c>
      <c r="S25" s="31" t="inlineStr">
        <is>
          <t>Nifty 50</t>
        </is>
      </c>
      <c r="T25" s="32" t="n">
        <v>-2.49</v>
      </c>
      <c r="U25" s="32" t="n">
        <v>79.70999999999999</v>
      </c>
      <c r="V25" s="32" t="n">
        <v>84.3</v>
      </c>
      <c r="W25" s="32" t="n">
        <v>24.85</v>
      </c>
      <c r="X25" s="31" t="inlineStr">
        <is>
          <t>Cyclical in an Upturn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20</t>
        </is>
      </c>
      <c r="CG25" s="31">
        <f>IF(CF25&gt;20,10,IF(CF25&gt;=10,5,2))</f>
        <v/>
      </c>
    </row>
    <row r="26">
      <c r="A26" s="31">
        <f>IF(B26=0,"",RANK(B26,$B$2:$B$97,0))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3" t="inlineStr">
        <is>
          <t>ENTERO</t>
        </is>
      </c>
      <c r="D26" s="33" t="inlineStr">
        <is>
          <t>Entero Healthcare Solutions Ltd</t>
        </is>
      </c>
      <c r="E26" s="31" t="inlineStr">
        <is>
          <t>healthcare</t>
        </is>
      </c>
      <c r="F26" s="31" t="inlineStr">
        <is>
          <t>Pharmacy Distribution</t>
        </is>
      </c>
      <c r="G26" s="31" t="inlineStr">
        <is>
          <t>midcap</t>
        </is>
      </c>
      <c r="H26" s="32" t="n">
        <v>6616.38</v>
      </c>
      <c r="I26" s="32" t="n">
        <v>1520.2</v>
      </c>
      <c r="J26" s="32" t="n">
        <v>6.79</v>
      </c>
      <c r="K26" s="32" t="n">
        <v>0</v>
      </c>
      <c r="L26" s="31" t="n">
        <v>22</v>
      </c>
      <c r="M26" s="31" t="inlineStr">
        <is>
          <t>Underperforming</t>
        </is>
      </c>
      <c r="N26" s="32">
        <f>IF(M26="Underperforming",-5,IF(L26&gt;=95,15,IF(L26&gt;=90,10,IF(L26&gt;=80,5,0))))</f>
        <v/>
      </c>
      <c r="O26" s="32" t="n">
        <v>65.28</v>
      </c>
      <c r="P26" s="32" t="n">
        <v>28.15</v>
      </c>
      <c r="Q26" s="32" t="inlineStr"/>
      <c r="R26" s="31" t="inlineStr">
        <is>
          <t>Volume Spike / Accumulation</t>
        </is>
      </c>
      <c r="S26" s="31" t="inlineStr">
        <is>
          <t>Nifty Pharma</t>
        </is>
      </c>
      <c r="T26" s="32" t="n">
        <v>18.39</v>
      </c>
      <c r="U26" s="32" t="n">
        <v>15.79</v>
      </c>
      <c r="V26" s="32" t="n">
        <v>-2.2</v>
      </c>
      <c r="W26" s="32" t="n">
        <v>4.74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28</t>
        </is>
      </c>
      <c r="CG26" s="31">
        <f>IF(CF26&gt;20,10,IF(CF26&gt;=10,5,2))</f>
        <v/>
      </c>
    </row>
    <row r="27">
      <c r="A27" s="31">
        <f>IF(B27=0,"",RANK(B27,$B$2:$B$97,0))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KPL</t>
        </is>
      </c>
      <c r="D27" s="31" t="inlineStr">
        <is>
          <t>Kwality Pharmaceuticals Ltd</t>
        </is>
      </c>
      <c r="E27" s="31" t="inlineStr">
        <is>
          <t>Healthcare</t>
        </is>
      </c>
      <c r="F27" s="31" t="inlineStr">
        <is>
          <t>Pharma - Formulators</t>
        </is>
      </c>
      <c r="G27" s="31" t="inlineStr">
        <is>
          <t>smallcap</t>
        </is>
      </c>
      <c r="H27" s="32" t="n">
        <v>3579.79</v>
      </c>
      <c r="I27" s="32" t="n">
        <v>3450</v>
      </c>
      <c r="J27" s="32" t="n">
        <v>2.77</v>
      </c>
      <c r="K27" s="32" t="n">
        <v>0</v>
      </c>
      <c r="L27" s="31" t="n">
        <v>97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77.08</v>
      </c>
      <c r="P27" s="32" t="n">
        <v>70.42</v>
      </c>
      <c r="Q27" s="32" t="inlineStr"/>
      <c r="R27" s="31" t="inlineStr">
        <is>
          <t>Earnings / Momentum Support</t>
        </is>
      </c>
      <c r="S27" s="31" t="inlineStr">
        <is>
          <t>Nifty Pharma</t>
        </is>
      </c>
      <c r="T27" s="32" t="n">
        <v>18.39</v>
      </c>
      <c r="U27" s="32" t="n">
        <v>231.48</v>
      </c>
      <c r="V27" s="32" t="n">
        <v>179.99</v>
      </c>
      <c r="W27" s="32" t="n">
        <v>41.62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26</t>
        </is>
      </c>
      <c r="CG27" s="31">
        <f>IF(CF27&gt;20,10,IF(CF27&gt;=10,5,2))</f>
        <v/>
      </c>
    </row>
    <row r="28">
      <c r="A28" s="31">
        <f>IF(B28=0,"",RANK(B28,$B$2:$B$97,0))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KMCSHIL</t>
        </is>
      </c>
      <c r="D28" s="31" t="inlineStr">
        <is>
          <t>KMC Speciality Hospitals (India) Ltd</t>
        </is>
      </c>
      <c r="E28" s="31" t="inlineStr">
        <is>
          <t>Healthcare</t>
        </is>
      </c>
      <c r="F28" s="31" t="inlineStr">
        <is>
          <t>Hospitals</t>
        </is>
      </c>
      <c r="G28" s="31" t="inlineStr">
        <is>
          <t>smallcap</t>
        </is>
      </c>
      <c r="H28" s="32" t="n">
        <v>2267.7</v>
      </c>
      <c r="I28" s="32" t="n">
        <v>139.05</v>
      </c>
      <c r="J28" s="32" t="n">
        <v>-2.15</v>
      </c>
      <c r="K28" s="32" t="n">
        <v>0</v>
      </c>
      <c r="L28" s="31" t="n">
        <v>86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74.13</v>
      </c>
      <c r="P28" s="32" t="n">
        <v>62.83</v>
      </c>
      <c r="Q28" s="32" t="inlineStr"/>
      <c r="R28" s="31" t="inlineStr">
        <is>
          <t>Earnings / Momentum Support</t>
        </is>
      </c>
      <c r="S28" s="31" t="inlineStr">
        <is>
          <t>Nifty Pharma</t>
        </is>
      </c>
      <c r="T28" s="32" t="n">
        <v>18.39</v>
      </c>
      <c r="U28" s="32" t="n">
        <v>104.28</v>
      </c>
      <c r="V28" s="32" t="n">
        <v>72.55</v>
      </c>
      <c r="W28" s="32" t="n">
        <v>26.56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26</t>
        </is>
      </c>
      <c r="CG28" s="31">
        <f>IF(CF28&gt;20,10,IF(CF28&gt;=10,5,2))</f>
        <v/>
      </c>
    </row>
    <row r="29">
      <c r="A29" s="31">
        <f>IF(B29=0,"",RANK(B29,$B$2:$B$97,0))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INDSWFTLAB</t>
        </is>
      </c>
      <c r="D29" s="31" t="inlineStr">
        <is>
          <t>Ind-Swift Laboratories Ltd</t>
        </is>
      </c>
      <c r="E29" s="31" t="inlineStr">
        <is>
          <t>healthcare</t>
        </is>
      </c>
      <c r="F29" s="31" t="inlineStr">
        <is>
          <t>Pharma - API</t>
        </is>
      </c>
      <c r="G29" s="31" t="inlineStr">
        <is>
          <t>smallcap</t>
        </is>
      </c>
      <c r="H29" s="32" t="n">
        <v>2829.29</v>
      </c>
      <c r="I29" s="32" t="n">
        <v>325.35</v>
      </c>
      <c r="J29" s="32" t="n">
        <v>-1.29</v>
      </c>
      <c r="K29" s="32" t="n">
        <v>0</v>
      </c>
      <c r="L29" s="31" t="n">
        <v>99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87.3</v>
      </c>
      <c r="P29" s="32" t="n">
        <v>68.39</v>
      </c>
      <c r="Q29" s="32" t="inlineStr"/>
      <c r="R29" s="31" t="inlineStr">
        <is>
          <t>Earnings / Momentum Support</t>
        </is>
      </c>
      <c r="S29" s="31" t="inlineStr">
        <is>
          <t>Nifty Pharma</t>
        </is>
      </c>
      <c r="T29" s="32" t="n">
        <v>18.39</v>
      </c>
      <c r="U29" s="32" t="n">
        <v>236.38</v>
      </c>
      <c r="V29" s="32" t="n">
        <v>184.13</v>
      </c>
      <c r="W29" s="32" t="n">
        <v>67.36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25</t>
        </is>
      </c>
      <c r="CG29" s="31">
        <f>IF(CF29&gt;20,10,IF(CF29&gt;=10,5,2))</f>
        <v/>
      </c>
    </row>
    <row r="30">
      <c r="A30" s="31">
        <f>IF(B30=0,"",RANK(B30,$B$2:$B$97,0))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IPCALAB</t>
        </is>
      </c>
      <c r="D30" s="31" t="inlineStr">
        <is>
          <t>Ipca Laboratories Ltd</t>
        </is>
      </c>
      <c r="E30" s="31" t="inlineStr">
        <is>
          <t>healthcare</t>
        </is>
      </c>
      <c r="F30" s="31" t="inlineStr">
        <is>
          <t>Pharma - Formulators</t>
        </is>
      </c>
      <c r="G30" s="31" t="inlineStr">
        <is>
          <t>largecap</t>
        </is>
      </c>
      <c r="H30" s="32" t="n">
        <v>48736.58</v>
      </c>
      <c r="I30" s="32" t="n">
        <v>1921</v>
      </c>
      <c r="J30" s="32" t="n">
        <v>0.51</v>
      </c>
      <c r="K30" s="32" t="n">
        <v>0</v>
      </c>
      <c r="L30" s="31" t="n">
        <v>45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67.19</v>
      </c>
      <c r="P30" s="32" t="n">
        <v>37.97</v>
      </c>
      <c r="Q30" s="32" t="inlineStr"/>
      <c r="R30" s="31" t="inlineStr">
        <is>
          <t>Earnings / Momentum Support</t>
        </is>
      </c>
      <c r="S30" s="31" t="inlineStr">
        <is>
          <t>Nifty Pharma</t>
        </is>
      </c>
      <c r="T30" s="32" t="n">
        <v>18.39</v>
      </c>
      <c r="U30" s="32" t="n">
        <v>35.21</v>
      </c>
      <c r="V30" s="32" t="n">
        <v>14.21</v>
      </c>
      <c r="W30" s="32" t="n">
        <v>10.43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19</t>
        </is>
      </c>
      <c r="CG30" s="31">
        <f>IF(CF30&gt;20,10,IF(CF30&gt;=10,5,2))</f>
        <v/>
      </c>
    </row>
    <row r="31">
      <c r="A31" s="31">
        <f>IF(B31=0,"",RANK(B31,$B$2:$B$97,0))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SKYGOLD</t>
        </is>
      </c>
      <c r="D31" s="31" t="inlineStr">
        <is>
          <t>Sky Gold &amp; Diamonds Ltd</t>
        </is>
      </c>
      <c r="E31" s="31" t="inlineStr">
        <is>
          <t>consumer discretionary</t>
        </is>
      </c>
      <c r="F31" s="31" t="inlineStr">
        <is>
          <t>Diamond, Gems &amp; Jewellery</t>
        </is>
      </c>
      <c r="G31" s="31" t="inlineStr">
        <is>
          <t>midcap</t>
        </is>
      </c>
      <c r="H31" s="32" t="n">
        <v>12357.39</v>
      </c>
      <c r="I31" s="32" t="n">
        <v>797.9</v>
      </c>
      <c r="J31" s="32" t="n">
        <v>-0.7</v>
      </c>
      <c r="K31" s="32" t="n">
        <v>0</v>
      </c>
      <c r="L31" s="31" t="n">
        <v>95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81.47</v>
      </c>
      <c r="P31" s="32" t="n">
        <v>65.54000000000001</v>
      </c>
      <c r="Q31" s="32" t="inlineStr"/>
      <c r="R31" s="31" t="inlineStr">
        <is>
          <t>Earnings / Momentum Support</t>
        </is>
      </c>
      <c r="S31" s="31" t="inlineStr">
        <is>
          <t>Nifty 50</t>
        </is>
      </c>
      <c r="T31" s="32" t="n">
        <v>-2.49</v>
      </c>
      <c r="U31" s="32" t="n">
        <v>163.49</v>
      </c>
      <c r="V31" s="32" t="n">
        <v>170.2</v>
      </c>
      <c r="W31" s="32" t="n">
        <v>38.02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Between 0.7 to 1.2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27</t>
        </is>
      </c>
      <c r="CG31" s="31">
        <f>IF(CF31&gt;20,10,IF(CF31&gt;=10,5,2))</f>
        <v/>
      </c>
    </row>
    <row r="32">
      <c r="A32" s="31">
        <f>IF(B32=0,"",RANK(B32,$B$2:$B$97,0))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DIVGIITTS</t>
        </is>
      </c>
      <c r="D32" s="31" t="inlineStr">
        <is>
          <t>Divgi Torqtransfer Systems Ltd</t>
        </is>
      </c>
      <c r="E32" s="31" t="inlineStr">
        <is>
          <t>auto</t>
        </is>
      </c>
      <c r="F32" s="31" t="inlineStr">
        <is>
          <t>Auto Ancillaries - Transmission</t>
        </is>
      </c>
      <c r="G32" s="31" t="inlineStr">
        <is>
          <t>smallcap</t>
        </is>
      </c>
      <c r="H32" s="32" t="n">
        <v>3726.53</v>
      </c>
      <c r="I32" s="32" t="n">
        <v>1218.5</v>
      </c>
      <c r="J32" s="32" t="n">
        <v>0.05</v>
      </c>
      <c r="K32" s="32" t="n">
        <v>0</v>
      </c>
      <c r="L32" s="31" t="inlineStr"/>
      <c r="M32" s="31" t="inlineStr"/>
      <c r="N32" s="32">
        <f>IF(M32="Underperforming",-5,IF(L32&gt;=95,15,IF(L32&gt;=90,10,IF(L32&gt;=80,5,0))))</f>
        <v/>
      </c>
      <c r="O32" s="32" t="n">
        <v>70.73999999999999</v>
      </c>
      <c r="P32" s="32" t="n">
        <v>53.59</v>
      </c>
      <c r="Q32" s="32" t="inlineStr"/>
      <c r="R32" s="31" t="inlineStr">
        <is>
          <t>Earnings / Momentum Support</t>
        </is>
      </c>
      <c r="S32" s="31" t="inlineStr">
        <is>
          <t>Nifty Auto</t>
        </is>
      </c>
      <c r="T32" s="32" t="inlineStr"/>
      <c r="U32" s="32" t="inlineStr"/>
      <c r="V32" s="32" t="inlineStr"/>
      <c r="W32" s="32" t="inlineStr"/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23</t>
        </is>
      </c>
      <c r="CG32" s="31">
        <f>IF(CF32&gt;20,10,IF(CF32&gt;=10,5,2))</f>
        <v/>
      </c>
    </row>
    <row r="33">
      <c r="A33" s="31">
        <f>IF(B33=0,"",RANK(B33,$B$2:$B$97,0))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KABRAEXTRU</t>
        </is>
      </c>
      <c r="D33" s="31" t="inlineStr">
        <is>
          <t>Kabra Extrusion Technik Ltd</t>
        </is>
      </c>
      <c r="E33" s="31" t="inlineStr">
        <is>
          <t>industrials</t>
        </is>
      </c>
      <c r="F33" s="31" t="inlineStr">
        <is>
          <t>Capital Goods - Engineering Heavy</t>
        </is>
      </c>
      <c r="G33" s="31" t="inlineStr">
        <is>
          <t>smallcap</t>
        </is>
      </c>
      <c r="H33" s="32" t="n">
        <v>2140.16</v>
      </c>
      <c r="I33" s="32" t="n">
        <v>611.95</v>
      </c>
      <c r="J33" s="32" t="n">
        <v>8.08</v>
      </c>
      <c r="K33" s="32" t="n">
        <v>0</v>
      </c>
      <c r="L33" s="31" t="n">
        <v>99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88.63</v>
      </c>
      <c r="P33" s="32" t="n">
        <v>44.92</v>
      </c>
      <c r="Q33" s="32" t="inlineStr"/>
      <c r="R33" s="31" t="inlineStr">
        <is>
          <t>Earnings / Momentum Support</t>
        </is>
      </c>
      <c r="S33" s="31" t="inlineStr">
        <is>
          <t>Nifty 50</t>
        </is>
      </c>
      <c r="T33" s="32" t="n">
        <v>-2.49</v>
      </c>
      <c r="U33" s="32" t="n">
        <v>128.68</v>
      </c>
      <c r="V33" s="32" t="n">
        <v>134.5</v>
      </c>
      <c r="W33" s="32" t="n">
        <v>57.94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23</t>
        </is>
      </c>
      <c r="CG33" s="31">
        <f>IF(CF33&gt;20,10,IF(CF33&gt;=10,5,2))</f>
        <v/>
      </c>
    </row>
    <row r="34">
      <c r="A34" s="31">
        <f>IF(B34=0,"",RANK(B34,$B$2:$B$97,0))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3" t="inlineStr">
        <is>
          <t>DPABHUSHAN</t>
        </is>
      </c>
      <c r="D34" s="33" t="inlineStr">
        <is>
          <t>DP Abhushan Ltd</t>
        </is>
      </c>
      <c r="E34" s="31" t="inlineStr">
        <is>
          <t>consumer discretionary</t>
        </is>
      </c>
      <c r="F34" s="31" t="inlineStr">
        <is>
          <t>Diamond, Gems &amp; Jewellery</t>
        </is>
      </c>
      <c r="G34" s="31" t="inlineStr">
        <is>
          <t>smallcap</t>
        </is>
      </c>
      <c r="H34" s="32" t="n">
        <v>3520.75</v>
      </c>
      <c r="I34" s="32" t="n">
        <v>1542.3</v>
      </c>
      <c r="J34" s="32" t="n">
        <v>4.04</v>
      </c>
      <c r="K34" s="32" t="n">
        <v>0</v>
      </c>
      <c r="L34" s="31" t="n">
        <v>51</v>
      </c>
      <c r="M34" s="31" t="inlineStr">
        <is>
          <t>Underperforming</t>
        </is>
      </c>
      <c r="N34" s="32">
        <f>IF(M34="Underperforming",-5,IF(L34&gt;=95,15,IF(L34&gt;=90,10,IF(L34&gt;=80,5,0))))</f>
        <v/>
      </c>
      <c r="O34" s="32" t="n">
        <v>67.59</v>
      </c>
      <c r="P34" s="32" t="n">
        <v>36.2</v>
      </c>
      <c r="Q34" s="32" t="inlineStr"/>
      <c r="R34" s="31" t="inlineStr">
        <is>
          <t>Earnings / Momentum Support</t>
        </is>
      </c>
      <c r="S34" s="31" t="inlineStr">
        <is>
          <t>Nifty 50</t>
        </is>
      </c>
      <c r="T34" s="32" t="n">
        <v>-2.49</v>
      </c>
      <c r="U34" s="32" t="n">
        <v>-7.21</v>
      </c>
      <c r="V34" s="32" t="n">
        <v>-4.84</v>
      </c>
      <c r="W34" s="32" t="n">
        <v>12.5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22</t>
        </is>
      </c>
      <c r="CG34" s="31">
        <f>IF(CF34&gt;20,10,IF(CF34&gt;=10,5,2))</f>
        <v/>
      </c>
    </row>
    <row r="35">
      <c r="A35" s="31">
        <f>IF(B35=0,"",RANK(B35,$B$2:$B$97,0))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AVALON</t>
        </is>
      </c>
      <c r="D35" s="31" t="inlineStr">
        <is>
          <t>Avalon Technologies Ltd</t>
        </is>
      </c>
      <c r="E35" s="31" t="inlineStr">
        <is>
          <t>consumer discretionary</t>
        </is>
      </c>
      <c r="F35" s="31" t="inlineStr">
        <is>
          <t>Consumer Electronics - EMS</t>
        </is>
      </c>
      <c r="G35" s="31" t="inlineStr">
        <is>
          <t>midcap</t>
        </is>
      </c>
      <c r="H35" s="32" t="n">
        <v>14150.73</v>
      </c>
      <c r="I35" s="32" t="n">
        <v>2118</v>
      </c>
      <c r="J35" s="32" t="n">
        <v>-3.01</v>
      </c>
      <c r="K35" s="32" t="n">
        <v>0</v>
      </c>
      <c r="L35" s="31" t="n">
        <v>92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82.66</v>
      </c>
      <c r="P35" s="32" t="n">
        <v>59.26</v>
      </c>
      <c r="Q35" s="32" t="inlineStr"/>
      <c r="R35" s="31" t="inlineStr">
        <is>
          <t>Earnings / Momentum Support</t>
        </is>
      </c>
      <c r="S35" s="31" t="inlineStr">
        <is>
          <t>Nifty 50</t>
        </is>
      </c>
      <c r="T35" s="32" t="n">
        <v>-2.49</v>
      </c>
      <c r="U35" s="32" t="n">
        <v>155.68</v>
      </c>
      <c r="V35" s="32" t="n">
        <v>162.2</v>
      </c>
      <c r="W35" s="32" t="n">
        <v>31.89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21</t>
        </is>
      </c>
      <c r="CG35" s="31">
        <f>IF(CF35&gt;20,10,IF(CF35&gt;=10,5,2))</f>
        <v/>
      </c>
    </row>
    <row r="36">
      <c r="A36" s="31">
        <f>IF(B36=0,"",RANK(B36,$B$2:$B$97,0))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WELSPUNLIV</t>
        </is>
      </c>
      <c r="D36" s="31" t="inlineStr">
        <is>
          <t>Welspun Living Ltd</t>
        </is>
      </c>
      <c r="E36" s="31" t="inlineStr">
        <is>
          <t>textiles</t>
        </is>
      </c>
      <c r="F36" s="31" t="inlineStr">
        <is>
          <t>Textiles - Home Textile</t>
        </is>
      </c>
      <c r="G36" s="31" t="inlineStr">
        <is>
          <t>midcap</t>
        </is>
      </c>
      <c r="H36" s="32" t="n">
        <v>18267.06</v>
      </c>
      <c r="I36" s="32" t="n">
        <v>190.45</v>
      </c>
      <c r="J36" s="32" t="n">
        <v>0.65</v>
      </c>
      <c r="K36" s="32" t="n">
        <v>0</v>
      </c>
      <c r="L36" s="31" t="n">
        <v>68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73.54000000000001</v>
      </c>
      <c r="P36" s="32" t="n">
        <v>36.05</v>
      </c>
      <c r="Q36" s="32" t="inlineStr"/>
      <c r="R36" s="31" t="inlineStr">
        <is>
          <t>Earnings / Momentum Support</t>
        </is>
      </c>
      <c r="S36" s="31" t="inlineStr">
        <is>
          <t>Nifty 50</t>
        </is>
      </c>
      <c r="T36" s="32" t="n">
        <v>-2.49</v>
      </c>
      <c r="U36" s="32" t="n">
        <v>59.53</v>
      </c>
      <c r="V36" s="32" t="n">
        <v>63.6</v>
      </c>
      <c r="W36" s="32" t="n">
        <v>17.8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21</t>
        </is>
      </c>
      <c r="CG36" s="31">
        <f>IF(CF36&gt;20,10,IF(CF36&gt;=10,5,2))</f>
        <v/>
      </c>
    </row>
    <row r="37">
      <c r="A37" s="31">
        <f>IF(B37=0,"",RANK(B37,$B$2:$B$97,0))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UNIVCABLES</t>
        </is>
      </c>
      <c r="D37" s="31" t="inlineStr">
        <is>
          <t>Universal Cables Ltd</t>
        </is>
      </c>
      <c r="E37" s="31" t="inlineStr">
        <is>
          <t>industrials</t>
        </is>
      </c>
      <c r="F37" s="31" t="inlineStr">
        <is>
          <t>Cables - Power</t>
        </is>
      </c>
      <c r="G37" s="31" t="inlineStr">
        <is>
          <t>midcap</t>
        </is>
      </c>
      <c r="H37" s="32" t="n">
        <v>5644.94</v>
      </c>
      <c r="I37" s="32" t="n">
        <v>1627</v>
      </c>
      <c r="J37" s="32" t="n">
        <v>2.17</v>
      </c>
      <c r="K37" s="32" t="n">
        <v>0</v>
      </c>
      <c r="L37" s="31" t="inlineStr"/>
      <c r="M37" s="31" t="inlineStr"/>
      <c r="N37" s="32">
        <f>IF(M37="Underperforming",-5,IF(L37&gt;=95,15,IF(L37&gt;=90,10,IF(L37&gt;=80,5,0))))</f>
        <v/>
      </c>
      <c r="O37" s="32" t="n">
        <v>73.11</v>
      </c>
      <c r="P37" s="32" t="n">
        <v>60.56</v>
      </c>
      <c r="Q37" s="32" t="inlineStr"/>
      <c r="R37" s="31" t="inlineStr">
        <is>
          <t>Earnings / Momentum Support</t>
        </is>
      </c>
      <c r="S37" s="31" t="inlineStr">
        <is>
          <t>Nifty Energy</t>
        </is>
      </c>
      <c r="T37" s="32" t="inlineStr"/>
      <c r="U37" s="32" t="inlineStr"/>
      <c r="V37" s="32" t="inlineStr"/>
      <c r="W37" s="32" t="inlineStr"/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21</t>
        </is>
      </c>
      <c r="CG37" s="31">
        <f>IF(CF37&gt;20,10,IF(CF37&gt;=10,5,2))</f>
        <v/>
      </c>
    </row>
    <row r="38">
      <c r="A38" s="31">
        <f>IF(B38=0,"",RANK(B38,$B$2:$B$97,0))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KDDL</t>
        </is>
      </c>
      <c r="D38" s="31" t="inlineStr">
        <is>
          <t>KDDL Ltd</t>
        </is>
      </c>
      <c r="E38" s="31" t="inlineStr">
        <is>
          <t>consumer discretionary</t>
        </is>
      </c>
      <c r="F38" s="31" t="inlineStr">
        <is>
          <t>Watches</t>
        </is>
      </c>
      <c r="G38" s="31" t="inlineStr">
        <is>
          <t>smallcap</t>
        </is>
      </c>
      <c r="H38" s="32" t="n">
        <v>4735.22</v>
      </c>
      <c r="I38" s="32" t="n">
        <v>3850</v>
      </c>
      <c r="J38" s="32" t="n">
        <v>-3.88</v>
      </c>
      <c r="K38" s="32" t="n">
        <v>0</v>
      </c>
      <c r="L38" s="31" t="n">
        <v>74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78.39</v>
      </c>
      <c r="P38" s="32" t="n">
        <v>44.5</v>
      </c>
      <c r="Q38" s="32" t="inlineStr"/>
      <c r="R38" s="31" t="inlineStr">
        <is>
          <t>Earnings / Momentum Support</t>
        </is>
      </c>
      <c r="S38" s="31" t="inlineStr">
        <is>
          <t>Nifty 50</t>
        </is>
      </c>
      <c r="T38" s="32" t="n">
        <v>-2.49</v>
      </c>
      <c r="U38" s="32" t="n">
        <v>63.41</v>
      </c>
      <c r="V38" s="32" t="n">
        <v>67.56999999999999</v>
      </c>
      <c r="W38" s="32" t="n">
        <v>19.98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19</t>
        </is>
      </c>
      <c r="CG38" s="31">
        <f>IF(CF38&gt;20,10,IF(CF38&gt;=10,5,2))</f>
        <v/>
      </c>
    </row>
    <row r="39">
      <c r="A39" s="31">
        <f>IF(B39=0,"",RANK(B39,$B$2:$B$97,0))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CUPID</t>
        </is>
      </c>
      <c r="D39" s="31" t="inlineStr">
        <is>
          <t>Cupid Ltd</t>
        </is>
      </c>
      <c r="E39" s="31" t="inlineStr">
        <is>
          <t>fmcg</t>
        </is>
      </c>
      <c r="F39" s="31" t="inlineStr">
        <is>
          <t>Contraceptives/Protectives</t>
        </is>
      </c>
      <c r="G39" s="31" t="inlineStr">
        <is>
          <t>largecap</t>
        </is>
      </c>
      <c r="H39" s="32" t="n">
        <v>38470.74</v>
      </c>
      <c r="I39" s="32" t="n">
        <v>286.1</v>
      </c>
      <c r="J39" s="32" t="n">
        <v>0.53</v>
      </c>
      <c r="K39" s="32" t="n">
        <v>0</v>
      </c>
      <c r="L39" s="31" t="inlineStr"/>
      <c r="M39" s="31" t="inlineStr"/>
      <c r="N39" s="32">
        <f>IF(M39="Underperforming",-5,IF(L39&gt;=95,15,IF(L39&gt;=90,10,IF(L39&gt;=80,5,0))))</f>
        <v/>
      </c>
      <c r="O39" s="32" t="n">
        <v>88.06</v>
      </c>
      <c r="P39" s="32" t="n">
        <v>72.64</v>
      </c>
      <c r="Q39" s="32" t="inlineStr"/>
      <c r="R39" s="31" t="inlineStr">
        <is>
          <t>Earnings / Momentum Support</t>
        </is>
      </c>
      <c r="S39" s="31" t="inlineStr">
        <is>
          <t>Nifty FMCG</t>
        </is>
      </c>
      <c r="T39" s="32" t="inlineStr"/>
      <c r="U39" s="32" t="inlineStr"/>
      <c r="V39" s="32" t="inlineStr"/>
      <c r="W39" s="32" t="inlineStr"/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B2C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23</t>
        </is>
      </c>
      <c r="CG39" s="31">
        <f>IF(CF39&gt;20,10,IF(CF39&gt;=10,5,2))</f>
        <v/>
      </c>
    </row>
    <row r="40">
      <c r="A40" s="31">
        <f>IF(B40=0,"",RANK(B40,$B$2:$B$97,0))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SHILPAMED</t>
        </is>
      </c>
      <c r="D40" s="31" t="inlineStr">
        <is>
          <t>Shilpa Medicare Ltd</t>
        </is>
      </c>
      <c r="E40" s="31" t="inlineStr">
        <is>
          <t>healthcare</t>
        </is>
      </c>
      <c r="F40" s="31" t="inlineStr">
        <is>
          <t>Pharma - API &amp; CRAMS</t>
        </is>
      </c>
      <c r="G40" s="31" t="inlineStr">
        <is>
          <t>midcap</t>
        </is>
      </c>
      <c r="H40" s="32" t="n">
        <v>16800.48</v>
      </c>
      <c r="I40" s="32" t="n">
        <v>859</v>
      </c>
      <c r="J40" s="32" t="n">
        <v>5.41</v>
      </c>
      <c r="K40" s="32" t="n">
        <v>0</v>
      </c>
      <c r="L40" s="31" t="n">
        <v>91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87.72</v>
      </c>
      <c r="P40" s="32" t="n">
        <v>76.05</v>
      </c>
      <c r="Q40" s="32" t="inlineStr"/>
      <c r="R40" s="31" t="inlineStr">
        <is>
          <t>Earnings / Momentum Support</t>
        </is>
      </c>
      <c r="S40" s="31" t="inlineStr">
        <is>
          <t>Nifty Pharma</t>
        </is>
      </c>
      <c r="T40" s="32" t="n">
        <v>18.39</v>
      </c>
      <c r="U40" s="32" t="n">
        <v>91.56</v>
      </c>
      <c r="V40" s="32" t="n">
        <v>61.8</v>
      </c>
      <c r="W40" s="32" t="n">
        <v>31.69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22</t>
        </is>
      </c>
      <c r="CG40" s="31">
        <f>IF(CF40&gt;20,10,IF(CF40&gt;=10,5,2))</f>
        <v/>
      </c>
    </row>
    <row r="41">
      <c r="A41" s="31">
        <f>IF(B41=0,"",RANK(B41,$B$2:$B$97,0))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INDOTECH</t>
        </is>
      </c>
      <c r="D41" s="31" t="inlineStr">
        <is>
          <t>Indo Tech Transformers Ltd</t>
        </is>
      </c>
      <c r="E41" s="31" t="inlineStr">
        <is>
          <t>industrials</t>
        </is>
      </c>
      <c r="F41" s="31" t="inlineStr">
        <is>
          <t>Capital Goods - Transformers</t>
        </is>
      </c>
      <c r="G41" s="31" t="inlineStr">
        <is>
          <t>smallcap</t>
        </is>
      </c>
      <c r="H41" s="32" t="n">
        <v>4091.04</v>
      </c>
      <c r="I41" s="32" t="n">
        <v>3852.2</v>
      </c>
      <c r="J41" s="32" t="n">
        <v>-1.29</v>
      </c>
      <c r="K41" s="32" t="n">
        <v>0</v>
      </c>
      <c r="L41" s="31" t="inlineStr"/>
      <c r="M41" s="31" t="inlineStr"/>
      <c r="N41" s="32">
        <f>IF(M41="Underperforming",-5,IF(L41&gt;=95,15,IF(L41&gt;=90,10,IF(L41&gt;=80,5,0))))</f>
        <v/>
      </c>
      <c r="O41" s="32" t="n">
        <v>75.45999999999999</v>
      </c>
      <c r="P41" s="32" t="n">
        <v>52.02</v>
      </c>
      <c r="Q41" s="32" t="inlineStr"/>
      <c r="R41" s="31" t="inlineStr">
        <is>
          <t>Earnings / Momentum Support</t>
        </is>
      </c>
      <c r="S41" s="31" t="inlineStr">
        <is>
          <t>Nifty Infra</t>
        </is>
      </c>
      <c r="T41" s="32" t="inlineStr"/>
      <c r="U41" s="32" t="inlineStr"/>
      <c r="V41" s="32" t="inlineStr"/>
      <c r="W41" s="32" t="inlineStr"/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23</t>
        </is>
      </c>
      <c r="CG41" s="31">
        <f>IF(CF41&gt;20,10,IF(CF41&gt;=10,5,2))</f>
        <v/>
      </c>
    </row>
    <row r="42">
      <c r="A42" s="31">
        <f>IF(B42=0,"",RANK(B42,$B$2:$B$97,0))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JGCHEM</t>
        </is>
      </c>
      <c r="D42" s="31" t="inlineStr">
        <is>
          <t>JGChemicals Ltd</t>
        </is>
      </c>
      <c r="E42" s="31" t="inlineStr">
        <is>
          <t>chemicals</t>
        </is>
      </c>
      <c r="F42" s="31" t="inlineStr">
        <is>
          <t>Chemicals - Inorganic</t>
        </is>
      </c>
      <c r="G42" s="31" t="inlineStr">
        <is>
          <t>smallcap</t>
        </is>
      </c>
      <c r="H42" s="32" t="n">
        <v>2382.51</v>
      </c>
      <c r="I42" s="32" t="n">
        <v>608</v>
      </c>
      <c r="J42" s="32" t="n">
        <v>-2.23</v>
      </c>
      <c r="K42" s="32" t="n">
        <v>0</v>
      </c>
      <c r="L42" s="31" t="n">
        <v>71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78.73</v>
      </c>
      <c r="P42" s="32" t="n">
        <v>39.44</v>
      </c>
      <c r="Q42" s="32" t="inlineStr"/>
      <c r="R42" s="31" t="inlineStr">
        <is>
          <t>Earnings / Momentum Support</t>
        </is>
      </c>
      <c r="S42" s="31" t="inlineStr">
        <is>
          <t>Nifty 50</t>
        </is>
      </c>
      <c r="T42" s="32" t="n">
        <v>-2.49</v>
      </c>
      <c r="U42" s="32" t="n">
        <v>27.06</v>
      </c>
      <c r="V42" s="32" t="n">
        <v>30.3</v>
      </c>
      <c r="W42" s="32" t="n">
        <v>19.29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23</t>
        </is>
      </c>
      <c r="CG42" s="31">
        <f>IF(CF42&gt;20,10,IF(CF42&gt;=10,5,2))</f>
        <v/>
      </c>
    </row>
    <row r="43">
      <c r="A43" s="31">
        <f>IF(B43=0,"",RANK(B43,$B$2:$B$97,0))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GALAXYSURF</t>
        </is>
      </c>
      <c r="D43" s="31" t="inlineStr">
        <is>
          <t>Galaxy Surfactants Ltd</t>
        </is>
      </c>
      <c r="E43" s="31" t="inlineStr">
        <is>
          <t>chemicals</t>
        </is>
      </c>
      <c r="F43" s="31" t="inlineStr">
        <is>
          <t>Speciality Chemicals</t>
        </is>
      </c>
      <c r="G43" s="31" t="inlineStr">
        <is>
          <t>midcap</t>
        </is>
      </c>
      <c r="H43" s="32" t="n">
        <v>8207.780000000001</v>
      </c>
      <c r="I43" s="32" t="n">
        <v>2315</v>
      </c>
      <c r="J43" s="32" t="n">
        <v>-0.77</v>
      </c>
      <c r="K43" s="32" t="n">
        <v>0</v>
      </c>
      <c r="L43" s="31" t="n">
        <v>37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64.12</v>
      </c>
      <c r="P43" s="32" t="n">
        <v>22.51</v>
      </c>
      <c r="Q43" s="32" t="inlineStr"/>
      <c r="R43" s="31" t="inlineStr">
        <is>
          <t>Earnings / Momentum Support</t>
        </is>
      </c>
      <c r="S43" s="31" t="inlineStr">
        <is>
          <t>Nifty 50</t>
        </is>
      </c>
      <c r="T43" s="32" t="n">
        <v>-2.49</v>
      </c>
      <c r="U43" s="32" t="n">
        <v>6.33</v>
      </c>
      <c r="V43" s="32" t="n">
        <v>9.039999999999999</v>
      </c>
      <c r="W43" s="32" t="n">
        <v>8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23</t>
        </is>
      </c>
      <c r="CG43" s="31">
        <f>IF(CF43&gt;20,10,IF(CF43&gt;=10,5,2))</f>
        <v/>
      </c>
    </row>
    <row r="44">
      <c r="A44" s="31">
        <f>IF(B44=0,"",RANK(B44,$B$2:$B$97,0))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FINCABLES</t>
        </is>
      </c>
      <c r="D44" s="31" t="inlineStr">
        <is>
          <t>Finolex Cables Ltd</t>
        </is>
      </c>
      <c r="E44" s="31" t="inlineStr">
        <is>
          <t>industrials</t>
        </is>
      </c>
      <c r="F44" s="31" t="inlineStr">
        <is>
          <t>Cables - Telecom</t>
        </is>
      </c>
      <c r="G44" s="31" t="inlineStr">
        <is>
          <t>midcap</t>
        </is>
      </c>
      <c r="H44" s="32" t="n">
        <v>19729.18</v>
      </c>
      <c r="I44" s="32" t="n">
        <v>1290</v>
      </c>
      <c r="J44" s="32" t="n">
        <v>2.34</v>
      </c>
      <c r="K44" s="32" t="n">
        <v>0</v>
      </c>
      <c r="L44" s="31" t="inlineStr"/>
      <c r="M44" s="31" t="inlineStr"/>
      <c r="N44" s="32">
        <f>IF(M44="Underperforming",-5,IF(L44&gt;=95,15,IF(L44&gt;=90,10,IF(L44&gt;=80,5,0))))</f>
        <v/>
      </c>
      <c r="O44" s="32" t="n">
        <v>66.52</v>
      </c>
      <c r="P44" s="32" t="n">
        <v>35.66</v>
      </c>
      <c r="Q44" s="32" t="inlineStr"/>
      <c r="R44" s="31" t="inlineStr">
        <is>
          <t>Earnings / Momentum Support</t>
        </is>
      </c>
      <c r="S44" s="31" t="inlineStr">
        <is>
          <t>Nifty Energy</t>
        </is>
      </c>
      <c r="T44" s="32" t="inlineStr"/>
      <c r="U44" s="32" t="inlineStr"/>
      <c r="V44" s="32" t="inlineStr"/>
      <c r="W44" s="32" t="inlineStr"/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Oligopoly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22</t>
        </is>
      </c>
      <c r="CG44" s="31">
        <f>IF(CF44&gt;20,10,IF(CF44&gt;=10,5,2))</f>
        <v/>
      </c>
    </row>
    <row r="45">
      <c r="A45" s="31">
        <f>IF(B45=0,"",RANK(B45,$B$2:$B$97,0))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RATEGAIN</t>
        </is>
      </c>
      <c r="D45" s="31" t="inlineStr">
        <is>
          <t>Rategain Travel Technologies Ltd</t>
        </is>
      </c>
      <c r="E45" s="31" t="inlineStr">
        <is>
          <t>i.t</t>
        </is>
      </c>
      <c r="F45" s="31" t="inlineStr">
        <is>
          <t>IT Product Companies</t>
        </is>
      </c>
      <c r="G45" s="31" t="inlineStr">
        <is>
          <t>midcap</t>
        </is>
      </c>
      <c r="H45" s="32" t="n">
        <v>11351.13</v>
      </c>
      <c r="I45" s="32" t="n">
        <v>958.2</v>
      </c>
      <c r="J45" s="32" t="n">
        <v>-3.22</v>
      </c>
      <c r="K45" s="32" t="n">
        <v>0</v>
      </c>
      <c r="L45" s="31" t="n">
        <v>84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75.23999999999999</v>
      </c>
      <c r="P45" s="32" t="n">
        <v>45.97</v>
      </c>
      <c r="Q45" s="32" t="inlineStr"/>
      <c r="R45" s="31" t="inlineStr">
        <is>
          <t>Earnings / Momentum Support</t>
        </is>
      </c>
      <c r="S45" s="31" t="inlineStr">
        <is>
          <t>Nifty IT</t>
        </is>
      </c>
      <c r="T45" s="32" t="n">
        <v>-13.85</v>
      </c>
      <c r="U45" s="32" t="n">
        <v>99.98999999999999</v>
      </c>
      <c r="V45" s="32" t="n">
        <v>132.14</v>
      </c>
      <c r="W45" s="32" t="n">
        <v>25.16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22</t>
        </is>
      </c>
      <c r="CG45" s="31">
        <f>IF(CF45&gt;20,10,IF(CF45&gt;=10,5,2))</f>
        <v/>
      </c>
    </row>
    <row r="46">
      <c r="A46" s="31">
        <f>IF(B46=0,"",RANK(B46,$B$2:$B$97,0))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RPEL</t>
        </is>
      </c>
      <c r="D46" s="31" t="inlineStr">
        <is>
          <t>Raghav Productivity Enhancers Ltd</t>
        </is>
      </c>
      <c r="E46" s="31" t="inlineStr">
        <is>
          <t>building materials</t>
        </is>
      </c>
      <c r="F46" s="31" t="inlineStr">
        <is>
          <t>Steel Products</t>
        </is>
      </c>
      <c r="G46" s="31" t="inlineStr">
        <is>
          <t>midcap</t>
        </is>
      </c>
      <c r="H46" s="32" t="n">
        <v>7646</v>
      </c>
      <c r="I46" s="32" t="n">
        <v>1665</v>
      </c>
      <c r="J46" s="32" t="n">
        <v>-1.47</v>
      </c>
      <c r="K46" s="32" t="n">
        <v>0</v>
      </c>
      <c r="L46" s="31" t="inlineStr"/>
      <c r="M46" s="31" t="inlineStr"/>
      <c r="N46" s="32">
        <f>IF(M46="Underperforming",-5,IF(L46&gt;=95,15,IF(L46&gt;=90,10,IF(L46&gt;=80,5,0))))</f>
        <v/>
      </c>
      <c r="O46" s="32" t="n">
        <v>82.59</v>
      </c>
      <c r="P46" s="32" t="n">
        <v>59.27</v>
      </c>
      <c r="Q46" s="32" t="inlineStr"/>
      <c r="R46" s="31" t="inlineStr">
        <is>
          <t>Earnings / Momentum Support</t>
        </is>
      </c>
      <c r="S46" s="31" t="inlineStr">
        <is>
          <t>Nifty Infra</t>
        </is>
      </c>
      <c r="T46" s="32" t="inlineStr"/>
      <c r="U46" s="32" t="inlineStr"/>
      <c r="V46" s="32" t="inlineStr"/>
      <c r="W46" s="32" t="inlineStr"/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Between 1.5 to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22</t>
        </is>
      </c>
      <c r="CG46" s="31">
        <f>IF(CF46&gt;20,10,IF(CF46&gt;=10,5,2))</f>
        <v/>
      </c>
    </row>
    <row r="47">
      <c r="A47" s="31">
        <f>IF(B47=0,"",RANK(B47,$B$2:$B$97,0))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KMEW</t>
        </is>
      </c>
      <c r="D47" s="31" t="inlineStr">
        <is>
          <t>Knowledge Marine &amp; Engineering Works Ltd</t>
        </is>
      </c>
      <c r="E47" s="31" t="inlineStr">
        <is>
          <t>transportation</t>
        </is>
      </c>
      <c r="F47" s="31" t="inlineStr">
        <is>
          <t>Shipping</t>
        </is>
      </c>
      <c r="G47" s="31" t="inlineStr">
        <is>
          <t>midcap</t>
        </is>
      </c>
      <c r="H47" s="32" t="n">
        <v>6869.04</v>
      </c>
      <c r="I47" s="32" t="n">
        <v>2708.15</v>
      </c>
      <c r="J47" s="32" t="n">
        <v>-0.59</v>
      </c>
      <c r="K47" s="32" t="n">
        <v>0</v>
      </c>
      <c r="L47" s="31" t="n">
        <v>89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76.93000000000001</v>
      </c>
      <c r="P47" s="32" t="n">
        <v>52.63</v>
      </c>
      <c r="Q47" s="32" t="inlineStr"/>
      <c r="R47" s="31" t="inlineStr">
        <is>
          <t>Earnings / Momentum Support</t>
        </is>
      </c>
      <c r="S47" s="31" t="inlineStr">
        <is>
          <t>Nifty 50</t>
        </is>
      </c>
      <c r="T47" s="32" t="n">
        <v>-2.49</v>
      </c>
      <c r="U47" s="32" t="n">
        <v>180.17</v>
      </c>
      <c r="V47" s="32" t="n">
        <v>187.31</v>
      </c>
      <c r="W47" s="32" t="n">
        <v>30.06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21</t>
        </is>
      </c>
      <c r="CG47" s="31">
        <f>IF(CF47&gt;20,10,IF(CF47&gt;=10,5,2))</f>
        <v/>
      </c>
    </row>
    <row r="48">
      <c r="A48" s="31">
        <f>IF(B48=0,"",RANK(B48,$B$2:$B$97,0))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SOMANYCERA</t>
        </is>
      </c>
      <c r="D48" s="31" t="inlineStr">
        <is>
          <t>Somany Ceramics Ltd</t>
        </is>
      </c>
      <c r="E48" s="31" t="inlineStr">
        <is>
          <t>building materials</t>
        </is>
      </c>
      <c r="F48" s="31" t="inlineStr">
        <is>
          <t>Ceramics/Tiles/Sanitaryware</t>
        </is>
      </c>
      <c r="G48" s="31" t="inlineStr">
        <is>
          <t>smallcap</t>
        </is>
      </c>
      <c r="H48" s="32" t="n">
        <v>2259.81</v>
      </c>
      <c r="I48" s="32" t="n">
        <v>551</v>
      </c>
      <c r="J48" s="32" t="n">
        <v>5.93</v>
      </c>
      <c r="K48" s="32" t="n">
        <v>0</v>
      </c>
      <c r="L48" s="31" t="inlineStr"/>
      <c r="M48" s="31" t="inlineStr"/>
      <c r="N48" s="32">
        <f>IF(M48="Underperforming",-5,IF(L48&gt;=95,15,IF(L48&gt;=90,10,IF(L48&gt;=80,5,0))))</f>
        <v/>
      </c>
      <c r="O48" s="32" t="n">
        <v>59.52</v>
      </c>
      <c r="P48" s="32" t="n">
        <v>29.89</v>
      </c>
      <c r="Q48" s="32" t="inlineStr"/>
      <c r="R48" s="31" t="inlineStr">
        <is>
          <t>Earnings / Momentum Support</t>
        </is>
      </c>
      <c r="S48" s="31" t="inlineStr">
        <is>
          <t>Nifty Infra</t>
        </is>
      </c>
      <c r="T48" s="32" t="inlineStr"/>
      <c r="U48" s="32" t="inlineStr"/>
      <c r="V48" s="32" t="inlineStr"/>
      <c r="W48" s="32" t="inlineStr"/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21</t>
        </is>
      </c>
      <c r="CG48" s="31">
        <f>IF(CF48&gt;20,10,IF(CF48&gt;=10,5,2))</f>
        <v/>
      </c>
    </row>
    <row r="49">
      <c r="A49" s="31">
        <f>IF(B49=0,"",RANK(B49,$B$2:$B$97,0))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GHCLTEXTIL</t>
        </is>
      </c>
      <c r="D49" s="31" t="inlineStr">
        <is>
          <t>GHCL Textiles Ltd</t>
        </is>
      </c>
      <c r="E49" s="31" t="inlineStr">
        <is>
          <t>textiles</t>
        </is>
      </c>
      <c r="F49" s="31" t="inlineStr">
        <is>
          <t>Textiles - General</t>
        </is>
      </c>
      <c r="G49" s="31" t="inlineStr">
        <is>
          <t>smallcap</t>
        </is>
      </c>
      <c r="H49" s="32" t="n">
        <v>1189.85</v>
      </c>
      <c r="I49" s="32" t="n">
        <v>124.48</v>
      </c>
      <c r="J49" s="32" t="n">
        <v>1.62</v>
      </c>
      <c r="K49" s="32" t="n">
        <v>0</v>
      </c>
      <c r="L49" s="31" t="n">
        <v>67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71.20999999999999</v>
      </c>
      <c r="P49" s="32" t="n">
        <v>39.78</v>
      </c>
      <c r="Q49" s="32" t="inlineStr"/>
      <c r="R49" s="31" t="inlineStr">
        <is>
          <t>Earnings / Momentum Support</t>
        </is>
      </c>
      <c r="S49" s="31" t="inlineStr">
        <is>
          <t>Nifty 50</t>
        </is>
      </c>
      <c r="T49" s="32" t="n">
        <v>-2.49</v>
      </c>
      <c r="U49" s="32" t="n">
        <v>53.99</v>
      </c>
      <c r="V49" s="32" t="n">
        <v>57.91</v>
      </c>
      <c r="W49" s="32" t="n">
        <v>17.14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20</t>
        </is>
      </c>
      <c r="CG49" s="31">
        <f>IF(CF49&gt;20,10,IF(CF49&gt;=10,5,2))</f>
        <v/>
      </c>
    </row>
    <row r="50">
      <c r="A50" s="31">
        <f>IF(B50=0,"",RANK(B50,$B$2:$B$97,0))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ARVSMART</t>
        </is>
      </c>
      <c r="D50" s="31" t="inlineStr">
        <is>
          <t>Arvind SmartSpaces Ltd</t>
        </is>
      </c>
      <c r="E50" s="31" t="inlineStr">
        <is>
          <t>realty</t>
        </is>
      </c>
      <c r="F50" s="31" t="inlineStr">
        <is>
          <t>Realty - Construction &amp; Contracting</t>
        </is>
      </c>
      <c r="G50" s="31" t="inlineStr">
        <is>
          <t>smallcap</t>
        </is>
      </c>
      <c r="H50" s="32" t="n">
        <v>3173.78</v>
      </c>
      <c r="I50" s="32" t="n">
        <v>691.5</v>
      </c>
      <c r="J50" s="32" t="n">
        <v>3.67</v>
      </c>
      <c r="K50" s="32" t="n">
        <v>0</v>
      </c>
      <c r="L50" s="31" t="inlineStr"/>
      <c r="M50" s="31" t="inlineStr"/>
      <c r="N50" s="32">
        <f>IF(M50="Underperforming",-5,IF(L50&gt;=95,15,IF(L50&gt;=90,10,IF(L50&gt;=80,5,0))))</f>
        <v/>
      </c>
      <c r="O50" s="32" t="n">
        <v>62.27</v>
      </c>
      <c r="P50" s="32" t="n">
        <v>30.9</v>
      </c>
      <c r="Q50" s="32" t="inlineStr"/>
      <c r="R50" s="31" t="inlineStr">
        <is>
          <t>Earnings / Momentum Support</t>
        </is>
      </c>
      <c r="S50" s="31" t="inlineStr">
        <is>
          <t>Nifty Realty</t>
        </is>
      </c>
      <c r="T50" s="32" t="inlineStr"/>
      <c r="U50" s="32" t="inlineStr"/>
      <c r="V50" s="32" t="inlineStr"/>
      <c r="W50" s="32" t="inlineStr"/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20</t>
        </is>
      </c>
      <c r="CG50" s="31">
        <f>IF(CF50&gt;20,10,IF(CF50&gt;=10,5,2))</f>
        <v/>
      </c>
    </row>
    <row r="51">
      <c r="A51" s="31">
        <f>IF(B51=0,"",RANK(B51,$B$2:$B$97,0))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NETWEB</t>
        </is>
      </c>
      <c r="D51" s="31" t="inlineStr">
        <is>
          <t>Netweb Technologies India Ltd</t>
        </is>
      </c>
      <c r="E51" s="31" t="inlineStr">
        <is>
          <t>i.t</t>
        </is>
      </c>
      <c r="F51" s="31" t="inlineStr">
        <is>
          <t>Data Centre</t>
        </is>
      </c>
      <c r="G51" s="31" t="inlineStr">
        <is>
          <t>largecap</t>
        </is>
      </c>
      <c r="H51" s="32" t="n">
        <v>30947.26</v>
      </c>
      <c r="I51" s="32" t="n">
        <v>5435</v>
      </c>
      <c r="J51" s="32" t="n">
        <v>-2.96</v>
      </c>
      <c r="K51" s="32" t="n">
        <v>0</v>
      </c>
      <c r="L51" s="31" t="n">
        <v>89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69.73999999999999</v>
      </c>
      <c r="P51" s="32" t="n">
        <v>38.34</v>
      </c>
      <c r="Q51" s="32" t="inlineStr"/>
      <c r="R51" s="31" t="inlineStr">
        <is>
          <t>Earnings / Momentum Support</t>
        </is>
      </c>
      <c r="S51" s="31" t="inlineStr">
        <is>
          <t>Nifty IT</t>
        </is>
      </c>
      <c r="T51" s="32" t="n">
        <v>-13.85</v>
      </c>
      <c r="U51" s="32" t="n">
        <v>141.32</v>
      </c>
      <c r="V51" s="32" t="n">
        <v>180.12</v>
      </c>
      <c r="W51" s="32" t="n">
        <v>29.86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20</t>
        </is>
      </c>
      <c r="CG51" s="31">
        <f>IF(CF51&gt;20,10,IF(CF51&gt;=10,5,2))</f>
        <v/>
      </c>
    </row>
    <row r="52">
      <c r="A52" s="31">
        <f>IF(B52=0,"",RANK(B52,$B$2:$B$97,0))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VERANDA</t>
        </is>
      </c>
      <c r="D52" s="31" t="inlineStr">
        <is>
          <t>Veranda Learning Solutions Ltd</t>
        </is>
      </c>
      <c r="E52" s="31" t="inlineStr">
        <is>
          <t>Consumer Defensive</t>
        </is>
      </c>
      <c r="F52" s="31" t="inlineStr">
        <is>
          <t>Computer Education</t>
        </is>
      </c>
      <c r="G52" s="31" t="inlineStr">
        <is>
          <t>smallcap</t>
        </is>
      </c>
      <c r="H52" s="32" t="n">
        <v>2418.41</v>
      </c>
      <c r="I52" s="32" t="n">
        <v>251</v>
      </c>
      <c r="J52" s="32" t="n">
        <v>-3.18</v>
      </c>
      <c r="K52" s="32" t="n">
        <v>0</v>
      </c>
      <c r="L52" s="31" t="n">
        <v>25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62.12</v>
      </c>
      <c r="P52" s="32" t="n">
        <v>25.17</v>
      </c>
      <c r="Q52" s="32" t="inlineStr"/>
      <c r="R52" s="31" t="inlineStr">
        <is>
          <t>Earnings / Momentum Support</t>
        </is>
      </c>
      <c r="S52" s="31" t="inlineStr">
        <is>
          <t>Nifty 50</t>
        </is>
      </c>
      <c r="T52" s="32" t="n">
        <v>-2.49</v>
      </c>
      <c r="U52" s="32" t="n">
        <v>17.06</v>
      </c>
      <c r="V52" s="32" t="n">
        <v>20.04</v>
      </c>
      <c r="W52" s="32" t="n">
        <v>5.43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20</t>
        </is>
      </c>
      <c r="CG52" s="31">
        <f>IF(CF52&gt;20,10,IF(CF52&gt;=10,5,2))</f>
        <v/>
      </c>
    </row>
    <row r="53">
      <c r="A53" s="31">
        <f>IF(B53=0,"",RANK(B53,$B$2:$B$97,0))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AVTNPL</t>
        </is>
      </c>
      <c r="D53" s="31" t="inlineStr">
        <is>
          <t>AVT Natural Products Ltd</t>
        </is>
      </c>
      <c r="E53" s="31" t="inlineStr">
        <is>
          <t>fmcg</t>
        </is>
      </c>
      <c r="F53" s="31" t="inlineStr">
        <is>
          <t>Agricultural Processing - Maize</t>
        </is>
      </c>
      <c r="G53" s="31" t="inlineStr">
        <is>
          <t>smallcap</t>
        </is>
      </c>
      <c r="H53" s="32" t="n">
        <v>1337.05</v>
      </c>
      <c r="I53" s="32" t="n">
        <v>87.8</v>
      </c>
      <c r="J53" s="32" t="n">
        <v>0.31</v>
      </c>
      <c r="K53" s="32" t="n">
        <v>0</v>
      </c>
      <c r="L53" s="31" t="inlineStr"/>
      <c r="M53" s="31" t="inlineStr"/>
      <c r="N53" s="32">
        <f>IF(M53="Underperforming",-5,IF(L53&gt;=95,15,IF(L53&gt;=90,10,IF(L53&gt;=80,5,0))))</f>
        <v/>
      </c>
      <c r="O53" s="32" t="n">
        <v>76.56</v>
      </c>
      <c r="P53" s="32" t="n">
        <v>38.79</v>
      </c>
      <c r="Q53" s="32" t="inlineStr"/>
      <c r="R53" s="31" t="inlineStr">
        <is>
          <t>Earnings / Momentum Support</t>
        </is>
      </c>
      <c r="S53" s="31" t="inlineStr">
        <is>
          <t>Nifty FMCG</t>
        </is>
      </c>
      <c r="T53" s="32" t="inlineStr"/>
      <c r="U53" s="32" t="inlineStr"/>
      <c r="V53" s="32" t="inlineStr"/>
      <c r="W53" s="32" t="inlineStr"/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B2C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24</t>
        </is>
      </c>
      <c r="CG53" s="31">
        <f>IF(CF53&gt;20,10,IF(CF53&gt;=10,5,2))</f>
        <v/>
      </c>
    </row>
    <row r="54">
      <c r="A54" s="31">
        <f>IF(B54=0,"",RANK(B54,$B$2:$B$97,0))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HNDFDS</t>
        </is>
      </c>
      <c r="D54" s="31" t="inlineStr">
        <is>
          <t>Hindustan Foods Ltd</t>
        </is>
      </c>
      <c r="E54" s="31" t="inlineStr">
        <is>
          <t>fmcg</t>
        </is>
      </c>
      <c r="F54" s="31" t="inlineStr">
        <is>
          <t>FMCG - Contract Mfg</t>
        </is>
      </c>
      <c r="G54" s="31" t="inlineStr">
        <is>
          <t>midcap</t>
        </is>
      </c>
      <c r="H54" s="32" t="n">
        <v>7742.3</v>
      </c>
      <c r="I54" s="32" t="n">
        <v>639</v>
      </c>
      <c r="J54" s="32" t="n">
        <v>-0.9</v>
      </c>
      <c r="K54" s="32" t="n">
        <v>0</v>
      </c>
      <c r="L54" s="31" t="inlineStr"/>
      <c r="M54" s="31" t="inlineStr"/>
      <c r="N54" s="32">
        <f>IF(M54="Underperforming",-5,IF(L54&gt;=95,15,IF(L54&gt;=90,10,IF(L54&gt;=80,5,0))))</f>
        <v/>
      </c>
      <c r="O54" s="32" t="n">
        <v>74.09</v>
      </c>
      <c r="P54" s="32" t="n">
        <v>38.53</v>
      </c>
      <c r="Q54" s="32" t="inlineStr"/>
      <c r="R54" s="31" t="inlineStr">
        <is>
          <t>Earnings / Momentum Support</t>
        </is>
      </c>
      <c r="S54" s="31" t="inlineStr">
        <is>
          <t>Nifty FMCG</t>
        </is>
      </c>
      <c r="T54" s="32" t="inlineStr"/>
      <c r="U54" s="32" t="inlineStr"/>
      <c r="V54" s="32" t="inlineStr"/>
      <c r="W54" s="32" t="inlineStr"/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B2C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Between 1.5 to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Between 0.7 to 1.2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19</t>
        </is>
      </c>
      <c r="CG54" s="31">
        <f>IF(CF54&gt;20,10,IF(CF54&gt;=10,5,2))</f>
        <v/>
      </c>
    </row>
    <row r="55">
      <c r="A55" s="31">
        <f>IF(B55=0,"",RANK(B55,$B$2:$B$97,0))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TCPLPACK</t>
        </is>
      </c>
      <c r="D55" s="31" t="inlineStr">
        <is>
          <t>TCPL Packaging Ltd</t>
        </is>
      </c>
      <c r="E55" s="31" t="inlineStr">
        <is>
          <t>industrials</t>
        </is>
      </c>
      <c r="F55" s="31" t="inlineStr">
        <is>
          <t>Packaging - FMCG/Consumers</t>
        </is>
      </c>
      <c r="G55" s="31" t="inlineStr">
        <is>
          <t>smallcap</t>
        </is>
      </c>
      <c r="H55" s="32" t="n">
        <v>3621.8</v>
      </c>
      <c r="I55" s="32" t="n">
        <v>3980</v>
      </c>
      <c r="J55" s="32" t="n">
        <v>-2.96</v>
      </c>
      <c r="K55" s="32" t="n">
        <v>0</v>
      </c>
      <c r="L55" s="31" t="inlineStr"/>
      <c r="M55" s="31" t="inlineStr"/>
      <c r="N55" s="32">
        <f>IF(M55="Underperforming",-5,IF(L55&gt;=95,15,IF(L55&gt;=90,10,IF(L55&gt;=80,5,0))))</f>
        <v/>
      </c>
      <c r="O55" s="32" t="n">
        <v>77.14</v>
      </c>
      <c r="P55" s="32" t="n">
        <v>34.68</v>
      </c>
      <c r="Q55" s="32" t="inlineStr"/>
      <c r="R55" s="31" t="inlineStr">
        <is>
          <t>Earnings / Momentum Support</t>
        </is>
      </c>
      <c r="S55" s="31" t="inlineStr">
        <is>
          <t>Nifty Infra</t>
        </is>
      </c>
      <c r="T55" s="32" t="inlineStr"/>
      <c r="U55" s="32" t="inlineStr"/>
      <c r="V55" s="32" t="inlineStr"/>
      <c r="W55" s="32" t="inlineStr"/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B2C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Between 0.7 to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19</t>
        </is>
      </c>
      <c r="CG55" s="31">
        <f>IF(CF55&gt;20,10,IF(CF55&gt;=10,5,2))</f>
        <v/>
      </c>
    </row>
    <row r="56">
      <c r="A56" s="31">
        <f>IF(B56=0,"",RANK(B56,$B$2:$B$97,0))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THELEELA</t>
        </is>
      </c>
      <c r="D56" s="31" t="inlineStr">
        <is>
          <t>Leela Palaces Hotels &amp; Resorts Ltd</t>
        </is>
      </c>
      <c r="E56" s="31" t="inlineStr">
        <is>
          <t>services</t>
        </is>
      </c>
      <c r="F56" s="31" t="inlineStr">
        <is>
          <t>Hotels</t>
        </is>
      </c>
      <c r="G56" s="31" t="inlineStr">
        <is>
          <t>midcap</t>
        </is>
      </c>
      <c r="H56" s="32" t="n">
        <v>18367.68</v>
      </c>
      <c r="I56" s="32" t="n">
        <v>550</v>
      </c>
      <c r="J56" s="32" t="n">
        <v>-2.08</v>
      </c>
      <c r="K56" s="32" t="n">
        <v>0</v>
      </c>
      <c r="L56" s="31" t="n">
        <v>58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70.86</v>
      </c>
      <c r="P56" s="32" t="n">
        <v>33.21</v>
      </c>
      <c r="Q56" s="32" t="inlineStr"/>
      <c r="R56" s="31" t="inlineStr">
        <is>
          <t>Earnings / Momentum Support</t>
        </is>
      </c>
      <c r="S56" s="31" t="inlineStr">
        <is>
          <t>Nifty 50</t>
        </is>
      </c>
      <c r="T56" s="32" t="n">
        <v>-2.49</v>
      </c>
      <c r="U56" s="32" t="n">
        <v>33.53</v>
      </c>
      <c r="V56" s="32" t="n">
        <v>36.93</v>
      </c>
      <c r="W56" s="32" t="n">
        <v>13.85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22</t>
        </is>
      </c>
      <c r="CG56" s="31">
        <f>IF(CF56&gt;20,10,IF(CF56&gt;=10,5,2))</f>
        <v/>
      </c>
    </row>
    <row r="57">
      <c r="A57" s="31">
        <f>IF(B57=0,"",RANK(B57,$B$2:$B$97,0))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ACMESOLAR</t>
        </is>
      </c>
      <c r="D57" s="31" t="inlineStr">
        <is>
          <t>ACME Solar Holdings Ltd</t>
        </is>
      </c>
      <c r="E57" s="31" t="inlineStr">
        <is>
          <t>realty</t>
        </is>
      </c>
      <c r="F57" s="31" t="inlineStr">
        <is>
          <t>Engineering - Turnkey Services</t>
        </is>
      </c>
      <c r="G57" s="31" t="inlineStr">
        <is>
          <t>largecap</t>
        </is>
      </c>
      <c r="H57" s="32" t="n">
        <v>29031.33</v>
      </c>
      <c r="I57" s="32" t="n">
        <v>410.7</v>
      </c>
      <c r="J57" s="32" t="n">
        <v>2.27</v>
      </c>
      <c r="K57" s="32" t="n">
        <v>0</v>
      </c>
      <c r="L57" s="31" t="inlineStr"/>
      <c r="M57" s="31" t="inlineStr"/>
      <c r="N57" s="32">
        <f>IF(M57="Underperforming",-5,IF(L57&gt;=95,15,IF(L57&gt;=90,10,IF(L57&gt;=80,5,0))))</f>
        <v/>
      </c>
      <c r="O57" s="32" t="n">
        <v>70.7</v>
      </c>
      <c r="P57" s="32" t="n">
        <v>43.96</v>
      </c>
      <c r="Q57" s="32" t="inlineStr"/>
      <c r="R57" s="31" t="inlineStr">
        <is>
          <t>Earnings / Momentum Support</t>
        </is>
      </c>
      <c r="S57" s="31" t="inlineStr">
        <is>
          <t>Nifty Realty</t>
        </is>
      </c>
      <c r="T57" s="32" t="inlineStr"/>
      <c r="U57" s="32" t="inlineStr"/>
      <c r="V57" s="32" t="inlineStr"/>
      <c r="W57" s="32" t="inlineStr"/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More than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21</t>
        </is>
      </c>
      <c r="CG57" s="31">
        <f>IF(CF57&gt;20,10,IF(CF57&gt;=10,5,2))</f>
        <v/>
      </c>
    </row>
    <row r="58">
      <c r="A58" s="31">
        <f>IF(B58=0,"",RANK(B58,$B$2:$B$97,0))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WELCORP</t>
        </is>
      </c>
      <c r="D58" s="31" t="inlineStr">
        <is>
          <t>Welspun Corp Ltd</t>
        </is>
      </c>
      <c r="E58" s="31" t="inlineStr">
        <is>
          <t>industrials</t>
        </is>
      </c>
      <c r="F58" s="31" t="inlineStr">
        <is>
          <t>DI Pipes/Saw Pipes</t>
        </is>
      </c>
      <c r="G58" s="31" t="inlineStr">
        <is>
          <t>largecap</t>
        </is>
      </c>
      <c r="H58" s="32" t="n">
        <v>63388.89</v>
      </c>
      <c r="I58" s="32" t="n">
        <v>2403</v>
      </c>
      <c r="J58" s="32" t="n">
        <v>3.94</v>
      </c>
      <c r="K58" s="32" t="n">
        <v>0</v>
      </c>
      <c r="L58" s="31" t="inlineStr"/>
      <c r="M58" s="31" t="inlineStr"/>
      <c r="N58" s="32">
        <f>IF(M58="Underperforming",-5,IF(L58&gt;=95,15,IF(L58&gt;=90,10,IF(L58&gt;=80,5,0))))</f>
        <v/>
      </c>
      <c r="O58" s="32" t="n">
        <v>93.18000000000001</v>
      </c>
      <c r="P58" s="32" t="n">
        <v>73.64</v>
      </c>
      <c r="Q58" s="32" t="inlineStr"/>
      <c r="R58" s="31" t="inlineStr">
        <is>
          <t>Earnings / Momentum Support</t>
        </is>
      </c>
      <c r="S58" s="31" t="inlineStr">
        <is>
          <t>Nifty Metal</t>
        </is>
      </c>
      <c r="T58" s="32" t="inlineStr"/>
      <c r="U58" s="32" t="inlineStr"/>
      <c r="V58" s="32" t="inlineStr"/>
      <c r="W58" s="32" t="inlineStr"/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20</t>
        </is>
      </c>
      <c r="CG58" s="31">
        <f>IF(CF58&gt;20,10,IF(CF58&gt;=10,5,2))</f>
        <v/>
      </c>
    </row>
    <row r="59">
      <c r="A59" s="31">
        <f>IF(B59=0,"",RANK(B59,$B$2:$B$97,0))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AEROENTER</t>
        </is>
      </c>
      <c r="D59" s="31" t="inlineStr">
        <is>
          <t>Aeroflex Enterprises Ltd</t>
        </is>
      </c>
      <c r="E59" s="31" t="inlineStr">
        <is>
          <t>metals &amp; mining</t>
        </is>
      </c>
      <c r="F59" s="31" t="inlineStr">
        <is>
          <t>Miscellaneous</t>
        </is>
      </c>
      <c r="G59" s="31" t="inlineStr">
        <is>
          <t>smallcap</t>
        </is>
      </c>
      <c r="H59" s="32" t="n">
        <v>1584.3</v>
      </c>
      <c r="I59" s="32" t="n">
        <v>140</v>
      </c>
      <c r="J59" s="32" t="n">
        <v>-0.05</v>
      </c>
      <c r="K59" s="32" t="n">
        <v>0</v>
      </c>
      <c r="L59" s="31" t="inlineStr"/>
      <c r="M59" s="31" t="inlineStr"/>
      <c r="N59" s="32">
        <f>IF(M59="Underperforming",-5,IF(L59&gt;=95,15,IF(L59&gt;=90,10,IF(L59&gt;=80,5,0))))</f>
        <v/>
      </c>
      <c r="O59" s="32" t="n">
        <v>67.13</v>
      </c>
      <c r="P59" s="32" t="n">
        <v>51.67</v>
      </c>
      <c r="Q59" s="32" t="inlineStr"/>
      <c r="R59" s="31" t="inlineStr">
        <is>
          <t>Earnings / Momentum Support</t>
        </is>
      </c>
      <c r="S59" s="31" t="inlineStr">
        <is>
          <t>Nifty Metal</t>
        </is>
      </c>
      <c r="T59" s="32" t="inlineStr"/>
      <c r="U59" s="32" t="inlineStr"/>
      <c r="V59" s="32" t="inlineStr"/>
      <c r="W59" s="32" t="inlineStr"/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Cyclical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Volatile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20</t>
        </is>
      </c>
      <c r="CG59" s="31">
        <f>IF(CF59&gt;20,10,IF(CF59&gt;=10,5,2))</f>
        <v/>
      </c>
    </row>
    <row r="60">
      <c r="A60" s="31">
        <f>IF(B60=0,"",RANK(B60,$B$2:$B$97,0))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NEULANDLAB</t>
        </is>
      </c>
      <c r="D60" s="31" t="inlineStr">
        <is>
          <t>Neuland Laboratories Ltd</t>
        </is>
      </c>
      <c r="E60" s="31" t="inlineStr">
        <is>
          <t>healthcare</t>
        </is>
      </c>
      <c r="F60" s="31" t="inlineStr">
        <is>
          <t>Pharma - API &amp; CRAMS</t>
        </is>
      </c>
      <c r="G60" s="31" t="inlineStr">
        <is>
          <t>largecap</t>
        </is>
      </c>
      <c r="H60" s="32" t="n">
        <v>29381.73</v>
      </c>
      <c r="I60" s="32" t="n">
        <v>22901</v>
      </c>
      <c r="J60" s="32" t="n">
        <v>-1.72</v>
      </c>
      <c r="K60" s="32" t="n">
        <v>0</v>
      </c>
      <c r="L60" s="31" t="n">
        <v>75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77.42</v>
      </c>
      <c r="P60" s="32" t="n">
        <v>56.28</v>
      </c>
      <c r="Q60" s="32" t="inlineStr"/>
      <c r="R60" s="31" t="inlineStr">
        <is>
          <t>Earnings / Momentum Support</t>
        </is>
      </c>
      <c r="S60" s="31" t="inlineStr">
        <is>
          <t>Nifty Pharma</t>
        </is>
      </c>
      <c r="T60" s="32" t="n">
        <v>18.39</v>
      </c>
      <c r="U60" s="32" t="n">
        <v>68.09</v>
      </c>
      <c r="V60" s="32" t="n">
        <v>41.98</v>
      </c>
      <c r="W60" s="32" t="n">
        <v>21.49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22</t>
        </is>
      </c>
      <c r="CG60" s="31">
        <f>IF(CF60&gt;20,10,IF(CF60&gt;=10,5,2))</f>
        <v/>
      </c>
    </row>
    <row r="61">
      <c r="A61" s="31">
        <f>IF(B61=0,"",RANK(B61,$B$2:$B$97,0))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BAJAJHIND</t>
        </is>
      </c>
      <c r="D61" s="31" t="inlineStr">
        <is>
          <t>Bajaj Hindusthan Sugar Ltd</t>
        </is>
      </c>
      <c r="E61" s="31" t="inlineStr">
        <is>
          <t>fmcg</t>
        </is>
      </c>
      <c r="F61" s="31" t="inlineStr">
        <is>
          <t>Sugar</t>
        </is>
      </c>
      <c r="G61" s="31" t="inlineStr">
        <is>
          <t>midcap</t>
        </is>
      </c>
      <c r="H61" s="32" t="n">
        <v>5641.97</v>
      </c>
      <c r="I61" s="32" t="n">
        <v>23.6</v>
      </c>
      <c r="J61" s="32" t="n">
        <v>2.03</v>
      </c>
      <c r="K61" s="32" t="n">
        <v>0</v>
      </c>
      <c r="L61" s="31" t="inlineStr"/>
      <c r="M61" s="31" t="inlineStr"/>
      <c r="N61" s="32">
        <f>IF(M61="Underperforming",-5,IF(L61&gt;=95,15,IF(L61&gt;=90,10,IF(L61&gt;=80,5,0))))</f>
        <v/>
      </c>
      <c r="O61" s="32" t="n">
        <v>68.7</v>
      </c>
      <c r="P61" s="32" t="n">
        <v>13.65</v>
      </c>
      <c r="Q61" s="32" t="inlineStr"/>
      <c r="R61" s="31" t="inlineStr">
        <is>
          <t>Volume Spike / Accumulation</t>
        </is>
      </c>
      <c r="S61" s="31" t="inlineStr">
        <is>
          <t>Nifty FMCG</t>
        </is>
      </c>
      <c r="T61" s="32" t="inlineStr"/>
      <c r="U61" s="32" t="inlineStr"/>
      <c r="V61" s="32" t="inlineStr"/>
      <c r="W61" s="32" t="inlineStr"/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B2C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0 to 20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Between 0.7 to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19</t>
        </is>
      </c>
      <c r="CG61" s="31">
        <f>IF(CF61&gt;20,10,IF(CF61&gt;=10,5,2))</f>
        <v/>
      </c>
    </row>
    <row r="62">
      <c r="A62" s="31">
        <f>IF(B62=0,"",RANK(B62,$B$2:$B$97,0))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KENNAMET</t>
        </is>
      </c>
      <c r="D62" s="31" t="inlineStr">
        <is>
          <t>Kennametal India Ltd</t>
        </is>
      </c>
      <c r="E62" s="31" t="inlineStr">
        <is>
          <t>industrials</t>
        </is>
      </c>
      <c r="F62" s="31" t="inlineStr">
        <is>
          <t>Castings, Forgings &amp; Fastners</t>
        </is>
      </c>
      <c r="G62" s="31" t="inlineStr">
        <is>
          <t>midcap</t>
        </is>
      </c>
      <c r="H62" s="32" t="n">
        <v>9308.879999999999</v>
      </c>
      <c r="I62" s="32" t="n">
        <v>4235.5</v>
      </c>
      <c r="J62" s="32" t="n">
        <v>4.72</v>
      </c>
      <c r="K62" s="32" t="n">
        <v>0</v>
      </c>
      <c r="L62" s="31" t="n">
        <v>77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80.40000000000001</v>
      </c>
      <c r="P62" s="32" t="n">
        <v>45</v>
      </c>
      <c r="Q62" s="32" t="inlineStr"/>
      <c r="R62" s="31" t="inlineStr">
        <is>
          <t>Earnings / Momentum Support</t>
        </is>
      </c>
      <c r="S62" s="31" t="inlineStr">
        <is>
          <t>Nifty 50</t>
        </is>
      </c>
      <c r="T62" s="32" t="n">
        <v>-2.49</v>
      </c>
      <c r="U62" s="32" t="n">
        <v>91.73</v>
      </c>
      <c r="V62" s="32" t="n">
        <v>96.62</v>
      </c>
      <c r="W62" s="32" t="n">
        <v>22.43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32</t>
        </is>
      </c>
      <c r="CG62" s="31">
        <f>IF(CF62&gt;20,10,IF(CF62&gt;=10,5,2))</f>
        <v/>
      </c>
    </row>
    <row r="63">
      <c r="A63" s="31">
        <f>IF(B63=0,"",RANK(B63,$B$2:$B$97,0))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HFCL</t>
        </is>
      </c>
      <c r="D63" s="31" t="inlineStr">
        <is>
          <t>HFCL Ltd</t>
        </is>
      </c>
      <c r="E63" s="31" t="inlineStr">
        <is>
          <t>telecom</t>
        </is>
      </c>
      <c r="F63" s="31" t="inlineStr">
        <is>
          <t>Telecom Services</t>
        </is>
      </c>
      <c r="G63" s="31" t="inlineStr">
        <is>
          <t>largecap</t>
        </is>
      </c>
      <c r="H63" s="32" t="n">
        <v>36644.15</v>
      </c>
      <c r="I63" s="32" t="n">
        <v>239.41</v>
      </c>
      <c r="J63" s="32" t="n">
        <v>5</v>
      </c>
      <c r="K63" s="32" t="n">
        <v>0</v>
      </c>
      <c r="L63" s="31" t="inlineStr"/>
      <c r="M63" s="31" t="inlineStr"/>
      <c r="N63" s="32">
        <f>IF(M63="Underperforming",-5,IF(L63&gt;=95,15,IF(L63&gt;=90,10,IF(L63&gt;=80,5,0))))</f>
        <v/>
      </c>
      <c r="O63" s="32" t="n">
        <v>77.34</v>
      </c>
      <c r="P63" s="32" t="n">
        <v>63.19</v>
      </c>
      <c r="Q63" s="32" t="inlineStr"/>
      <c r="R63" s="31" t="inlineStr">
        <is>
          <t>Earnings / Momentum Support</t>
        </is>
      </c>
      <c r="S63" s="31" t="inlineStr">
        <is>
          <t>Nifty Infra</t>
        </is>
      </c>
      <c r="T63" s="32" t="inlineStr"/>
      <c r="U63" s="32" t="inlineStr"/>
      <c r="V63" s="32" t="inlineStr"/>
      <c r="W63" s="32" t="inlineStr"/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Oligopoly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26</t>
        </is>
      </c>
      <c r="CG63" s="31">
        <f>IF(CF63&gt;20,10,IF(CF63&gt;=10,5,2))</f>
        <v/>
      </c>
    </row>
    <row r="64">
      <c r="A64" s="31">
        <f>IF(B64=0,"",RANK(B64,$B$2:$B$97,0))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PTCIL</t>
        </is>
      </c>
      <c r="D64" s="31" t="inlineStr">
        <is>
          <t>PTC Industries Ltd</t>
        </is>
      </c>
      <c r="E64" s="31" t="inlineStr">
        <is>
          <t>industrials</t>
        </is>
      </c>
      <c r="F64" s="31" t="inlineStr">
        <is>
          <t>Castings - Steel/Alloy</t>
        </is>
      </c>
      <c r="G64" s="31" t="inlineStr">
        <is>
          <t>largecap</t>
        </is>
      </c>
      <c r="H64" s="32" t="n">
        <v>32526.34</v>
      </c>
      <c r="I64" s="32" t="n">
        <v>21695</v>
      </c>
      <c r="J64" s="32" t="n">
        <v>5.17</v>
      </c>
      <c r="K64" s="32" t="n">
        <v>0</v>
      </c>
      <c r="L64" s="31" t="n">
        <v>62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68.93000000000001</v>
      </c>
      <c r="P64" s="32" t="n">
        <v>25.3</v>
      </c>
      <c r="Q64" s="32" t="inlineStr"/>
      <c r="R64" s="31" t="inlineStr">
        <is>
          <t>Earnings / Momentum Support</t>
        </is>
      </c>
      <c r="S64" s="31" t="inlineStr">
        <is>
          <t>Nifty 50</t>
        </is>
      </c>
      <c r="T64" s="32" t="n">
        <v>-2.49</v>
      </c>
      <c r="U64" s="32" t="n">
        <v>49.88</v>
      </c>
      <c r="V64" s="32" t="n">
        <v>53.7</v>
      </c>
      <c r="W64" s="32" t="n">
        <v>15.5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24</t>
        </is>
      </c>
      <c r="CG64" s="31">
        <f>IF(CF64&gt;20,10,IF(CF64&gt;=10,5,2))</f>
        <v/>
      </c>
    </row>
    <row r="65">
      <c r="A65" s="31">
        <f>IF(B65=0,"",RANK(B65,$B$2:$B$97,0))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KRISHANA</t>
        </is>
      </c>
      <c r="D65" s="31" t="inlineStr">
        <is>
          <t>Krishana Phoschem Ltd</t>
        </is>
      </c>
      <c r="E65" s="31" t="inlineStr">
        <is>
          <t>chemicals</t>
        </is>
      </c>
      <c r="F65" s="31" t="inlineStr">
        <is>
          <t>Fertilisers</t>
        </is>
      </c>
      <c r="G65" s="31" t="inlineStr">
        <is>
          <t>midcap</t>
        </is>
      </c>
      <c r="H65" s="32" t="n">
        <v>6161.12</v>
      </c>
      <c r="I65" s="32" t="n">
        <v>199.3</v>
      </c>
      <c r="J65" s="32" t="n">
        <v>0.45</v>
      </c>
      <c r="K65" s="32" t="n">
        <v>0</v>
      </c>
      <c r="L65" s="31" t="n">
        <v>78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79.52</v>
      </c>
      <c r="P65" s="32" t="n">
        <v>50.24</v>
      </c>
      <c r="Q65" s="32" t="inlineStr"/>
      <c r="R65" s="31" t="inlineStr">
        <is>
          <t>Earnings / Momentum Support</t>
        </is>
      </c>
      <c r="S65" s="31" t="inlineStr">
        <is>
          <t>Nifty 50</t>
        </is>
      </c>
      <c r="T65" s="32" t="n">
        <v>-2.49</v>
      </c>
      <c r="U65" s="32" t="n">
        <v>65.06999999999999</v>
      </c>
      <c r="V65" s="32" t="n">
        <v>69.27</v>
      </c>
      <c r="W65" s="32" t="n">
        <v>22.75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More than 1.2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22</t>
        </is>
      </c>
      <c r="CG65" s="31">
        <f>IF(CF65&gt;20,10,IF(CF65&gt;=10,5,2))</f>
        <v/>
      </c>
    </row>
    <row r="66">
      <c r="A66" s="31">
        <f>IF(B66=0,"",RANK(B66,$B$2:$B$97,0))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MACPOWER</t>
        </is>
      </c>
      <c r="D66" s="31" t="inlineStr">
        <is>
          <t>Macpower CNC Machines Ltd</t>
        </is>
      </c>
      <c r="E66" s="31" t="inlineStr">
        <is>
          <t>industrials</t>
        </is>
      </c>
      <c r="F66" s="31" t="inlineStr">
        <is>
          <t>CNC - Machines</t>
        </is>
      </c>
      <c r="G66" s="31" t="inlineStr">
        <is>
          <t>smallcap</t>
        </is>
      </c>
      <c r="H66" s="32" t="n">
        <v>1960.82</v>
      </c>
      <c r="I66" s="32" t="n">
        <v>1960</v>
      </c>
      <c r="J66" s="32" t="n">
        <v>4.54</v>
      </c>
      <c r="K66" s="32" t="n">
        <v>0</v>
      </c>
      <c r="L66" s="31" t="n">
        <v>92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77.67</v>
      </c>
      <c r="P66" s="32" t="n">
        <v>36.16</v>
      </c>
      <c r="Q66" s="32" t="inlineStr"/>
      <c r="R66" s="31" t="inlineStr">
        <is>
          <t>Earnings / Momentum Support</t>
        </is>
      </c>
      <c r="S66" s="31" t="inlineStr">
        <is>
          <t>Nifty 50</t>
        </is>
      </c>
      <c r="T66" s="32" t="n">
        <v>-2.49</v>
      </c>
      <c r="U66" s="32" t="n">
        <v>127.74</v>
      </c>
      <c r="V66" s="32" t="n">
        <v>133.55</v>
      </c>
      <c r="W66" s="32" t="n">
        <v>33.69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22</t>
        </is>
      </c>
      <c r="CG66" s="31">
        <f>IF(CF66&gt;20,10,IF(CF66&gt;=10,5,2))</f>
        <v/>
      </c>
    </row>
    <row r="67">
      <c r="A67" s="31">
        <f>IF(B67=0,"",RANK(B67,$B$2:$B$97,0))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YASHO</t>
        </is>
      </c>
      <c r="D67" s="31" t="inlineStr">
        <is>
          <t>Yasho Industries Ltd</t>
        </is>
      </c>
      <c r="E67" s="31" t="inlineStr">
        <is>
          <t>chemicals</t>
        </is>
      </c>
      <c r="F67" s="31" t="inlineStr">
        <is>
          <t>Speciality Chemicals</t>
        </is>
      </c>
      <c r="G67" s="31" t="inlineStr">
        <is>
          <t>midcap</t>
        </is>
      </c>
      <c r="H67" s="32" t="n">
        <v>5166.47</v>
      </c>
      <c r="I67" s="32" t="n">
        <v>4285</v>
      </c>
      <c r="J67" s="32" t="n">
        <v>-2.61</v>
      </c>
      <c r="K67" s="32" t="n">
        <v>0</v>
      </c>
      <c r="L67" s="31" t="n">
        <v>98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92.34</v>
      </c>
      <c r="P67" s="32" t="n">
        <v>72.89</v>
      </c>
      <c r="Q67" s="32" t="inlineStr"/>
      <c r="R67" s="31" t="inlineStr">
        <is>
          <t>Earnings / Momentum Support</t>
        </is>
      </c>
      <c r="S67" s="31" t="inlineStr">
        <is>
          <t>Nifty 50</t>
        </is>
      </c>
      <c r="T67" s="32" t="n">
        <v>-2.49</v>
      </c>
      <c r="U67" s="32" t="n">
        <v>158.88</v>
      </c>
      <c r="V67" s="32" t="n">
        <v>165.47</v>
      </c>
      <c r="W67" s="32" t="n">
        <v>51.58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More than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21</t>
        </is>
      </c>
      <c r="CG67" s="31">
        <f>IF(CF67&gt;20,10,IF(CF67&gt;=10,5,2))</f>
        <v/>
      </c>
    </row>
    <row r="68">
      <c r="A68" s="31">
        <f>IF(B68=0,"",RANK(B68,$B$2:$B$97,0))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BODALCHEM</t>
        </is>
      </c>
      <c r="D68" s="31" t="inlineStr">
        <is>
          <t>Bodal Chemicals Ltd</t>
        </is>
      </c>
      <c r="E68" s="31" t="inlineStr">
        <is>
          <t>chemicals</t>
        </is>
      </c>
      <c r="F68" s="31" t="inlineStr">
        <is>
          <t>Dyes &amp; Pigments</t>
        </is>
      </c>
      <c r="G68" s="31" t="inlineStr">
        <is>
          <t>smallcap</t>
        </is>
      </c>
      <c r="H68" s="32" t="n">
        <v>1044.2</v>
      </c>
      <c r="I68" s="32" t="n">
        <v>82.91</v>
      </c>
      <c r="J68" s="32" t="n">
        <v>4.99</v>
      </c>
      <c r="K68" s="32" t="n">
        <v>0</v>
      </c>
      <c r="L68" s="31" t="n">
        <v>33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64.63</v>
      </c>
      <c r="P68" s="32" t="n">
        <v>33.46</v>
      </c>
      <c r="Q68" s="32" t="inlineStr"/>
      <c r="R68" s="31" t="inlineStr">
        <is>
          <t>Earnings / Momentum Support</t>
        </is>
      </c>
      <c r="S68" s="31" t="inlineStr">
        <is>
          <t>Nifty 50</t>
        </is>
      </c>
      <c r="T68" s="32" t="n">
        <v>-2.49</v>
      </c>
      <c r="U68" s="32" t="n">
        <v>18.29</v>
      </c>
      <c r="V68" s="32" t="n">
        <v>21.3</v>
      </c>
      <c r="W68" s="32" t="n">
        <v>7.39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Between 0.7 to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21</t>
        </is>
      </c>
      <c r="CG68" s="31">
        <f>IF(CF68&gt;20,10,IF(CF68&gt;=10,5,2))</f>
        <v/>
      </c>
    </row>
    <row r="69">
      <c r="A69" s="31">
        <f>IF(B69=0,"",RANK(B69,$B$2:$B$97,0))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PAYTM</t>
        </is>
      </c>
      <c r="D69" s="31" t="inlineStr">
        <is>
          <t>One 97 Communications Ltd</t>
        </is>
      </c>
      <c r="E69" s="31" t="inlineStr">
        <is>
          <t>i.t</t>
        </is>
      </c>
      <c r="F69" s="31" t="inlineStr">
        <is>
          <t>E-Commerce - Platform - Utility</t>
        </is>
      </c>
      <c r="G69" s="31" t="inlineStr">
        <is>
          <t>largecap</t>
        </is>
      </c>
      <c r="H69" s="32" t="n">
        <v>104087.96</v>
      </c>
      <c r="I69" s="32" t="n">
        <v>1623.5</v>
      </c>
      <c r="J69" s="32" t="n">
        <v>-0.52</v>
      </c>
      <c r="K69" s="32" t="n">
        <v>0</v>
      </c>
      <c r="L69" s="31" t="n">
        <v>66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74.42</v>
      </c>
      <c r="P69" s="32" t="n">
        <v>23.06</v>
      </c>
      <c r="Q69" s="32" t="inlineStr"/>
      <c r="R69" s="31" t="inlineStr">
        <is>
          <t>Earnings / Momentum Support</t>
        </is>
      </c>
      <c r="S69" s="31" t="inlineStr">
        <is>
          <t>Nifty IT</t>
        </is>
      </c>
      <c r="T69" s="32" t="n">
        <v>-13.85</v>
      </c>
      <c r="U69" s="32" t="n">
        <v>29.05</v>
      </c>
      <c r="V69" s="32" t="n">
        <v>49.8</v>
      </c>
      <c r="W69" s="32" t="n">
        <v>16.22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Oligopoly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19</t>
        </is>
      </c>
      <c r="CG69" s="31">
        <f>IF(CF69&gt;20,10,IF(CF69&gt;=10,5,2))</f>
        <v/>
      </c>
    </row>
    <row r="70">
      <c r="A70" s="31">
        <f>IF(B70=0,"",RANK(B70,$B$2:$B$97,0))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3" t="inlineStr">
        <is>
          <t>AARTIPHARM</t>
        </is>
      </c>
      <c r="D70" s="33" t="inlineStr">
        <is>
          <t>Aarti Pharmalabs Ltd</t>
        </is>
      </c>
      <c r="E70" s="31" t="inlineStr">
        <is>
          <t>healthcare</t>
        </is>
      </c>
      <c r="F70" s="31" t="inlineStr">
        <is>
          <t>Pharma - API</t>
        </is>
      </c>
      <c r="G70" s="31" t="inlineStr">
        <is>
          <t>midcap</t>
        </is>
      </c>
      <c r="H70" s="32" t="n">
        <v>7626.17</v>
      </c>
      <c r="I70" s="32" t="n">
        <v>841</v>
      </c>
      <c r="J70" s="32" t="n">
        <v>2.96</v>
      </c>
      <c r="K70" s="32" t="n">
        <v>0</v>
      </c>
      <c r="L70" s="31" t="n">
        <v>14</v>
      </c>
      <c r="M70" s="31" t="inlineStr">
        <is>
          <t>Underperforming</t>
        </is>
      </c>
      <c r="N70" s="32">
        <f>IF(M70="Underperforming",-5,IF(L70&gt;=95,15,IF(L70&gt;=90,10,IF(L70&gt;=80,5,0))))</f>
        <v/>
      </c>
      <c r="O70" s="32" t="n">
        <v>61.4</v>
      </c>
      <c r="P70" s="32" t="n">
        <v>16.09</v>
      </c>
      <c r="Q70" s="32" t="inlineStr"/>
      <c r="R70" s="31" t="inlineStr">
        <is>
          <t>Earnings / Momentum Support</t>
        </is>
      </c>
      <c r="S70" s="31" t="inlineStr">
        <is>
          <t>Nifty Pharma</t>
        </is>
      </c>
      <c r="T70" s="32" t="n">
        <v>18.39</v>
      </c>
      <c r="U70" s="32" t="n">
        <v>-4.92</v>
      </c>
      <c r="V70" s="32" t="n">
        <v>-19.69</v>
      </c>
      <c r="W70" s="32" t="n">
        <v>2.53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0 to 20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19</t>
        </is>
      </c>
      <c r="CG70" s="31">
        <f>IF(CF70&gt;20,10,IF(CF70&gt;=10,5,2))</f>
        <v/>
      </c>
    </row>
    <row r="71">
      <c r="A71" s="31">
        <f>IF(B71=0,"",RANK(B71,$B$2:$B$97,0))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KHAZANCHI</t>
        </is>
      </c>
      <c r="D71" s="31" t="inlineStr">
        <is>
          <t>Khazanchi Jewellers Ltd</t>
        </is>
      </c>
      <c r="E71" s="31" t="inlineStr">
        <is>
          <t>Consumer Cyclical</t>
        </is>
      </c>
      <c r="F71" s="31" t="inlineStr">
        <is>
          <t>Diamond, Gems &amp; Jewellery</t>
        </is>
      </c>
      <c r="G71" s="31" t="inlineStr">
        <is>
          <t>smallcap</t>
        </is>
      </c>
      <c r="H71" s="32" t="n">
        <v>1949.93</v>
      </c>
      <c r="I71" s="32" t="n">
        <v>787.95</v>
      </c>
      <c r="J71" s="32" t="n">
        <v>-1.86</v>
      </c>
      <c r="K71" s="32" t="n">
        <v>0</v>
      </c>
      <c r="L71" s="31" t="n">
        <v>54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71.98999999999999</v>
      </c>
      <c r="P71" s="32" t="n">
        <v>27.93</v>
      </c>
      <c r="Q71" s="32" t="inlineStr"/>
      <c r="R71" s="31" t="inlineStr">
        <is>
          <t>Earnings / Momentum Support</t>
        </is>
      </c>
      <c r="S71" s="31" t="inlineStr">
        <is>
          <t>Nifty 50</t>
        </is>
      </c>
      <c r="T71" s="32" t="n">
        <v>-2.49</v>
      </c>
      <c r="U71" s="32" t="n">
        <v>34.74</v>
      </c>
      <c r="V71" s="32" t="n">
        <v>38.18</v>
      </c>
      <c r="W71" s="32" t="n">
        <v>12.77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B2C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Negative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25</t>
        </is>
      </c>
      <c r="CG71" s="31">
        <f>IF(CF71&gt;20,10,IF(CF71&gt;=10,5,2))</f>
        <v/>
      </c>
    </row>
    <row r="72">
      <c r="A72" s="31">
        <f>IF(B72=0,"",RANK(B72,$B$2:$B$97,0))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STLTECH</t>
        </is>
      </c>
      <c r="D72" s="31" t="inlineStr">
        <is>
          <t>Sterlite Technologies Ltd</t>
        </is>
      </c>
      <c r="E72" s="31" t="inlineStr">
        <is>
          <t>industrials</t>
        </is>
      </c>
      <c r="F72" s="31" t="inlineStr">
        <is>
          <t>Cables - Telecom</t>
        </is>
      </c>
      <c r="G72" s="31" t="inlineStr">
        <is>
          <t>largecap</t>
        </is>
      </c>
      <c r="H72" s="32" t="n">
        <v>33841.06</v>
      </c>
      <c r="I72" s="32" t="n">
        <v>658.5</v>
      </c>
      <c r="J72" s="32" t="n">
        <v>5</v>
      </c>
      <c r="K72" s="32" t="n">
        <v>0</v>
      </c>
      <c r="L72" s="31" t="inlineStr"/>
      <c r="M72" s="31" t="inlineStr"/>
      <c r="N72" s="32">
        <f>IF(M72="Underperforming",-5,IF(L72&gt;=95,15,IF(L72&gt;=90,10,IF(L72&gt;=80,5,0))))</f>
        <v/>
      </c>
      <c r="O72" s="32" t="n">
        <v>70.89</v>
      </c>
      <c r="P72" s="32" t="n">
        <v>76.78</v>
      </c>
      <c r="Q72" s="32" t="inlineStr"/>
      <c r="R72" s="31" t="inlineStr">
        <is>
          <t>Earnings / Momentum Support</t>
        </is>
      </c>
      <c r="S72" s="31" t="inlineStr">
        <is>
          <t>Nifty Infra</t>
        </is>
      </c>
      <c r="T72" s="32" t="inlineStr"/>
      <c r="U72" s="32" t="inlineStr"/>
      <c r="V72" s="32" t="inlineStr"/>
      <c r="W72" s="32" t="inlineStr"/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Oligopoly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25</t>
        </is>
      </c>
      <c r="CG72" s="31">
        <f>IF(CF72&gt;20,10,IF(CF72&gt;=10,5,2))</f>
        <v/>
      </c>
    </row>
    <row r="73">
      <c r="A73" s="31">
        <f>IF(B73=0,"",RANK(B73,$B$2:$B$97,0))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MMP</t>
        </is>
      </c>
      <c r="D73" s="31" t="inlineStr">
        <is>
          <t>MMP Industries Ltd</t>
        </is>
      </c>
      <c r="E73" s="31" t="inlineStr">
        <is>
          <t>metals &amp; mining</t>
        </is>
      </c>
      <c r="F73" s="31" t="inlineStr">
        <is>
          <t>Aluminium Products</t>
        </is>
      </c>
      <c r="G73" s="31" t="inlineStr">
        <is>
          <t>smallcap</t>
        </is>
      </c>
      <c r="H73" s="32" t="n">
        <v>1007.09</v>
      </c>
      <c r="I73" s="32" t="n">
        <v>396.45</v>
      </c>
      <c r="J73" s="32" t="n">
        <v>-1.36</v>
      </c>
      <c r="K73" s="32" t="n">
        <v>0</v>
      </c>
      <c r="L73" s="31" t="inlineStr"/>
      <c r="M73" s="31" t="inlineStr"/>
      <c r="N73" s="32">
        <f>IF(M73="Underperforming",-5,IF(L73&gt;=95,15,IF(L73&gt;=90,10,IF(L73&gt;=80,5,0))))</f>
        <v/>
      </c>
      <c r="O73" s="32" t="n">
        <v>78.95999999999999</v>
      </c>
      <c r="P73" s="32" t="n">
        <v>43.9</v>
      </c>
      <c r="Q73" s="32" t="inlineStr"/>
      <c r="R73" s="31" t="inlineStr">
        <is>
          <t>Earnings / Momentum Support</t>
        </is>
      </c>
      <c r="S73" s="31" t="inlineStr">
        <is>
          <t>Nifty Metal</t>
        </is>
      </c>
      <c r="T73" s="32" t="inlineStr"/>
      <c r="U73" s="32" t="inlineStr"/>
      <c r="V73" s="32" t="inlineStr"/>
      <c r="W73" s="32" t="inlineStr"/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Cyclical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Volatile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24</t>
        </is>
      </c>
      <c r="CG73" s="31">
        <f>IF(CF73&gt;20,10,IF(CF73&gt;=10,5,2))</f>
        <v/>
      </c>
    </row>
    <row r="74">
      <c r="A74" s="31">
        <f>IF(B74=0,"",RANK(B74,$B$2:$B$97,0))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MANINDS</t>
        </is>
      </c>
      <c r="D74" s="31" t="inlineStr">
        <is>
          <t>Man Industries (India) Ltd</t>
        </is>
      </c>
      <c r="E74" s="31" t="inlineStr">
        <is>
          <t>metals &amp; mining</t>
        </is>
      </c>
      <c r="F74" s="31" t="inlineStr">
        <is>
          <t>Steel - Tubes/Pipes</t>
        </is>
      </c>
      <c r="G74" s="31" t="inlineStr">
        <is>
          <t>midcap</t>
        </is>
      </c>
      <c r="H74" s="32" t="n">
        <v>5350.81</v>
      </c>
      <c r="I74" s="32" t="n">
        <v>713.35</v>
      </c>
      <c r="J74" s="32" t="n">
        <v>-0.29</v>
      </c>
      <c r="K74" s="32" t="n">
        <v>0</v>
      </c>
      <c r="L74" s="31" t="inlineStr"/>
      <c r="M74" s="31" t="inlineStr"/>
      <c r="N74" s="32">
        <f>IF(M74="Underperforming",-5,IF(L74&gt;=95,15,IF(L74&gt;=90,10,IF(L74&gt;=80,5,0))))</f>
        <v/>
      </c>
      <c r="O74" s="32" t="n">
        <v>72.06999999999999</v>
      </c>
      <c r="P74" s="32" t="n">
        <v>29.91</v>
      </c>
      <c r="Q74" s="32" t="inlineStr"/>
      <c r="R74" s="31" t="inlineStr">
        <is>
          <t>Earnings / Momentum Support</t>
        </is>
      </c>
      <c r="S74" s="31" t="inlineStr">
        <is>
          <t>Nifty Metal</t>
        </is>
      </c>
      <c r="T74" s="32" t="inlineStr"/>
      <c r="U74" s="32" t="inlineStr"/>
      <c r="V74" s="32" t="inlineStr"/>
      <c r="W74" s="32" t="inlineStr"/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Cyclical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Volatile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24</t>
        </is>
      </c>
      <c r="CG74" s="31">
        <f>IF(CF74&gt;20,10,IF(CF74&gt;=10,5,2))</f>
        <v/>
      </c>
    </row>
    <row r="75">
      <c r="A75" s="31">
        <f>IF(B75=0,"",RANK(B75,$B$2:$B$97,0))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SAMBHV</t>
        </is>
      </c>
      <c r="D75" s="31" t="inlineStr">
        <is>
          <t>Sambhv Steel Tubes Ltd</t>
        </is>
      </c>
      <c r="E75" s="31" t="inlineStr">
        <is>
          <t>metals &amp; mining</t>
        </is>
      </c>
      <c r="F75" s="31" t="inlineStr">
        <is>
          <t>Steel - Tubes/Pipes</t>
        </is>
      </c>
      <c r="G75" s="31" t="inlineStr">
        <is>
          <t>smallcap</t>
        </is>
      </c>
      <c r="H75" s="32" t="n">
        <v>3824.25</v>
      </c>
      <c r="I75" s="32" t="n">
        <v>129.78</v>
      </c>
      <c r="J75" s="32" t="n">
        <v>0.33</v>
      </c>
      <c r="K75" s="32" t="n">
        <v>0</v>
      </c>
      <c r="L75" s="31" t="inlineStr"/>
      <c r="M75" s="31" t="inlineStr"/>
      <c r="N75" s="32">
        <f>IF(M75="Underperforming",-5,IF(L75&gt;=95,15,IF(L75&gt;=90,10,IF(L75&gt;=80,5,0))))</f>
        <v/>
      </c>
      <c r="O75" s="32" t="n">
        <v>66.5</v>
      </c>
      <c r="P75" s="32" t="n">
        <v>28.43</v>
      </c>
      <c r="Q75" s="32" t="inlineStr"/>
      <c r="R75" s="31" t="inlineStr">
        <is>
          <t>Earnings / Momentum Support</t>
        </is>
      </c>
      <c r="S75" s="31" t="inlineStr">
        <is>
          <t>Nifty Metal</t>
        </is>
      </c>
      <c r="T75" s="32" t="inlineStr"/>
      <c r="U75" s="32" t="inlineStr"/>
      <c r="V75" s="32" t="inlineStr"/>
      <c r="W75" s="32" t="inlineStr"/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Cyclical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Volatile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20</t>
        </is>
      </c>
      <c r="CG75" s="31">
        <f>IF(CF75&gt;20,10,IF(CF75&gt;=10,5,2))</f>
        <v/>
      </c>
    </row>
    <row r="76">
      <c r="A76" s="31">
        <f>IF(B76=0,"",RANK(B76,$B$2:$B$97,0))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MAXESTATES</t>
        </is>
      </c>
      <c r="D76" s="31" t="inlineStr">
        <is>
          <t>Max Estates Ltd</t>
        </is>
      </c>
      <c r="E76" s="31" t="inlineStr">
        <is>
          <t>realty</t>
        </is>
      </c>
      <c r="F76" s="31" t="inlineStr">
        <is>
          <t>Realty - Regional</t>
        </is>
      </c>
      <c r="G76" s="31" t="inlineStr">
        <is>
          <t>midcap</t>
        </is>
      </c>
      <c r="H76" s="32" t="n">
        <v>8979.709999999999</v>
      </c>
      <c r="I76" s="32" t="n">
        <v>549</v>
      </c>
      <c r="J76" s="32" t="n">
        <v>10.94</v>
      </c>
      <c r="K76" s="32" t="n">
        <v>0</v>
      </c>
      <c r="L76" s="31" t="inlineStr"/>
      <c r="M76" s="31" t="inlineStr"/>
      <c r="N76" s="32">
        <f>IF(M76="Underperforming",-5,IF(L76&gt;=95,15,IF(L76&gt;=90,10,IF(L76&gt;=80,5,0))))</f>
        <v/>
      </c>
      <c r="O76" s="32" t="n">
        <v>63.95</v>
      </c>
      <c r="P76" s="32" t="n">
        <v>20.8</v>
      </c>
      <c r="Q76" s="32" t="inlineStr"/>
      <c r="R76" s="31" t="inlineStr">
        <is>
          <t>Volume Spike / Accumulation</t>
        </is>
      </c>
      <c r="S76" s="31" t="inlineStr">
        <is>
          <t>Nifty Realty</t>
        </is>
      </c>
      <c r="T76" s="32" t="inlineStr"/>
      <c r="U76" s="32" t="inlineStr"/>
      <c r="V76" s="32" t="inlineStr"/>
      <c r="W76" s="32" t="inlineStr"/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Less than 12%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19</t>
        </is>
      </c>
      <c r="CG76" s="31">
        <f>IF(CF76&gt;20,10,IF(CF76&gt;=10,5,2))</f>
        <v/>
      </c>
    </row>
    <row r="77">
      <c r="A77" s="31">
        <f>IF(B77=0,"",RANK(B77,$B$2:$B$97,0))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3" t="inlineStr">
        <is>
          <t>GLAXO</t>
        </is>
      </c>
      <c r="D77" s="33" t="inlineStr">
        <is>
          <t>Glaxosmithkline Pharmaceuticals Ltd</t>
        </is>
      </c>
      <c r="E77" s="31" t="inlineStr">
        <is>
          <t>healthcare</t>
        </is>
      </c>
      <c r="F77" s="31" t="inlineStr">
        <is>
          <t>Pharma - MNC bulk Drugs</t>
        </is>
      </c>
      <c r="G77" s="31" t="inlineStr">
        <is>
          <t>largecap</t>
        </is>
      </c>
      <c r="H77" s="32" t="n">
        <v>49635.97</v>
      </c>
      <c r="I77" s="32" t="n">
        <v>2930</v>
      </c>
      <c r="J77" s="32" t="n">
        <v>0.96</v>
      </c>
      <c r="K77" s="32" t="n">
        <v>0</v>
      </c>
      <c r="L77" s="31" t="n">
        <v>37</v>
      </c>
      <c r="M77" s="31" t="inlineStr">
        <is>
          <t>Underperforming</t>
        </is>
      </c>
      <c r="N77" s="32">
        <f>IF(M77="Underperforming",-5,IF(L77&gt;=95,15,IF(L77&gt;=90,10,IF(L77&gt;=80,5,0))))</f>
        <v/>
      </c>
      <c r="O77" s="32" t="n">
        <v>70.5</v>
      </c>
      <c r="P77" s="32" t="n">
        <v>24.78</v>
      </c>
      <c r="Q77" s="32" t="inlineStr"/>
      <c r="R77" s="31" t="inlineStr">
        <is>
          <t>Earnings / Momentum Support</t>
        </is>
      </c>
      <c r="S77" s="31" t="inlineStr">
        <is>
          <t>Nifty Pharma</t>
        </is>
      </c>
      <c r="T77" s="32" t="n">
        <v>18.39</v>
      </c>
      <c r="U77" s="32" t="n">
        <v>6.33</v>
      </c>
      <c r="V77" s="32" t="n">
        <v>-10.18</v>
      </c>
      <c r="W77" s="32" t="n">
        <v>8.01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Between 12 to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24</t>
        </is>
      </c>
      <c r="CG77" s="31">
        <f>IF(CF77&gt;20,10,IF(CF77&gt;=10,5,2))</f>
        <v/>
      </c>
    </row>
    <row r="78">
      <c r="A78" s="31">
        <f>IF(B78=0,"",RANK(B78,$B$2:$B$97,0))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CHENNPETRO</t>
        </is>
      </c>
      <c r="D78" s="31" t="inlineStr">
        <is>
          <t>Chennai Petroleum Corporation Ltd</t>
        </is>
      </c>
      <c r="E78" s="31" t="inlineStr">
        <is>
          <t>energy</t>
        </is>
      </c>
      <c r="F78" s="31" t="inlineStr">
        <is>
          <t>Refineries</t>
        </is>
      </c>
      <c r="G78" s="31" t="inlineStr">
        <is>
          <t>largecap</t>
        </is>
      </c>
      <c r="H78" s="32" t="n">
        <v>21048.63</v>
      </c>
      <c r="I78" s="32" t="n">
        <v>1413.5</v>
      </c>
      <c r="J78" s="32" t="n">
        <v>1.44</v>
      </c>
      <c r="K78" s="32" t="n">
        <v>0</v>
      </c>
      <c r="L78" s="31" t="inlineStr"/>
      <c r="M78" s="31" t="inlineStr"/>
      <c r="N78" s="32">
        <f>IF(M78="Underperforming",-5,IF(L78&gt;=95,15,IF(L78&gt;=90,10,IF(L78&gt;=80,5,0))))</f>
        <v/>
      </c>
      <c r="O78" s="32" t="n">
        <v>75.39</v>
      </c>
      <c r="P78" s="32" t="n">
        <v>54.21</v>
      </c>
      <c r="Q78" s="32" t="inlineStr"/>
      <c r="R78" s="31" t="inlineStr">
        <is>
          <t>Earnings / Momentum Support</t>
        </is>
      </c>
      <c r="S78" s="31" t="inlineStr">
        <is>
          <t>Nifty Energy</t>
        </is>
      </c>
      <c r="T78" s="32" t="inlineStr"/>
      <c r="U78" s="32" t="inlineStr"/>
      <c r="V78" s="32" t="inlineStr"/>
      <c r="W78" s="32" t="inlineStr"/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Oligopoly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Cyclical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Volatile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27</t>
        </is>
      </c>
      <c r="CG78" s="31">
        <f>IF(CF78&gt;20,10,IF(CF78&gt;=10,5,2))</f>
        <v/>
      </c>
    </row>
    <row r="79">
      <c r="A79" s="31">
        <f>IF(B79=0,"",RANK(B79,$B$2:$B$97,0))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PVP</t>
        </is>
      </c>
      <c r="D79" s="31" t="inlineStr">
        <is>
          <t>PVP Ventures Ltd</t>
        </is>
      </c>
      <c r="E79" s="31" t="inlineStr">
        <is>
          <t>realty</t>
        </is>
      </c>
      <c r="F79" s="31" t="inlineStr">
        <is>
          <t>Realty - Construction &amp; Contracting</t>
        </is>
      </c>
      <c r="G79" s="31" t="inlineStr">
        <is>
          <t>smallcap</t>
        </is>
      </c>
      <c r="H79" s="32" t="n">
        <v>1265.3</v>
      </c>
      <c r="I79" s="32" t="n">
        <v>48.59</v>
      </c>
      <c r="J79" s="32" t="n">
        <v>7.14</v>
      </c>
      <c r="K79" s="32" t="n">
        <v>0</v>
      </c>
      <c r="L79" s="31" t="inlineStr"/>
      <c r="M79" s="31" t="inlineStr"/>
      <c r="N79" s="32">
        <f>IF(M79="Underperforming",-5,IF(L79&gt;=95,15,IF(L79&gt;=90,10,IF(L79&gt;=80,5,0))))</f>
        <v/>
      </c>
      <c r="O79" s="32" t="n">
        <v>71.84</v>
      </c>
      <c r="P79" s="32" t="n">
        <v>18.46</v>
      </c>
      <c r="Q79" s="32" t="inlineStr"/>
      <c r="R79" s="31" t="inlineStr">
        <is>
          <t>Earnings / Momentum Support</t>
        </is>
      </c>
      <c r="S79" s="31" t="inlineStr">
        <is>
          <t>Nifty Realty</t>
        </is>
      </c>
      <c r="T79" s="32" t="inlineStr"/>
      <c r="U79" s="32" t="inlineStr"/>
      <c r="V79" s="32" t="inlineStr"/>
      <c r="W79" s="32" t="inlineStr"/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0 to 20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22</t>
        </is>
      </c>
      <c r="CG79" s="31">
        <f>IF(CF79&gt;20,10,IF(CF79&gt;=10,5,2))</f>
        <v/>
      </c>
    </row>
    <row r="80">
      <c r="A80" s="31">
        <f>IF(B80=0,"",RANK(B80,$B$2:$B$97,0))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AEGISLOG</t>
        </is>
      </c>
      <c r="D80" s="31" t="inlineStr">
        <is>
          <t>Aegis Logistics Ltd</t>
        </is>
      </c>
      <c r="E80" s="31" t="inlineStr">
        <is>
          <t>Energy</t>
        </is>
      </c>
      <c r="F80" s="31" t="inlineStr">
        <is>
          <t>Logistics</t>
        </is>
      </c>
      <c r="G80" s="31" t="inlineStr">
        <is>
          <t>largecap</t>
        </is>
      </c>
      <c r="H80" s="32" t="n">
        <v>47037.51</v>
      </c>
      <c r="I80" s="32" t="n">
        <v>1340.1</v>
      </c>
      <c r="J80" s="32" t="n">
        <v>-5.49</v>
      </c>
      <c r="K80" s="32" t="n">
        <v>0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72.22</v>
      </c>
      <c r="P80" s="32" t="n">
        <v>58.13</v>
      </c>
      <c r="Q80" s="32" t="inlineStr"/>
      <c r="R80" s="31" t="inlineStr">
        <is>
          <t>Earnings / Momentum Support</t>
        </is>
      </c>
      <c r="S80" s="31" t="inlineStr">
        <is>
          <t>Nifty Energy</t>
        </is>
      </c>
      <c r="T80" s="32" t="inlineStr"/>
      <c r="U80" s="32" t="inlineStr"/>
      <c r="V80" s="32" t="inlineStr"/>
      <c r="W80" s="32" t="inlineStr"/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Oligopoly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Cyclical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22</t>
        </is>
      </c>
      <c r="CG80" s="31">
        <f>IF(CF80&gt;20,10,IF(CF80&gt;=10,5,2))</f>
        <v/>
      </c>
    </row>
    <row r="81">
      <c r="A81" s="31">
        <f>IF(B81=0,"",RANK(B81,$B$2:$B$97,0))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SAPL</t>
        </is>
      </c>
      <c r="D81" s="31" t="inlineStr">
        <is>
          <t>Sar Auto Products Ltd</t>
        </is>
      </c>
      <c r="E81" s="31" t="inlineStr">
        <is>
          <t>Consumer Cyclical</t>
        </is>
      </c>
      <c r="F81" s="31" t="inlineStr">
        <is>
          <t>Auto Ancillaries - Gears</t>
        </is>
      </c>
      <c r="G81" s="31" t="inlineStr">
        <is>
          <t>smallcap</t>
        </is>
      </c>
      <c r="H81" s="32" t="n">
        <v>1904.94</v>
      </c>
      <c r="I81" s="32" t="n">
        <v>3998</v>
      </c>
      <c r="J81" s="32" t="n">
        <v>4.99</v>
      </c>
      <c r="K81" s="32" t="n">
        <v>0</v>
      </c>
      <c r="L81" s="31" t="inlineStr"/>
      <c r="M81" s="31" t="inlineStr"/>
      <c r="N81" s="32">
        <f>IF(M81="Underperforming",-5,IF(L81&gt;=95,15,IF(L81&gt;=90,10,IF(L81&gt;=80,5,0))))</f>
        <v/>
      </c>
      <c r="O81" s="32" t="n">
        <v>72.23</v>
      </c>
      <c r="P81" s="32" t="n">
        <v>38.52</v>
      </c>
      <c r="Q81" s="32" t="inlineStr"/>
      <c r="R81" s="31" t="inlineStr">
        <is>
          <t>Earnings / Momentum Support</t>
        </is>
      </c>
      <c r="S81" s="31" t="inlineStr">
        <is>
          <t>Nifty Auto</t>
        </is>
      </c>
      <c r="T81" s="32" t="inlineStr"/>
      <c r="U81" s="32" t="inlineStr"/>
      <c r="V81" s="32" t="inlineStr"/>
      <c r="W81" s="32" t="inlineStr"/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B2C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More than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19</t>
        </is>
      </c>
      <c r="CG81" s="31">
        <f>IF(CF81&gt;20,10,IF(CF81&gt;=10,5,2))</f>
        <v/>
      </c>
    </row>
    <row r="82">
      <c r="A82" s="31">
        <f>IF(B82=0,"",RANK(B82,$B$2:$B$97,0))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INOVSYNTH</t>
        </is>
      </c>
      <c r="D82" s="31" t="inlineStr">
        <is>
          <t>Innovassynth Technologies (India) Ltd</t>
        </is>
      </c>
      <c r="E82" s="31" t="inlineStr">
        <is>
          <t>Basic Materials</t>
        </is>
      </c>
      <c r="F82" s="31" t="inlineStr">
        <is>
          <t>Chemicals - Speciality</t>
        </is>
      </c>
      <c r="G82" s="31" t="inlineStr">
        <is>
          <t>smallcap</t>
        </is>
      </c>
      <c r="H82" s="32" t="n">
        <v>1299.12</v>
      </c>
      <c r="I82" s="32" t="n">
        <v>139.9</v>
      </c>
      <c r="J82" s="32" t="n">
        <v/>
      </c>
      <c r="K82" s="32" t="n">
        <v>0</v>
      </c>
      <c r="L82" s="31" t="n">
        <v>88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77.73999999999999</v>
      </c>
      <c r="P82" s="32" t="n">
        <v>46.5</v>
      </c>
      <c r="Q82" s="32" t="inlineStr"/>
      <c r="R82" s="31" t="inlineStr">
        <is>
          <t>Earnings / Momentum Support</t>
        </is>
      </c>
      <c r="S82" s="31" t="inlineStr">
        <is>
          <t>Nifty 50</t>
        </is>
      </c>
      <c r="T82" s="32" t="n">
        <v>-2.49</v>
      </c>
      <c r="U82" s="32" t="n">
        <v>38</v>
      </c>
      <c r="V82" s="32" t="n">
        <v>41.52</v>
      </c>
      <c r="W82" s="32" t="n">
        <v>28.09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Cyclical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Between 0.7 to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19</t>
        </is>
      </c>
      <c r="CG82" s="31">
        <f>IF(CF82&gt;20,10,IF(CF82&gt;=10,5,2))</f>
        <v/>
      </c>
    </row>
    <row r="83">
      <c r="A83" s="31">
        <f>IF(B83=0,"",RANK(B83,$B$2:$B$97,0))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UFLEX</t>
        </is>
      </c>
      <c r="D83" s="31" t="inlineStr">
        <is>
          <t>Uflex Ltd</t>
        </is>
      </c>
      <c r="E83" s="31" t="inlineStr">
        <is>
          <t>industrials</t>
        </is>
      </c>
      <c r="F83" s="31" t="inlineStr">
        <is>
          <t>Packaging - BOPP</t>
        </is>
      </c>
      <c r="G83" s="31" t="inlineStr">
        <is>
          <t>smallcap</t>
        </is>
      </c>
      <c r="H83" s="32" t="n">
        <v>4467.36</v>
      </c>
      <c r="I83" s="32" t="n">
        <v>618.65</v>
      </c>
      <c r="J83" s="32" t="n">
        <v>0.66</v>
      </c>
      <c r="K83" s="32" t="n">
        <v>0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75.36</v>
      </c>
      <c r="P83" s="32" t="n">
        <v>22.21</v>
      </c>
      <c r="Q83" s="32" t="inlineStr"/>
      <c r="R83" s="31" t="inlineStr">
        <is>
          <t>Earnings / Momentum Support</t>
        </is>
      </c>
      <c r="S83" s="31" t="inlineStr">
        <is>
          <t>Nifty Infra</t>
        </is>
      </c>
      <c r="T83" s="32" t="inlineStr"/>
      <c r="U83" s="32" t="inlineStr"/>
      <c r="V83" s="32" t="inlineStr"/>
      <c r="W83" s="32" t="inlineStr"/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More than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29</t>
        </is>
      </c>
      <c r="CG83" s="31">
        <f>IF(CF83&gt;20,10,IF(CF83&gt;=10,5,2))</f>
        <v/>
      </c>
    </row>
    <row r="84">
      <c r="A84" s="31">
        <f>IF(B84=0,"",RANK(B84,$B$2:$B$97,0))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EMIL</t>
        </is>
      </c>
      <c r="D84" s="31" t="inlineStr">
        <is>
          <t>Electronics Mart India Ltd</t>
        </is>
      </c>
      <c r="E84" s="31" t="inlineStr">
        <is>
          <t>consumer discretionary</t>
        </is>
      </c>
      <c r="F84" s="31" t="inlineStr">
        <is>
          <t>Retail - Electronics</t>
        </is>
      </c>
      <c r="G84" s="31" t="inlineStr">
        <is>
          <t>midcap</t>
        </is>
      </c>
      <c r="H84" s="32" t="n">
        <v>7027.44</v>
      </c>
      <c r="I84" s="32" t="n">
        <v>182.65</v>
      </c>
      <c r="J84" s="32" t="n">
        <v>-2.17</v>
      </c>
      <c r="K84" s="32" t="n">
        <v>0</v>
      </c>
      <c r="L84" s="31" t="n">
        <v>74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75.66</v>
      </c>
      <c r="P84" s="32" t="n">
        <v>33.49</v>
      </c>
      <c r="Q84" s="32" t="inlineStr"/>
      <c r="R84" s="31" t="inlineStr">
        <is>
          <t>Earnings / Momentum Support</t>
        </is>
      </c>
      <c r="S84" s="31" t="inlineStr">
        <is>
          <t>Nifty 50</t>
        </is>
      </c>
      <c r="T84" s="32" t="n">
        <v>-2.49</v>
      </c>
      <c r="U84" s="32" t="n">
        <v>42.08</v>
      </c>
      <c r="V84" s="32" t="n">
        <v>45.7</v>
      </c>
      <c r="W84" s="32" t="n">
        <v>20.98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B2C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More than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25</t>
        </is>
      </c>
      <c r="CG84" s="31">
        <f>IF(CF84&gt;20,10,IF(CF84&gt;=10,5,2))</f>
        <v/>
      </c>
    </row>
    <row r="85">
      <c r="A85" s="31">
        <f>IF(B85=0,"",RANK(B85,$B$2:$B$97,0))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TIIL</t>
        </is>
      </c>
      <c r="D85" s="31" t="inlineStr">
        <is>
          <t>Technocraft Industries (India) Ltd</t>
        </is>
      </c>
      <c r="E85" s="31" t="inlineStr">
        <is>
          <t>metals &amp; mining</t>
        </is>
      </c>
      <c r="F85" s="31" t="inlineStr">
        <is>
          <t>Scaffolding</t>
        </is>
      </c>
      <c r="G85" s="31" t="inlineStr">
        <is>
          <t>midcap</t>
        </is>
      </c>
      <c r="H85" s="32" t="n">
        <v>7808.06</v>
      </c>
      <c r="I85" s="32" t="n">
        <v>3443.8</v>
      </c>
      <c r="J85" s="32" t="n">
        <v>3.77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76.44</v>
      </c>
      <c r="P85" s="32" t="n">
        <v>32.67</v>
      </c>
      <c r="Q85" s="32" t="inlineStr"/>
      <c r="R85" s="31" t="inlineStr">
        <is>
          <t>Earnings / Momentum Support</t>
        </is>
      </c>
      <c r="S85" s="31" t="inlineStr">
        <is>
          <t>Nifty Metal</t>
        </is>
      </c>
      <c r="T85" s="32" t="inlineStr"/>
      <c r="U85" s="32" t="inlineStr"/>
      <c r="V85" s="32" t="inlineStr"/>
      <c r="W85" s="32" t="inlineStr"/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22</t>
        </is>
      </c>
      <c r="CG85" s="31">
        <f>IF(CF85&gt;20,10,IF(CF85&gt;=10,5,2))</f>
        <v/>
      </c>
    </row>
    <row r="86">
      <c r="A86" s="31">
        <f>IF(B86=0,"",RANK(B86,$B$2:$B$97,0))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GNFC</t>
        </is>
      </c>
      <c r="D86" s="31" t="inlineStr">
        <is>
          <t>Gujarat Narmada Valley Fertilizers &amp; Chemicals Ltd</t>
        </is>
      </c>
      <c r="E86" s="31" t="inlineStr">
        <is>
          <t>chemicals</t>
        </is>
      </c>
      <c r="F86" s="31" t="inlineStr">
        <is>
          <t>Fertilisers</t>
        </is>
      </c>
      <c r="G86" s="31" t="inlineStr">
        <is>
          <t>midcap</t>
        </is>
      </c>
      <c r="H86" s="32" t="n">
        <v>8733.42</v>
      </c>
      <c r="I86" s="32" t="n">
        <v>594.35</v>
      </c>
      <c r="J86" s="32" t="n">
        <v>1.98</v>
      </c>
      <c r="K86" s="32" t="n">
        <v>0</v>
      </c>
      <c r="L86" s="31" t="n">
        <v>28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67.36</v>
      </c>
      <c r="P86" s="32" t="n">
        <v>35.46</v>
      </c>
      <c r="Q86" s="32" t="inlineStr"/>
      <c r="R86" s="31" t="inlineStr">
        <is>
          <t>Earnings / Momentum Support</t>
        </is>
      </c>
      <c r="S86" s="31" t="inlineStr">
        <is>
          <t>Nifty 50</t>
        </is>
      </c>
      <c r="T86" s="32" t="n">
        <v>-2.49</v>
      </c>
      <c r="U86" s="32" t="n">
        <v>13.44</v>
      </c>
      <c r="V86" s="32" t="n">
        <v>16.33</v>
      </c>
      <c r="W86" s="32" t="n">
        <v>5.87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Oligopoly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Shallow Cyclical (2 to 3 Years Growth)</t>
        </is>
      </c>
      <c r="AG86" s="31">
        <f>IF(AF86="Structural (10 Years Consistency)",10,IF(AF86="Shallow Cyclical (2 to 3 years growth)",5,0))</f>
        <v/>
      </c>
      <c r="AH86" s="31" t="inlineStr">
        <is>
          <t>Yes due to Product Mix change or Operating Leverage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Allocated capital in Non-core Areas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Sideways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Overhead supply in last 2 years in last 2 years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More than 15%</t>
        </is>
      </c>
      <c r="CC86" s="31">
        <f>IF(CB86="More than 15%",-10,IF(CB86="Less than 15%",10,0))</f>
        <v/>
      </c>
      <c r="CD86" s="31" t="inlineStr">
        <is>
          <t>Yes Upto 10%</t>
        </is>
      </c>
      <c r="CE86" s="31">
        <f>IF(CD86="Yes, more than 10%",-10,IF(CD86="No",10,0))</f>
        <v/>
      </c>
      <c r="CF86" s="31" t="inlineStr">
        <is>
          <t>21</t>
        </is>
      </c>
      <c r="CG86" s="31">
        <f>IF(CF86&gt;20,10,IF(CF86&gt;=10,5,2))</f>
        <v/>
      </c>
    </row>
    <row r="87">
      <c r="A87" s="31">
        <f>IF(B87=0,"",RANK(B87,$B$2:$B$97,0))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GAEL</t>
        </is>
      </c>
      <c r="D87" s="31" t="inlineStr">
        <is>
          <t>Gujarat Ambuja Exports Ltd</t>
        </is>
      </c>
      <c r="E87" s="31" t="inlineStr">
        <is>
          <t>fmcg</t>
        </is>
      </c>
      <c r="F87" s="31" t="inlineStr">
        <is>
          <t>Agricultural Processing - Maize</t>
        </is>
      </c>
      <c r="G87" s="31" t="inlineStr">
        <is>
          <t>midcap</t>
        </is>
      </c>
      <c r="H87" s="32" t="n">
        <v>8279.01</v>
      </c>
      <c r="I87" s="32" t="n">
        <v>180.5</v>
      </c>
      <c r="J87" s="32" t="n">
        <v>1.71</v>
      </c>
      <c r="K87" s="32" t="n">
        <v>0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65.40000000000001</v>
      </c>
      <c r="P87" s="32" t="n">
        <v>34.69</v>
      </c>
      <c r="Q87" s="32" t="inlineStr"/>
      <c r="R87" s="31" t="inlineStr">
        <is>
          <t>Earnings / Momentum Support</t>
        </is>
      </c>
      <c r="S87" s="31" t="inlineStr">
        <is>
          <t>Nifty FMCG</t>
        </is>
      </c>
      <c r="T87" s="32" t="inlineStr"/>
      <c r="U87" s="32" t="inlineStr"/>
      <c r="V87" s="32" t="inlineStr"/>
      <c r="W87" s="32" t="inlineStr"/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Shallow Cyclical (2 to 3 Years Growth)</t>
        </is>
      </c>
      <c r="AG87" s="31">
        <f>IF(AF87="Structural (10 Years Consistency)",10,IF(AF87="Shallow Cyclical (2 to 3 years growth)",5,0))</f>
        <v/>
      </c>
      <c r="AH87" s="31" t="inlineStr">
        <is>
          <t>Yes due to Product Mix change or Operating Leverage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Allocated capital in Non-core Areas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Sideways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Overhead supply in last 2 years in last 2 years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More than 15%</t>
        </is>
      </c>
      <c r="CC87" s="31">
        <f>IF(CB87="More than 15%",-10,IF(CB87="Less than 15%",10,0))</f>
        <v/>
      </c>
      <c r="CD87" s="31" t="inlineStr">
        <is>
          <t>Yes Upto 10%</t>
        </is>
      </c>
      <c r="CE87" s="31">
        <f>IF(CD87="Yes, more than 10%",-10,IF(CD87="No",10,0))</f>
        <v/>
      </c>
      <c r="CF87" s="31" t="inlineStr">
        <is>
          <t>20</t>
        </is>
      </c>
      <c r="CG87" s="31">
        <f>IF(CF87&gt;20,10,IF(CF87&gt;=10,5,2))</f>
        <v/>
      </c>
    </row>
    <row r="88">
      <c r="A88" s="31">
        <f>IF(B88=0,"",RANK(B88,$B$2:$B$97,0))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DOLPHIN</t>
        </is>
      </c>
      <c r="D88" s="31" t="inlineStr">
        <is>
          <t>Dolphin Offshore Enterprises (India) Ltd</t>
        </is>
      </c>
      <c r="E88" s="31" t="inlineStr">
        <is>
          <t>energy</t>
        </is>
      </c>
      <c r="F88" s="31" t="inlineStr">
        <is>
          <t>Oil Drilling &amp; Exploration</t>
        </is>
      </c>
      <c r="G88" s="31" t="inlineStr">
        <is>
          <t>smallcap</t>
        </is>
      </c>
      <c r="H88" s="32" t="n">
        <v>2449.28</v>
      </c>
      <c r="I88" s="32" t="n">
        <v>612.25</v>
      </c>
      <c r="J88" s="32" t="n">
        <v>-5.09</v>
      </c>
      <c r="K88" s="32" t="n">
        <v>0</v>
      </c>
      <c r="L88" s="31" t="inlineStr"/>
      <c r="M88" s="31" t="inlineStr"/>
      <c r="N88" s="32">
        <f>IF(M88="Underperforming",-5,IF(L88&gt;=95,15,IF(L88&gt;=90,10,IF(L88&gt;=80,5,0))))</f>
        <v/>
      </c>
      <c r="O88" s="32" t="n">
        <v>82.28</v>
      </c>
      <c r="P88" s="32" t="n">
        <v>32.73</v>
      </c>
      <c r="Q88" s="32" t="inlineStr"/>
      <c r="R88" s="31" t="inlineStr">
        <is>
          <t>Earnings / Momentum Support</t>
        </is>
      </c>
      <c r="S88" s="31" t="inlineStr">
        <is>
          <t>Nifty Energy</t>
        </is>
      </c>
      <c r="T88" s="32" t="inlineStr"/>
      <c r="U88" s="32" t="inlineStr"/>
      <c r="V88" s="32" t="inlineStr"/>
      <c r="W88" s="32" t="inlineStr"/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Oligopoly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25</t>
        </is>
      </c>
      <c r="CG88" s="31">
        <f>IF(CF88&gt;20,10,IF(CF88&gt;=10,5,2))</f>
        <v/>
      </c>
    </row>
    <row r="89">
      <c r="A89" s="31">
        <f>IF(B89=0,"",RANK(B89,$B$2:$B$97,0))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TNPETRO</t>
        </is>
      </c>
      <c r="D89" s="31" t="inlineStr">
        <is>
          <t>Tamil Nadu Petro Products Ltd</t>
        </is>
      </c>
      <c r="E89" s="31" t="inlineStr">
        <is>
          <t>energy</t>
        </is>
      </c>
      <c r="F89" s="31" t="inlineStr">
        <is>
          <t>Petrochem - Others</t>
        </is>
      </c>
      <c r="G89" s="31" t="inlineStr">
        <is>
          <t>smallcap</t>
        </is>
      </c>
      <c r="H89" s="32" t="n">
        <v>1045.02</v>
      </c>
      <c r="I89" s="32" t="n">
        <v>116.15</v>
      </c>
      <c r="J89" s="32" t="n">
        <v>0.82</v>
      </c>
      <c r="K89" s="32" t="n">
        <v>0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73.14</v>
      </c>
      <c r="P89" s="32" t="n">
        <v>27.61</v>
      </c>
      <c r="Q89" s="32" t="inlineStr"/>
      <c r="R89" s="31" t="inlineStr">
        <is>
          <t>Earnings / Momentum Support</t>
        </is>
      </c>
      <c r="S89" s="31" t="inlineStr">
        <is>
          <t>Nifty Energy</t>
        </is>
      </c>
      <c r="T89" s="32" t="inlineStr"/>
      <c r="U89" s="32" t="inlineStr"/>
      <c r="V89" s="32" t="inlineStr"/>
      <c r="W89" s="32" t="inlineStr"/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Oligopoly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Cyclical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Volatile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22</t>
        </is>
      </c>
      <c r="CG89" s="31">
        <f>IF(CF89&gt;20,10,IF(CF89&gt;=10,5,2))</f>
        <v/>
      </c>
    </row>
    <row r="90">
      <c r="A90" s="31">
        <f>IF(B90=0,"",RANK(B90,$B$2:$B$97,0))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LUMAXTECH</t>
        </is>
      </c>
      <c r="D90" s="31" t="inlineStr">
        <is>
          <t>Lumax Auto Technologies Ltd</t>
        </is>
      </c>
      <c r="E90" s="31" t="inlineStr">
        <is>
          <t>auto</t>
        </is>
      </c>
      <c r="F90" s="31" t="inlineStr">
        <is>
          <t>Auto Ancillaries - Diversified</t>
        </is>
      </c>
      <c r="G90" s="31" t="inlineStr">
        <is>
          <t>midcap</t>
        </is>
      </c>
      <c r="H90" s="32" t="n">
        <v>13284.62</v>
      </c>
      <c r="I90" s="32" t="n">
        <v>1949.1</v>
      </c>
      <c r="J90" s="32" t="n">
        <v>-2</v>
      </c>
      <c r="K90" s="32" t="n">
        <v>0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65.67</v>
      </c>
      <c r="P90" s="32" t="n">
        <v>18.48</v>
      </c>
      <c r="Q90" s="32" t="inlineStr"/>
      <c r="R90" s="31" t="inlineStr">
        <is>
          <t>Earnings / Momentum Support</t>
        </is>
      </c>
      <c r="S90" s="31" t="inlineStr">
        <is>
          <t>Nifty Auto</t>
        </is>
      </c>
      <c r="T90" s="32" t="inlineStr"/>
      <c r="U90" s="32" t="inlineStr"/>
      <c r="V90" s="32" t="inlineStr"/>
      <c r="W90" s="32" t="inlineStr"/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0 to 20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Between 0.7 to 1.2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22</t>
        </is>
      </c>
      <c r="CG90" s="31">
        <f>IF(CF90&gt;20,10,IF(CF90&gt;=10,5,2))</f>
        <v/>
      </c>
    </row>
    <row r="91">
      <c r="A91" s="31">
        <f>IF(B91=0,"",RANK(B91,$B$2:$B$97,0))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ASIANENE</t>
        </is>
      </c>
      <c r="D91" s="31" t="inlineStr">
        <is>
          <t>Asian Energy Services Ltd</t>
        </is>
      </c>
      <c r="E91" s="31" t="inlineStr">
        <is>
          <t>energy</t>
        </is>
      </c>
      <c r="F91" s="31" t="inlineStr">
        <is>
          <t>Oil Drilling &amp; Exploration</t>
        </is>
      </c>
      <c r="G91" s="31" t="inlineStr">
        <is>
          <t>smallcap</t>
        </is>
      </c>
      <c r="H91" s="32" t="n">
        <v>2265.74</v>
      </c>
      <c r="I91" s="32" t="n">
        <v>465.75</v>
      </c>
      <c r="J91" s="32" t="n">
        <v>-0.97</v>
      </c>
      <c r="K91" s="32" t="n">
        <v>0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69.89</v>
      </c>
      <c r="P91" s="32" t="n">
        <v>20.07</v>
      </c>
      <c r="Q91" s="32" t="inlineStr"/>
      <c r="R91" s="31" t="inlineStr">
        <is>
          <t>Earnings / Momentum Support</t>
        </is>
      </c>
      <c r="S91" s="31" t="inlineStr">
        <is>
          <t>Nifty Energy</t>
        </is>
      </c>
      <c r="T91" s="32" t="inlineStr"/>
      <c r="U91" s="32" t="inlineStr"/>
      <c r="V91" s="32" t="inlineStr"/>
      <c r="W91" s="32" t="inlineStr"/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Oligopoly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Cyclical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20</t>
        </is>
      </c>
      <c r="CG91" s="31">
        <f>IF(CF91&gt;20,10,IF(CF91&gt;=10,5,2))</f>
        <v/>
      </c>
    </row>
    <row r="92">
      <c r="A92" s="31">
        <f>IF(B92=0,"",RANK(B92,$B$2:$B$97,0))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RATNAVEER</t>
        </is>
      </c>
      <c r="D92" s="31" t="inlineStr">
        <is>
          <t>Ratnaveer Precision Engineering Ltd</t>
        </is>
      </c>
      <c r="E92" s="31" t="inlineStr">
        <is>
          <t>metals &amp; mining</t>
        </is>
      </c>
      <c r="F92" s="31" t="inlineStr">
        <is>
          <t>Stainless Steel</t>
        </is>
      </c>
      <c r="G92" s="31" t="inlineStr">
        <is>
          <t>smallcap</t>
        </is>
      </c>
      <c r="H92" s="32" t="n">
        <v>1932.81</v>
      </c>
      <c r="I92" s="32" t="n">
        <v>270.6</v>
      </c>
      <c r="J92" s="32" t="n">
        <v>1.33</v>
      </c>
      <c r="K92" s="32" t="n">
        <v>0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78.81</v>
      </c>
      <c r="P92" s="32" t="n">
        <v>51.97</v>
      </c>
      <c r="Q92" s="32" t="inlineStr"/>
      <c r="R92" s="31" t="inlineStr">
        <is>
          <t>Earnings / Momentum Support</t>
        </is>
      </c>
      <c r="S92" s="31" t="inlineStr">
        <is>
          <t>Nifty Metal</t>
        </is>
      </c>
      <c r="T92" s="32" t="inlineStr"/>
      <c r="U92" s="32" t="inlineStr"/>
      <c r="V92" s="32" t="inlineStr"/>
      <c r="W92" s="32" t="inlineStr"/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Less than 12%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21</t>
        </is>
      </c>
      <c r="CG92" s="31">
        <f>IF(CF92&gt;20,10,IF(CF92&gt;=10,5,2))</f>
        <v/>
      </c>
    </row>
    <row r="93">
      <c r="A93" s="31">
        <f>IF(B93=0,"",RANK(B93,$B$2:$B$97,0))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TVSSRICHAK</t>
        </is>
      </c>
      <c r="D93" s="31" t="inlineStr">
        <is>
          <t>TVS Srichakra Ltd</t>
        </is>
      </c>
      <c r="E93" s="31" t="inlineStr">
        <is>
          <t>auto</t>
        </is>
      </c>
      <c r="F93" s="31" t="inlineStr">
        <is>
          <t>Tyres &amp; Tubes</t>
        </is>
      </c>
      <c r="G93" s="31" t="inlineStr">
        <is>
          <t>smallcap</t>
        </is>
      </c>
      <c r="H93" s="32" t="n">
        <v>3778.37</v>
      </c>
      <c r="I93" s="32" t="n">
        <v>4934.5</v>
      </c>
      <c r="J93" s="32" t="n">
        <v>1.14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inlineStr"/>
      <c r="P93" s="32" t="inlineStr"/>
      <c r="Q93" s="32" t="inlineStr"/>
      <c r="R93" s="31" t="inlineStr"/>
      <c r="S93" s="31" t="inlineStr"/>
      <c r="T93" s="32" t="inlineStr"/>
      <c r="U93" s="32" t="inlineStr"/>
      <c r="V93" s="32" t="inlineStr"/>
      <c r="W93" s="32" t="inlineStr"/>
      <c r="X93" s="31" t="n"/>
      <c r="Y93" s="31">
        <f>IF(X93="Growing Industry",10,IF(X93="Cyclical in an Upturn",5,0))</f>
        <v/>
      </c>
      <c r="Z93" s="31" t="n"/>
      <c r="AA93" s="31">
        <f>IF(Z93="Monopoly",10,IF(Z93="Oligopoly",5,IF(Z93="Duopoly that cooperate",10,IF(Z93="Duopoly that compete",5,IF(Z93="Too many players with High ROCE",5,0)))))</f>
        <v/>
      </c>
      <c r="AB93" s="31" t="n"/>
      <c r="AC93" s="31">
        <f>IF(AB93="No",5,0)</f>
        <v/>
      </c>
      <c r="AD93" s="31" t="n"/>
      <c r="AE93" s="31">
        <f>IF(AD93="Tailwind",10,0)</f>
        <v/>
      </c>
      <c r="AF93" s="31" t="n"/>
      <c r="AG93" s="31">
        <f>IF(AF93="Structural (10 Years Consistency)",10,IF(AF93="Shallow Cyclical (2 to 3 years growth)",5,0))</f>
        <v/>
      </c>
      <c r="AH93" s="31" t="n"/>
      <c r="AI93" s="31">
        <f>IF(AH93="Yes due to Product Mix change or Operating Leverage",10,IF(AH93="Yes, these are peak margins",-5,IF(AH93="No",5,0)))</f>
        <v/>
      </c>
      <c r="AJ93" s="31" t="n"/>
      <c r="AK93" s="31">
        <f>IF(AJ93="Stable",10,0)</f>
        <v/>
      </c>
      <c r="AL93" s="31" t="n"/>
      <c r="AM93" s="31">
        <f>IF(AL93="Yes",10,0)</f>
        <v/>
      </c>
      <c r="AN93" s="31" t="n"/>
      <c r="AO93" s="31">
        <f>IF(AN93="B2C",10,IF(AN93="B2B",5,0))</f>
        <v/>
      </c>
      <c r="AP93" s="31" t="n"/>
      <c r="AQ93" s="31">
        <f>IF(AP93="Yes",10,0)</f>
        <v/>
      </c>
      <c r="AR93" s="31" t="n"/>
      <c r="AS93" s="31">
        <f>IF(AR93="Fully Annuity",10,IF(AR93="Higher Annuity, Lower One Time",5,IF(AR93="Higher One Time, Lower Annuity",3,0)))</f>
        <v/>
      </c>
      <c r="AT93" s="31" t="n"/>
      <c r="AU93" s="31">
        <f>IF(AT93="Good",10,0)</f>
        <v/>
      </c>
      <c r="AV93" s="31" t="n"/>
      <c r="AW93" s="31">
        <f>IF(AV93="Yes for more than 2 years",10,IF(AV93="Yes only for next 1 to 2 years",5,0))</f>
        <v/>
      </c>
      <c r="AX93" s="31" t="n"/>
      <c r="AY93" s="31">
        <f>IF(AX93="Above 40",20,IF(AX93="20 to 40",10,IF(AX93="0 to 20",-5,0)))</f>
        <v/>
      </c>
      <c r="AZ93" s="31" t="n"/>
      <c r="BA93" s="31">
        <f>IF(AZ93="Between 50 to 75",10,IF(AZ93="Above 75",0,0))</f>
        <v/>
      </c>
      <c r="BB93" s="31" t="n"/>
      <c r="BC93" s="31">
        <f>IF(BB93="Stage 2",20,IF(BB93="Stage 1",0,IF(BB93="Stage 3",5,IF(BB93="Stage 4",-5,0))))</f>
        <v/>
      </c>
      <c r="BD93" s="31" t="n"/>
      <c r="BE93" s="31">
        <f>IF(BD93="Positive Trend",20,IF(BD93="Negative Trend",-10,0))</f>
        <v/>
      </c>
      <c r="BF93" s="31" t="n"/>
      <c r="BG93" s="31">
        <f>IF(BF93="Uptrend",10,IF(BF93="Sideways",5,0))</f>
        <v/>
      </c>
      <c r="BH93" s="31" t="n"/>
      <c r="BI93" s="31">
        <f>IF(BH93="Uptrend",10,IF(BH93="Sideways",5,0))</f>
        <v/>
      </c>
      <c r="BJ93" s="31" t="n"/>
      <c r="BK93" s="31">
        <f>IF(BJ93="Overhead supply in last 2 years in last 2 years",-5,IF(BJ93="Close to 52 week high or retracement",5,IF(BJ93="Blue sky scenario",10,IF(BJ93="Long term Downtrend",-10,0))))</f>
        <v/>
      </c>
      <c r="BL93" s="31" t="n"/>
      <c r="BM93" s="31">
        <f>IF(BL93="Yes",10,0)</f>
        <v/>
      </c>
      <c r="BN93" s="31" t="n"/>
      <c r="BO93" s="31">
        <f>IF(BN93="More than 20%",10,IF(BN93="Between 12 to 20%",5,IF(BN93="Less than 12%",0,0)))</f>
        <v/>
      </c>
      <c r="BP93" s="31" t="n"/>
      <c r="BQ93" s="31">
        <f>IF(BP93="No",10,0)</f>
        <v/>
      </c>
      <c r="BR93" s="31" t="n"/>
      <c r="BS93" s="31">
        <f>IF(BR93="NO",5,0)</f>
        <v/>
      </c>
      <c r="BT93" s="31" t="n"/>
      <c r="BU93" s="31">
        <f>IF(BT93="Above 2",0,IF(BT93="Between 1.5 to 2",5,IF(BT93="Less than 1.5",10,0)))</f>
        <v/>
      </c>
      <c r="BV93" s="31" t="n"/>
      <c r="BW93" s="31">
        <f>IF(BV93="Above 70%",10,IF(BV93="Between 50% to 70%",5,IF(BV93="Less than 50%",0,IF(BV93="Negative",-10,IF(BV93="Less than 50% and Borrowings are increasing",-5,0)))))</f>
        <v/>
      </c>
      <c r="BX93" s="31" t="n"/>
      <c r="BY93" s="31">
        <f>IF(BX93="More than 1.2",-10,IF(BX93="Between 0.7 to 1.2",0,IF(BX93="Less than 0.7",10,0)))</f>
        <v/>
      </c>
      <c r="BZ93" s="31" t="n"/>
      <c r="CA93" s="31">
        <f>IF(BZ93="Yes",-10,0)</f>
        <v/>
      </c>
      <c r="CB93" s="31" t="n"/>
      <c r="CC93" s="31">
        <f>IF(CB93="More than 15%",-10,IF(CB93="Less than 15%",10,0))</f>
        <v/>
      </c>
      <c r="CD93" s="31" t="n"/>
      <c r="CE93" s="31">
        <f>IF(CD93="Yes, more than 10%",-10,IF(CD93="No",10,0))</f>
        <v/>
      </c>
      <c r="CF93" s="31" t="n"/>
      <c r="CG93" s="31">
        <f>IF(CF93&gt;20,10,IF(CF93&gt;=10,5,2))</f>
        <v/>
      </c>
    </row>
    <row r="94">
      <c r="A94" s="31">
        <f>IF(B94=0,"",RANK(B94,$B$2:$B$97,0))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1" t="inlineStr">
        <is>
          <t>AXISOL</t>
        </is>
      </c>
      <c r="D94" s="31" t="inlineStr">
        <is>
          <t>Axis Solutions Ltd</t>
        </is>
      </c>
      <c r="E94" s="31" t="inlineStr">
        <is>
          <t>unknown</t>
        </is>
      </c>
      <c r="F94" s="31" t="inlineStr">
        <is>
          <t>Engineering - Light - General</t>
        </is>
      </c>
      <c r="G94" s="31" t="inlineStr">
        <is>
          <t>smallcap</t>
        </is>
      </c>
      <c r="H94" s="32" t="n">
        <v>2912.65</v>
      </c>
      <c r="I94" s="32" t="n">
        <v>616.3</v>
      </c>
      <c r="J94" s="32" t="n">
        <v>-2</v>
      </c>
      <c r="K94" s="32" t="n">
        <v>0</v>
      </c>
      <c r="L94" s="31" t="inlineStr"/>
      <c r="M94" s="31" t="inlineStr"/>
      <c r="N94" s="32">
        <f>IF(M94="Underperforming",-5,IF(L94&gt;=95,15,IF(L94&gt;=90,10,IF(L94&gt;=80,5,0))))</f>
        <v/>
      </c>
      <c r="O94" s="32" t="inlineStr"/>
      <c r="P94" s="32" t="inlineStr"/>
      <c r="Q94" s="32" t="inlineStr"/>
      <c r="R94" s="31" t="inlineStr"/>
      <c r="S94" s="31" t="inlineStr"/>
      <c r="T94" s="32" t="inlineStr"/>
      <c r="U94" s="32" t="inlineStr"/>
      <c r="V94" s="32" t="inlineStr"/>
      <c r="W94" s="32" t="inlineStr"/>
      <c r="X94" s="31" t="n"/>
      <c r="Y94" s="31">
        <f>IF(X94="Growing Industry",10,IF(X94="Cyclical in an Upturn",5,0))</f>
        <v/>
      </c>
      <c r="Z94" s="31" t="n"/>
      <c r="AA94" s="31">
        <f>IF(Z94="Monopoly",10,IF(Z94="Oligopoly",5,IF(Z94="Duopoly that cooperate",10,IF(Z94="Duopoly that compete",5,IF(Z94="Too many players with High ROCE",5,0)))))</f>
        <v/>
      </c>
      <c r="AB94" s="31" t="n"/>
      <c r="AC94" s="31">
        <f>IF(AB94="No",5,0)</f>
        <v/>
      </c>
      <c r="AD94" s="31" t="n"/>
      <c r="AE94" s="31">
        <f>IF(AD94="Tailwind",10,0)</f>
        <v/>
      </c>
      <c r="AF94" s="31" t="n"/>
      <c r="AG94" s="31">
        <f>IF(AF94="Structural (10 Years Consistency)",10,IF(AF94="Shallow Cyclical (2 to 3 years growth)",5,0))</f>
        <v/>
      </c>
      <c r="AH94" s="31" t="n"/>
      <c r="AI94" s="31">
        <f>IF(AH94="Yes due to Product Mix change or Operating Leverage",10,IF(AH94="Yes, these are peak margins",-5,IF(AH94="No",5,0)))</f>
        <v/>
      </c>
      <c r="AJ94" s="31" t="n"/>
      <c r="AK94" s="31">
        <f>IF(AJ94="Stable",10,0)</f>
        <v/>
      </c>
      <c r="AL94" s="31" t="n"/>
      <c r="AM94" s="31">
        <f>IF(AL94="Yes",10,0)</f>
        <v/>
      </c>
      <c r="AN94" s="31" t="n"/>
      <c r="AO94" s="31">
        <f>IF(AN94="B2C",10,IF(AN94="B2B",5,0))</f>
        <v/>
      </c>
      <c r="AP94" s="31" t="n"/>
      <c r="AQ94" s="31">
        <f>IF(AP94="Yes",10,0)</f>
        <v/>
      </c>
      <c r="AR94" s="31" t="n"/>
      <c r="AS94" s="31">
        <f>IF(AR94="Fully Annuity",10,IF(AR94="Higher Annuity, Lower One Time",5,IF(AR94="Higher One Time, Lower Annuity",3,0)))</f>
        <v/>
      </c>
      <c r="AT94" s="31" t="n"/>
      <c r="AU94" s="31">
        <f>IF(AT94="Good",10,0)</f>
        <v/>
      </c>
      <c r="AV94" s="31" t="n"/>
      <c r="AW94" s="31">
        <f>IF(AV94="Yes for more than 2 years",10,IF(AV94="Yes only for next 1 to 2 years",5,0))</f>
        <v/>
      </c>
      <c r="AX94" s="31" t="n"/>
      <c r="AY94" s="31">
        <f>IF(AX94="Above 40",20,IF(AX94="20 to 40",10,IF(AX94="0 to 20",-5,0)))</f>
        <v/>
      </c>
      <c r="AZ94" s="31" t="n"/>
      <c r="BA94" s="31">
        <f>IF(AZ94="Between 50 to 75",10,IF(AZ94="Above 75",0,0))</f>
        <v/>
      </c>
      <c r="BB94" s="31" t="n"/>
      <c r="BC94" s="31">
        <f>IF(BB94="Stage 2",20,IF(BB94="Stage 1",0,IF(BB94="Stage 3",5,IF(BB94="Stage 4",-5,0))))</f>
        <v/>
      </c>
      <c r="BD94" s="31" t="n"/>
      <c r="BE94" s="31">
        <f>IF(BD94="Positive Trend",20,IF(BD94="Negative Trend",-10,0))</f>
        <v/>
      </c>
      <c r="BF94" s="31" t="n"/>
      <c r="BG94" s="31">
        <f>IF(BF94="Uptrend",10,IF(BF94="Sideways",5,0))</f>
        <v/>
      </c>
      <c r="BH94" s="31" t="n"/>
      <c r="BI94" s="31">
        <f>IF(BH94="Uptrend",10,IF(BH94="Sideways",5,0))</f>
        <v/>
      </c>
      <c r="BJ94" s="31" t="n"/>
      <c r="BK94" s="31">
        <f>IF(BJ94="Overhead supply in last 2 years in last 2 years",-5,IF(BJ94="Close to 52 week high or retracement",5,IF(BJ94="Blue sky scenario",10,IF(BJ94="Long term Downtrend",-10,0))))</f>
        <v/>
      </c>
      <c r="BL94" s="31" t="n"/>
      <c r="BM94" s="31">
        <f>IF(BL94="Yes",10,0)</f>
        <v/>
      </c>
      <c r="BN94" s="31" t="n"/>
      <c r="BO94" s="31">
        <f>IF(BN94="More than 20%",10,IF(BN94="Between 12 to 20%",5,IF(BN94="Less than 12%",0,0)))</f>
        <v/>
      </c>
      <c r="BP94" s="31" t="n"/>
      <c r="BQ94" s="31">
        <f>IF(BP94="No",10,0)</f>
        <v/>
      </c>
      <c r="BR94" s="31" t="n"/>
      <c r="BS94" s="31">
        <f>IF(BR94="NO",5,0)</f>
        <v/>
      </c>
      <c r="BT94" s="31" t="n"/>
      <c r="BU94" s="31">
        <f>IF(BT94="Above 2",0,IF(BT94="Between 1.5 to 2",5,IF(BT94="Less than 1.5",10,0)))</f>
        <v/>
      </c>
      <c r="BV94" s="31" t="n"/>
      <c r="BW94" s="31">
        <f>IF(BV94="Above 70%",10,IF(BV94="Between 50% to 70%",5,IF(BV94="Less than 50%",0,IF(BV94="Negative",-10,IF(BV94="Less than 50% and Borrowings are increasing",-5,0)))))</f>
        <v/>
      </c>
      <c r="BX94" s="31" t="n"/>
      <c r="BY94" s="31">
        <f>IF(BX94="More than 1.2",-10,IF(BX94="Between 0.7 to 1.2",0,IF(BX94="Less than 0.7",10,0)))</f>
        <v/>
      </c>
      <c r="BZ94" s="31" t="n"/>
      <c r="CA94" s="31">
        <f>IF(BZ94="Yes",-10,0)</f>
        <v/>
      </c>
      <c r="CB94" s="31" t="n"/>
      <c r="CC94" s="31">
        <f>IF(CB94="More than 15%",-10,IF(CB94="Less than 15%",10,0))</f>
        <v/>
      </c>
      <c r="CD94" s="31" t="n"/>
      <c r="CE94" s="31">
        <f>IF(CD94="Yes, more than 10%",-10,IF(CD94="No",10,0))</f>
        <v/>
      </c>
      <c r="CF94" s="31" t="n"/>
      <c r="CG94" s="31">
        <f>IF(CF94&gt;20,10,IF(CF94&gt;=10,5,2))</f>
        <v/>
      </c>
    </row>
    <row r="95">
      <c r="A95" s="31">
        <f>IF(B95=0,"",RANK(B95,$B$2:$B$97,0))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MONOLITH</t>
        </is>
      </c>
      <c r="D95" s="31" t="inlineStr">
        <is>
          <t>Monolithisch India Ltd</t>
        </is>
      </c>
      <c r="E95" s="31" t="inlineStr">
        <is>
          <t>unknown</t>
        </is>
      </c>
      <c r="F95" s="31" t="inlineStr">
        <is>
          <t>Refractories</t>
        </is>
      </c>
      <c r="G95" s="31" t="inlineStr">
        <is>
          <t>smallcap</t>
        </is>
      </c>
      <c r="H95" s="32" t="n">
        <v>2304.02</v>
      </c>
      <c r="I95" s="32" t="n">
        <v>1060</v>
      </c>
      <c r="J95" s="32" t="n">
        <v>6.06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inlineStr"/>
      <c r="P95" s="32" t="inlineStr"/>
      <c r="Q95" s="32" t="inlineStr"/>
      <c r="R95" s="31" t="inlineStr"/>
      <c r="S95" s="31" t="inlineStr"/>
      <c r="T95" s="32" t="inlineStr"/>
      <c r="U95" s="32" t="inlineStr"/>
      <c r="V95" s="32" t="inlineStr"/>
      <c r="W95" s="32" t="inlineStr"/>
      <c r="X95" s="31" t="n"/>
      <c r="Y95" s="31">
        <f>IF(X95="Growing Industry",10,IF(X95="Cyclical in an Upturn",5,0))</f>
        <v/>
      </c>
      <c r="Z95" s="31" t="n"/>
      <c r="AA95" s="31">
        <f>IF(Z95="Monopoly",10,IF(Z95="Oligopoly",5,IF(Z95="Duopoly that cooperate",10,IF(Z95="Duopoly that compete",5,IF(Z95="Too many players with High ROCE",5,0)))))</f>
        <v/>
      </c>
      <c r="AB95" s="31" t="n"/>
      <c r="AC95" s="31">
        <f>IF(AB95="No",5,0)</f>
        <v/>
      </c>
      <c r="AD95" s="31" t="n"/>
      <c r="AE95" s="31">
        <f>IF(AD95="Tailwind",10,0)</f>
        <v/>
      </c>
      <c r="AF95" s="31" t="n"/>
      <c r="AG95" s="31">
        <f>IF(AF95="Structural (10 Years Consistency)",10,IF(AF95="Shallow Cyclical (2 to 3 years growth)",5,0))</f>
        <v/>
      </c>
      <c r="AH95" s="31" t="n"/>
      <c r="AI95" s="31">
        <f>IF(AH95="Yes due to Product Mix change or Operating Leverage",10,IF(AH95="Yes, these are peak margins",-5,IF(AH95="No",5,0)))</f>
        <v/>
      </c>
      <c r="AJ95" s="31" t="n"/>
      <c r="AK95" s="31">
        <f>IF(AJ95="Stable",10,0)</f>
        <v/>
      </c>
      <c r="AL95" s="31" t="n"/>
      <c r="AM95" s="31">
        <f>IF(AL95="Yes",10,0)</f>
        <v/>
      </c>
      <c r="AN95" s="31" t="n"/>
      <c r="AO95" s="31">
        <f>IF(AN95="B2C",10,IF(AN95="B2B",5,0))</f>
        <v/>
      </c>
      <c r="AP95" s="31" t="n"/>
      <c r="AQ95" s="31">
        <f>IF(AP95="Yes",10,0)</f>
        <v/>
      </c>
      <c r="AR95" s="31" t="n"/>
      <c r="AS95" s="31">
        <f>IF(AR95="Fully Annuity",10,IF(AR95="Higher Annuity, Lower One Time",5,IF(AR95="Higher One Time, Lower Annuity",3,0)))</f>
        <v/>
      </c>
      <c r="AT95" s="31" t="n"/>
      <c r="AU95" s="31">
        <f>IF(AT95="Good",10,0)</f>
        <v/>
      </c>
      <c r="AV95" s="31" t="n"/>
      <c r="AW95" s="31">
        <f>IF(AV95="Yes for more than 2 years",10,IF(AV95="Yes only for next 1 to 2 years",5,0))</f>
        <v/>
      </c>
      <c r="AX95" s="31" t="n"/>
      <c r="AY95" s="31">
        <f>IF(AX95="Above 40",20,IF(AX95="20 to 40",10,IF(AX95="0 to 20",-5,0)))</f>
        <v/>
      </c>
      <c r="AZ95" s="31" t="n"/>
      <c r="BA95" s="31">
        <f>IF(AZ95="Between 50 to 75",10,IF(AZ95="Above 75",0,0))</f>
        <v/>
      </c>
      <c r="BB95" s="31" t="n"/>
      <c r="BC95" s="31">
        <f>IF(BB95="Stage 2",20,IF(BB95="Stage 1",0,IF(BB95="Stage 3",5,IF(BB95="Stage 4",-5,0))))</f>
        <v/>
      </c>
      <c r="BD95" s="31" t="n"/>
      <c r="BE95" s="31">
        <f>IF(BD95="Positive Trend",20,IF(BD95="Negative Trend",-10,0))</f>
        <v/>
      </c>
      <c r="BF95" s="31" t="n"/>
      <c r="BG95" s="31">
        <f>IF(BF95="Uptrend",10,IF(BF95="Sideways",5,0))</f>
        <v/>
      </c>
      <c r="BH95" s="31" t="n"/>
      <c r="BI95" s="31">
        <f>IF(BH95="Uptrend",10,IF(BH95="Sideways",5,0))</f>
        <v/>
      </c>
      <c r="BJ95" s="31" t="n"/>
      <c r="BK95" s="31">
        <f>IF(BJ95="Overhead supply in last 2 years in last 2 years",-5,IF(BJ95="Close to 52 week high or retracement",5,IF(BJ95="Blue sky scenario",10,IF(BJ95="Long term Downtrend",-10,0))))</f>
        <v/>
      </c>
      <c r="BL95" s="31" t="n"/>
      <c r="BM95" s="31">
        <f>IF(BL95="Yes",10,0)</f>
        <v/>
      </c>
      <c r="BN95" s="31" t="n"/>
      <c r="BO95" s="31">
        <f>IF(BN95="More than 20%",10,IF(BN95="Between 12 to 20%",5,IF(BN95="Less than 12%",0,0)))</f>
        <v/>
      </c>
      <c r="BP95" s="31" t="n"/>
      <c r="BQ95" s="31">
        <f>IF(BP95="No",10,0)</f>
        <v/>
      </c>
      <c r="BR95" s="31" t="n"/>
      <c r="BS95" s="31">
        <f>IF(BR95="NO",5,0)</f>
        <v/>
      </c>
      <c r="BT95" s="31" t="n"/>
      <c r="BU95" s="31">
        <f>IF(BT95="Above 2",0,IF(BT95="Between 1.5 to 2",5,IF(BT95="Less than 1.5",10,0)))</f>
        <v/>
      </c>
      <c r="BV95" s="31" t="n"/>
      <c r="BW95" s="31">
        <f>IF(BV95="Above 70%",10,IF(BV95="Between 50% to 70%",5,IF(BV95="Less than 50%",0,IF(BV95="Negative",-10,IF(BV95="Less than 50% and Borrowings are increasing",-5,0)))))</f>
        <v/>
      </c>
      <c r="BX95" s="31" t="n"/>
      <c r="BY95" s="31">
        <f>IF(BX95="More than 1.2",-10,IF(BX95="Between 0.7 to 1.2",0,IF(BX95="Less than 0.7",10,0)))</f>
        <v/>
      </c>
      <c r="BZ95" s="31" t="n"/>
      <c r="CA95" s="31">
        <f>IF(BZ95="Yes",-10,0)</f>
        <v/>
      </c>
      <c r="CB95" s="31" t="n"/>
      <c r="CC95" s="31">
        <f>IF(CB95="More than 15%",-10,IF(CB95="Less than 15%",10,0))</f>
        <v/>
      </c>
      <c r="CD95" s="31" t="n"/>
      <c r="CE95" s="31">
        <f>IF(CD95="Yes, more than 10%",-10,IF(CD95="No",10,0))</f>
        <v/>
      </c>
      <c r="CF95" s="31" t="n"/>
      <c r="CG95" s="31">
        <f>IF(CF95&gt;20,10,IF(CF95&gt;=10,5,2))</f>
        <v/>
      </c>
    </row>
    <row r="96">
      <c r="A96" s="31">
        <f>IF(B96=0,"",RANK(B96,$B$2:$B$97,0))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BHEL</t>
        </is>
      </c>
      <c r="D96" s="31" t="inlineStr">
        <is>
          <t>Bharat Heavy Electricals Ltd</t>
        </is>
      </c>
      <c r="E96" s="31" t="inlineStr">
        <is>
          <t>unknown</t>
        </is>
      </c>
      <c r="F96" s="31" t="inlineStr">
        <is>
          <t>Capital Goods - Engineering Heavy</t>
        </is>
      </c>
      <c r="G96" s="31" t="inlineStr">
        <is>
          <t>largecap</t>
        </is>
      </c>
      <c r="H96" s="32" t="n">
        <v>143252.09</v>
      </c>
      <c r="I96" s="32" t="n">
        <v>411.4</v>
      </c>
      <c r="J96" s="32" t="n">
        <v>-0.39</v>
      </c>
      <c r="K96" s="32" t="n">
        <v>0</v>
      </c>
      <c r="L96" s="31" t="inlineStr"/>
      <c r="M96" s="31" t="inlineStr"/>
      <c r="N96" s="32">
        <f>IF(M96="Underperforming",-5,IF(L96&gt;=95,15,IF(L96&gt;=90,10,IF(L96&gt;=80,5,0))))</f>
        <v/>
      </c>
      <c r="O96" s="32" t="inlineStr"/>
      <c r="P96" s="32" t="inlineStr"/>
      <c r="Q96" s="32" t="inlineStr"/>
      <c r="R96" s="31" t="inlineStr"/>
      <c r="S96" s="31" t="inlineStr"/>
      <c r="T96" s="32" t="inlineStr"/>
      <c r="U96" s="32" t="inlineStr"/>
      <c r="V96" s="32" t="inlineStr"/>
      <c r="W96" s="32" t="inlineStr"/>
      <c r="X96" s="31" t="n"/>
      <c r="Y96" s="31">
        <f>IF(X96="Growing Industry",10,IF(X96="Cyclical in an Upturn",5,0))</f>
        <v/>
      </c>
      <c r="Z96" s="31" t="n"/>
      <c r="AA96" s="31">
        <f>IF(Z96="Monopoly",10,IF(Z96="Oligopoly",5,IF(Z96="Duopoly that cooperate",10,IF(Z96="Duopoly that compete",5,IF(Z96="Too many players with High ROCE",5,0)))))</f>
        <v/>
      </c>
      <c r="AB96" s="31" t="n"/>
      <c r="AC96" s="31">
        <f>IF(AB96="No",5,0)</f>
        <v/>
      </c>
      <c r="AD96" s="31" t="n"/>
      <c r="AE96" s="31">
        <f>IF(AD96="Tailwind",10,0)</f>
        <v/>
      </c>
      <c r="AF96" s="31" t="n"/>
      <c r="AG96" s="31">
        <f>IF(AF96="Structural (10 Years Consistency)",10,IF(AF96="Shallow Cyclical (2 to 3 years growth)",5,0))</f>
        <v/>
      </c>
      <c r="AH96" s="31" t="n"/>
      <c r="AI96" s="31">
        <f>IF(AH96="Yes due to Product Mix change or Operating Leverage",10,IF(AH96="Yes, these are peak margins",-5,IF(AH96="No",5,0)))</f>
        <v/>
      </c>
      <c r="AJ96" s="31" t="n"/>
      <c r="AK96" s="31">
        <f>IF(AJ96="Stable",10,0)</f>
        <v/>
      </c>
      <c r="AL96" s="31" t="n"/>
      <c r="AM96" s="31">
        <f>IF(AL96="Yes",10,0)</f>
        <v/>
      </c>
      <c r="AN96" s="31" t="n"/>
      <c r="AO96" s="31">
        <f>IF(AN96="B2C",10,IF(AN96="B2B",5,0))</f>
        <v/>
      </c>
      <c r="AP96" s="31" t="n"/>
      <c r="AQ96" s="31">
        <f>IF(AP96="Yes",10,0)</f>
        <v/>
      </c>
      <c r="AR96" s="31" t="n"/>
      <c r="AS96" s="31">
        <f>IF(AR96="Fully Annuity",10,IF(AR96="Higher Annuity, Lower One Time",5,IF(AR96="Higher One Time, Lower Annuity",3,0)))</f>
        <v/>
      </c>
      <c r="AT96" s="31" t="n"/>
      <c r="AU96" s="31">
        <f>IF(AT96="Good",10,0)</f>
        <v/>
      </c>
      <c r="AV96" s="31" t="n"/>
      <c r="AW96" s="31">
        <f>IF(AV96="Yes for more than 2 years",10,IF(AV96="Yes only for next 1 to 2 years",5,0))</f>
        <v/>
      </c>
      <c r="AX96" s="31" t="n"/>
      <c r="AY96" s="31">
        <f>IF(AX96="Above 40",20,IF(AX96="20 to 40",10,IF(AX96="0 to 20",-5,0)))</f>
        <v/>
      </c>
      <c r="AZ96" s="31" t="n"/>
      <c r="BA96" s="31">
        <f>IF(AZ96="Between 50 to 75",10,IF(AZ96="Above 75",0,0))</f>
        <v/>
      </c>
      <c r="BB96" s="31" t="n"/>
      <c r="BC96" s="31">
        <f>IF(BB96="Stage 2",20,IF(BB96="Stage 1",0,IF(BB96="Stage 3",5,IF(BB96="Stage 4",-5,0))))</f>
        <v/>
      </c>
      <c r="BD96" s="31" t="n"/>
      <c r="BE96" s="31">
        <f>IF(BD96="Positive Trend",20,IF(BD96="Negative Trend",-10,0))</f>
        <v/>
      </c>
      <c r="BF96" s="31" t="n"/>
      <c r="BG96" s="31">
        <f>IF(BF96="Uptrend",10,IF(BF96="Sideways",5,0))</f>
        <v/>
      </c>
      <c r="BH96" s="31" t="n"/>
      <c r="BI96" s="31">
        <f>IF(BH96="Uptrend",10,IF(BH96="Sideways",5,0))</f>
        <v/>
      </c>
      <c r="BJ96" s="31" t="n"/>
      <c r="BK96" s="31">
        <f>IF(BJ96="Overhead supply in last 2 years in last 2 years",-5,IF(BJ96="Close to 52 week high or retracement",5,IF(BJ96="Blue sky scenario",10,IF(BJ96="Long term Downtrend",-10,0))))</f>
        <v/>
      </c>
      <c r="BL96" s="31" t="n"/>
      <c r="BM96" s="31">
        <f>IF(BL96="Yes",10,0)</f>
        <v/>
      </c>
      <c r="BN96" s="31" t="n"/>
      <c r="BO96" s="31">
        <f>IF(BN96="More than 20%",10,IF(BN96="Between 12 to 20%",5,IF(BN96="Less than 12%",0,0)))</f>
        <v/>
      </c>
      <c r="BP96" s="31" t="n"/>
      <c r="BQ96" s="31">
        <f>IF(BP96="No",10,0)</f>
        <v/>
      </c>
      <c r="BR96" s="31" t="n"/>
      <c r="BS96" s="31">
        <f>IF(BR96="NO",5,0)</f>
        <v/>
      </c>
      <c r="BT96" s="31" t="n"/>
      <c r="BU96" s="31">
        <f>IF(BT96="Above 2",0,IF(BT96="Between 1.5 to 2",5,IF(BT96="Less than 1.5",10,0)))</f>
        <v/>
      </c>
      <c r="BV96" s="31" t="n"/>
      <c r="BW96" s="31">
        <f>IF(BV96="Above 70%",10,IF(BV96="Between 50% to 70%",5,IF(BV96="Less than 50%",0,IF(BV96="Negative",-10,IF(BV96="Less than 50% and Borrowings are increasing",-5,0)))))</f>
        <v/>
      </c>
      <c r="BX96" s="31" t="n"/>
      <c r="BY96" s="31">
        <f>IF(BX96="More than 1.2",-10,IF(BX96="Between 0.7 to 1.2",0,IF(BX96="Less than 0.7",10,0)))</f>
        <v/>
      </c>
      <c r="BZ96" s="31" t="n"/>
      <c r="CA96" s="31">
        <f>IF(BZ96="Yes",-10,0)</f>
        <v/>
      </c>
      <c r="CB96" s="31" t="n"/>
      <c r="CC96" s="31">
        <f>IF(CB96="More than 15%",-10,IF(CB96="Less than 15%",10,0))</f>
        <v/>
      </c>
      <c r="CD96" s="31" t="n"/>
      <c r="CE96" s="31">
        <f>IF(CD96="Yes, more than 10%",-10,IF(CD96="No",10,0))</f>
        <v/>
      </c>
      <c r="CF96" s="31" t="n"/>
      <c r="CG96" s="31">
        <f>IF(CF96&gt;20,10,IF(CF96&gt;=10,5,2))</f>
        <v/>
      </c>
    </row>
    <row r="97">
      <c r="A97" s="31">
        <f>IF(B97=0,"",RANK(B97,$B$2:$B$97,0))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1" t="inlineStr">
        <is>
          <t>GOLDIAM</t>
        </is>
      </c>
      <c r="D97" s="31" t="inlineStr">
        <is>
          <t>Goldiam International Ltd</t>
        </is>
      </c>
      <c r="E97" s="31" t="inlineStr">
        <is>
          <t>unknown</t>
        </is>
      </c>
      <c r="F97" s="31" t="inlineStr">
        <is>
          <t>Lab Grown Diamonds</t>
        </is>
      </c>
      <c r="G97" s="31" t="inlineStr">
        <is>
          <t>midcap</t>
        </is>
      </c>
      <c r="H97" s="32" t="n">
        <v>5405</v>
      </c>
      <c r="I97" s="32" t="n">
        <v>359</v>
      </c>
      <c r="J97" s="32" t="n">
        <v>-0.37</v>
      </c>
      <c r="K97" s="32" t="n">
        <v>0</v>
      </c>
      <c r="L97" s="31" t="inlineStr"/>
      <c r="M97" s="31" t="inlineStr"/>
      <c r="N97" s="32">
        <f>IF(M97="Underperforming",-5,IF(L97&gt;=95,15,IF(L97&gt;=90,10,IF(L97&gt;=80,5,0))))</f>
        <v/>
      </c>
      <c r="O97" s="32" t="inlineStr"/>
      <c r="P97" s="32" t="inlineStr"/>
      <c r="Q97" s="32" t="inlineStr"/>
      <c r="R97" s="31" t="inlineStr"/>
      <c r="S97" s="31" t="inlineStr"/>
      <c r="T97" s="32" t="inlineStr"/>
      <c r="U97" s="32" t="inlineStr"/>
      <c r="V97" s="32" t="inlineStr"/>
      <c r="W97" s="32" t="inlineStr"/>
      <c r="X97" s="31" t="n"/>
      <c r="Y97" s="31">
        <f>IF(X97="Growing Industry",10,IF(X97="Cyclical in an Upturn",5,0))</f>
        <v/>
      </c>
      <c r="Z97" s="31" t="n"/>
      <c r="AA97" s="31">
        <f>IF(Z97="Monopoly",10,IF(Z97="Oligopoly",5,IF(Z97="Duopoly that cooperate",10,IF(Z97="Duopoly that compete",5,IF(Z97="Too many players with High ROCE",5,0)))))</f>
        <v/>
      </c>
      <c r="AB97" s="31" t="n"/>
      <c r="AC97" s="31">
        <f>IF(AB97="No",5,0)</f>
        <v/>
      </c>
      <c r="AD97" s="31" t="n"/>
      <c r="AE97" s="31">
        <f>IF(AD97="Tailwind",10,0)</f>
        <v/>
      </c>
      <c r="AF97" s="31" t="n"/>
      <c r="AG97" s="31">
        <f>IF(AF97="Structural (10 Years Consistency)",10,IF(AF97="Shallow Cyclical (2 to 3 years growth)",5,0))</f>
        <v/>
      </c>
      <c r="AH97" s="31" t="n"/>
      <c r="AI97" s="31">
        <f>IF(AH97="Yes due to Product Mix change or Operating Leverage",10,IF(AH97="Yes, these are peak margins",-5,IF(AH97="No",5,0)))</f>
        <v/>
      </c>
      <c r="AJ97" s="31" t="n"/>
      <c r="AK97" s="31">
        <f>IF(AJ97="Stable",10,0)</f>
        <v/>
      </c>
      <c r="AL97" s="31" t="n"/>
      <c r="AM97" s="31">
        <f>IF(AL97="Yes",10,0)</f>
        <v/>
      </c>
      <c r="AN97" s="31" t="n"/>
      <c r="AO97" s="31">
        <f>IF(AN97="B2C",10,IF(AN97="B2B",5,0))</f>
        <v/>
      </c>
      <c r="AP97" s="31" t="n"/>
      <c r="AQ97" s="31">
        <f>IF(AP97="Yes",10,0)</f>
        <v/>
      </c>
      <c r="AR97" s="31" t="n"/>
      <c r="AS97" s="31">
        <f>IF(AR97="Fully Annuity",10,IF(AR97="Higher Annuity, Lower One Time",5,IF(AR97="Higher One Time, Lower Annuity",3,0)))</f>
        <v/>
      </c>
      <c r="AT97" s="31" t="n"/>
      <c r="AU97" s="31">
        <f>IF(AT97="Good",10,0)</f>
        <v/>
      </c>
      <c r="AV97" s="31" t="n"/>
      <c r="AW97" s="31">
        <f>IF(AV97="Yes for more than 2 years",10,IF(AV97="Yes only for next 1 to 2 years",5,0))</f>
        <v/>
      </c>
      <c r="AX97" s="31" t="n"/>
      <c r="AY97" s="31">
        <f>IF(AX97="Above 40",20,IF(AX97="20 to 40",10,IF(AX97="0 to 20",-5,0)))</f>
        <v/>
      </c>
      <c r="AZ97" s="31" t="n"/>
      <c r="BA97" s="31">
        <f>IF(AZ97="Between 50 to 75",10,IF(AZ97="Above 75",0,0))</f>
        <v/>
      </c>
      <c r="BB97" s="31" t="n"/>
      <c r="BC97" s="31">
        <f>IF(BB97="Stage 2",20,IF(BB97="Stage 1",0,IF(BB97="Stage 3",5,IF(BB97="Stage 4",-5,0))))</f>
        <v/>
      </c>
      <c r="BD97" s="31" t="n"/>
      <c r="BE97" s="31">
        <f>IF(BD97="Positive Trend",20,IF(BD97="Negative Trend",-10,0))</f>
        <v/>
      </c>
      <c r="BF97" s="31" t="n"/>
      <c r="BG97" s="31">
        <f>IF(BF97="Uptrend",10,IF(BF97="Sideways",5,0))</f>
        <v/>
      </c>
      <c r="BH97" s="31" t="n"/>
      <c r="BI97" s="31">
        <f>IF(BH97="Uptrend",10,IF(BH97="Sideways",5,0))</f>
        <v/>
      </c>
      <c r="BJ97" s="31" t="n"/>
      <c r="BK97" s="31">
        <f>IF(BJ97="Overhead supply in last 2 years in last 2 years",-5,IF(BJ97="Close to 52 week high or retracement",5,IF(BJ97="Blue sky scenario",10,IF(BJ97="Long term Downtrend",-10,0))))</f>
        <v/>
      </c>
      <c r="BL97" s="31" t="n"/>
      <c r="BM97" s="31">
        <f>IF(BL97="Yes",10,0)</f>
        <v/>
      </c>
      <c r="BN97" s="31" t="n"/>
      <c r="BO97" s="31">
        <f>IF(BN97="More than 20%",10,IF(BN97="Between 12 to 20%",5,IF(BN97="Less than 12%",0,0)))</f>
        <v/>
      </c>
      <c r="BP97" s="31" t="n"/>
      <c r="BQ97" s="31">
        <f>IF(BP97="No",10,0)</f>
        <v/>
      </c>
      <c r="BR97" s="31" t="n"/>
      <c r="BS97" s="31">
        <f>IF(BR97="NO",5,0)</f>
        <v/>
      </c>
      <c r="BT97" s="31" t="n"/>
      <c r="BU97" s="31">
        <f>IF(BT97="Above 2",0,IF(BT97="Between 1.5 to 2",5,IF(BT97="Less than 1.5",10,0)))</f>
        <v/>
      </c>
      <c r="BV97" s="31" t="n"/>
      <c r="BW97" s="31">
        <f>IF(BV97="Above 70%",10,IF(BV97="Between 50% to 70%",5,IF(BV97="Less than 50%",0,IF(BV97="Negative",-10,IF(BV97="Less than 50% and Borrowings are increasing",-5,0)))))</f>
        <v/>
      </c>
      <c r="BX97" s="31" t="n"/>
      <c r="BY97" s="31">
        <f>IF(BX97="More than 1.2",-10,IF(BX97="Between 0.7 to 1.2",0,IF(BX97="Less than 0.7",10,0)))</f>
        <v/>
      </c>
      <c r="BZ97" s="31" t="n"/>
      <c r="CA97" s="31">
        <f>IF(BZ97="Yes",-10,0)</f>
        <v/>
      </c>
      <c r="CB97" s="31" t="n"/>
      <c r="CC97" s="31">
        <f>IF(CB97="More than 15%",-10,IF(CB97="Less than 15%",10,0))</f>
        <v/>
      </c>
      <c r="CD97" s="31" t="n"/>
      <c r="CE97" s="31">
        <f>IF(CD97="Yes, more than 10%",-10,IF(CD97="No",10,0))</f>
        <v/>
      </c>
      <c r="CF97" s="31" t="n"/>
      <c r="CG97" s="31">
        <f>IF(CF97&gt;20,10,IF(CF97&gt;=10,5,2))</f>
        <v/>
      </c>
    </row>
  </sheetData>
  <autoFilter ref="A1:CG97"/>
  <conditionalFormatting sqref="B2:B9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7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7">
    <cfRule type="cellIs" priority="37" operator="equal" dxfId="3" stopIfTrue="1">
      <formula>"Underperforming"</formula>
    </cfRule>
  </conditionalFormatting>
  <conditionalFormatting sqref="N2:N97">
    <cfRule type="cellIs" priority="38" operator="equal" dxfId="3" stopIfTrue="1">
      <formula>-5</formula>
    </cfRule>
  </conditionalFormatting>
  <conditionalFormatting sqref="Q2:Q97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7" showDropDown="0" showInputMessage="0" showErrorMessage="0" allowBlank="1" type="list">
      <formula1>"Growing Industry,Stagnant Industry,Cyclical in an Upturn"</formula1>
    </dataValidation>
    <dataValidation sqref="Z2:Z9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7" showDropDown="0" showInputMessage="0" showErrorMessage="0" allowBlank="1" type="list">
      <formula1>"Yes,No"</formula1>
    </dataValidation>
    <dataValidation sqref="AD2:AD97" showDropDown="0" showInputMessage="0" showErrorMessage="0" allowBlank="1" type="list">
      <formula1>"Tailwind,Headwind"</formula1>
    </dataValidation>
    <dataValidation sqref="AF2:AF97" showDropDown="0" showInputMessage="0" showErrorMessage="0" allowBlank="1" type="list">
      <formula1>"Structural (10 Years Consistency),Shallow Cyclical (2 to 3 Years Growth),Cyclical"</formula1>
    </dataValidation>
    <dataValidation sqref="AH2:AH97" showDropDown="0" showInputMessage="0" showErrorMessage="0" allowBlank="1" type="list">
      <formula1>"Yes due to Product Mix change or Operating Leverage,Yes, these are peak margins,No"</formula1>
    </dataValidation>
    <dataValidation sqref="AJ2:AJ97" showDropDown="0" showInputMessage="0" showErrorMessage="0" allowBlank="1" type="list">
      <formula1>"Stable,Volatile"</formula1>
    </dataValidation>
    <dataValidation sqref="AL2:AL97" showDropDown="0" showInputMessage="0" showErrorMessage="0" allowBlank="1" type="list">
      <formula1>"Yes,No"</formula1>
    </dataValidation>
    <dataValidation sqref="AN2:AN97" showDropDown="0" showInputMessage="0" showErrorMessage="0" allowBlank="1" type="list">
      <formula1>"B2C,B2B,B2G"</formula1>
    </dataValidation>
    <dataValidation sqref="AP2:AP97" showDropDown="0" showInputMessage="0" showErrorMessage="0" allowBlank="1" type="list">
      <formula1>"Yes,No"</formula1>
    </dataValidation>
    <dataValidation sqref="AR2:AR97" showDropDown="0" showInputMessage="0" showErrorMessage="0" allowBlank="1" type="list">
      <formula1>"Fully Annuity,Higher Annuity, Lower One time,Higher One Time, Lower Annuity,Fully One Time"</formula1>
    </dataValidation>
    <dataValidation sqref="AT2:AT97" showDropDown="0" showInputMessage="0" showErrorMessage="0" allowBlank="1" type="list">
      <formula1>"Good,Allocated capital in Non-core Areas"</formula1>
    </dataValidation>
    <dataValidation sqref="AV2:AV97" showDropDown="0" showInputMessage="0" showErrorMessage="0" allowBlank="1" type="list">
      <formula1>"Yes for more than 2 years,Yes only for next 1 to 2 years,No"</formula1>
    </dataValidation>
    <dataValidation sqref="AX2:AX97" showDropDown="0" showInputMessage="0" showErrorMessage="0" allowBlank="1" type="list">
      <formula1>"Above 40,20 to 40,0 to 20"</formula1>
    </dataValidation>
    <dataValidation sqref="AZ2:AZ97" showDropDown="0" showInputMessage="0" showErrorMessage="0" allowBlank="1" type="list">
      <formula1>"Between 50 to 75,Above 75,Below 45"</formula1>
    </dataValidation>
    <dataValidation sqref="BB2:BB97" showDropDown="0" showInputMessage="0" showErrorMessage="0" allowBlank="1" type="list">
      <formula1>"Stage 1,Stage 2,Stage 3,Stage 4"</formula1>
    </dataValidation>
    <dataValidation sqref="BD2:BD97" showDropDown="0" showInputMessage="0" showErrorMessage="0" allowBlank="1" type="list">
      <formula1>"Positive Trend,Negative Trend"</formula1>
    </dataValidation>
    <dataValidation sqref="BF2:BF97" showDropDown="0" showInputMessage="0" showErrorMessage="0" allowBlank="1" type="list">
      <formula1>"Uptrend,Sideways,Downtrend"</formula1>
    </dataValidation>
    <dataValidation sqref="BH2:BH97" showDropDown="0" showInputMessage="0" showErrorMessage="0" allowBlank="1" type="list">
      <formula1>"Uptrend,Sideways,Downtrend"</formula1>
    </dataValidation>
    <dataValidation sqref="BJ2:BJ9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7" showDropDown="0" showInputMessage="0" showErrorMessage="0" allowBlank="1" type="list">
      <formula1>"Yes,No"</formula1>
    </dataValidation>
    <dataValidation sqref="BN2:BN97" showDropDown="0" showInputMessage="0" showErrorMessage="0" allowBlank="1" type="list">
      <formula1>"More than 20%,Between 12 to 20%,Less than 12%"</formula1>
    </dataValidation>
    <dataValidation sqref="BP2:BP97" showDropDown="0" showInputMessage="0" showErrorMessage="0" allowBlank="1" type="list">
      <formula1>"Yes,No"</formula1>
    </dataValidation>
    <dataValidation sqref="BR2:BR97" showDropDown="0" showInputMessage="0" showErrorMessage="0" allowBlank="1" type="list">
      <formula1>"Yes,No"</formula1>
    </dataValidation>
    <dataValidation sqref="BT2:BT97" showDropDown="0" showInputMessage="0" showErrorMessage="0" allowBlank="1" type="list">
      <formula1>"Above 2,Between 1.5 to 2,Less than 1.5"</formula1>
    </dataValidation>
    <dataValidation sqref="BV2:BV97" showDropDown="0" showInputMessage="0" showErrorMessage="0" allowBlank="1" type="list">
      <formula1>"Above 70%,Between 50% to 70%,Less than 50%,Less than 50% and Borrowings are increasing,Negative"</formula1>
    </dataValidation>
    <dataValidation sqref="BX2:BX97" showDropDown="0" showInputMessage="0" showErrorMessage="0" allowBlank="1" type="list">
      <formula1>"More than 1.2,Between 0.7 to 1.2,Less than 0.7"</formula1>
    </dataValidation>
    <dataValidation sqref="BZ2:BZ97" showDropDown="0" showInputMessage="0" showErrorMessage="0" allowBlank="1" type="list">
      <formula1>"Yes,No"</formula1>
    </dataValidation>
    <dataValidation sqref="CB2:CB97" showDropDown="0" showInputMessage="0" showErrorMessage="0" allowBlank="1" type="list">
      <formula1>"More than 15%,Less than 15%"</formula1>
    </dataValidation>
    <dataValidation sqref="CD2:CD9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IF(B2=0,"",RANK(B2,$B$2:$B$5,0))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UJJIVANSFB</t>
        </is>
      </c>
      <c r="D2" s="31" t="inlineStr">
        <is>
          <t>Ujjivan Small Finance Bank Ltd</t>
        </is>
      </c>
      <c r="E2" s="31" t="inlineStr">
        <is>
          <t>Financial Services</t>
        </is>
      </c>
      <c r="F2" s="31" t="inlineStr">
        <is>
          <t>Banks - Small Finance</t>
        </is>
      </c>
      <c r="G2" s="31" t="inlineStr">
        <is>
          <t>midcap</t>
        </is>
      </c>
      <c r="H2" s="32" t="n">
        <v>13698.24</v>
      </c>
      <c r="I2" s="32" t="n">
        <v>70.3</v>
      </c>
      <c r="J2" s="32" t="n">
        <v>-2.46</v>
      </c>
      <c r="K2" s="32" t="n">
        <v>0</v>
      </c>
      <c r="L2" s="31" t="n">
        <v>72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67.38</v>
      </c>
      <c r="P2" s="32" t="n">
        <v>41.66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4.74</v>
      </c>
      <c r="U2" s="32" t="n">
        <v>64.88</v>
      </c>
      <c r="V2" s="32" t="n">
        <v>57.42</v>
      </c>
      <c r="W2" s="32" t="n">
        <v>19.58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No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21</t>
        </is>
      </c>
      <c r="CC2" s="31">
        <f>IF(CB2&gt;20,10,IF(CB2&gt;=10,5,2))</f>
        <v/>
      </c>
    </row>
    <row r="3">
      <c r="A3" s="31">
        <f>IF(B3=0,"",RANK(B3,$B$2:$B$5,0))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TFCILTD</t>
        </is>
      </c>
      <c r="D3" s="31" t="inlineStr">
        <is>
          <t>Tourism Finance Corporation of India Ltd</t>
        </is>
      </c>
      <c r="E3" s="31" t="inlineStr">
        <is>
          <t>financials</t>
        </is>
      </c>
      <c r="F3" s="31" t="inlineStr">
        <is>
          <t>Finance - PSU Lending</t>
        </is>
      </c>
      <c r="G3" s="31" t="inlineStr">
        <is>
          <t>midcap</t>
        </is>
      </c>
      <c r="H3" s="32" t="n">
        <v>5995.56</v>
      </c>
      <c r="I3" s="32" t="n">
        <v>129.5</v>
      </c>
      <c r="J3" s="32" t="n">
        <v>-1.14</v>
      </c>
      <c r="K3" s="32" t="n">
        <v>0</v>
      </c>
      <c r="L3" s="31" t="n">
        <v>94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83.51000000000001</v>
      </c>
      <c r="P3" s="32" t="n">
        <v>58.31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4.74</v>
      </c>
      <c r="U3" s="32" t="n">
        <v>113.03</v>
      </c>
      <c r="V3" s="32" t="n">
        <v>103.4</v>
      </c>
      <c r="W3" s="32" t="n">
        <v>35.24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25</t>
        </is>
      </c>
      <c r="CC3" s="31">
        <f>IF(CB3&gt;20,10,IF(CB3&gt;=10,5,2))</f>
        <v/>
      </c>
    </row>
    <row r="4">
      <c r="A4" s="31">
        <f>IF(B4=0,"",RANK(B4,$B$2:$B$5,0))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IIFL</t>
        </is>
      </c>
      <c r="D4" s="31" t="inlineStr">
        <is>
          <t>IIFL Finance Ltd</t>
        </is>
      </c>
      <c r="E4" s="31" t="inlineStr">
        <is>
          <t>financials</t>
        </is>
      </c>
      <c r="F4" s="31" t="inlineStr">
        <is>
          <t>Finance &amp; Investments - Gold Loan</t>
        </is>
      </c>
      <c r="G4" s="31" t="inlineStr">
        <is>
          <t>largecap</t>
        </is>
      </c>
      <c r="H4" s="32" t="n">
        <v>29649.06</v>
      </c>
      <c r="I4" s="32" t="n">
        <v>697</v>
      </c>
      <c r="J4" s="32" t="n">
        <v>2.53</v>
      </c>
      <c r="K4" s="32" t="n">
        <v>0</v>
      </c>
      <c r="L4" s="31" t="n">
        <v>73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76.04000000000001</v>
      </c>
      <c r="P4" s="32" t="n">
        <v>25.06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4.74</v>
      </c>
      <c r="U4" s="32" t="n">
        <v>51.81</v>
      </c>
      <c r="V4" s="32" t="n">
        <v>44.95</v>
      </c>
      <c r="W4" s="32" t="n">
        <v>19.87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23</t>
        </is>
      </c>
      <c r="CC4" s="31">
        <f>IF(CB4&gt;20,10,IF(CB4&gt;=10,5,2))</f>
        <v/>
      </c>
    </row>
    <row r="5">
      <c r="A5" s="31">
        <f>IF(B5=0,"",RANK(B5,$B$2:$B$5,0))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OFSS</t>
        </is>
      </c>
      <c r="D5" s="31" t="inlineStr">
        <is>
          <t>Oracle Financial Services Software Ltd</t>
        </is>
      </c>
      <c r="E5" s="31" t="inlineStr">
        <is>
          <t>Technology</t>
        </is>
      </c>
      <c r="F5" s="31" t="inlineStr">
        <is>
          <t>IT Product Companies</t>
        </is>
      </c>
      <c r="G5" s="31" t="inlineStr">
        <is>
          <t>largecap</t>
        </is>
      </c>
      <c r="H5" s="32" t="n">
        <v>100302.35</v>
      </c>
      <c r="I5" s="32" t="n">
        <v>11518</v>
      </c>
      <c r="J5" s="32" t="n">
        <v>-1.76</v>
      </c>
      <c r="K5" s="32" t="n">
        <v>0</v>
      </c>
      <c r="L5" s="31" t="n">
        <v>59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67.90000000000001</v>
      </c>
      <c r="P5" s="32" t="n">
        <v>29.68</v>
      </c>
      <c r="Q5" s="32" t="inlineStr"/>
      <c r="R5" s="31" t="inlineStr">
        <is>
          <t>Earnings / Momentum Support</t>
        </is>
      </c>
      <c r="S5" s="31" t="inlineStr">
        <is>
          <t>Nifty IT</t>
        </is>
      </c>
      <c r="T5" s="32" t="n">
        <v>-13.85</v>
      </c>
      <c r="U5" s="32" t="n">
        <v>42.01</v>
      </c>
      <c r="V5" s="32" t="n">
        <v>64.84</v>
      </c>
      <c r="W5" s="32" t="n">
        <v>14.24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No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above 5x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20</t>
        </is>
      </c>
      <c r="CC5" s="31">
        <f>IF(CB5&gt;20,10,IF(CB5&gt;=10,5,2))</f>
        <v/>
      </c>
    </row>
  </sheetData>
  <autoFilter ref="A1:CC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5">
    <cfRule type="cellIs" priority="35" operator="equal" dxfId="3" stopIfTrue="1">
      <formula>"Underperforming"</formula>
    </cfRule>
  </conditionalFormatting>
  <conditionalFormatting sqref="N2:N5">
    <cfRule type="cellIs" priority="36" operator="equal" dxfId="3" stopIfTrue="1">
      <formula>-5</formula>
    </cfRule>
  </conditionalFormatting>
  <conditionalFormatting sqref="Q2:Q5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5" showDropDown="0" showInputMessage="0" showErrorMessage="0" allowBlank="1" type="list">
      <formula1>"Growing Industry,Stagnant Industry,Cyclical in an Upturn"</formula1>
    </dataValidation>
    <dataValidation sqref="Z2:Z5" showDropDown="0" showInputMessage="0" showErrorMessage="0" allowBlank="1" type="list">
      <formula1>"Fragmented with Low ROE,Fragmented with High ROE,Highly Cyclical"</formula1>
    </dataValidation>
    <dataValidation sqref="AB2:AB5" showDropDown="0" showInputMessage="0" showErrorMessage="0" allowBlank="1" type="list">
      <formula1>"Yes,No"</formula1>
    </dataValidation>
    <dataValidation sqref="AD2:AD5" showDropDown="0" showInputMessage="0" showErrorMessage="0" allowBlank="1" type="list">
      <formula1>"Tailwind,Headwind"</formula1>
    </dataValidation>
    <dataValidation sqref="AF2:AF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" showDropDown="0" showInputMessage="0" showErrorMessage="0" allowBlank="1" type="list">
      <formula1>"Yes,No"</formula1>
    </dataValidation>
    <dataValidation sqref="AJ2:AJ5" showDropDown="0" showInputMessage="0" showErrorMessage="0" allowBlank="1" type="list">
      <formula1>"Yes,No,Not Applicable"</formula1>
    </dataValidation>
    <dataValidation sqref="AL2:AL5" showDropDown="0" showInputMessage="0" showErrorMessage="0" allowBlank="1" type="list">
      <formula1>"Yes,No"</formula1>
    </dataValidation>
    <dataValidation sqref="AN2:AN5" showDropDown="0" showInputMessage="0" showErrorMessage="0" allowBlank="1" type="list">
      <formula1>"Yes,No"</formula1>
    </dataValidation>
    <dataValidation sqref="AP2:AP5" showDropDown="0" showInputMessage="0" showErrorMessage="0" allowBlank="1" type="list">
      <formula1>"Yes,No"</formula1>
    </dataValidation>
    <dataValidation sqref="AR2:AR5" showDropDown="0" showInputMessage="0" showErrorMessage="0" allowBlank="1" type="list">
      <formula1>"Yes,No"</formula1>
    </dataValidation>
    <dataValidation sqref="AT2:AT5" showDropDown="0" showInputMessage="0" showErrorMessage="0" allowBlank="1" type="list">
      <formula1>"No,Yes"</formula1>
    </dataValidation>
    <dataValidation sqref="AV2:AV5" showDropDown="0" showInputMessage="0" showErrorMessage="0" allowBlank="1" type="list">
      <formula1>"No,Yes"</formula1>
    </dataValidation>
    <dataValidation sqref="AX2:AX5" showDropDown="0" showInputMessage="0" showErrorMessage="0" allowBlank="1" type="list">
      <formula1>"No,Yes CEO Resignation,Yes CEO Retirement"</formula1>
    </dataValidation>
    <dataValidation sqref="AZ2:AZ5" showDropDown="0" showInputMessage="0" showErrorMessage="0" allowBlank="1" type="list">
      <formula1>"No,Yes"</formula1>
    </dataValidation>
    <dataValidation sqref="BB2:BB5" showDropDown="0" showInputMessage="0" showErrorMessage="0" allowBlank="1" type="list">
      <formula1>"No,Yes"</formula1>
    </dataValidation>
    <dataValidation sqref="BD2:BD5" showDropDown="0" showInputMessage="0" showErrorMessage="0" allowBlank="1" type="list">
      <formula1>"Yes,No"</formula1>
    </dataValidation>
    <dataValidation sqref="BF2:BF5" showDropDown="0" showInputMessage="0" showErrorMessage="0" allowBlank="1" type="list">
      <formula1>"Yes,No"</formula1>
    </dataValidation>
    <dataValidation sqref="BH2:BH5" showDropDown="0" showInputMessage="0" showErrorMessage="0" allowBlank="1" type="list">
      <formula1>"Yes,No"</formula1>
    </dataValidation>
    <dataValidation sqref="BJ2:BJ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" showDropDown="0" showInputMessage="0" showErrorMessage="0" allowBlank="1" type="list">
      <formula1>"Above 40,20 to 40,0 to 20"</formula1>
    </dataValidation>
    <dataValidation sqref="BN2:BN5" showDropDown="0" showInputMessage="0" showErrorMessage="0" allowBlank="1" type="list">
      <formula1>"Between 50 to 75,Above 75,Below 45"</formula1>
    </dataValidation>
    <dataValidation sqref="BP2:BP5" showDropDown="0" showInputMessage="0" showErrorMessage="0" allowBlank="1" type="list">
      <formula1>"Stage 1,Stage 2,Stage 3,Stage 4"</formula1>
    </dataValidation>
    <dataValidation sqref="BR2:BR5" showDropDown="0" showInputMessage="0" showErrorMessage="0" allowBlank="1" type="list">
      <formula1>"Positive Trend,Negative Trend"</formula1>
    </dataValidation>
    <dataValidation sqref="BT2:BT5" showDropDown="0" showInputMessage="0" showErrorMessage="0" allowBlank="1" type="list">
      <formula1>"Uptrend,Sideways,Downtrend"</formula1>
    </dataValidation>
    <dataValidation sqref="BV2:BV5" showDropDown="0" showInputMessage="0" showErrorMessage="0" allowBlank="1" type="list">
      <formula1>"Uptrend,Sideways,Downtrend"</formula1>
    </dataValidation>
    <dataValidation sqref="BX2:BX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2026-08-24T10:58:13Z</dcterms:created>
  <dcterms:modified xmlns:dcterms="http://purl.org/dc/terms/" xmlns:xsi="http://www.w3.org/2001/XMLSchema-instance" xsi:type="dcterms:W3CDTF">2026-08-24T10:59:51Z</dcterms:modified>
</cp:coreProperties>
</file>