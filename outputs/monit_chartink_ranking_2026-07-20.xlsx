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Universe'!$A$1:$J$394</definedName>
    <definedName name="_xlnm._FilterDatabase" localSheetId="3" hidden="1">'Confluence Overlap'!$A$1:$K$89</definedName>
    <definedName name="_xlnm._FilterDatabase" localSheetId="4" hidden="1">'Monit Non Financial'!$A$1:$CE$340</definedName>
    <definedName name="_xlnm._FilterDatabase" localSheetId="5" hidden="1">'Monit Banks NBFC'!$A$1:$CA$55</definedName>
    <definedName name="_xlnm._FilterDatabase" localSheetId="6" hidden="1">'Scanner Non Financial'!$A$1:$CJ$19</definedName>
    <definedName name="_xlnm._FilterDatabase" localSheetId="7" hidden="1">'Scanner Banks NBFC'!$A$1:$CF$5</definedName>
    <definedName name="_xlnm._FilterDatabase" localSheetId="8" hidden="1">'Scan Match Non Financial'!$A$1:$CG$86</definedName>
    <definedName name="_xlnm._FilterDatabase" localSheetId="9" hidden="1">'Scan Match Banks NBFC'!$A$1:$CC$16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7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20" fillId="0" borderId="0" pivotButton="0" quotePrefix="0" xfId="0"/>
    <xf numFmtId="0" fontId="14" fillId="9" borderId="6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1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Monday, 20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25" customWidth="1" min="3" max="3"/>
    <col width="40" customWidth="1" min="4" max="4"/>
    <col width="22" customWidth="1" min="5" max="5"/>
    <col width="44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510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70</v>
      </c>
      <c r="G6" s="19" t="n">
        <v>15223.7</v>
      </c>
      <c r="H6" s="18" t="inlineStr">
        <is>
          <t>Potential Leader</t>
        </is>
      </c>
      <c r="J6" s="18" t="inlineStr">
        <is>
          <t>plastic products</t>
        </is>
      </c>
      <c r="K6" s="16" t="n">
        <v>8</v>
      </c>
      <c r="L6" s="16" t="n">
        <v>7</v>
      </c>
      <c r="M6" s="20" t="inlineStr">
        <is>
          <t>14.3%</t>
        </is>
      </c>
    </row>
    <row r="7">
      <c r="A7" s="16" t="n">
        <v>2</v>
      </c>
      <c r="B7" s="17" t="n">
        <v>492</v>
      </c>
      <c r="C7" s="17" t="inlineStr">
        <is>
          <t>WELCORP</t>
        </is>
      </c>
      <c r="D7" s="18" t="inlineStr">
        <is>
          <t>Welspun Corp Limited</t>
        </is>
      </c>
      <c r="E7" s="18" t="inlineStr">
        <is>
          <t>industrials</t>
        </is>
      </c>
      <c r="F7" s="16" t="n">
        <v>67</v>
      </c>
      <c r="G7" s="19" t="n">
        <v>41718.49</v>
      </c>
      <c r="H7" s="18" t="inlineStr">
        <is>
          <t>Potential Leader</t>
        </is>
      </c>
      <c r="J7" s="18" t="inlineStr">
        <is>
          <t>fmcg</t>
        </is>
      </c>
      <c r="K7" s="16" t="n">
        <v>109</v>
      </c>
      <c r="L7" s="16" t="n">
        <v>98</v>
      </c>
      <c r="M7" s="20" t="inlineStr">
        <is>
          <t>11.2%</t>
        </is>
      </c>
    </row>
    <row r="8">
      <c r="A8" s="16" t="n">
        <v>3</v>
      </c>
      <c r="B8" s="17" t="n">
        <v>486</v>
      </c>
      <c r="C8" s="17" t="inlineStr">
        <is>
          <t>STYLAMIND</t>
        </is>
      </c>
      <c r="D8" s="18" t="inlineStr">
        <is>
          <t>Stylam Industries Ltd</t>
        </is>
      </c>
      <c r="E8" s="18" t="inlineStr">
        <is>
          <t>building materials</t>
        </is>
      </c>
      <c r="F8" s="16" t="n">
        <v>66</v>
      </c>
      <c r="G8" s="19" t="n">
        <v>5508.8</v>
      </c>
      <c r="H8" s="18" t="inlineStr">
        <is>
          <t>Potential Leader</t>
        </is>
      </c>
      <c r="J8" s="18" t="inlineStr">
        <is>
          <t>building materials</t>
        </is>
      </c>
      <c r="K8" s="16" t="n">
        <v>69</v>
      </c>
      <c r="L8" s="16" t="n">
        <v>69</v>
      </c>
      <c r="M8" s="20" t="inlineStr">
        <is>
          <t>0.0%</t>
        </is>
      </c>
    </row>
    <row r="9">
      <c r="A9" s="16" t="n">
        <v>4</v>
      </c>
      <c r="B9" s="17" t="n">
        <v>474</v>
      </c>
      <c r="C9" s="17" t="inlineStr">
        <is>
          <t>SHILPAMED</t>
        </is>
      </c>
      <c r="D9" s="18" t="inlineStr">
        <is>
          <t>Shilpa Medicare Limited</t>
        </is>
      </c>
      <c r="E9" s="18" t="inlineStr">
        <is>
          <t>healthcare</t>
        </is>
      </c>
      <c r="F9" s="16" t="n">
        <v>64</v>
      </c>
      <c r="G9" s="19" t="n">
        <v>12130.96</v>
      </c>
      <c r="H9" s="18" t="inlineStr">
        <is>
          <t>Potential Leader</t>
        </is>
      </c>
      <c r="J9" s="18" t="inlineStr">
        <is>
          <t>telecom</t>
        </is>
      </c>
      <c r="K9" s="16" t="n">
        <v>16</v>
      </c>
      <c r="L9" s="16" t="n">
        <v>16</v>
      </c>
      <c r="M9" s="20" t="inlineStr">
        <is>
          <t>0.0%</t>
        </is>
      </c>
    </row>
    <row r="10">
      <c r="A10" s="16" t="n">
        <v>5</v>
      </c>
      <c r="B10" s="17" t="n">
        <v>450</v>
      </c>
      <c r="C10" s="17" t="inlineStr">
        <is>
          <t>NINSYS</t>
        </is>
      </c>
      <c r="D10" s="18" t="inlineStr">
        <is>
          <t>NINtec Systems Ltd</t>
        </is>
      </c>
      <c r="E10" s="18" t="inlineStr">
        <is>
          <t>i.t</t>
        </is>
      </c>
      <c r="F10" s="16" t="n">
        <v>60</v>
      </c>
      <c r="G10" s="19" t="n">
        <v>1659.95</v>
      </c>
      <c r="H10" s="18" t="inlineStr">
        <is>
          <t>Potential Leader</t>
        </is>
      </c>
      <c r="J10" s="18" t="inlineStr">
        <is>
          <t>media</t>
        </is>
      </c>
      <c r="K10" s="16" t="n">
        <v>12</v>
      </c>
      <c r="L10" s="16" t="n">
        <v>12</v>
      </c>
      <c r="M10" s="20" t="inlineStr">
        <is>
          <t>0.0%</t>
        </is>
      </c>
    </row>
    <row r="11">
      <c r="A11" s="16" t="n">
        <v>6</v>
      </c>
      <c r="B11" s="17" t="n">
        <v>444</v>
      </c>
      <c r="C11" s="17" t="inlineStr">
        <is>
          <t>TALBROAUTO</t>
        </is>
      </c>
      <c r="D11" s="18" t="inlineStr">
        <is>
          <t>Talbros Automotive Components Limited</t>
        </is>
      </c>
      <c r="E11" s="18" t="inlineStr">
        <is>
          <t>auto</t>
        </is>
      </c>
      <c r="F11" s="16" t="n">
        <v>59</v>
      </c>
      <c r="G11" s="19" t="n">
        <v>2500.61</v>
      </c>
      <c r="H11" s="18" t="inlineStr">
        <is>
          <t>Potential Leader</t>
        </is>
      </c>
      <c r="J11" s="18" t="inlineStr">
        <is>
          <t>healthcare</t>
        </is>
      </c>
      <c r="K11" s="16" t="n">
        <v>293</v>
      </c>
      <c r="L11" s="16" t="n">
        <v>302</v>
      </c>
      <c r="M11" s="21" t="inlineStr">
        <is>
          <t>-3.0%</t>
        </is>
      </c>
    </row>
    <row r="12">
      <c r="A12" s="16" t="n">
        <v>7</v>
      </c>
      <c r="B12" s="17" t="n">
        <v>420</v>
      </c>
      <c r="C12" s="17" t="inlineStr">
        <is>
          <t>ADANIENT</t>
        </is>
      </c>
      <c r="D12" s="18" t="inlineStr">
        <is>
          <t>Adani Enterprises Limited</t>
        </is>
      </c>
      <c r="E12" s="18" t="inlineStr">
        <is>
          <t>services</t>
        </is>
      </c>
      <c r="F12" s="16" t="n">
        <v>55</v>
      </c>
      <c r="G12" s="19" t="n">
        <v>427871.1</v>
      </c>
      <c r="H12" s="18" t="inlineStr">
        <is>
          <t>Potential Leader</t>
        </is>
      </c>
      <c r="J12" s="18" t="inlineStr">
        <is>
          <t>power &amp; utilities</t>
        </is>
      </c>
      <c r="K12" s="16" t="n">
        <v>18</v>
      </c>
      <c r="L12" s="16" t="n">
        <v>19</v>
      </c>
      <c r="M12" s="21" t="inlineStr">
        <is>
          <t>-5.3%</t>
        </is>
      </c>
    </row>
    <row r="13">
      <c r="A13" s="16" t="n">
        <v>8</v>
      </c>
      <c r="B13" s="17" t="n">
        <v>420</v>
      </c>
      <c r="C13" s="17" t="inlineStr">
        <is>
          <t>SAILIFE</t>
        </is>
      </c>
      <c r="D13" s="18" t="inlineStr">
        <is>
          <t>Sai Life Sciences Ltd</t>
        </is>
      </c>
      <c r="E13" s="18" t="inlineStr">
        <is>
          <t>healthcare</t>
        </is>
      </c>
      <c r="F13" s="16" t="n">
        <v>55</v>
      </c>
      <c r="G13" s="19" t="n">
        <v>26938.32</v>
      </c>
      <c r="H13" s="18" t="inlineStr">
        <is>
          <t>Potential Leader</t>
        </is>
      </c>
      <c r="J13" s="18" t="inlineStr">
        <is>
          <t>auto</t>
        </is>
      </c>
      <c r="K13" s="16" t="n">
        <v>162</v>
      </c>
      <c r="L13" s="16" t="n">
        <v>171</v>
      </c>
      <c r="M13" s="21" t="inlineStr">
        <is>
          <t>-5.3%</t>
        </is>
      </c>
    </row>
    <row r="14">
      <c r="A14" s="16" t="n">
        <v>9</v>
      </c>
      <c r="B14" s="17" t="n">
        <v>390</v>
      </c>
      <c r="C14" s="17" t="inlineStr">
        <is>
          <t>INDOBORAX</t>
        </is>
      </c>
      <c r="D14" s="18" t="inlineStr">
        <is>
          <t>Indo Borax &amp; Chemicals Ltd</t>
        </is>
      </c>
      <c r="E14" s="18" t="inlineStr">
        <is>
          <t>chemicals</t>
        </is>
      </c>
      <c r="F14" s="16" t="n">
        <v>50</v>
      </c>
      <c r="G14" s="19" t="n">
        <v>1494.43</v>
      </c>
      <c r="H14" s="18" t="inlineStr">
        <is>
          <t>Potential Leader</t>
        </is>
      </c>
      <c r="J14" s="18" t="inlineStr">
        <is>
          <t>i.t</t>
        </is>
      </c>
      <c r="K14" s="16" t="n">
        <v>76</v>
      </c>
      <c r="L14" s="16" t="n">
        <v>81</v>
      </c>
      <c r="M14" s="21" t="inlineStr">
        <is>
          <t>-6.2%</t>
        </is>
      </c>
    </row>
    <row r="15">
      <c r="A15" s="16" t="n">
        <v>10</v>
      </c>
      <c r="B15" s="17" t="n">
        <v>384</v>
      </c>
      <c r="C15" s="17" t="inlineStr">
        <is>
          <t>BLSE</t>
        </is>
      </c>
      <c r="D15" s="18" t="inlineStr">
        <is>
          <t>BLS E-Services Ltd</t>
        </is>
      </c>
      <c r="E15" s="18" t="inlineStr">
        <is>
          <t>i.t</t>
        </is>
      </c>
      <c r="F15" s="16" t="n">
        <v>49</v>
      </c>
      <c r="G15" s="19" t="n">
        <v>2492.83</v>
      </c>
      <c r="H15" s="18" t="inlineStr">
        <is>
          <t>Potential Leader</t>
        </is>
      </c>
      <c r="J15" s="18" t="inlineStr">
        <is>
          <t>consumer discretionary</t>
        </is>
      </c>
      <c r="K15" s="16" t="n">
        <v>158</v>
      </c>
      <c r="L15" s="16" t="n">
        <v>169</v>
      </c>
      <c r="M15" s="21" t="inlineStr">
        <is>
          <t>-6.5%</t>
        </is>
      </c>
    </row>
    <row r="16">
      <c r="A16" s="16" t="n">
        <v>11</v>
      </c>
      <c r="B16" s="17" t="n">
        <v>384</v>
      </c>
      <c r="C16" s="17" t="inlineStr">
        <is>
          <t>CEMPRO</t>
        </is>
      </c>
      <c r="D16" s="18" t="inlineStr">
        <is>
          <t>Cemindia Projects Ltd</t>
        </is>
      </c>
      <c r="E16" s="18" t="inlineStr">
        <is>
          <t>realty</t>
        </is>
      </c>
      <c r="F16" s="16" t="n">
        <v>49</v>
      </c>
      <c r="G16" s="19" t="n">
        <v>27743.69</v>
      </c>
      <c r="H16" s="18" t="inlineStr">
        <is>
          <t>Potential Leader</t>
        </is>
      </c>
      <c r="J16" s="18" t="inlineStr">
        <is>
          <t>telecom-service</t>
        </is>
      </c>
      <c r="K16" s="16" t="n">
        <v>11</v>
      </c>
      <c r="L16" s="16" t="n">
        <v>12</v>
      </c>
      <c r="M16" s="21" t="inlineStr">
        <is>
          <t>-8.3%</t>
        </is>
      </c>
    </row>
    <row r="17">
      <c r="A17" s="16" t="n">
        <v>12</v>
      </c>
      <c r="B17" s="17" t="n">
        <v>384</v>
      </c>
      <c r="C17" s="17" t="inlineStr">
        <is>
          <t>RATEGAIN</t>
        </is>
      </c>
      <c r="D17" s="18" t="inlineStr">
        <is>
          <t>Rategain Travel Technologies Ltd</t>
        </is>
      </c>
      <c r="E17" s="18" t="inlineStr">
        <is>
          <t>i.t</t>
        </is>
      </c>
      <c r="F17" s="16" t="n">
        <v>49</v>
      </c>
      <c r="G17" s="19" t="n">
        <v>11233.99</v>
      </c>
      <c r="H17" s="18" t="inlineStr">
        <is>
          <t>Potential Leader</t>
        </is>
      </c>
      <c r="J17" s="18" t="inlineStr">
        <is>
          <t>financials</t>
        </is>
      </c>
      <c r="K17" s="16" t="n">
        <v>199</v>
      </c>
      <c r="L17" s="16" t="n">
        <v>233</v>
      </c>
      <c r="M17" s="21" t="inlineStr">
        <is>
          <t>-14.6%</t>
        </is>
      </c>
    </row>
    <row r="18">
      <c r="A18" s="16" t="n">
        <v>13</v>
      </c>
      <c r="B18" s="17" t="n">
        <v>378</v>
      </c>
      <c r="C18" s="17" t="inlineStr">
        <is>
          <t>GRWRHITECH</t>
        </is>
      </c>
      <c r="D18" s="18" t="inlineStr">
        <is>
          <t>Garware Hi Tech Films Ltd</t>
        </is>
      </c>
      <c r="E18" s="18" t="inlineStr">
        <is>
          <t>industrials</t>
        </is>
      </c>
      <c r="F18" s="16" t="n">
        <v>48</v>
      </c>
      <c r="G18" s="19" t="n">
        <v>16194.14</v>
      </c>
      <c r="H18" s="18" t="inlineStr">
        <is>
          <t>Potential Leader</t>
        </is>
      </c>
      <c r="J18" s="18" t="inlineStr">
        <is>
          <t>chemicals</t>
        </is>
      </c>
      <c r="K18" s="16" t="n">
        <v>110</v>
      </c>
      <c r="L18" s="16" t="n">
        <v>129</v>
      </c>
      <c r="M18" s="21" t="inlineStr">
        <is>
          <t>-14.7%</t>
        </is>
      </c>
    </row>
    <row r="19">
      <c r="A19" s="16" t="n">
        <v>14</v>
      </c>
      <c r="B19" s="17" t="n">
        <v>378</v>
      </c>
      <c r="C19" s="17" t="inlineStr">
        <is>
          <t>LAURUSLABS</t>
        </is>
      </c>
      <c r="D19" s="18" t="inlineStr">
        <is>
          <t>Laurus Labs Limited</t>
        </is>
      </c>
      <c r="E19" s="18" t="inlineStr">
        <is>
          <t>healthcare</t>
        </is>
      </c>
      <c r="F19" s="16" t="n">
        <v>48</v>
      </c>
      <c r="G19" s="19" t="n">
        <v>82587.25999999999</v>
      </c>
      <c r="H19" s="18" t="inlineStr">
        <is>
          <t>Potential Leader</t>
        </is>
      </c>
      <c r="J19" s="18" t="inlineStr">
        <is>
          <t>textiles</t>
        </is>
      </c>
      <c r="K19" s="16" t="n">
        <v>75</v>
      </c>
      <c r="L19" s="16" t="n">
        <v>90</v>
      </c>
      <c r="M19" s="21" t="inlineStr">
        <is>
          <t>-16.7%</t>
        </is>
      </c>
    </row>
    <row r="20">
      <c r="A20" s="16" t="n">
        <v>15</v>
      </c>
      <c r="B20" s="17" t="n">
        <v>330</v>
      </c>
      <c r="C20" s="17" t="inlineStr">
        <is>
          <t>CAPLIPOINT</t>
        </is>
      </c>
      <c r="D20" s="18" t="inlineStr">
        <is>
          <t>Caplin Point Laboratories Limited</t>
        </is>
      </c>
      <c r="E20" s="18" t="inlineStr">
        <is>
          <t>healthcare</t>
        </is>
      </c>
      <c r="F20" s="16" t="n">
        <v>40</v>
      </c>
      <c r="G20" s="19" t="n">
        <v>19870.98</v>
      </c>
      <c r="H20" s="18" t="inlineStr">
        <is>
          <t>Potential Leader</t>
        </is>
      </c>
      <c r="J20" s="18" t="inlineStr">
        <is>
          <t>metals &amp; mining</t>
        </is>
      </c>
      <c r="K20" s="16" t="n">
        <v>73</v>
      </c>
      <c r="L20" s="16" t="n">
        <v>89</v>
      </c>
      <c r="M20" s="21" t="inlineStr">
        <is>
          <t>-18.0%</t>
        </is>
      </c>
    </row>
    <row r="21">
      <c r="A21" s="16" t="n">
        <v>16</v>
      </c>
      <c r="B21" s="17" t="n">
        <v>330</v>
      </c>
      <c r="C21" s="17" t="inlineStr">
        <is>
          <t>PAISALO</t>
        </is>
      </c>
      <c r="D21" s="18" t="inlineStr">
        <is>
          <t>Paisalo Digital Ltd</t>
        </is>
      </c>
      <c r="E21" s="18" t="inlineStr">
        <is>
          <t>financials</t>
        </is>
      </c>
      <c r="F21" s="16" t="n">
        <v>40</v>
      </c>
      <c r="G21" s="19" t="n">
        <v>6525.82</v>
      </c>
      <c r="H21" s="18" t="inlineStr">
        <is>
          <t>Potential Leader</t>
        </is>
      </c>
    </row>
    <row r="22">
      <c r="A22" s="16" t="n">
        <v>17</v>
      </c>
      <c r="B22" s="17" t="n">
        <v>318</v>
      </c>
      <c r="C22" s="17" t="inlineStr">
        <is>
          <t>RPEL</t>
        </is>
      </c>
      <c r="D22" s="18" t="inlineStr">
        <is>
          <t>Raghav Productivity Enhancers Ltd</t>
        </is>
      </c>
      <c r="E22" s="18" t="inlineStr">
        <is>
          <t>building materials</t>
        </is>
      </c>
      <c r="F22" s="16" t="n">
        <v>38</v>
      </c>
      <c r="G22" s="19" t="n">
        <v>6033.23</v>
      </c>
      <c r="H22" s="18" t="inlineStr">
        <is>
          <t>Potential Leader</t>
        </is>
      </c>
    </row>
    <row r="23">
      <c r="A23" s="16" t="n">
        <v>18</v>
      </c>
      <c r="B23" s="17" t="n">
        <v>312</v>
      </c>
      <c r="C23" s="17" t="inlineStr">
        <is>
          <t>UNIPARTS</t>
        </is>
      </c>
      <c r="D23" s="18" t="inlineStr">
        <is>
          <t>Uniparts India Ltd</t>
        </is>
      </c>
      <c r="E23" s="18" t="inlineStr">
        <is>
          <t>industrials</t>
        </is>
      </c>
      <c r="F23" s="16" t="n">
        <v>37</v>
      </c>
      <c r="G23" s="19" t="n">
        <v>3051.67</v>
      </c>
      <c r="H23" s="18" t="inlineStr">
        <is>
          <t>Potential Leader</t>
        </is>
      </c>
    </row>
    <row r="24">
      <c r="A24" s="16" t="n">
        <v>19</v>
      </c>
      <c r="B24" s="17" t="n">
        <v>312</v>
      </c>
      <c r="C24" s="17" t="inlineStr">
        <is>
          <t>YASHO</t>
        </is>
      </c>
      <c r="D24" s="18" t="inlineStr">
        <is>
          <t>Yasho Industries Ltd</t>
        </is>
      </c>
      <c r="E24" s="18" t="inlineStr">
        <is>
          <t>chemicals</t>
        </is>
      </c>
      <c r="F24" s="16" t="n">
        <v>37</v>
      </c>
      <c r="G24" s="19" t="n">
        <v>3628.55</v>
      </c>
      <c r="H24" s="18" t="inlineStr">
        <is>
          <t>Potential Leader</t>
        </is>
      </c>
    </row>
    <row r="25">
      <c r="A25" s="16" t="n">
        <v>20</v>
      </c>
      <c r="B25" s="17" t="n">
        <v>306</v>
      </c>
      <c r="C25" s="17" t="inlineStr">
        <is>
          <t>ASTRAMICRO</t>
        </is>
      </c>
      <c r="D25" s="18" t="inlineStr">
        <is>
          <t>Astra Microwave Products Limited</t>
        </is>
      </c>
      <c r="E25" s="18" t="inlineStr">
        <is>
          <t>aerospace &amp; defence</t>
        </is>
      </c>
      <c r="F25" s="16" t="n">
        <v>36</v>
      </c>
      <c r="G25" s="19" t="n">
        <v>16338.14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KANORICHEM</t>
        </is>
      </c>
      <c r="B30" s="18" t="inlineStr">
        <is>
          <t>Kanoria Chemicals &amp; Industries Limited</t>
        </is>
      </c>
      <c r="C30" s="18" t="inlineStr">
        <is>
          <t>chemicals</t>
        </is>
      </c>
      <c r="D30" s="16" t="n">
        <v>10</v>
      </c>
      <c r="E30" s="16" t="n">
        <v>0</v>
      </c>
      <c r="F30" s="19" t="n">
        <v>618.87</v>
      </c>
      <c r="J30" s="17" t="inlineStr">
        <is>
          <t>EQUITASBNK</t>
        </is>
      </c>
      <c r="K30" s="18" t="inlineStr">
        <is>
          <t>bank</t>
        </is>
      </c>
      <c r="L30" s="19" t="n">
        <v>255</v>
      </c>
      <c r="M30" s="19" t="n">
        <v>8868.190000000001</v>
      </c>
      <c r="N30" s="16" t="n">
        <v>25</v>
      </c>
    </row>
    <row r="31">
      <c r="A31" s="17" t="inlineStr">
        <is>
          <t>GREAVESCOT</t>
        </is>
      </c>
      <c r="B31" s="18" t="inlineStr">
        <is>
          <t>Greaves Cotton Limited</t>
        </is>
      </c>
      <c r="C31" s="18" t="inlineStr">
        <is>
          <t>industrials</t>
        </is>
      </c>
      <c r="D31" s="16" t="n">
        <v>10</v>
      </c>
      <c r="E31" s="16" t="n">
        <v>0</v>
      </c>
      <c r="F31" s="19" t="n">
        <v>5811.21</v>
      </c>
      <c r="J31" s="17" t="inlineStr">
        <is>
          <t>ARMANFIN</t>
        </is>
      </c>
      <c r="K31" s="18" t="inlineStr">
        <is>
          <t>financials</t>
        </is>
      </c>
      <c r="L31" s="19" t="n">
        <v>235</v>
      </c>
      <c r="M31" s="19" t="n">
        <v>2058.64</v>
      </c>
      <c r="N31" s="16" t="n">
        <v>5</v>
      </c>
    </row>
    <row r="32">
      <c r="A32" s="17" t="inlineStr">
        <is>
          <t>MANBA</t>
        </is>
      </c>
      <c r="B32" s="18" t="inlineStr">
        <is>
          <t>Manba Finance Ltd</t>
        </is>
      </c>
      <c r="C32" s="18" t="inlineStr">
        <is>
          <t>financials</t>
        </is>
      </c>
      <c r="D32" s="16" t="n">
        <v>10</v>
      </c>
      <c r="E32" s="16" t="n">
        <v>2</v>
      </c>
      <c r="F32" s="19" t="n">
        <v>687.22</v>
      </c>
      <c r="J32" s="17" t="inlineStr">
        <is>
          <t>SATIN</t>
        </is>
      </c>
      <c r="K32" s="18" t="inlineStr">
        <is>
          <t>financials</t>
        </is>
      </c>
      <c r="L32" s="19" t="n">
        <v>232</v>
      </c>
      <c r="M32" s="19" t="n">
        <v>2817.78</v>
      </c>
      <c r="N32" s="16" t="n">
        <v>27</v>
      </c>
    </row>
    <row r="33">
      <c r="A33" s="17" t="inlineStr">
        <is>
          <t>RELTD</t>
        </is>
      </c>
      <c r="B33" s="18" t="inlineStr">
        <is>
          <t>Ravindra Energy Ltd</t>
        </is>
      </c>
      <c r="C33" s="18" t="inlineStr">
        <is>
          <t>industrials</t>
        </is>
      </c>
      <c r="D33" s="16" t="n">
        <v>10</v>
      </c>
      <c r="E33" s="16" t="n">
        <v>0</v>
      </c>
      <c r="F33" s="19" t="n">
        <v>3525.44</v>
      </c>
      <c r="J33" s="17" t="inlineStr">
        <is>
          <t>APCOTEXIND</t>
        </is>
      </c>
      <c r="K33" s="18" t="inlineStr">
        <is>
          <t>chemicals</t>
        </is>
      </c>
      <c r="L33" s="19" t="n">
        <v>230</v>
      </c>
      <c r="M33" s="19" t="n">
        <v>2743.12</v>
      </c>
      <c r="N33" s="16" t="n">
        <v>25</v>
      </c>
    </row>
    <row r="34">
      <c r="A34" s="17" t="inlineStr">
        <is>
          <t>GOKEX</t>
        </is>
      </c>
      <c r="B34" s="18" t="inlineStr">
        <is>
          <t>Gokaldas Exports Limited</t>
        </is>
      </c>
      <c r="C34" s="18" t="inlineStr">
        <is>
          <t>consumer discretionary</t>
        </is>
      </c>
      <c r="D34" s="16" t="n">
        <v>10</v>
      </c>
      <c r="E34" s="16" t="n">
        <v>1</v>
      </c>
      <c r="F34" s="19" t="n">
        <v>6063.41</v>
      </c>
      <c r="J34" s="17" t="inlineStr">
        <is>
          <t>SURYODAY</t>
        </is>
      </c>
      <c r="K34" s="18" t="inlineStr">
        <is>
          <t>bank</t>
        </is>
      </c>
      <c r="L34" s="19" t="n">
        <v>227</v>
      </c>
      <c r="M34" s="19" t="n">
        <v>1910.98</v>
      </c>
      <c r="N34" s="16" t="n">
        <v>29</v>
      </c>
    </row>
    <row r="35">
      <c r="A35" s="17" t="inlineStr">
        <is>
          <t>JASH</t>
        </is>
      </c>
      <c r="B35" s="18" t="inlineStr">
        <is>
          <t>Jash Engineering Ltd</t>
        </is>
      </c>
      <c r="C35" s="18" t="inlineStr">
        <is>
          <t>industrials</t>
        </is>
      </c>
      <c r="D35" s="16" t="n">
        <v>10</v>
      </c>
      <c r="E35" s="16" t="n">
        <v>2</v>
      </c>
      <c r="F35" s="19" t="n">
        <v>3288.92</v>
      </c>
      <c r="J35" s="17" t="inlineStr">
        <is>
          <t>IOLCP</t>
        </is>
      </c>
      <c r="K35" s="18" t="inlineStr">
        <is>
          <t>Healthcare</t>
        </is>
      </c>
      <c r="L35" s="19" t="n">
        <v>227</v>
      </c>
      <c r="M35" s="19" t="n">
        <v>4562.3</v>
      </c>
      <c r="N35" s="16" t="n">
        <v>27</v>
      </c>
    </row>
    <row r="36">
      <c r="A36" s="17" t="inlineStr">
        <is>
          <t>INDIGO</t>
        </is>
      </c>
      <c r="B36" s="18" t="inlineStr">
        <is>
          <t>Interglobe Aviation Limited</t>
        </is>
      </c>
      <c r="C36" s="18" t="inlineStr">
        <is>
          <t>transportation</t>
        </is>
      </c>
      <c r="D36" s="16" t="n">
        <v>9</v>
      </c>
      <c r="E36" s="16" t="n">
        <v>1</v>
      </c>
      <c r="F36" s="19" t="n">
        <v>202913.83</v>
      </c>
      <c r="J36" s="17" t="inlineStr">
        <is>
          <t>KTKBANK</t>
        </is>
      </c>
      <c r="K36" s="18" t="inlineStr">
        <is>
          <t>bank</t>
        </is>
      </c>
      <c r="L36" s="19" t="n">
        <v>225</v>
      </c>
      <c r="M36" s="19" t="n">
        <v>10328.9</v>
      </c>
      <c r="N36" s="16" t="n">
        <v>18</v>
      </c>
    </row>
    <row r="37">
      <c r="A37" s="17" t="inlineStr">
        <is>
          <t>BLUSPRING</t>
        </is>
      </c>
      <c r="B37" s="18" t="inlineStr">
        <is>
          <t>Bluspring Enterprises Limited</t>
        </is>
      </c>
      <c r="C37" s="18" t="inlineStr">
        <is>
          <t>Industrials</t>
        </is>
      </c>
      <c r="D37" s="16" t="n">
        <v>9</v>
      </c>
      <c r="E37" s="16" t="n">
        <v>2</v>
      </c>
      <c r="F37" s="19" t="n">
        <v>1643.85</v>
      </c>
      <c r="J37" s="17" t="inlineStr">
        <is>
          <t>MENONBE</t>
        </is>
      </c>
      <c r="K37" s="18" t="inlineStr">
        <is>
          <t>auto</t>
        </is>
      </c>
      <c r="L37" s="19" t="n">
        <v>225</v>
      </c>
      <c r="M37" s="19" t="n">
        <v>1118.95</v>
      </c>
      <c r="N37" s="16" t="n">
        <v>21</v>
      </c>
    </row>
    <row r="38">
      <c r="A38" s="17" t="inlineStr">
        <is>
          <t>VMART</t>
        </is>
      </c>
      <c r="B38" s="18" t="inlineStr">
        <is>
          <t>V-mart Retail Limited</t>
        </is>
      </c>
      <c r="C38" s="18" t="inlineStr">
        <is>
          <t>consumer discretionary</t>
        </is>
      </c>
      <c r="D38" s="16" t="n">
        <v>9</v>
      </c>
      <c r="E38" s="16" t="n">
        <v>2</v>
      </c>
      <c r="F38" s="19" t="n">
        <v>5929.18</v>
      </c>
      <c r="J38" s="17" t="inlineStr">
        <is>
          <t>PRICOLLTD</t>
        </is>
      </c>
      <c r="K38" s="18" t="inlineStr">
        <is>
          <t>auto</t>
        </is>
      </c>
      <c r="L38" s="19" t="n">
        <v>225</v>
      </c>
      <c r="M38" s="19" t="n">
        <v>7499.37</v>
      </c>
      <c r="N38" s="16" t="n">
        <v>8</v>
      </c>
    </row>
    <row r="39">
      <c r="A39" s="17" t="inlineStr">
        <is>
          <t>RBA</t>
        </is>
      </c>
      <c r="B39" s="18" t="inlineStr">
        <is>
          <t>Restaurant Brands Asia Limited</t>
        </is>
      </c>
      <c r="C39" s="18" t="inlineStr">
        <is>
          <t>Consumer Cyclical</t>
        </is>
      </c>
      <c r="D39" s="16" t="n">
        <v>9</v>
      </c>
      <c r="E39" s="16" t="n">
        <v>0</v>
      </c>
      <c r="F39" s="19" t="n">
        <v>4750.72</v>
      </c>
      <c r="J39" s="17" t="inlineStr">
        <is>
          <t>TIPSMUSIC</t>
        </is>
      </c>
      <c r="K39" s="18" t="inlineStr">
        <is>
          <t>media</t>
        </is>
      </c>
      <c r="L39" s="19" t="n">
        <v>225</v>
      </c>
      <c r="M39" s="19" t="n">
        <v>8551.93</v>
      </c>
      <c r="N39" s="16" t="n">
        <v>13</v>
      </c>
    </row>
    <row r="40">
      <c r="A40" s="17" t="inlineStr">
        <is>
          <t>HCC</t>
        </is>
      </c>
      <c r="B40" s="18" t="inlineStr">
        <is>
          <t>Hindustan Construction Company Limited</t>
        </is>
      </c>
      <c r="C40" s="18" t="inlineStr">
        <is>
          <t>Industrials</t>
        </is>
      </c>
      <c r="D40" s="16" t="n">
        <v>9</v>
      </c>
      <c r="E40" s="16" t="n">
        <v>0</v>
      </c>
      <c r="F40" s="19" t="n">
        <v>5946.19</v>
      </c>
      <c r="J40" s="17" t="inlineStr">
        <is>
          <t>SAKAR</t>
        </is>
      </c>
      <c r="K40" s="18" t="inlineStr">
        <is>
          <t>healthcare</t>
        </is>
      </c>
      <c r="L40" s="19" t="n">
        <v>222</v>
      </c>
      <c r="M40" s="19" t="n">
        <v>1952.87</v>
      </c>
      <c r="N40" s="16" t="n">
        <v>28</v>
      </c>
    </row>
    <row r="41">
      <c r="A41" s="17" t="inlineStr">
        <is>
          <t>KICL</t>
        </is>
      </c>
      <c r="B41" s="18" t="inlineStr">
        <is>
          <t>Kalyani Investment Company Limited</t>
        </is>
      </c>
      <c r="C41" s="18" t="inlineStr">
        <is>
          <t>financials</t>
        </is>
      </c>
      <c r="D41" s="16" t="n">
        <v>9</v>
      </c>
      <c r="E41" s="16" t="n">
        <v>0</v>
      </c>
      <c r="F41" s="19" t="n">
        <v>2408.99</v>
      </c>
      <c r="J41" s="17" t="inlineStr">
        <is>
          <t>INDOBORAX</t>
        </is>
      </c>
      <c r="K41" s="18" t="inlineStr">
        <is>
          <t>chemicals</t>
        </is>
      </c>
      <c r="L41" s="19" t="n">
        <v>220</v>
      </c>
      <c r="M41" s="19" t="n">
        <v>1494.43</v>
      </c>
      <c r="N41" s="16" t="n">
        <v>30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77.51000000000001</v>
      </c>
      <c r="D47" s="28" t="n">
        <v>0</v>
      </c>
      <c r="E47" s="17" t="inlineStr">
        <is>
          <t>AHLWEST</t>
        </is>
      </c>
      <c r="F47" s="18" t="inlineStr">
        <is>
          <t>Asian Hotels (West) Limited</t>
        </is>
      </c>
      <c r="G47" s="18" t="inlineStr">
        <is>
          <t>Consumer Cyclical</t>
        </is>
      </c>
      <c r="H47" s="19" t="n">
        <v>652.47</v>
      </c>
    </row>
    <row r="48">
      <c r="A48" s="16" t="n">
        <v>2</v>
      </c>
      <c r="B48" s="27" t="n">
        <v>99</v>
      </c>
      <c r="C48" s="28" t="n">
        <v>76.51000000000001</v>
      </c>
      <c r="D48" s="28" t="n">
        <v>207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28880.62</v>
      </c>
    </row>
    <row r="49">
      <c r="A49" s="16" t="n">
        <v>3</v>
      </c>
      <c r="B49" s="27" t="n">
        <v>99</v>
      </c>
      <c r="C49" s="28" t="n">
        <v>68.5</v>
      </c>
      <c r="D49" s="28" t="n">
        <v>193</v>
      </c>
      <c r="E49" s="17" t="inlineStr">
        <is>
          <t>SWANDEF</t>
        </is>
      </c>
      <c r="F49" s="18" t="inlineStr">
        <is>
          <t>Swan Defence and Heavy Industries Ltd</t>
        </is>
      </c>
      <c r="G49" s="18" t="inlineStr">
        <is>
          <t>transportation</t>
        </is>
      </c>
      <c r="H49" s="19" t="n">
        <v>11746.01</v>
      </c>
    </row>
    <row r="50">
      <c r="A50" s="16" t="n">
        <v>4</v>
      </c>
      <c r="B50" s="27" t="n">
        <v>98</v>
      </c>
      <c r="C50" s="28" t="n">
        <v>55.75</v>
      </c>
      <c r="D50" s="28" t="n">
        <v>200</v>
      </c>
      <c r="E50" s="17" t="inlineStr">
        <is>
          <t>CEMPRO</t>
        </is>
      </c>
      <c r="F50" s="18" t="inlineStr">
        <is>
          <t>Cemindia Projects Ltd</t>
        </is>
      </c>
      <c r="G50" s="18" t="inlineStr">
        <is>
          <t>realty</t>
        </is>
      </c>
      <c r="H50" s="19" t="n">
        <v>27743.69</v>
      </c>
    </row>
    <row r="51">
      <c r="A51" s="16" t="n">
        <v>5</v>
      </c>
      <c r="B51" s="27" t="n">
        <v>98</v>
      </c>
      <c r="C51" s="28" t="n">
        <v>53.93</v>
      </c>
      <c r="D51" s="28" t="n">
        <v>187</v>
      </c>
      <c r="E51" s="17" t="inlineStr">
        <is>
          <t>HFCL</t>
        </is>
      </c>
      <c r="F51" s="18" t="inlineStr">
        <is>
          <t>HFCL Limited</t>
        </is>
      </c>
      <c r="G51" s="18" t="inlineStr">
        <is>
          <t>Technology</t>
        </is>
      </c>
      <c r="H51" s="19" t="n">
        <v>31834.08</v>
      </c>
    </row>
    <row r="52">
      <c r="A52" s="16" t="n">
        <v>6</v>
      </c>
      <c r="B52" s="27" t="n">
        <v>98</v>
      </c>
      <c r="C52" s="28" t="n">
        <v>46.25</v>
      </c>
      <c r="D52" s="28" t="n">
        <v>205</v>
      </c>
      <c r="E52" s="17" t="inlineStr">
        <is>
          <t>ATHERENERG</t>
        </is>
      </c>
      <c r="F52" s="18" t="inlineStr">
        <is>
          <t>Ather Energy Ltd</t>
        </is>
      </c>
      <c r="G52" s="18" t="inlineStr">
        <is>
          <t>auto</t>
        </is>
      </c>
      <c r="H52" s="19" t="n">
        <v>49123.77</v>
      </c>
    </row>
    <row r="53">
      <c r="A53" s="16" t="n">
        <v>7</v>
      </c>
      <c r="B53" s="27" t="n">
        <v>98</v>
      </c>
      <c r="C53" s="28" t="n">
        <v>46.01</v>
      </c>
      <c r="D53" s="28" t="n">
        <v>210</v>
      </c>
      <c r="E53" s="17" t="inlineStr">
        <is>
          <t>NITTAGELA</t>
        </is>
      </c>
      <c r="F53" s="18" t="inlineStr">
        <is>
          <t>Nitta Gelatin India Limited</t>
        </is>
      </c>
      <c r="G53" s="18" t="inlineStr">
        <is>
          <t>Basic Materials</t>
        </is>
      </c>
      <c r="H53" s="19" t="n">
        <v>1704.98</v>
      </c>
    </row>
    <row r="54">
      <c r="A54" s="16" t="n">
        <v>8</v>
      </c>
      <c r="B54" s="27" t="n">
        <v>97</v>
      </c>
      <c r="C54" s="28" t="n">
        <v>42.77</v>
      </c>
      <c r="D54" s="28" t="n">
        <v>205</v>
      </c>
      <c r="E54" s="17" t="inlineStr">
        <is>
          <t>THANGAMAYL</t>
        </is>
      </c>
      <c r="F54" s="18" t="inlineStr">
        <is>
          <t>Thangamayil Jewellery Limited</t>
        </is>
      </c>
      <c r="G54" s="18" t="inlineStr">
        <is>
          <t>consumer discretionary</t>
        </is>
      </c>
      <c r="H54" s="19" t="n">
        <v>20004.39</v>
      </c>
    </row>
    <row r="55">
      <c r="A55" s="16" t="n">
        <v>9</v>
      </c>
      <c r="B55" s="27" t="n">
        <v>97</v>
      </c>
      <c r="C55" s="28" t="n">
        <v>42.21</v>
      </c>
      <c r="D55" s="28" t="n">
        <v>203</v>
      </c>
      <c r="E55" s="17" t="inlineStr">
        <is>
          <t>HITECHCORP</t>
        </is>
      </c>
      <c r="F55" s="18" t="inlineStr">
        <is>
          <t>Hitech Corporation</t>
        </is>
      </c>
      <c r="G55" s="18" t="inlineStr">
        <is>
          <t>industrials</t>
        </is>
      </c>
      <c r="H55" s="19" t="n">
        <v>553.4</v>
      </c>
    </row>
    <row r="56">
      <c r="A56" s="16" t="n">
        <v>10</v>
      </c>
      <c r="B56" s="27" t="n">
        <v>97</v>
      </c>
      <c r="C56" s="28" t="n">
        <v>38.5</v>
      </c>
      <c r="D56" s="28" t="n">
        <v>200</v>
      </c>
      <c r="E56" s="17" t="inlineStr">
        <is>
          <t>NINSYS</t>
        </is>
      </c>
      <c r="F56" s="18" t="inlineStr">
        <is>
          <t>NINtec Systems Ltd</t>
        </is>
      </c>
      <c r="G56" s="18" t="inlineStr">
        <is>
          <t>i.t</t>
        </is>
      </c>
      <c r="H56" s="19" t="n">
        <v>1659.95</v>
      </c>
    </row>
    <row r="57">
      <c r="A57" s="16" t="n">
        <v>11</v>
      </c>
      <c r="B57" s="27" t="n">
        <v>97</v>
      </c>
      <c r="C57" s="28" t="n">
        <v>38.18</v>
      </c>
      <c r="D57" s="28" t="n">
        <v>225</v>
      </c>
      <c r="E57" s="17" t="inlineStr">
        <is>
          <t>TIMEX</t>
        </is>
      </c>
      <c r="F57" s="18" t="inlineStr">
        <is>
          <t>Timex Group India Limited</t>
        </is>
      </c>
      <c r="G57" s="18" t="inlineStr">
        <is>
          <t>Consumer Cyclical</t>
        </is>
      </c>
      <c r="H57" s="19" t="n">
        <v>5734.46</v>
      </c>
    </row>
    <row r="58">
      <c r="A58" s="16" t="n">
        <v>12</v>
      </c>
      <c r="B58" s="27" t="n">
        <v>97</v>
      </c>
      <c r="C58" s="28" t="n">
        <v>37.4</v>
      </c>
      <c r="D58" s="28" t="n">
        <v>183</v>
      </c>
      <c r="E58" s="17" t="inlineStr">
        <is>
          <t>SETL</t>
        </is>
      </c>
      <c r="F58" s="18" t="inlineStr">
        <is>
          <t>Standard Enginnering Technology Ltd</t>
        </is>
      </c>
      <c r="G58" s="18" t="inlineStr">
        <is>
          <t>industrials</t>
        </is>
      </c>
      <c r="H58" s="19" t="n">
        <v>5607.71</v>
      </c>
    </row>
    <row r="59">
      <c r="A59" s="16" t="n">
        <v>13</v>
      </c>
      <c r="B59" s="27" t="n">
        <v>96</v>
      </c>
      <c r="C59" s="28" t="n">
        <v>37.14</v>
      </c>
      <c r="D59" s="28" t="n">
        <v>212</v>
      </c>
      <c r="E59" s="17" t="inlineStr">
        <is>
          <t>ACUTAAS</t>
        </is>
      </c>
      <c r="F59" s="18" t="inlineStr">
        <is>
          <t>Acutaas Chemicals Ltd</t>
        </is>
      </c>
      <c r="G59" s="18" t="inlineStr">
        <is>
          <t>healthcare</t>
        </is>
      </c>
      <c r="H59" s="19" t="n">
        <v>29632.43</v>
      </c>
    </row>
    <row r="60">
      <c r="A60" s="16" t="n">
        <v>14</v>
      </c>
      <c r="B60" s="27" t="n">
        <v>96</v>
      </c>
      <c r="C60" s="28" t="n">
        <v>36.14</v>
      </c>
      <c r="D60" s="28" t="n">
        <v>210</v>
      </c>
      <c r="E60" s="17" t="inlineStr">
        <is>
          <t>RAMCOSYS</t>
        </is>
      </c>
      <c r="F60" s="18" t="inlineStr">
        <is>
          <t>Ramco Systems Limited</t>
        </is>
      </c>
      <c r="G60" s="18" t="inlineStr">
        <is>
          <t>i.t</t>
        </is>
      </c>
      <c r="H60" s="19" t="n">
        <v>2951.99</v>
      </c>
    </row>
    <row r="61">
      <c r="A61" s="16" t="n">
        <v>15</v>
      </c>
      <c r="B61" s="27" t="n">
        <v>96</v>
      </c>
      <c r="C61" s="28" t="n">
        <v>35.84</v>
      </c>
      <c r="D61" s="28" t="n">
        <v>220</v>
      </c>
      <c r="E61" s="17" t="inlineStr">
        <is>
          <t>AEGISLOG</t>
        </is>
      </c>
      <c r="F61" s="18" t="inlineStr">
        <is>
          <t>Aegis Logistics Ltd</t>
        </is>
      </c>
      <c r="G61" s="18" t="inlineStr">
        <is>
          <t>services</t>
        </is>
      </c>
      <c r="H61" s="19" t="n">
        <v>47353.41</v>
      </c>
    </row>
    <row r="62">
      <c r="A62" s="16" t="n">
        <v>16</v>
      </c>
      <c r="B62" s="27" t="n">
        <v>96</v>
      </c>
      <c r="C62" s="28" t="n">
        <v>35.71</v>
      </c>
      <c r="D62" s="28" t="n">
        <v>212</v>
      </c>
      <c r="E62" s="17" t="inlineStr">
        <is>
          <t>SKMEGGPROD</t>
        </is>
      </c>
      <c r="F62" s="18" t="inlineStr">
        <is>
          <t>Skm Egg Products Export (india) Limited</t>
        </is>
      </c>
      <c r="G62" s="18" t="inlineStr">
        <is>
          <t>fmcg</t>
        </is>
      </c>
      <c r="H62" s="19" t="n">
        <v>1679.59</v>
      </c>
    </row>
    <row r="63">
      <c r="A63" s="16" t="n">
        <v>17</v>
      </c>
      <c r="B63" s="27" t="n">
        <v>95</v>
      </c>
      <c r="C63" s="28" t="n">
        <v>34.86</v>
      </c>
      <c r="D63" s="28" t="n">
        <v>220</v>
      </c>
      <c r="E63" s="17" t="inlineStr">
        <is>
          <t>RPEL</t>
        </is>
      </c>
      <c r="F63" s="18" t="inlineStr">
        <is>
          <t>Raghav Productivity Enhancers Ltd</t>
        </is>
      </c>
      <c r="G63" s="18" t="inlineStr">
        <is>
          <t>building materials</t>
        </is>
      </c>
      <c r="H63" s="19" t="n">
        <v>6033.23</v>
      </c>
    </row>
    <row r="64">
      <c r="A64" s="16" t="n">
        <v>18</v>
      </c>
      <c r="B64" s="27" t="n">
        <v>95</v>
      </c>
      <c r="C64" s="28" t="n">
        <v>34.84</v>
      </c>
      <c r="D64" s="28" t="n">
        <v>175</v>
      </c>
      <c r="E64" s="17" t="inlineStr">
        <is>
          <t>INDSWFTLAB</t>
        </is>
      </c>
      <c r="F64" s="18" t="inlineStr">
        <is>
          <t>Ind-swift Laboratories Limited</t>
        </is>
      </c>
      <c r="G64" s="18" t="inlineStr">
        <is>
          <t>healthcare</t>
        </is>
      </c>
      <c r="H64" s="19" t="n">
        <v>2010.01</v>
      </c>
    </row>
    <row r="65">
      <c r="A65" s="16" t="n">
        <v>19</v>
      </c>
      <c r="B65" s="27" t="n">
        <v>95</v>
      </c>
      <c r="C65" s="28" t="n">
        <v>34.53</v>
      </c>
      <c r="D65" s="28" t="n">
        <v>188</v>
      </c>
      <c r="E65" s="17" t="inlineStr">
        <is>
          <t>YASHO</t>
        </is>
      </c>
      <c r="F65" s="18" t="inlineStr">
        <is>
          <t>Yasho Industries Ltd</t>
        </is>
      </c>
      <c r="G65" s="18" t="inlineStr">
        <is>
          <t>chemicals</t>
        </is>
      </c>
      <c r="H65" s="19" t="n">
        <v>3628.55</v>
      </c>
    </row>
    <row r="66">
      <c r="A66" s="16" t="n">
        <v>20</v>
      </c>
      <c r="B66" s="27" t="n">
        <v>95</v>
      </c>
      <c r="C66" s="28" t="n">
        <v>34.4</v>
      </c>
      <c r="D66" s="28" t="n">
        <v>195</v>
      </c>
      <c r="E66" s="17" t="inlineStr">
        <is>
          <t>INDOTECH</t>
        </is>
      </c>
      <c r="F66" s="18" t="inlineStr">
        <is>
          <t>Indo Tech Transformers Limited</t>
        </is>
      </c>
      <c r="G66" s="18" t="inlineStr">
        <is>
          <t>industrials</t>
        </is>
      </c>
      <c r="H66" s="19" t="n">
        <v>3611.76</v>
      </c>
    </row>
    <row r="67">
      <c r="A67" s="16" t="n">
        <v>21</v>
      </c>
      <c r="B67" s="29" t="n">
        <v>94</v>
      </c>
      <c r="C67" s="28" t="n">
        <v>34.04</v>
      </c>
      <c r="D67" s="28" t="n">
        <v>220</v>
      </c>
      <c r="E67" s="17" t="inlineStr">
        <is>
          <t>INDOBORAX</t>
        </is>
      </c>
      <c r="F67" s="18" t="inlineStr">
        <is>
          <t>Indo Borax &amp; Chemicals Ltd</t>
        </is>
      </c>
      <c r="G67" s="18" t="inlineStr">
        <is>
          <t>chemicals</t>
        </is>
      </c>
      <c r="H67" s="19" t="n">
        <v>1494.43</v>
      </c>
    </row>
    <row r="68">
      <c r="A68" s="16" t="n">
        <v>22</v>
      </c>
      <c r="B68" s="29" t="n">
        <v>94</v>
      </c>
      <c r="C68" s="28" t="n">
        <v>33.86</v>
      </c>
      <c r="D68" s="28" t="n">
        <v>202</v>
      </c>
      <c r="E68" s="17" t="inlineStr">
        <is>
          <t>KPL</t>
        </is>
      </c>
      <c r="F68" s="18" t="inlineStr">
        <is>
          <t>Kwality Pharmaceuticals Limited</t>
        </is>
      </c>
      <c r="G68" s="18" t="inlineStr">
        <is>
          <t>Healthcare</t>
        </is>
      </c>
      <c r="H68" s="19" t="n">
        <v>2868.24</v>
      </c>
    </row>
    <row r="69">
      <c r="A69" s="16" t="n">
        <v>23</v>
      </c>
      <c r="B69" s="29" t="n">
        <v>94</v>
      </c>
      <c r="C69" s="28" t="n">
        <v>33.83</v>
      </c>
      <c r="D69" s="28" t="n">
        <v>217</v>
      </c>
      <c r="E69" s="17" t="inlineStr">
        <is>
          <t>PAISALO</t>
        </is>
      </c>
      <c r="F69" s="18" t="inlineStr">
        <is>
          <t>Paisalo Digital Ltd</t>
        </is>
      </c>
      <c r="G69" s="18" t="inlineStr">
        <is>
          <t>financials</t>
        </is>
      </c>
      <c r="H69" s="19" t="n">
        <v>6525.82</v>
      </c>
    </row>
    <row r="70">
      <c r="A70" s="16" t="n">
        <v>24</v>
      </c>
      <c r="B70" s="29" t="n">
        <v>94</v>
      </c>
      <c r="C70" s="28" t="n">
        <v>32.97</v>
      </c>
      <c r="D70" s="28" t="n">
        <v>203</v>
      </c>
      <c r="E70" s="17" t="inlineStr">
        <is>
          <t>GRWRHITECH</t>
        </is>
      </c>
      <c r="F70" s="18" t="inlineStr">
        <is>
          <t>Garware Hi Tech Films Ltd</t>
        </is>
      </c>
      <c r="G70" s="18" t="inlineStr">
        <is>
          <t>industrials</t>
        </is>
      </c>
      <c r="H70" s="19" t="n">
        <v>16194.14</v>
      </c>
    </row>
    <row r="71">
      <c r="A71" s="16" t="n">
        <v>25</v>
      </c>
      <c r="B71" s="29" t="n">
        <v>94</v>
      </c>
      <c r="C71" s="28" t="n">
        <v>32.91</v>
      </c>
      <c r="D71" s="28" t="n">
        <v>168</v>
      </c>
      <c r="E71" s="17" t="inlineStr">
        <is>
          <t>BALAMINES</t>
        </is>
      </c>
      <c r="F71" s="18" t="inlineStr">
        <is>
          <t>Balaji Amines Limited</t>
        </is>
      </c>
      <c r="G71" s="18" t="inlineStr">
        <is>
          <t>chemicals</t>
        </is>
      </c>
      <c r="H71" s="19" t="n">
        <v>7416.91</v>
      </c>
    </row>
    <row r="72">
      <c r="A72" s="16" t="n">
        <v>26</v>
      </c>
      <c r="B72" s="29" t="n">
        <v>93</v>
      </c>
      <c r="C72" s="28" t="n">
        <v>32.46</v>
      </c>
      <c r="D72" s="28" t="n">
        <v>210</v>
      </c>
      <c r="E72" s="17" t="inlineStr">
        <is>
          <t>RPTECH</t>
        </is>
      </c>
      <c r="F72" s="18" t="inlineStr">
        <is>
          <t>Rashi Peripherals Ltd</t>
        </is>
      </c>
      <c r="G72" s="18" t="inlineStr">
        <is>
          <t>services</t>
        </is>
      </c>
      <c r="H72" s="19" t="n">
        <v>4840</v>
      </c>
    </row>
    <row r="73">
      <c r="A73" s="16" t="n">
        <v>27</v>
      </c>
      <c r="B73" s="29" t="n">
        <v>93</v>
      </c>
      <c r="C73" s="28" t="n">
        <v>31.61</v>
      </c>
      <c r="D73" s="28" t="n">
        <v>208</v>
      </c>
      <c r="E73" s="17" t="inlineStr">
        <is>
          <t>NRL</t>
        </is>
      </c>
      <c r="F73" s="18" t="inlineStr">
        <is>
          <t>Nupur Recyclers Ltd</t>
        </is>
      </c>
      <c r="G73" s="18" t="inlineStr">
        <is>
          <t>services</t>
        </is>
      </c>
      <c r="H73" s="19" t="n">
        <v>744.84</v>
      </c>
    </row>
    <row r="74">
      <c r="A74" s="16" t="n">
        <v>28</v>
      </c>
      <c r="B74" s="29" t="n">
        <v>93</v>
      </c>
      <c r="C74" s="28" t="n">
        <v>31.41</v>
      </c>
      <c r="D74" s="28" t="n">
        <v>195</v>
      </c>
      <c r="E74" s="17" t="inlineStr">
        <is>
          <t>KMEW</t>
        </is>
      </c>
      <c r="F74" s="18" t="inlineStr">
        <is>
          <t>Knowledge Marine &amp; Engineering Works Ltd</t>
        </is>
      </c>
      <c r="G74" s="18" t="inlineStr">
        <is>
          <t>transportation</t>
        </is>
      </c>
      <c r="H74" s="19" t="n">
        <v>5878.56</v>
      </c>
    </row>
    <row r="75">
      <c r="A75" s="16" t="n">
        <v>29</v>
      </c>
      <c r="B75" s="29" t="n">
        <v>93</v>
      </c>
      <c r="C75" s="28" t="n">
        <v>31.38</v>
      </c>
      <c r="D75" s="28" t="n">
        <v>222</v>
      </c>
      <c r="E75" s="17" t="inlineStr">
        <is>
          <t>SAKAR</t>
        </is>
      </c>
      <c r="F75" s="18" t="inlineStr">
        <is>
          <t>Sakar Healthcare Ltd</t>
        </is>
      </c>
      <c r="G75" s="18" t="inlineStr">
        <is>
          <t>healthcare</t>
        </is>
      </c>
      <c r="H75" s="19" t="n">
        <v>1952.87</v>
      </c>
    </row>
    <row r="76">
      <c r="A76" s="16" t="n">
        <v>30</v>
      </c>
      <c r="B76" s="29" t="n">
        <v>92</v>
      </c>
      <c r="C76" s="28" t="n">
        <v>31.09</v>
      </c>
      <c r="D76" s="28" t="n">
        <v>190</v>
      </c>
      <c r="E76" s="17" t="inlineStr">
        <is>
          <t>RATEGAIN</t>
        </is>
      </c>
      <c r="F76" s="18" t="inlineStr">
        <is>
          <t>Rategain Travel Technologies Ltd</t>
        </is>
      </c>
      <c r="G76" s="18" t="inlineStr">
        <is>
          <t>i.t</t>
        </is>
      </c>
      <c r="H76" s="19" t="n">
        <v>11233.99</v>
      </c>
    </row>
    <row r="77">
      <c r="A77" s="16" t="n">
        <v>31</v>
      </c>
      <c r="B77" s="29" t="n">
        <v>92</v>
      </c>
      <c r="C77" s="28" t="n">
        <v>30.73</v>
      </c>
      <c r="D77" s="28" t="n">
        <v>197</v>
      </c>
      <c r="E77" s="17" t="inlineStr">
        <is>
          <t>KERNEX</t>
        </is>
      </c>
      <c r="F77" s="18" t="inlineStr">
        <is>
          <t>Kernex Microsystems (India) Limited</t>
        </is>
      </c>
      <c r="G77" s="18" t="inlineStr">
        <is>
          <t>Technology</t>
        </is>
      </c>
      <c r="H77" s="19" t="n">
        <v>3562.54</v>
      </c>
    </row>
    <row r="78">
      <c r="A78" s="16" t="n">
        <v>32</v>
      </c>
      <c r="B78" s="29" t="n">
        <v>92</v>
      </c>
      <c r="C78" s="28" t="n">
        <v>30.51</v>
      </c>
      <c r="D78" s="28" t="n">
        <v>190</v>
      </c>
      <c r="E78" s="17" t="inlineStr">
        <is>
          <t>SENORES</t>
        </is>
      </c>
      <c r="F78" s="18" t="inlineStr">
        <is>
          <t>Senores Pharmaceuticals Ltd</t>
        </is>
      </c>
      <c r="G78" s="18" t="inlineStr">
        <is>
          <t>healthcare</t>
        </is>
      </c>
      <c r="H78" s="19" t="n">
        <v>6470.99</v>
      </c>
    </row>
    <row r="79">
      <c r="A79" s="16" t="n">
        <v>33</v>
      </c>
      <c r="B79" s="29" t="n">
        <v>92</v>
      </c>
      <c r="C79" s="28" t="n">
        <v>30.45</v>
      </c>
      <c r="D79" s="28" t="n">
        <v>215</v>
      </c>
      <c r="E79" s="17" t="inlineStr">
        <is>
          <t>IBULLSLTD</t>
        </is>
      </c>
      <c r="F79" s="18" t="inlineStr">
        <is>
          <t>Indiabulls Limited</t>
        </is>
      </c>
      <c r="G79" s="18" t="inlineStr">
        <is>
          <t>miscellaneous</t>
        </is>
      </c>
      <c r="H79" s="19" t="n">
        <v>6738.38</v>
      </c>
    </row>
    <row r="80">
      <c r="A80" s="16" t="n">
        <v>34</v>
      </c>
      <c r="B80" s="29" t="n">
        <v>92</v>
      </c>
      <c r="C80" s="28" t="n">
        <v>30.26</v>
      </c>
      <c r="D80" s="28" t="n">
        <v>208</v>
      </c>
      <c r="E80" s="17" t="inlineStr">
        <is>
          <t>KANORICHEM</t>
        </is>
      </c>
      <c r="F80" s="18" t="inlineStr">
        <is>
          <t>Kanoria Chemicals &amp; Industries Limited</t>
        </is>
      </c>
      <c r="G80" s="18" t="inlineStr">
        <is>
          <t>chemicals</t>
        </is>
      </c>
      <c r="H80" s="19" t="n">
        <v>618.87</v>
      </c>
    </row>
    <row r="81">
      <c r="A81" s="16" t="n">
        <v>35</v>
      </c>
      <c r="B81" s="29" t="n">
        <v>91</v>
      </c>
      <c r="C81" s="28" t="n">
        <v>28.89</v>
      </c>
      <c r="D81" s="28" t="n">
        <v>198</v>
      </c>
      <c r="E81" s="17" t="inlineStr">
        <is>
          <t>RUBYMILLS</t>
        </is>
      </c>
      <c r="F81" s="18" t="inlineStr">
        <is>
          <t>The Ruby Mills Limited</t>
        </is>
      </c>
      <c r="G81" s="18" t="inlineStr">
        <is>
          <t>textiles</t>
        </is>
      </c>
      <c r="H81" s="19" t="n">
        <v>1383.08</v>
      </c>
    </row>
    <row r="82">
      <c r="A82" s="16" t="n">
        <v>36</v>
      </c>
      <c r="B82" s="29" t="n">
        <v>91</v>
      </c>
      <c r="C82" s="28" t="n">
        <v>28.65</v>
      </c>
      <c r="D82" s="28" t="n">
        <v>200</v>
      </c>
      <c r="E82" s="17" t="inlineStr">
        <is>
          <t>ORCHPHARMA</t>
        </is>
      </c>
      <c r="F82" s="18" t="inlineStr">
        <is>
          <t>Orchid Pharma Ltd</t>
        </is>
      </c>
      <c r="G82" s="18" t="inlineStr">
        <is>
          <t>healthcare</t>
        </is>
      </c>
      <c r="H82" s="19" t="n">
        <v>5281.63</v>
      </c>
    </row>
    <row r="83">
      <c r="A83" s="16" t="n">
        <v>37</v>
      </c>
      <c r="B83" s="29" t="n">
        <v>91</v>
      </c>
      <c r="C83" s="28" t="n">
        <v>27.79</v>
      </c>
      <c r="D83" s="28" t="n">
        <v>195</v>
      </c>
      <c r="E83" s="17" t="inlineStr">
        <is>
          <t>AFCOM</t>
        </is>
      </c>
      <c r="F83" s="18" t="inlineStr">
        <is>
          <t>AFCOM</t>
        </is>
      </c>
      <c r="G83" s="18" t="inlineStr">
        <is>
          <t>Industrials</t>
        </is>
      </c>
      <c r="H83" s="19" t="n">
        <v>4168.62</v>
      </c>
    </row>
    <row r="84">
      <c r="A84" s="16" t="n">
        <v>38</v>
      </c>
      <c r="B84" s="29" t="n">
        <v>91</v>
      </c>
      <c r="C84" s="28" t="n">
        <v>27.2</v>
      </c>
      <c r="D84" s="28" t="n">
        <v>202</v>
      </c>
      <c r="E84" s="17" t="inlineStr">
        <is>
          <t>KMCSHIL</t>
        </is>
      </c>
      <c r="F84" s="18" t="inlineStr">
        <is>
          <t>KMC Speciality Hospitals (India) Limited</t>
        </is>
      </c>
      <c r="G84" s="18" t="inlineStr">
        <is>
          <t>Healthcare</t>
        </is>
      </c>
      <c r="H84" s="19" t="n">
        <v>2181.26</v>
      </c>
    </row>
    <row r="85">
      <c r="A85" s="16" t="n">
        <v>39</v>
      </c>
      <c r="B85" s="29" t="n">
        <v>90</v>
      </c>
      <c r="C85" s="28" t="n">
        <v>27.09</v>
      </c>
      <c r="D85" s="28" t="n">
        <v>178</v>
      </c>
      <c r="E85" s="17" t="inlineStr">
        <is>
          <t>SBC</t>
        </is>
      </c>
      <c r="F85" s="18" t="inlineStr">
        <is>
          <t>SBC Exports Ltd</t>
        </is>
      </c>
      <c r="G85" s="18" t="inlineStr">
        <is>
          <t>textiles</t>
        </is>
      </c>
      <c r="H85" s="19" t="n">
        <v>2012.86</v>
      </c>
    </row>
    <row r="86">
      <c r="A86" s="16" t="n">
        <v>40</v>
      </c>
      <c r="B86" s="29" t="n">
        <v>90</v>
      </c>
      <c r="C86" s="28" t="n">
        <v>26.81</v>
      </c>
      <c r="D86" s="28" t="n">
        <v>208</v>
      </c>
      <c r="E86" s="17" t="inlineStr">
        <is>
          <t>SANSERA</t>
        </is>
      </c>
      <c r="F86" s="18" t="inlineStr">
        <is>
          <t>Sansera Engineering Ltd</t>
        </is>
      </c>
      <c r="G86" s="18" t="inlineStr">
        <is>
          <t>auto</t>
        </is>
      </c>
      <c r="H86" s="19" t="n">
        <v>20086.46</v>
      </c>
    </row>
    <row r="87">
      <c r="A87" s="16" t="n">
        <v>41</v>
      </c>
      <c r="B87" s="29" t="n">
        <v>90</v>
      </c>
      <c r="C87" s="28" t="n">
        <v>26.68</v>
      </c>
      <c r="D87" s="28" t="n">
        <v>213</v>
      </c>
      <c r="E87" s="17" t="inlineStr">
        <is>
          <t>RISHABH</t>
        </is>
      </c>
      <c r="F87" s="18" t="inlineStr">
        <is>
          <t>Rishabh Instruments Ltd</t>
        </is>
      </c>
      <c r="G87" s="18" t="inlineStr">
        <is>
          <t>industrials</t>
        </is>
      </c>
      <c r="H87" s="19" t="n">
        <v>2529</v>
      </c>
    </row>
    <row r="88">
      <c r="A88" s="16" t="n">
        <v>42</v>
      </c>
      <c r="B88" s="29" t="n">
        <v>90</v>
      </c>
      <c r="C88" s="28" t="n">
        <v>26.42</v>
      </c>
      <c r="D88" s="28" t="n">
        <v>227</v>
      </c>
      <c r="E88" s="17" t="inlineStr">
        <is>
          <t>IOLCP</t>
        </is>
      </c>
      <c r="F88" s="18" t="inlineStr">
        <is>
          <t>IOL Chemicals and Pharmaceuticals Limited</t>
        </is>
      </c>
      <c r="G88" s="18" t="inlineStr">
        <is>
          <t>Healthcare</t>
        </is>
      </c>
      <c r="H88" s="19" t="n">
        <v>4562.3</v>
      </c>
    </row>
    <row r="89">
      <c r="A89" s="16" t="n">
        <v>43</v>
      </c>
      <c r="B89" s="29" t="n">
        <v>90</v>
      </c>
      <c r="C89" s="28" t="n">
        <v>25.98</v>
      </c>
      <c r="D89" s="28" t="n">
        <v>213</v>
      </c>
      <c r="E89" s="17" t="inlineStr">
        <is>
          <t>ASTRAMICRO</t>
        </is>
      </c>
      <c r="F89" s="18" t="inlineStr">
        <is>
          <t>Astra Microwave Products Limited</t>
        </is>
      </c>
      <c r="G89" s="18" t="inlineStr">
        <is>
          <t>aerospace &amp; defence</t>
        </is>
      </c>
      <c r="H89" s="19" t="n">
        <v>16338.14</v>
      </c>
    </row>
    <row r="90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TINNARUBR</t>
        </is>
      </c>
      <c r="B2" s="31" t="inlineStr">
        <is>
          <t>Tinna Rubber &amp; Infrastructure Ltd</t>
        </is>
      </c>
      <c r="C2" s="31" t="inlineStr">
        <is>
          <t>fmcg</t>
        </is>
      </c>
      <c r="D2" s="31" t="inlineStr">
        <is>
          <t>miscellaneous</t>
        </is>
      </c>
      <c r="E2" s="31" t="inlineStr">
        <is>
          <t>smallcap</t>
        </is>
      </c>
      <c r="F2" s="31" t="n">
        <v>1786.44</v>
      </c>
      <c r="G2" s="31" t="n">
        <v>1189.9</v>
      </c>
      <c r="H2" s="31" t="n">
        <v>20</v>
      </c>
      <c r="I2" s="31" t="n">
        <v>1222578</v>
      </c>
      <c r="J2" s="31" t="inlineStr">
        <is>
          <t>530475</t>
        </is>
      </c>
    </row>
    <row r="3">
      <c r="A3" s="31" t="inlineStr">
        <is>
          <t>TATVA</t>
        </is>
      </c>
      <c r="B3" s="31" t="inlineStr">
        <is>
          <t>Tatva Chintan Pharma Chem Ltd</t>
        </is>
      </c>
      <c r="C3" s="31" t="inlineStr">
        <is>
          <t>chemicals</t>
        </is>
      </c>
      <c r="D3" s="31" t="inlineStr">
        <is>
          <t>chemicals</t>
        </is>
      </c>
      <c r="E3" s="31" t="inlineStr">
        <is>
          <t>smallcap</t>
        </is>
      </c>
      <c r="F3" s="31" t="n">
        <v>3340.62</v>
      </c>
      <c r="G3" s="31" t="n">
        <v>1713.7</v>
      </c>
      <c r="H3" s="31" t="n">
        <v>20</v>
      </c>
      <c r="I3" s="31" t="n">
        <v>3293812</v>
      </c>
      <c r="J3" s="31" t="inlineStr">
        <is>
          <t>543321</t>
        </is>
      </c>
    </row>
    <row r="4">
      <c r="A4" s="31" t="inlineStr">
        <is>
          <t>DYCL</t>
        </is>
      </c>
      <c r="B4" s="31" t="inlineStr">
        <is>
          <t>Dynamic Cables Ltd</t>
        </is>
      </c>
      <c r="C4" s="31" t="inlineStr">
        <is>
          <t>industrials</t>
        </is>
      </c>
      <c r="D4" s="31" t="inlineStr">
        <is>
          <t>cables - power</t>
        </is>
      </c>
      <c r="E4" s="31" t="inlineStr">
        <is>
          <t>smallcap</t>
        </is>
      </c>
      <c r="F4" s="31" t="n">
        <v>1872.93</v>
      </c>
      <c r="G4" s="31" t="n">
        <v>445.65</v>
      </c>
      <c r="H4" s="31" t="n">
        <v>15.3</v>
      </c>
      <c r="I4" s="31" t="n">
        <v>19862249</v>
      </c>
      <c r="J4" s="31" t="inlineStr">
        <is>
          <t>540795</t>
        </is>
      </c>
    </row>
    <row r="5">
      <c r="A5" s="31" t="inlineStr">
        <is>
          <t>ORIENTHOT</t>
        </is>
      </c>
      <c r="B5" s="31" t="inlineStr">
        <is>
          <t>Oriental Hotels Limited</t>
        </is>
      </c>
      <c r="C5" s="31" t="inlineStr">
        <is>
          <t>services</t>
        </is>
      </c>
      <c r="D5" s="31" t="inlineStr">
        <is>
          <t>hotels</t>
        </is>
      </c>
      <c r="E5" s="31" t="inlineStr">
        <is>
          <t>smallcap</t>
        </is>
      </c>
      <c r="F5" s="31" t="n">
        <v>2261.24</v>
      </c>
      <c r="G5" s="31" t="n">
        <v>143.68</v>
      </c>
      <c r="H5" s="31" t="n">
        <v>13.48</v>
      </c>
      <c r="I5" s="31" t="n">
        <v>9634260</v>
      </c>
      <c r="J5" s="31" t="inlineStr">
        <is>
          <t>500314</t>
        </is>
      </c>
    </row>
    <row r="6">
      <c r="A6" s="31" t="inlineStr">
        <is>
          <t>BEPL</t>
        </is>
      </c>
      <c r="B6" s="31" t="inlineStr">
        <is>
          <t>Bhansali Engineering Polymers Limited</t>
        </is>
      </c>
      <c r="C6" s="31" t="inlineStr">
        <is>
          <t>energy</t>
        </is>
      </c>
      <c r="D6" s="31" t="inlineStr">
        <is>
          <t>petrochemicals</t>
        </is>
      </c>
      <c r="E6" s="31" t="inlineStr">
        <is>
          <t>smallcap</t>
        </is>
      </c>
      <c r="F6" s="31" t="n">
        <v>2814.59</v>
      </c>
      <c r="G6" s="31" t="n">
        <v>127.77</v>
      </c>
      <c r="H6" s="31" t="n">
        <v>12.97</v>
      </c>
      <c r="I6" s="31" t="n">
        <v>102860780</v>
      </c>
      <c r="J6" s="31" t="inlineStr">
        <is>
          <t>500052</t>
        </is>
      </c>
    </row>
    <row r="7">
      <c r="A7" s="31" t="inlineStr">
        <is>
          <t>COMSYN</t>
        </is>
      </c>
      <c r="B7" s="31" t="inlineStr">
        <is>
          <t>Commercial Syn Bags Ltd</t>
        </is>
      </c>
      <c r="C7" s="31" t="inlineStr">
        <is>
          <t>industrials</t>
        </is>
      </c>
      <c r="D7" s="31" t="inlineStr">
        <is>
          <t>packaging</t>
        </is>
      </c>
      <c r="E7" s="31" t="inlineStr">
        <is>
          <t>smallcap</t>
        </is>
      </c>
      <c r="F7" s="31" t="n">
        <v>763.5</v>
      </c>
      <c r="G7" s="31" t="n">
        <v>209.35</v>
      </c>
      <c r="H7" s="31" t="n">
        <v>10.61</v>
      </c>
      <c r="I7" s="31" t="n">
        <v>3872284</v>
      </c>
      <c r="J7" s="31" t="inlineStr">
        <is>
          <t>539986</t>
        </is>
      </c>
    </row>
    <row r="8">
      <c r="A8" s="31" t="inlineStr">
        <is>
          <t>DIACABS</t>
        </is>
      </c>
      <c r="B8" s="31" t="inlineStr">
        <is>
          <t>Diamond Power Infrastructure Ltd</t>
        </is>
      </c>
      <c r="C8" s="31" t="inlineStr">
        <is>
          <t>industrials</t>
        </is>
      </c>
      <c r="D8" s="31" t="inlineStr">
        <is>
          <t>cables - power</t>
        </is>
      </c>
      <c r="E8" s="31" t="inlineStr">
        <is>
          <t>midcap</t>
        </is>
      </c>
      <c r="F8" s="31" t="n">
        <v>11718.78</v>
      </c>
      <c r="G8" s="31" t="n">
        <v>244.61</v>
      </c>
      <c r="H8" s="31" t="n">
        <v>10</v>
      </c>
      <c r="I8" s="31" t="n">
        <v>9896915</v>
      </c>
      <c r="J8" s="31" t="inlineStr">
        <is>
          <t>522163</t>
        </is>
      </c>
    </row>
    <row r="9">
      <c r="A9" s="31" t="inlineStr">
        <is>
          <t>JGCHEM</t>
        </is>
      </c>
      <c r="B9" s="31" t="inlineStr">
        <is>
          <t>J.G.Chemicals Ltd</t>
        </is>
      </c>
      <c r="C9" s="31" t="inlineStr">
        <is>
          <t>chemicals</t>
        </is>
      </c>
      <c r="D9" s="31" t="inlineStr">
        <is>
          <t>chemicals</t>
        </is>
      </c>
      <c r="E9" s="31" t="inlineStr">
        <is>
          <t>smallcap</t>
        </is>
      </c>
      <c r="F9" s="31" t="n">
        <v>1745.54</v>
      </c>
      <c r="G9" s="31" t="n">
        <v>489.2</v>
      </c>
      <c r="H9" s="31" t="n">
        <v>9.82</v>
      </c>
      <c r="I9" s="31" t="n">
        <v>2555053</v>
      </c>
      <c r="J9" s="31" t="n"/>
    </row>
    <row r="10">
      <c r="A10" s="31" t="inlineStr">
        <is>
          <t>GANDHAR</t>
        </is>
      </c>
      <c r="B10" s="31" t="inlineStr">
        <is>
          <t>Gandhar Oil Refinery (India) Ltd</t>
        </is>
      </c>
      <c r="C10" s="31" t="inlineStr">
        <is>
          <t>energy</t>
        </is>
      </c>
      <c r="D10" s="31" t="inlineStr">
        <is>
          <t>refineries</t>
        </is>
      </c>
      <c r="E10" s="31" t="inlineStr">
        <is>
          <t>smallcap</t>
        </is>
      </c>
      <c r="F10" s="31" t="n">
        <v>2035.21</v>
      </c>
      <c r="G10" s="31" t="n">
        <v>228.32</v>
      </c>
      <c r="H10" s="31" t="n">
        <v>9.81</v>
      </c>
      <c r="I10" s="31" t="n">
        <v>3212464</v>
      </c>
      <c r="J10" s="31" t="inlineStr">
        <is>
          <t>544029</t>
        </is>
      </c>
    </row>
    <row r="11">
      <c r="A11" s="31" t="inlineStr">
        <is>
          <t>RICOAUTO</t>
        </is>
      </c>
      <c r="B11" s="31" t="inlineStr">
        <is>
          <t>Rico Auto Industries Limited</t>
        </is>
      </c>
      <c r="C11" s="31" t="inlineStr">
        <is>
          <t>auto</t>
        </is>
      </c>
      <c r="D11" s="31" t="inlineStr">
        <is>
          <t>auto ancillaries</t>
        </is>
      </c>
      <c r="E11" s="31" t="inlineStr">
        <is>
          <t>smallcap</t>
        </is>
      </c>
      <c r="F11" s="31" t="n">
        <v>1724.48</v>
      </c>
      <c r="G11" s="31" t="n">
        <v>138.36</v>
      </c>
      <c r="H11" s="31" t="n">
        <v>8.539999999999999</v>
      </c>
      <c r="I11" s="31" t="n">
        <v>6335691</v>
      </c>
      <c r="J11" s="31" t="inlineStr">
        <is>
          <t>520008</t>
        </is>
      </c>
    </row>
    <row r="12">
      <c r="A12" s="31" t="inlineStr">
        <is>
          <t>PANAMAPET</t>
        </is>
      </c>
      <c r="B12" s="31" t="inlineStr">
        <is>
          <t>Panama Petrochem Limited</t>
        </is>
      </c>
      <c r="C12" s="31" t="inlineStr">
        <is>
          <t>energy</t>
        </is>
      </c>
      <c r="D12" s="31" t="inlineStr">
        <is>
          <t>petrochemicals</t>
        </is>
      </c>
      <c r="E12" s="31" t="inlineStr">
        <is>
          <t>smallcap</t>
        </is>
      </c>
      <c r="F12" s="31" t="n">
        <v>2528.93</v>
      </c>
      <c r="G12" s="31" t="n">
        <v>453.3</v>
      </c>
      <c r="H12" s="31" t="n">
        <v>8.43</v>
      </c>
      <c r="I12" s="31" t="n">
        <v>689844</v>
      </c>
      <c r="J12" s="31" t="inlineStr">
        <is>
          <t>524820</t>
        </is>
      </c>
    </row>
    <row r="13">
      <c r="A13" s="31" t="inlineStr">
        <is>
          <t>KROSS</t>
        </is>
      </c>
      <c r="B13" s="31" t="inlineStr">
        <is>
          <t>Kross Ltd</t>
        </is>
      </c>
      <c r="C13" s="31" t="inlineStr">
        <is>
          <t>auto</t>
        </is>
      </c>
      <c r="D13" s="31" t="inlineStr">
        <is>
          <t>auto ancillaries</t>
        </is>
      </c>
      <c r="E13" s="31" t="inlineStr">
        <is>
          <t>smallcap</t>
        </is>
      </c>
      <c r="F13" s="31" t="n">
        <v>1240.19</v>
      </c>
      <c r="G13" s="31" t="n">
        <v>208.32</v>
      </c>
      <c r="H13" s="31" t="n">
        <v>8.359999999999999</v>
      </c>
      <c r="I13" s="31" t="n">
        <v>25351624</v>
      </c>
      <c r="J13" s="31" t="inlineStr">
        <is>
          <t>544253</t>
        </is>
      </c>
    </row>
    <row r="14">
      <c r="A14" s="31" t="inlineStr">
        <is>
          <t>JSFB</t>
        </is>
      </c>
      <c r="B14" s="31" t="inlineStr">
        <is>
          <t>Jana Small Finance Bank Ltd</t>
        </is>
      </c>
      <c r="C14" s="31" t="inlineStr">
        <is>
          <t>bank</t>
        </is>
      </c>
      <c r="D14" s="31" t="inlineStr">
        <is>
          <t>banks - private sector</t>
        </is>
      </c>
      <c r="E14" s="31" t="inlineStr">
        <is>
          <t>midcap</t>
        </is>
      </c>
      <c r="F14" s="31" t="n">
        <v>5193.31</v>
      </c>
      <c r="G14" s="31" t="n">
        <v>531.6</v>
      </c>
      <c r="H14" s="31" t="n">
        <v>7.83</v>
      </c>
      <c r="I14" s="31" t="n">
        <v>4230716</v>
      </c>
      <c r="J14" s="31" t="n"/>
    </row>
    <row r="15">
      <c r="A15" s="31" t="inlineStr">
        <is>
          <t>DPABHUSHAN</t>
        </is>
      </c>
      <c r="B15" s="31" t="inlineStr">
        <is>
          <t>D.P. Abhushan Ltd</t>
        </is>
      </c>
      <c r="C15" s="31" t="inlineStr">
        <is>
          <t>consumer discretionary</t>
        </is>
      </c>
      <c r="D15" s="31" t="inlineStr">
        <is>
          <t>diamond cutting / jewellery</t>
        </is>
      </c>
      <c r="E15" s="31" t="inlineStr">
        <is>
          <t>smallcap</t>
        </is>
      </c>
      <c r="F15" s="31" t="n">
        <v>3049.81</v>
      </c>
      <c r="G15" s="31" t="n">
        <v>1434.35</v>
      </c>
      <c r="H15" s="31" t="n">
        <v>7.36</v>
      </c>
      <c r="I15" s="31" t="n">
        <v>1525531</v>
      </c>
      <c r="J15" s="31" t="inlineStr">
        <is>
          <t>535026</t>
        </is>
      </c>
    </row>
    <row r="16">
      <c r="A16" s="31" t="inlineStr">
        <is>
          <t>MBAPL</t>
        </is>
      </c>
      <c r="B16" s="31" t="inlineStr">
        <is>
          <t>Madhya Bharat Agro Products Ltd</t>
        </is>
      </c>
      <c r="C16" s="31" t="inlineStr">
        <is>
          <t>chemicals</t>
        </is>
      </c>
      <c r="D16" s="31" t="inlineStr">
        <is>
          <t>fertilizers</t>
        </is>
      </c>
      <c r="E16" s="31" t="inlineStr">
        <is>
          <t>smallcap</t>
        </is>
      </c>
      <c r="F16" s="31" t="n">
        <v>1193.48</v>
      </c>
      <c r="G16" s="31" t="n">
        <v>145.55</v>
      </c>
      <c r="H16" s="31" t="n">
        <v>6.86</v>
      </c>
      <c r="I16" s="31" t="n">
        <v>3421257</v>
      </c>
      <c r="J16" s="31" t="inlineStr">
        <is>
          <t>538370</t>
        </is>
      </c>
    </row>
    <row r="17">
      <c r="A17" s="31" t="inlineStr">
        <is>
          <t>THYROCARE</t>
        </is>
      </c>
      <c r="B17" s="31" t="inlineStr">
        <is>
          <t>Thyrocare Technologies Limited</t>
        </is>
      </c>
      <c r="C17" s="31" t="inlineStr">
        <is>
          <t>healthcare</t>
        </is>
      </c>
      <c r="D17" s="31" t="inlineStr">
        <is>
          <t>healthcare</t>
        </is>
      </c>
      <c r="E17" s="31" t="inlineStr">
        <is>
          <t>midcap</t>
        </is>
      </c>
      <c r="F17" s="31" t="n">
        <v>8286.15</v>
      </c>
      <c r="G17" s="31" t="n">
        <v>555.5</v>
      </c>
      <c r="H17" s="31" t="n">
        <v>6.7</v>
      </c>
      <c r="I17" s="31" t="n">
        <v>1185446</v>
      </c>
      <c r="J17" s="31" t="inlineStr">
        <is>
          <t>539871</t>
        </is>
      </c>
    </row>
    <row r="18">
      <c r="A18" s="31" t="inlineStr">
        <is>
          <t>KABRAEXTRU</t>
        </is>
      </c>
      <c r="B18" s="31" t="inlineStr">
        <is>
          <t>Kabra Extrusion Technik Limited</t>
        </is>
      </c>
      <c r="C18" s="31" t="inlineStr">
        <is>
          <t>industrials</t>
        </is>
      </c>
      <c r="D18" s="31" t="inlineStr">
        <is>
          <t>engineering</t>
        </is>
      </c>
      <c r="E18" s="31" t="inlineStr">
        <is>
          <t>smallcap</t>
        </is>
      </c>
      <c r="F18" s="31" t="n">
        <v>1156.55</v>
      </c>
      <c r="G18" s="31" t="n">
        <v>351.65</v>
      </c>
      <c r="H18" s="31" t="n">
        <v>6.34</v>
      </c>
      <c r="I18" s="31" t="n">
        <v>355854</v>
      </c>
      <c r="J18" s="31" t="inlineStr">
        <is>
          <t>524109</t>
        </is>
      </c>
    </row>
    <row r="19">
      <c r="A19" s="31" t="inlineStr">
        <is>
          <t>WABAG</t>
        </is>
      </c>
      <c r="B19" s="31" t="inlineStr">
        <is>
          <t>Va Tech Wabag Limited</t>
        </is>
      </c>
      <c r="C19" s="31" t="inlineStr">
        <is>
          <t>realty</t>
        </is>
      </c>
      <c r="D19" s="31" t="inlineStr">
        <is>
          <t>engineering - turnkey services</t>
        </is>
      </c>
      <c r="E19" s="31" t="inlineStr">
        <is>
          <t>midcap</t>
        </is>
      </c>
      <c r="F19" s="31" t="n">
        <v>12406.46</v>
      </c>
      <c r="G19" s="31" t="n">
        <v>2117</v>
      </c>
      <c r="H19" s="31" t="n">
        <v>6.32</v>
      </c>
      <c r="I19" s="31" t="n">
        <v>1527205</v>
      </c>
      <c r="J19" s="31" t="inlineStr">
        <is>
          <t>533269</t>
        </is>
      </c>
    </row>
    <row r="20">
      <c r="A20" s="31" t="inlineStr">
        <is>
          <t>NOVARTIND</t>
        </is>
      </c>
      <c r="B20" s="31" t="inlineStr">
        <is>
          <t>Novartis India Ltd</t>
        </is>
      </c>
      <c r="C20" s="31" t="inlineStr">
        <is>
          <t>healthcare</t>
        </is>
      </c>
      <c r="D20" s="31" t="inlineStr">
        <is>
          <t>pharmaceuticals - multinational</t>
        </is>
      </c>
      <c r="E20" s="31" t="inlineStr">
        <is>
          <t>smallcap</t>
        </is>
      </c>
      <c r="F20" s="31" t="n">
        <v>3876.7</v>
      </c>
      <c r="G20" s="31" t="n">
        <v>1667.9</v>
      </c>
      <c r="H20" s="31" t="n">
        <v>6.23</v>
      </c>
      <c r="I20" s="31" t="n">
        <v>42799</v>
      </c>
      <c r="J20" s="31" t="inlineStr">
        <is>
          <t>500672</t>
        </is>
      </c>
    </row>
    <row r="21">
      <c r="A21" s="31" t="inlineStr">
        <is>
          <t>TIPSMUSIC</t>
        </is>
      </c>
      <c r="B21" s="31" t="inlineStr">
        <is>
          <t>Tips Music Ltd</t>
        </is>
      </c>
      <c r="C21" s="31" t="inlineStr">
        <is>
          <t>media</t>
        </is>
      </c>
      <c r="D21" s="31" t="inlineStr">
        <is>
          <t>entertainment / electronic media software</t>
        </is>
      </c>
      <c r="E21" s="31" t="inlineStr">
        <is>
          <t>midcap</t>
        </is>
      </c>
      <c r="F21" s="31" t="n">
        <v>8551.93</v>
      </c>
      <c r="G21" s="31" t="n">
        <v>710.55</v>
      </c>
      <c r="H21" s="31" t="n">
        <v>6.21</v>
      </c>
      <c r="I21" s="31" t="n">
        <v>3349651</v>
      </c>
      <c r="J21" s="31" t="inlineStr">
        <is>
          <t>532375</t>
        </is>
      </c>
    </row>
    <row r="22">
      <c r="A22" s="31" t="inlineStr">
        <is>
          <t>SKYGOLD</t>
        </is>
      </c>
      <c r="B22" s="31" t="inlineStr">
        <is>
          <t>Sky Gold Ltd</t>
        </is>
      </c>
      <c r="C22" s="31" t="inlineStr">
        <is>
          <t>consumer discretionary</t>
        </is>
      </c>
      <c r="D22" s="31" t="inlineStr">
        <is>
          <t>diamond cutting / jewellery</t>
        </is>
      </c>
      <c r="E22" s="31" t="inlineStr">
        <is>
          <t>midcap</t>
        </is>
      </c>
      <c r="F22" s="31" t="n">
        <v>9622.309999999999</v>
      </c>
      <c r="G22" s="31" t="n">
        <v>658.35</v>
      </c>
      <c r="H22" s="31" t="n">
        <v>5.96</v>
      </c>
      <c r="I22" s="31" t="n">
        <v>1579631</v>
      </c>
      <c r="J22" s="31" t="inlineStr">
        <is>
          <t>541967</t>
        </is>
      </c>
    </row>
    <row r="23">
      <c r="A23" s="31" t="inlineStr">
        <is>
          <t>VISHNU</t>
        </is>
      </c>
      <c r="B23" s="31" t="inlineStr">
        <is>
          <t>Vishnu Chemicals Limited</t>
        </is>
      </c>
      <c r="C23" s="31" t="inlineStr">
        <is>
          <t>chemicals</t>
        </is>
      </c>
      <c r="D23" s="31" t="inlineStr">
        <is>
          <t>chemicals</t>
        </is>
      </c>
      <c r="E23" s="31" t="inlineStr">
        <is>
          <t>smallcap</t>
        </is>
      </c>
      <c r="F23" s="31" t="n">
        <v>4077.62</v>
      </c>
      <c r="G23" s="31" t="n">
        <v>640.1</v>
      </c>
      <c r="H23" s="31" t="n">
        <v>5.67</v>
      </c>
      <c r="I23" s="31" t="n">
        <v>177391</v>
      </c>
      <c r="J23" s="31" t="inlineStr">
        <is>
          <t>516072</t>
        </is>
      </c>
    </row>
    <row r="24">
      <c r="A24" s="31" t="inlineStr">
        <is>
          <t>PNB</t>
        </is>
      </c>
      <c r="B24" s="31" t="inlineStr">
        <is>
          <t>Punjab National Bank Ltd</t>
        </is>
      </c>
      <c r="C24" s="31" t="inlineStr">
        <is>
          <t>bank</t>
        </is>
      </c>
      <c r="D24" s="31" t="inlineStr">
        <is>
          <t>banks - public sector</t>
        </is>
      </c>
      <c r="E24" s="31" t="inlineStr">
        <is>
          <t>largecap</t>
        </is>
      </c>
      <c r="F24" s="31" t="n">
        <v>121560.86</v>
      </c>
      <c r="G24" s="31" t="n">
        <v>111.76</v>
      </c>
      <c r="H24" s="31" t="n">
        <v>5.66</v>
      </c>
      <c r="I24" s="31" t="n">
        <v>118992976</v>
      </c>
      <c r="J24" s="31" t="inlineStr">
        <is>
          <t>532461</t>
        </is>
      </c>
    </row>
    <row r="25">
      <c r="A25" s="31" t="inlineStr">
        <is>
          <t>LLOYDSENT</t>
        </is>
      </c>
      <c r="B25" s="31" t="inlineStr">
        <is>
          <t>Lloyds Enterprises Ltd</t>
        </is>
      </c>
      <c r="C25" s="31" t="inlineStr">
        <is>
          <t>services</t>
        </is>
      </c>
      <c r="D25" s="31" t="inlineStr">
        <is>
          <t>trading</t>
        </is>
      </c>
      <c r="E25" s="31" t="inlineStr">
        <is>
          <t>midcap</t>
        </is>
      </c>
      <c r="F25" s="31" t="n">
        <v>11891.84</v>
      </c>
      <c r="G25" s="31" t="n">
        <v>82.23</v>
      </c>
      <c r="H25" s="31" t="n">
        <v>5.56</v>
      </c>
      <c r="I25" s="31" t="n">
        <v>17344517</v>
      </c>
      <c r="J25" s="31" t="inlineStr">
        <is>
          <t>512463</t>
        </is>
      </c>
    </row>
    <row r="26">
      <c r="A26" s="31" t="inlineStr">
        <is>
          <t>MUTHOOTMF</t>
        </is>
      </c>
      <c r="B26" s="31" t="inlineStr">
        <is>
          <t>Muthoot Microfin Ltd</t>
        </is>
      </c>
      <c r="C26" s="31" t="inlineStr">
        <is>
          <t>financials</t>
        </is>
      </c>
      <c r="D26" s="31" t="inlineStr">
        <is>
          <t>finance &amp; investments</t>
        </is>
      </c>
      <c r="E26" s="31" t="inlineStr">
        <is>
          <t>smallcap</t>
        </is>
      </c>
      <c r="F26" s="31" t="n">
        <v>4092.84</v>
      </c>
      <c r="G26" s="31" t="n">
        <v>253.29</v>
      </c>
      <c r="H26" s="31" t="n">
        <v>5.51</v>
      </c>
      <c r="I26" s="31" t="n">
        <v>1239974</v>
      </c>
      <c r="J26" s="31" t="inlineStr">
        <is>
          <t>544055</t>
        </is>
      </c>
    </row>
    <row r="27">
      <c r="A27" s="31" t="inlineStr">
        <is>
          <t>RPGLIFE</t>
        </is>
      </c>
      <c r="B27" s="31" t="inlineStr">
        <is>
          <t>Rpg Life Sciences Limited</t>
        </is>
      </c>
      <c r="C27" s="31" t="inlineStr">
        <is>
          <t>healthcare</t>
        </is>
      </c>
      <c r="D27" s="31" t="inlineStr">
        <is>
          <t>pharmaceuticals - indian - bulk drugs &amp; formln</t>
        </is>
      </c>
      <c r="E27" s="31" t="inlineStr">
        <is>
          <t>smallcap</t>
        </is>
      </c>
      <c r="F27" s="31" t="n">
        <v>4729.83</v>
      </c>
      <c r="G27" s="31" t="n">
        <v>3017.1</v>
      </c>
      <c r="H27" s="31" t="n">
        <v>5.5</v>
      </c>
      <c r="I27" s="31" t="n">
        <v>116123</v>
      </c>
      <c r="J27" s="31" t="inlineStr">
        <is>
          <t>532983</t>
        </is>
      </c>
    </row>
    <row r="28">
      <c r="A28" s="31" t="inlineStr">
        <is>
          <t>METROPOLIS</t>
        </is>
      </c>
      <c r="B28" s="31" t="inlineStr">
        <is>
          <t>Metropolis Healthcare Ltd</t>
        </is>
      </c>
      <c r="C28" s="31" t="inlineStr">
        <is>
          <t>healthcare</t>
        </is>
      </c>
      <c r="D28" s="31" t="inlineStr">
        <is>
          <t>healthcare</t>
        </is>
      </c>
      <c r="E28" s="31" t="inlineStr">
        <is>
          <t>midcap</t>
        </is>
      </c>
      <c r="F28" s="31" t="n">
        <v>11305.58</v>
      </c>
      <c r="G28" s="31" t="n">
        <v>573.75</v>
      </c>
      <c r="H28" s="31" t="n">
        <v>5.22</v>
      </c>
      <c r="I28" s="31" t="n">
        <v>367019</v>
      </c>
      <c r="J28" s="31" t="inlineStr">
        <is>
          <t>542650</t>
        </is>
      </c>
    </row>
    <row r="29">
      <c r="A29" s="31" t="inlineStr">
        <is>
          <t>VMART</t>
        </is>
      </c>
      <c r="B29" s="31" t="inlineStr">
        <is>
          <t>V-mart Retail Limited</t>
        </is>
      </c>
      <c r="C29" s="31" t="inlineStr">
        <is>
          <t>consumer discretionary</t>
        </is>
      </c>
      <c r="D29" s="31" t="inlineStr">
        <is>
          <t>trading</t>
        </is>
      </c>
      <c r="E29" s="31" t="inlineStr">
        <is>
          <t>midcap</t>
        </is>
      </c>
      <c r="F29" s="31" t="n">
        <v>5929.18</v>
      </c>
      <c r="G29" s="31" t="n">
        <v>785.1</v>
      </c>
      <c r="H29" s="31" t="n">
        <v>5.21</v>
      </c>
      <c r="I29" s="31" t="n">
        <v>185874</v>
      </c>
      <c r="J29" s="31" t="inlineStr">
        <is>
          <t>534976</t>
        </is>
      </c>
    </row>
    <row r="30">
      <c r="A30" s="31" t="inlineStr">
        <is>
          <t>HUHTAMAKI</t>
        </is>
      </c>
      <c r="B30" s="31" t="inlineStr">
        <is>
          <t>Huhtamaki India Ltd</t>
        </is>
      </c>
      <c r="C30" s="31" t="inlineStr">
        <is>
          <t>industrials</t>
        </is>
      </c>
      <c r="D30" s="31" t="inlineStr">
        <is>
          <t>packaging</t>
        </is>
      </c>
      <c r="E30" s="31" t="inlineStr">
        <is>
          <t>smallcap</t>
        </is>
      </c>
      <c r="F30" s="31" t="n">
        <v>1793.19</v>
      </c>
      <c r="G30" s="31" t="n">
        <v>249.79</v>
      </c>
      <c r="H30" s="31" t="n">
        <v>5.2</v>
      </c>
      <c r="I30" s="31" t="n">
        <v>1476349</v>
      </c>
      <c r="J30" s="31" t="inlineStr">
        <is>
          <t>509820</t>
        </is>
      </c>
    </row>
    <row r="31">
      <c r="A31" s="31" t="inlineStr">
        <is>
          <t>ADOR</t>
        </is>
      </c>
      <c r="B31" s="31" t="inlineStr">
        <is>
          <t>Ador Welding Ltd</t>
        </is>
      </c>
      <c r="C31" s="31" t="inlineStr">
        <is>
          <t>industrials</t>
        </is>
      </c>
      <c r="D31" s="31" t="inlineStr">
        <is>
          <t>electrodes - welding equipment</t>
        </is>
      </c>
      <c r="E31" s="31" t="inlineStr">
        <is>
          <t>smallcap</t>
        </is>
      </c>
      <c r="F31" s="31" t="n">
        <v>2408.72</v>
      </c>
      <c r="G31" s="31" t="n">
        <v>1455.3</v>
      </c>
      <c r="H31" s="31" t="n">
        <v>5.14</v>
      </c>
      <c r="I31" s="31" t="n">
        <v>111339</v>
      </c>
      <c r="J31" s="31" t="inlineStr">
        <is>
          <t>517041</t>
        </is>
      </c>
    </row>
    <row r="32">
      <c r="A32" s="31" t="inlineStr">
        <is>
          <t>TORNTPHARM</t>
        </is>
      </c>
      <c r="B32" s="31" t="inlineStr">
        <is>
          <t>Torrent Pharmaceuticals Limited</t>
        </is>
      </c>
      <c r="C32" s="31" t="inlineStr">
        <is>
          <t>healthcare</t>
        </is>
      </c>
      <c r="D32" s="31" t="inlineStr">
        <is>
          <t>pharmaceuticals - indian - formulations</t>
        </is>
      </c>
      <c r="E32" s="31" t="inlineStr">
        <is>
          <t>largecap</t>
        </is>
      </c>
      <c r="F32" s="31" t="n">
        <v>161201.56</v>
      </c>
      <c r="G32" s="31" t="n">
        <v>5005.4</v>
      </c>
      <c r="H32" s="31" t="n">
        <v>5.09</v>
      </c>
      <c r="I32" s="31" t="n">
        <v>959571</v>
      </c>
      <c r="J32" s="31" t="inlineStr">
        <is>
          <t>500420</t>
        </is>
      </c>
    </row>
    <row r="33">
      <c r="A33" s="31" t="inlineStr">
        <is>
          <t>STYLAMIND</t>
        </is>
      </c>
      <c r="B33" s="31" t="inlineStr">
        <is>
          <t>Stylam Industries Ltd</t>
        </is>
      </c>
      <c r="C33" s="31" t="inlineStr">
        <is>
          <t>building materials</t>
        </is>
      </c>
      <c r="D33" s="31" t="inlineStr">
        <is>
          <t>miscellaneous</t>
        </is>
      </c>
      <c r="E33" s="31" t="inlineStr">
        <is>
          <t>midcap</t>
        </is>
      </c>
      <c r="F33" s="31" t="n">
        <v>5508.8</v>
      </c>
      <c r="G33" s="31" t="n">
        <v>3414.3</v>
      </c>
      <c r="H33" s="31" t="n">
        <v>5.04</v>
      </c>
      <c r="I33" s="31" t="n">
        <v>62999</v>
      </c>
      <c r="J33" s="31" t="inlineStr">
        <is>
          <t>526951</t>
        </is>
      </c>
    </row>
    <row r="34">
      <c r="A34" s="31" t="inlineStr">
        <is>
          <t>ANTELOPUS</t>
        </is>
      </c>
      <c r="B34" s="31" t="inlineStr">
        <is>
          <t>Antelopus Selan Energy Ltd</t>
        </is>
      </c>
      <c r="C34" s="31" t="inlineStr">
        <is>
          <t>energy</t>
        </is>
      </c>
      <c r="D34" s="31" t="inlineStr">
        <is>
          <t>oil drilling / allied services</t>
        </is>
      </c>
      <c r="E34" s="31" t="inlineStr">
        <is>
          <t>smallcap</t>
        </is>
      </c>
      <c r="F34" s="31" t="n">
        <v>2886.13</v>
      </c>
      <c r="G34" s="31" t="n">
        <v>861.8</v>
      </c>
      <c r="H34" s="31" t="n">
        <v>5</v>
      </c>
      <c r="I34" s="31" t="n">
        <v>77843</v>
      </c>
      <c r="J34" s="31" t="inlineStr">
        <is>
          <t>530075</t>
        </is>
      </c>
    </row>
    <row r="35">
      <c r="A35" s="31" t="inlineStr">
        <is>
          <t>MENONBE</t>
        </is>
      </c>
      <c r="B35" s="31" t="inlineStr">
        <is>
          <t>Menon Bearings Limited</t>
        </is>
      </c>
      <c r="C35" s="31" t="inlineStr">
        <is>
          <t>auto</t>
        </is>
      </c>
      <c r="D35" s="31" t="inlineStr">
        <is>
          <t>auto ancillaries</t>
        </is>
      </c>
      <c r="E35" s="31" t="inlineStr">
        <is>
          <t>smallcap</t>
        </is>
      </c>
      <c r="F35" s="31" t="n">
        <v>1118.95</v>
      </c>
      <c r="G35" s="31" t="n">
        <v>209.65</v>
      </c>
      <c r="H35" s="31" t="n">
        <v>5</v>
      </c>
      <c r="I35" s="31" t="n">
        <v>249414</v>
      </c>
      <c r="J35" s="31" t="inlineStr">
        <is>
          <t>523828</t>
        </is>
      </c>
    </row>
    <row r="36">
      <c r="A36" s="31" t="inlineStr">
        <is>
          <t>SVLL</t>
        </is>
      </c>
      <c r="B36" s="31" t="inlineStr">
        <is>
          <t>Shree Vasu Logistics Ltd</t>
        </is>
      </c>
      <c r="C36" s="31" t="inlineStr">
        <is>
          <t>transportation</t>
        </is>
      </c>
      <c r="D36" s="31" t="inlineStr">
        <is>
          <t>miscellaneous</t>
        </is>
      </c>
      <c r="E36" s="31" t="inlineStr">
        <is>
          <t>smallcap</t>
        </is>
      </c>
      <c r="F36" s="31" t="n">
        <v>856.63</v>
      </c>
      <c r="G36" s="31" t="n">
        <v>782.55</v>
      </c>
      <c r="H36" s="31" t="n">
        <v>5</v>
      </c>
      <c r="I36" s="31" t="n">
        <v>18294</v>
      </c>
      <c r="J36" s="31" t="inlineStr">
        <is>
          <t>535084</t>
        </is>
      </c>
    </row>
    <row r="37">
      <c r="A37" s="31" t="inlineStr">
        <is>
          <t>JITFINFRA</t>
        </is>
      </c>
      <c r="B37" s="31" t="inlineStr">
        <is>
          <t>JITF Infra Logistics Ltd</t>
        </is>
      </c>
      <c r="C37" s="31" t="inlineStr">
        <is>
          <t>miscellaneous</t>
        </is>
      </c>
      <c r="D37" s="31" t="inlineStr">
        <is>
          <t>miscellaneous</t>
        </is>
      </c>
      <c r="E37" s="31" t="inlineStr">
        <is>
          <t>smallcap</t>
        </is>
      </c>
      <c r="F37" s="31" t="n">
        <v>945.13</v>
      </c>
      <c r="G37" s="31" t="n">
        <v>386.05</v>
      </c>
      <c r="H37" s="31" t="n">
        <v>4.99</v>
      </c>
      <c r="I37" s="31" t="n">
        <v>76947</v>
      </c>
      <c r="J37" s="31" t="inlineStr">
        <is>
          <t>540311</t>
        </is>
      </c>
    </row>
    <row r="38">
      <c r="A38" s="31" t="inlineStr">
        <is>
          <t>E2E</t>
        </is>
      </c>
      <c r="B38" s="31" t="inlineStr">
        <is>
          <t>E2E Networks Ltd</t>
        </is>
      </c>
      <c r="C38" s="31" t="inlineStr">
        <is>
          <t>i.t</t>
        </is>
      </c>
      <c r="D38" s="31" t="inlineStr">
        <is>
          <t>computers - software - medium / small</t>
        </is>
      </c>
      <c r="E38" s="31" t="inlineStr">
        <is>
          <t>midcap</t>
        </is>
      </c>
      <c r="F38" s="31" t="n">
        <v>8324.35</v>
      </c>
      <c r="G38" s="31" t="n">
        <v>425.15</v>
      </c>
      <c r="H38" s="31" t="n">
        <v>4.99</v>
      </c>
      <c r="I38" s="31" t="n">
        <v>2515611</v>
      </c>
      <c r="J38" s="31" t="inlineStr">
        <is>
          <t>535080</t>
        </is>
      </c>
    </row>
    <row r="39">
      <c r="A39" s="31" t="inlineStr">
        <is>
          <t>SPECIALITY</t>
        </is>
      </c>
      <c r="B39" s="31" t="inlineStr">
        <is>
          <t>Speciality Restaurants Limited</t>
        </is>
      </c>
      <c r="C39" s="31" t="inlineStr">
        <is>
          <t>services</t>
        </is>
      </c>
      <c r="D39" s="31" t="inlineStr">
        <is>
          <t>hotels</t>
        </is>
      </c>
      <c r="E39" s="31" t="inlineStr">
        <is>
          <t>smallcap</t>
        </is>
      </c>
      <c r="F39" s="31" t="n">
        <v>622.53</v>
      </c>
      <c r="G39" s="31" t="n">
        <v>135.49</v>
      </c>
      <c r="H39" s="31" t="n">
        <v>4.98</v>
      </c>
      <c r="I39" s="31" t="n">
        <v>186812</v>
      </c>
      <c r="J39" s="31" t="inlineStr">
        <is>
          <t>534425</t>
        </is>
      </c>
    </row>
    <row r="40">
      <c r="A40" s="31" t="inlineStr">
        <is>
          <t>VENKEYS</t>
        </is>
      </c>
      <c r="B40" s="31" t="inlineStr">
        <is>
          <t>Venky's (india) Limited</t>
        </is>
      </c>
      <c r="C40" s="31" t="inlineStr">
        <is>
          <t>fmcg</t>
        </is>
      </c>
      <c r="D40" s="31" t="inlineStr">
        <is>
          <t>miscellaneous</t>
        </is>
      </c>
      <c r="E40" s="31" t="inlineStr">
        <is>
          <t>smallcap</t>
        </is>
      </c>
      <c r="F40" s="31" t="n">
        <v>2043.93</v>
      </c>
      <c r="G40" s="31" t="n">
        <v>1522.3</v>
      </c>
      <c r="H40" s="31" t="n">
        <v>4.92</v>
      </c>
      <c r="I40" s="31" t="n">
        <v>56639</v>
      </c>
      <c r="J40" s="31" t="inlineStr">
        <is>
          <t>523261</t>
        </is>
      </c>
    </row>
    <row r="41">
      <c r="A41" s="31" t="inlineStr">
        <is>
          <t>CONFIPET</t>
        </is>
      </c>
      <c r="B41" s="31" t="inlineStr">
        <is>
          <t>Confidence Petroleum India Ltd</t>
        </is>
      </c>
      <c r="C41" s="31" t="inlineStr">
        <is>
          <t>miscellaneous</t>
        </is>
      </c>
      <c r="D41" s="31" t="inlineStr">
        <is>
          <t>miscellaneous</t>
        </is>
      </c>
      <c r="E41" s="31" t="inlineStr">
        <is>
          <t>smallcap</t>
        </is>
      </c>
      <c r="F41" s="31" t="n">
        <v>2429.35</v>
      </c>
      <c r="G41" s="31" t="n">
        <v>76.66</v>
      </c>
      <c r="H41" s="31" t="n">
        <v>4.84</v>
      </c>
      <c r="I41" s="31" t="n">
        <v>3877073</v>
      </c>
      <c r="J41" s="31" t="inlineStr">
        <is>
          <t>526829</t>
        </is>
      </c>
    </row>
    <row r="42">
      <c r="A42" s="31" t="inlineStr">
        <is>
          <t>GABRIEL</t>
        </is>
      </c>
      <c r="B42" s="31" t="inlineStr">
        <is>
          <t>Gabriel India Limited</t>
        </is>
      </c>
      <c r="C42" s="31" t="inlineStr">
        <is>
          <t>auto</t>
        </is>
      </c>
      <c r="D42" s="31" t="inlineStr">
        <is>
          <t>auto ancillaries</t>
        </is>
      </c>
      <c r="E42" s="31" t="inlineStr">
        <is>
          <t>largecap</t>
        </is>
      </c>
      <c r="F42" s="31" t="n">
        <v>23688.56</v>
      </c>
      <c r="G42" s="31" t="n">
        <v>1398</v>
      </c>
      <c r="H42" s="31" t="n">
        <v>4.59</v>
      </c>
      <c r="I42" s="31" t="n">
        <v>3715082</v>
      </c>
      <c r="J42" s="31" t="inlineStr">
        <is>
          <t>505714</t>
        </is>
      </c>
    </row>
    <row r="43">
      <c r="A43" s="31" t="inlineStr">
        <is>
          <t>ESABINDIA</t>
        </is>
      </c>
      <c r="B43" s="31" t="inlineStr">
        <is>
          <t>Esab India Limited</t>
        </is>
      </c>
      <c r="C43" s="31" t="inlineStr">
        <is>
          <t>industrials</t>
        </is>
      </c>
      <c r="D43" s="31" t="inlineStr">
        <is>
          <t>electrodes - welding equipment</t>
        </is>
      </c>
      <c r="E43" s="31" t="inlineStr">
        <is>
          <t>midcap</t>
        </is>
      </c>
      <c r="F43" s="31" t="n">
        <v>8701.67</v>
      </c>
      <c r="G43" s="31" t="n">
        <v>5910</v>
      </c>
      <c r="H43" s="31" t="n">
        <v>4.55</v>
      </c>
      <c r="I43" s="31" t="n">
        <v>11667</v>
      </c>
      <c r="J43" s="31" t="inlineStr">
        <is>
          <t>500133</t>
        </is>
      </c>
    </row>
    <row r="44">
      <c r="A44" s="31" t="inlineStr">
        <is>
          <t>TIMETECHNO</t>
        </is>
      </c>
      <c r="B44" s="31" t="inlineStr">
        <is>
          <t>Time Technoplast Limited</t>
        </is>
      </c>
      <c r="C44" s="31" t="inlineStr">
        <is>
          <t>plastic products</t>
        </is>
      </c>
      <c r="D44" s="31" t="inlineStr">
        <is>
          <t>plastics products</t>
        </is>
      </c>
      <c r="E44" s="31" t="inlineStr">
        <is>
          <t>midcap</t>
        </is>
      </c>
      <c r="F44" s="31" t="n">
        <v>10071.64</v>
      </c>
      <c r="G44" s="31" t="n">
        <v>213.11</v>
      </c>
      <c r="H44" s="31" t="n">
        <v>4.45</v>
      </c>
      <c r="I44" s="31" t="n">
        <v>8170935</v>
      </c>
      <c r="J44" s="31" t="inlineStr">
        <is>
          <t>532856</t>
        </is>
      </c>
    </row>
    <row r="45">
      <c r="A45" s="31" t="inlineStr">
        <is>
          <t>UNIONBANK</t>
        </is>
      </c>
      <c r="B45" s="31" t="inlineStr">
        <is>
          <t>Union Bank Of India Ltd</t>
        </is>
      </c>
      <c r="C45" s="31" t="inlineStr">
        <is>
          <t>bank</t>
        </is>
      </c>
      <c r="D45" s="31" t="inlineStr">
        <is>
          <t>banks - public sector</t>
        </is>
      </c>
      <c r="E45" s="31" t="inlineStr">
        <is>
          <t>largecap</t>
        </is>
      </c>
      <c r="F45" s="31" t="n">
        <v>128595.72</v>
      </c>
      <c r="G45" s="31" t="n">
        <v>175.93</v>
      </c>
      <c r="H45" s="31" t="n">
        <v>4.43</v>
      </c>
      <c r="I45" s="31" t="n">
        <v>36352077</v>
      </c>
      <c r="J45" s="31" t="inlineStr">
        <is>
          <t>532477</t>
        </is>
      </c>
    </row>
    <row r="46">
      <c r="A46" s="31" t="inlineStr">
        <is>
          <t>EMCURE</t>
        </is>
      </c>
      <c r="B46" s="31" t="inlineStr">
        <is>
          <t>Emcure Pharmaceuticals Ltd</t>
        </is>
      </c>
      <c r="C46" s="31" t="inlineStr">
        <is>
          <t>healthcare</t>
        </is>
      </c>
      <c r="D46" s="31" t="inlineStr">
        <is>
          <t>pharmaceuticals - indian - bulk drugs &amp; formln</t>
        </is>
      </c>
      <c r="E46" s="31" t="inlineStr">
        <is>
          <t>largecap</t>
        </is>
      </c>
      <c r="F46" s="31" t="n">
        <v>33807.61</v>
      </c>
      <c r="G46" s="31" t="n">
        <v>1861.2</v>
      </c>
      <c r="H46" s="31" t="n">
        <v>4.37</v>
      </c>
      <c r="I46" s="31" t="n">
        <v>195372</v>
      </c>
      <c r="J46" s="31" t="inlineStr">
        <is>
          <t>544210</t>
        </is>
      </c>
    </row>
    <row r="47">
      <c r="A47" s="31" t="inlineStr">
        <is>
          <t>APCOTEXIND</t>
        </is>
      </c>
      <c r="B47" s="31" t="inlineStr">
        <is>
          <t>Apcotex Industries Limited</t>
        </is>
      </c>
      <c r="C47" s="31" t="inlineStr">
        <is>
          <t>chemicals</t>
        </is>
      </c>
      <c r="D47" s="31" t="inlineStr">
        <is>
          <t>miscellaneous</t>
        </is>
      </c>
      <c r="E47" s="31" t="inlineStr">
        <is>
          <t>smallcap</t>
        </is>
      </c>
      <c r="F47" s="31" t="n">
        <v>2743.12</v>
      </c>
      <c r="G47" s="31" t="n">
        <v>552.1</v>
      </c>
      <c r="H47" s="31" t="n">
        <v>4.35</v>
      </c>
      <c r="I47" s="31" t="n">
        <v>154914</v>
      </c>
      <c r="J47" s="31" t="inlineStr">
        <is>
          <t>523694</t>
        </is>
      </c>
    </row>
    <row r="48">
      <c r="A48" s="31" t="inlineStr">
        <is>
          <t>OIL</t>
        </is>
      </c>
      <c r="B48" s="31" t="inlineStr">
        <is>
          <t>Oil India Limited</t>
        </is>
      </c>
      <c r="C48" s="31" t="inlineStr">
        <is>
          <t>energy</t>
        </is>
      </c>
      <c r="D48" s="31" t="inlineStr">
        <is>
          <t>oil drilling / allied services</t>
        </is>
      </c>
      <c r="E48" s="31" t="inlineStr">
        <is>
          <t>largecap</t>
        </is>
      </c>
      <c r="F48" s="31" t="n">
        <v>70814.37</v>
      </c>
      <c r="G48" s="31" t="n">
        <v>453.55</v>
      </c>
      <c r="H48" s="31" t="n">
        <v>4.18</v>
      </c>
      <c r="I48" s="31" t="n">
        <v>9434807</v>
      </c>
      <c r="J48" s="31" t="inlineStr">
        <is>
          <t>533106</t>
        </is>
      </c>
    </row>
    <row r="49">
      <c r="A49" s="31" t="inlineStr">
        <is>
          <t>EXICOM</t>
        </is>
      </c>
      <c r="B49" s="31" t="inlineStr">
        <is>
          <t>Exicom Tele-Systems Ltd</t>
        </is>
      </c>
      <c r="C49" s="31" t="inlineStr">
        <is>
          <t>industrials</t>
        </is>
      </c>
      <c r="D49" s="31" t="inlineStr">
        <is>
          <t>electric equipment</t>
        </is>
      </c>
      <c r="E49" s="31" t="inlineStr">
        <is>
          <t>smallcap</t>
        </is>
      </c>
      <c r="F49" s="31" t="n">
        <v>2246.28</v>
      </c>
      <c r="G49" s="31" t="n">
        <v>168.22</v>
      </c>
      <c r="H49" s="31" t="n">
        <v>4.15</v>
      </c>
      <c r="I49" s="31" t="n">
        <v>2002015</v>
      </c>
      <c r="J49" s="31" t="inlineStr">
        <is>
          <t>544133</t>
        </is>
      </c>
    </row>
    <row r="50">
      <c r="A50" s="31" t="inlineStr">
        <is>
          <t>FLUOROCHEM</t>
        </is>
      </c>
      <c r="B50" s="31" t="inlineStr">
        <is>
          <t>Gujarat Fluorochemicals Ltd</t>
        </is>
      </c>
      <c r="C50" s="31" t="inlineStr">
        <is>
          <t>chemicals</t>
        </is>
      </c>
      <c r="D50" s="31" t="inlineStr">
        <is>
          <t>chemicals</t>
        </is>
      </c>
      <c r="E50" s="31" t="inlineStr">
        <is>
          <t>largecap</t>
        </is>
      </c>
      <c r="F50" s="31" t="n">
        <v>45531.73</v>
      </c>
      <c r="G50" s="31" t="n">
        <v>4316.2</v>
      </c>
      <c r="H50" s="31" t="n">
        <v>4.13</v>
      </c>
      <c r="I50" s="31" t="n">
        <v>308265</v>
      </c>
      <c r="J50" s="31" t="inlineStr">
        <is>
          <t>542812</t>
        </is>
      </c>
    </row>
    <row r="51">
      <c r="A51" s="31" t="inlineStr">
        <is>
          <t>ITDC</t>
        </is>
      </c>
      <c r="B51" s="31" t="inlineStr">
        <is>
          <t>India Tourism Development Corporation Ltd</t>
        </is>
      </c>
      <c r="C51" s="31" t="inlineStr">
        <is>
          <t>services</t>
        </is>
      </c>
      <c r="D51" s="31" t="inlineStr">
        <is>
          <t>hotels</t>
        </is>
      </c>
      <c r="E51" s="31" t="inlineStr">
        <is>
          <t>midcap</t>
        </is>
      </c>
      <c r="F51" s="31" t="n">
        <v>6380.81</v>
      </c>
      <c r="G51" s="31" t="n">
        <v>773.9</v>
      </c>
      <c r="H51" s="31" t="n">
        <v>4.03</v>
      </c>
      <c r="I51" s="31" t="n">
        <v>9216052</v>
      </c>
      <c r="J51" s="31" t="inlineStr">
        <is>
          <t>532189</t>
        </is>
      </c>
    </row>
    <row r="52">
      <c r="A52" s="31" t="inlineStr">
        <is>
          <t>VSSL</t>
        </is>
      </c>
      <c r="B52" s="31" t="inlineStr">
        <is>
          <t>Vardhman Special Steels Limited</t>
        </is>
      </c>
      <c r="C52" s="31" t="inlineStr">
        <is>
          <t>metals &amp; mining</t>
        </is>
      </c>
      <c r="D52" s="31" t="inlineStr">
        <is>
          <t>steel - medium / small</t>
        </is>
      </c>
      <c r="E52" s="31" t="inlineStr">
        <is>
          <t>smallcap</t>
        </is>
      </c>
      <c r="F52" s="31" t="n">
        <v>2884.62</v>
      </c>
      <c r="G52" s="31" t="n">
        <v>310.1</v>
      </c>
      <c r="H52" s="31" t="n">
        <v>3.94</v>
      </c>
      <c r="I52" s="31" t="n">
        <v>119759</v>
      </c>
      <c r="J52" s="31" t="inlineStr">
        <is>
          <t>534392</t>
        </is>
      </c>
    </row>
    <row r="53">
      <c r="A53" s="31" t="inlineStr">
        <is>
          <t>SAREGAMA</t>
        </is>
      </c>
      <c r="B53" s="31" t="inlineStr">
        <is>
          <t>Saregama India Limited</t>
        </is>
      </c>
      <c r="C53" s="31" t="inlineStr">
        <is>
          <t>media</t>
        </is>
      </c>
      <c r="D53" s="31" t="inlineStr">
        <is>
          <t>entertainment / electronic media software</t>
        </is>
      </c>
      <c r="E53" s="31" t="inlineStr">
        <is>
          <t>midcap</t>
        </is>
      </c>
      <c r="F53" s="31" t="n">
        <v>9541.18</v>
      </c>
      <c r="G53" s="31" t="n">
        <v>514.15</v>
      </c>
      <c r="H53" s="31" t="n">
        <v>3.9</v>
      </c>
      <c r="I53" s="31" t="n">
        <v>2403209</v>
      </c>
      <c r="J53" s="31" t="inlineStr">
        <is>
          <t>532163</t>
        </is>
      </c>
    </row>
    <row r="54">
      <c r="A54" s="31" t="inlineStr">
        <is>
          <t>SUMEETINDS</t>
        </is>
      </c>
      <c r="B54" s="31" t="inlineStr">
        <is>
          <t>Sumeet Industries Limited</t>
        </is>
      </c>
      <c r="C54" s="31" t="inlineStr">
        <is>
          <t>textiles</t>
        </is>
      </c>
      <c r="D54" s="31" t="inlineStr">
        <is>
          <t>textiles - manmade</t>
        </is>
      </c>
      <c r="E54" s="31" t="inlineStr">
        <is>
          <t>smallcap</t>
        </is>
      </c>
      <c r="F54" s="31" t="n">
        <v>1788.45</v>
      </c>
      <c r="G54" s="31" t="n">
        <v>35.3</v>
      </c>
      <c r="H54" s="31" t="n">
        <v>3.88</v>
      </c>
      <c r="I54" s="31" t="n">
        <v>11787415</v>
      </c>
      <c r="J54" s="31" t="inlineStr">
        <is>
          <t>514211</t>
        </is>
      </c>
    </row>
    <row r="55">
      <c r="A55" s="31" t="inlineStr">
        <is>
          <t>SUVEN</t>
        </is>
      </c>
      <c r="B55" s="31" t="inlineStr">
        <is>
          <t>Suven Life Sciences Limited</t>
        </is>
      </c>
      <c r="C55" s="31" t="inlineStr">
        <is>
          <t>healthcare</t>
        </is>
      </c>
      <c r="D55" s="31" t="inlineStr">
        <is>
          <t>miscellaneous</t>
        </is>
      </c>
      <c r="E55" s="31" t="inlineStr">
        <is>
          <t>midcap</t>
        </is>
      </c>
      <c r="F55" s="31" t="n">
        <v>8603.52</v>
      </c>
      <c r="G55" s="31" t="n">
        <v>338.5</v>
      </c>
      <c r="H55" s="31" t="n">
        <v>3.87</v>
      </c>
      <c r="I55" s="31" t="n">
        <v>1119625</v>
      </c>
      <c r="J55" s="31" t="inlineStr">
        <is>
          <t>530239</t>
        </is>
      </c>
    </row>
    <row r="56">
      <c r="A56" s="31" t="inlineStr">
        <is>
          <t>HSCL</t>
        </is>
      </c>
      <c r="B56" s="31" t="inlineStr">
        <is>
          <t>Himadri Speciality Chemical Limited</t>
        </is>
      </c>
      <c r="C56" s="31" t="inlineStr">
        <is>
          <t>chemicals</t>
        </is>
      </c>
      <c r="D56" s="31" t="inlineStr">
        <is>
          <t>chemicals</t>
        </is>
      </c>
      <c r="E56" s="31" t="inlineStr">
        <is>
          <t>largecap</t>
        </is>
      </c>
      <c r="F56" s="31" t="n">
        <v>37414.28</v>
      </c>
      <c r="G56" s="31" t="n">
        <v>769.9</v>
      </c>
      <c r="H56" s="31" t="n">
        <v>3.82</v>
      </c>
      <c r="I56" s="31" t="n">
        <v>18133649</v>
      </c>
      <c r="J56" s="31" t="inlineStr">
        <is>
          <t>500184</t>
        </is>
      </c>
    </row>
    <row r="57">
      <c r="A57" s="31" t="inlineStr">
        <is>
          <t>SSWL</t>
        </is>
      </c>
      <c r="B57" s="31" t="inlineStr">
        <is>
          <t>Steel Strips Wheels Limited</t>
        </is>
      </c>
      <c r="C57" s="31" t="inlineStr">
        <is>
          <t>auto</t>
        </is>
      </c>
      <c r="D57" s="31" t="inlineStr">
        <is>
          <t>auto ancillaries</t>
        </is>
      </c>
      <c r="E57" s="31" t="inlineStr">
        <is>
          <t>smallcap</t>
        </is>
      </c>
      <c r="F57" s="31" t="n">
        <v>4184.3</v>
      </c>
      <c r="G57" s="31" t="n">
        <v>276.33</v>
      </c>
      <c r="H57" s="31" t="n">
        <v>3.8</v>
      </c>
      <c r="I57" s="31" t="n">
        <v>1802687</v>
      </c>
      <c r="J57" s="31" t="inlineStr">
        <is>
          <t>513262</t>
        </is>
      </c>
    </row>
    <row r="58">
      <c r="A58" s="31" t="inlineStr">
        <is>
          <t>HMVL</t>
        </is>
      </c>
      <c r="B58" s="31" t="inlineStr">
        <is>
          <t>Hindustan Media Ventures Limited</t>
        </is>
      </c>
      <c r="C58" s="31" t="inlineStr">
        <is>
          <t>media</t>
        </is>
      </c>
      <c r="D58" s="31" t="inlineStr">
        <is>
          <t>entertainment / electronic media software</t>
        </is>
      </c>
      <c r="E58" s="31" t="inlineStr">
        <is>
          <t>smallcap</t>
        </is>
      </c>
      <c r="F58" s="31" t="n">
        <v>656.49</v>
      </c>
      <c r="G58" s="31" t="n">
        <v>92.5</v>
      </c>
      <c r="H58" s="31" t="n">
        <v>3.8</v>
      </c>
      <c r="I58" s="31" t="n">
        <v>58060</v>
      </c>
      <c r="J58" s="31" t="inlineStr">
        <is>
          <t>533217</t>
        </is>
      </c>
    </row>
    <row r="59">
      <c r="A59" s="31" t="inlineStr">
        <is>
          <t>ICEMAKE</t>
        </is>
      </c>
      <c r="B59" s="31" t="inlineStr">
        <is>
          <t>ICE Make Refrigeration Ltd</t>
        </is>
      </c>
      <c r="C59" s="31" t="inlineStr">
        <is>
          <t>industrials</t>
        </is>
      </c>
      <c r="D59" s="31" t="inlineStr">
        <is>
          <t>engineering</t>
        </is>
      </c>
      <c r="E59" s="31" t="inlineStr">
        <is>
          <t>smallcap</t>
        </is>
      </c>
      <c r="F59" s="31" t="n">
        <v>1263.64</v>
      </c>
      <c r="G59" s="31" t="n">
        <v>831</v>
      </c>
      <c r="H59" s="31" t="n">
        <v>3.77</v>
      </c>
      <c r="I59" s="31" t="n">
        <v>89253</v>
      </c>
      <c r="J59" s="31" t="inlineStr">
        <is>
          <t>535034</t>
        </is>
      </c>
    </row>
    <row r="60">
      <c r="A60" s="31" t="inlineStr">
        <is>
          <t>NAVINFLUOR</t>
        </is>
      </c>
      <c r="B60" s="31" t="inlineStr">
        <is>
          <t>Navin Fluorine International Limited</t>
        </is>
      </c>
      <c r="C60" s="31" t="inlineStr">
        <is>
          <t>chemicals</t>
        </is>
      </c>
      <c r="D60" s="31" t="inlineStr">
        <is>
          <t>chemicals</t>
        </is>
      </c>
      <c r="E60" s="31" t="inlineStr">
        <is>
          <t>largecap</t>
        </is>
      </c>
      <c r="F60" s="31" t="n">
        <v>38841.29</v>
      </c>
      <c r="G60" s="31" t="n">
        <v>7861.5</v>
      </c>
      <c r="H60" s="31" t="n">
        <v>3.73</v>
      </c>
      <c r="I60" s="31" t="n">
        <v>228992</v>
      </c>
      <c r="J60" s="31" t="inlineStr">
        <is>
          <t>532504</t>
        </is>
      </c>
    </row>
    <row r="61">
      <c r="A61" s="31" t="inlineStr">
        <is>
          <t>RAMRAT</t>
        </is>
      </c>
      <c r="B61" s="31" t="inlineStr">
        <is>
          <t>Ram Ratna Wires Ltd</t>
        </is>
      </c>
      <c r="C61" s="31" t="inlineStr">
        <is>
          <t>metals &amp; mining</t>
        </is>
      </c>
      <c r="D61" s="31" t="inlineStr">
        <is>
          <t>mining / minerals / metals</t>
        </is>
      </c>
      <c r="E61" s="31" t="inlineStr">
        <is>
          <t>smallcap</t>
        </is>
      </c>
      <c r="F61" s="31" t="n">
        <v>3834.31</v>
      </c>
      <c r="G61" s="31" t="n">
        <v>425.7</v>
      </c>
      <c r="H61" s="31" t="n">
        <v>3.64</v>
      </c>
      <c r="I61" s="31" t="n">
        <v>193878</v>
      </c>
      <c r="J61" s="31" t="inlineStr">
        <is>
          <t>522281</t>
        </is>
      </c>
    </row>
    <row r="62">
      <c r="A62" s="31" t="inlineStr">
        <is>
          <t>SANSERA</t>
        </is>
      </c>
      <c r="B62" s="31" t="inlineStr">
        <is>
          <t>Sansera Engineering Ltd</t>
        </is>
      </c>
      <c r="C62" s="31" t="inlineStr">
        <is>
          <t>auto</t>
        </is>
      </c>
      <c r="D62" s="31" t="inlineStr">
        <is>
          <t>auto ancillaries</t>
        </is>
      </c>
      <c r="E62" s="31" t="inlineStr">
        <is>
          <t>largecap</t>
        </is>
      </c>
      <c r="F62" s="31" t="n">
        <v>20086.46</v>
      </c>
      <c r="G62" s="31" t="n">
        <v>3335.2</v>
      </c>
      <c r="H62" s="31" t="n">
        <v>3.62</v>
      </c>
      <c r="I62" s="31" t="n">
        <v>545332</v>
      </c>
      <c r="J62" s="31" t="inlineStr">
        <is>
          <t>543358</t>
        </is>
      </c>
    </row>
    <row r="63">
      <c r="A63" s="31" t="inlineStr">
        <is>
          <t>AEGISVOPAK</t>
        </is>
      </c>
      <c r="B63" s="31" t="inlineStr">
        <is>
          <t>Aegis Vopak Terminals Ltd</t>
        </is>
      </c>
      <c r="C63" s="31" t="inlineStr">
        <is>
          <t>transportation</t>
        </is>
      </c>
      <c r="D63" s="31" t="inlineStr">
        <is>
          <t>miscellaneous</t>
        </is>
      </c>
      <c r="E63" s="31" t="inlineStr">
        <is>
          <t>largecap</t>
        </is>
      </c>
      <c r="F63" s="31" t="n">
        <v>30053.16</v>
      </c>
      <c r="G63" s="31" t="n">
        <v>281.02</v>
      </c>
      <c r="H63" s="31" t="n">
        <v>3.61</v>
      </c>
      <c r="I63" s="31" t="n">
        <v>2213490</v>
      </c>
      <c r="J63" s="31" t="inlineStr">
        <is>
          <t>544407</t>
        </is>
      </c>
    </row>
    <row r="64">
      <c r="A64" s="31" t="inlineStr">
        <is>
          <t>TPLPLASTEH</t>
        </is>
      </c>
      <c r="B64" s="31" t="inlineStr">
        <is>
          <t>Tpl Plastech Limited</t>
        </is>
      </c>
      <c r="C64" s="31" t="inlineStr">
        <is>
          <t>industrials</t>
        </is>
      </c>
      <c r="D64" s="31" t="inlineStr">
        <is>
          <t>packaging</t>
        </is>
      </c>
      <c r="E64" s="31" t="inlineStr">
        <is>
          <t>smallcap</t>
        </is>
      </c>
      <c r="F64" s="31" t="n">
        <v>621.14</v>
      </c>
      <c r="G64" s="31" t="n">
        <v>82.5</v>
      </c>
      <c r="H64" s="31" t="n">
        <v>3.6</v>
      </c>
      <c r="I64" s="31" t="n">
        <v>221300</v>
      </c>
      <c r="J64" s="31" t="inlineStr">
        <is>
          <t>526582</t>
        </is>
      </c>
    </row>
    <row r="65">
      <c r="A65" s="31" t="inlineStr">
        <is>
          <t>MANAPPURAM</t>
        </is>
      </c>
      <c r="B65" s="31" t="inlineStr">
        <is>
          <t>Manappuram Finance Limited</t>
        </is>
      </c>
      <c r="C65" s="31" t="inlineStr">
        <is>
          <t>financials</t>
        </is>
      </c>
      <c r="D65" s="31" t="inlineStr">
        <is>
          <t>finance &amp; investments</t>
        </is>
      </c>
      <c r="E65" s="31" t="inlineStr">
        <is>
          <t>largecap</t>
        </is>
      </c>
      <c r="F65" s="31" t="n">
        <v>30570.69</v>
      </c>
      <c r="G65" s="31" t="n">
        <v>337.1</v>
      </c>
      <c r="H65" s="31" t="n">
        <v>3.58</v>
      </c>
      <c r="I65" s="31" t="n">
        <v>5049835</v>
      </c>
      <c r="J65" s="31" t="inlineStr">
        <is>
          <t>531213</t>
        </is>
      </c>
    </row>
    <row r="66">
      <c r="A66" s="31" t="inlineStr">
        <is>
          <t>PIXTRANS</t>
        </is>
      </c>
      <c r="B66" s="31" t="inlineStr">
        <is>
          <t>Pix Transmission Ltd</t>
        </is>
      </c>
      <c r="C66" s="31" t="inlineStr">
        <is>
          <t>fmcg</t>
        </is>
      </c>
      <c r="D66" s="31" t="inlineStr">
        <is>
          <t>miscellaneous</t>
        </is>
      </c>
      <c r="E66" s="31" t="inlineStr">
        <is>
          <t>smallcap</t>
        </is>
      </c>
      <c r="F66" s="31" t="n">
        <v>2449.81</v>
      </c>
      <c r="G66" s="31" t="n">
        <v>1860</v>
      </c>
      <c r="H66" s="31" t="n">
        <v>3.45</v>
      </c>
      <c r="I66" s="31" t="n">
        <v>18543</v>
      </c>
      <c r="J66" s="31" t="inlineStr">
        <is>
          <t>500333</t>
        </is>
      </c>
    </row>
    <row r="67">
      <c r="A67" s="31" t="inlineStr">
        <is>
          <t>KRISHANA</t>
        </is>
      </c>
      <c r="B67" s="31" t="inlineStr">
        <is>
          <t>Krishana Phoschem Ltd</t>
        </is>
      </c>
      <c r="C67" s="31" t="inlineStr">
        <is>
          <t>chemicals</t>
        </is>
      </c>
      <c r="D67" s="31" t="inlineStr">
        <is>
          <t>fertilizers</t>
        </is>
      </c>
      <c r="E67" s="31" t="inlineStr">
        <is>
          <t>smallcap</t>
        </is>
      </c>
      <c r="F67" s="31" t="n">
        <v>868.37</v>
      </c>
      <c r="G67" s="31" t="n">
        <v>145.3</v>
      </c>
      <c r="H67" s="31" t="n">
        <v>3.45</v>
      </c>
      <c r="I67" s="31" t="n">
        <v>1705781</v>
      </c>
      <c r="J67" s="31" t="inlineStr">
        <is>
          <t>538405</t>
        </is>
      </c>
    </row>
    <row r="68">
      <c r="A68" s="31" t="inlineStr">
        <is>
          <t>KANORICHEM</t>
        </is>
      </c>
      <c r="B68" s="31" t="inlineStr">
        <is>
          <t>Kanoria Chemicals &amp; Industries Limited</t>
        </is>
      </c>
      <c r="C68" s="31" t="inlineStr">
        <is>
          <t>chemicals</t>
        </is>
      </c>
      <c r="D68" s="31" t="inlineStr">
        <is>
          <t>chemicals</t>
        </is>
      </c>
      <c r="E68" s="31" t="inlineStr">
        <is>
          <t>smallcap</t>
        </is>
      </c>
      <c r="F68" s="31" t="n">
        <v>618.87</v>
      </c>
      <c r="G68" s="31" t="n">
        <v>146.5</v>
      </c>
      <c r="H68" s="31" t="n">
        <v>3.43</v>
      </c>
      <c r="I68" s="31" t="n">
        <v>64202</v>
      </c>
      <c r="J68" s="31" t="inlineStr">
        <is>
          <t>506525</t>
        </is>
      </c>
    </row>
    <row r="69">
      <c r="A69" s="31" t="inlineStr">
        <is>
          <t>INDOBORAX</t>
        </is>
      </c>
      <c r="B69" s="31" t="inlineStr">
        <is>
          <t>Indo Borax &amp; Chemicals Ltd</t>
        </is>
      </c>
      <c r="C69" s="31" t="inlineStr">
        <is>
          <t>chemicals</t>
        </is>
      </c>
      <c r="D69" s="31" t="inlineStr">
        <is>
          <t>chemicals</t>
        </is>
      </c>
      <c r="E69" s="31" t="inlineStr">
        <is>
          <t>smallcap</t>
        </is>
      </c>
      <c r="F69" s="31" t="n">
        <v>1494.43</v>
      </c>
      <c r="G69" s="31" t="n">
        <v>481.05</v>
      </c>
      <c r="H69" s="31" t="n">
        <v>3.3</v>
      </c>
      <c r="I69" s="31" t="n">
        <v>936898</v>
      </c>
      <c r="J69" s="31" t="inlineStr">
        <is>
          <t>524342</t>
        </is>
      </c>
    </row>
    <row r="70">
      <c r="A70" s="31" t="inlineStr">
        <is>
          <t>MANKIND</t>
        </is>
      </c>
      <c r="B70" s="31" t="inlineStr">
        <is>
          <t>Mankind Pharma Ltd</t>
        </is>
      </c>
      <c r="C70" s="31" t="inlineStr">
        <is>
          <t>healthcare</t>
        </is>
      </c>
      <c r="D70" s="31" t="inlineStr">
        <is>
          <t>pharmaceuticals - indian - bulk drugs &amp; formln</t>
        </is>
      </c>
      <c r="E70" s="31" t="inlineStr">
        <is>
          <t>largecap</t>
        </is>
      </c>
      <c r="F70" s="31" t="n">
        <v>102554.81</v>
      </c>
      <c r="G70" s="31" t="n">
        <v>2565.8</v>
      </c>
      <c r="H70" s="31" t="n">
        <v>3.28</v>
      </c>
      <c r="I70" s="31" t="n">
        <v>587023</v>
      </c>
      <c r="J70" s="31" t="inlineStr">
        <is>
          <t>543904</t>
        </is>
      </c>
    </row>
    <row r="71">
      <c r="A71" s="31" t="inlineStr">
        <is>
          <t>SHYAMMETL</t>
        </is>
      </c>
      <c r="B71" s="31" t="inlineStr">
        <is>
          <t>Shyam Metalics &amp; Energy Ltd</t>
        </is>
      </c>
      <c r="C71" s="31" t="inlineStr">
        <is>
          <t>metals &amp; mining</t>
        </is>
      </c>
      <c r="D71" s="31" t="inlineStr">
        <is>
          <t>steel - large</t>
        </is>
      </c>
      <c r="E71" s="31" t="inlineStr">
        <is>
          <t>largecap</t>
        </is>
      </c>
      <c r="F71" s="31" t="n">
        <v>28541.23</v>
      </c>
      <c r="G71" s="31" t="n">
        <v>1055</v>
      </c>
      <c r="H71" s="31" t="n">
        <v>3.18</v>
      </c>
      <c r="I71" s="31" t="n">
        <v>2630860</v>
      </c>
      <c r="J71" s="31" t="inlineStr">
        <is>
          <t>543299</t>
        </is>
      </c>
    </row>
    <row r="72">
      <c r="A72" s="31" t="inlineStr">
        <is>
          <t>CRAFTSMAN</t>
        </is>
      </c>
      <c r="B72" s="31" t="inlineStr">
        <is>
          <t>Craftsman Automation Ltd</t>
        </is>
      </c>
      <c r="C72" s="31" t="inlineStr">
        <is>
          <t>auto</t>
        </is>
      </c>
      <c r="D72" s="31" t="inlineStr">
        <is>
          <t>auto ancillaries</t>
        </is>
      </c>
      <c r="E72" s="31" t="inlineStr">
        <is>
          <t>largecap</t>
        </is>
      </c>
      <c r="F72" s="31" t="n">
        <v>23813.61</v>
      </c>
      <c r="G72" s="31" t="n">
        <v>9393.5</v>
      </c>
      <c r="H72" s="31" t="n">
        <v>3.17</v>
      </c>
      <c r="I72" s="31" t="n">
        <v>125360</v>
      </c>
      <c r="J72" s="31" t="inlineStr">
        <is>
          <t>543276</t>
        </is>
      </c>
    </row>
    <row r="73">
      <c r="A73" s="31" t="inlineStr">
        <is>
          <t>INDIANB</t>
        </is>
      </c>
      <c r="B73" s="31" t="inlineStr">
        <is>
          <t>Indian Bank Ltd</t>
        </is>
      </c>
      <c r="C73" s="31" t="inlineStr">
        <is>
          <t>bank</t>
        </is>
      </c>
      <c r="D73" s="31" t="inlineStr">
        <is>
          <t>banks - public sector</t>
        </is>
      </c>
      <c r="E73" s="31" t="inlineStr">
        <is>
          <t>largecap</t>
        </is>
      </c>
      <c r="F73" s="31" t="n">
        <v>112121.28</v>
      </c>
      <c r="G73" s="31" t="n">
        <v>858.5</v>
      </c>
      <c r="H73" s="31" t="n">
        <v>3.14</v>
      </c>
      <c r="I73" s="31" t="n">
        <v>4753989</v>
      </c>
      <c r="J73" s="31" t="inlineStr">
        <is>
          <t>532814</t>
        </is>
      </c>
    </row>
    <row r="74">
      <c r="A74" s="31" t="inlineStr">
        <is>
          <t>UNIPARTS</t>
        </is>
      </c>
      <c r="B74" s="31" t="inlineStr">
        <is>
          <t>Uniparts India Ltd</t>
        </is>
      </c>
      <c r="C74" s="31" t="inlineStr">
        <is>
          <t>industrials</t>
        </is>
      </c>
      <c r="D74" s="31" t="inlineStr">
        <is>
          <t>engineering</t>
        </is>
      </c>
      <c r="E74" s="31" t="inlineStr">
        <is>
          <t>smallcap</t>
        </is>
      </c>
      <c r="F74" s="31" t="n">
        <v>3051.67</v>
      </c>
      <c r="G74" s="31" t="n">
        <v>697</v>
      </c>
      <c r="H74" s="31" t="n">
        <v>3.11</v>
      </c>
      <c r="I74" s="31" t="n">
        <v>63283</v>
      </c>
      <c r="J74" s="31" t="inlineStr">
        <is>
          <t>543689</t>
        </is>
      </c>
    </row>
    <row r="75">
      <c r="A75" s="31" t="inlineStr">
        <is>
          <t>GUFICBIO</t>
        </is>
      </c>
      <c r="B75" s="31" t="inlineStr">
        <is>
          <t>Gufic Biosciences Limited</t>
        </is>
      </c>
      <c r="C75" s="31" t="inlineStr">
        <is>
          <t>healthcare</t>
        </is>
      </c>
      <c r="D75" s="31" t="inlineStr">
        <is>
          <t>pharmaceuticals - indian - bulk drugs &amp; formln</t>
        </is>
      </c>
      <c r="E75" s="31" t="inlineStr">
        <is>
          <t>smallcap</t>
        </is>
      </c>
      <c r="F75" s="31" t="n">
        <v>3829.79</v>
      </c>
      <c r="G75" s="31" t="n">
        <v>393.75</v>
      </c>
      <c r="H75" s="31" t="n">
        <v>3.1</v>
      </c>
      <c r="I75" s="31" t="n">
        <v>81287</v>
      </c>
      <c r="J75" s="31" t="inlineStr">
        <is>
          <t>509079</t>
        </is>
      </c>
    </row>
    <row r="76">
      <c r="A76" s="31" t="inlineStr">
        <is>
          <t>HESTERBIO</t>
        </is>
      </c>
      <c r="B76" s="31" t="inlineStr">
        <is>
          <t>Hester Biosciences Limited</t>
        </is>
      </c>
      <c r="C76" s="31" t="inlineStr">
        <is>
          <t>healthcare</t>
        </is>
      </c>
      <c r="D76" s="31" t="inlineStr">
        <is>
          <t>pharmaceuticals - indian - formulations</t>
        </is>
      </c>
      <c r="E76" s="31" t="inlineStr">
        <is>
          <t>smallcap</t>
        </is>
      </c>
      <c r="F76" s="31" t="n">
        <v>2082.31</v>
      </c>
      <c r="G76" s="31" t="n">
        <v>2523.4</v>
      </c>
      <c r="H76" s="31" t="n">
        <v>3.09</v>
      </c>
      <c r="I76" s="31" t="n">
        <v>49226</v>
      </c>
      <c r="J76" s="31" t="inlineStr">
        <is>
          <t>524669</t>
        </is>
      </c>
    </row>
    <row r="77">
      <c r="A77" s="31" t="inlineStr">
        <is>
          <t>OPTIEMUS</t>
        </is>
      </c>
      <c r="B77" s="31" t="inlineStr">
        <is>
          <t>Optiemus Infracom Ltd</t>
        </is>
      </c>
      <c r="C77" s="31" t="inlineStr">
        <is>
          <t>telecom</t>
        </is>
      </c>
      <c r="D77" s="31" t="inlineStr">
        <is>
          <t>trading</t>
        </is>
      </c>
      <c r="E77" s="31" t="inlineStr">
        <is>
          <t>midcap</t>
        </is>
      </c>
      <c r="F77" s="31" t="n">
        <v>5223.33</v>
      </c>
      <c r="G77" s="31" t="n">
        <v>607</v>
      </c>
      <c r="H77" s="31" t="n">
        <v>3.06</v>
      </c>
      <c r="I77" s="31" t="n">
        <v>465420</v>
      </c>
      <c r="J77" s="31" t="inlineStr">
        <is>
          <t>530135</t>
        </is>
      </c>
    </row>
    <row r="78">
      <c r="A78" s="31" t="inlineStr">
        <is>
          <t>SOLARINDS</t>
        </is>
      </c>
      <c r="B78" s="31" t="inlineStr">
        <is>
          <t>Solar Industries India Limited</t>
        </is>
      </c>
      <c r="C78" s="31" t="inlineStr">
        <is>
          <t>aerospace &amp; defence</t>
        </is>
      </c>
      <c r="D78" s="31" t="inlineStr">
        <is>
          <t>chemicals</t>
        </is>
      </c>
      <c r="E78" s="31" t="inlineStr">
        <is>
          <t>largecap</t>
        </is>
      </c>
      <c r="F78" s="31" t="n">
        <v>167107.98</v>
      </c>
      <c r="G78" s="31" t="n">
        <v>19028</v>
      </c>
      <c r="H78" s="31" t="n">
        <v>3.04</v>
      </c>
      <c r="I78" s="31" t="n">
        <v>239259</v>
      </c>
      <c r="J78" s="31" t="inlineStr">
        <is>
          <t>532725</t>
        </is>
      </c>
    </row>
    <row r="79">
      <c r="A79" s="31" t="inlineStr">
        <is>
          <t>RPTECH</t>
        </is>
      </c>
      <c r="B79" s="31" t="inlineStr">
        <is>
          <t>Rashi Peripherals Ltd</t>
        </is>
      </c>
      <c r="C79" s="31" t="inlineStr">
        <is>
          <t>services</t>
        </is>
      </c>
      <c r="D79" s="31" t="inlineStr">
        <is>
          <t>trading</t>
        </is>
      </c>
      <c r="E79" s="31" t="inlineStr">
        <is>
          <t>smallcap</t>
        </is>
      </c>
      <c r="F79" s="31" t="n">
        <v>4840</v>
      </c>
      <c r="G79" s="31" t="n">
        <v>756.7</v>
      </c>
      <c r="H79" s="31" t="n">
        <v>3.03</v>
      </c>
      <c r="I79" s="31" t="n">
        <v>294114</v>
      </c>
      <c r="J79" s="31" t="n"/>
    </row>
    <row r="80">
      <c r="A80" s="31" t="inlineStr">
        <is>
          <t>PICCADIL</t>
        </is>
      </c>
      <c r="B80" s="31" t="inlineStr">
        <is>
          <t>Piccadily Agro Industries Ltd</t>
        </is>
      </c>
      <c r="C80" s="31" t="inlineStr">
        <is>
          <t>fmcg</t>
        </is>
      </c>
      <c r="D80" s="31" t="inlineStr">
        <is>
          <t>breweries &amp; distilleries</t>
        </is>
      </c>
      <c r="E80" s="31" t="inlineStr">
        <is>
          <t>midcap</t>
        </is>
      </c>
      <c r="F80" s="31" t="n">
        <v>7191.33</v>
      </c>
      <c r="G80" s="31" t="n">
        <v>751.6</v>
      </c>
      <c r="H80" s="31" t="n">
        <v>3.02</v>
      </c>
      <c r="I80" s="31" t="n">
        <v>364222</v>
      </c>
      <c r="J80" s="31" t="inlineStr">
        <is>
          <t>530305</t>
        </is>
      </c>
    </row>
    <row r="81">
      <c r="A81" s="31" t="inlineStr">
        <is>
          <t>CYIENTDLM</t>
        </is>
      </c>
      <c r="B81" s="31" t="inlineStr">
        <is>
          <t>Cyient DLM Ltd</t>
        </is>
      </c>
      <c r="C81" s="31" t="inlineStr">
        <is>
          <t>consumer discretionary</t>
        </is>
      </c>
      <c r="D81" s="31" t="inlineStr">
        <is>
          <t>electronics - components</t>
        </is>
      </c>
      <c r="E81" s="31" t="inlineStr">
        <is>
          <t>smallcap</t>
        </is>
      </c>
      <c r="F81" s="31" t="n">
        <v>4592.42</v>
      </c>
      <c r="G81" s="31" t="n">
        <v>596.05</v>
      </c>
      <c r="H81" s="31" t="n">
        <v>3.01</v>
      </c>
      <c r="I81" s="31" t="n">
        <v>684761</v>
      </c>
      <c r="J81" s="31" t="inlineStr">
        <is>
          <t>543933</t>
        </is>
      </c>
    </row>
    <row r="82">
      <c r="A82" s="31" t="inlineStr">
        <is>
          <t>RAYMONDREL</t>
        </is>
      </c>
      <c r="B82" s="31" t="inlineStr">
        <is>
          <t>Raymond Realty Ltd</t>
        </is>
      </c>
      <c r="C82" s="31" t="inlineStr">
        <is>
          <t>realty</t>
        </is>
      </c>
      <c r="D82" s="31" t="inlineStr">
        <is>
          <t>construction</t>
        </is>
      </c>
      <c r="E82" s="31" t="inlineStr">
        <is>
          <t>smallcap</t>
        </is>
      </c>
      <c r="F82" s="31" t="n">
        <v>4548.98</v>
      </c>
      <c r="G82" s="31" t="n">
        <v>703.5</v>
      </c>
      <c r="H82" s="31" t="n">
        <v>2.96</v>
      </c>
      <c r="I82" s="31" t="n">
        <v>324477</v>
      </c>
      <c r="J82" s="31" t="inlineStr">
        <is>
          <t>544420</t>
        </is>
      </c>
    </row>
    <row r="83">
      <c r="A83" s="31" t="inlineStr">
        <is>
          <t>GEECEE</t>
        </is>
      </c>
      <c r="B83" s="31" t="inlineStr">
        <is>
          <t>Geecee Ventures Limited</t>
        </is>
      </c>
      <c r="C83" s="31" t="inlineStr">
        <is>
          <t>financials</t>
        </is>
      </c>
      <c r="D83" s="31" t="inlineStr">
        <is>
          <t>finance &amp; investments</t>
        </is>
      </c>
      <c r="E83" s="31" t="inlineStr">
        <is>
          <t>smallcap</t>
        </is>
      </c>
      <c r="F83" s="31" t="n">
        <v>715.8099999999999</v>
      </c>
      <c r="G83" s="31" t="n">
        <v>352</v>
      </c>
      <c r="H83" s="31" t="n">
        <v>2.83</v>
      </c>
      <c r="I83" s="31" t="n">
        <v>3160</v>
      </c>
      <c r="J83" s="31" t="inlineStr">
        <is>
          <t>532764</t>
        </is>
      </c>
    </row>
    <row r="84">
      <c r="A84" s="31" t="inlineStr">
        <is>
          <t>TALBROAUTO</t>
        </is>
      </c>
      <c r="B84" s="31" t="inlineStr">
        <is>
          <t>Talbros Automotive Components Limited</t>
        </is>
      </c>
      <c r="C84" s="31" t="inlineStr">
        <is>
          <t>auto</t>
        </is>
      </c>
      <c r="D84" s="31" t="inlineStr">
        <is>
          <t>auto ancillaries</t>
        </is>
      </c>
      <c r="E84" s="31" t="inlineStr">
        <is>
          <t>smallcap</t>
        </is>
      </c>
      <c r="F84" s="31" t="n">
        <v>2500.61</v>
      </c>
      <c r="G84" s="31" t="n">
        <v>416.55</v>
      </c>
      <c r="H84" s="31" t="n">
        <v>2.83</v>
      </c>
      <c r="I84" s="31" t="n">
        <v>204367</v>
      </c>
      <c r="J84" s="31" t="inlineStr">
        <is>
          <t>505160</t>
        </is>
      </c>
    </row>
    <row r="85">
      <c r="A85" s="31" t="inlineStr">
        <is>
          <t>NEULANDLAB</t>
        </is>
      </c>
      <c r="B85" s="31" t="inlineStr">
        <is>
          <t>Neuland Laboratories Limited</t>
        </is>
      </c>
      <c r="C85" s="31" t="inlineStr">
        <is>
          <t>healthcare</t>
        </is>
      </c>
      <c r="D85" s="31" t="inlineStr">
        <is>
          <t>pharmaceuticals - indian - bulk drugs</t>
        </is>
      </c>
      <c r="E85" s="31" t="inlineStr">
        <is>
          <t>largecap</t>
        </is>
      </c>
      <c r="F85" s="31" t="n">
        <v>23650.62</v>
      </c>
      <c r="G85" s="31" t="n">
        <v>18949</v>
      </c>
      <c r="H85" s="31" t="n">
        <v>2.79</v>
      </c>
      <c r="I85" s="31" t="n">
        <v>30500</v>
      </c>
      <c r="J85" s="31" t="inlineStr">
        <is>
          <t>524558</t>
        </is>
      </c>
    </row>
    <row r="86">
      <c r="A86" s="31" t="inlineStr">
        <is>
          <t>ZYDUSWELL</t>
        </is>
      </c>
      <c r="B86" s="31" t="inlineStr">
        <is>
          <t>Zydus Wellness Limited</t>
        </is>
      </c>
      <c r="C86" s="31" t="inlineStr">
        <is>
          <t>fmcg</t>
        </is>
      </c>
      <c r="D86" s="31" t="inlineStr">
        <is>
          <t>food - processing - indian</t>
        </is>
      </c>
      <c r="E86" s="31" t="inlineStr">
        <is>
          <t>midcap</t>
        </is>
      </c>
      <c r="F86" s="31" t="n">
        <v>18658.54</v>
      </c>
      <c r="G86" s="31" t="n">
        <v>602.5</v>
      </c>
      <c r="H86" s="31" t="n">
        <v>2.74</v>
      </c>
      <c r="I86" s="31" t="n">
        <v>1117306</v>
      </c>
      <c r="J86" s="31" t="inlineStr">
        <is>
          <t>531335</t>
        </is>
      </c>
    </row>
    <row r="87">
      <c r="A87" s="31" t="inlineStr">
        <is>
          <t>USHAMART</t>
        </is>
      </c>
      <c r="B87" s="31" t="inlineStr">
        <is>
          <t>Usha Martin Limited</t>
        </is>
      </c>
      <c r="C87" s="31" t="inlineStr">
        <is>
          <t>metals &amp; mining</t>
        </is>
      </c>
      <c r="D87" s="31" t="inlineStr">
        <is>
          <t>steel - medium / small</t>
        </is>
      </c>
      <c r="E87" s="31" t="inlineStr">
        <is>
          <t>midcap</t>
        </is>
      </c>
      <c r="F87" s="31" t="n">
        <v>15083.21</v>
      </c>
      <c r="G87" s="31" t="n">
        <v>508.4</v>
      </c>
      <c r="H87" s="31" t="n">
        <v>2.72</v>
      </c>
      <c r="I87" s="31" t="n">
        <v>404778</v>
      </c>
      <c r="J87" s="31" t="inlineStr">
        <is>
          <t>517146</t>
        </is>
      </c>
    </row>
    <row r="88">
      <c r="A88" s="31" t="inlineStr">
        <is>
          <t>KAPSTON</t>
        </is>
      </c>
      <c r="B88" s="31" t="inlineStr">
        <is>
          <t>Kapston Services Ltd</t>
        </is>
      </c>
      <c r="C88" s="31" t="inlineStr">
        <is>
          <t>miscellaneous</t>
        </is>
      </c>
      <c r="D88" s="31" t="inlineStr">
        <is>
          <t>miscellaneous</t>
        </is>
      </c>
      <c r="E88" s="31" t="inlineStr">
        <is>
          <t>smallcap</t>
        </is>
      </c>
      <c r="F88" s="31" t="n">
        <v>1286.52</v>
      </c>
      <c r="G88" s="31" t="n">
        <v>434</v>
      </c>
      <c r="H88" s="31" t="n">
        <v>2.66</v>
      </c>
      <c r="I88" s="31" t="n">
        <v>49739</v>
      </c>
      <c r="J88" s="31" t="inlineStr">
        <is>
          <t>535064</t>
        </is>
      </c>
    </row>
    <row r="89">
      <c r="A89" s="31" t="inlineStr">
        <is>
          <t>PSPPROJECT</t>
        </is>
      </c>
      <c r="B89" s="31" t="inlineStr">
        <is>
          <t>PSP Projects Ltd</t>
        </is>
      </c>
      <c r="C89" s="31" t="inlineStr">
        <is>
          <t>realty</t>
        </is>
      </c>
      <c r="D89" s="31" t="inlineStr">
        <is>
          <t>construction</t>
        </is>
      </c>
      <c r="E89" s="31" t="inlineStr">
        <is>
          <t>smallcap</t>
        </is>
      </c>
      <c r="F89" s="31" t="n">
        <v>4147.72</v>
      </c>
      <c r="G89" s="31" t="n">
        <v>1074</v>
      </c>
      <c r="H89" s="31" t="n">
        <v>2.65</v>
      </c>
      <c r="I89" s="31" t="n">
        <v>77186</v>
      </c>
      <c r="J89" s="31" t="inlineStr">
        <is>
          <t>540544</t>
        </is>
      </c>
    </row>
    <row r="90">
      <c r="A90" s="31" t="inlineStr">
        <is>
          <t>KIRLFER</t>
        </is>
      </c>
      <c r="B90" s="31" t="inlineStr">
        <is>
          <t>Kirloskar Ferrous Industries Ltd</t>
        </is>
      </c>
      <c r="C90" s="31" t="inlineStr">
        <is>
          <t>metals &amp; mining</t>
        </is>
      </c>
      <c r="D90" s="31" t="inlineStr">
        <is>
          <t>steel - large</t>
        </is>
      </c>
      <c r="E90" s="31" t="inlineStr">
        <is>
          <t>midcap</t>
        </is>
      </c>
      <c r="F90" s="31" t="n">
        <v>7766.16</v>
      </c>
      <c r="G90" s="31" t="n">
        <v>483.35</v>
      </c>
      <c r="H90" s="31" t="n">
        <v>2.64</v>
      </c>
      <c r="I90" s="31" t="n">
        <v>111603</v>
      </c>
      <c r="J90" s="31" t="inlineStr">
        <is>
          <t>500245</t>
        </is>
      </c>
    </row>
    <row r="91">
      <c r="A91" s="31" t="inlineStr">
        <is>
          <t>BANKINDIA</t>
        </is>
      </c>
      <c r="B91" s="31" t="inlineStr">
        <is>
          <t>Bank Of India Ltd</t>
        </is>
      </c>
      <c r="C91" s="31" t="inlineStr">
        <is>
          <t>bank</t>
        </is>
      </c>
      <c r="D91" s="31" t="inlineStr">
        <is>
          <t>banks - public sector</t>
        </is>
      </c>
      <c r="E91" s="31" t="inlineStr">
        <is>
          <t>largecap</t>
        </is>
      </c>
      <c r="F91" s="31" t="n">
        <v>65180.55</v>
      </c>
      <c r="G91" s="31" t="n">
        <v>146.95</v>
      </c>
      <c r="H91" s="31" t="n">
        <v>2.64</v>
      </c>
      <c r="I91" s="31" t="n">
        <v>13068497</v>
      </c>
      <c r="J91" s="31" t="inlineStr">
        <is>
          <t>532149</t>
        </is>
      </c>
    </row>
    <row r="92">
      <c r="A92" s="31" t="inlineStr">
        <is>
          <t>WANBURY</t>
        </is>
      </c>
      <c r="B92" s="31" t="inlineStr">
        <is>
          <t>Wanbury Limited</t>
        </is>
      </c>
      <c r="C92" s="31" t="inlineStr">
        <is>
          <t>healthcare</t>
        </is>
      </c>
      <c r="D92" s="31" t="inlineStr">
        <is>
          <t>pharmaceuticals - indian - bulk drugs &amp; formln</t>
        </is>
      </c>
      <c r="E92" s="31" t="inlineStr">
        <is>
          <t>smallcap</t>
        </is>
      </c>
      <c r="F92" s="31" t="n">
        <v>1160.69</v>
      </c>
      <c r="G92" s="31" t="n">
        <v>340.95</v>
      </c>
      <c r="H92" s="31" t="n">
        <v>2.63</v>
      </c>
      <c r="I92" s="31" t="n">
        <v>445577</v>
      </c>
      <c r="J92" s="31" t="inlineStr">
        <is>
          <t>524212</t>
        </is>
      </c>
    </row>
    <row r="93">
      <c r="A93" s="31" t="inlineStr">
        <is>
          <t>TIRUPATIFL</t>
        </is>
      </c>
      <c r="B93" s="31" t="inlineStr">
        <is>
          <t>Tirupati Forge Ltd</t>
        </is>
      </c>
      <c r="C93" s="31" t="inlineStr">
        <is>
          <t>industrials</t>
        </is>
      </c>
      <c r="D93" s="31" t="inlineStr">
        <is>
          <t>castings &amp; forgings</t>
        </is>
      </c>
      <c r="E93" s="31" t="inlineStr">
        <is>
          <t>smallcap</t>
        </is>
      </c>
      <c r="F93" s="31" t="n">
        <v>880.6900000000001</v>
      </c>
      <c r="G93" s="31" t="n">
        <v>69.95999999999999</v>
      </c>
      <c r="H93" s="31" t="n">
        <v>2.63</v>
      </c>
      <c r="I93" s="31" t="n">
        <v>460867</v>
      </c>
      <c r="J93" s="31" t="inlineStr">
        <is>
          <t>535021</t>
        </is>
      </c>
    </row>
    <row r="94">
      <c r="A94" s="31" t="inlineStr">
        <is>
          <t>PGIL</t>
        </is>
      </c>
      <c r="B94" s="31" t="inlineStr">
        <is>
          <t>Pearl Global Industries Limited</t>
        </is>
      </c>
      <c r="C94" s="31" t="inlineStr">
        <is>
          <t>consumer discretionary</t>
        </is>
      </c>
      <c r="D94" s="31" t="inlineStr">
        <is>
          <t>textiles - products</t>
        </is>
      </c>
      <c r="E94" s="31" t="inlineStr">
        <is>
          <t>midcap</t>
        </is>
      </c>
      <c r="F94" s="31" t="n">
        <v>9427.559999999999</v>
      </c>
      <c r="G94" s="31" t="n">
        <v>2094.7</v>
      </c>
      <c r="H94" s="31" t="n">
        <v>2.62</v>
      </c>
      <c r="I94" s="31" t="n">
        <v>196034</v>
      </c>
      <c r="J94" s="31" t="inlineStr">
        <is>
          <t>532808</t>
        </is>
      </c>
    </row>
    <row r="95">
      <c r="A95" s="31" t="inlineStr">
        <is>
          <t>HNDFDS</t>
        </is>
      </c>
      <c r="B95" s="31" t="inlineStr">
        <is>
          <t>Hindustan Foods Ltd</t>
        </is>
      </c>
      <c r="C95" s="31" t="inlineStr">
        <is>
          <t>fmcg</t>
        </is>
      </c>
      <c r="D95" s="31" t="inlineStr">
        <is>
          <t>diversified - large</t>
        </is>
      </c>
      <c r="E95" s="31" t="inlineStr">
        <is>
          <t>midcap</t>
        </is>
      </c>
      <c r="F95" s="31" t="n">
        <v>6671.86</v>
      </c>
      <c r="G95" s="31" t="n">
        <v>572.95</v>
      </c>
      <c r="H95" s="31" t="n">
        <v>2.61</v>
      </c>
      <c r="I95" s="31" t="n">
        <v>172379</v>
      </c>
      <c r="J95" s="31" t="inlineStr">
        <is>
          <t>519126</t>
        </is>
      </c>
    </row>
    <row r="96">
      <c r="A96" s="31" t="inlineStr">
        <is>
          <t>BODALCHEM</t>
        </is>
      </c>
      <c r="B96" s="31" t="inlineStr">
        <is>
          <t>Bodal Chemicals Limited</t>
        </is>
      </c>
      <c r="C96" s="31" t="inlineStr">
        <is>
          <t>chemicals</t>
        </is>
      </c>
      <c r="D96" s="31" t="inlineStr">
        <is>
          <t>dyes and pigments</t>
        </is>
      </c>
      <c r="E96" s="31" t="inlineStr">
        <is>
          <t>smallcap</t>
        </is>
      </c>
      <c r="F96" s="31" t="n">
        <v>808.0599999999999</v>
      </c>
      <c r="G96" s="31" t="n">
        <v>65.83</v>
      </c>
      <c r="H96" s="31" t="n">
        <v>2.6</v>
      </c>
      <c r="I96" s="31" t="n">
        <v>177655</v>
      </c>
      <c r="J96" s="31" t="inlineStr">
        <is>
          <t>524370</t>
        </is>
      </c>
    </row>
    <row r="97">
      <c r="A97" s="31" t="inlineStr">
        <is>
          <t>NELCO</t>
        </is>
      </c>
      <c r="B97" s="31" t="inlineStr">
        <is>
          <t>Nelco Limited</t>
        </is>
      </c>
      <c r="C97" s="31" t="inlineStr">
        <is>
          <t>telecom</t>
        </is>
      </c>
      <c r="D97" s="31" t="inlineStr">
        <is>
          <t>telecommunications - service provider</t>
        </is>
      </c>
      <c r="E97" s="31" t="inlineStr">
        <is>
          <t>smallcap</t>
        </is>
      </c>
      <c r="F97" s="31" t="n">
        <v>1978.7</v>
      </c>
      <c r="G97" s="31" t="n">
        <v>889.6</v>
      </c>
      <c r="H97" s="31" t="n">
        <v>2.59</v>
      </c>
      <c r="I97" s="31" t="n">
        <v>296455</v>
      </c>
      <c r="J97" s="31" t="inlineStr">
        <is>
          <t>504112</t>
        </is>
      </c>
    </row>
    <row r="98">
      <c r="A98" s="31" t="inlineStr">
        <is>
          <t>AEGISLOG</t>
        </is>
      </c>
      <c r="B98" s="31" t="inlineStr">
        <is>
          <t>Aegis Logistics Ltd</t>
        </is>
      </c>
      <c r="C98" s="31" t="inlineStr">
        <is>
          <t>services</t>
        </is>
      </c>
      <c r="D98" s="31" t="inlineStr">
        <is>
          <t>trading</t>
        </is>
      </c>
      <c r="E98" s="31" t="inlineStr">
        <is>
          <t>largecap</t>
        </is>
      </c>
      <c r="F98" s="31" t="n">
        <v>47353.41</v>
      </c>
      <c r="G98" s="31" t="n">
        <v>1383.9</v>
      </c>
      <c r="H98" s="31" t="n">
        <v>2.58</v>
      </c>
      <c r="I98" s="31" t="n">
        <v>3704335</v>
      </c>
      <c r="J98" s="31" t="inlineStr">
        <is>
          <t>500003</t>
        </is>
      </c>
    </row>
    <row r="99">
      <c r="A99" s="31" t="inlineStr">
        <is>
          <t>RAIN</t>
        </is>
      </c>
      <c r="B99" s="31" t="inlineStr">
        <is>
          <t>Rain Industries Limited</t>
        </is>
      </c>
      <c r="C99" s="31" t="inlineStr">
        <is>
          <t>miscellaneous</t>
        </is>
      </c>
      <c r="D99" s="31" t="inlineStr">
        <is>
          <t>miscellaneous</t>
        </is>
      </c>
      <c r="E99" s="31" t="inlineStr">
        <is>
          <t>midcap</t>
        </is>
      </c>
      <c r="F99" s="31" t="n">
        <v>6954.62</v>
      </c>
      <c r="G99" s="31" t="n">
        <v>212.02</v>
      </c>
      <c r="H99" s="31" t="n">
        <v>2.54</v>
      </c>
      <c r="I99" s="31" t="n">
        <v>4363982</v>
      </c>
      <c r="J99" s="31" t="inlineStr">
        <is>
          <t>500339</t>
        </is>
      </c>
    </row>
    <row r="100">
      <c r="A100" s="31" t="inlineStr">
        <is>
          <t>HOMEFIRST</t>
        </is>
      </c>
      <c r="B100" s="31" t="inlineStr">
        <is>
          <t>Home First Finance Company India Ltd</t>
        </is>
      </c>
      <c r="C100" s="31" t="inlineStr">
        <is>
          <t>financials</t>
        </is>
      </c>
      <c r="D100" s="31" t="inlineStr">
        <is>
          <t>finance - housing</t>
        </is>
      </c>
      <c r="E100" s="31" t="inlineStr">
        <is>
          <t>midcap</t>
        </is>
      </c>
      <c r="F100" s="31" t="n">
        <v>12955.45</v>
      </c>
      <c r="G100" s="31" t="n">
        <v>1273.2</v>
      </c>
      <c r="H100" s="31" t="n">
        <v>2.53</v>
      </c>
      <c r="I100" s="31" t="n">
        <v>226599</v>
      </c>
      <c r="J100" s="31" t="inlineStr">
        <is>
          <t>543259</t>
        </is>
      </c>
    </row>
    <row r="101">
      <c r="A101" s="31" t="inlineStr">
        <is>
          <t>GANESHBE</t>
        </is>
      </c>
      <c r="B101" s="31" t="inlineStr">
        <is>
          <t>Ganesh Benzoplast Ltd</t>
        </is>
      </c>
      <c r="C101" s="31" t="inlineStr">
        <is>
          <t>miscellaneous</t>
        </is>
      </c>
      <c r="D101" s="31" t="inlineStr">
        <is>
          <t>miscellaneous</t>
        </is>
      </c>
      <c r="E101" s="31" t="inlineStr">
        <is>
          <t>smallcap</t>
        </is>
      </c>
      <c r="F101" s="31" t="n">
        <v>751.64</v>
      </c>
      <c r="G101" s="31" t="n">
        <v>107.02</v>
      </c>
      <c r="H101" s="31" t="n">
        <v>2.5</v>
      </c>
      <c r="I101" s="31" t="n">
        <v>180937</v>
      </c>
      <c r="J101" s="31" t="inlineStr">
        <is>
          <t>500153</t>
        </is>
      </c>
    </row>
    <row r="102">
      <c r="A102" s="31" t="inlineStr">
        <is>
          <t>SETL</t>
        </is>
      </c>
      <c r="B102" s="31" t="inlineStr">
        <is>
          <t>Standard Enginnering Technology Ltd</t>
        </is>
      </c>
      <c r="C102" s="31" t="inlineStr">
        <is>
          <t>industrials</t>
        </is>
      </c>
      <c r="D102" s="31" t="inlineStr">
        <is>
          <t>engineering</t>
        </is>
      </c>
      <c r="E102" s="31" t="inlineStr">
        <is>
          <t>midcap</t>
        </is>
      </c>
      <c r="F102" s="31" t="n">
        <v>5607.71</v>
      </c>
      <c r="G102" s="31" t="n">
        <v>288.05</v>
      </c>
      <c r="H102" s="31" t="n">
        <v>2.47</v>
      </c>
      <c r="I102" s="31" t="n">
        <v>487963</v>
      </c>
      <c r="J102" s="31" t="inlineStr">
        <is>
          <t>544333</t>
        </is>
      </c>
    </row>
    <row r="103">
      <c r="A103" s="31" t="inlineStr">
        <is>
          <t>ONESOURCE</t>
        </is>
      </c>
      <c r="B103" s="31" t="inlineStr">
        <is>
          <t>OneSource Specialty Pharma Ltd</t>
        </is>
      </c>
      <c r="C103" s="31" t="inlineStr">
        <is>
          <t>healthcare</t>
        </is>
      </c>
      <c r="D103" s="31" t="inlineStr">
        <is>
          <t>pharmaceuticals - indian - bulk drugs &amp; formln</t>
        </is>
      </c>
      <c r="E103" s="31" t="inlineStr">
        <is>
          <t>midcap</t>
        </is>
      </c>
      <c r="F103" s="31" t="n">
        <v>18949.18</v>
      </c>
      <c r="G103" s="31" t="n">
        <v>1693.9</v>
      </c>
      <c r="H103" s="31" t="n">
        <v>2.46</v>
      </c>
      <c r="I103" s="31" t="n">
        <v>372698</v>
      </c>
      <c r="J103" s="31" t="inlineStr">
        <is>
          <t>544292</t>
        </is>
      </c>
    </row>
    <row r="104">
      <c r="A104" s="31" t="inlineStr">
        <is>
          <t>LLOYDSENGG</t>
        </is>
      </c>
      <c r="B104" s="31" t="inlineStr">
        <is>
          <t>Lloyds Engineering Works Ltd</t>
        </is>
      </c>
      <c r="C104" s="31" t="inlineStr">
        <is>
          <t>industrials</t>
        </is>
      </c>
      <c r="D104" s="31" t="inlineStr">
        <is>
          <t>engineering</t>
        </is>
      </c>
      <c r="E104" s="31" t="inlineStr">
        <is>
          <t>midcap</t>
        </is>
      </c>
      <c r="F104" s="31" t="n">
        <v>13109.51</v>
      </c>
      <c r="G104" s="31" t="n">
        <v>90.70999999999999</v>
      </c>
      <c r="H104" s="31" t="n">
        <v>2.43</v>
      </c>
      <c r="I104" s="31" t="n">
        <v>13074316</v>
      </c>
      <c r="J104" s="31" t="inlineStr">
        <is>
          <t>539992</t>
        </is>
      </c>
    </row>
    <row r="105">
      <c r="A105" s="31" t="inlineStr">
        <is>
          <t>GREENPLY</t>
        </is>
      </c>
      <c r="B105" s="31" t="inlineStr">
        <is>
          <t>Greenply Industries Limited</t>
        </is>
      </c>
      <c r="C105" s="31" t="inlineStr">
        <is>
          <t>building materials</t>
        </is>
      </c>
      <c r="D105" s="31" t="inlineStr">
        <is>
          <t>miscellaneous</t>
        </is>
      </c>
      <c r="E105" s="31" t="inlineStr">
        <is>
          <t>smallcap</t>
        </is>
      </c>
      <c r="F105" s="31" t="n">
        <v>3938.79</v>
      </c>
      <c r="G105" s="31" t="n">
        <v>323</v>
      </c>
      <c r="H105" s="31" t="n">
        <v>2.43</v>
      </c>
      <c r="I105" s="31" t="n">
        <v>263120</v>
      </c>
      <c r="J105" s="31" t="inlineStr">
        <is>
          <t>526797</t>
        </is>
      </c>
    </row>
    <row r="106">
      <c r="A106" s="31" t="inlineStr">
        <is>
          <t>SAKAR</t>
        </is>
      </c>
      <c r="B106" s="31" t="inlineStr">
        <is>
          <t>Sakar Healthcare Ltd</t>
        </is>
      </c>
      <c r="C106" s="31" t="inlineStr">
        <is>
          <t>healthcare</t>
        </is>
      </c>
      <c r="D106" s="31" t="inlineStr">
        <is>
          <t>pharmaceuticals - indian - bulk drugs &amp; formln</t>
        </is>
      </c>
      <c r="E106" s="31" t="inlineStr">
        <is>
          <t>smallcap</t>
        </is>
      </c>
      <c r="F106" s="31" t="n">
        <v>1952.87</v>
      </c>
      <c r="G106" s="31" t="n">
        <v>898.8</v>
      </c>
      <c r="H106" s="31" t="n">
        <v>2.4</v>
      </c>
      <c r="I106" s="31" t="n">
        <v>72908</v>
      </c>
      <c r="J106" s="31" t="inlineStr">
        <is>
          <t>538377</t>
        </is>
      </c>
    </row>
    <row r="107">
      <c r="A107" s="31" t="inlineStr">
        <is>
          <t>RECLTD</t>
        </is>
      </c>
      <c r="B107" s="31" t="inlineStr">
        <is>
          <t>REC Ltd</t>
        </is>
      </c>
      <c r="C107" s="31" t="inlineStr">
        <is>
          <t>financials</t>
        </is>
      </c>
      <c r="D107" s="31" t="inlineStr">
        <is>
          <t>finance - term-lending institutions</t>
        </is>
      </c>
      <c r="E107" s="31" t="inlineStr">
        <is>
          <t>largecap</t>
        </is>
      </c>
      <c r="F107" s="31" t="n">
        <v>93505.78</v>
      </c>
      <c r="G107" s="31" t="n">
        <v>363.5</v>
      </c>
      <c r="H107" s="31" t="n">
        <v>2.37</v>
      </c>
      <c r="I107" s="31" t="n">
        <v>6788062</v>
      </c>
      <c r="J107" s="31" t="inlineStr">
        <is>
          <t>532955</t>
        </is>
      </c>
    </row>
    <row r="108">
      <c r="A108" s="31" t="inlineStr">
        <is>
          <t>GALAPREC</t>
        </is>
      </c>
      <c r="B108" s="31" t="inlineStr">
        <is>
          <t>Gala Precision Engineering Ltd</t>
        </is>
      </c>
      <c r="C108" s="31" t="inlineStr">
        <is>
          <t>industrials</t>
        </is>
      </c>
      <c r="D108" s="31" t="inlineStr">
        <is>
          <t>fasteners</t>
        </is>
      </c>
      <c r="E108" s="31" t="inlineStr">
        <is>
          <t>smallcap</t>
        </is>
      </c>
      <c r="F108" s="31" t="n">
        <v>1507.08</v>
      </c>
      <c r="G108" s="31" t="n">
        <v>1210</v>
      </c>
      <c r="H108" s="31" t="n">
        <v>2.37</v>
      </c>
      <c r="I108" s="31" t="n">
        <v>63104</v>
      </c>
      <c r="J108" s="31" t="inlineStr">
        <is>
          <t>544244</t>
        </is>
      </c>
    </row>
    <row r="109">
      <c r="A109" s="31" t="inlineStr">
        <is>
          <t>5PAISA</t>
        </is>
      </c>
      <c r="B109" s="31" t="inlineStr">
        <is>
          <t>5Paisa Capital Ltd</t>
        </is>
      </c>
      <c r="C109" s="31" t="inlineStr">
        <is>
          <t>financials</t>
        </is>
      </c>
      <c r="D109" s="31" t="inlineStr">
        <is>
          <t>finance &amp; investments</t>
        </is>
      </c>
      <c r="E109" s="31" t="inlineStr">
        <is>
          <t>smallcap</t>
        </is>
      </c>
      <c r="F109" s="31" t="n">
        <v>1714.02</v>
      </c>
      <c r="G109" s="31" t="n">
        <v>374.05</v>
      </c>
      <c r="H109" s="31" t="n">
        <v>2.31</v>
      </c>
      <c r="I109" s="31" t="n">
        <v>53977</v>
      </c>
      <c r="J109" s="31" t="inlineStr">
        <is>
          <t>540776</t>
        </is>
      </c>
    </row>
    <row r="110">
      <c r="A110" s="31" t="inlineStr">
        <is>
          <t>LLOYDSME</t>
        </is>
      </c>
      <c r="B110" s="31" t="inlineStr">
        <is>
          <t>Lloyds Metals &amp; Energy Ltd</t>
        </is>
      </c>
      <c r="C110" s="31" t="inlineStr">
        <is>
          <t>metals &amp; mining</t>
        </is>
      </c>
      <c r="D110" s="31" t="inlineStr">
        <is>
          <t>mining / minerals / metals</t>
        </is>
      </c>
      <c r="E110" s="31" t="inlineStr">
        <is>
          <t>largecap</t>
        </is>
      </c>
      <c r="F110" s="31" t="n">
        <v>105004.66</v>
      </c>
      <c r="G110" s="31" t="n">
        <v>1907.9</v>
      </c>
      <c r="H110" s="31" t="n">
        <v>2.28</v>
      </c>
      <c r="I110" s="31" t="n">
        <v>679437</v>
      </c>
      <c r="J110" s="31" t="inlineStr">
        <is>
          <t>512455</t>
        </is>
      </c>
    </row>
    <row r="111">
      <c r="A111" s="31" t="inlineStr">
        <is>
          <t>SGIL</t>
        </is>
      </c>
      <c r="B111" s="31" t="inlineStr">
        <is>
          <t>Synergy Green Industries Ltd</t>
        </is>
      </c>
      <c r="C111" s="31" t="inlineStr">
        <is>
          <t>industrials</t>
        </is>
      </c>
      <c r="D111" s="31" t="inlineStr">
        <is>
          <t>castings &amp; forgings</t>
        </is>
      </c>
      <c r="E111" s="31" t="inlineStr">
        <is>
          <t>smallcap</t>
        </is>
      </c>
      <c r="F111" s="31" t="n">
        <v>925.4299999999999</v>
      </c>
      <c r="G111" s="31" t="n">
        <v>609</v>
      </c>
      <c r="H111" s="31" t="n">
        <v>2.28</v>
      </c>
      <c r="I111" s="31" t="n">
        <v>6975</v>
      </c>
      <c r="J111" s="31" t="inlineStr">
        <is>
          <t>541929</t>
        </is>
      </c>
    </row>
    <row r="112">
      <c r="A112" s="31" t="inlineStr">
        <is>
          <t>NHPC</t>
        </is>
      </c>
      <c r="B112" s="31" t="inlineStr">
        <is>
          <t>Nhpc Limited</t>
        </is>
      </c>
      <c r="C112" s="31" t="inlineStr">
        <is>
          <t>power &amp; utilities</t>
        </is>
      </c>
      <c r="D112" s="31" t="inlineStr">
        <is>
          <t>power generation and supply</t>
        </is>
      </c>
      <c r="E112" s="31" t="inlineStr">
        <is>
          <t>largecap</t>
        </is>
      </c>
      <c r="F112" s="31" t="n">
        <v>79556.67999999999</v>
      </c>
      <c r="G112" s="31" t="n">
        <v>81</v>
      </c>
      <c r="H112" s="31" t="n">
        <v>2.27</v>
      </c>
      <c r="I112" s="31" t="n">
        <v>12119668</v>
      </c>
      <c r="J112" s="31" t="inlineStr">
        <is>
          <t>533098</t>
        </is>
      </c>
    </row>
    <row r="113">
      <c r="A113" s="31" t="inlineStr">
        <is>
          <t>GEOJITFSL</t>
        </is>
      </c>
      <c r="B113" s="31" t="inlineStr">
        <is>
          <t>Geojit Financial Services Ltd</t>
        </is>
      </c>
      <c r="C113" s="31" t="inlineStr">
        <is>
          <t>financials</t>
        </is>
      </c>
      <c r="D113" s="31" t="inlineStr">
        <is>
          <t>finance &amp; investments</t>
        </is>
      </c>
      <c r="E113" s="31" t="inlineStr">
        <is>
          <t>smallcap</t>
        </is>
      </c>
      <c r="F113" s="31" t="n">
        <v>2263.12</v>
      </c>
      <c r="G113" s="31" t="n">
        <v>82.92</v>
      </c>
      <c r="H113" s="31" t="n">
        <v>2.27</v>
      </c>
      <c r="I113" s="31" t="n">
        <v>491287</v>
      </c>
      <c r="J113" s="31" t="inlineStr">
        <is>
          <t>532285</t>
        </is>
      </c>
    </row>
    <row r="114">
      <c r="A114" s="31" t="inlineStr">
        <is>
          <t>GODREJIND</t>
        </is>
      </c>
      <c r="B114" s="31" t="inlineStr">
        <is>
          <t>Godrej Industries Limited</t>
        </is>
      </c>
      <c r="C114" s="31" t="inlineStr">
        <is>
          <t>chemicals</t>
        </is>
      </c>
      <c r="D114" s="31" t="inlineStr">
        <is>
          <t>chemicals</t>
        </is>
      </c>
      <c r="E114" s="31" t="inlineStr">
        <is>
          <t>largecap</t>
        </is>
      </c>
      <c r="F114" s="31" t="n">
        <v>44953.34</v>
      </c>
      <c r="G114" s="31" t="n">
        <v>1364.8</v>
      </c>
      <c r="H114" s="31" t="n">
        <v>2.26</v>
      </c>
      <c r="I114" s="31" t="n">
        <v>233121</v>
      </c>
      <c r="J114" s="31" t="inlineStr">
        <is>
          <t>500164</t>
        </is>
      </c>
    </row>
    <row r="115">
      <c r="A115" s="31" t="inlineStr">
        <is>
          <t>KKCL</t>
        </is>
      </c>
      <c r="B115" s="31" t="inlineStr">
        <is>
          <t>Kewal Kiran Clothing Limited</t>
        </is>
      </c>
      <c r="C115" s="31" t="inlineStr">
        <is>
          <t>consumer discretionary</t>
        </is>
      </c>
      <c r="D115" s="31" t="inlineStr">
        <is>
          <t>textiles - products</t>
        </is>
      </c>
      <c r="E115" s="31" t="inlineStr">
        <is>
          <t>smallcap</t>
        </is>
      </c>
      <c r="F115" s="31" t="n">
        <v>3049.21</v>
      </c>
      <c r="G115" s="31" t="n">
        <v>505.9</v>
      </c>
      <c r="H115" s="31" t="n">
        <v>2.24</v>
      </c>
      <c r="I115" s="31" t="n">
        <v>36296</v>
      </c>
      <c r="J115" s="31" t="inlineStr">
        <is>
          <t>532732</t>
        </is>
      </c>
    </row>
    <row r="116">
      <c r="A116" s="31" t="inlineStr">
        <is>
          <t>SHAREINDIA</t>
        </is>
      </c>
      <c r="B116" s="31" t="inlineStr">
        <is>
          <t>Share India Securities Ltd</t>
        </is>
      </c>
      <c r="C116" s="31" t="inlineStr">
        <is>
          <t>financials</t>
        </is>
      </c>
      <c r="D116" s="31" t="inlineStr">
        <is>
          <t>finance &amp; investments</t>
        </is>
      </c>
      <c r="E116" s="31" t="inlineStr">
        <is>
          <t>smallcap</t>
        </is>
      </c>
      <c r="F116" s="31" t="n">
        <v>3878.46</v>
      </c>
      <c r="G116" s="31" t="n">
        <v>181.13</v>
      </c>
      <c r="H116" s="31" t="n">
        <v>2.19</v>
      </c>
      <c r="I116" s="31" t="n">
        <v>1094127</v>
      </c>
      <c r="J116" s="31" t="inlineStr">
        <is>
          <t>540725</t>
        </is>
      </c>
    </row>
    <row r="117">
      <c r="A117" s="31" t="inlineStr">
        <is>
          <t>ASAL</t>
        </is>
      </c>
      <c r="B117" s="31" t="inlineStr">
        <is>
          <t>Automotive Stampings And Assemblies Limited</t>
        </is>
      </c>
      <c r="C117" s="31" t="inlineStr">
        <is>
          <t>auto</t>
        </is>
      </c>
      <c r="D117" s="31" t="inlineStr">
        <is>
          <t>auto ancillaries</t>
        </is>
      </c>
      <c r="E117" s="31" t="inlineStr">
        <is>
          <t>smallcap</t>
        </is>
      </c>
      <c r="F117" s="31" t="n">
        <v>828.6</v>
      </c>
      <c r="G117" s="31" t="n">
        <v>533.7</v>
      </c>
      <c r="H117" s="31" t="n">
        <v>2.18</v>
      </c>
      <c r="I117" s="31" t="n">
        <v>22258</v>
      </c>
      <c r="J117" s="31" t="inlineStr">
        <is>
          <t>520119</t>
        </is>
      </c>
    </row>
    <row r="118">
      <c r="A118" s="31" t="inlineStr">
        <is>
          <t>WELCORP</t>
        </is>
      </c>
      <c r="B118" s="31" t="inlineStr">
        <is>
          <t>Welspun Corp Limited</t>
        </is>
      </c>
      <c r="C118" s="31" t="inlineStr">
        <is>
          <t>industrials</t>
        </is>
      </c>
      <c r="D118" s="31" t="inlineStr">
        <is>
          <t>steel - large</t>
        </is>
      </c>
      <c r="E118" s="31" t="inlineStr">
        <is>
          <t>largecap</t>
        </is>
      </c>
      <c r="F118" s="31" t="n">
        <v>41718.49</v>
      </c>
      <c r="G118" s="31" t="n">
        <v>1615.8</v>
      </c>
      <c r="H118" s="31" t="n">
        <v>2.17</v>
      </c>
      <c r="I118" s="31" t="n">
        <v>946334</v>
      </c>
      <c r="J118" s="31" t="inlineStr">
        <is>
          <t>532144</t>
        </is>
      </c>
    </row>
    <row r="119">
      <c r="A119" s="31" t="inlineStr">
        <is>
          <t>RAMCOSYS</t>
        </is>
      </c>
      <c r="B119" s="31" t="inlineStr">
        <is>
          <t>Ramco Systems Limited</t>
        </is>
      </c>
      <c r="C119" s="31" t="inlineStr">
        <is>
          <t>i.t</t>
        </is>
      </c>
      <c r="D119" s="31" t="inlineStr">
        <is>
          <t>computers - software - medium / small</t>
        </is>
      </c>
      <c r="E119" s="31" t="inlineStr">
        <is>
          <t>smallcap</t>
        </is>
      </c>
      <c r="F119" s="31" t="n">
        <v>2951.99</v>
      </c>
      <c r="G119" s="31" t="n">
        <v>806</v>
      </c>
      <c r="H119" s="31" t="n">
        <v>2.15</v>
      </c>
      <c r="I119" s="31" t="n">
        <v>978051</v>
      </c>
      <c r="J119" s="31" t="inlineStr">
        <is>
          <t>532370</t>
        </is>
      </c>
    </row>
    <row r="120">
      <c r="A120" s="31" t="inlineStr">
        <is>
          <t>CENTENKA</t>
        </is>
      </c>
      <c r="B120" s="31" t="inlineStr">
        <is>
          <t>Century Enka Limited</t>
        </is>
      </c>
      <c r="C120" s="31" t="inlineStr">
        <is>
          <t>textiles</t>
        </is>
      </c>
      <c r="D120" s="31" t="inlineStr">
        <is>
          <t>textiles - manmade</t>
        </is>
      </c>
      <c r="E120" s="31" t="inlineStr">
        <is>
          <t>smallcap</t>
        </is>
      </c>
      <c r="F120" s="31" t="n">
        <v>1182.99</v>
      </c>
      <c r="G120" s="31" t="n">
        <v>553</v>
      </c>
      <c r="H120" s="31" t="n">
        <v>2.14</v>
      </c>
      <c r="I120" s="31" t="n">
        <v>39243</v>
      </c>
      <c r="J120" s="31" t="inlineStr">
        <is>
          <t>500280</t>
        </is>
      </c>
    </row>
    <row r="121">
      <c r="A121" s="31" t="inlineStr">
        <is>
          <t>APLLTD</t>
        </is>
      </c>
      <c r="B121" s="31" t="inlineStr">
        <is>
          <t>Alembic Pharmaceuticals Limited</t>
        </is>
      </c>
      <c r="C121" s="31" t="inlineStr">
        <is>
          <t>healthcare</t>
        </is>
      </c>
      <c r="D121" s="31" t="inlineStr">
        <is>
          <t>pharmaceuticals - indian - bulk drugs &amp; formln</t>
        </is>
      </c>
      <c r="E121" s="31" t="inlineStr">
        <is>
          <t>midcap</t>
        </is>
      </c>
      <c r="F121" s="31" t="n">
        <v>16218.42</v>
      </c>
      <c r="G121" s="31" t="n">
        <v>842.65</v>
      </c>
      <c r="H121" s="31" t="n">
        <v>2.13</v>
      </c>
      <c r="I121" s="31" t="n">
        <v>81712</v>
      </c>
      <c r="J121" s="31" t="inlineStr">
        <is>
          <t>533573</t>
        </is>
      </c>
    </row>
    <row r="122">
      <c r="A122" s="31" t="inlineStr">
        <is>
          <t>KECL</t>
        </is>
      </c>
      <c r="B122" s="31" t="inlineStr">
        <is>
          <t>Kirloskar Electric Company Limited</t>
        </is>
      </c>
      <c r="C122" s="31" t="inlineStr">
        <is>
          <t>industrials</t>
        </is>
      </c>
      <c r="D122" s="31" t="inlineStr">
        <is>
          <t>electric equipment</t>
        </is>
      </c>
      <c r="E122" s="31" t="inlineStr">
        <is>
          <t>smallcap</t>
        </is>
      </c>
      <c r="F122" s="31" t="n">
        <v>791.0599999999999</v>
      </c>
      <c r="G122" s="31" t="n">
        <v>121.63</v>
      </c>
      <c r="H122" s="31" t="n">
        <v>2.12</v>
      </c>
      <c r="I122" s="31" t="n">
        <v>125748</v>
      </c>
      <c r="J122" s="31" t="inlineStr">
        <is>
          <t>533193</t>
        </is>
      </c>
    </row>
    <row r="123">
      <c r="A123" s="31" t="inlineStr">
        <is>
          <t>GOKEX</t>
        </is>
      </c>
      <c r="B123" s="31" t="inlineStr">
        <is>
          <t>Gokaldas Exports Limited</t>
        </is>
      </c>
      <c r="C123" s="31" t="inlineStr">
        <is>
          <t>consumer discretionary</t>
        </is>
      </c>
      <c r="D123" s="31" t="inlineStr">
        <is>
          <t>textiles - products</t>
        </is>
      </c>
      <c r="E123" s="31" t="inlineStr">
        <is>
          <t>midcap</t>
        </is>
      </c>
      <c r="F123" s="31" t="n">
        <v>6063.41</v>
      </c>
      <c r="G123" s="31" t="n">
        <v>845.35</v>
      </c>
      <c r="H123" s="31" t="n">
        <v>2.12</v>
      </c>
      <c r="I123" s="31" t="n">
        <v>186145</v>
      </c>
      <c r="J123" s="31" t="inlineStr">
        <is>
          <t>532630</t>
        </is>
      </c>
    </row>
    <row r="124">
      <c r="A124" s="31" t="inlineStr">
        <is>
          <t>NRL</t>
        </is>
      </c>
      <c r="B124" s="31" t="inlineStr">
        <is>
          <t>Nupur Recyclers Ltd</t>
        </is>
      </c>
      <c r="C124" s="31" t="inlineStr">
        <is>
          <t>services</t>
        </is>
      </c>
      <c r="D124" s="31" t="inlineStr">
        <is>
          <t>trading</t>
        </is>
      </c>
      <c r="E124" s="31" t="inlineStr">
        <is>
          <t>smallcap</t>
        </is>
      </c>
      <c r="F124" s="31" t="n">
        <v>744.84</v>
      </c>
      <c r="G124" s="31" t="n">
        <v>110.1</v>
      </c>
      <c r="H124" s="31" t="n">
        <v>2.1</v>
      </c>
      <c r="I124" s="31" t="n">
        <v>208436</v>
      </c>
      <c r="J124" s="31" t="inlineStr">
        <is>
          <t>535413</t>
        </is>
      </c>
    </row>
    <row r="125">
      <c r="A125" s="31" t="inlineStr">
        <is>
          <t>DHAMPURSUG</t>
        </is>
      </c>
      <c r="B125" s="31" t="inlineStr">
        <is>
          <t>Dhampur Sugar Mills Limited</t>
        </is>
      </c>
      <c r="C125" s="31" t="inlineStr">
        <is>
          <t>fmcg</t>
        </is>
      </c>
      <c r="D125" s="31" t="inlineStr">
        <is>
          <t>sugar</t>
        </is>
      </c>
      <c r="E125" s="31" t="inlineStr">
        <is>
          <t>smallcap</t>
        </is>
      </c>
      <c r="F125" s="31" t="n">
        <v>915.98</v>
      </c>
      <c r="G125" s="31" t="n">
        <v>145.42</v>
      </c>
      <c r="H125" s="31" t="n">
        <v>2.09</v>
      </c>
      <c r="I125" s="31" t="n">
        <v>297516</v>
      </c>
      <c r="J125" s="31" t="inlineStr">
        <is>
          <t>500119</t>
        </is>
      </c>
    </row>
    <row r="126">
      <c r="A126" s="31" t="inlineStr">
        <is>
          <t>CARTRADE</t>
        </is>
      </c>
      <c r="B126" s="31" t="inlineStr">
        <is>
          <t>Cartrade Tech Ltd</t>
        </is>
      </c>
      <c r="C126" s="31" t="inlineStr">
        <is>
          <t>consumer discretionary</t>
        </is>
      </c>
      <c r="D126" s="31" t="inlineStr">
        <is>
          <t>miscellaneous</t>
        </is>
      </c>
      <c r="E126" s="31" t="inlineStr">
        <is>
          <t>midcap</t>
        </is>
      </c>
      <c r="F126" s="31" t="n">
        <v>12924.2</v>
      </c>
      <c r="G126" s="31" t="n">
        <v>2755.4</v>
      </c>
      <c r="H126" s="31" t="n">
        <v>2.07</v>
      </c>
      <c r="I126" s="31" t="n">
        <v>339570</v>
      </c>
      <c r="J126" s="31" t="inlineStr">
        <is>
          <t>543333</t>
        </is>
      </c>
    </row>
    <row r="127">
      <c r="A127" s="31" t="inlineStr">
        <is>
          <t>HINDCOMPOS</t>
        </is>
      </c>
      <c r="B127" s="31" t="inlineStr">
        <is>
          <t>Hindustan Composites Limited</t>
        </is>
      </c>
      <c r="C127" s="31" t="inlineStr">
        <is>
          <t>auto</t>
        </is>
      </c>
      <c r="D127" s="31" t="inlineStr">
        <is>
          <t>auto ancillaries</t>
        </is>
      </c>
      <c r="E127" s="31" t="inlineStr">
        <is>
          <t>smallcap</t>
        </is>
      </c>
      <c r="F127" s="31" t="n">
        <v>642.23</v>
      </c>
      <c r="G127" s="31" t="n">
        <v>443.75</v>
      </c>
      <c r="H127" s="31" t="n">
        <v>2.05</v>
      </c>
      <c r="I127" s="31" t="n">
        <v>1946</v>
      </c>
      <c r="J127" s="31" t="inlineStr">
        <is>
          <t>509635</t>
        </is>
      </c>
    </row>
    <row r="128">
      <c r="A128" s="31" t="inlineStr">
        <is>
          <t>YASHO</t>
        </is>
      </c>
      <c r="B128" s="31" t="inlineStr">
        <is>
          <t>Yasho Industries Ltd</t>
        </is>
      </c>
      <c r="C128" s="31" t="inlineStr">
        <is>
          <t>chemicals</t>
        </is>
      </c>
      <c r="D128" s="31" t="inlineStr">
        <is>
          <t>chemicals</t>
        </is>
      </c>
      <c r="E128" s="31" t="inlineStr">
        <is>
          <t>smallcap</t>
        </is>
      </c>
      <c r="F128" s="31" t="n">
        <v>3628.55</v>
      </c>
      <c r="G128" s="31" t="n">
        <v>3071.5</v>
      </c>
      <c r="H128" s="31" t="n">
        <v>2.02</v>
      </c>
      <c r="I128" s="31" t="n">
        <v>27546</v>
      </c>
      <c r="J128" s="31" t="inlineStr">
        <is>
          <t>541167</t>
        </is>
      </c>
    </row>
    <row r="129">
      <c r="A129" s="31" t="inlineStr">
        <is>
          <t>EQUITASBNK</t>
        </is>
      </c>
      <c r="B129" s="31" t="inlineStr">
        <is>
          <t>Equitas Small Finance Bank Ltd</t>
        </is>
      </c>
      <c r="C129" s="31" t="inlineStr">
        <is>
          <t>bank</t>
        </is>
      </c>
      <c r="D129" s="31" t="inlineStr">
        <is>
          <t>banks - private sector</t>
        </is>
      </c>
      <c r="E129" s="31" t="inlineStr">
        <is>
          <t>midcap</t>
        </is>
      </c>
      <c r="F129" s="31" t="n">
        <v>8868.190000000001</v>
      </c>
      <c r="G129" s="31" t="n">
        <v>79.28</v>
      </c>
      <c r="H129" s="31" t="n">
        <v>2.01</v>
      </c>
      <c r="I129" s="31" t="n">
        <v>2706023</v>
      </c>
      <c r="J129" s="31" t="inlineStr">
        <is>
          <t>543243</t>
        </is>
      </c>
    </row>
    <row r="130">
      <c r="A130" s="31" t="inlineStr">
        <is>
          <t>SAILIFE</t>
        </is>
      </c>
      <c r="B130" s="31" t="inlineStr">
        <is>
          <t>Sai Life Sciences Ltd</t>
        </is>
      </c>
      <c r="C130" s="31" t="inlineStr">
        <is>
          <t>healthcare</t>
        </is>
      </c>
      <c r="D130" s="31" t="inlineStr">
        <is>
          <t>pharmaceuticals - indian - bulk drugs &amp; formln</t>
        </is>
      </c>
      <c r="E130" s="31" t="inlineStr">
        <is>
          <t>largecap</t>
        </is>
      </c>
      <c r="F130" s="31" t="n">
        <v>26938.32</v>
      </c>
      <c r="G130" s="31" t="n">
        <v>1297</v>
      </c>
      <c r="H130" s="31" t="n">
        <v>1.97</v>
      </c>
      <c r="I130" s="31" t="n">
        <v>311355</v>
      </c>
      <c r="J130" s="31" t="inlineStr">
        <is>
          <t>544306</t>
        </is>
      </c>
    </row>
    <row r="131">
      <c r="A131" s="31" t="inlineStr">
        <is>
          <t>VISAKAIND</t>
        </is>
      </c>
      <c r="B131" s="31" t="inlineStr">
        <is>
          <t>Visaka Industries Limited</t>
        </is>
      </c>
      <c r="C131" s="31" t="inlineStr">
        <is>
          <t>building materials</t>
        </is>
      </c>
      <c r="D131" s="31" t="inlineStr">
        <is>
          <t>cement products</t>
        </is>
      </c>
      <c r="E131" s="31" t="inlineStr">
        <is>
          <t>smallcap</t>
        </is>
      </c>
      <c r="F131" s="31" t="n">
        <v>699.45</v>
      </c>
      <c r="G131" s="31" t="n">
        <v>82.5</v>
      </c>
      <c r="H131" s="31" t="n">
        <v>1.91</v>
      </c>
      <c r="I131" s="31" t="n">
        <v>113725</v>
      </c>
      <c r="J131" s="31" t="inlineStr">
        <is>
          <t>509055</t>
        </is>
      </c>
    </row>
    <row r="132">
      <c r="A132" s="31" t="inlineStr">
        <is>
          <t>LAURUSLABS</t>
        </is>
      </c>
      <c r="B132" s="31" t="inlineStr">
        <is>
          <t>Laurus Labs Limited</t>
        </is>
      </c>
      <c r="C132" s="31" t="inlineStr">
        <is>
          <t>healthcare</t>
        </is>
      </c>
      <c r="D132" s="31" t="inlineStr">
        <is>
          <t>pharmaceuticals - indian - bulk drugs &amp; formln</t>
        </is>
      </c>
      <c r="E132" s="31" t="inlineStr">
        <is>
          <t>largecap</t>
        </is>
      </c>
      <c r="F132" s="31" t="n">
        <v>82587.25999999999</v>
      </c>
      <c r="G132" s="31" t="n">
        <v>1558.9</v>
      </c>
      <c r="H132" s="31" t="n">
        <v>1.9</v>
      </c>
      <c r="I132" s="31" t="n">
        <v>1235847</v>
      </c>
      <c r="J132" s="31" t="inlineStr">
        <is>
          <t>540222</t>
        </is>
      </c>
    </row>
    <row r="133">
      <c r="A133" s="31" t="inlineStr">
        <is>
          <t>CONSOFINVT</t>
        </is>
      </c>
      <c r="B133" s="31" t="inlineStr">
        <is>
          <t>Consolidated Finvest &amp; Holdings Limited</t>
        </is>
      </c>
      <c r="C133" s="31" t="inlineStr">
        <is>
          <t>financials</t>
        </is>
      </c>
      <c r="D133" s="31" t="inlineStr">
        <is>
          <t>finance &amp; investments</t>
        </is>
      </c>
      <c r="E133" s="31" t="inlineStr">
        <is>
          <t>smallcap</t>
        </is>
      </c>
      <c r="F133" s="31" t="n">
        <v>901.9400000000001</v>
      </c>
      <c r="G133" s="31" t="n">
        <v>284.3</v>
      </c>
      <c r="H133" s="31" t="n">
        <v>1.9</v>
      </c>
      <c r="I133" s="31" t="n">
        <v>18137</v>
      </c>
      <c r="J133" s="31" t="inlineStr">
        <is>
          <t>500226</t>
        </is>
      </c>
    </row>
    <row r="134">
      <c r="A134" s="31" t="inlineStr">
        <is>
          <t>ARVINDFASN</t>
        </is>
      </c>
      <c r="B134" s="31" t="inlineStr">
        <is>
          <t>Arvind Fashions Ltd</t>
        </is>
      </c>
      <c r="C134" s="31" t="inlineStr">
        <is>
          <t>consumer discretionary</t>
        </is>
      </c>
      <c r="D134" s="31" t="inlineStr">
        <is>
          <t>trading</t>
        </is>
      </c>
      <c r="E134" s="31" t="inlineStr">
        <is>
          <t>midcap</t>
        </is>
      </c>
      <c r="F134" s="31" t="n">
        <v>6228.99</v>
      </c>
      <c r="G134" s="31" t="n">
        <v>474.75</v>
      </c>
      <c r="H134" s="31" t="n">
        <v>1.87</v>
      </c>
      <c r="I134" s="31" t="n">
        <v>273425</v>
      </c>
      <c r="J134" s="31" t="inlineStr">
        <is>
          <t>542484</t>
        </is>
      </c>
    </row>
    <row r="135">
      <c r="A135" s="31" t="inlineStr">
        <is>
          <t>JSWINFRA</t>
        </is>
      </c>
      <c r="B135" s="31" t="inlineStr">
        <is>
          <t>JSW Infrastructure Ltd</t>
        </is>
      </c>
      <c r="C135" s="31" t="inlineStr">
        <is>
          <t>transportation</t>
        </is>
      </c>
      <c r="D135" s="31" t="inlineStr">
        <is>
          <t>miscellaneous</t>
        </is>
      </c>
      <c r="E135" s="31" t="inlineStr">
        <is>
          <t>largecap</t>
        </is>
      </c>
      <c r="F135" s="31" t="n">
        <v>79721</v>
      </c>
      <c r="G135" s="31" t="n">
        <v>348.45</v>
      </c>
      <c r="H135" s="31" t="n">
        <v>1.84</v>
      </c>
      <c r="I135" s="31" t="n">
        <v>3996065</v>
      </c>
      <c r="J135" s="31" t="inlineStr">
        <is>
          <t>543994</t>
        </is>
      </c>
    </row>
    <row r="136">
      <c r="A136" s="31" t="inlineStr">
        <is>
          <t>SURYODAY</t>
        </is>
      </c>
      <c r="B136" s="31" t="inlineStr">
        <is>
          <t>Suryoday Small Finance Bank Ltd</t>
        </is>
      </c>
      <c r="C136" s="31" t="inlineStr">
        <is>
          <t>bank</t>
        </is>
      </c>
      <c r="D136" s="31" t="inlineStr">
        <is>
          <t>banks - private sector</t>
        </is>
      </c>
      <c r="E136" s="31" t="inlineStr">
        <is>
          <t>smallcap</t>
        </is>
      </c>
      <c r="F136" s="31" t="n">
        <v>1910.98</v>
      </c>
      <c r="G136" s="31" t="n">
        <v>183.05</v>
      </c>
      <c r="H136" s="31" t="n">
        <v>1.81</v>
      </c>
      <c r="I136" s="31" t="n">
        <v>140930</v>
      </c>
      <c r="J136" s="31" t="inlineStr">
        <is>
          <t>543279</t>
        </is>
      </c>
    </row>
    <row r="137">
      <c r="A137" s="31" t="inlineStr">
        <is>
          <t>RITCO</t>
        </is>
      </c>
      <c r="B137" s="31" t="inlineStr">
        <is>
          <t>Ritco Logistics Ltd</t>
        </is>
      </c>
      <c r="C137" s="31" t="inlineStr">
        <is>
          <t>transportation</t>
        </is>
      </c>
      <c r="D137" s="31" t="inlineStr">
        <is>
          <t>miscellaneous</t>
        </is>
      </c>
      <c r="E137" s="31" t="inlineStr">
        <is>
          <t>smallcap</t>
        </is>
      </c>
      <c r="F137" s="31" t="n">
        <v>784.12</v>
      </c>
      <c r="G137" s="31" t="n">
        <v>278.9</v>
      </c>
      <c r="H137" s="31" t="n">
        <v>1.81</v>
      </c>
      <c r="I137" s="31" t="n">
        <v>31441</v>
      </c>
      <c r="J137" s="31" t="inlineStr">
        <is>
          <t>542383</t>
        </is>
      </c>
    </row>
    <row r="138">
      <c r="A138" s="31" t="inlineStr">
        <is>
          <t>JAYAGROGN</t>
        </is>
      </c>
      <c r="B138" s="31" t="inlineStr">
        <is>
          <t>Jayant Agro Organics Limited</t>
        </is>
      </c>
      <c r="C138" s="31" t="inlineStr">
        <is>
          <t>chemicals</t>
        </is>
      </c>
      <c r="D138" s="31" t="inlineStr">
        <is>
          <t>chemicals</t>
        </is>
      </c>
      <c r="E138" s="31" t="inlineStr">
        <is>
          <t>smallcap</t>
        </is>
      </c>
      <c r="F138" s="31" t="n">
        <v>660.78</v>
      </c>
      <c r="G138" s="31" t="n">
        <v>224.22</v>
      </c>
      <c r="H138" s="31" t="n">
        <v>1.8</v>
      </c>
      <c r="I138" s="31" t="n">
        <v>15055</v>
      </c>
      <c r="J138" s="31" t="inlineStr">
        <is>
          <t>524330</t>
        </is>
      </c>
    </row>
    <row r="139">
      <c r="A139" s="31" t="inlineStr">
        <is>
          <t>IDFCFIRSTB</t>
        </is>
      </c>
      <c r="B139" s="31" t="inlineStr">
        <is>
          <t>IDFC First Bank Ltd</t>
        </is>
      </c>
      <c r="C139" s="31" t="inlineStr">
        <is>
          <t>bank</t>
        </is>
      </c>
      <c r="D139" s="31" t="inlineStr">
        <is>
          <t>banks - private sector</t>
        </is>
      </c>
      <c r="E139" s="31" t="inlineStr">
        <is>
          <t>largecap</t>
        </is>
      </c>
      <c r="F139" s="31" t="n">
        <v>69114.64999999999</v>
      </c>
      <c r="G139" s="31" t="n">
        <v>81.78</v>
      </c>
      <c r="H139" s="31" t="n">
        <v>1.78</v>
      </c>
      <c r="I139" s="31" t="n">
        <v>24353514</v>
      </c>
      <c r="J139" s="31" t="inlineStr">
        <is>
          <t>539437</t>
        </is>
      </c>
    </row>
    <row r="140">
      <c r="A140" s="31" t="inlineStr">
        <is>
          <t>ASTRAMICRO</t>
        </is>
      </c>
      <c r="B140" s="31" t="inlineStr">
        <is>
          <t>Astra Microwave Products Limited</t>
        </is>
      </c>
      <c r="C140" s="31" t="inlineStr">
        <is>
          <t>aerospace &amp; defence</t>
        </is>
      </c>
      <c r="D140" s="31" t="inlineStr">
        <is>
          <t>telecommunications - equipment</t>
        </is>
      </c>
      <c r="E140" s="31" t="inlineStr">
        <is>
          <t>midcap</t>
        </is>
      </c>
      <c r="F140" s="31" t="n">
        <v>16338.14</v>
      </c>
      <c r="G140" s="31" t="n">
        <v>1751</v>
      </c>
      <c r="H140" s="31" t="n">
        <v>1.76</v>
      </c>
      <c r="I140" s="31" t="n">
        <v>231267</v>
      </c>
      <c r="J140" s="31" t="inlineStr">
        <is>
          <t>532493</t>
        </is>
      </c>
    </row>
    <row r="141">
      <c r="A141" s="31" t="inlineStr">
        <is>
          <t>AKUMS</t>
        </is>
      </c>
      <c r="B141" s="31" t="inlineStr">
        <is>
          <t>Akums Drugs &amp; Pharmaceuticals Ltd</t>
        </is>
      </c>
      <c r="C141" s="31" t="inlineStr">
        <is>
          <t>healthcare</t>
        </is>
      </c>
      <c r="D141" s="31" t="inlineStr">
        <is>
          <t>pharmaceuticals - indian - bulk drugs &amp; formln</t>
        </is>
      </c>
      <c r="E141" s="31" t="inlineStr">
        <is>
          <t>midcap</t>
        </is>
      </c>
      <c r="F141" s="31" t="n">
        <v>10465.91</v>
      </c>
      <c r="G141" s="31" t="n">
        <v>676.55</v>
      </c>
      <c r="H141" s="31" t="n">
        <v>1.74</v>
      </c>
      <c r="I141" s="31" t="n">
        <v>187289</v>
      </c>
      <c r="J141" s="31" t="inlineStr">
        <is>
          <t>544222</t>
        </is>
      </c>
    </row>
    <row r="142">
      <c r="A142" s="31" t="inlineStr">
        <is>
          <t>LANDMARK</t>
        </is>
      </c>
      <c r="B142" s="31" t="inlineStr">
        <is>
          <t>Landmark Cars Ltd</t>
        </is>
      </c>
      <c r="C142" s="31" t="inlineStr">
        <is>
          <t>consumer discretionary</t>
        </is>
      </c>
      <c r="D142" s="31" t="inlineStr">
        <is>
          <t>trading</t>
        </is>
      </c>
      <c r="E142" s="31" t="inlineStr">
        <is>
          <t>smallcap</t>
        </is>
      </c>
      <c r="F142" s="31" t="n">
        <v>2182.09</v>
      </c>
      <c r="G142" s="31" t="n">
        <v>535.35</v>
      </c>
      <c r="H142" s="31" t="n">
        <v>1.73</v>
      </c>
      <c r="I142" s="31" t="n">
        <v>1612240</v>
      </c>
      <c r="J142" s="31" t="inlineStr">
        <is>
          <t>543714</t>
        </is>
      </c>
    </row>
    <row r="143">
      <c r="A143" s="31" t="inlineStr">
        <is>
          <t>AUROPHARMA</t>
        </is>
      </c>
      <c r="B143" s="31" t="inlineStr">
        <is>
          <t>Aurobindo Pharma Limited</t>
        </is>
      </c>
      <c r="C143" s="31" t="inlineStr">
        <is>
          <t>healthcare</t>
        </is>
      </c>
      <c r="D143" s="31" t="inlineStr">
        <is>
          <t>pharmaceuticals - indian - bulk drugs &amp; formln</t>
        </is>
      </c>
      <c r="E143" s="31" t="inlineStr">
        <is>
          <t>largecap</t>
        </is>
      </c>
      <c r="F143" s="31" t="n">
        <v>88228.45</v>
      </c>
      <c r="G143" s="31" t="n">
        <v>1559.6</v>
      </c>
      <c r="H143" s="31" t="n">
        <v>1.71</v>
      </c>
      <c r="I143" s="31" t="n">
        <v>1260115</v>
      </c>
      <c r="J143" s="31" t="inlineStr">
        <is>
          <t>524804</t>
        </is>
      </c>
    </row>
    <row r="144">
      <c r="A144" s="31" t="inlineStr">
        <is>
          <t>KMEW</t>
        </is>
      </c>
      <c r="B144" s="31" t="inlineStr">
        <is>
          <t>Knowledge Marine &amp; Engineering Works Ltd</t>
        </is>
      </c>
      <c r="C144" s="31" t="inlineStr">
        <is>
          <t>transportation</t>
        </is>
      </c>
      <c r="D144" s="31" t="inlineStr">
        <is>
          <t>miscellaneous</t>
        </is>
      </c>
      <c r="E144" s="31" t="inlineStr">
        <is>
          <t>midcap</t>
        </is>
      </c>
      <c r="F144" s="31" t="n">
        <v>5878.56</v>
      </c>
      <c r="G144" s="31" t="n">
        <v>2445.3</v>
      </c>
      <c r="H144" s="31" t="n">
        <v>1.68</v>
      </c>
      <c r="I144" s="31" t="n">
        <v>52524</v>
      </c>
      <c r="J144" s="31" t="inlineStr">
        <is>
          <t>543273</t>
        </is>
      </c>
    </row>
    <row r="145">
      <c r="A145" s="31" t="inlineStr">
        <is>
          <t>BHARTIARTL</t>
        </is>
      </c>
      <c r="B145" s="31" t="inlineStr">
        <is>
          <t>Bharti Airtel Limited</t>
        </is>
      </c>
      <c r="C145" s="31" t="inlineStr">
        <is>
          <t>telecom-service</t>
        </is>
      </c>
      <c r="D145" s="31" t="inlineStr">
        <is>
          <t>telecommunications - service provider</t>
        </is>
      </c>
      <c r="E145" s="31" t="inlineStr">
        <is>
          <t>largecap</t>
        </is>
      </c>
      <c r="F145" s="31" t="n">
        <v>1191311.54</v>
      </c>
      <c r="G145" s="31" t="n">
        <v>1940.1</v>
      </c>
      <c r="H145" s="31" t="n">
        <v>1.64</v>
      </c>
      <c r="I145" s="31" t="n">
        <v>6437294</v>
      </c>
      <c r="J145" s="31" t="inlineStr">
        <is>
          <t>532454</t>
        </is>
      </c>
    </row>
    <row r="146">
      <c r="A146" s="31" t="inlineStr">
        <is>
          <t>SOTL</t>
        </is>
      </c>
      <c r="B146" s="31" t="inlineStr">
        <is>
          <t>Savita Oil Technologies Limited</t>
        </is>
      </c>
      <c r="C146" s="31" t="inlineStr">
        <is>
          <t>energy</t>
        </is>
      </c>
      <c r="D146" s="31" t="inlineStr">
        <is>
          <t>petrochemicals</t>
        </is>
      </c>
      <c r="E146" s="31" t="inlineStr">
        <is>
          <t>smallcap</t>
        </is>
      </c>
      <c r="F146" s="31" t="n">
        <v>3978.22</v>
      </c>
      <c r="G146" s="31" t="n">
        <v>589.65</v>
      </c>
      <c r="H146" s="31" t="n">
        <v>1.62</v>
      </c>
      <c r="I146" s="31" t="n">
        <v>232633</v>
      </c>
      <c r="J146" s="31" t="inlineStr">
        <is>
          <t>524667</t>
        </is>
      </c>
    </row>
    <row r="147">
      <c r="A147" s="31" t="inlineStr">
        <is>
          <t>CIPLA</t>
        </is>
      </c>
      <c r="B147" s="31" t="inlineStr">
        <is>
          <t>Cipla Limited</t>
        </is>
      </c>
      <c r="C147" s="31" t="inlineStr">
        <is>
          <t>healthcare</t>
        </is>
      </c>
      <c r="D147" s="31" t="inlineStr">
        <is>
          <t>pharmaceuticals - indian - bulk drugs &amp; formln</t>
        </is>
      </c>
      <c r="E147" s="31" t="inlineStr">
        <is>
          <t>largecap</t>
        </is>
      </c>
      <c r="F147" s="31" t="n">
        <v>114600.12</v>
      </c>
      <c r="G147" s="31" t="n">
        <v>1441.6</v>
      </c>
      <c r="H147" s="31" t="n">
        <v>1.61</v>
      </c>
      <c r="I147" s="31" t="n">
        <v>1494197</v>
      </c>
      <c r="J147" s="31" t="inlineStr">
        <is>
          <t>500087</t>
        </is>
      </c>
    </row>
    <row r="148">
      <c r="A148" s="31" t="inlineStr">
        <is>
          <t>ALKEM</t>
        </is>
      </c>
      <c r="B148" s="31" t="inlineStr">
        <is>
          <t>Alkem Laboratories Limited</t>
        </is>
      </c>
      <c r="C148" s="31" t="inlineStr">
        <is>
          <t>healthcare</t>
        </is>
      </c>
      <c r="D148" s="31" t="inlineStr">
        <is>
          <t>pharmaceuticals - indian - bulk drugs &amp; formln</t>
        </is>
      </c>
      <c r="E148" s="31" t="inlineStr">
        <is>
          <t>largecap</t>
        </is>
      </c>
      <c r="F148" s="31" t="n">
        <v>66514.00999999999</v>
      </c>
      <c r="G148" s="31" t="n">
        <v>5652.5</v>
      </c>
      <c r="H148" s="31" t="n">
        <v>1.61</v>
      </c>
      <c r="I148" s="31" t="n">
        <v>108861</v>
      </c>
      <c r="J148" s="31" t="inlineStr">
        <is>
          <t>539523</t>
        </is>
      </c>
    </row>
    <row r="149">
      <c r="A149" s="31" t="inlineStr">
        <is>
          <t>SWANDEF</t>
        </is>
      </c>
      <c r="B149" s="31" t="inlineStr">
        <is>
          <t>Swan Defence and Heavy Industries Ltd</t>
        </is>
      </c>
      <c r="C149" s="31" t="inlineStr">
        <is>
          <t>transportation</t>
        </is>
      </c>
      <c r="D149" s="31" t="inlineStr">
        <is>
          <t>miscellaneous</t>
        </is>
      </c>
      <c r="E149" s="31" t="inlineStr">
        <is>
          <t>midcap</t>
        </is>
      </c>
      <c r="F149" s="31" t="n">
        <v>11746.01</v>
      </c>
      <c r="G149" s="31" t="n">
        <v>2265</v>
      </c>
      <c r="H149" s="31" t="n">
        <v>1.59</v>
      </c>
      <c r="I149" s="31" t="n">
        <v>16990</v>
      </c>
      <c r="J149" s="31" t="inlineStr">
        <is>
          <t>533107</t>
        </is>
      </c>
    </row>
    <row r="150">
      <c r="A150" s="31" t="inlineStr">
        <is>
          <t>JASH</t>
        </is>
      </c>
      <c r="B150" s="31" t="inlineStr">
        <is>
          <t>Jash Engineering Ltd</t>
        </is>
      </c>
      <c r="C150" s="31" t="inlineStr">
        <is>
          <t>industrials</t>
        </is>
      </c>
      <c r="D150" s="31" t="inlineStr">
        <is>
          <t>engineering</t>
        </is>
      </c>
      <c r="E150" s="31" t="inlineStr">
        <is>
          <t>smallcap</t>
        </is>
      </c>
      <c r="F150" s="31" t="n">
        <v>3288.92</v>
      </c>
      <c r="G150" s="31" t="n">
        <v>528.5</v>
      </c>
      <c r="H150" s="31" t="n">
        <v>1.55</v>
      </c>
      <c r="I150" s="31" t="n">
        <v>62740</v>
      </c>
      <c r="J150" s="31" t="inlineStr">
        <is>
          <t>535019</t>
        </is>
      </c>
    </row>
    <row r="151">
      <c r="A151" s="31" t="inlineStr">
        <is>
          <t>UNITDSPR</t>
        </is>
      </c>
      <c r="B151" s="31" t="inlineStr">
        <is>
          <t>United Spirits Ltd</t>
        </is>
      </c>
      <c r="C151" s="31" t="inlineStr">
        <is>
          <t>fmcg</t>
        </is>
      </c>
      <c r="D151" s="31" t="inlineStr">
        <is>
          <t>breweries &amp; distilleries</t>
        </is>
      </c>
      <c r="E151" s="31" t="inlineStr">
        <is>
          <t>largecap</t>
        </is>
      </c>
      <c r="F151" s="31" t="n">
        <v>100068.93</v>
      </c>
      <c r="G151" s="31" t="n">
        <v>1397</v>
      </c>
      <c r="H151" s="31" t="n">
        <v>1.54</v>
      </c>
      <c r="I151" s="31" t="n">
        <v>656234</v>
      </c>
      <c r="J151" s="31" t="inlineStr">
        <is>
          <t>532432</t>
        </is>
      </c>
    </row>
    <row r="152">
      <c r="A152" s="31" t="inlineStr">
        <is>
          <t>SHRIPISTON</t>
        </is>
      </c>
      <c r="B152" s="31" t="inlineStr">
        <is>
          <t>Shriram Pistons &amp; Rings Limited</t>
        </is>
      </c>
      <c r="C152" s="31" t="inlineStr">
        <is>
          <t>auto</t>
        </is>
      </c>
      <c r="D152" s="31" t="inlineStr">
        <is>
          <t>auto ancillaries</t>
        </is>
      </c>
      <c r="E152" s="31" t="inlineStr">
        <is>
          <t>midcap</t>
        </is>
      </c>
      <c r="F152" s="31" t="n">
        <v>18368.34</v>
      </c>
      <c r="G152" s="31" t="n">
        <v>4233.8</v>
      </c>
      <c r="H152" s="31" t="n">
        <v>1.53</v>
      </c>
      <c r="I152" s="31" t="n">
        <v>173976</v>
      </c>
      <c r="J152" s="31" t="n"/>
    </row>
    <row r="153">
      <c r="A153" s="31" t="inlineStr">
        <is>
          <t>NAZARA</t>
        </is>
      </c>
      <c r="B153" s="31" t="inlineStr">
        <is>
          <t>Nazara Technologies Ltd</t>
        </is>
      </c>
      <c r="C153" s="31" t="inlineStr">
        <is>
          <t>i.t</t>
        </is>
      </c>
      <c r="D153" s="31" t="inlineStr">
        <is>
          <t>telecommunications - service provider</t>
        </is>
      </c>
      <c r="E153" s="31" t="inlineStr">
        <is>
          <t>midcap</t>
        </is>
      </c>
      <c r="F153" s="31" t="n">
        <v>11286.22</v>
      </c>
      <c r="G153" s="31" t="n">
        <v>309.25</v>
      </c>
      <c r="H153" s="31" t="n">
        <v>1.51</v>
      </c>
      <c r="I153" s="31" t="n">
        <v>1212308</v>
      </c>
      <c r="J153" s="31" t="inlineStr">
        <is>
          <t>543280</t>
        </is>
      </c>
    </row>
    <row r="154">
      <c r="A154" s="31" t="inlineStr">
        <is>
          <t>ULTRACEMCO</t>
        </is>
      </c>
      <c r="B154" s="31" t="inlineStr">
        <is>
          <t>Ultratech Cement Limited</t>
        </is>
      </c>
      <c r="C154" s="31" t="inlineStr">
        <is>
          <t>building materials</t>
        </is>
      </c>
      <c r="D154" s="31" t="inlineStr">
        <is>
          <t>cement - north india</t>
        </is>
      </c>
      <c r="E154" s="31" t="inlineStr">
        <is>
          <t>largecap</t>
        </is>
      </c>
      <c r="F154" s="31" t="n">
        <v>345570.26</v>
      </c>
      <c r="G154" s="31" t="n">
        <v>11903</v>
      </c>
      <c r="H154" s="31" t="n">
        <v>1.5</v>
      </c>
      <c r="I154" s="31" t="n">
        <v>456048</v>
      </c>
      <c r="J154" s="31" t="inlineStr">
        <is>
          <t>532538</t>
        </is>
      </c>
    </row>
    <row r="155">
      <c r="A155" s="31" t="inlineStr">
        <is>
          <t>SBIN</t>
        </is>
      </c>
      <c r="B155" s="31" t="inlineStr">
        <is>
          <t>State Bank Of India Ltd</t>
        </is>
      </c>
      <c r="C155" s="31" t="inlineStr">
        <is>
          <t>bank</t>
        </is>
      </c>
      <c r="D155" s="31" t="inlineStr">
        <is>
          <t>banks - public sector</t>
        </is>
      </c>
      <c r="E155" s="31" t="inlineStr">
        <is>
          <t>largecap</t>
        </is>
      </c>
      <c r="F155" s="31" t="n">
        <v>963953.39</v>
      </c>
      <c r="G155" s="31" t="n">
        <v>1060</v>
      </c>
      <c r="H155" s="31" t="n">
        <v>1.5</v>
      </c>
      <c r="I155" s="31" t="n">
        <v>16540411</v>
      </c>
      <c r="J155" s="31" t="inlineStr">
        <is>
          <t>500112</t>
        </is>
      </c>
    </row>
    <row r="156">
      <c r="A156" s="31" t="inlineStr">
        <is>
          <t>MAHLOG</t>
        </is>
      </c>
      <c r="B156" s="31" t="inlineStr">
        <is>
          <t>Mahindra Logistics Ltd</t>
        </is>
      </c>
      <c r="C156" s="31" t="inlineStr">
        <is>
          <t>transportation</t>
        </is>
      </c>
      <c r="D156" s="31" t="inlineStr">
        <is>
          <t>miscellaneous</t>
        </is>
      </c>
      <c r="E156" s="31" t="inlineStr">
        <is>
          <t>smallcap</t>
        </is>
      </c>
      <c r="F156" s="31" t="n">
        <v>3843.38</v>
      </c>
      <c r="G156" s="31" t="n">
        <v>393.05</v>
      </c>
      <c r="H156" s="31" t="n">
        <v>1.47</v>
      </c>
      <c r="I156" s="31" t="n">
        <v>3167177</v>
      </c>
      <c r="J156" s="31" t="inlineStr">
        <is>
          <t>540768</t>
        </is>
      </c>
    </row>
    <row r="157">
      <c r="A157" s="31" t="inlineStr">
        <is>
          <t>FIEMIND</t>
        </is>
      </c>
      <c r="B157" s="31" t="inlineStr">
        <is>
          <t>Fiem Industries Limited</t>
        </is>
      </c>
      <c r="C157" s="31" t="inlineStr">
        <is>
          <t>auto</t>
        </is>
      </c>
      <c r="D157" s="31" t="inlineStr">
        <is>
          <t>auto ancillaries</t>
        </is>
      </c>
      <c r="E157" s="31" t="inlineStr">
        <is>
          <t>midcap</t>
        </is>
      </c>
      <c r="F157" s="31" t="n">
        <v>5980.35</v>
      </c>
      <c r="G157" s="31" t="n">
        <v>2305.5</v>
      </c>
      <c r="H157" s="31" t="n">
        <v>1.47</v>
      </c>
      <c r="I157" s="31" t="n">
        <v>39007</v>
      </c>
      <c r="J157" s="31" t="inlineStr">
        <is>
          <t>532768</t>
        </is>
      </c>
    </row>
    <row r="158">
      <c r="A158" s="31" t="inlineStr">
        <is>
          <t>ANANTRAJ</t>
        </is>
      </c>
      <c r="B158" s="31" t="inlineStr">
        <is>
          <t>Anant Raj Limited</t>
        </is>
      </c>
      <c r="C158" s="31" t="inlineStr">
        <is>
          <t>realty</t>
        </is>
      </c>
      <c r="D158" s="31" t="inlineStr">
        <is>
          <t>construction</t>
        </is>
      </c>
      <c r="E158" s="31" t="inlineStr">
        <is>
          <t>largecap</t>
        </is>
      </c>
      <c r="F158" s="31" t="n">
        <v>21308.31</v>
      </c>
      <c r="G158" s="31" t="n">
        <v>600.8</v>
      </c>
      <c r="H158" s="31" t="n">
        <v>1.47</v>
      </c>
      <c r="I158" s="31" t="n">
        <v>3798774</v>
      </c>
      <c r="J158" s="31" t="inlineStr">
        <is>
          <t>515055</t>
        </is>
      </c>
    </row>
    <row r="159">
      <c r="A159" s="31" t="inlineStr">
        <is>
          <t>SHREECEM</t>
        </is>
      </c>
      <c r="B159" s="31" t="inlineStr">
        <is>
          <t>Shree Cements Limited</t>
        </is>
      </c>
      <c r="C159" s="31" t="inlineStr">
        <is>
          <t>building materials</t>
        </is>
      </c>
      <c r="D159" s="31" t="inlineStr">
        <is>
          <t>cement - north india</t>
        </is>
      </c>
      <c r="E159" s="31" t="inlineStr">
        <is>
          <t>largecap</t>
        </is>
      </c>
      <c r="F159" s="31" t="n">
        <v>95668.10000000001</v>
      </c>
      <c r="G159" s="31" t="n">
        <v>26905</v>
      </c>
      <c r="H159" s="31" t="n">
        <v>1.47</v>
      </c>
      <c r="I159" s="31" t="n">
        <v>7046</v>
      </c>
      <c r="J159" s="31" t="inlineStr">
        <is>
          <t>500387</t>
        </is>
      </c>
    </row>
    <row r="160">
      <c r="A160" s="31" t="inlineStr">
        <is>
          <t>MGEL</t>
        </is>
      </c>
      <c r="B160" s="31" t="inlineStr">
        <is>
          <t>Mangalam Global Enterprise Ltd</t>
        </is>
      </c>
      <c r="C160" s="31" t="inlineStr">
        <is>
          <t>services</t>
        </is>
      </c>
      <c r="D160" s="31" t="inlineStr">
        <is>
          <t>trading</t>
        </is>
      </c>
      <c r="E160" s="31" t="inlineStr">
        <is>
          <t>smallcap</t>
        </is>
      </c>
      <c r="F160" s="31" t="n">
        <v>543.77</v>
      </c>
      <c r="G160" s="31" t="n">
        <v>16.74</v>
      </c>
      <c r="H160" s="31" t="n">
        <v>1.45</v>
      </c>
      <c r="I160" s="31" t="n">
        <v>102096</v>
      </c>
      <c r="J160" s="31" t="inlineStr">
        <is>
          <t>535349</t>
        </is>
      </c>
    </row>
    <row r="161">
      <c r="A161" s="31" t="inlineStr">
        <is>
          <t>AJANTPHARM</t>
        </is>
      </c>
      <c r="B161" s="31" t="inlineStr">
        <is>
          <t>Ajanta Pharma Limited</t>
        </is>
      </c>
      <c r="C161" s="31" t="inlineStr">
        <is>
          <t>healthcare</t>
        </is>
      </c>
      <c r="D161" s="31" t="inlineStr">
        <is>
          <t>pharmaceuticals - indian - formulations</t>
        </is>
      </c>
      <c r="E161" s="31" t="inlineStr">
        <is>
          <t>largecap</t>
        </is>
      </c>
      <c r="F161" s="31" t="n">
        <v>42720.49</v>
      </c>
      <c r="G161" s="31" t="n">
        <v>3469</v>
      </c>
      <c r="H161" s="31" t="n">
        <v>1.45</v>
      </c>
      <c r="I161" s="31" t="n">
        <v>54972</v>
      </c>
      <c r="J161" s="31" t="inlineStr">
        <is>
          <t>532331</t>
        </is>
      </c>
    </row>
    <row r="162">
      <c r="A162" s="31" t="inlineStr">
        <is>
          <t>LUPIN</t>
        </is>
      </c>
      <c r="B162" s="31" t="inlineStr">
        <is>
          <t>Lupin Limited</t>
        </is>
      </c>
      <c r="C162" s="31" t="inlineStr">
        <is>
          <t>healthcare</t>
        </is>
      </c>
      <c r="D162" s="31" t="inlineStr">
        <is>
          <t>pharmaceuticals - indian - bulk drugs &amp; formln</t>
        </is>
      </c>
      <c r="E162" s="31" t="inlineStr">
        <is>
          <t>largecap</t>
        </is>
      </c>
      <c r="F162" s="31" t="n">
        <v>111698</v>
      </c>
      <c r="G162" s="31" t="n">
        <v>2478.5</v>
      </c>
      <c r="H162" s="31" t="n">
        <v>1.44</v>
      </c>
      <c r="I162" s="31" t="n">
        <v>688783</v>
      </c>
      <c r="J162" s="31" t="inlineStr">
        <is>
          <t>500257</t>
        </is>
      </c>
    </row>
    <row r="163">
      <c r="A163" s="31" t="inlineStr">
        <is>
          <t>THELEELA</t>
        </is>
      </c>
      <c r="B163" s="31" t="inlineStr">
        <is>
          <t>Leela Palaces Hotels &amp; Resorts Ltd</t>
        </is>
      </c>
      <c r="C163" s="31" t="inlineStr">
        <is>
          <t>services</t>
        </is>
      </c>
      <c r="D163" s="31" t="inlineStr">
        <is>
          <t>hotels</t>
        </is>
      </c>
      <c r="E163" s="31" t="inlineStr">
        <is>
          <t>midcap</t>
        </is>
      </c>
      <c r="F163" s="31" t="n">
        <v>16218.66</v>
      </c>
      <c r="G163" s="31" t="n">
        <v>492.55</v>
      </c>
      <c r="H163" s="31" t="n">
        <v>1.42</v>
      </c>
      <c r="I163" s="31" t="n">
        <v>166447</v>
      </c>
      <c r="J163" s="31" t="inlineStr">
        <is>
          <t>544408</t>
        </is>
      </c>
    </row>
    <row r="164">
      <c r="A164" s="31" t="inlineStr">
        <is>
          <t>IBULLSLTD</t>
        </is>
      </c>
      <c r="B164" s="31" t="inlineStr">
        <is>
          <t>Indiabulls Limited</t>
        </is>
      </c>
      <c r="C164" s="31" t="inlineStr">
        <is>
          <t>miscellaneous</t>
        </is>
      </c>
      <c r="D164" s="31" t="inlineStr">
        <is>
          <t>diversified - medium / small</t>
        </is>
      </c>
      <c r="E164" s="31" t="inlineStr">
        <is>
          <t>midcap</t>
        </is>
      </c>
      <c r="F164" s="31" t="n">
        <v>6738.38</v>
      </c>
      <c r="G164" s="31" t="n">
        <v>29.39</v>
      </c>
      <c r="H164" s="31" t="n">
        <v>1.38</v>
      </c>
      <c r="I164" s="31" t="n">
        <v>3091209</v>
      </c>
      <c r="J164" s="31" t="inlineStr">
        <is>
          <t>533520</t>
        </is>
      </c>
    </row>
    <row r="165">
      <c r="A165" s="31" t="inlineStr">
        <is>
          <t>SONACOMS</t>
        </is>
      </c>
      <c r="B165" s="31" t="inlineStr">
        <is>
          <t>Sona BLW Precision Forgings Ltd</t>
        </is>
      </c>
      <c r="C165" s="31" t="inlineStr">
        <is>
          <t>auto</t>
        </is>
      </c>
      <c r="D165" s="31" t="inlineStr">
        <is>
          <t>auto ancillaries</t>
        </is>
      </c>
      <c r="E165" s="31" t="inlineStr">
        <is>
          <t>largecap</t>
        </is>
      </c>
      <c r="F165" s="31" t="n">
        <v>43830.88</v>
      </c>
      <c r="G165" s="31" t="n">
        <v>714.55</v>
      </c>
      <c r="H165" s="31" t="n">
        <v>1.38</v>
      </c>
      <c r="I165" s="31" t="n">
        <v>2929776</v>
      </c>
      <c r="J165" s="31" t="inlineStr">
        <is>
          <t>543300</t>
        </is>
      </c>
    </row>
    <row r="166">
      <c r="A166" s="31" t="inlineStr">
        <is>
          <t>QUESS</t>
        </is>
      </c>
      <c r="B166" s="31" t="inlineStr">
        <is>
          <t>Quess Corp Limited</t>
        </is>
      </c>
      <c r="C166" s="31" t="inlineStr">
        <is>
          <t>miscellaneous</t>
        </is>
      </c>
      <c r="D166" s="31" t="inlineStr">
        <is>
          <t>diversified - large</t>
        </is>
      </c>
      <c r="E166" s="31" t="inlineStr">
        <is>
          <t>smallcap</t>
        </is>
      </c>
      <c r="F166" s="31" t="n">
        <v>4345.62</v>
      </c>
      <c r="G166" s="31" t="n">
        <v>294.95</v>
      </c>
      <c r="H166" s="31" t="n">
        <v>1.37</v>
      </c>
      <c r="I166" s="31" t="n">
        <v>185348</v>
      </c>
      <c r="J166" s="31" t="inlineStr">
        <is>
          <t>539978</t>
        </is>
      </c>
    </row>
    <row r="167">
      <c r="A167" s="31" t="inlineStr">
        <is>
          <t>INDIANHUME</t>
        </is>
      </c>
      <c r="B167" s="31" t="inlineStr">
        <is>
          <t>Indian Hume Pipe Company Limited</t>
        </is>
      </c>
      <c r="C167" s="31" t="inlineStr">
        <is>
          <t>realty</t>
        </is>
      </c>
      <c r="D167" s="31" t="inlineStr">
        <is>
          <t>construction</t>
        </is>
      </c>
      <c r="E167" s="31" t="inlineStr">
        <is>
          <t>smallcap</t>
        </is>
      </c>
      <c r="F167" s="31" t="n">
        <v>2097</v>
      </c>
      <c r="G167" s="31" t="n">
        <v>403.45</v>
      </c>
      <c r="H167" s="31" t="n">
        <v>1.36</v>
      </c>
      <c r="I167" s="31" t="n">
        <v>61722</v>
      </c>
      <c r="J167" s="31" t="inlineStr">
        <is>
          <t>504741</t>
        </is>
      </c>
    </row>
    <row r="168">
      <c r="A168" s="31" t="inlineStr">
        <is>
          <t>RAYMOND</t>
        </is>
      </c>
      <c r="B168" s="31" t="inlineStr">
        <is>
          <t>Raymond Limited</t>
        </is>
      </c>
      <c r="C168" s="31" t="inlineStr">
        <is>
          <t>transportation</t>
        </is>
      </c>
      <c r="D168" s="31" t="inlineStr">
        <is>
          <t>transport - airlines</t>
        </is>
      </c>
      <c r="E168" s="31" t="inlineStr">
        <is>
          <t>smallcap</t>
        </is>
      </c>
      <c r="F168" s="31" t="n">
        <v>4026.05</v>
      </c>
      <c r="G168" s="31" t="n">
        <v>612.85</v>
      </c>
      <c r="H168" s="31" t="n">
        <v>1.34</v>
      </c>
      <c r="I168" s="31" t="n">
        <v>615151</v>
      </c>
      <c r="J168" s="31" t="inlineStr">
        <is>
          <t>500330</t>
        </is>
      </c>
    </row>
    <row r="169">
      <c r="A169" s="31" t="inlineStr">
        <is>
          <t>NESTLEIND</t>
        </is>
      </c>
      <c r="B169" s="31" t="inlineStr">
        <is>
          <t>Nestle India Limited</t>
        </is>
      </c>
      <c r="C169" s="31" t="inlineStr">
        <is>
          <t>fmcg</t>
        </is>
      </c>
      <c r="D169" s="31" t="inlineStr">
        <is>
          <t>food - processing - mnc</t>
        </is>
      </c>
      <c r="E169" s="31" t="inlineStr">
        <is>
          <t>largecap</t>
        </is>
      </c>
      <c r="F169" s="31" t="n">
        <v>275209.02</v>
      </c>
      <c r="G169" s="31" t="n">
        <v>1446.3</v>
      </c>
      <c r="H169" s="31" t="n">
        <v>1.34</v>
      </c>
      <c r="I169" s="31" t="n">
        <v>1689777</v>
      </c>
      <c r="J169" s="31" t="inlineStr">
        <is>
          <t>500790</t>
        </is>
      </c>
    </row>
    <row r="170">
      <c r="A170" s="31" t="inlineStr">
        <is>
          <t>MARICO</t>
        </is>
      </c>
      <c r="B170" s="31" t="inlineStr">
        <is>
          <t>Marico Limited</t>
        </is>
      </c>
      <c r="C170" s="31" t="inlineStr">
        <is>
          <t>fmcg</t>
        </is>
      </c>
      <c r="D170" s="31" t="inlineStr">
        <is>
          <t>solvent extraction</t>
        </is>
      </c>
      <c r="E170" s="31" t="inlineStr">
        <is>
          <t>largecap</t>
        </is>
      </c>
      <c r="F170" s="31" t="n">
        <v>109563.77</v>
      </c>
      <c r="G170" s="31" t="n">
        <v>855.3</v>
      </c>
      <c r="H170" s="31" t="n">
        <v>1.34</v>
      </c>
      <c r="I170" s="31" t="n">
        <v>1575899</v>
      </c>
      <c r="J170" s="31" t="inlineStr">
        <is>
          <t>531642</t>
        </is>
      </c>
    </row>
    <row r="171">
      <c r="A171" s="31" t="inlineStr">
        <is>
          <t>CAPLIPOINT</t>
        </is>
      </c>
      <c r="B171" s="31" t="inlineStr">
        <is>
          <t>Caplin Point Laboratories Limited</t>
        </is>
      </c>
      <c r="C171" s="31" t="inlineStr">
        <is>
          <t>healthcare</t>
        </is>
      </c>
      <c r="D171" s="31" t="inlineStr">
        <is>
          <t>pharmaceuticals - indian - formulations</t>
        </is>
      </c>
      <c r="E171" s="31" t="inlineStr">
        <is>
          <t>midcap</t>
        </is>
      </c>
      <c r="F171" s="31" t="n">
        <v>19870.98</v>
      </c>
      <c r="G171" s="31" t="n">
        <v>2649.2</v>
      </c>
      <c r="H171" s="31" t="n">
        <v>1.34</v>
      </c>
      <c r="I171" s="31" t="n">
        <v>68227</v>
      </c>
      <c r="J171" s="31" t="inlineStr">
        <is>
          <t>524742</t>
        </is>
      </c>
    </row>
    <row r="172">
      <c r="A172" s="31" t="inlineStr">
        <is>
          <t>CREDITACC</t>
        </is>
      </c>
      <c r="B172" s="31" t="inlineStr">
        <is>
          <t>CreditAccess Grameen Ltd</t>
        </is>
      </c>
      <c r="C172" s="31" t="inlineStr">
        <is>
          <t>financials</t>
        </is>
      </c>
      <c r="D172" s="31" t="inlineStr">
        <is>
          <t>finance &amp; investments</t>
        </is>
      </c>
      <c r="E172" s="31" t="inlineStr">
        <is>
          <t>largecap</t>
        </is>
      </c>
      <c r="F172" s="31" t="n">
        <v>23694.37</v>
      </c>
      <c r="G172" s="31" t="n">
        <v>1498</v>
      </c>
      <c r="H172" s="31" t="n">
        <v>1.32</v>
      </c>
      <c r="I172" s="31" t="n">
        <v>227297</v>
      </c>
      <c r="J172" s="31" t="inlineStr">
        <is>
          <t>541770</t>
        </is>
      </c>
    </row>
    <row r="173">
      <c r="A173" s="31" t="inlineStr">
        <is>
          <t>OCCLLTD</t>
        </is>
      </c>
      <c r="B173" s="31" t="inlineStr">
        <is>
          <t>OCCL Ltd</t>
        </is>
      </c>
      <c r="C173" s="31" t="inlineStr">
        <is>
          <t>chemicals</t>
        </is>
      </c>
      <c r="D173" s="31" t="inlineStr">
        <is>
          <t>chemicals</t>
        </is>
      </c>
      <c r="E173" s="31" t="inlineStr">
        <is>
          <t>smallcap</t>
        </is>
      </c>
      <c r="F173" s="31" t="n">
        <v>675.6799999999999</v>
      </c>
      <c r="G173" s="31" t="n">
        <v>137</v>
      </c>
      <c r="H173" s="31" t="n">
        <v>1.28</v>
      </c>
      <c r="I173" s="31" t="n">
        <v>32578</v>
      </c>
      <c r="J173" s="31" t="inlineStr">
        <is>
          <t>544278</t>
        </is>
      </c>
    </row>
    <row r="174">
      <c r="A174" s="31" t="inlineStr">
        <is>
          <t>FILATEX</t>
        </is>
      </c>
      <c r="B174" s="31" t="inlineStr">
        <is>
          <t>Filatex India Limited</t>
        </is>
      </c>
      <c r="C174" s="31" t="inlineStr">
        <is>
          <t>textiles</t>
        </is>
      </c>
      <c r="D174" s="31" t="inlineStr">
        <is>
          <t>textiles - manmade</t>
        </is>
      </c>
      <c r="E174" s="31" t="inlineStr">
        <is>
          <t>smallcap</t>
        </is>
      </c>
      <c r="F174" s="31" t="n">
        <v>3178.13</v>
      </c>
      <c r="G174" s="31" t="n">
        <v>72.47</v>
      </c>
      <c r="H174" s="31" t="n">
        <v>1.26</v>
      </c>
      <c r="I174" s="31" t="n">
        <v>3860895</v>
      </c>
      <c r="J174" s="31" t="inlineStr">
        <is>
          <t>526227</t>
        </is>
      </c>
    </row>
    <row r="175">
      <c r="A175" s="31" t="inlineStr">
        <is>
          <t>SUNPHARMA</t>
        </is>
      </c>
      <c r="B175" s="31" t="inlineStr">
        <is>
          <t>Sun Pharmaceuticals Industries Limited</t>
        </is>
      </c>
      <c r="C175" s="31" t="inlineStr">
        <is>
          <t>healthcare</t>
        </is>
      </c>
      <c r="D175" s="31" t="inlineStr">
        <is>
          <t>pharmaceuticals - indian - bulk drugs &amp; formln</t>
        </is>
      </c>
      <c r="E175" s="31" t="inlineStr">
        <is>
          <t>largecap</t>
        </is>
      </c>
      <c r="F175" s="31" t="n">
        <v>463695.48</v>
      </c>
      <c r="G175" s="31" t="n">
        <v>1956.4</v>
      </c>
      <c r="H175" s="31" t="n">
        <v>1.23</v>
      </c>
      <c r="I175" s="31" t="n">
        <v>1676157</v>
      </c>
      <c r="J175" s="31" t="inlineStr">
        <is>
          <t>524715</t>
        </is>
      </c>
    </row>
    <row r="176">
      <c r="A176" s="31" t="inlineStr">
        <is>
          <t>HEG</t>
        </is>
      </c>
      <c r="B176" s="31" t="inlineStr">
        <is>
          <t>Heg Limited</t>
        </is>
      </c>
      <c r="C176" s="31" t="inlineStr">
        <is>
          <t>industrials</t>
        </is>
      </c>
      <c r="D176" s="31" t="inlineStr">
        <is>
          <t>electrodes - graphites</t>
        </is>
      </c>
      <c r="E176" s="31" t="inlineStr">
        <is>
          <t>midcap</t>
        </is>
      </c>
      <c r="F176" s="31" t="n">
        <v>11334.54</v>
      </c>
      <c r="G176" s="31" t="n">
        <v>594.3</v>
      </c>
      <c r="H176" s="31" t="n">
        <v>1.18</v>
      </c>
      <c r="I176" s="31" t="n">
        <v>1038397</v>
      </c>
      <c r="J176" s="31" t="inlineStr">
        <is>
          <t>509631</t>
        </is>
      </c>
    </row>
    <row r="177">
      <c r="A177" s="31" t="inlineStr">
        <is>
          <t>INOXINDIA</t>
        </is>
      </c>
      <c r="B177" s="31" t="inlineStr">
        <is>
          <t>Inox India Ltd</t>
        </is>
      </c>
      <c r="C177" s="31" t="inlineStr">
        <is>
          <t>industrials</t>
        </is>
      </c>
      <c r="D177" s="31" t="inlineStr">
        <is>
          <t>packaging</t>
        </is>
      </c>
      <c r="E177" s="31" t="inlineStr">
        <is>
          <t>midcap</t>
        </is>
      </c>
      <c r="F177" s="31" t="n">
        <v>17972.99</v>
      </c>
      <c r="G177" s="31" t="n">
        <v>2003.4</v>
      </c>
      <c r="H177" s="31" t="n">
        <v>1.17</v>
      </c>
      <c r="I177" s="31" t="n">
        <v>466072</v>
      </c>
      <c r="J177" s="31" t="inlineStr">
        <is>
          <t>544046</t>
        </is>
      </c>
    </row>
    <row r="178">
      <c r="A178" s="31" t="inlineStr">
        <is>
          <t>ATHERENERG</t>
        </is>
      </c>
      <c r="B178" s="31" t="inlineStr">
        <is>
          <t>Ather Energy Ltd</t>
        </is>
      </c>
      <c r="C178" s="31" t="inlineStr">
        <is>
          <t>auto</t>
        </is>
      </c>
      <c r="D178" s="31" t="inlineStr">
        <is>
          <t>automobiles - scooters and 3 - wheelers</t>
        </is>
      </c>
      <c r="E178" s="31" t="inlineStr">
        <is>
          <t>largecap</t>
        </is>
      </c>
      <c r="F178" s="31" t="n">
        <v>49123.77</v>
      </c>
      <c r="G178" s="31" t="n">
        <v>1296.7</v>
      </c>
      <c r="H178" s="31" t="n">
        <v>1.13</v>
      </c>
      <c r="I178" s="31" t="n">
        <v>5275779</v>
      </c>
      <c r="J178" s="31" t="inlineStr">
        <is>
          <t>544397</t>
        </is>
      </c>
    </row>
    <row r="179">
      <c r="A179" s="31" t="inlineStr">
        <is>
          <t>UJJIVANSFB</t>
        </is>
      </c>
      <c r="B179" s="31" t="inlineStr">
        <is>
          <t>Ujjivan Small Finance Bank Ltd</t>
        </is>
      </c>
      <c r="C179" s="31" t="inlineStr">
        <is>
          <t>bank</t>
        </is>
      </c>
      <c r="D179" s="31" t="inlineStr">
        <is>
          <t>banks - private sector</t>
        </is>
      </c>
      <c r="E179" s="31" t="inlineStr">
        <is>
          <t>midcap</t>
        </is>
      </c>
      <c r="F179" s="31" t="n">
        <v>12620.82</v>
      </c>
      <c r="G179" s="31" t="n">
        <v>65.61</v>
      </c>
      <c r="H179" s="31" t="n">
        <v>1.13</v>
      </c>
      <c r="I179" s="31" t="n">
        <v>6986097</v>
      </c>
      <c r="J179" s="31" t="inlineStr">
        <is>
          <t>542904</t>
        </is>
      </c>
    </row>
    <row r="180">
      <c r="A180" s="31" t="inlineStr">
        <is>
          <t>CHENNPETRO</t>
        </is>
      </c>
      <c r="B180" s="31" t="inlineStr">
        <is>
          <t>Chennai Petroleum Corporation Limited</t>
        </is>
      </c>
      <c r="C180" s="31" t="inlineStr">
        <is>
          <t>energy</t>
        </is>
      </c>
      <c r="D180" s="31" t="inlineStr">
        <is>
          <t>refineries</t>
        </is>
      </c>
      <c r="E180" s="31" t="inlineStr">
        <is>
          <t>midcap</t>
        </is>
      </c>
      <c r="F180" s="31" t="n">
        <v>17878.3</v>
      </c>
      <c r="G180" s="31" t="n">
        <v>1214</v>
      </c>
      <c r="H180" s="31" t="n">
        <v>1.12</v>
      </c>
      <c r="I180" s="31" t="n">
        <v>1133036</v>
      </c>
      <c r="J180" s="31" t="inlineStr">
        <is>
          <t>500110</t>
        </is>
      </c>
    </row>
    <row r="181">
      <c r="A181" s="31" t="inlineStr">
        <is>
          <t>UNICHEMLAB</t>
        </is>
      </c>
      <c r="B181" s="31" t="inlineStr">
        <is>
          <t>Unichem Laboratories Limited</t>
        </is>
      </c>
      <c r="C181" s="31" t="inlineStr">
        <is>
          <t>healthcare</t>
        </is>
      </c>
      <c r="D181" s="31" t="inlineStr">
        <is>
          <t>pharmaceuticals - indian - bulk drugs &amp; formln</t>
        </is>
      </c>
      <c r="E181" s="31" t="inlineStr">
        <is>
          <t>smallcap</t>
        </is>
      </c>
      <c r="F181" s="31" t="n">
        <v>4147.25</v>
      </c>
      <c r="G181" s="31" t="n">
        <v>595.6</v>
      </c>
      <c r="H181" s="31" t="n">
        <v>1.11</v>
      </c>
      <c r="I181" s="31" t="n">
        <v>104210</v>
      </c>
      <c r="J181" s="31" t="inlineStr">
        <is>
          <t>506690</t>
        </is>
      </c>
    </row>
    <row r="182">
      <c r="A182" s="31" t="inlineStr">
        <is>
          <t>ICICIBANK</t>
        </is>
      </c>
      <c r="B182" s="31" t="inlineStr">
        <is>
          <t>Icici Bank Limited</t>
        </is>
      </c>
      <c r="C182" s="31" t="inlineStr">
        <is>
          <t>bank</t>
        </is>
      </c>
      <c r="D182" s="31" t="inlineStr">
        <is>
          <t>banks - private sector</t>
        </is>
      </c>
      <c r="E182" s="31" t="inlineStr">
        <is>
          <t>largecap</t>
        </is>
      </c>
      <c r="F182" s="31" t="n">
        <v>1036085.32</v>
      </c>
      <c r="G182" s="31" t="n">
        <v>1460.2</v>
      </c>
      <c r="H182" s="31" t="n">
        <v>1.1</v>
      </c>
      <c r="I182" s="31" t="n">
        <v>22236415</v>
      </c>
      <c r="J182" s="31" t="inlineStr">
        <is>
          <t>532174</t>
        </is>
      </c>
    </row>
    <row r="183">
      <c r="A183" s="31" t="inlineStr">
        <is>
          <t>MEDANTA</t>
        </is>
      </c>
      <c r="B183" s="31" t="inlineStr">
        <is>
          <t>Global Health Ltd</t>
        </is>
      </c>
      <c r="C183" s="31" t="inlineStr">
        <is>
          <t>healthcare</t>
        </is>
      </c>
      <c r="D183" s="31" t="inlineStr">
        <is>
          <t>healthcare</t>
        </is>
      </c>
      <c r="E183" s="31" t="inlineStr">
        <is>
          <t>largecap</t>
        </is>
      </c>
      <c r="F183" s="31" t="n">
        <v>35397.01</v>
      </c>
      <c r="G183" s="31" t="n">
        <v>1331.4</v>
      </c>
      <c r="H183" s="31" t="n">
        <v>1.1</v>
      </c>
      <c r="I183" s="31" t="n">
        <v>61320</v>
      </c>
      <c r="J183" s="31" t="inlineStr">
        <is>
          <t>543654</t>
        </is>
      </c>
    </row>
    <row r="184">
      <c r="A184" s="31" t="inlineStr">
        <is>
          <t>INDSWFTLAB</t>
        </is>
      </c>
      <c r="B184" s="31" t="inlineStr">
        <is>
          <t>Ind-swift Laboratories Limited</t>
        </is>
      </c>
      <c r="C184" s="31" t="inlineStr">
        <is>
          <t>healthcare</t>
        </is>
      </c>
      <c r="D184" s="31" t="inlineStr">
        <is>
          <t>pharmaceuticals - indian - bulk drugs &amp; formln</t>
        </is>
      </c>
      <c r="E184" s="31" t="inlineStr">
        <is>
          <t>smallcap</t>
        </is>
      </c>
      <c r="F184" s="31" t="n">
        <v>2010.01</v>
      </c>
      <c r="G184" s="31" t="n">
        <v>233.99</v>
      </c>
      <c r="H184" s="31" t="n">
        <v>1.09</v>
      </c>
      <c r="I184" s="31" t="n">
        <v>438766</v>
      </c>
      <c r="J184" s="31" t="inlineStr">
        <is>
          <t>532305</t>
        </is>
      </c>
    </row>
    <row r="185">
      <c r="A185" s="31" t="inlineStr">
        <is>
          <t>TMB</t>
        </is>
      </c>
      <c r="B185" s="31" t="inlineStr">
        <is>
          <t>Tamilnad Mercantile Bank Ltd</t>
        </is>
      </c>
      <c r="C185" s="31" t="inlineStr">
        <is>
          <t>bank</t>
        </is>
      </c>
      <c r="D185" s="31" t="inlineStr">
        <is>
          <t>banks - private sector</t>
        </is>
      </c>
      <c r="E185" s="31" t="inlineStr">
        <is>
          <t>midcap</t>
        </is>
      </c>
      <c r="F185" s="31" t="n">
        <v>12626.15</v>
      </c>
      <c r="G185" s="31" t="n">
        <v>806.05</v>
      </c>
      <c r="H185" s="31" t="n">
        <v>1.09</v>
      </c>
      <c r="I185" s="31" t="n">
        <v>116185</v>
      </c>
      <c r="J185" s="31" t="inlineStr">
        <is>
          <t>543596</t>
        </is>
      </c>
    </row>
    <row r="186">
      <c r="A186" s="31" t="inlineStr">
        <is>
          <t>ACUTAAS</t>
        </is>
      </c>
      <c r="B186" s="31" t="inlineStr">
        <is>
          <t>Acutaas Chemicals Ltd</t>
        </is>
      </c>
      <c r="C186" s="31" t="inlineStr">
        <is>
          <t>healthcare</t>
        </is>
      </c>
      <c r="D186" s="31" t="inlineStr">
        <is>
          <t>pharmaceuticals - indian - bulk drugs</t>
        </is>
      </c>
      <c r="E186" s="31" t="inlineStr">
        <is>
          <t>largecap</t>
        </is>
      </c>
      <c r="F186" s="31" t="n">
        <v>29632.43</v>
      </c>
      <c r="G186" s="31" t="n">
        <v>3656.2</v>
      </c>
      <c r="H186" s="31" t="n">
        <v>1.02</v>
      </c>
      <c r="I186" s="31" t="n">
        <v>189140</v>
      </c>
      <c r="J186" s="31" t="inlineStr">
        <is>
          <t>543349</t>
        </is>
      </c>
    </row>
    <row r="187">
      <c r="A187" s="31" t="inlineStr">
        <is>
          <t>BHARTIHEXA</t>
        </is>
      </c>
      <c r="B187" s="31" t="inlineStr">
        <is>
          <t>Bharti Hexacom Ltd</t>
        </is>
      </c>
      <c r="C187" s="31" t="inlineStr">
        <is>
          <t>telecom-service</t>
        </is>
      </c>
      <c r="D187" s="31" t="inlineStr">
        <is>
          <t>telecommunications - service provider</t>
        </is>
      </c>
      <c r="E187" s="31" t="inlineStr">
        <is>
          <t>largecap</t>
        </is>
      </c>
      <c r="F187" s="31" t="n">
        <v>80275</v>
      </c>
      <c r="G187" s="31" t="n">
        <v>1621.8</v>
      </c>
      <c r="H187" s="31" t="n">
        <v>1.02</v>
      </c>
      <c r="I187" s="31" t="n">
        <v>225698</v>
      </c>
      <c r="J187" s="31" t="inlineStr">
        <is>
          <t>544162</t>
        </is>
      </c>
    </row>
    <row r="188">
      <c r="A188" s="31" t="inlineStr">
        <is>
          <t>CCAVENUE</t>
        </is>
      </c>
      <c r="B188" s="31" t="inlineStr">
        <is>
          <t>AvenuesAI Ltd</t>
        </is>
      </c>
      <c r="C188" s="31" t="inlineStr">
        <is>
          <t>i.t</t>
        </is>
      </c>
      <c r="D188" s="31" t="inlineStr">
        <is>
          <t>miscellaneous</t>
        </is>
      </c>
      <c r="E188" s="31" t="inlineStr">
        <is>
          <t>midcap</t>
        </is>
      </c>
      <c r="F188" s="31" t="n">
        <v>5964.89</v>
      </c>
      <c r="G188" s="31" t="n">
        <v>17.23</v>
      </c>
      <c r="H188" s="31" t="n">
        <v>1</v>
      </c>
      <c r="I188" s="31" t="n">
        <v>7315169</v>
      </c>
      <c r="J188" s="31" t="inlineStr">
        <is>
          <t>539807</t>
        </is>
      </c>
    </row>
    <row r="189">
      <c r="A189" s="31" t="inlineStr">
        <is>
          <t>MMFL</t>
        </is>
      </c>
      <c r="B189" s="31" t="inlineStr">
        <is>
          <t>Mm Forgings Limited</t>
        </is>
      </c>
      <c r="C189" s="31" t="inlineStr">
        <is>
          <t>industrials</t>
        </is>
      </c>
      <c r="D189" s="31" t="inlineStr">
        <is>
          <t>castings &amp; forgings</t>
        </is>
      </c>
      <c r="E189" s="31" t="inlineStr">
        <is>
          <t>smallcap</t>
        </is>
      </c>
      <c r="F189" s="31" t="n">
        <v>2547.34</v>
      </c>
      <c r="G189" s="31" t="n">
        <v>532.8</v>
      </c>
      <c r="H189" s="31" t="n">
        <v>0.99</v>
      </c>
      <c r="I189" s="31" t="n">
        <v>152286</v>
      </c>
      <c r="J189" s="31" t="inlineStr">
        <is>
          <t>522241</t>
        </is>
      </c>
    </row>
    <row r="190">
      <c r="A190" s="31" t="inlineStr">
        <is>
          <t>DIVISLAB</t>
        </is>
      </c>
      <c r="B190" s="31" t="inlineStr">
        <is>
          <t>Divi's Laboratories Limited</t>
        </is>
      </c>
      <c r="C190" s="31" t="inlineStr">
        <is>
          <t>healthcare</t>
        </is>
      </c>
      <c r="D190" s="31" t="inlineStr">
        <is>
          <t>pharmaceuticals - indian - bulk drugs</t>
        </is>
      </c>
      <c r="E190" s="31" t="inlineStr">
        <is>
          <t>largecap</t>
        </is>
      </c>
      <c r="F190" s="31" t="n">
        <v>192398.35</v>
      </c>
      <c r="G190" s="31" t="n">
        <v>7318</v>
      </c>
      <c r="H190" s="31" t="n">
        <v>0.97</v>
      </c>
      <c r="I190" s="31" t="n">
        <v>434480</v>
      </c>
      <c r="J190" s="31" t="inlineStr">
        <is>
          <t>532488</t>
        </is>
      </c>
    </row>
    <row r="191">
      <c r="A191" s="31" t="inlineStr">
        <is>
          <t>AUTOAXLES</t>
        </is>
      </c>
      <c r="B191" s="31" t="inlineStr">
        <is>
          <t>Automotive Axles Limited</t>
        </is>
      </c>
      <c r="C191" s="31" t="inlineStr">
        <is>
          <t>auto</t>
        </is>
      </c>
      <c r="D191" s="31" t="inlineStr">
        <is>
          <t>auto ancillaries</t>
        </is>
      </c>
      <c r="E191" s="31" t="inlineStr">
        <is>
          <t>smallcap</t>
        </is>
      </c>
      <c r="F191" s="31" t="n">
        <v>2752.04</v>
      </c>
      <c r="G191" s="31" t="n">
        <v>1838.5</v>
      </c>
      <c r="H191" s="31" t="n">
        <v>0.96</v>
      </c>
      <c r="I191" s="31" t="n">
        <v>18884</v>
      </c>
      <c r="J191" s="31" t="inlineStr">
        <is>
          <t>505010</t>
        </is>
      </c>
    </row>
    <row r="192">
      <c r="A192" s="31" t="inlineStr">
        <is>
          <t>SHREEPUSHK</t>
        </is>
      </c>
      <c r="B192" s="31" t="inlineStr">
        <is>
          <t>Shree Pushkar Chemicals &amp; Fertilisers Limited</t>
        </is>
      </c>
      <c r="C192" s="31" t="inlineStr">
        <is>
          <t>chemicals</t>
        </is>
      </c>
      <c r="D192" s="31" t="inlineStr">
        <is>
          <t>dyes and pigments</t>
        </is>
      </c>
      <c r="E192" s="31" t="inlineStr">
        <is>
          <t>smallcap</t>
        </is>
      </c>
      <c r="F192" s="31" t="n">
        <v>1319.05</v>
      </c>
      <c r="G192" s="31" t="n">
        <v>411.75</v>
      </c>
      <c r="H192" s="31" t="n">
        <v>0.9399999999999999</v>
      </c>
      <c r="I192" s="31" t="n">
        <v>32374</v>
      </c>
      <c r="J192" s="31" t="inlineStr">
        <is>
          <t>539334</t>
        </is>
      </c>
    </row>
    <row r="193">
      <c r="A193" s="31" t="inlineStr">
        <is>
          <t>GMRAIRPORT</t>
        </is>
      </c>
      <c r="B193" s="31" t="inlineStr">
        <is>
          <t>GMR Airports Ltd</t>
        </is>
      </c>
      <c r="C193" s="31" t="inlineStr">
        <is>
          <t>miscellaneous</t>
        </is>
      </c>
      <c r="D193" s="31" t="inlineStr">
        <is>
          <t>miscellaneous</t>
        </is>
      </c>
      <c r="E193" s="31" t="inlineStr">
        <is>
          <t>largecap</t>
        </is>
      </c>
      <c r="F193" s="31" t="n">
        <v>116718.92</v>
      </c>
      <c r="G193" s="31" t="n">
        <v>111.54</v>
      </c>
      <c r="H193" s="31" t="n">
        <v>0.9</v>
      </c>
      <c r="I193" s="31" t="n">
        <v>26130679</v>
      </c>
      <c r="J193" s="31" t="inlineStr">
        <is>
          <t>532754</t>
        </is>
      </c>
    </row>
    <row r="194">
      <c r="A194" s="31" t="inlineStr">
        <is>
          <t>APOLLOHOSP</t>
        </is>
      </c>
      <c r="B194" s="31" t="inlineStr">
        <is>
          <t>Apollo Hospitals Enterprise Limited</t>
        </is>
      </c>
      <c r="C194" s="31" t="inlineStr">
        <is>
          <t>healthcare</t>
        </is>
      </c>
      <c r="D194" s="31" t="inlineStr">
        <is>
          <t>healthcare</t>
        </is>
      </c>
      <c r="E194" s="31" t="inlineStr">
        <is>
          <t>largecap</t>
        </is>
      </c>
      <c r="F194" s="31" t="n">
        <v>126904.34</v>
      </c>
      <c r="G194" s="31" t="n">
        <v>8905</v>
      </c>
      <c r="H194" s="31" t="n">
        <v>0.9</v>
      </c>
      <c r="I194" s="31" t="n">
        <v>317613</v>
      </c>
      <c r="J194" s="31" t="inlineStr">
        <is>
          <t>508869</t>
        </is>
      </c>
    </row>
    <row r="195">
      <c r="A195" s="31" t="inlineStr">
        <is>
          <t>GOODLUCK</t>
        </is>
      </c>
      <c r="B195" s="31" t="inlineStr">
        <is>
          <t>Goodluck India Limited</t>
        </is>
      </c>
      <c r="C195" s="31" t="inlineStr">
        <is>
          <t>metals &amp; mining</t>
        </is>
      </c>
      <c r="D195" s="31" t="inlineStr">
        <is>
          <t>steel - medium / small</t>
        </is>
      </c>
      <c r="E195" s="31" t="inlineStr">
        <is>
          <t>midcap</t>
        </is>
      </c>
      <c r="F195" s="31" t="n">
        <v>5140.67</v>
      </c>
      <c r="G195" s="31" t="n">
        <v>1560.4</v>
      </c>
      <c r="H195" s="31" t="n">
        <v>0.89</v>
      </c>
      <c r="I195" s="31" t="n">
        <v>110956</v>
      </c>
      <c r="J195" s="31" t="inlineStr">
        <is>
          <t>530655</t>
        </is>
      </c>
    </row>
    <row r="196">
      <c r="A196" s="31" t="inlineStr">
        <is>
          <t>CCL</t>
        </is>
      </c>
      <c r="B196" s="31" t="inlineStr">
        <is>
          <t>Ccl Products (india) Limited</t>
        </is>
      </c>
      <c r="C196" s="31" t="inlineStr">
        <is>
          <t>fmcg</t>
        </is>
      </c>
      <c r="D196" s="31" t="inlineStr">
        <is>
          <t>tea</t>
        </is>
      </c>
      <c r="E196" s="31" t="inlineStr">
        <is>
          <t>midcap</t>
        </is>
      </c>
      <c r="F196" s="31" t="n">
        <v>15908.52</v>
      </c>
      <c r="G196" s="31" t="n">
        <v>1202</v>
      </c>
      <c r="H196" s="31" t="n">
        <v>0.89</v>
      </c>
      <c r="I196" s="31" t="n">
        <v>111885</v>
      </c>
      <c r="J196" s="31" t="inlineStr">
        <is>
          <t>519600</t>
        </is>
      </c>
    </row>
    <row r="197">
      <c r="A197" s="31" t="inlineStr">
        <is>
          <t>VADILALIND</t>
        </is>
      </c>
      <c r="B197" s="31" t="inlineStr">
        <is>
          <t>Vadilal Industries Limited</t>
        </is>
      </c>
      <c r="C197" s="31" t="inlineStr">
        <is>
          <t>fmcg</t>
        </is>
      </c>
      <c r="D197" s="31" t="inlineStr">
        <is>
          <t>food - processing - indian</t>
        </is>
      </c>
      <c r="E197" s="31" t="inlineStr">
        <is>
          <t>smallcap</t>
        </is>
      </c>
      <c r="F197" s="31" t="n">
        <v>4827.35</v>
      </c>
      <c r="G197" s="31" t="n">
        <v>6775</v>
      </c>
      <c r="H197" s="31" t="n">
        <v>0.88</v>
      </c>
      <c r="I197" s="31" t="n">
        <v>8569</v>
      </c>
      <c r="J197" s="31" t="inlineStr">
        <is>
          <t>519156</t>
        </is>
      </c>
    </row>
    <row r="198">
      <c r="A198" s="31" t="inlineStr">
        <is>
          <t>SHILPAMED</t>
        </is>
      </c>
      <c r="B198" s="31" t="inlineStr">
        <is>
          <t>Shilpa Medicare Limited</t>
        </is>
      </c>
      <c r="C198" s="31" t="inlineStr">
        <is>
          <t>healthcare</t>
        </is>
      </c>
      <c r="D198" s="31" t="inlineStr">
        <is>
          <t>pharmaceuticals - indian - formulations</t>
        </is>
      </c>
      <c r="E198" s="31" t="inlineStr">
        <is>
          <t>midcap</t>
        </is>
      </c>
      <c r="F198" s="31" t="n">
        <v>12130.96</v>
      </c>
      <c r="G198" s="31" t="n">
        <v>625.45</v>
      </c>
      <c r="H198" s="31" t="n">
        <v>0.84</v>
      </c>
      <c r="I198" s="31" t="n">
        <v>414105</v>
      </c>
      <c r="J198" s="31" t="inlineStr">
        <is>
          <t>530549</t>
        </is>
      </c>
    </row>
    <row r="199">
      <c r="A199" s="31" t="inlineStr">
        <is>
          <t>BHARATFORG</t>
        </is>
      </c>
      <c r="B199" s="31" t="inlineStr">
        <is>
          <t>Bharat Forge Limited</t>
        </is>
      </c>
      <c r="C199" s="31" t="inlineStr">
        <is>
          <t>industrials</t>
        </is>
      </c>
      <c r="D199" s="31" t="inlineStr">
        <is>
          <t>castings &amp; forgings</t>
        </is>
      </c>
      <c r="E199" s="31" t="inlineStr">
        <is>
          <t>largecap</t>
        </is>
      </c>
      <c r="F199" s="31" t="n">
        <v>104725.31</v>
      </c>
      <c r="G199" s="31" t="n">
        <v>2209</v>
      </c>
      <c r="H199" s="31" t="n">
        <v>0.84</v>
      </c>
      <c r="I199" s="31" t="n">
        <v>864503</v>
      </c>
      <c r="J199" s="31" t="inlineStr">
        <is>
          <t>500493</t>
        </is>
      </c>
    </row>
    <row r="200">
      <c r="A200" s="31" t="inlineStr">
        <is>
          <t>RADICO</t>
        </is>
      </c>
      <c r="B200" s="31" t="inlineStr">
        <is>
          <t>Radico Khaitan Limited</t>
        </is>
      </c>
      <c r="C200" s="31" t="inlineStr">
        <is>
          <t>fmcg</t>
        </is>
      </c>
      <c r="D200" s="31" t="inlineStr">
        <is>
          <t>breweries &amp; distilleries</t>
        </is>
      </c>
      <c r="E200" s="31" t="inlineStr">
        <is>
          <t>largecap</t>
        </is>
      </c>
      <c r="F200" s="31" t="n">
        <v>54870.03</v>
      </c>
      <c r="G200" s="31" t="n">
        <v>4132.4</v>
      </c>
      <c r="H200" s="31" t="n">
        <v>0.84</v>
      </c>
      <c r="I200" s="31" t="n">
        <v>574803</v>
      </c>
      <c r="J200" s="31" t="inlineStr">
        <is>
          <t>532497</t>
        </is>
      </c>
    </row>
    <row r="201">
      <c r="A201" s="31" t="inlineStr">
        <is>
          <t>KDDL</t>
        </is>
      </c>
      <c r="B201" s="31" t="inlineStr">
        <is>
          <t>Kddl Limited</t>
        </is>
      </c>
      <c r="C201" s="31" t="inlineStr">
        <is>
          <t>consumer discretionary</t>
        </is>
      </c>
      <c r="D201" s="31" t="inlineStr">
        <is>
          <t>miscellaneous</t>
        </is>
      </c>
      <c r="E201" s="31" t="inlineStr">
        <is>
          <t>smallcap</t>
        </is>
      </c>
      <c r="F201" s="31" t="n">
        <v>3919.53</v>
      </c>
      <c r="G201" s="31" t="n">
        <v>3213</v>
      </c>
      <c r="H201" s="31" t="n">
        <v>0.82</v>
      </c>
      <c r="I201" s="31" t="n">
        <v>9948</v>
      </c>
      <c r="J201" s="31" t="inlineStr">
        <is>
          <t>532054</t>
        </is>
      </c>
    </row>
    <row r="202">
      <c r="A202" s="31" t="inlineStr">
        <is>
          <t>NAHARSPING</t>
        </is>
      </c>
      <c r="B202" s="31" t="inlineStr">
        <is>
          <t>Nahar Spinning Mills Limited</t>
        </is>
      </c>
      <c r="C202" s="31" t="inlineStr">
        <is>
          <t>textiles</t>
        </is>
      </c>
      <c r="D202" s="31" t="inlineStr">
        <is>
          <t>textiles - cotton/blended</t>
        </is>
      </c>
      <c r="E202" s="31" t="inlineStr">
        <is>
          <t>smallcap</t>
        </is>
      </c>
      <c r="F202" s="31" t="n">
        <v>998.11</v>
      </c>
      <c r="G202" s="31" t="n">
        <v>279</v>
      </c>
      <c r="H202" s="31" t="n">
        <v>0.8100000000000001</v>
      </c>
      <c r="I202" s="31" t="n">
        <v>11110</v>
      </c>
      <c r="J202" s="31" t="inlineStr">
        <is>
          <t>500296</t>
        </is>
      </c>
    </row>
    <row r="203">
      <c r="A203" s="31" t="inlineStr">
        <is>
          <t>HAPPYFORGE</t>
        </is>
      </c>
      <c r="B203" s="31" t="inlineStr">
        <is>
          <t>Happy Forgings Ltd</t>
        </is>
      </c>
      <c r="C203" s="31" t="inlineStr">
        <is>
          <t>industrials</t>
        </is>
      </c>
      <c r="D203" s="31" t="inlineStr">
        <is>
          <t>castings &amp; forgings</t>
        </is>
      </c>
      <c r="E203" s="31" t="inlineStr">
        <is>
          <t>midcap</t>
        </is>
      </c>
      <c r="F203" s="31" t="n">
        <v>15056.24</v>
      </c>
      <c r="G203" s="31" t="n">
        <v>1608</v>
      </c>
      <c r="H203" s="31" t="n">
        <v>0.8</v>
      </c>
      <c r="I203" s="31" t="n">
        <v>58818</v>
      </c>
      <c r="J203" s="31" t="inlineStr">
        <is>
          <t>544057</t>
        </is>
      </c>
    </row>
    <row r="204">
      <c r="A204" s="31" t="inlineStr">
        <is>
          <t>3MINDIA</t>
        </is>
      </c>
      <c r="B204" s="31" t="inlineStr">
        <is>
          <t>3m India Limited</t>
        </is>
      </c>
      <c r="C204" s="31" t="inlineStr">
        <is>
          <t>miscellaneous</t>
        </is>
      </c>
      <c r="D204" s="31" t="inlineStr">
        <is>
          <t>diversified - large</t>
        </is>
      </c>
      <c r="E204" s="31" t="inlineStr">
        <is>
          <t>largecap</t>
        </is>
      </c>
      <c r="F204" s="31" t="n">
        <v>39281.3</v>
      </c>
      <c r="G204" s="31" t="n">
        <v>35150</v>
      </c>
      <c r="H204" s="31" t="n">
        <v>0.8</v>
      </c>
      <c r="I204" s="31" t="n">
        <v>3974</v>
      </c>
      <c r="J204" s="31" t="inlineStr">
        <is>
          <t>523395</t>
        </is>
      </c>
    </row>
    <row r="205">
      <c r="A205" s="31" t="inlineStr">
        <is>
          <t>GODREJPROP</t>
        </is>
      </c>
      <c r="B205" s="31" t="inlineStr">
        <is>
          <t>Godrej Properties Limited</t>
        </is>
      </c>
      <c r="C205" s="31" t="inlineStr">
        <is>
          <t>realty</t>
        </is>
      </c>
      <c r="D205" s="31" t="inlineStr">
        <is>
          <t>construction</t>
        </is>
      </c>
      <c r="E205" s="31" t="inlineStr">
        <is>
          <t>largecap</t>
        </is>
      </c>
      <c r="F205" s="31" t="n">
        <v>63316.59</v>
      </c>
      <c r="G205" s="31" t="n">
        <v>2118.7</v>
      </c>
      <c r="H205" s="31" t="n">
        <v>0.79</v>
      </c>
      <c r="I205" s="31" t="n">
        <v>362804</v>
      </c>
      <c r="J205" s="31" t="inlineStr">
        <is>
          <t>533150</t>
        </is>
      </c>
    </row>
    <row r="206">
      <c r="A206" s="31" t="inlineStr">
        <is>
          <t>ABBOTINDIA</t>
        </is>
      </c>
      <c r="B206" s="31" t="inlineStr">
        <is>
          <t>Abbott India Limited</t>
        </is>
      </c>
      <c r="C206" s="31" t="inlineStr">
        <is>
          <t>healthcare</t>
        </is>
      </c>
      <c r="D206" s="31" t="inlineStr">
        <is>
          <t>pharmaceuticals - multinational</t>
        </is>
      </c>
      <c r="E206" s="31" t="inlineStr">
        <is>
          <t>largecap</t>
        </is>
      </c>
      <c r="F206" s="31" t="n">
        <v>59614.92</v>
      </c>
      <c r="G206" s="31" t="n">
        <v>28275</v>
      </c>
      <c r="H206" s="31" t="n">
        <v>0.78</v>
      </c>
      <c r="I206" s="31" t="n">
        <v>8865</v>
      </c>
      <c r="J206" s="31" t="inlineStr">
        <is>
          <t>500488</t>
        </is>
      </c>
    </row>
    <row r="207">
      <c r="A207" s="31" t="inlineStr">
        <is>
          <t>CHOICEIN</t>
        </is>
      </c>
      <c r="B207" s="31" t="inlineStr">
        <is>
          <t>Choice International Ltd</t>
        </is>
      </c>
      <c r="C207" s="31" t="inlineStr">
        <is>
          <t>financials</t>
        </is>
      </c>
      <c r="D207" s="31" t="inlineStr">
        <is>
          <t>finance &amp; investments</t>
        </is>
      </c>
      <c r="E207" s="31" t="inlineStr">
        <is>
          <t>midcap</t>
        </is>
      </c>
      <c r="F207" s="31" t="n">
        <v>18018.16</v>
      </c>
      <c r="G207" s="31" t="n">
        <v>815.05</v>
      </c>
      <c r="H207" s="31" t="n">
        <v>0.77</v>
      </c>
      <c r="I207" s="31" t="n">
        <v>642633</v>
      </c>
      <c r="J207" s="31" t="inlineStr">
        <is>
          <t>531358</t>
        </is>
      </c>
    </row>
    <row r="208">
      <c r="A208" s="31" t="inlineStr">
        <is>
          <t>KTKBANK</t>
        </is>
      </c>
      <c r="B208" s="31" t="inlineStr">
        <is>
          <t>The Karnataka Bank Limited</t>
        </is>
      </c>
      <c r="C208" s="31" t="inlineStr">
        <is>
          <t>bank</t>
        </is>
      </c>
      <c r="D208" s="31" t="inlineStr">
        <is>
          <t>banks - private sector</t>
        </is>
      </c>
      <c r="E208" s="31" t="inlineStr">
        <is>
          <t>midcap</t>
        </is>
      </c>
      <c r="F208" s="31" t="n">
        <v>10328.9</v>
      </c>
      <c r="G208" s="31" t="n">
        <v>275.25</v>
      </c>
      <c r="H208" s="31" t="n">
        <v>0.77</v>
      </c>
      <c r="I208" s="31" t="n">
        <v>978081</v>
      </c>
      <c r="J208" s="31" t="inlineStr">
        <is>
          <t>532652</t>
        </is>
      </c>
    </row>
    <row r="209">
      <c r="A209" s="31" t="inlineStr">
        <is>
          <t>BAJAJ-AUTO</t>
        </is>
      </c>
      <c r="B209" s="31" t="inlineStr">
        <is>
          <t>Bajaj Auto Limited</t>
        </is>
      </c>
      <c r="C209" s="31" t="inlineStr">
        <is>
          <t>auto</t>
        </is>
      </c>
      <c r="D209" s="31" t="inlineStr">
        <is>
          <t>automobiles - scooters and 3 - wheelers</t>
        </is>
      </c>
      <c r="E209" s="31" t="inlineStr">
        <is>
          <t>largecap</t>
        </is>
      </c>
      <c r="F209" s="31" t="n">
        <v>291879.59</v>
      </c>
      <c r="G209" s="31" t="n">
        <v>10522.5</v>
      </c>
      <c r="H209" s="31" t="n">
        <v>0.76</v>
      </c>
      <c r="I209" s="31" t="n">
        <v>335498</v>
      </c>
      <c r="J209" s="31" t="inlineStr">
        <is>
          <t>532977</t>
        </is>
      </c>
    </row>
    <row r="210">
      <c r="A210" s="31" t="inlineStr">
        <is>
          <t>CEMPRO</t>
        </is>
      </c>
      <c r="B210" s="31" t="inlineStr">
        <is>
          <t>Cemindia Projects Ltd</t>
        </is>
      </c>
      <c r="C210" s="31" t="inlineStr">
        <is>
          <t>realty</t>
        </is>
      </c>
      <c r="D210" s="31" t="inlineStr">
        <is>
          <t>construction</t>
        </is>
      </c>
      <c r="E210" s="31" t="inlineStr">
        <is>
          <t>largecap</t>
        </is>
      </c>
      <c r="F210" s="31" t="n">
        <v>27743.69</v>
      </c>
      <c r="G210" s="31" t="n">
        <v>1627</v>
      </c>
      <c r="H210" s="31" t="n">
        <v>0.74</v>
      </c>
      <c r="I210" s="31" t="n">
        <v>986966</v>
      </c>
      <c r="J210" s="31" t="inlineStr">
        <is>
          <t>509496</t>
        </is>
      </c>
    </row>
    <row r="211">
      <c r="A211" s="31" t="inlineStr">
        <is>
          <t>BAJFINANCE</t>
        </is>
      </c>
      <c r="B211" s="31" t="inlineStr">
        <is>
          <t>Bajaj Finance Limited</t>
        </is>
      </c>
      <c r="C211" s="31" t="inlineStr">
        <is>
          <t>financials</t>
        </is>
      </c>
      <c r="D211" s="31" t="inlineStr">
        <is>
          <t>finance &amp; investments</t>
        </is>
      </c>
      <c r="E211" s="31" t="inlineStr">
        <is>
          <t>largecap</t>
        </is>
      </c>
      <c r="F211" s="31" t="n">
        <v>657280.76</v>
      </c>
      <c r="G211" s="31" t="n">
        <v>1064</v>
      </c>
      <c r="H211" s="31" t="n">
        <v>0.73</v>
      </c>
      <c r="I211" s="31" t="n">
        <v>9348760</v>
      </c>
      <c r="J211" s="31" t="inlineStr">
        <is>
          <t>500034</t>
        </is>
      </c>
    </row>
    <row r="212">
      <c r="A212" s="31" t="inlineStr">
        <is>
          <t>ADANIENT</t>
        </is>
      </c>
      <c r="B212" s="31" t="inlineStr">
        <is>
          <t>Adani Enterprises Limited</t>
        </is>
      </c>
      <c r="C212" s="31" t="inlineStr">
        <is>
          <t>services</t>
        </is>
      </c>
      <c r="D212" s="31" t="inlineStr">
        <is>
          <t>trading</t>
        </is>
      </c>
      <c r="E212" s="31" t="inlineStr">
        <is>
          <t>largecap</t>
        </is>
      </c>
      <c r="F212" s="31" t="n">
        <v>427871.1</v>
      </c>
      <c r="G212" s="31" t="n">
        <v>3183.3</v>
      </c>
      <c r="H212" s="31" t="n">
        <v>0.72</v>
      </c>
      <c r="I212" s="31" t="n">
        <v>994798</v>
      </c>
      <c r="J212" s="31" t="inlineStr">
        <is>
          <t>512599</t>
        </is>
      </c>
    </row>
    <row r="213">
      <c r="A213" s="31" t="inlineStr">
        <is>
          <t>NINSYS</t>
        </is>
      </c>
      <c r="B213" s="31" t="inlineStr">
        <is>
          <t>NINtec Systems Ltd</t>
        </is>
      </c>
      <c r="C213" s="31" t="inlineStr">
        <is>
          <t>i.t</t>
        </is>
      </c>
      <c r="D213" s="31" t="inlineStr">
        <is>
          <t>computers - software - medium / small</t>
        </is>
      </c>
      <c r="E213" s="31" t="inlineStr">
        <is>
          <t>smallcap</t>
        </is>
      </c>
      <c r="F213" s="31" t="n">
        <v>1659.95</v>
      </c>
      <c r="G213" s="31" t="n">
        <v>900</v>
      </c>
      <c r="H213" s="31" t="n">
        <v>0.72</v>
      </c>
      <c r="I213" s="31" t="n">
        <v>8734</v>
      </c>
      <c r="J213" s="31" t="inlineStr">
        <is>
          <t>539843</t>
        </is>
      </c>
    </row>
    <row r="214">
      <c r="A214" s="31" t="inlineStr">
        <is>
          <t>RANEHOLDIN</t>
        </is>
      </c>
      <c r="B214" s="31" t="inlineStr">
        <is>
          <t>Rane Holdings Limited</t>
        </is>
      </c>
      <c r="C214" s="31" t="inlineStr">
        <is>
          <t>financials</t>
        </is>
      </c>
      <c r="D214" s="31" t="inlineStr">
        <is>
          <t>finance &amp; investments</t>
        </is>
      </c>
      <c r="E214" s="31" t="inlineStr">
        <is>
          <t>smallcap</t>
        </is>
      </c>
      <c r="F214" s="31" t="n">
        <v>2468.92</v>
      </c>
      <c r="G214" s="31" t="n">
        <v>1741.5</v>
      </c>
      <c r="H214" s="31" t="n">
        <v>0.71</v>
      </c>
      <c r="I214" s="31" t="n">
        <v>7029</v>
      </c>
      <c r="J214" s="31" t="inlineStr">
        <is>
          <t>505800</t>
        </is>
      </c>
    </row>
    <row r="215">
      <c r="A215" s="31" t="inlineStr">
        <is>
          <t>MANBA</t>
        </is>
      </c>
      <c r="B215" s="31" t="inlineStr">
        <is>
          <t>Manba Finance Ltd</t>
        </is>
      </c>
      <c r="C215" s="31" t="inlineStr">
        <is>
          <t>financials</t>
        </is>
      </c>
      <c r="D215" s="31" t="inlineStr">
        <is>
          <t>finance &amp; investments</t>
        </is>
      </c>
      <c r="E215" s="31" t="inlineStr">
        <is>
          <t>smallcap</t>
        </is>
      </c>
      <c r="F215" s="31" t="n">
        <v>687.22</v>
      </c>
      <c r="G215" s="31" t="n">
        <v>137.76</v>
      </c>
      <c r="H215" s="31" t="n">
        <v>0.71</v>
      </c>
      <c r="I215" s="31" t="n">
        <v>127197</v>
      </c>
      <c r="J215" s="31" t="inlineStr">
        <is>
          <t>544262</t>
        </is>
      </c>
    </row>
    <row r="216">
      <c r="A216" s="31" t="inlineStr">
        <is>
          <t>DEEPAKFERT</t>
        </is>
      </c>
      <c r="B216" s="31" t="inlineStr">
        <is>
          <t>Deepak Fertilizers And Petrochemicals Corporation Limited</t>
        </is>
      </c>
      <c r="C216" s="31" t="inlineStr">
        <is>
          <t>chemicals</t>
        </is>
      </c>
      <c r="D216" s="31" t="inlineStr">
        <is>
          <t>chemicals</t>
        </is>
      </c>
      <c r="E216" s="31" t="inlineStr">
        <is>
          <t>largecap</t>
        </is>
      </c>
      <c r="F216" s="31" t="n">
        <v>20122.31</v>
      </c>
      <c r="G216" s="31" t="n">
        <v>1605.1</v>
      </c>
      <c r="H216" s="31" t="n">
        <v>0.7</v>
      </c>
      <c r="I216" s="31" t="n">
        <v>146849</v>
      </c>
      <c r="J216" s="31" t="inlineStr">
        <is>
          <t>500645</t>
        </is>
      </c>
    </row>
    <row r="217">
      <c r="A217" s="31" t="inlineStr">
        <is>
          <t>PDSL</t>
        </is>
      </c>
      <c r="B217" s="31" t="inlineStr">
        <is>
          <t>PDS Ltd</t>
        </is>
      </c>
      <c r="C217" s="31" t="inlineStr">
        <is>
          <t>textiles</t>
        </is>
      </c>
      <c r="D217" s="31" t="inlineStr">
        <is>
          <t>trading</t>
        </is>
      </c>
      <c r="E217" s="31" t="inlineStr">
        <is>
          <t>midcap</t>
        </is>
      </c>
      <c r="F217" s="31" t="n">
        <v>5118.08</v>
      </c>
      <c r="G217" s="31" t="n">
        <v>364.35</v>
      </c>
      <c r="H217" s="31" t="n">
        <v>0.6899999999999999</v>
      </c>
      <c r="I217" s="31" t="n">
        <v>162787</v>
      </c>
      <c r="J217" s="31" t="inlineStr">
        <is>
          <t>538730</t>
        </is>
      </c>
    </row>
    <row r="218">
      <c r="A218" s="31" t="inlineStr">
        <is>
          <t>AZAD</t>
        </is>
      </c>
      <c r="B218" s="31" t="inlineStr">
        <is>
          <t>Azad Engineering Ltd</t>
        </is>
      </c>
      <c r="C218" s="31" t="inlineStr">
        <is>
          <t>aerospace &amp; defence</t>
        </is>
      </c>
      <c r="D218" s="31" t="inlineStr">
        <is>
          <t>engineering</t>
        </is>
      </c>
      <c r="E218" s="31" t="inlineStr">
        <is>
          <t>midcap</t>
        </is>
      </c>
      <c r="F218" s="31" t="n">
        <v>15045.61</v>
      </c>
      <c r="G218" s="31" t="n">
        <v>2345.7</v>
      </c>
      <c r="H218" s="31" t="n">
        <v>0.6899999999999999</v>
      </c>
      <c r="I218" s="31" t="n">
        <v>243452</v>
      </c>
      <c r="J218" s="31" t="inlineStr">
        <is>
          <t>544061</t>
        </is>
      </c>
    </row>
    <row r="219">
      <c r="A219" s="31" t="inlineStr">
        <is>
          <t>BOSCHLTD</t>
        </is>
      </c>
      <c r="B219" s="31" t="inlineStr">
        <is>
          <t>Bosch Limited</t>
        </is>
      </c>
      <c r="C219" s="31" t="inlineStr">
        <is>
          <t>auto</t>
        </is>
      </c>
      <c r="D219" s="31" t="inlineStr">
        <is>
          <t>auto ancillaries</t>
        </is>
      </c>
      <c r="E219" s="31" t="inlineStr">
        <is>
          <t>largecap</t>
        </is>
      </c>
      <c r="F219" s="31" t="n">
        <v>120496.27</v>
      </c>
      <c r="G219" s="31" t="n">
        <v>41120</v>
      </c>
      <c r="H219" s="31" t="n">
        <v>0.65</v>
      </c>
      <c r="I219" s="31" t="n">
        <v>26597</v>
      </c>
      <c r="J219" s="31" t="inlineStr">
        <is>
          <t>500530</t>
        </is>
      </c>
    </row>
    <row r="220">
      <c r="A220" s="31" t="inlineStr">
        <is>
          <t>JKPAPER</t>
        </is>
      </c>
      <c r="B220" s="31" t="inlineStr">
        <is>
          <t>Jk Paper Limited</t>
        </is>
      </c>
      <c r="C220" s="31" t="inlineStr">
        <is>
          <t>building materials</t>
        </is>
      </c>
      <c r="D220" s="31" t="inlineStr">
        <is>
          <t>paper</t>
        </is>
      </c>
      <c r="E220" s="31" t="inlineStr">
        <is>
          <t>midcap</t>
        </is>
      </c>
      <c r="F220" s="31" t="n">
        <v>6700.64</v>
      </c>
      <c r="G220" s="31" t="n">
        <v>371.95</v>
      </c>
      <c r="H220" s="31" t="n">
        <v>0.65</v>
      </c>
      <c r="I220" s="31" t="n">
        <v>441951</v>
      </c>
      <c r="J220" s="31" t="inlineStr">
        <is>
          <t>532162</t>
        </is>
      </c>
    </row>
    <row r="221">
      <c r="A221" s="31" t="inlineStr">
        <is>
          <t>PLASTIBLEN</t>
        </is>
      </c>
      <c r="B221" s="31" t="inlineStr">
        <is>
          <t>Plastiblends India Limited</t>
        </is>
      </c>
      <c r="C221" s="31" t="inlineStr">
        <is>
          <t>chemicals</t>
        </is>
      </c>
      <c r="D221" s="31" t="inlineStr">
        <is>
          <t>chemicals</t>
        </is>
      </c>
      <c r="E221" s="31" t="inlineStr">
        <is>
          <t>smallcap</t>
        </is>
      </c>
      <c r="F221" s="31" t="n">
        <v>516.0700000000001</v>
      </c>
      <c r="G221" s="31" t="n">
        <v>199.86</v>
      </c>
      <c r="H221" s="31" t="n">
        <v>0.65</v>
      </c>
      <c r="I221" s="31" t="n">
        <v>103191</v>
      </c>
      <c r="J221" s="31" t="inlineStr">
        <is>
          <t>523648</t>
        </is>
      </c>
    </row>
    <row r="222">
      <c r="A222" s="31" t="inlineStr">
        <is>
          <t>MOTILALOFS</t>
        </is>
      </c>
      <c r="B222" s="31" t="inlineStr">
        <is>
          <t>Motilal Oswal Financial Services Limited</t>
        </is>
      </c>
      <c r="C222" s="31" t="inlineStr">
        <is>
          <t>financials</t>
        </is>
      </c>
      <c r="D222" s="31" t="inlineStr">
        <is>
          <t>finance &amp; investments</t>
        </is>
      </c>
      <c r="E222" s="31" t="inlineStr">
        <is>
          <t>largecap</t>
        </is>
      </c>
      <c r="F222" s="31" t="n">
        <v>58233.61</v>
      </c>
      <c r="G222" s="31" t="n">
        <v>973.15</v>
      </c>
      <c r="H222" s="31" t="n">
        <v>0.63</v>
      </c>
      <c r="I222" s="31" t="n">
        <v>545634</v>
      </c>
      <c r="J222" s="31" t="inlineStr">
        <is>
          <t>532892</t>
        </is>
      </c>
    </row>
    <row r="223">
      <c r="A223" s="31" t="inlineStr">
        <is>
          <t>LALPATHLAB</t>
        </is>
      </c>
      <c r="B223" s="31" t="inlineStr">
        <is>
          <t>Dr. Lal Path Labs Ltd.</t>
        </is>
      </c>
      <c r="C223" s="31" t="inlineStr">
        <is>
          <t>healthcare</t>
        </is>
      </c>
      <c r="D223" s="31" t="inlineStr">
        <is>
          <t>healthcare</t>
        </is>
      </c>
      <c r="E223" s="31" t="inlineStr">
        <is>
          <t>largecap</t>
        </is>
      </c>
      <c r="F223" s="31" t="n">
        <v>28273.23</v>
      </c>
      <c r="G223" s="31" t="n">
        <v>1697.8</v>
      </c>
      <c r="H223" s="31" t="n">
        <v>0.62</v>
      </c>
      <c r="I223" s="31" t="n">
        <v>209192</v>
      </c>
      <c r="J223" s="31" t="inlineStr">
        <is>
          <t>539524</t>
        </is>
      </c>
    </row>
    <row r="224">
      <c r="A224" s="31" t="inlineStr">
        <is>
          <t>KRN</t>
        </is>
      </c>
      <c r="B224" s="31" t="inlineStr">
        <is>
          <t>KRN Heat Exchanger and Refrigeration Ltd</t>
        </is>
      </c>
      <c r="C224" s="31" t="inlineStr">
        <is>
          <t>industrials</t>
        </is>
      </c>
      <c r="D224" s="31" t="inlineStr">
        <is>
          <t>engineering</t>
        </is>
      </c>
      <c r="E224" s="31" t="inlineStr">
        <is>
          <t>midcap</t>
        </is>
      </c>
      <c r="F224" s="31" t="n">
        <v>8181.66</v>
      </c>
      <c r="G224" s="31" t="n">
        <v>1257.7</v>
      </c>
      <c r="H224" s="31" t="n">
        <v>0.62</v>
      </c>
      <c r="I224" s="31" t="n">
        <v>80129</v>
      </c>
      <c r="J224" s="31" t="inlineStr">
        <is>
          <t>544263</t>
        </is>
      </c>
    </row>
    <row r="225">
      <c r="A225" s="31" t="inlineStr">
        <is>
          <t>HIRECT</t>
        </is>
      </c>
      <c r="B225" s="31" t="inlineStr">
        <is>
          <t>Hind Rectifiers Limited</t>
        </is>
      </c>
      <c r="C225" s="31" t="inlineStr">
        <is>
          <t>consumer discretionary</t>
        </is>
      </c>
      <c r="D225" s="31" t="inlineStr">
        <is>
          <t>electronics - components</t>
        </is>
      </c>
      <c r="E225" s="31" t="inlineStr">
        <is>
          <t>smallcap</t>
        </is>
      </c>
      <c r="F225" s="31" t="n">
        <v>4277.63</v>
      </c>
      <c r="G225" s="31" t="n">
        <v>1252.1</v>
      </c>
      <c r="H225" s="31" t="n">
        <v>0.61</v>
      </c>
      <c r="I225" s="31" t="n">
        <v>85199</v>
      </c>
      <c r="J225" s="31" t="inlineStr">
        <is>
          <t>504036</t>
        </is>
      </c>
    </row>
    <row r="226">
      <c r="A226" s="31" t="inlineStr">
        <is>
          <t>MANORAMA</t>
        </is>
      </c>
      <c r="B226" s="31" t="inlineStr">
        <is>
          <t>Manorama Industries Ltd</t>
        </is>
      </c>
      <c r="C226" s="31" t="inlineStr">
        <is>
          <t>fmcg</t>
        </is>
      </c>
      <c r="D226" s="31" t="inlineStr">
        <is>
          <t>food - processing - indian</t>
        </is>
      </c>
      <c r="E226" s="31" t="inlineStr">
        <is>
          <t>midcap</t>
        </is>
      </c>
      <c r="F226" s="31" t="n">
        <v>9502.610000000001</v>
      </c>
      <c r="G226" s="31" t="n">
        <v>1601.1</v>
      </c>
      <c r="H226" s="31" t="n">
        <v>0.6</v>
      </c>
      <c r="I226" s="31" t="n">
        <v>144254</v>
      </c>
      <c r="J226" s="31" t="inlineStr">
        <is>
          <t>541974</t>
        </is>
      </c>
    </row>
    <row r="227">
      <c r="A227" s="31" t="inlineStr">
        <is>
          <t>ESAFSFB</t>
        </is>
      </c>
      <c r="B227" s="31" t="inlineStr">
        <is>
          <t>ESAF Small Finance Bank Ltd</t>
        </is>
      </c>
      <c r="C227" s="31" t="inlineStr">
        <is>
          <t>bank</t>
        </is>
      </c>
      <c r="D227" s="31" t="inlineStr">
        <is>
          <t>banks - private sector</t>
        </is>
      </c>
      <c r="E227" s="31" t="inlineStr">
        <is>
          <t>smallcap</t>
        </is>
      </c>
      <c r="F227" s="31" t="n">
        <v>1815.13</v>
      </c>
      <c r="G227" s="31" t="n">
        <v>35.41</v>
      </c>
      <c r="H227" s="31" t="n">
        <v>0.6</v>
      </c>
      <c r="I227" s="31" t="n">
        <v>520614</v>
      </c>
      <c r="J227" s="31" t="inlineStr">
        <is>
          <t>544020</t>
        </is>
      </c>
    </row>
    <row r="228">
      <c r="A228" s="31" t="inlineStr">
        <is>
          <t>ALIVUS</t>
        </is>
      </c>
      <c r="B228" s="31" t="inlineStr">
        <is>
          <t>Alivus Life Sciences Ltd</t>
        </is>
      </c>
      <c r="C228" s="31" t="inlineStr">
        <is>
          <t>healthcare</t>
        </is>
      </c>
      <c r="D228" s="31" t="inlineStr">
        <is>
          <t>pharmaceuticals - indian - bulk drugs &amp; formln</t>
        </is>
      </c>
      <c r="E228" s="31" t="inlineStr">
        <is>
          <t>midcap</t>
        </is>
      </c>
      <c r="F228" s="31" t="n">
        <v>13909.71</v>
      </c>
      <c r="G228" s="31" t="n">
        <v>1140</v>
      </c>
      <c r="H228" s="31" t="n">
        <v>0.59</v>
      </c>
      <c r="I228" s="31" t="n">
        <v>40180</v>
      </c>
      <c r="J228" s="31" t="inlineStr">
        <is>
          <t>543322</t>
        </is>
      </c>
    </row>
    <row r="229">
      <c r="A229" s="31" t="inlineStr">
        <is>
          <t>STOVEKRAFT</t>
        </is>
      </c>
      <c r="B229" s="31" t="inlineStr">
        <is>
          <t>Stove Kraft Ltd</t>
        </is>
      </c>
      <c r="C229" s="31" t="inlineStr">
        <is>
          <t>consumer discretionary</t>
        </is>
      </c>
      <c r="D229" s="31" t="inlineStr">
        <is>
          <t>domestic appliances</t>
        </is>
      </c>
      <c r="E229" s="31" t="inlineStr">
        <is>
          <t>smallcap</t>
        </is>
      </c>
      <c r="F229" s="31" t="n">
        <v>2560.02</v>
      </c>
      <c r="G229" s="31" t="n">
        <v>777.75</v>
      </c>
      <c r="H229" s="31" t="n">
        <v>0.58</v>
      </c>
      <c r="I229" s="31" t="n">
        <v>73525</v>
      </c>
      <c r="J229" s="31" t="inlineStr">
        <is>
          <t>543260</t>
        </is>
      </c>
    </row>
    <row r="230">
      <c r="A230" s="31" t="inlineStr">
        <is>
          <t>SIS</t>
        </is>
      </c>
      <c r="B230" s="31" t="inlineStr">
        <is>
          <t>Security &amp; Intelligence Services India</t>
        </is>
      </c>
      <c r="C230" s="31" t="inlineStr">
        <is>
          <t>miscellaneous</t>
        </is>
      </c>
      <c r="D230" s="31" t="inlineStr">
        <is>
          <t>miscellaneous</t>
        </is>
      </c>
      <c r="E230" s="31" t="inlineStr">
        <is>
          <t>midcap</t>
        </is>
      </c>
      <c r="F230" s="31" t="n">
        <v>6125.56</v>
      </c>
      <c r="G230" s="31" t="n">
        <v>436.05</v>
      </c>
      <c r="H230" s="31" t="n">
        <v>0.57</v>
      </c>
      <c r="I230" s="31" t="n">
        <v>282279</v>
      </c>
      <c r="J230" s="31" t="inlineStr">
        <is>
          <t>540673</t>
        </is>
      </c>
    </row>
    <row r="231">
      <c r="A231" s="31" t="inlineStr">
        <is>
          <t>INDUSINDBK</t>
        </is>
      </c>
      <c r="B231" s="31" t="inlineStr">
        <is>
          <t>Indusind Bank Limited</t>
        </is>
      </c>
      <c r="C231" s="31" t="inlineStr">
        <is>
          <t>bank</t>
        </is>
      </c>
      <c r="D231" s="31" t="inlineStr">
        <is>
          <t>banks - private sector</t>
        </is>
      </c>
      <c r="E231" s="31" t="inlineStr">
        <is>
          <t>largecap</t>
        </is>
      </c>
      <c r="F231" s="31" t="n">
        <v>80032.52</v>
      </c>
      <c r="G231" s="31" t="n">
        <v>1032.85</v>
      </c>
      <c r="H231" s="31" t="n">
        <v>0.55</v>
      </c>
      <c r="I231" s="31" t="n">
        <v>1686018</v>
      </c>
      <c r="J231" s="31" t="inlineStr">
        <is>
          <t>532187</t>
        </is>
      </c>
    </row>
    <row r="232">
      <c r="A232" s="31" t="inlineStr">
        <is>
          <t>ORCHPHARMA</t>
        </is>
      </c>
      <c r="B232" s="31" t="inlineStr">
        <is>
          <t>Orchid Pharma Ltd</t>
        </is>
      </c>
      <c r="C232" s="31" t="inlineStr">
        <is>
          <t>healthcare</t>
        </is>
      </c>
      <c r="D232" s="31" t="inlineStr">
        <is>
          <t>pharmaceuticals - indian - bulk drugs &amp; formln</t>
        </is>
      </c>
      <c r="E232" s="31" t="inlineStr">
        <is>
          <t>midcap</t>
        </is>
      </c>
      <c r="F232" s="31" t="n">
        <v>5281.63</v>
      </c>
      <c r="G232" s="31" t="n">
        <v>1047</v>
      </c>
      <c r="H232" s="31" t="n">
        <v>0.54</v>
      </c>
      <c r="I232" s="31" t="n">
        <v>56310</v>
      </c>
      <c r="J232" s="31" t="inlineStr">
        <is>
          <t>524372</t>
        </is>
      </c>
    </row>
    <row r="233">
      <c r="A233" s="31" t="inlineStr">
        <is>
          <t>HTMEDIA</t>
        </is>
      </c>
      <c r="B233" s="31" t="inlineStr">
        <is>
          <t>Ht Media Limited</t>
        </is>
      </c>
      <c r="C233" s="31" t="inlineStr">
        <is>
          <t>media</t>
        </is>
      </c>
      <c r="D233" s="31" t="inlineStr">
        <is>
          <t>entertainment / electronic media software</t>
        </is>
      </c>
      <c r="E233" s="31" t="inlineStr">
        <is>
          <t>smallcap</t>
        </is>
      </c>
      <c r="F233" s="31" t="n">
        <v>608.7</v>
      </c>
      <c r="G233" s="31" t="n">
        <v>26.29</v>
      </c>
      <c r="H233" s="31" t="n">
        <v>0.54</v>
      </c>
      <c r="I233" s="31" t="n">
        <v>90741</v>
      </c>
      <c r="J233" s="31" t="inlineStr">
        <is>
          <t>532662</t>
        </is>
      </c>
    </row>
    <row r="234">
      <c r="A234" s="31" t="inlineStr">
        <is>
          <t>SIEMENS</t>
        </is>
      </c>
      <c r="B234" s="31" t="inlineStr">
        <is>
          <t>Siemens Limited</t>
        </is>
      </c>
      <c r="C234" s="31" t="inlineStr">
        <is>
          <t>industrials</t>
        </is>
      </c>
      <c r="D234" s="31" t="inlineStr">
        <is>
          <t>electric equipment</t>
        </is>
      </c>
      <c r="E234" s="31" t="inlineStr">
        <is>
          <t>largecap</t>
        </is>
      </c>
      <c r="F234" s="31" t="n">
        <v>130297.37</v>
      </c>
      <c r="G234" s="31" t="n">
        <v>3678.4</v>
      </c>
      <c r="H234" s="31" t="n">
        <v>0.54</v>
      </c>
      <c r="I234" s="31" t="n">
        <v>157367</v>
      </c>
      <c r="J234" s="31" t="inlineStr">
        <is>
          <t>500550</t>
        </is>
      </c>
    </row>
    <row r="235">
      <c r="A235" s="31" t="inlineStr">
        <is>
          <t>INDOTECH</t>
        </is>
      </c>
      <c r="B235" s="31" t="inlineStr">
        <is>
          <t>Indo Tech Transformers Limited</t>
        </is>
      </c>
      <c r="C235" s="31" t="inlineStr">
        <is>
          <t>industrials</t>
        </is>
      </c>
      <c r="D235" s="31" t="inlineStr">
        <is>
          <t>electric equipment</t>
        </is>
      </c>
      <c r="E235" s="31" t="inlineStr">
        <is>
          <t>smallcap</t>
        </is>
      </c>
      <c r="F235" s="31" t="n">
        <v>3611.76</v>
      </c>
      <c r="G235" s="31" t="n">
        <v>3419</v>
      </c>
      <c r="H235" s="31" t="n">
        <v>0.53</v>
      </c>
      <c r="I235" s="31" t="n">
        <v>10186</v>
      </c>
      <c r="J235" s="31" t="inlineStr">
        <is>
          <t>532717</t>
        </is>
      </c>
    </row>
    <row r="236">
      <c r="A236" s="31" t="inlineStr">
        <is>
          <t>PRECOT</t>
        </is>
      </c>
      <c r="B236" s="31" t="inlineStr">
        <is>
          <t>Precot Meridian Limited</t>
        </is>
      </c>
      <c r="C236" s="31" t="inlineStr">
        <is>
          <t>textiles</t>
        </is>
      </c>
      <c r="D236" s="31" t="inlineStr">
        <is>
          <t>textiles - cotton/blended</t>
        </is>
      </c>
      <c r="E236" s="31" t="inlineStr">
        <is>
          <t>smallcap</t>
        </is>
      </c>
      <c r="F236" s="31" t="n">
        <v>990.36</v>
      </c>
      <c r="G236" s="31" t="n">
        <v>829.5</v>
      </c>
      <c r="H236" s="31" t="n">
        <v>0.51</v>
      </c>
      <c r="I236" s="31" t="n">
        <v>12988</v>
      </c>
      <c r="J236" s="31" t="inlineStr">
        <is>
          <t>521184</t>
        </is>
      </c>
    </row>
    <row r="237">
      <c r="A237" s="31" t="inlineStr">
        <is>
          <t>FEDERALBNK</t>
        </is>
      </c>
      <c r="B237" s="31" t="inlineStr">
        <is>
          <t>The Federal Bank  Limited</t>
        </is>
      </c>
      <c r="C237" s="31" t="inlineStr">
        <is>
          <t>bank</t>
        </is>
      </c>
      <c r="D237" s="31" t="inlineStr">
        <is>
          <t>banks - private sector</t>
        </is>
      </c>
      <c r="E237" s="31" t="inlineStr">
        <is>
          <t>largecap</t>
        </is>
      </c>
      <c r="F237" s="31" t="n">
        <v>86003.45</v>
      </c>
      <c r="G237" s="31" t="n">
        <v>350.75</v>
      </c>
      <c r="H237" s="31" t="n">
        <v>0.5</v>
      </c>
      <c r="I237" s="31" t="n">
        <v>10483345</v>
      </c>
      <c r="J237" s="31" t="inlineStr">
        <is>
          <t>500469</t>
        </is>
      </c>
    </row>
    <row r="238">
      <c r="A238" s="31" t="inlineStr">
        <is>
          <t>PGHL</t>
        </is>
      </c>
      <c r="B238" s="31" t="inlineStr">
        <is>
          <t>Procter &amp; Gamble Health Ltd</t>
        </is>
      </c>
      <c r="C238" s="31" t="inlineStr">
        <is>
          <t>healthcare</t>
        </is>
      </c>
      <c r="D238" s="31" t="inlineStr">
        <is>
          <t>pharmaceuticals - multinational</t>
        </is>
      </c>
      <c r="E238" s="31" t="inlineStr">
        <is>
          <t>midcap</t>
        </is>
      </c>
      <c r="F238" s="31" t="n">
        <v>11286.75</v>
      </c>
      <c r="G238" s="31" t="n">
        <v>6833.5</v>
      </c>
      <c r="H238" s="31" t="n">
        <v>0.5</v>
      </c>
      <c r="I238" s="31" t="n">
        <v>10026</v>
      </c>
      <c r="J238" s="31" t="inlineStr">
        <is>
          <t>500126</t>
        </is>
      </c>
    </row>
    <row r="239">
      <c r="A239" s="31" t="inlineStr">
        <is>
          <t>PTCIL</t>
        </is>
      </c>
      <c r="B239" s="31" t="inlineStr">
        <is>
          <t>PTC Industries Ltd</t>
        </is>
      </c>
      <c r="C239" s="31" t="inlineStr">
        <is>
          <t>industrials</t>
        </is>
      </c>
      <c r="D239" s="31" t="inlineStr">
        <is>
          <t>castings &amp; forgings</t>
        </is>
      </c>
      <c r="E239" s="31" t="inlineStr">
        <is>
          <t>largecap</t>
        </is>
      </c>
      <c r="F239" s="31" t="n">
        <v>26898.13</v>
      </c>
      <c r="G239" s="31" t="n">
        <v>18030</v>
      </c>
      <c r="H239" s="31" t="n">
        <v>0.5</v>
      </c>
      <c r="I239" s="31" t="n">
        <v>10343</v>
      </c>
      <c r="J239" s="31" t="inlineStr">
        <is>
          <t>539006</t>
        </is>
      </c>
    </row>
    <row r="240">
      <c r="A240" s="31" t="inlineStr">
        <is>
          <t>BOROSCI</t>
        </is>
      </c>
      <c r="B240" s="31" t="inlineStr">
        <is>
          <t>Borosil Scientific Ltd</t>
        </is>
      </c>
      <c r="C240" s="31" t="inlineStr">
        <is>
          <t>building materials</t>
        </is>
      </c>
      <c r="D240" s="31" t="inlineStr">
        <is>
          <t>glass &amp; glass products</t>
        </is>
      </c>
      <c r="E240" s="31" t="inlineStr">
        <is>
          <t>smallcap</t>
        </is>
      </c>
      <c r="F240" s="31" t="n">
        <v>1429.82</v>
      </c>
      <c r="G240" s="31" t="n">
        <v>161.53</v>
      </c>
      <c r="H240" s="31" t="n">
        <v>0.49</v>
      </c>
      <c r="I240" s="31" t="n">
        <v>76940</v>
      </c>
      <c r="J240" s="31" t="inlineStr">
        <is>
          <t>544184</t>
        </is>
      </c>
    </row>
    <row r="241">
      <c r="A241" s="31" t="inlineStr">
        <is>
          <t>ANANDRATHI</t>
        </is>
      </c>
      <c r="B241" s="31" t="inlineStr">
        <is>
          <t>Anand Rathi Wealth Ltd</t>
        </is>
      </c>
      <c r="C241" s="31" t="inlineStr">
        <is>
          <t>financials</t>
        </is>
      </c>
      <c r="D241" s="31" t="inlineStr">
        <is>
          <t>finance &amp; investments</t>
        </is>
      </c>
      <c r="E241" s="31" t="inlineStr">
        <is>
          <t>largecap</t>
        </is>
      </c>
      <c r="F241" s="31" t="n">
        <v>34415.37</v>
      </c>
      <c r="G241" s="31" t="n">
        <v>2082.7</v>
      </c>
      <c r="H241" s="31" t="n">
        <v>0.48</v>
      </c>
      <c r="I241" s="31" t="n">
        <v>122508</v>
      </c>
      <c r="J241" s="31" t="inlineStr">
        <is>
          <t>543415</t>
        </is>
      </c>
    </row>
    <row r="242">
      <c r="A242" s="31" t="inlineStr">
        <is>
          <t>AVL</t>
        </is>
      </c>
      <c r="B242" s="31" t="inlineStr">
        <is>
          <t>Aditya Vision Ltd</t>
        </is>
      </c>
      <c r="C242" s="31" t="inlineStr">
        <is>
          <t>consumer discretionary</t>
        </is>
      </c>
      <c r="D242" s="31" t="inlineStr">
        <is>
          <t>trading</t>
        </is>
      </c>
      <c r="E242" s="31" t="inlineStr">
        <is>
          <t>midcap</t>
        </is>
      </c>
      <c r="F242" s="31" t="n">
        <v>8191.23</v>
      </c>
      <c r="G242" s="31" t="n">
        <v>637.3</v>
      </c>
      <c r="H242" s="31" t="n">
        <v>0.47</v>
      </c>
      <c r="I242" s="31" t="n">
        <v>56958</v>
      </c>
      <c r="J242" s="31" t="inlineStr">
        <is>
          <t>540205</t>
        </is>
      </c>
    </row>
    <row r="243">
      <c r="A243" s="31" t="inlineStr">
        <is>
          <t>ZYDUSLIFE</t>
        </is>
      </c>
      <c r="B243" s="31" t="inlineStr">
        <is>
          <t>Zydus Lifesciences Ltd</t>
        </is>
      </c>
      <c r="C243" s="31" t="inlineStr">
        <is>
          <t>healthcare</t>
        </is>
      </c>
      <c r="D243" s="31" t="inlineStr">
        <is>
          <t>pharmaceuticals - indian - bulk drugs &amp; formln</t>
        </is>
      </c>
      <c r="E243" s="31" t="inlineStr">
        <is>
          <t>largecap</t>
        </is>
      </c>
      <c r="F243" s="31" t="n">
        <v>114084.51</v>
      </c>
      <c r="G243" s="31" t="n">
        <v>1149</v>
      </c>
      <c r="H243" s="31" t="n">
        <v>0.46</v>
      </c>
      <c r="I243" s="31" t="n">
        <v>920689</v>
      </c>
      <c r="J243" s="31" t="inlineStr">
        <is>
          <t>532321</t>
        </is>
      </c>
    </row>
    <row r="244">
      <c r="A244" s="31" t="inlineStr">
        <is>
          <t>IIFL</t>
        </is>
      </c>
      <c r="B244" s="31" t="inlineStr">
        <is>
          <t>IIFL Finance Ltd</t>
        </is>
      </c>
      <c r="C244" s="31" t="inlineStr">
        <is>
          <t>financials</t>
        </is>
      </c>
      <c r="D244" s="31" t="inlineStr">
        <is>
          <t>finance &amp; investments</t>
        </is>
      </c>
      <c r="E244" s="31" t="inlineStr">
        <is>
          <t>largecap</t>
        </is>
      </c>
      <c r="F244" s="31" t="n">
        <v>23614.04</v>
      </c>
      <c r="G244" s="31" t="n">
        <v>557.7</v>
      </c>
      <c r="H244" s="31" t="n">
        <v>0.45</v>
      </c>
      <c r="I244" s="31" t="n">
        <v>1501569</v>
      </c>
      <c r="J244" s="31" t="inlineStr">
        <is>
          <t>532636</t>
        </is>
      </c>
    </row>
    <row r="245">
      <c r="A245" s="31" t="inlineStr">
        <is>
          <t>ARE&amp;M</t>
        </is>
      </c>
      <c r="B245" s="31" t="inlineStr">
        <is>
          <t>Amara Raja Energy &amp; Mobility Ltd</t>
        </is>
      </c>
      <c r="C245" s="31" t="inlineStr">
        <is>
          <t>auto</t>
        </is>
      </c>
      <c r="D245" s="31" t="inlineStr">
        <is>
          <t>auto ancillaries</t>
        </is>
      </c>
      <c r="E245" s="31" t="inlineStr">
        <is>
          <t>midcap</t>
        </is>
      </c>
      <c r="F245" s="31" t="n">
        <v>16607.72</v>
      </c>
      <c r="G245" s="31" t="n">
        <v>911.3</v>
      </c>
      <c r="H245" s="31" t="n">
        <v>0.43</v>
      </c>
      <c r="I245" s="31" t="n">
        <v>1212551</v>
      </c>
      <c r="J245" s="31" t="inlineStr">
        <is>
          <t>500008</t>
        </is>
      </c>
    </row>
    <row r="246">
      <c r="A246" s="31" t="inlineStr">
        <is>
          <t>GHCLTEXTIL</t>
        </is>
      </c>
      <c r="B246" s="31" t="inlineStr">
        <is>
          <t>GHCL Textiles Ltd</t>
        </is>
      </c>
      <c r="C246" s="31" t="inlineStr">
        <is>
          <t>textiles</t>
        </is>
      </c>
      <c r="D246" s="31" t="inlineStr">
        <is>
          <t>textiles - spinning - synthetic / blended</t>
        </is>
      </c>
      <c r="E246" s="31" t="inlineStr">
        <is>
          <t>smallcap</t>
        </is>
      </c>
      <c r="F246" s="31" t="n">
        <v>1086.81</v>
      </c>
      <c r="G246" s="31" t="n">
        <v>114.17</v>
      </c>
      <c r="H246" s="31" t="n">
        <v>0.41</v>
      </c>
      <c r="I246" s="31" t="n">
        <v>424604</v>
      </c>
      <c r="J246" s="31" t="inlineStr">
        <is>
          <t>543918</t>
        </is>
      </c>
    </row>
    <row r="247">
      <c r="A247" s="31" t="inlineStr">
        <is>
          <t>GLAND</t>
        </is>
      </c>
      <c r="B247" s="31" t="inlineStr">
        <is>
          <t>Gland Pharma Ltd</t>
        </is>
      </c>
      <c r="C247" s="31" t="inlineStr">
        <is>
          <t>healthcare</t>
        </is>
      </c>
      <c r="D247" s="31" t="inlineStr">
        <is>
          <t>pharmaceuticals - indian - formulations</t>
        </is>
      </c>
      <c r="E247" s="31" t="inlineStr">
        <is>
          <t>largecap</t>
        </is>
      </c>
      <c r="F247" s="31" t="n">
        <v>40348.85</v>
      </c>
      <c r="G247" s="31" t="n">
        <v>2459.1</v>
      </c>
      <c r="H247" s="31" t="n">
        <v>0.41</v>
      </c>
      <c r="I247" s="31" t="n">
        <v>324972</v>
      </c>
      <c r="J247" s="31" t="inlineStr">
        <is>
          <t>543245</t>
        </is>
      </c>
    </row>
    <row r="248">
      <c r="A248" s="31" t="inlineStr">
        <is>
          <t>ADANIENSOL</t>
        </is>
      </c>
      <c r="B248" s="31" t="inlineStr">
        <is>
          <t>Adani Energy Solutions Ltd</t>
        </is>
      </c>
      <c r="C248" s="31" t="inlineStr">
        <is>
          <t>power &amp; utilities</t>
        </is>
      </c>
      <c r="D248" s="31" t="inlineStr">
        <is>
          <t>power generation and supply</t>
        </is>
      </c>
      <c r="E248" s="31" t="inlineStr">
        <is>
          <t>largecap</t>
        </is>
      </c>
      <c r="F248" s="31" t="n">
        <v>206932.95</v>
      </c>
      <c r="G248" s="31" t="n">
        <v>1729.5</v>
      </c>
      <c r="H248" s="31" t="n">
        <v>0.4</v>
      </c>
      <c r="I248" s="31" t="n">
        <v>1234788</v>
      </c>
      <c r="J248" s="31" t="inlineStr">
        <is>
          <t>539254</t>
        </is>
      </c>
    </row>
    <row r="249">
      <c r="A249" s="31" t="inlineStr">
        <is>
          <t>SENCO</t>
        </is>
      </c>
      <c r="B249" s="31" t="inlineStr">
        <is>
          <t>Senco Gold Ltd</t>
        </is>
      </c>
      <c r="C249" s="31" t="inlineStr">
        <is>
          <t>consumer discretionary</t>
        </is>
      </c>
      <c r="D249" s="31" t="inlineStr">
        <is>
          <t>diamond cutting / jewellery</t>
        </is>
      </c>
      <c r="E249" s="31" t="inlineStr">
        <is>
          <t>midcap</t>
        </is>
      </c>
      <c r="F249" s="31" t="n">
        <v>5971.57</v>
      </c>
      <c r="G249" s="31" t="n">
        <v>366</v>
      </c>
      <c r="H249" s="31" t="n">
        <v>0.4</v>
      </c>
      <c r="I249" s="31" t="n">
        <v>810561</v>
      </c>
      <c r="J249" s="31" t="inlineStr">
        <is>
          <t>543936</t>
        </is>
      </c>
    </row>
    <row r="250">
      <c r="A250" s="31" t="inlineStr">
        <is>
          <t>SATIN</t>
        </is>
      </c>
      <c r="B250" s="31" t="inlineStr">
        <is>
          <t>Satin Creditcare Network Limited</t>
        </is>
      </c>
      <c r="C250" s="31" t="inlineStr">
        <is>
          <t>financials</t>
        </is>
      </c>
      <c r="D250" s="31" t="inlineStr">
        <is>
          <t>finance &amp; investments</t>
        </is>
      </c>
      <c r="E250" s="31" t="inlineStr">
        <is>
          <t>smallcap</t>
        </is>
      </c>
      <c r="F250" s="31" t="n">
        <v>2817.78</v>
      </c>
      <c r="G250" s="31" t="n">
        <v>256.07</v>
      </c>
      <c r="H250" s="31" t="n">
        <v>0.39</v>
      </c>
      <c r="I250" s="31" t="n">
        <v>237426</v>
      </c>
      <c r="J250" s="31" t="inlineStr">
        <is>
          <t>539404</t>
        </is>
      </c>
    </row>
    <row r="251">
      <c r="A251" s="31" t="inlineStr">
        <is>
          <t>SUMICHEM</t>
        </is>
      </c>
      <c r="B251" s="31" t="inlineStr">
        <is>
          <t>Sumitomo Chemical India Ltd</t>
        </is>
      </c>
      <c r="C251" s="31" t="inlineStr">
        <is>
          <t>chemicals</t>
        </is>
      </c>
      <c r="D251" s="31" t="inlineStr">
        <is>
          <t>pesticides / agrochemicals - indian</t>
        </is>
      </c>
      <c r="E251" s="31" t="inlineStr">
        <is>
          <t>largecap</t>
        </is>
      </c>
      <c r="F251" s="31" t="n">
        <v>26881.49</v>
      </c>
      <c r="G251" s="31" t="n">
        <v>540.65</v>
      </c>
      <c r="H251" s="31" t="n">
        <v>0.39</v>
      </c>
      <c r="I251" s="31" t="n">
        <v>351414</v>
      </c>
      <c r="J251" s="31" t="inlineStr">
        <is>
          <t>542920</t>
        </is>
      </c>
    </row>
    <row r="252">
      <c r="A252" s="31" t="inlineStr">
        <is>
          <t>KAMDHENU</t>
        </is>
      </c>
      <c r="B252" s="31" t="inlineStr">
        <is>
          <t>Kamdhenu Limited</t>
        </is>
      </c>
      <c r="C252" s="31" t="inlineStr">
        <is>
          <t>metals &amp; mining</t>
        </is>
      </c>
      <c r="D252" s="31" t="inlineStr">
        <is>
          <t>steel - medium / small</t>
        </is>
      </c>
      <c r="E252" s="31" t="inlineStr">
        <is>
          <t>smallcap</t>
        </is>
      </c>
      <c r="F252" s="31" t="n">
        <v>945.4400000000001</v>
      </c>
      <c r="G252" s="31" t="n">
        <v>33.66</v>
      </c>
      <c r="H252" s="31" t="n">
        <v>0.36</v>
      </c>
      <c r="I252" s="31" t="n">
        <v>714873</v>
      </c>
      <c r="J252" s="31" t="inlineStr">
        <is>
          <t>532741</t>
        </is>
      </c>
    </row>
    <row r="253">
      <c r="A253" s="31" t="inlineStr">
        <is>
          <t>NAUKRI</t>
        </is>
      </c>
      <c r="B253" s="31" t="inlineStr">
        <is>
          <t>Info Edge (india) Limited</t>
        </is>
      </c>
      <c r="C253" s="31" t="inlineStr">
        <is>
          <t>i.t</t>
        </is>
      </c>
      <c r="D253" s="31" t="inlineStr">
        <is>
          <t>miscellaneous</t>
        </is>
      </c>
      <c r="E253" s="31" t="inlineStr">
        <is>
          <t>largecap</t>
        </is>
      </c>
      <c r="F253" s="31" t="n">
        <v>76983.74000000001</v>
      </c>
      <c r="G253" s="31" t="n">
        <v>1191.5</v>
      </c>
      <c r="H253" s="31" t="n">
        <v>0.36</v>
      </c>
      <c r="I253" s="31" t="n">
        <v>3300086</v>
      </c>
      <c r="J253" s="31" t="inlineStr">
        <is>
          <t>532777</t>
        </is>
      </c>
    </row>
    <row r="254">
      <c r="A254" s="31" t="inlineStr">
        <is>
          <t>ADANIPORTS</t>
        </is>
      </c>
      <c r="B254" s="31" t="inlineStr">
        <is>
          <t>Adani Ports And Special Economic Zone Limited</t>
        </is>
      </c>
      <c r="C254" s="31" t="inlineStr">
        <is>
          <t>transportation</t>
        </is>
      </c>
      <c r="D254" s="31" t="inlineStr">
        <is>
          <t>miscellaneous</t>
        </is>
      </c>
      <c r="E254" s="31" t="inlineStr">
        <is>
          <t>largecap</t>
        </is>
      </c>
      <c r="F254" s="31" t="n">
        <v>423329.44</v>
      </c>
      <c r="G254" s="31" t="n">
        <v>1844</v>
      </c>
      <c r="H254" s="31" t="n">
        <v>0.36</v>
      </c>
      <c r="I254" s="31" t="n">
        <v>754950</v>
      </c>
      <c r="J254" s="31" t="inlineStr">
        <is>
          <t>532921</t>
        </is>
      </c>
    </row>
    <row r="255">
      <c r="A255" s="31" t="inlineStr">
        <is>
          <t>CAPITALSFB</t>
        </is>
      </c>
      <c r="B255" s="31" t="inlineStr">
        <is>
          <t>Capital Small Finance Bank Ltd</t>
        </is>
      </c>
      <c r="C255" s="31" t="inlineStr">
        <is>
          <t>bank</t>
        </is>
      </c>
      <c r="D255" s="31" t="inlineStr">
        <is>
          <t>banks - private sector</t>
        </is>
      </c>
      <c r="E255" s="31" t="inlineStr">
        <is>
          <t>smallcap</t>
        </is>
      </c>
      <c r="F255" s="31" t="n">
        <v>1381.91</v>
      </c>
      <c r="G255" s="31" t="n">
        <v>305</v>
      </c>
      <c r="H255" s="31" t="n">
        <v>0.35</v>
      </c>
      <c r="I255" s="31" t="n">
        <v>63210</v>
      </c>
      <c r="J255" s="31" t="n"/>
    </row>
    <row r="256">
      <c r="A256" s="31" t="inlineStr">
        <is>
          <t>EXIDEIND</t>
        </is>
      </c>
      <c r="B256" s="31" t="inlineStr">
        <is>
          <t>Exide Industries Limited</t>
        </is>
      </c>
      <c r="C256" s="31" t="inlineStr">
        <is>
          <t>auto</t>
        </is>
      </c>
      <c r="D256" s="31" t="inlineStr">
        <is>
          <t>auto ancillaries</t>
        </is>
      </c>
      <c r="E256" s="31" t="inlineStr">
        <is>
          <t>largecap</t>
        </is>
      </c>
      <c r="F256" s="31" t="n">
        <v>36992</v>
      </c>
      <c r="G256" s="31" t="n">
        <v>436.65</v>
      </c>
      <c r="H256" s="31" t="n">
        <v>0.33</v>
      </c>
      <c r="I256" s="31" t="n">
        <v>4985198</v>
      </c>
      <c r="J256" s="31" t="inlineStr">
        <is>
          <t>500086</t>
        </is>
      </c>
    </row>
    <row r="257">
      <c r="A257" s="31" t="inlineStr">
        <is>
          <t>PREMIERPOL</t>
        </is>
      </c>
      <c r="B257" s="31" t="inlineStr">
        <is>
          <t>Premier Polyfilm Limited</t>
        </is>
      </c>
      <c r="C257" s="31" t="inlineStr">
        <is>
          <t>plastic products</t>
        </is>
      </c>
      <c r="D257" s="31" t="inlineStr">
        <is>
          <t>plastics products</t>
        </is>
      </c>
      <c r="E257" s="31" t="inlineStr">
        <is>
          <t>smallcap</t>
        </is>
      </c>
      <c r="F257" s="31" t="n">
        <v>772.48</v>
      </c>
      <c r="G257" s="31" t="n">
        <v>73.98999999999999</v>
      </c>
      <c r="H257" s="31" t="n">
        <v>0.33</v>
      </c>
      <c r="I257" s="31" t="n">
        <v>1384380</v>
      </c>
      <c r="J257" s="31" t="inlineStr">
        <is>
          <t>514354</t>
        </is>
      </c>
    </row>
    <row r="258">
      <c r="A258" s="31" t="inlineStr">
        <is>
          <t>JLHL</t>
        </is>
      </c>
      <c r="B258" s="31" t="inlineStr">
        <is>
          <t>Jupiter Life Line Hospitals Ltd</t>
        </is>
      </c>
      <c r="C258" s="31" t="inlineStr">
        <is>
          <t>healthcare</t>
        </is>
      </c>
      <c r="D258" s="31" t="inlineStr">
        <is>
          <t>healthcare</t>
        </is>
      </c>
      <c r="E258" s="31" t="inlineStr">
        <is>
          <t>midcap</t>
        </is>
      </c>
      <c r="F258" s="31" t="n">
        <v>10182.4</v>
      </c>
      <c r="G258" s="31" t="n">
        <v>1558</v>
      </c>
      <c r="H258" s="31" t="n">
        <v>0.32</v>
      </c>
      <c r="I258" s="31" t="n">
        <v>39652</v>
      </c>
      <c r="J258" s="31" t="inlineStr">
        <is>
          <t>543980</t>
        </is>
      </c>
    </row>
    <row r="259">
      <c r="A259" s="31" t="inlineStr">
        <is>
          <t>NEOGEN</t>
        </is>
      </c>
      <c r="B259" s="31" t="inlineStr">
        <is>
          <t>Neogen Chemicals Ltd</t>
        </is>
      </c>
      <c r="C259" s="31" t="inlineStr">
        <is>
          <t>chemicals</t>
        </is>
      </c>
      <c r="D259" s="31" t="inlineStr">
        <is>
          <t>chemicals</t>
        </is>
      </c>
      <c r="E259" s="31" t="inlineStr">
        <is>
          <t>midcap</t>
        </is>
      </c>
      <c r="F259" s="31" t="n">
        <v>5957.16</v>
      </c>
      <c r="G259" s="31" t="n">
        <v>2182.6</v>
      </c>
      <c r="H259" s="31" t="n">
        <v>0.32</v>
      </c>
      <c r="I259" s="31" t="n">
        <v>124859</v>
      </c>
      <c r="J259" s="31" t="inlineStr">
        <is>
          <t>542665</t>
        </is>
      </c>
    </row>
    <row r="260">
      <c r="A260" s="31" t="inlineStr">
        <is>
          <t>KAJARIACER</t>
        </is>
      </c>
      <c r="B260" s="31" t="inlineStr">
        <is>
          <t>Kajaria Ceramics Limited</t>
        </is>
      </c>
      <c r="C260" s="31" t="inlineStr">
        <is>
          <t>building materials</t>
        </is>
      </c>
      <c r="D260" s="31" t="inlineStr">
        <is>
          <t>ceramics - tiles / sanitaryware</t>
        </is>
      </c>
      <c r="E260" s="31" t="inlineStr">
        <is>
          <t>midcap</t>
        </is>
      </c>
      <c r="F260" s="31" t="n">
        <v>19741.8</v>
      </c>
      <c r="G260" s="31" t="n">
        <v>1243.5</v>
      </c>
      <c r="H260" s="31" t="n">
        <v>0.32</v>
      </c>
      <c r="I260" s="31" t="n">
        <v>162510</v>
      </c>
      <c r="J260" s="31" t="inlineStr">
        <is>
          <t>500233</t>
        </is>
      </c>
    </row>
    <row r="261">
      <c r="A261" s="31" t="inlineStr">
        <is>
          <t>ENDURANCE</t>
        </is>
      </c>
      <c r="B261" s="31" t="inlineStr">
        <is>
          <t>Endurance Technologies Limited</t>
        </is>
      </c>
      <c r="C261" s="31" t="inlineStr">
        <is>
          <t>auto</t>
        </is>
      </c>
      <c r="D261" s="31" t="inlineStr">
        <is>
          <t>auto ancillaries</t>
        </is>
      </c>
      <c r="E261" s="31" t="inlineStr">
        <is>
          <t>largecap</t>
        </is>
      </c>
      <c r="F261" s="31" t="n">
        <v>38443.16</v>
      </c>
      <c r="G261" s="31" t="n">
        <v>2741.5</v>
      </c>
      <c r="H261" s="31" t="n">
        <v>0.31</v>
      </c>
      <c r="I261" s="31" t="n">
        <v>61998</v>
      </c>
      <c r="J261" s="31" t="inlineStr">
        <is>
          <t>540153</t>
        </is>
      </c>
    </row>
    <row r="262">
      <c r="A262" s="31" t="inlineStr">
        <is>
          <t>AARTIIND</t>
        </is>
      </c>
      <c r="B262" s="31" t="inlineStr">
        <is>
          <t>Aarti Industries Limited</t>
        </is>
      </c>
      <c r="C262" s="31" t="inlineStr">
        <is>
          <t>chemicals</t>
        </is>
      </c>
      <c r="D262" s="31" t="inlineStr">
        <is>
          <t>chemicals</t>
        </is>
      </c>
      <c r="E262" s="31" t="inlineStr">
        <is>
          <t>midcap</t>
        </is>
      </c>
      <c r="F262" s="31" t="n">
        <v>17910.35</v>
      </c>
      <c r="G262" s="31" t="n">
        <v>495.4</v>
      </c>
      <c r="H262" s="31" t="n">
        <v>0.29</v>
      </c>
      <c r="I262" s="31" t="n">
        <v>713949</v>
      </c>
      <c r="J262" s="31" t="inlineStr">
        <is>
          <t>524208</t>
        </is>
      </c>
    </row>
    <row r="263">
      <c r="A263" s="31" t="inlineStr">
        <is>
          <t>GANESHHOU</t>
        </is>
      </c>
      <c r="B263" s="31" t="inlineStr">
        <is>
          <t>Ganesh Housing Ltd</t>
        </is>
      </c>
      <c r="C263" s="31" t="inlineStr">
        <is>
          <t>realty</t>
        </is>
      </c>
      <c r="D263" s="31" t="inlineStr">
        <is>
          <t>construction</t>
        </is>
      </c>
      <c r="E263" s="31" t="inlineStr">
        <is>
          <t>midcap</t>
        </is>
      </c>
      <c r="F263" s="31" t="n">
        <v>6860.26</v>
      </c>
      <c r="G263" s="31" t="n">
        <v>825</v>
      </c>
      <c r="H263" s="31" t="n">
        <v>0.28</v>
      </c>
      <c r="I263" s="31" t="n">
        <v>16230</v>
      </c>
      <c r="J263" s="31" t="inlineStr">
        <is>
          <t>526367</t>
        </is>
      </c>
    </row>
    <row r="264">
      <c r="A264" s="31" t="inlineStr">
        <is>
          <t>IKS</t>
        </is>
      </c>
      <c r="B264" s="31" t="inlineStr">
        <is>
          <t>Inventurus Knowledge Solutions Ltd</t>
        </is>
      </c>
      <c r="C264" s="31" t="inlineStr">
        <is>
          <t>i.t</t>
        </is>
      </c>
      <c r="D264" s="31" t="inlineStr">
        <is>
          <t>computers - software - medium / small</t>
        </is>
      </c>
      <c r="E264" s="31" t="inlineStr">
        <is>
          <t>largecap</t>
        </is>
      </c>
      <c r="F264" s="31" t="n">
        <v>32549.14</v>
      </c>
      <c r="G264" s="31" t="n">
        <v>1901.9</v>
      </c>
      <c r="H264" s="31" t="n">
        <v>0.25</v>
      </c>
      <c r="I264" s="31" t="n">
        <v>162038</v>
      </c>
      <c r="J264" s="31" t="inlineStr">
        <is>
          <t>544309</t>
        </is>
      </c>
    </row>
    <row r="265">
      <c r="A265" s="31" t="inlineStr">
        <is>
          <t>RAMCOIND</t>
        </is>
      </c>
      <c r="B265" s="31" t="inlineStr">
        <is>
          <t>Ramco Industries Limited</t>
        </is>
      </c>
      <c r="C265" s="31" t="inlineStr">
        <is>
          <t>building materials</t>
        </is>
      </c>
      <c r="D265" s="31" t="inlineStr">
        <is>
          <t>cement products</t>
        </is>
      </c>
      <c r="E265" s="31" t="inlineStr">
        <is>
          <t>smallcap</t>
        </is>
      </c>
      <c r="F265" s="31" t="n">
        <v>3069.41</v>
      </c>
      <c r="G265" s="31" t="n">
        <v>354.35</v>
      </c>
      <c r="H265" s="31" t="n">
        <v>0.25</v>
      </c>
      <c r="I265" s="31" t="n">
        <v>110451</v>
      </c>
      <c r="J265" s="31" t="inlineStr">
        <is>
          <t>532369</t>
        </is>
      </c>
    </row>
    <row r="266">
      <c r="A266" s="31" t="inlineStr">
        <is>
          <t>TECHM</t>
        </is>
      </c>
      <c r="B266" s="31" t="inlineStr">
        <is>
          <t>Tech Mahindra Limited</t>
        </is>
      </c>
      <c r="C266" s="31" t="inlineStr">
        <is>
          <t>i.t</t>
        </is>
      </c>
      <c r="D266" s="31" t="inlineStr">
        <is>
          <t>computers - software - large</t>
        </is>
      </c>
      <c r="E266" s="31" t="inlineStr">
        <is>
          <t>largecap</t>
        </is>
      </c>
      <c r="F266" s="31" t="n">
        <v>154119.23</v>
      </c>
      <c r="G266" s="31" t="n">
        <v>1576.4</v>
      </c>
      <c r="H266" s="31" t="n">
        <v>0.22</v>
      </c>
      <c r="I266" s="31" t="n">
        <v>2325177</v>
      </c>
      <c r="J266" s="31" t="inlineStr">
        <is>
          <t>532755</t>
        </is>
      </c>
    </row>
    <row r="267">
      <c r="A267" s="31" t="inlineStr">
        <is>
          <t>SUPRAJIT</t>
        </is>
      </c>
      <c r="B267" s="31" t="inlineStr">
        <is>
          <t>Suprajit Engineering Limited</t>
        </is>
      </c>
      <c r="C267" s="31" t="inlineStr">
        <is>
          <t>auto</t>
        </is>
      </c>
      <c r="D267" s="31" t="inlineStr">
        <is>
          <t>auto ancillaries</t>
        </is>
      </c>
      <c r="E267" s="31" t="inlineStr">
        <is>
          <t>midcap</t>
        </is>
      </c>
      <c r="F267" s="31" t="n">
        <v>6722.07</v>
      </c>
      <c r="G267" s="31" t="n">
        <v>491.15</v>
      </c>
      <c r="H267" s="31" t="n">
        <v>0.22</v>
      </c>
      <c r="I267" s="31" t="n">
        <v>38134</v>
      </c>
      <c r="J267" s="31" t="inlineStr">
        <is>
          <t>532509</t>
        </is>
      </c>
    </row>
    <row r="268">
      <c r="A268" s="31" t="inlineStr">
        <is>
          <t>KICL</t>
        </is>
      </c>
      <c r="B268" s="31" t="inlineStr">
        <is>
          <t>Kalyani Investment Company Limited</t>
        </is>
      </c>
      <c r="C268" s="31" t="inlineStr">
        <is>
          <t>financials</t>
        </is>
      </c>
      <c r="D268" s="31" t="inlineStr">
        <is>
          <t>finance &amp; investments</t>
        </is>
      </c>
      <c r="E268" s="31" t="inlineStr">
        <is>
          <t>smallcap</t>
        </is>
      </c>
      <c r="F268" s="31" t="n">
        <v>2408.99</v>
      </c>
      <c r="G268" s="31" t="n">
        <v>5529</v>
      </c>
      <c r="H268" s="31" t="n">
        <v>0.19</v>
      </c>
      <c r="I268" s="31" t="n">
        <v>2571</v>
      </c>
      <c r="J268" s="31" t="inlineStr">
        <is>
          <t>533302</t>
        </is>
      </c>
    </row>
    <row r="269">
      <c r="A269" s="31" t="inlineStr">
        <is>
          <t>SPORTKING</t>
        </is>
      </c>
      <c r="B269" s="31" t="inlineStr">
        <is>
          <t>Sportking India Ltd</t>
        </is>
      </c>
      <c r="C269" s="31" t="inlineStr">
        <is>
          <t>textiles</t>
        </is>
      </c>
      <c r="D269" s="31" t="inlineStr">
        <is>
          <t>textiles - spinning - synthetic / blended</t>
        </is>
      </c>
      <c r="E269" s="31" t="inlineStr">
        <is>
          <t>smallcap</t>
        </is>
      </c>
      <c r="F269" s="31" t="n">
        <v>2505.99</v>
      </c>
      <c r="G269" s="31" t="n">
        <v>197.55</v>
      </c>
      <c r="H269" s="31" t="n">
        <v>0.17</v>
      </c>
      <c r="I269" s="31" t="n">
        <v>205876</v>
      </c>
      <c r="J269" s="31" t="inlineStr">
        <is>
          <t>539221</t>
        </is>
      </c>
    </row>
    <row r="270">
      <c r="A270" s="31" t="inlineStr">
        <is>
          <t>RISHABH</t>
        </is>
      </c>
      <c r="B270" s="31" t="inlineStr">
        <is>
          <t>Rishabh Instruments Ltd</t>
        </is>
      </c>
      <c r="C270" s="31" t="inlineStr">
        <is>
          <t>industrials</t>
        </is>
      </c>
      <c r="D270" s="31" t="inlineStr">
        <is>
          <t>electric equipment</t>
        </is>
      </c>
      <c r="E270" s="31" t="inlineStr">
        <is>
          <t>smallcap</t>
        </is>
      </c>
      <c r="F270" s="31" t="n">
        <v>2529</v>
      </c>
      <c r="G270" s="31" t="n">
        <v>657.15</v>
      </c>
      <c r="H270" s="31" t="n">
        <v>0.16</v>
      </c>
      <c r="I270" s="31" t="n">
        <v>803716</v>
      </c>
      <c r="J270" s="31" t="inlineStr">
        <is>
          <t>543977</t>
        </is>
      </c>
    </row>
    <row r="271">
      <c r="A271" s="31" t="inlineStr">
        <is>
          <t>CUB</t>
        </is>
      </c>
      <c r="B271" s="31" t="inlineStr">
        <is>
          <t>City Union Bank Limited</t>
        </is>
      </c>
      <c r="C271" s="31" t="inlineStr">
        <is>
          <t>bank</t>
        </is>
      </c>
      <c r="D271" s="31" t="inlineStr">
        <is>
          <t>banks - private sector</t>
        </is>
      </c>
      <c r="E271" s="31" t="inlineStr">
        <is>
          <t>midcap</t>
        </is>
      </c>
      <c r="F271" s="31" t="n">
        <v>16691.07</v>
      </c>
      <c r="G271" s="31" t="n">
        <v>224.98</v>
      </c>
      <c r="H271" s="31" t="n">
        <v>0.16</v>
      </c>
      <c r="I271" s="31" t="n">
        <v>1092046</v>
      </c>
      <c r="J271" s="31" t="inlineStr">
        <is>
          <t>532210</t>
        </is>
      </c>
    </row>
    <row r="272">
      <c r="A272" s="31" t="inlineStr">
        <is>
          <t>ABB</t>
        </is>
      </c>
      <c r="B272" s="31" t="inlineStr">
        <is>
          <t>Abb India Limited</t>
        </is>
      </c>
      <c r="C272" s="31" t="inlineStr">
        <is>
          <t>industrials</t>
        </is>
      </c>
      <c r="D272" s="31" t="inlineStr">
        <is>
          <t>electric equipment</t>
        </is>
      </c>
      <c r="E272" s="31" t="inlineStr">
        <is>
          <t>largecap</t>
        </is>
      </c>
      <c r="F272" s="31" t="n">
        <v>159058.43</v>
      </c>
      <c r="G272" s="31" t="n">
        <v>7517</v>
      </c>
      <c r="H272" s="31" t="n">
        <v>0.15</v>
      </c>
      <c r="I272" s="31" t="n">
        <v>272955</v>
      </c>
      <c r="J272" s="31" t="inlineStr">
        <is>
          <t>500002</t>
        </is>
      </c>
    </row>
    <row r="273">
      <c r="A273" s="31" t="inlineStr">
        <is>
          <t>NYKAA</t>
        </is>
      </c>
      <c r="B273" s="31" t="inlineStr">
        <is>
          <t>FSN E-Commerce Ventures Ltd</t>
        </is>
      </c>
      <c r="C273" s="31" t="inlineStr">
        <is>
          <t>i.t</t>
        </is>
      </c>
      <c r="D273" s="31" t="inlineStr">
        <is>
          <t>trading</t>
        </is>
      </c>
      <c r="E273" s="31" t="inlineStr">
        <is>
          <t>largecap</t>
        </is>
      </c>
      <c r="F273" s="31" t="n">
        <v>92496.56</v>
      </c>
      <c r="G273" s="31" t="n">
        <v>323.5</v>
      </c>
      <c r="H273" s="31" t="n">
        <v>0.14</v>
      </c>
      <c r="I273" s="31" t="n">
        <v>5976462</v>
      </c>
      <c r="J273" s="31" t="inlineStr">
        <is>
          <t>543384</t>
        </is>
      </c>
    </row>
    <row r="274">
      <c r="A274" s="31" t="inlineStr">
        <is>
          <t>SKMEGGPROD</t>
        </is>
      </c>
      <c r="B274" s="31" t="inlineStr">
        <is>
          <t>Skm Egg Products Export (india) Limited</t>
        </is>
      </c>
      <c r="C274" s="31" t="inlineStr">
        <is>
          <t>fmcg</t>
        </is>
      </c>
      <c r="D274" s="31" t="inlineStr">
        <is>
          <t>food - processing - indian</t>
        </is>
      </c>
      <c r="E274" s="31" t="inlineStr">
        <is>
          <t>smallcap</t>
        </is>
      </c>
      <c r="F274" s="31" t="n">
        <v>1679.59</v>
      </c>
      <c r="G274" s="31" t="n">
        <v>319.35</v>
      </c>
      <c r="H274" s="31" t="n">
        <v>0.13</v>
      </c>
      <c r="I274" s="31" t="n">
        <v>273440</v>
      </c>
      <c r="J274" s="31" t="inlineStr">
        <is>
          <t>532143</t>
        </is>
      </c>
    </row>
    <row r="275">
      <c r="A275" s="31" t="inlineStr">
        <is>
          <t>JUBLPHARMA</t>
        </is>
      </c>
      <c r="B275" s="31" t="inlineStr">
        <is>
          <t>Jubilant Pharmova Ltd</t>
        </is>
      </c>
      <c r="C275" s="31" t="inlineStr">
        <is>
          <t>healthcare</t>
        </is>
      </c>
      <c r="D275" s="31" t="inlineStr">
        <is>
          <t>pharmaceuticals - indian - bulk drugs</t>
        </is>
      </c>
      <c r="E275" s="31" t="inlineStr">
        <is>
          <t>midcap</t>
        </is>
      </c>
      <c r="F275" s="31" t="n">
        <v>16288.09</v>
      </c>
      <c r="G275" s="31" t="n">
        <v>1023.85</v>
      </c>
      <c r="H275" s="31" t="n">
        <v>0.12</v>
      </c>
      <c r="I275" s="31" t="n">
        <v>78898</v>
      </c>
      <c r="J275" s="31" t="inlineStr">
        <is>
          <t>530019</t>
        </is>
      </c>
    </row>
    <row r="276">
      <c r="A276" s="31" t="inlineStr">
        <is>
          <t>TITAN</t>
        </is>
      </c>
      <c r="B276" s="31" t="inlineStr">
        <is>
          <t>Titan Company Limited</t>
        </is>
      </c>
      <c r="C276" s="31" t="inlineStr">
        <is>
          <t>consumer discretionary</t>
        </is>
      </c>
      <c r="D276" s="31" t="inlineStr">
        <is>
          <t>diamond cutting / jewellery</t>
        </is>
      </c>
      <c r="E276" s="31" t="inlineStr">
        <is>
          <t>largecap</t>
        </is>
      </c>
      <c r="F276" s="31" t="n">
        <v>411764.1</v>
      </c>
      <c r="G276" s="31" t="n">
        <v>4643.4</v>
      </c>
      <c r="H276" s="31" t="n">
        <v>0.11</v>
      </c>
      <c r="I276" s="31" t="n">
        <v>274218</v>
      </c>
      <c r="J276" s="31" t="inlineStr">
        <is>
          <t>500114</t>
        </is>
      </c>
    </row>
    <row r="277">
      <c r="A277" s="31" t="inlineStr">
        <is>
          <t>KSL</t>
        </is>
      </c>
      <c r="B277" s="31" t="inlineStr">
        <is>
          <t>Kalyani Steels Limited</t>
        </is>
      </c>
      <c r="C277" s="31" t="inlineStr">
        <is>
          <t>metals &amp; mining</t>
        </is>
      </c>
      <c r="D277" s="31" t="inlineStr">
        <is>
          <t>steel - medium / small</t>
        </is>
      </c>
      <c r="E277" s="31" t="inlineStr">
        <is>
          <t>smallcap</t>
        </is>
      </c>
      <c r="F277" s="31" t="n">
        <v>4042.49</v>
      </c>
      <c r="G277" s="31" t="n">
        <v>927</v>
      </c>
      <c r="H277" s="31" t="n">
        <v>0.1</v>
      </c>
      <c r="I277" s="31" t="n">
        <v>24716</v>
      </c>
      <c r="J277" s="31" t="inlineStr">
        <is>
          <t>500235</t>
        </is>
      </c>
    </row>
    <row r="278">
      <c r="A278" s="31" t="inlineStr">
        <is>
          <t>EPL</t>
        </is>
      </c>
      <c r="B278" s="31" t="inlineStr">
        <is>
          <t>EPL Ltd</t>
        </is>
      </c>
      <c r="C278" s="31" t="inlineStr">
        <is>
          <t>industrials</t>
        </is>
      </c>
      <c r="D278" s="31" t="inlineStr">
        <is>
          <t>packaging</t>
        </is>
      </c>
      <c r="E278" s="31" t="inlineStr">
        <is>
          <t>midcap</t>
        </is>
      </c>
      <c r="F278" s="31" t="n">
        <v>7670.58</v>
      </c>
      <c r="G278" s="31" t="n">
        <v>239.75</v>
      </c>
      <c r="H278" s="31" t="n">
        <v>0.1</v>
      </c>
      <c r="I278" s="31" t="n">
        <v>446989</v>
      </c>
      <c r="J278" s="31" t="inlineStr">
        <is>
          <t>500135</t>
        </is>
      </c>
    </row>
    <row r="279">
      <c r="A279" s="31" t="inlineStr">
        <is>
          <t>FUSION</t>
        </is>
      </c>
      <c r="B279" s="31" t="inlineStr">
        <is>
          <t>Fusion Micro Finance Ltd</t>
        </is>
      </c>
      <c r="C279" s="31" t="inlineStr">
        <is>
          <t>financials</t>
        </is>
      </c>
      <c r="D279" s="31" t="inlineStr">
        <is>
          <t>finance &amp; investments</t>
        </is>
      </c>
      <c r="E279" s="31" t="inlineStr">
        <is>
          <t>smallcap</t>
        </is>
      </c>
      <c r="F279" s="31" t="n">
        <v>3661.28</v>
      </c>
      <c r="G279" s="31" t="n">
        <v>225.98</v>
      </c>
      <c r="H279" s="31" t="n">
        <v>0.04</v>
      </c>
      <c r="I279" s="31" t="n">
        <v>390640</v>
      </c>
      <c r="J279" s="31" t="inlineStr">
        <is>
          <t>543652</t>
        </is>
      </c>
    </row>
    <row r="280">
      <c r="A280" s="31" t="inlineStr">
        <is>
          <t>PREMIERENE</t>
        </is>
      </c>
      <c r="B280" s="31" t="inlineStr">
        <is>
          <t>Premier Energies Ltd</t>
        </is>
      </c>
      <c r="C280" s="31" t="inlineStr">
        <is>
          <t>services</t>
        </is>
      </c>
      <c r="D280" s="31" t="inlineStr">
        <is>
          <t>trading</t>
        </is>
      </c>
      <c r="E280" s="31" t="inlineStr">
        <is>
          <t>largecap</t>
        </is>
      </c>
      <c r="F280" s="31" t="n">
        <v>49204.25</v>
      </c>
      <c r="G280" s="31" t="n">
        <v>1086.4</v>
      </c>
      <c r="H280" s="31" t="n">
        <v>0.02</v>
      </c>
      <c r="I280" s="31" t="n">
        <v>2526545</v>
      </c>
      <c r="J280" s="31" t="n"/>
    </row>
    <row r="281">
      <c r="A281" s="31" t="inlineStr">
        <is>
          <t>CIEINDIA</t>
        </is>
      </c>
      <c r="B281" s="31" t="inlineStr">
        <is>
          <t>CIE Automotive India Ltd</t>
        </is>
      </c>
      <c r="C281" s="31" t="inlineStr">
        <is>
          <t>industrials</t>
        </is>
      </c>
      <c r="D281" s="31" t="inlineStr">
        <is>
          <t>castings &amp; forgings</t>
        </is>
      </c>
      <c r="E281" s="31" t="inlineStr">
        <is>
          <t>midcap</t>
        </is>
      </c>
      <c r="F281" s="31" t="n">
        <v>17970.4</v>
      </c>
      <c r="G281" s="31" t="n">
        <v>473.8</v>
      </c>
      <c r="H281" s="31" t="n">
        <v>0.02</v>
      </c>
      <c r="I281" s="31" t="n">
        <v>333080</v>
      </c>
      <c r="J281" s="31" t="inlineStr">
        <is>
          <t>532756</t>
        </is>
      </c>
    </row>
    <row r="282">
      <c r="A282" s="31" t="inlineStr">
        <is>
          <t>PANACHE</t>
        </is>
      </c>
      <c r="B282" s="31" t="inlineStr">
        <is>
          <t>Panache Digilife Ltd</t>
        </is>
      </c>
      <c r="C282" s="31" t="inlineStr">
        <is>
          <t>i.t</t>
        </is>
      </c>
      <c r="D282" s="31" t="inlineStr">
        <is>
          <t>computers - hardware</t>
        </is>
      </c>
      <c r="E282" s="31" t="inlineStr">
        <is>
          <t>smallcap</t>
        </is>
      </c>
      <c r="F282" s="31" t="n">
        <v>690.2</v>
      </c>
      <c r="G282" s="31" t="n">
        <v>431</v>
      </c>
      <c r="H282" s="31" t="n">
        <v>0</v>
      </c>
      <c r="I282" s="31" t="n">
        <v>23501</v>
      </c>
      <c r="J282" s="31" t="inlineStr">
        <is>
          <t>538424</t>
        </is>
      </c>
    </row>
    <row r="283">
      <c r="A283" s="31" t="inlineStr">
        <is>
          <t>EICHERMOT</t>
        </is>
      </c>
      <c r="B283" s="31" t="inlineStr">
        <is>
          <t>Eicher Motors Limited</t>
        </is>
      </c>
      <c r="C283" s="31" t="inlineStr">
        <is>
          <t>auto</t>
        </is>
      </c>
      <c r="D283" s="31" t="inlineStr">
        <is>
          <t>automobiles - motorcycles / mopeds</t>
        </is>
      </c>
      <c r="E283" s="31" t="inlineStr">
        <is>
          <t>largecap</t>
        </is>
      </c>
      <c r="F283" s="31" t="n">
        <v>207477.55</v>
      </c>
      <c r="G283" s="31" t="n">
        <v>7563.5</v>
      </c>
      <c r="H283" s="31" t="n">
        <v>0</v>
      </c>
      <c r="I283" s="31" t="n">
        <v>266361</v>
      </c>
      <c r="J283" s="31" t="inlineStr">
        <is>
          <t>505200</t>
        </is>
      </c>
    </row>
    <row r="284">
      <c r="A284" s="31" t="inlineStr">
        <is>
          <t>PANACEABIO</t>
        </is>
      </c>
      <c r="B284" s="31" t="inlineStr">
        <is>
          <t>Panacea Biotec Limited</t>
        </is>
      </c>
      <c r="C284" s="31" t="inlineStr">
        <is>
          <t>healthcare</t>
        </is>
      </c>
      <c r="D284" s="31" t="inlineStr">
        <is>
          <t>pharmaceuticals - indian - bulk drugs &amp; formln</t>
        </is>
      </c>
      <c r="E284" s="31" t="inlineStr">
        <is>
          <t>smallcap</t>
        </is>
      </c>
      <c r="F284" s="31" t="n">
        <v>3361.75</v>
      </c>
      <c r="G284" s="31" t="n">
        <v>548.85</v>
      </c>
      <c r="H284" s="31" t="n">
        <v>0</v>
      </c>
      <c r="I284" s="31" t="n">
        <v>111258</v>
      </c>
      <c r="J284" s="31" t="inlineStr">
        <is>
          <t>531349</t>
        </is>
      </c>
    </row>
    <row r="285">
      <c r="A285" s="31" t="inlineStr">
        <is>
          <t>PRIVISCL</t>
        </is>
      </c>
      <c r="B285" s="31" t="inlineStr">
        <is>
          <t>Privi Speciality Chemicals Ltd</t>
        </is>
      </c>
      <c r="C285" s="31" t="inlineStr">
        <is>
          <t>chemicals</t>
        </is>
      </c>
      <c r="D285" s="31" t="inlineStr">
        <is>
          <t>chemicals</t>
        </is>
      </c>
      <c r="E285" s="31" t="inlineStr">
        <is>
          <t>midcap</t>
        </is>
      </c>
      <c r="F285" s="31" t="n">
        <v>14361.4</v>
      </c>
      <c r="G285" s="31" t="n">
        <v>3675.6</v>
      </c>
      <c r="H285" s="31" t="n">
        <v>-0.02</v>
      </c>
      <c r="I285" s="31" t="n">
        <v>28136</v>
      </c>
      <c r="J285" s="31" t="inlineStr">
        <is>
          <t>530117</t>
        </is>
      </c>
    </row>
    <row r="286">
      <c r="A286" s="31" t="inlineStr">
        <is>
          <t>INDIASHLTR</t>
        </is>
      </c>
      <c r="B286" s="31" t="inlineStr">
        <is>
          <t>India Shelter Finance Corporation Ltd</t>
        </is>
      </c>
      <c r="C286" s="31" t="inlineStr">
        <is>
          <t>financials</t>
        </is>
      </c>
      <c r="D286" s="31" t="inlineStr">
        <is>
          <t>finance - housing</t>
        </is>
      </c>
      <c r="E286" s="31" t="inlineStr">
        <is>
          <t>midcap</t>
        </is>
      </c>
      <c r="F286" s="31" t="n">
        <v>8867.620000000001</v>
      </c>
      <c r="G286" s="31" t="n">
        <v>815.15</v>
      </c>
      <c r="H286" s="31" t="n">
        <v>-0.02</v>
      </c>
      <c r="I286" s="31" t="n">
        <v>153480</v>
      </c>
      <c r="J286" s="31" t="inlineStr">
        <is>
          <t>544044</t>
        </is>
      </c>
    </row>
    <row r="287">
      <c r="A287" s="31" t="inlineStr">
        <is>
          <t>PAYTM</t>
        </is>
      </c>
      <c r="B287" s="31" t="inlineStr">
        <is>
          <t>One 97 Communications Ltd</t>
        </is>
      </c>
      <c r="C287" s="31" t="inlineStr">
        <is>
          <t>i.t</t>
        </is>
      </c>
      <c r="D287" s="31" t="inlineStr">
        <is>
          <t>miscellaneous</t>
        </is>
      </c>
      <c r="E287" s="31" t="inlineStr">
        <is>
          <t>largecap</t>
        </is>
      </c>
      <c r="F287" s="31" t="n">
        <v>86317.42999999999</v>
      </c>
      <c r="G287" s="31" t="n">
        <v>1347.5</v>
      </c>
      <c r="H287" s="31" t="n">
        <v>-0.04</v>
      </c>
      <c r="I287" s="31" t="n">
        <v>2401684</v>
      </c>
      <c r="J287" s="31" t="inlineStr">
        <is>
          <t>543396</t>
        </is>
      </c>
    </row>
    <row r="288">
      <c r="A288" s="31" t="inlineStr">
        <is>
          <t>CENTUM</t>
        </is>
      </c>
      <c r="B288" s="31" t="inlineStr">
        <is>
          <t>Centum Electronics Limited</t>
        </is>
      </c>
      <c r="C288" s="31" t="inlineStr">
        <is>
          <t>consumer discretionary</t>
        </is>
      </c>
      <c r="D288" s="31" t="inlineStr">
        <is>
          <t>electronics - components</t>
        </is>
      </c>
      <c r="E288" s="31" t="inlineStr">
        <is>
          <t>midcap</t>
        </is>
      </c>
      <c r="F288" s="31" t="n">
        <v>5477.66</v>
      </c>
      <c r="G288" s="31" t="n">
        <v>3710</v>
      </c>
      <c r="H288" s="31" t="n">
        <v>-0.04</v>
      </c>
      <c r="I288" s="31" t="n">
        <v>18076</v>
      </c>
      <c r="J288" s="31" t="inlineStr">
        <is>
          <t>517544</t>
        </is>
      </c>
    </row>
    <row r="289">
      <c r="A289" s="31" t="inlineStr">
        <is>
          <t>HITECHCORP</t>
        </is>
      </c>
      <c r="B289" s="31" t="inlineStr">
        <is>
          <t>Hitech Corporation</t>
        </is>
      </c>
      <c r="C289" s="31" t="inlineStr">
        <is>
          <t>industrials</t>
        </is>
      </c>
      <c r="D289" s="31" t="inlineStr">
        <is>
          <t>packaging</t>
        </is>
      </c>
      <c r="E289" s="31" t="inlineStr">
        <is>
          <t>smallcap</t>
        </is>
      </c>
      <c r="F289" s="31" t="n">
        <v>553.4</v>
      </c>
      <c r="G289" s="31" t="n">
        <v>322.05</v>
      </c>
      <c r="H289" s="31" t="n">
        <v>-0.05</v>
      </c>
      <c r="I289" s="31" t="n">
        <v>6093</v>
      </c>
      <c r="J289" s="31" t="inlineStr">
        <is>
          <t>526217</t>
        </is>
      </c>
    </row>
    <row r="290">
      <c r="A290" s="31" t="inlineStr">
        <is>
          <t>TEXINFRA</t>
        </is>
      </c>
      <c r="B290" s="31" t="inlineStr">
        <is>
          <t>Texmaco Infrastructure &amp; Holdings Limited</t>
        </is>
      </c>
      <c r="C290" s="31" t="inlineStr">
        <is>
          <t>realty</t>
        </is>
      </c>
      <c r="D290" s="31" t="inlineStr">
        <is>
          <t>construction</t>
        </is>
      </c>
      <c r="E290" s="31" t="inlineStr">
        <is>
          <t>smallcap</t>
        </is>
      </c>
      <c r="F290" s="31" t="n">
        <v>1447.06</v>
      </c>
      <c r="G290" s="31" t="n">
        <v>113.5</v>
      </c>
      <c r="H290" s="31" t="n">
        <v>-0.05</v>
      </c>
      <c r="I290" s="31" t="n">
        <v>85549</v>
      </c>
      <c r="J290" s="31" t="inlineStr">
        <is>
          <t>505400</t>
        </is>
      </c>
    </row>
    <row r="291">
      <c r="A291" s="31" t="inlineStr">
        <is>
          <t>MARKSANS</t>
        </is>
      </c>
      <c r="B291" s="31" t="inlineStr">
        <is>
          <t>Marksans Pharma Limited</t>
        </is>
      </c>
      <c r="C291" s="31" t="inlineStr">
        <is>
          <t>healthcare</t>
        </is>
      </c>
      <c r="D291" s="31" t="inlineStr">
        <is>
          <t>pharmaceuticals - indian - formulations</t>
        </is>
      </c>
      <c r="E291" s="31" t="inlineStr">
        <is>
          <t>midcap</t>
        </is>
      </c>
      <c r="F291" s="31" t="n">
        <v>12104</v>
      </c>
      <c r="G291" s="31" t="n">
        <v>266.95</v>
      </c>
      <c r="H291" s="31" t="n">
        <v>-0.06</v>
      </c>
      <c r="I291" s="31" t="n">
        <v>755907</v>
      </c>
      <c r="J291" s="31" t="inlineStr">
        <is>
          <t>524404</t>
        </is>
      </c>
    </row>
    <row r="292">
      <c r="A292" s="31" t="inlineStr">
        <is>
          <t>SBC</t>
        </is>
      </c>
      <c r="B292" s="31" t="inlineStr">
        <is>
          <t>SBC Exports Ltd</t>
        </is>
      </c>
      <c r="C292" s="31" t="inlineStr">
        <is>
          <t>textiles</t>
        </is>
      </c>
      <c r="D292" s="31" t="inlineStr">
        <is>
          <t>textiles - products</t>
        </is>
      </c>
      <c r="E292" s="31" t="inlineStr">
        <is>
          <t>smallcap</t>
        </is>
      </c>
      <c r="F292" s="31" t="n">
        <v>2012.86</v>
      </c>
      <c r="G292" s="31" t="n">
        <v>42.24</v>
      </c>
      <c r="H292" s="31" t="n">
        <v>-0.07000000000000001</v>
      </c>
      <c r="I292" s="31" t="n">
        <v>4992711</v>
      </c>
      <c r="J292" s="31" t="inlineStr">
        <is>
          <t>542725</t>
        </is>
      </c>
    </row>
    <row r="293">
      <c r="A293" s="31" t="inlineStr">
        <is>
          <t>SFL</t>
        </is>
      </c>
      <c r="B293" s="31" t="inlineStr">
        <is>
          <t>Sheela Foam Limited</t>
        </is>
      </c>
      <c r="C293" s="31" t="inlineStr">
        <is>
          <t>consumer discretionary</t>
        </is>
      </c>
      <c r="D293" s="31" t="inlineStr">
        <is>
          <t>miscellaneous</t>
        </is>
      </c>
      <c r="E293" s="31" t="inlineStr">
        <is>
          <t>midcap</t>
        </is>
      </c>
      <c r="F293" s="31" t="n">
        <v>8273.98</v>
      </c>
      <c r="G293" s="31" t="n">
        <v>760.55</v>
      </c>
      <c r="H293" s="31" t="n">
        <v>-0.07000000000000001</v>
      </c>
      <c r="I293" s="31" t="n">
        <v>177865</v>
      </c>
      <c r="J293" s="31" t="inlineStr">
        <is>
          <t>540203</t>
        </is>
      </c>
    </row>
    <row r="294">
      <c r="A294" s="31" t="inlineStr">
        <is>
          <t>RAINBOW</t>
        </is>
      </c>
      <c r="B294" s="31" t="inlineStr">
        <is>
          <t>Rainbow Childrens Medicare Ltd</t>
        </is>
      </c>
      <c r="C294" s="31" t="inlineStr">
        <is>
          <t>healthcare</t>
        </is>
      </c>
      <c r="D294" s="31" t="inlineStr">
        <is>
          <t>healthcare</t>
        </is>
      </c>
      <c r="E294" s="31" t="inlineStr">
        <is>
          <t>midcap</t>
        </is>
      </c>
      <c r="F294" s="31" t="n">
        <v>15166.84</v>
      </c>
      <c r="G294" s="31" t="n">
        <v>1492.3</v>
      </c>
      <c r="H294" s="31" t="n">
        <v>-0.07000000000000001</v>
      </c>
      <c r="I294" s="31" t="n">
        <v>49695</v>
      </c>
      <c r="J294" s="31" t="inlineStr">
        <is>
          <t>543524</t>
        </is>
      </c>
    </row>
    <row r="295">
      <c r="A295" s="31" t="inlineStr">
        <is>
          <t>MAHLIFE</t>
        </is>
      </c>
      <c r="B295" s="31" t="inlineStr">
        <is>
          <t>Mahindra Lifespace Developers Limited</t>
        </is>
      </c>
      <c r="C295" s="31" t="inlineStr">
        <is>
          <t>realty</t>
        </is>
      </c>
      <c r="D295" s="31" t="inlineStr">
        <is>
          <t>construction</t>
        </is>
      </c>
      <c r="E295" s="31" t="inlineStr">
        <is>
          <t>midcap</t>
        </is>
      </c>
      <c r="F295" s="31" t="n">
        <v>7968.35</v>
      </c>
      <c r="G295" s="31" t="n">
        <v>373.2</v>
      </c>
      <c r="H295" s="31" t="n">
        <v>-0.08</v>
      </c>
      <c r="I295" s="31" t="n">
        <v>61321</v>
      </c>
      <c r="J295" s="31" t="inlineStr">
        <is>
          <t>532313</t>
        </is>
      </c>
    </row>
    <row r="296">
      <c r="A296" s="31" t="inlineStr">
        <is>
          <t>SRF</t>
        </is>
      </c>
      <c r="B296" s="31" t="inlineStr">
        <is>
          <t>Srf Limited</t>
        </is>
      </c>
      <c r="C296" s="31" t="inlineStr">
        <is>
          <t>chemicals</t>
        </is>
      </c>
      <c r="D296" s="31" t="inlineStr">
        <is>
          <t>chemicals</t>
        </is>
      </c>
      <c r="E296" s="31" t="inlineStr">
        <is>
          <t>largecap</t>
        </is>
      </c>
      <c r="F296" s="31" t="n">
        <v>85213.24000000001</v>
      </c>
      <c r="G296" s="31" t="n">
        <v>2871.7</v>
      </c>
      <c r="H296" s="31" t="n">
        <v>-0.1</v>
      </c>
      <c r="I296" s="31" t="n">
        <v>302818</v>
      </c>
      <c r="J296" s="31" t="inlineStr">
        <is>
          <t>503806</t>
        </is>
      </c>
    </row>
    <row r="297">
      <c r="A297" s="31" t="inlineStr">
        <is>
          <t>ABCAPITAL</t>
        </is>
      </c>
      <c r="B297" s="31" t="inlineStr">
        <is>
          <t>Aditya Birla Capital Ltd</t>
        </is>
      </c>
      <c r="C297" s="31" t="inlineStr">
        <is>
          <t>financials</t>
        </is>
      </c>
      <c r="D297" s="31" t="inlineStr">
        <is>
          <t>finance &amp; investments</t>
        </is>
      </c>
      <c r="E297" s="31" t="inlineStr">
        <is>
          <t>largecap</t>
        </is>
      </c>
      <c r="F297" s="31" t="n">
        <v>109792.05</v>
      </c>
      <c r="G297" s="31" t="n">
        <v>401.15</v>
      </c>
      <c r="H297" s="31" t="n">
        <v>-0.1</v>
      </c>
      <c r="I297" s="31" t="n">
        <v>2089008</v>
      </c>
      <c r="J297" s="31" t="inlineStr">
        <is>
          <t>540691</t>
        </is>
      </c>
    </row>
    <row r="298">
      <c r="A298" s="31" t="inlineStr">
        <is>
          <t>WELENT</t>
        </is>
      </c>
      <c r="B298" s="31" t="inlineStr">
        <is>
          <t>Welspun Enterprises Limited</t>
        </is>
      </c>
      <c r="C298" s="31" t="inlineStr">
        <is>
          <t>realty</t>
        </is>
      </c>
      <c r="D298" s="31" t="inlineStr">
        <is>
          <t>construction</t>
        </is>
      </c>
      <c r="E298" s="31" t="inlineStr">
        <is>
          <t>midcap</t>
        </is>
      </c>
      <c r="F298" s="31" t="n">
        <v>8668.860000000001</v>
      </c>
      <c r="G298" s="31" t="n">
        <v>625.55</v>
      </c>
      <c r="H298" s="31" t="n">
        <v>-0.12</v>
      </c>
      <c r="I298" s="31" t="n">
        <v>65725</v>
      </c>
      <c r="J298" s="31" t="inlineStr">
        <is>
          <t>532553</t>
        </is>
      </c>
    </row>
    <row r="299">
      <c r="A299" s="31" t="inlineStr">
        <is>
          <t>CENTURYPLY</t>
        </is>
      </c>
      <c r="B299" s="31" t="inlineStr">
        <is>
          <t>Century Plyboards (india) Limited</t>
        </is>
      </c>
      <c r="C299" s="31" t="inlineStr">
        <is>
          <t>building materials</t>
        </is>
      </c>
      <c r="D299" s="31" t="inlineStr">
        <is>
          <t>miscellaneous</t>
        </is>
      </c>
      <c r="E299" s="31" t="inlineStr">
        <is>
          <t>midcap</t>
        </is>
      </c>
      <c r="F299" s="31" t="n">
        <v>17686.08</v>
      </c>
      <c r="G299" s="31" t="n">
        <v>795</v>
      </c>
      <c r="H299" s="31" t="n">
        <v>-0.13</v>
      </c>
      <c r="I299" s="31" t="n">
        <v>58651</v>
      </c>
      <c r="J299" s="31" t="inlineStr">
        <is>
          <t>532548</t>
        </is>
      </c>
    </row>
    <row r="300">
      <c r="A300" s="31" t="inlineStr">
        <is>
          <t>PNBHOUSING</t>
        </is>
      </c>
      <c r="B300" s="31" t="inlineStr">
        <is>
          <t>Pnb Housing Finance Limited</t>
        </is>
      </c>
      <c r="C300" s="31" t="inlineStr">
        <is>
          <t>financials</t>
        </is>
      </c>
      <c r="D300" s="31" t="inlineStr">
        <is>
          <t>finance - housing</t>
        </is>
      </c>
      <c r="E300" s="31" t="inlineStr">
        <is>
          <t>largecap</t>
        </is>
      </c>
      <c r="F300" s="31" t="n">
        <v>28650.73</v>
      </c>
      <c r="G300" s="31" t="n">
        <v>1098.4</v>
      </c>
      <c r="H300" s="31" t="n">
        <v>-0.13</v>
      </c>
      <c r="I300" s="31" t="n">
        <v>653245</v>
      </c>
      <c r="J300" s="31" t="inlineStr">
        <is>
          <t>540173</t>
        </is>
      </c>
    </row>
    <row r="301">
      <c r="A301" s="31" t="inlineStr">
        <is>
          <t>AJAXENGG</t>
        </is>
      </c>
      <c r="B301" s="31" t="inlineStr">
        <is>
          <t>Ajax Engineering Ltd</t>
        </is>
      </c>
      <c r="C301" s="31" t="inlineStr">
        <is>
          <t>industrials</t>
        </is>
      </c>
      <c r="D301" s="31" t="inlineStr">
        <is>
          <t>engineering</t>
        </is>
      </c>
      <c r="E301" s="31" t="inlineStr">
        <is>
          <t>midcap</t>
        </is>
      </c>
      <c r="F301" s="31" t="n">
        <v>6803.77</v>
      </c>
      <c r="G301" s="31" t="n">
        <v>593.85</v>
      </c>
      <c r="H301" s="31" t="n">
        <v>-0.14</v>
      </c>
      <c r="I301" s="31" t="n">
        <v>39720</v>
      </c>
      <c r="J301" s="31" t="inlineStr">
        <is>
          <t>544356</t>
        </is>
      </c>
    </row>
    <row r="302">
      <c r="A302" s="31" t="inlineStr">
        <is>
          <t>LODHA</t>
        </is>
      </c>
      <c r="B302" s="31" t="inlineStr">
        <is>
          <t>Lodha Developers Ltd</t>
        </is>
      </c>
      <c r="C302" s="31" t="inlineStr">
        <is>
          <t>realty</t>
        </is>
      </c>
      <c r="D302" s="31" t="inlineStr">
        <is>
          <t>construction</t>
        </is>
      </c>
      <c r="E302" s="31" t="inlineStr">
        <is>
          <t>largecap</t>
        </is>
      </c>
      <c r="F302" s="31" t="n">
        <v>118746.03</v>
      </c>
      <c r="G302" s="31" t="n">
        <v>1187</v>
      </c>
      <c r="H302" s="31" t="n">
        <v>-0.15</v>
      </c>
      <c r="I302" s="31" t="n">
        <v>899790</v>
      </c>
      <c r="J302" s="31" t="inlineStr">
        <is>
          <t>543287</t>
        </is>
      </c>
    </row>
    <row r="303">
      <c r="A303" s="31" t="inlineStr">
        <is>
          <t>BIOCON</t>
        </is>
      </c>
      <c r="B303" s="31" t="inlineStr">
        <is>
          <t>Biocon Limited</t>
        </is>
      </c>
      <c r="C303" s="31" t="inlineStr">
        <is>
          <t>healthcare</t>
        </is>
      </c>
      <c r="D303" s="31" t="inlineStr">
        <is>
          <t>pharmaceuticals - indian - bulk drugs &amp; formln</t>
        </is>
      </c>
      <c r="E303" s="31" t="inlineStr">
        <is>
          <t>largecap</t>
        </is>
      </c>
      <c r="F303" s="31" t="n">
        <v>71250.23</v>
      </c>
      <c r="G303" s="31" t="n">
        <v>436.5</v>
      </c>
      <c r="H303" s="31" t="n">
        <v>-0.16</v>
      </c>
      <c r="I303" s="31" t="n">
        <v>3615785</v>
      </c>
      <c r="J303" s="31" t="inlineStr">
        <is>
          <t>532523</t>
        </is>
      </c>
    </row>
    <row r="304">
      <c r="A304" s="31" t="inlineStr">
        <is>
          <t>XPROINDIA</t>
        </is>
      </c>
      <c r="B304" s="31" t="inlineStr">
        <is>
          <t>Xpro India Limited</t>
        </is>
      </c>
      <c r="C304" s="31" t="inlineStr">
        <is>
          <t>industrials</t>
        </is>
      </c>
      <c r="D304" s="31" t="inlineStr">
        <is>
          <t>packaging</t>
        </is>
      </c>
      <c r="E304" s="31" t="inlineStr">
        <is>
          <t>smallcap</t>
        </is>
      </c>
      <c r="F304" s="31" t="n">
        <v>3279.52</v>
      </c>
      <c r="G304" s="31" t="n">
        <v>1395</v>
      </c>
      <c r="H304" s="31" t="n">
        <v>-0.16</v>
      </c>
      <c r="I304" s="31" t="n">
        <v>20286</v>
      </c>
      <c r="J304" s="31" t="inlineStr">
        <is>
          <t>590013</t>
        </is>
      </c>
    </row>
    <row r="305">
      <c r="A305" s="31" t="inlineStr">
        <is>
          <t>RATEGAIN</t>
        </is>
      </c>
      <c r="B305" s="31" t="inlineStr">
        <is>
          <t>Rategain Travel Technologies Ltd</t>
        </is>
      </c>
      <c r="C305" s="31" t="inlineStr">
        <is>
          <t>i.t</t>
        </is>
      </c>
      <c r="D305" s="31" t="inlineStr">
        <is>
          <t>computers - software - medium / small</t>
        </is>
      </c>
      <c r="E305" s="31" t="inlineStr">
        <is>
          <t>midcap</t>
        </is>
      </c>
      <c r="F305" s="31" t="n">
        <v>11233.99</v>
      </c>
      <c r="G305" s="31" t="n">
        <v>949</v>
      </c>
      <c r="H305" s="31" t="n">
        <v>-0.18</v>
      </c>
      <c r="I305" s="31" t="n">
        <v>248900</v>
      </c>
      <c r="J305" s="31" t="inlineStr">
        <is>
          <t>543417</t>
        </is>
      </c>
    </row>
    <row r="306">
      <c r="A306" s="31" t="inlineStr">
        <is>
          <t>INGERRAND</t>
        </is>
      </c>
      <c r="B306" s="31" t="inlineStr">
        <is>
          <t>Ingersoll Rand (india) Limited</t>
        </is>
      </c>
      <c r="C306" s="31" t="inlineStr">
        <is>
          <t>industrials</t>
        </is>
      </c>
      <c r="D306" s="31" t="inlineStr">
        <is>
          <t>compressors / drilling equipment</t>
        </is>
      </c>
      <c r="E306" s="31" t="inlineStr">
        <is>
          <t>midcap</t>
        </is>
      </c>
      <c r="F306" s="31" t="n">
        <v>14430.36</v>
      </c>
      <c r="G306" s="31" t="n">
        <v>4562.9</v>
      </c>
      <c r="H306" s="31" t="n">
        <v>-0.18</v>
      </c>
      <c r="I306" s="31" t="n">
        <v>8254</v>
      </c>
      <c r="J306" s="31" t="inlineStr">
        <is>
          <t>500210</t>
        </is>
      </c>
    </row>
    <row r="307">
      <c r="A307" s="31" t="inlineStr">
        <is>
          <t>POLYPLEX</t>
        </is>
      </c>
      <c r="B307" s="31" t="inlineStr">
        <is>
          <t>Polyplex Corporation Limited</t>
        </is>
      </c>
      <c r="C307" s="31" t="inlineStr">
        <is>
          <t>industrials</t>
        </is>
      </c>
      <c r="D307" s="31" t="inlineStr">
        <is>
          <t>packaging</t>
        </is>
      </c>
      <c r="E307" s="31" t="inlineStr">
        <is>
          <t>smallcap</t>
        </is>
      </c>
      <c r="F307" s="31" t="n">
        <v>3382.69</v>
      </c>
      <c r="G307" s="31" t="n">
        <v>1075.35</v>
      </c>
      <c r="H307" s="31" t="n">
        <v>-0.2</v>
      </c>
      <c r="I307" s="31" t="n">
        <v>81511</v>
      </c>
      <c r="J307" s="31" t="inlineStr">
        <is>
          <t>524051</t>
        </is>
      </c>
    </row>
    <row r="308">
      <c r="A308" s="31" t="inlineStr">
        <is>
          <t>HAL</t>
        </is>
      </c>
      <c r="B308" s="31" t="inlineStr">
        <is>
          <t>Hindustan Aeronautics Ltd</t>
        </is>
      </c>
      <c r="C308" s="31" t="inlineStr">
        <is>
          <t>aerospace &amp; defence</t>
        </is>
      </c>
      <c r="D308" s="31" t="inlineStr">
        <is>
          <t>engineering</t>
        </is>
      </c>
      <c r="E308" s="31" t="inlineStr">
        <is>
          <t>largecap</t>
        </is>
      </c>
      <c r="F308" s="31" t="n">
        <v>300995.56</v>
      </c>
      <c r="G308" s="31" t="n">
        <v>4491</v>
      </c>
      <c r="H308" s="31" t="n">
        <v>-0.22</v>
      </c>
      <c r="I308" s="31" t="n">
        <v>344704</v>
      </c>
      <c r="J308" s="31" t="inlineStr">
        <is>
          <t>541154</t>
        </is>
      </c>
    </row>
    <row r="309">
      <c r="A309" s="31" t="inlineStr">
        <is>
          <t>RSWM</t>
        </is>
      </c>
      <c r="B309" s="31" t="inlineStr">
        <is>
          <t>Rswm Limited</t>
        </is>
      </c>
      <c r="C309" s="31" t="inlineStr">
        <is>
          <t>textiles</t>
        </is>
      </c>
      <c r="D309" s="31" t="inlineStr">
        <is>
          <t>textiles - cotton/blended</t>
        </is>
      </c>
      <c r="E309" s="31" t="inlineStr">
        <is>
          <t>smallcap</t>
        </is>
      </c>
      <c r="F309" s="31" t="n">
        <v>1001.76</v>
      </c>
      <c r="G309" s="31" t="n">
        <v>212.2</v>
      </c>
      <c r="H309" s="31" t="n">
        <v>-0.23</v>
      </c>
      <c r="I309" s="31" t="n">
        <v>40955</v>
      </c>
      <c r="J309" s="31" t="inlineStr">
        <is>
          <t>500350</t>
        </is>
      </c>
    </row>
    <row r="310">
      <c r="A310" s="31" t="inlineStr">
        <is>
          <t>J&amp;KBANK</t>
        </is>
      </c>
      <c r="B310" s="31" t="inlineStr">
        <is>
          <t>The Jammu &amp; Kashmir Bank Limited</t>
        </is>
      </c>
      <c r="C310" s="31" t="inlineStr">
        <is>
          <t>bank</t>
        </is>
      </c>
      <c r="D310" s="31" t="inlineStr">
        <is>
          <t>banks - private sector</t>
        </is>
      </c>
      <c r="E310" s="31" t="inlineStr">
        <is>
          <t>largecap</t>
        </is>
      </c>
      <c r="F310" s="31" t="n">
        <v>20117.5</v>
      </c>
      <c r="G310" s="31" t="n">
        <v>182.25</v>
      </c>
      <c r="H310" s="31" t="n">
        <v>-0.24</v>
      </c>
      <c r="I310" s="31" t="n">
        <v>4483018</v>
      </c>
      <c r="J310" s="31" t="inlineStr">
        <is>
          <t>532209</t>
        </is>
      </c>
    </row>
    <row r="311">
      <c r="A311" s="31" t="inlineStr">
        <is>
          <t>UNOMINDA</t>
        </is>
      </c>
      <c r="B311" s="31" t="inlineStr">
        <is>
          <t>Uno Minda Ltd</t>
        </is>
      </c>
      <c r="C311" s="31" t="inlineStr">
        <is>
          <t>auto</t>
        </is>
      </c>
      <c r="D311" s="31" t="inlineStr">
        <is>
          <t>auto ancillaries</t>
        </is>
      </c>
      <c r="E311" s="31" t="inlineStr">
        <is>
          <t>largecap</t>
        </is>
      </c>
      <c r="F311" s="31" t="n">
        <v>66680.67</v>
      </c>
      <c r="G311" s="31" t="n">
        <v>1152</v>
      </c>
      <c r="H311" s="31" t="n">
        <v>-0.24</v>
      </c>
      <c r="I311" s="31" t="n">
        <v>431621</v>
      </c>
      <c r="J311" s="31" t="inlineStr">
        <is>
          <t>532539</t>
        </is>
      </c>
    </row>
    <row r="312">
      <c r="A312" s="31" t="inlineStr">
        <is>
          <t>KOPRAN</t>
        </is>
      </c>
      <c r="B312" s="31" t="inlineStr">
        <is>
          <t>Kopran Limited</t>
        </is>
      </c>
      <c r="C312" s="31" t="inlineStr">
        <is>
          <t>healthcare</t>
        </is>
      </c>
      <c r="D312" s="31" t="inlineStr">
        <is>
          <t>pharmaceuticals - indian - bulk drugs &amp; formln</t>
        </is>
      </c>
      <c r="E312" s="31" t="inlineStr">
        <is>
          <t>smallcap</t>
        </is>
      </c>
      <c r="F312" s="31" t="n">
        <v>983.24</v>
      </c>
      <c r="G312" s="31" t="n">
        <v>203.13</v>
      </c>
      <c r="H312" s="31" t="n">
        <v>-0.25</v>
      </c>
      <c r="I312" s="31" t="n">
        <v>133595</v>
      </c>
      <c r="J312" s="31" t="inlineStr">
        <is>
          <t>524280</t>
        </is>
      </c>
    </row>
    <row r="313">
      <c r="A313" s="31" t="inlineStr">
        <is>
          <t>AGARWALEYE</t>
        </is>
      </c>
      <c r="B313" s="31" t="inlineStr">
        <is>
          <t>Dr Agarwals Health Care Ltd</t>
        </is>
      </c>
      <c r="C313" s="31" t="inlineStr">
        <is>
          <t>healthcare</t>
        </is>
      </c>
      <c r="D313" s="31" t="inlineStr">
        <is>
          <t>healthcare</t>
        </is>
      </c>
      <c r="E313" s="31" t="inlineStr">
        <is>
          <t>midcap</t>
        </is>
      </c>
      <c r="F313" s="31" t="n">
        <v>15402.21</v>
      </c>
      <c r="G313" s="31" t="n">
        <v>484.7</v>
      </c>
      <c r="H313" s="31" t="n">
        <v>-0.25</v>
      </c>
      <c r="I313" s="31" t="n">
        <v>24094</v>
      </c>
      <c r="J313" s="31" t="inlineStr">
        <is>
          <t>544350</t>
        </is>
      </c>
    </row>
    <row r="314">
      <c r="A314" s="31" t="inlineStr">
        <is>
          <t>JUBLINGREA</t>
        </is>
      </c>
      <c r="B314" s="31" t="inlineStr">
        <is>
          <t>Jubilant Ingrevia Ltd</t>
        </is>
      </c>
      <c r="C314" s="31" t="inlineStr">
        <is>
          <t>chemicals</t>
        </is>
      </c>
      <c r="D314" s="31" t="inlineStr">
        <is>
          <t>chemicals</t>
        </is>
      </c>
      <c r="E314" s="31" t="inlineStr">
        <is>
          <t>midcap</t>
        </is>
      </c>
      <c r="F314" s="31" t="n">
        <v>11771.67</v>
      </c>
      <c r="G314" s="31" t="n">
        <v>737.1</v>
      </c>
      <c r="H314" s="31" t="n">
        <v>-0.26</v>
      </c>
      <c r="I314" s="31" t="n">
        <v>415377</v>
      </c>
      <c r="J314" s="31" t="inlineStr">
        <is>
          <t>543271</t>
        </is>
      </c>
    </row>
    <row r="315">
      <c r="A315" s="31" t="inlineStr">
        <is>
          <t>PHOENIXLTD</t>
        </is>
      </c>
      <c r="B315" s="31" t="inlineStr">
        <is>
          <t>The Phoenix Mills Limited</t>
        </is>
      </c>
      <c r="C315" s="31" t="inlineStr">
        <is>
          <t>realty</t>
        </is>
      </c>
      <c r="D315" s="31" t="inlineStr">
        <is>
          <t>construction</t>
        </is>
      </c>
      <c r="E315" s="31" t="inlineStr">
        <is>
          <t>largecap</t>
        </is>
      </c>
      <c r="F315" s="31" t="n">
        <v>74239.00999999999</v>
      </c>
      <c r="G315" s="31" t="n">
        <v>2070.1</v>
      </c>
      <c r="H315" s="31" t="n">
        <v>-0.27</v>
      </c>
      <c r="I315" s="31" t="n">
        <v>215043</v>
      </c>
      <c r="J315" s="31" t="inlineStr">
        <is>
          <t>503100</t>
        </is>
      </c>
    </row>
    <row r="316">
      <c r="A316" s="31" t="inlineStr">
        <is>
          <t>PNGJL</t>
        </is>
      </c>
      <c r="B316" s="31" t="inlineStr">
        <is>
          <t>P N Gadgil Jewellers Ltd</t>
        </is>
      </c>
      <c r="C316" s="31" t="inlineStr">
        <is>
          <t>consumer discretionary</t>
        </is>
      </c>
      <c r="D316" s="31" t="inlineStr">
        <is>
          <t>diamond cutting / jewellery</t>
        </is>
      </c>
      <c r="E316" s="31" t="inlineStr">
        <is>
          <t>midcap</t>
        </is>
      </c>
      <c r="F316" s="31" t="n">
        <v>8030.54</v>
      </c>
      <c r="G316" s="31" t="n">
        <v>590.1</v>
      </c>
      <c r="H316" s="31" t="n">
        <v>-0.28</v>
      </c>
      <c r="I316" s="31" t="n">
        <v>93892</v>
      </c>
      <c r="J316" s="31" t="n"/>
    </row>
    <row r="317">
      <c r="A317" s="31" t="inlineStr">
        <is>
          <t>PRICOLLTD</t>
        </is>
      </c>
      <c r="B317" s="31" t="inlineStr">
        <is>
          <t>Pricol Ltd.</t>
        </is>
      </c>
      <c r="C317" s="31" t="inlineStr">
        <is>
          <t>auto</t>
        </is>
      </c>
      <c r="D317" s="31" t="inlineStr">
        <is>
          <t>auto ancillaries</t>
        </is>
      </c>
      <c r="E317" s="31" t="inlineStr">
        <is>
          <t>midcap</t>
        </is>
      </c>
      <c r="F317" s="31" t="n">
        <v>7499.37</v>
      </c>
      <c r="G317" s="31" t="n">
        <v>613.6</v>
      </c>
      <c r="H317" s="31" t="n">
        <v>-0.28</v>
      </c>
      <c r="I317" s="31" t="n">
        <v>196237</v>
      </c>
      <c r="J317" s="31" t="inlineStr">
        <is>
          <t>540293</t>
        </is>
      </c>
    </row>
    <row r="318">
      <c r="A318" s="31" t="inlineStr">
        <is>
          <t>MUNJALSHOW</t>
        </is>
      </c>
      <c r="B318" s="31" t="inlineStr">
        <is>
          <t>Munjal Showa Limited</t>
        </is>
      </c>
      <c r="C318" s="31" t="inlineStr">
        <is>
          <t>auto</t>
        </is>
      </c>
      <c r="D318" s="31" t="inlineStr">
        <is>
          <t>auto ancillaries</t>
        </is>
      </c>
      <c r="E318" s="31" t="inlineStr">
        <is>
          <t>smallcap</t>
        </is>
      </c>
      <c r="F318" s="31" t="n">
        <v>542.49</v>
      </c>
      <c r="G318" s="31" t="n">
        <v>135.25</v>
      </c>
      <c r="H318" s="31" t="n">
        <v>-0.29</v>
      </c>
      <c r="I318" s="31" t="n">
        <v>20348</v>
      </c>
      <c r="J318" s="31" t="inlineStr">
        <is>
          <t>520043</t>
        </is>
      </c>
    </row>
    <row r="319">
      <c r="A319" s="31" t="inlineStr">
        <is>
          <t>PPLPHARMA</t>
        </is>
      </c>
      <c r="B319" s="31" t="inlineStr">
        <is>
          <t>Piramal Pharma Ltd</t>
        </is>
      </c>
      <c r="C319" s="31" t="inlineStr">
        <is>
          <t>healthcare</t>
        </is>
      </c>
      <c r="D319" s="31" t="inlineStr">
        <is>
          <t>pharmaceuticals - indian - bulk drugs &amp; formln</t>
        </is>
      </c>
      <c r="E319" s="31" t="inlineStr">
        <is>
          <t>largecap</t>
        </is>
      </c>
      <c r="F319" s="31" t="n">
        <v>23887.05</v>
      </c>
      <c r="G319" s="31" t="n">
        <v>178.87</v>
      </c>
      <c r="H319" s="31" t="n">
        <v>-0.31</v>
      </c>
      <c r="I319" s="31" t="n">
        <v>4197930</v>
      </c>
      <c r="J319" s="31" t="inlineStr">
        <is>
          <t>543635</t>
        </is>
      </c>
    </row>
    <row r="320">
      <c r="A320" s="31" t="inlineStr">
        <is>
          <t>INDNIPPON</t>
        </is>
      </c>
      <c r="B320" s="31" t="inlineStr">
        <is>
          <t>India Nippon Electricals Limited</t>
        </is>
      </c>
      <c r="C320" s="31" t="inlineStr">
        <is>
          <t>auto</t>
        </is>
      </c>
      <c r="D320" s="31" t="inlineStr">
        <is>
          <t>auto ancillaries</t>
        </is>
      </c>
      <c r="E320" s="31" t="inlineStr">
        <is>
          <t>smallcap</t>
        </is>
      </c>
      <c r="F320" s="31" t="n">
        <v>2744.88</v>
      </c>
      <c r="G320" s="31" t="n">
        <v>1209.4</v>
      </c>
      <c r="H320" s="31" t="n">
        <v>-0.33</v>
      </c>
      <c r="I320" s="31" t="n">
        <v>33794</v>
      </c>
      <c r="J320" s="31" t="inlineStr">
        <is>
          <t>532240</t>
        </is>
      </c>
    </row>
    <row r="321">
      <c r="A321" s="31" t="inlineStr">
        <is>
          <t>INDIGO</t>
        </is>
      </c>
      <c r="B321" s="31" t="inlineStr">
        <is>
          <t>Interglobe Aviation Limited</t>
        </is>
      </c>
      <c r="C321" s="31" t="inlineStr">
        <is>
          <t>transportation</t>
        </is>
      </c>
      <c r="D321" s="31" t="inlineStr">
        <is>
          <t>transport - airlines</t>
        </is>
      </c>
      <c r="E321" s="31" t="inlineStr">
        <is>
          <t>largecap</t>
        </is>
      </c>
      <c r="F321" s="31" t="n">
        <v>202913.83</v>
      </c>
      <c r="G321" s="31" t="n">
        <v>5229</v>
      </c>
      <c r="H321" s="31" t="n">
        <v>-0.37</v>
      </c>
      <c r="I321" s="31" t="n">
        <v>1230583</v>
      </c>
      <c r="J321" s="31" t="inlineStr">
        <is>
          <t>539448</t>
        </is>
      </c>
    </row>
    <row r="322">
      <c r="A322" s="31" t="inlineStr">
        <is>
          <t>TRIVENI</t>
        </is>
      </c>
      <c r="B322" s="31" t="inlineStr">
        <is>
          <t>Triveni Engineering &amp; Industries Limited</t>
        </is>
      </c>
      <c r="C322" s="31" t="inlineStr">
        <is>
          <t>fmcg</t>
        </is>
      </c>
      <c r="D322" s="31" t="inlineStr">
        <is>
          <t>sugar</t>
        </is>
      </c>
      <c r="E322" s="31" t="inlineStr">
        <is>
          <t>midcap</t>
        </is>
      </c>
      <c r="F322" s="31" t="n">
        <v>10335.27</v>
      </c>
      <c r="G322" s="31" t="n">
        <v>470.35</v>
      </c>
      <c r="H322" s="31" t="n">
        <v>-0.38</v>
      </c>
      <c r="I322" s="31" t="n">
        <v>643789</v>
      </c>
      <c r="J322" s="31" t="inlineStr">
        <is>
          <t>532356</t>
        </is>
      </c>
    </row>
    <row r="323">
      <c r="A323" s="31" t="inlineStr">
        <is>
          <t>NH</t>
        </is>
      </c>
      <c r="B323" s="31" t="inlineStr">
        <is>
          <t>Narayana Hrudayalaya Ltd.</t>
        </is>
      </c>
      <c r="C323" s="31" t="inlineStr">
        <is>
          <t>healthcare</t>
        </is>
      </c>
      <c r="D323" s="31" t="inlineStr">
        <is>
          <t>healthcare</t>
        </is>
      </c>
      <c r="E323" s="31" t="inlineStr">
        <is>
          <t>largecap</t>
        </is>
      </c>
      <c r="F323" s="31" t="n">
        <v>41475.03</v>
      </c>
      <c r="G323" s="31" t="n">
        <v>2021.2</v>
      </c>
      <c r="H323" s="31" t="n">
        <v>-0.41</v>
      </c>
      <c r="I323" s="31" t="n">
        <v>163857</v>
      </c>
      <c r="J323" s="31" t="inlineStr">
        <is>
          <t>539551</t>
        </is>
      </c>
    </row>
    <row r="324">
      <c r="A324" s="31" t="inlineStr">
        <is>
          <t>ARROWGREEN</t>
        </is>
      </c>
      <c r="B324" s="31" t="inlineStr">
        <is>
          <t>Arrow Greentech Limited</t>
        </is>
      </c>
      <c r="C324" s="31" t="inlineStr">
        <is>
          <t>plastic products</t>
        </is>
      </c>
      <c r="D324" s="31" t="inlineStr">
        <is>
          <t>plastics products</t>
        </is>
      </c>
      <c r="E324" s="31" t="inlineStr">
        <is>
          <t>smallcap</t>
        </is>
      </c>
      <c r="F324" s="31" t="n">
        <v>1010.89</v>
      </c>
      <c r="G324" s="31" t="n">
        <v>667.15</v>
      </c>
      <c r="H324" s="31" t="n">
        <v>-0.43</v>
      </c>
      <c r="I324" s="31" t="n">
        <v>14654</v>
      </c>
      <c r="J324" s="31" t="inlineStr">
        <is>
          <t>516064</t>
        </is>
      </c>
    </row>
    <row r="325">
      <c r="A325" s="31" t="inlineStr">
        <is>
          <t>RAJRATAN</t>
        </is>
      </c>
      <c r="B325" s="31" t="inlineStr">
        <is>
          <t>Rajratan Global Wire Ltd</t>
        </is>
      </c>
      <c r="C325" s="31" t="inlineStr">
        <is>
          <t>metals &amp; mining</t>
        </is>
      </c>
      <c r="D325" s="31" t="inlineStr">
        <is>
          <t>steel - medium / small</t>
        </is>
      </c>
      <c r="E325" s="31" t="inlineStr">
        <is>
          <t>smallcap</t>
        </is>
      </c>
      <c r="F325" s="31" t="n">
        <v>2466.71</v>
      </c>
      <c r="G325" s="31" t="n">
        <v>483.6</v>
      </c>
      <c r="H325" s="31" t="n">
        <v>-0.46</v>
      </c>
      <c r="I325" s="31" t="n">
        <v>96843</v>
      </c>
      <c r="J325" s="31" t="inlineStr">
        <is>
          <t>517522</t>
        </is>
      </c>
    </row>
    <row r="326">
      <c r="A326" s="31" t="inlineStr">
        <is>
          <t>APTUS</t>
        </is>
      </c>
      <c r="B326" s="31" t="inlineStr">
        <is>
          <t>Aptus Value Housing Finance India Ltd</t>
        </is>
      </c>
      <c r="C326" s="31" t="inlineStr">
        <is>
          <t>financials</t>
        </is>
      </c>
      <c r="D326" s="31" t="inlineStr">
        <is>
          <t>finance - housing</t>
        </is>
      </c>
      <c r="E326" s="31" t="inlineStr">
        <is>
          <t>midcap</t>
        </is>
      </c>
      <c r="F326" s="31" t="n">
        <v>15366.83</v>
      </c>
      <c r="G326" s="31" t="n">
        <v>305.45</v>
      </c>
      <c r="H326" s="31" t="n">
        <v>-0.46</v>
      </c>
      <c r="I326" s="31" t="n">
        <v>837876</v>
      </c>
      <c r="J326" s="31" t="inlineStr">
        <is>
          <t>543335</t>
        </is>
      </c>
    </row>
    <row r="327">
      <c r="A327" s="31" t="inlineStr">
        <is>
          <t>GRAVITA</t>
        </is>
      </c>
      <c r="B327" s="31" t="inlineStr">
        <is>
          <t>Gravita India Limited</t>
        </is>
      </c>
      <c r="C327" s="31" t="inlineStr">
        <is>
          <t>metals &amp; mining</t>
        </is>
      </c>
      <c r="D327" s="31" t="inlineStr">
        <is>
          <t>mining / minerals / metals</t>
        </is>
      </c>
      <c r="E327" s="31" t="inlineStr">
        <is>
          <t>midcap</t>
        </is>
      </c>
      <c r="F327" s="31" t="n">
        <v>13419.85</v>
      </c>
      <c r="G327" s="31" t="n">
        <v>1809.6</v>
      </c>
      <c r="H327" s="31" t="n">
        <v>-0.47</v>
      </c>
      <c r="I327" s="31" t="n">
        <v>116982</v>
      </c>
      <c r="J327" s="31" t="inlineStr">
        <is>
          <t>533282</t>
        </is>
      </c>
    </row>
    <row r="328">
      <c r="A328" s="31" t="inlineStr">
        <is>
          <t>PAISALO</t>
        </is>
      </c>
      <c r="B328" s="31" t="inlineStr">
        <is>
          <t>Paisalo Digital Ltd</t>
        </is>
      </c>
      <c r="C328" s="31" t="inlineStr">
        <is>
          <t>financials</t>
        </is>
      </c>
      <c r="D328" s="31" t="inlineStr">
        <is>
          <t>finance &amp; investments</t>
        </is>
      </c>
      <c r="E328" s="31" t="inlineStr">
        <is>
          <t>midcap</t>
        </is>
      </c>
      <c r="F328" s="31" t="n">
        <v>6525.82</v>
      </c>
      <c r="G328" s="31" t="n">
        <v>71.41</v>
      </c>
      <c r="H328" s="31" t="n">
        <v>-0.47</v>
      </c>
      <c r="I328" s="31" t="n">
        <v>27003541</v>
      </c>
      <c r="J328" s="31" t="inlineStr">
        <is>
          <t>532900</t>
        </is>
      </c>
    </row>
    <row r="329">
      <c r="A329" s="31" t="inlineStr">
        <is>
          <t>AVADHSUGAR</t>
        </is>
      </c>
      <c r="B329" s="31" t="inlineStr">
        <is>
          <t>Avadh Sugar &amp; Energy</t>
        </is>
      </c>
      <c r="C329" s="31" t="inlineStr">
        <is>
          <t>fmcg</t>
        </is>
      </c>
      <c r="D329" s="31" t="inlineStr">
        <is>
          <t>sugar</t>
        </is>
      </c>
      <c r="E329" s="31" t="inlineStr">
        <is>
          <t>smallcap</t>
        </is>
      </c>
      <c r="F329" s="31" t="n">
        <v>1068.78</v>
      </c>
      <c r="G329" s="31" t="n">
        <v>531.4</v>
      </c>
      <c r="H329" s="31" t="n">
        <v>-0.47</v>
      </c>
      <c r="I329" s="31" t="n">
        <v>20623</v>
      </c>
      <c r="J329" s="31" t="inlineStr">
        <is>
          <t>540649</t>
        </is>
      </c>
    </row>
    <row r="330">
      <c r="A330" s="31" t="inlineStr">
        <is>
          <t>NUVAMA</t>
        </is>
      </c>
      <c r="B330" s="31" t="inlineStr">
        <is>
          <t>Nuvama Wealth Management Ltd</t>
        </is>
      </c>
      <c r="C330" s="31" t="inlineStr">
        <is>
          <t>financials</t>
        </is>
      </c>
      <c r="D330" s="31" t="inlineStr">
        <is>
          <t>finance &amp; investments</t>
        </is>
      </c>
      <c r="E330" s="31" t="inlineStr">
        <is>
          <t>largecap</t>
        </is>
      </c>
      <c r="F330" s="31" t="n">
        <v>34006.94</v>
      </c>
      <c r="G330" s="31" t="n">
        <v>1854</v>
      </c>
      <c r="H330" s="31" t="n">
        <v>-0.49</v>
      </c>
      <c r="I330" s="31" t="n">
        <v>169432</v>
      </c>
      <c r="J330" s="31" t="inlineStr">
        <is>
          <t>543988</t>
        </is>
      </c>
    </row>
    <row r="331">
      <c r="A331" s="31" t="inlineStr">
        <is>
          <t>SPECTRUM</t>
        </is>
      </c>
      <c r="B331" s="31" t="inlineStr">
        <is>
          <t>Spectrum Electrical Industries Ltd</t>
        </is>
      </c>
      <c r="C331" s="31" t="inlineStr">
        <is>
          <t>industrials</t>
        </is>
      </c>
      <c r="D331" s="31" t="inlineStr">
        <is>
          <t>electric equipment</t>
        </is>
      </c>
      <c r="E331" s="31" t="inlineStr">
        <is>
          <t>smallcap</t>
        </is>
      </c>
      <c r="F331" s="31" t="n">
        <v>3078.81</v>
      </c>
      <c r="G331" s="31" t="n">
        <v>1949</v>
      </c>
      <c r="H331" s="31" t="n">
        <v>-0.53</v>
      </c>
      <c r="I331" s="31" t="n">
        <v>20673</v>
      </c>
      <c r="J331" s="31" t="inlineStr">
        <is>
          <t>535112</t>
        </is>
      </c>
    </row>
    <row r="332">
      <c r="A332" s="31" t="inlineStr">
        <is>
          <t>GRANULES</t>
        </is>
      </c>
      <c r="B332" s="31" t="inlineStr">
        <is>
          <t>Granules India Limited</t>
        </is>
      </c>
      <c r="C332" s="31" t="inlineStr">
        <is>
          <t>healthcare</t>
        </is>
      </c>
      <c r="D332" s="31" t="inlineStr">
        <is>
          <t>pharmaceuticals - indian - bulk drugs &amp; formln</t>
        </is>
      </c>
      <c r="E332" s="31" t="inlineStr">
        <is>
          <t>largecap</t>
        </is>
      </c>
      <c r="F332" s="31" t="n">
        <v>21825.95</v>
      </c>
      <c r="G332" s="31" t="n">
        <v>876.1</v>
      </c>
      <c r="H332" s="31" t="n">
        <v>-0.53</v>
      </c>
      <c r="I332" s="31" t="n">
        <v>545107</v>
      </c>
      <c r="J332" s="31" t="inlineStr">
        <is>
          <t>532482</t>
        </is>
      </c>
    </row>
    <row r="333">
      <c r="A333" s="31" t="inlineStr">
        <is>
          <t>BLSE</t>
        </is>
      </c>
      <c r="B333" s="31" t="inlineStr">
        <is>
          <t>BLS E-Services Ltd</t>
        </is>
      </c>
      <c r="C333" s="31" t="inlineStr">
        <is>
          <t>i.t</t>
        </is>
      </c>
      <c r="D333" s="31" t="inlineStr">
        <is>
          <t>computers - software - medium / small</t>
        </is>
      </c>
      <c r="E333" s="31" t="inlineStr">
        <is>
          <t>smallcap</t>
        </is>
      </c>
      <c r="F333" s="31" t="n">
        <v>2492.83</v>
      </c>
      <c r="G333" s="31" t="n">
        <v>272.86</v>
      </c>
      <c r="H333" s="31" t="n">
        <v>-0.55</v>
      </c>
      <c r="I333" s="31" t="n">
        <v>352587</v>
      </c>
      <c r="J333" s="31" t="inlineStr">
        <is>
          <t>544107</t>
        </is>
      </c>
    </row>
    <row r="334">
      <c r="A334" s="31" t="inlineStr">
        <is>
          <t>ASTERDM</t>
        </is>
      </c>
      <c r="B334" s="31" t="inlineStr">
        <is>
          <t>Aster DM Healthcare Ltd</t>
        </is>
      </c>
      <c r="C334" s="31" t="inlineStr">
        <is>
          <t>healthcare</t>
        </is>
      </c>
      <c r="D334" s="31" t="inlineStr">
        <is>
          <t>healthcare</t>
        </is>
      </c>
      <c r="E334" s="31" t="inlineStr">
        <is>
          <t>largecap</t>
        </is>
      </c>
      <c r="F334" s="31" t="n">
        <v>42480.74</v>
      </c>
      <c r="G334" s="31" t="n">
        <v>815.15</v>
      </c>
      <c r="H334" s="31" t="n">
        <v>-0.58</v>
      </c>
      <c r="I334" s="31" t="n">
        <v>170084</v>
      </c>
      <c r="J334" s="31" t="inlineStr">
        <is>
          <t>540975</t>
        </is>
      </c>
    </row>
    <row r="335">
      <c r="A335" s="31" t="inlineStr">
        <is>
          <t>BALAMINES</t>
        </is>
      </c>
      <c r="B335" s="31" t="inlineStr">
        <is>
          <t>Balaji Amines Limited</t>
        </is>
      </c>
      <c r="C335" s="31" t="inlineStr">
        <is>
          <t>chemicals</t>
        </is>
      </c>
      <c r="D335" s="31" t="inlineStr">
        <is>
          <t>chemicals</t>
        </is>
      </c>
      <c r="E335" s="31" t="inlineStr">
        <is>
          <t>midcap</t>
        </is>
      </c>
      <c r="F335" s="31" t="n">
        <v>7416.91</v>
      </c>
      <c r="G335" s="31" t="n">
        <v>2275.8</v>
      </c>
      <c r="H335" s="31" t="n">
        <v>-0.58</v>
      </c>
      <c r="I335" s="31" t="n">
        <v>117378</v>
      </c>
      <c r="J335" s="31" t="inlineStr">
        <is>
          <t>530999</t>
        </is>
      </c>
    </row>
    <row r="336">
      <c r="A336" s="31" t="inlineStr">
        <is>
          <t>OBEROIRLTY</t>
        </is>
      </c>
      <c r="B336" s="31" t="inlineStr">
        <is>
          <t>Oberoi Realty Limited</t>
        </is>
      </c>
      <c r="C336" s="31" t="inlineStr">
        <is>
          <t>realty</t>
        </is>
      </c>
      <c r="D336" s="31" t="inlineStr">
        <is>
          <t>construction</t>
        </is>
      </c>
      <c r="E336" s="31" t="inlineStr">
        <is>
          <t>largecap</t>
        </is>
      </c>
      <c r="F336" s="31" t="n">
        <v>68895.35000000001</v>
      </c>
      <c r="G336" s="31" t="n">
        <v>1882.7</v>
      </c>
      <c r="H336" s="31" t="n">
        <v>-0.64</v>
      </c>
      <c r="I336" s="31" t="n">
        <v>307109</v>
      </c>
      <c r="J336" s="31" t="inlineStr">
        <is>
          <t>533273</t>
        </is>
      </c>
    </row>
    <row r="337">
      <c r="A337" s="31" t="inlineStr">
        <is>
          <t>MANGLMCEM</t>
        </is>
      </c>
      <c r="B337" s="31" t="inlineStr">
        <is>
          <t>Mangalam Cement Limited</t>
        </is>
      </c>
      <c r="C337" s="31" t="inlineStr">
        <is>
          <t>building materials</t>
        </is>
      </c>
      <c r="D337" s="31" t="inlineStr">
        <is>
          <t>cement - north india</t>
        </is>
      </c>
      <c r="E337" s="31" t="inlineStr">
        <is>
          <t>smallcap</t>
        </is>
      </c>
      <c r="F337" s="31" t="n">
        <v>2712.88</v>
      </c>
      <c r="G337" s="31" t="n">
        <v>980.15</v>
      </c>
      <c r="H337" s="31" t="n">
        <v>-0.65</v>
      </c>
      <c r="I337" s="31" t="n">
        <v>30572</v>
      </c>
      <c r="J337" s="31" t="inlineStr">
        <is>
          <t>502157</t>
        </is>
      </c>
    </row>
    <row r="338">
      <c r="A338" s="31" t="inlineStr">
        <is>
          <t>UNIMECH</t>
        </is>
      </c>
      <c r="B338" s="31" t="inlineStr">
        <is>
          <t>Unimech Aerospace and Manufacturing Ltd</t>
        </is>
      </c>
      <c r="C338" s="31" t="inlineStr">
        <is>
          <t>aerospace &amp; defence</t>
        </is>
      </c>
      <c r="D338" s="31" t="inlineStr">
        <is>
          <t>engineering</t>
        </is>
      </c>
      <c r="E338" s="31" t="inlineStr">
        <is>
          <t>midcap</t>
        </is>
      </c>
      <c r="F338" s="31" t="n">
        <v>6523.92</v>
      </c>
      <c r="G338" s="31" t="n">
        <v>1274.5</v>
      </c>
      <c r="H338" s="31" t="n">
        <v>-0.65</v>
      </c>
      <c r="I338" s="31" t="n">
        <v>201431</v>
      </c>
      <c r="J338" s="31" t="inlineStr">
        <is>
          <t>544322</t>
        </is>
      </c>
    </row>
    <row r="339">
      <c r="A339" s="31" t="inlineStr">
        <is>
          <t>RELAXO</t>
        </is>
      </c>
      <c r="B339" s="31" t="inlineStr">
        <is>
          <t>Relaxo Footwears Limited</t>
        </is>
      </c>
      <c r="C339" s="31" t="inlineStr">
        <is>
          <t>consumer discretionary</t>
        </is>
      </c>
      <c r="D339" s="31" t="inlineStr">
        <is>
          <t>leather / leather products</t>
        </is>
      </c>
      <c r="E339" s="31" t="inlineStr">
        <is>
          <t>midcap</t>
        </is>
      </c>
      <c r="F339" s="31" t="n">
        <v>10952.05</v>
      </c>
      <c r="G339" s="31" t="n">
        <v>437.05</v>
      </c>
      <c r="H339" s="31" t="n">
        <v>-0.66</v>
      </c>
      <c r="I339" s="31" t="n">
        <v>11061459</v>
      </c>
      <c r="J339" s="31" t="inlineStr">
        <is>
          <t>530517</t>
        </is>
      </c>
    </row>
    <row r="340">
      <c r="A340" s="31" t="inlineStr">
        <is>
          <t>GRWRHITECH</t>
        </is>
      </c>
      <c r="B340" s="31" t="inlineStr">
        <is>
          <t>Garware Hi Tech Films Ltd</t>
        </is>
      </c>
      <c r="C340" s="31" t="inlineStr">
        <is>
          <t>industrials</t>
        </is>
      </c>
      <c r="D340" s="31" t="inlineStr">
        <is>
          <t>packaging</t>
        </is>
      </c>
      <c r="E340" s="31" t="inlineStr">
        <is>
          <t>midcap</t>
        </is>
      </c>
      <c r="F340" s="31" t="n">
        <v>16194.14</v>
      </c>
      <c r="G340" s="31" t="n">
        <v>6923</v>
      </c>
      <c r="H340" s="31" t="n">
        <v>-0.68</v>
      </c>
      <c r="I340" s="31" t="n">
        <v>30715</v>
      </c>
      <c r="J340" s="31" t="inlineStr">
        <is>
          <t>500655</t>
        </is>
      </c>
    </row>
    <row r="341">
      <c r="A341" s="31" t="inlineStr">
        <is>
          <t>BALRAMCHIN</t>
        </is>
      </c>
      <c r="B341" s="31" t="inlineStr">
        <is>
          <t>Balrampur Chini Mills Limited</t>
        </is>
      </c>
      <c r="C341" s="31" t="inlineStr">
        <is>
          <t>fmcg</t>
        </is>
      </c>
      <c r="D341" s="31" t="inlineStr">
        <is>
          <t>sugar</t>
        </is>
      </c>
      <c r="E341" s="31" t="inlineStr">
        <is>
          <t>midcap</t>
        </is>
      </c>
      <c r="F341" s="31" t="n">
        <v>12770.05</v>
      </c>
      <c r="G341" s="31" t="n">
        <v>600.05</v>
      </c>
      <c r="H341" s="31" t="n">
        <v>-0.73</v>
      </c>
      <c r="I341" s="31" t="n">
        <v>295077</v>
      </c>
      <c r="J341" s="31" t="inlineStr">
        <is>
          <t>500038</t>
        </is>
      </c>
    </row>
    <row r="342">
      <c r="A342" s="31" t="inlineStr">
        <is>
          <t>IRISDOREME</t>
        </is>
      </c>
      <c r="B342" s="31" t="inlineStr">
        <is>
          <t>Iris Clothings Ltd</t>
        </is>
      </c>
      <c r="C342" s="31" t="inlineStr">
        <is>
          <t>consumer discretionary</t>
        </is>
      </c>
      <c r="D342" s="31" t="inlineStr">
        <is>
          <t>textiles - products</t>
        </is>
      </c>
      <c r="E342" s="31" t="inlineStr">
        <is>
          <t>smallcap</t>
        </is>
      </c>
      <c r="F342" s="31" t="n">
        <v>885.8</v>
      </c>
      <c r="G342" s="31" t="n">
        <v>46.2</v>
      </c>
      <c r="H342" s="31" t="n">
        <v>-0.73</v>
      </c>
      <c r="I342" s="31" t="n">
        <v>253717</v>
      </c>
      <c r="J342" s="31" t="inlineStr">
        <is>
          <t>535123</t>
        </is>
      </c>
    </row>
    <row r="343">
      <c r="A343" s="31" t="inlineStr">
        <is>
          <t>ARMANFIN</t>
        </is>
      </c>
      <c r="B343" s="31" t="inlineStr">
        <is>
          <t>Arman Financial Services Limited</t>
        </is>
      </c>
      <c r="C343" s="31" t="inlineStr">
        <is>
          <t>financials</t>
        </is>
      </c>
      <c r="D343" s="31" t="inlineStr">
        <is>
          <t>finance &amp; investments</t>
        </is>
      </c>
      <c r="E343" s="31" t="inlineStr">
        <is>
          <t>smallcap</t>
        </is>
      </c>
      <c r="F343" s="31" t="n">
        <v>2058.64</v>
      </c>
      <c r="G343" s="31" t="n">
        <v>1943.7</v>
      </c>
      <c r="H343" s="31" t="n">
        <v>-0.74</v>
      </c>
      <c r="I343" s="31" t="n">
        <v>19933</v>
      </c>
      <c r="J343" s="31" t="inlineStr">
        <is>
          <t>531179</t>
        </is>
      </c>
    </row>
    <row r="344">
      <c r="A344" s="31" t="inlineStr">
        <is>
          <t>MONARCH</t>
        </is>
      </c>
      <c r="B344" s="31" t="inlineStr">
        <is>
          <t>Monarch Networth Capital Ltd</t>
        </is>
      </c>
      <c r="C344" s="31" t="inlineStr">
        <is>
          <t>financials</t>
        </is>
      </c>
      <c r="D344" s="31" t="inlineStr">
        <is>
          <t>finance &amp; investments</t>
        </is>
      </c>
      <c r="E344" s="31" t="inlineStr">
        <is>
          <t>smallcap</t>
        </is>
      </c>
      <c r="F344" s="31" t="n">
        <v>2859.46</v>
      </c>
      <c r="G344" s="31" t="n">
        <v>357.85</v>
      </c>
      <c r="H344" s="31" t="n">
        <v>-0.75</v>
      </c>
      <c r="I344" s="31" t="n">
        <v>82131</v>
      </c>
      <c r="J344" s="31" t="inlineStr">
        <is>
          <t>511551</t>
        </is>
      </c>
    </row>
    <row r="345">
      <c r="A345" s="31" t="inlineStr">
        <is>
          <t>KALYANKJIL</t>
        </is>
      </c>
      <c r="B345" s="31" t="inlineStr">
        <is>
          <t>Kalyan Jewellers India Ltd</t>
        </is>
      </c>
      <c r="C345" s="31" t="inlineStr">
        <is>
          <t>consumer discretionary</t>
        </is>
      </c>
      <c r="D345" s="31" t="inlineStr">
        <is>
          <t>diamond cutting / jewellery</t>
        </is>
      </c>
      <c r="E345" s="31" t="inlineStr">
        <is>
          <t>largecap</t>
        </is>
      </c>
      <c r="F345" s="31" t="n">
        <v>59320.6</v>
      </c>
      <c r="G345" s="31" t="n">
        <v>570</v>
      </c>
      <c r="H345" s="31" t="n">
        <v>-0.77</v>
      </c>
      <c r="I345" s="31" t="n">
        <v>22893886</v>
      </c>
      <c r="J345" s="31" t="inlineStr">
        <is>
          <t>543278</t>
        </is>
      </c>
    </row>
    <row r="346">
      <c r="A346" s="31" t="inlineStr">
        <is>
          <t>THANGAMAYL</t>
        </is>
      </c>
      <c r="B346" s="31" t="inlineStr">
        <is>
          <t>Thangamayil Jewellery Limited</t>
        </is>
      </c>
      <c r="C346" s="31" t="inlineStr">
        <is>
          <t>consumer discretionary</t>
        </is>
      </c>
      <c r="D346" s="31" t="inlineStr">
        <is>
          <t>diamond cutting / jewellery</t>
        </is>
      </c>
      <c r="E346" s="31" t="inlineStr">
        <is>
          <t>largecap</t>
        </is>
      </c>
      <c r="F346" s="31" t="n">
        <v>20004.39</v>
      </c>
      <c r="G346" s="31" t="n">
        <v>6385.5</v>
      </c>
      <c r="H346" s="31" t="n">
        <v>-0.78</v>
      </c>
      <c r="I346" s="31" t="n">
        <v>113648</v>
      </c>
      <c r="J346" s="31" t="inlineStr">
        <is>
          <t>533158</t>
        </is>
      </c>
    </row>
    <row r="347">
      <c r="A347" s="31" t="inlineStr">
        <is>
          <t>RELTD</t>
        </is>
      </c>
      <c r="B347" s="31" t="inlineStr">
        <is>
          <t>Ravindra Energy Ltd</t>
        </is>
      </c>
      <c r="C347" s="31" t="inlineStr">
        <is>
          <t>industrials</t>
        </is>
      </c>
      <c r="D347" s="31" t="inlineStr">
        <is>
          <t>electric equipment</t>
        </is>
      </c>
      <c r="E347" s="31" t="inlineStr">
        <is>
          <t>smallcap</t>
        </is>
      </c>
      <c r="F347" s="31" t="n">
        <v>3525.44</v>
      </c>
      <c r="G347" s="31" t="n">
        <v>175.86</v>
      </c>
      <c r="H347" s="31" t="n">
        <v>-0.96</v>
      </c>
      <c r="I347" s="31" t="n">
        <v>364047</v>
      </c>
      <c r="J347" s="31" t="inlineStr">
        <is>
          <t>504341</t>
        </is>
      </c>
    </row>
    <row r="348">
      <c r="A348" s="31" t="inlineStr">
        <is>
          <t>TBZ</t>
        </is>
      </c>
      <c r="B348" s="31" t="inlineStr">
        <is>
          <t>Tribhovandas Bhimji Zaveri Limited</t>
        </is>
      </c>
      <c r="C348" s="31" t="inlineStr">
        <is>
          <t>consumer discretionary</t>
        </is>
      </c>
      <c r="D348" s="31" t="inlineStr">
        <is>
          <t>diamond cutting / jewellery</t>
        </is>
      </c>
      <c r="E348" s="31" t="inlineStr">
        <is>
          <t>smallcap</t>
        </is>
      </c>
      <c r="F348" s="31" t="n">
        <v>1722.52</v>
      </c>
      <c r="G348" s="31" t="n">
        <v>255.62</v>
      </c>
      <c r="H348" s="31" t="n">
        <v>-0.97</v>
      </c>
      <c r="I348" s="31" t="n">
        <v>938567</v>
      </c>
      <c r="J348" s="31" t="inlineStr">
        <is>
          <t>534369</t>
        </is>
      </c>
    </row>
    <row r="349">
      <c r="A349" s="31" t="inlineStr">
        <is>
          <t>OMAXE</t>
        </is>
      </c>
      <c r="B349" s="31" t="inlineStr">
        <is>
          <t>Omaxe Limited</t>
        </is>
      </c>
      <c r="C349" s="31" t="inlineStr">
        <is>
          <t>realty</t>
        </is>
      </c>
      <c r="D349" s="31" t="inlineStr">
        <is>
          <t>construction</t>
        </is>
      </c>
      <c r="E349" s="31" t="inlineStr">
        <is>
          <t>smallcap</t>
        </is>
      </c>
      <c r="F349" s="31" t="n">
        <v>1710.12</v>
      </c>
      <c r="G349" s="31" t="n">
        <v>92.58</v>
      </c>
      <c r="H349" s="31" t="n">
        <v>-0.98</v>
      </c>
      <c r="I349" s="31" t="n">
        <v>339484</v>
      </c>
      <c r="J349" s="31" t="inlineStr">
        <is>
          <t>532880</t>
        </is>
      </c>
    </row>
    <row r="350">
      <c r="A350" s="31" t="inlineStr">
        <is>
          <t>ASKAUTOLTD</t>
        </is>
      </c>
      <c r="B350" s="31" t="inlineStr">
        <is>
          <t>ASK Automotive Ltd</t>
        </is>
      </c>
      <c r="C350" s="31" t="inlineStr">
        <is>
          <t>auto</t>
        </is>
      </c>
      <c r="D350" s="31" t="inlineStr">
        <is>
          <t>auto ancillaries</t>
        </is>
      </c>
      <c r="E350" s="31" t="inlineStr">
        <is>
          <t>midcap</t>
        </is>
      </c>
      <c r="F350" s="31" t="n">
        <v>9504.24</v>
      </c>
      <c r="G350" s="31" t="n">
        <v>477.35</v>
      </c>
      <c r="H350" s="31" t="n">
        <v>-0.99</v>
      </c>
      <c r="I350" s="31" t="n">
        <v>81382</v>
      </c>
      <c r="J350" s="31" t="inlineStr">
        <is>
          <t>544022</t>
        </is>
      </c>
    </row>
    <row r="351">
      <c r="A351" s="31" t="inlineStr">
        <is>
          <t>RGL</t>
        </is>
      </c>
      <c r="B351" s="31" t="inlineStr">
        <is>
          <t>Renaissance Global Ltd</t>
        </is>
      </c>
      <c r="C351" s="31" t="inlineStr">
        <is>
          <t>consumer discretionary</t>
        </is>
      </c>
      <c r="D351" s="31" t="inlineStr">
        <is>
          <t>diamond cutting / jewellery</t>
        </is>
      </c>
      <c r="E351" s="31" t="inlineStr">
        <is>
          <t>smallcap</t>
        </is>
      </c>
      <c r="F351" s="31" t="n">
        <v>1293.27</v>
      </c>
      <c r="G351" s="31" t="n">
        <v>119.31</v>
      </c>
      <c r="H351" s="31" t="n">
        <v>-0.99</v>
      </c>
      <c r="I351" s="31" t="n">
        <v>126949</v>
      </c>
      <c r="J351" s="31" t="inlineStr">
        <is>
          <t>532923</t>
        </is>
      </c>
    </row>
    <row r="352">
      <c r="A352" s="31" t="inlineStr">
        <is>
          <t>SUNDRMFAST</t>
        </is>
      </c>
      <c r="B352" s="31" t="inlineStr">
        <is>
          <t>Sundram Fasteners Limited</t>
        </is>
      </c>
      <c r="C352" s="31" t="inlineStr">
        <is>
          <t>auto</t>
        </is>
      </c>
      <c r="D352" s="31" t="inlineStr">
        <is>
          <t>auto ancillaries</t>
        </is>
      </c>
      <c r="E352" s="31" t="inlineStr">
        <is>
          <t>largecap</t>
        </is>
      </c>
      <c r="F352" s="31" t="n">
        <v>20284.74</v>
      </c>
      <c r="G352" s="31" t="n">
        <v>955.65</v>
      </c>
      <c r="H352" s="31" t="n">
        <v>-1</v>
      </c>
      <c r="I352" s="31" t="n">
        <v>24312</v>
      </c>
      <c r="J352" s="31" t="inlineStr">
        <is>
          <t>500403</t>
        </is>
      </c>
    </row>
    <row r="353">
      <c r="A353" s="31" t="inlineStr">
        <is>
          <t>ETHOSLTD</t>
        </is>
      </c>
      <c r="B353" s="31" t="inlineStr">
        <is>
          <t>Ethos Ltd</t>
        </is>
      </c>
      <c r="C353" s="31" t="inlineStr">
        <is>
          <t>consumer discretionary</t>
        </is>
      </c>
      <c r="D353" s="31" t="inlineStr">
        <is>
          <t>trading</t>
        </is>
      </c>
      <c r="E353" s="31" t="inlineStr">
        <is>
          <t>midcap</t>
        </is>
      </c>
      <c r="F353" s="31" t="n">
        <v>7125.84</v>
      </c>
      <c r="G353" s="31" t="n">
        <v>2635</v>
      </c>
      <c r="H353" s="31" t="n">
        <v>-1.06</v>
      </c>
      <c r="I353" s="31" t="n">
        <v>17350</v>
      </c>
      <c r="J353" s="31" t="inlineStr">
        <is>
          <t>543532</t>
        </is>
      </c>
    </row>
    <row r="354">
      <c r="A354" s="31" t="inlineStr">
        <is>
          <t>BHEL</t>
        </is>
      </c>
      <c r="B354" s="31" t="inlineStr">
        <is>
          <t>Bharat Heavy Electricals Limited</t>
        </is>
      </c>
      <c r="C354" s="31" t="inlineStr">
        <is>
          <t>industrials</t>
        </is>
      </c>
      <c r="D354" s="31" t="inlineStr">
        <is>
          <t>electric equipment</t>
        </is>
      </c>
      <c r="E354" s="31" t="inlineStr">
        <is>
          <t>largecap</t>
        </is>
      </c>
      <c r="F354" s="31" t="n">
        <v>146943.07</v>
      </c>
      <c r="G354" s="31" t="n">
        <v>417.5</v>
      </c>
      <c r="H354" s="31" t="n">
        <v>-1.07</v>
      </c>
      <c r="I354" s="31" t="n">
        <v>12038892</v>
      </c>
      <c r="J354" s="31" t="inlineStr">
        <is>
          <t>500103</t>
        </is>
      </c>
    </row>
    <row r="355">
      <c r="A355" s="31" t="inlineStr">
        <is>
          <t>TTKPRESTIG</t>
        </is>
      </c>
      <c r="B355" s="31" t="inlineStr">
        <is>
          <t>Ttk Prestige Limited</t>
        </is>
      </c>
      <c r="C355" s="31" t="inlineStr">
        <is>
          <t>consumer discretionary</t>
        </is>
      </c>
      <c r="D355" s="31" t="inlineStr">
        <is>
          <t>domestic appliances</t>
        </is>
      </c>
      <c r="E355" s="31" t="inlineStr">
        <is>
          <t>midcap</t>
        </is>
      </c>
      <c r="F355" s="31" t="n">
        <v>9209.950000000001</v>
      </c>
      <c r="G355" s="31" t="n">
        <v>665.3</v>
      </c>
      <c r="H355" s="31" t="n">
        <v>-1.07</v>
      </c>
      <c r="I355" s="31" t="n">
        <v>45298</v>
      </c>
      <c r="J355" s="31" t="inlineStr">
        <is>
          <t>517506</t>
        </is>
      </c>
    </row>
    <row r="356">
      <c r="A356" s="31" t="inlineStr">
        <is>
          <t>MACPOWER</t>
        </is>
      </c>
      <c r="B356" s="31" t="inlineStr">
        <is>
          <t>Macpower CNC Machines Ltd</t>
        </is>
      </c>
      <c r="C356" s="31" t="inlineStr">
        <is>
          <t>industrials</t>
        </is>
      </c>
      <c r="D356" s="31" t="inlineStr">
        <is>
          <t>engineering</t>
        </is>
      </c>
      <c r="E356" s="31" t="inlineStr">
        <is>
          <t>smallcap</t>
        </is>
      </c>
      <c r="F356" s="31" t="n">
        <v>1327.25</v>
      </c>
      <c r="G356" s="31" t="n">
        <v>1312.1</v>
      </c>
      <c r="H356" s="31" t="n">
        <v>-1.1</v>
      </c>
      <c r="I356" s="31" t="n">
        <v>8775</v>
      </c>
      <c r="J356" s="31" t="inlineStr">
        <is>
          <t>535057</t>
        </is>
      </c>
    </row>
    <row r="357">
      <c r="A357" s="31" t="inlineStr">
        <is>
          <t>MUKANDLTD</t>
        </is>
      </c>
      <c r="B357" s="31" t="inlineStr">
        <is>
          <t>Mukand Limited</t>
        </is>
      </c>
      <c r="C357" s="31" t="inlineStr">
        <is>
          <t>metals &amp; mining</t>
        </is>
      </c>
      <c r="D357" s="31" t="inlineStr">
        <is>
          <t>steel - medium / small</t>
        </is>
      </c>
      <c r="E357" s="31" t="inlineStr">
        <is>
          <t>smallcap</t>
        </is>
      </c>
      <c r="F357" s="31" t="n">
        <v>2105.16</v>
      </c>
      <c r="G357" s="31" t="n">
        <v>143.86</v>
      </c>
      <c r="H357" s="31" t="n">
        <v>-1.26</v>
      </c>
      <c r="I357" s="31" t="n">
        <v>121315</v>
      </c>
      <c r="J357" s="31" t="inlineStr">
        <is>
          <t>500460</t>
        </is>
      </c>
    </row>
    <row r="358">
      <c r="A358" s="31" t="inlineStr">
        <is>
          <t>OFSS</t>
        </is>
      </c>
      <c r="B358" s="31" t="inlineStr">
        <is>
          <t>Oracle Financial Services Software Limited</t>
        </is>
      </c>
      <c r="C358" s="31" t="inlineStr">
        <is>
          <t>i.t</t>
        </is>
      </c>
      <c r="D358" s="31" t="inlineStr">
        <is>
          <t>computers - software - large</t>
        </is>
      </c>
      <c r="E358" s="31" t="inlineStr">
        <is>
          <t>largecap</t>
        </is>
      </c>
      <c r="F358" s="31" t="n">
        <v>102492.61</v>
      </c>
      <c r="G358" s="31" t="n">
        <v>11620</v>
      </c>
      <c r="H358" s="31" t="n">
        <v>-1.28</v>
      </c>
      <c r="I358" s="31" t="n">
        <v>395465</v>
      </c>
      <c r="J358" s="31" t="inlineStr">
        <is>
          <t>532466</t>
        </is>
      </c>
    </row>
    <row r="359">
      <c r="A359" s="31" t="inlineStr">
        <is>
          <t>PANSARI</t>
        </is>
      </c>
      <c r="B359" s="31" t="inlineStr">
        <is>
          <t>Pansari Developers Ltd</t>
        </is>
      </c>
      <c r="C359" s="31" t="inlineStr">
        <is>
          <t>realty</t>
        </is>
      </c>
      <c r="D359" s="31" t="inlineStr">
        <is>
          <t>construction</t>
        </is>
      </c>
      <c r="E359" s="31" t="inlineStr">
        <is>
          <t>smallcap</t>
        </is>
      </c>
      <c r="F359" s="31" t="n">
        <v>629.22</v>
      </c>
      <c r="G359" s="31" t="n">
        <v>356</v>
      </c>
      <c r="H359" s="31" t="n">
        <v>-1.29</v>
      </c>
      <c r="I359" s="31" t="n">
        <v>2987</v>
      </c>
      <c r="J359" s="31" t="inlineStr">
        <is>
          <t>538381</t>
        </is>
      </c>
    </row>
    <row r="360">
      <c r="A360" s="31" t="inlineStr">
        <is>
          <t>JINDALSAW</t>
        </is>
      </c>
      <c r="B360" s="31" t="inlineStr">
        <is>
          <t>Jindal Saw Limited</t>
        </is>
      </c>
      <c r="C360" s="31" t="inlineStr">
        <is>
          <t>industrials</t>
        </is>
      </c>
      <c r="D360" s="31" t="inlineStr">
        <is>
          <t>steel - large</t>
        </is>
      </c>
      <c r="E360" s="31" t="inlineStr">
        <is>
          <t>midcap</t>
        </is>
      </c>
      <c r="F360" s="31" t="n">
        <v>17231.55</v>
      </c>
      <c r="G360" s="31" t="n">
        <v>265.95</v>
      </c>
      <c r="H360" s="31" t="n">
        <v>-1.3</v>
      </c>
      <c r="I360" s="31" t="n">
        <v>1258760</v>
      </c>
      <c r="J360" s="31" t="inlineStr">
        <is>
          <t>500378</t>
        </is>
      </c>
    </row>
    <row r="361">
      <c r="A361" s="31" t="inlineStr">
        <is>
          <t>DALMIASUG</t>
        </is>
      </c>
      <c r="B361" s="31" t="inlineStr">
        <is>
          <t>Dalmia Bharat Sugar And Industries Limited</t>
        </is>
      </c>
      <c r="C361" s="31" t="inlineStr">
        <is>
          <t>fmcg</t>
        </is>
      </c>
      <c r="D361" s="31" t="inlineStr">
        <is>
          <t>sugar</t>
        </is>
      </c>
      <c r="E361" s="31" t="inlineStr">
        <is>
          <t>smallcap</t>
        </is>
      </c>
      <c r="F361" s="31" t="n">
        <v>2973.71</v>
      </c>
      <c r="G361" s="31" t="n">
        <v>362.6</v>
      </c>
      <c r="H361" s="31" t="n">
        <v>-1.31</v>
      </c>
      <c r="I361" s="31" t="n">
        <v>73189</v>
      </c>
      <c r="J361" s="31" t="inlineStr">
        <is>
          <t>500097</t>
        </is>
      </c>
    </row>
    <row r="362">
      <c r="A362" s="31" t="inlineStr">
        <is>
          <t>CHOLAFIN</t>
        </is>
      </c>
      <c r="B362" s="31" t="inlineStr">
        <is>
          <t>Cholamandalam Investment And Finance Company Limited</t>
        </is>
      </c>
      <c r="C362" s="31" t="inlineStr">
        <is>
          <t>financials</t>
        </is>
      </c>
      <c r="D362" s="31" t="inlineStr">
        <is>
          <t>finance &amp; investments</t>
        </is>
      </c>
      <c r="E362" s="31" t="inlineStr">
        <is>
          <t>largecap</t>
        </is>
      </c>
      <c r="F362" s="31" t="n">
        <v>153784.19</v>
      </c>
      <c r="G362" s="31" t="n">
        <v>1780</v>
      </c>
      <c r="H362" s="31" t="n">
        <v>-1.38</v>
      </c>
      <c r="I362" s="31" t="n">
        <v>884308</v>
      </c>
      <c r="J362" s="31" t="inlineStr">
        <is>
          <t>511243</t>
        </is>
      </c>
    </row>
    <row r="363">
      <c r="A363" s="31" t="inlineStr">
        <is>
          <t>SMCGLOBAL</t>
        </is>
      </c>
      <c r="B363" s="31" t="inlineStr">
        <is>
          <t>SMC Global Securities Ltd</t>
        </is>
      </c>
      <c r="C363" s="31" t="inlineStr">
        <is>
          <t>financials</t>
        </is>
      </c>
      <c r="D363" s="31" t="inlineStr">
        <is>
          <t>finance &amp; investments</t>
        </is>
      </c>
      <c r="E363" s="31" t="inlineStr">
        <is>
          <t>smallcap</t>
        </is>
      </c>
      <c r="F363" s="31" t="n">
        <v>1710.17</v>
      </c>
      <c r="G363" s="31" t="n">
        <v>80.54000000000001</v>
      </c>
      <c r="H363" s="31" t="n">
        <v>-1.38</v>
      </c>
      <c r="I363" s="31" t="n">
        <v>428047</v>
      </c>
      <c r="J363" s="31" t="inlineStr">
        <is>
          <t>543263</t>
        </is>
      </c>
    </row>
    <row r="364">
      <c r="A364" s="31" t="inlineStr">
        <is>
          <t>INDIAGLYCO</t>
        </is>
      </c>
      <c r="B364" s="31" t="inlineStr">
        <is>
          <t>India Glycols Limited</t>
        </is>
      </c>
      <c r="C364" s="31" t="inlineStr">
        <is>
          <t>fmcg</t>
        </is>
      </c>
      <c r="D364" s="31" t="inlineStr">
        <is>
          <t>breweries &amp; distilleries</t>
        </is>
      </c>
      <c r="E364" s="31" t="inlineStr">
        <is>
          <t>midcap</t>
        </is>
      </c>
      <c r="F364" s="31" t="n">
        <v>7770.41</v>
      </c>
      <c r="G364" s="31" t="n">
        <v>1143.2</v>
      </c>
      <c r="H364" s="31" t="n">
        <v>-1.39</v>
      </c>
      <c r="I364" s="31" t="n">
        <v>224297</v>
      </c>
      <c r="J364" s="31" t="inlineStr">
        <is>
          <t>500201</t>
        </is>
      </c>
    </row>
    <row r="365">
      <c r="A365" s="31" t="inlineStr">
        <is>
          <t>PRESTIGE</t>
        </is>
      </c>
      <c r="B365" s="31" t="inlineStr">
        <is>
          <t>Prestige Estates Projects Limited</t>
        </is>
      </c>
      <c r="C365" s="31" t="inlineStr">
        <is>
          <t>realty</t>
        </is>
      </c>
      <c r="D365" s="31" t="inlineStr">
        <is>
          <t>construction</t>
        </is>
      </c>
      <c r="E365" s="31" t="inlineStr">
        <is>
          <t>largecap</t>
        </is>
      </c>
      <c r="F365" s="31" t="n">
        <v>72922.63</v>
      </c>
      <c r="G365" s="31" t="n">
        <v>1669.1</v>
      </c>
      <c r="H365" s="31" t="n">
        <v>-1.41</v>
      </c>
      <c r="I365" s="31" t="n">
        <v>371220</v>
      </c>
      <c r="J365" s="31" t="inlineStr">
        <is>
          <t>533274</t>
        </is>
      </c>
    </row>
    <row r="366">
      <c r="A366" s="31" t="inlineStr">
        <is>
          <t>SENORES</t>
        </is>
      </c>
      <c r="B366" s="31" t="inlineStr">
        <is>
          <t>Senores Pharmaceuticals Ltd</t>
        </is>
      </c>
      <c r="C366" s="31" t="inlineStr">
        <is>
          <t>healthcare</t>
        </is>
      </c>
      <c r="D366" s="31" t="inlineStr">
        <is>
          <t>pharmaceuticals - indian - formulations</t>
        </is>
      </c>
      <c r="E366" s="31" t="inlineStr">
        <is>
          <t>midcap</t>
        </is>
      </c>
      <c r="F366" s="31" t="n">
        <v>6470.99</v>
      </c>
      <c r="G366" s="31" t="n">
        <v>1385</v>
      </c>
      <c r="H366" s="31" t="n">
        <v>-1.43</v>
      </c>
      <c r="I366" s="31" t="n">
        <v>169049</v>
      </c>
      <c r="J366" s="31" t="inlineStr">
        <is>
          <t>544319</t>
        </is>
      </c>
    </row>
    <row r="367">
      <c r="A367" s="31" t="inlineStr">
        <is>
          <t>GREAVESCOT</t>
        </is>
      </c>
      <c r="B367" s="31" t="inlineStr">
        <is>
          <t>Greaves Cotton Limited</t>
        </is>
      </c>
      <c r="C367" s="31" t="inlineStr">
        <is>
          <t>industrials</t>
        </is>
      </c>
      <c r="D367" s="31" t="inlineStr">
        <is>
          <t>engines</t>
        </is>
      </c>
      <c r="E367" s="31" t="inlineStr">
        <is>
          <t>midcap</t>
        </is>
      </c>
      <c r="F367" s="31" t="n">
        <v>5811.21</v>
      </c>
      <c r="G367" s="31" t="n">
        <v>245.72</v>
      </c>
      <c r="H367" s="31" t="n">
        <v>-1.5</v>
      </c>
      <c r="I367" s="31" t="n">
        <v>1078009</v>
      </c>
      <c r="J367" s="31" t="inlineStr">
        <is>
          <t>501455</t>
        </is>
      </c>
    </row>
    <row r="368">
      <c r="A368" s="31" t="inlineStr">
        <is>
          <t>ORICONENT</t>
        </is>
      </c>
      <c r="B368" s="31" t="inlineStr">
        <is>
          <t>Oricon Enterprises Limited</t>
        </is>
      </c>
      <c r="C368" s="31" t="inlineStr">
        <is>
          <t>industrials</t>
        </is>
      </c>
      <c r="D368" s="31" t="inlineStr">
        <is>
          <t>packaging</t>
        </is>
      </c>
      <c r="E368" s="31" t="inlineStr">
        <is>
          <t>smallcap</t>
        </is>
      </c>
      <c r="F368" s="31" t="n">
        <v>941.5</v>
      </c>
      <c r="G368" s="31" t="n">
        <v>59</v>
      </c>
      <c r="H368" s="31" t="n">
        <v>-1.58</v>
      </c>
      <c r="I368" s="31" t="n">
        <v>26938</v>
      </c>
      <c r="J368" s="31" t="inlineStr">
        <is>
          <t>513121</t>
        </is>
      </c>
    </row>
    <row r="369">
      <c r="A369" s="31" t="inlineStr">
        <is>
          <t>TCPLPACK</t>
        </is>
      </c>
      <c r="B369" s="31" t="inlineStr">
        <is>
          <t>TCPL Packaging Ltd</t>
        </is>
      </c>
      <c r="C369" s="31" t="inlineStr">
        <is>
          <t>industrials</t>
        </is>
      </c>
      <c r="D369" s="31" t="inlineStr">
        <is>
          <t>packaging</t>
        </is>
      </c>
      <c r="E369" s="31" t="inlineStr">
        <is>
          <t>smallcap</t>
        </is>
      </c>
      <c r="F369" s="31" t="n">
        <v>2926.38</v>
      </c>
      <c r="G369" s="31" t="n">
        <v>3164</v>
      </c>
      <c r="H369" s="31" t="n">
        <v>-1.61</v>
      </c>
      <c r="I369" s="31" t="n">
        <v>3515</v>
      </c>
      <c r="J369" s="31" t="inlineStr">
        <is>
          <t>523301</t>
        </is>
      </c>
    </row>
    <row r="370">
      <c r="A370" s="31" t="inlineStr">
        <is>
          <t>AETHER</t>
        </is>
      </c>
      <c r="B370" s="31" t="inlineStr">
        <is>
          <t>Aether Industries Ltd</t>
        </is>
      </c>
      <c r="C370" s="31" t="inlineStr">
        <is>
          <t>chemicals</t>
        </is>
      </c>
      <c r="D370" s="31" t="inlineStr">
        <is>
          <t>chemicals</t>
        </is>
      </c>
      <c r="E370" s="31" t="inlineStr">
        <is>
          <t>midcap</t>
        </is>
      </c>
      <c r="F370" s="31" t="n">
        <v>19579.09</v>
      </c>
      <c r="G370" s="31" t="n">
        <v>1450.6</v>
      </c>
      <c r="H370" s="31" t="n">
        <v>-1.67</v>
      </c>
      <c r="I370" s="31" t="n">
        <v>95908</v>
      </c>
      <c r="J370" s="31" t="inlineStr">
        <is>
          <t>543534</t>
        </is>
      </c>
    </row>
    <row r="371">
      <c r="A371" s="31" t="inlineStr">
        <is>
          <t>ROLEXRINGS</t>
        </is>
      </c>
      <c r="B371" s="31" t="inlineStr">
        <is>
          <t>Rolex Rings Ltd</t>
        </is>
      </c>
      <c r="C371" s="31" t="inlineStr">
        <is>
          <t>auto</t>
        </is>
      </c>
      <c r="D371" s="31" t="inlineStr">
        <is>
          <t>auto ancillaries</t>
        </is>
      </c>
      <c r="E371" s="31" t="inlineStr">
        <is>
          <t>smallcap</t>
        </is>
      </c>
      <c r="F371" s="31" t="n">
        <v>4299.87</v>
      </c>
      <c r="G371" s="31" t="n">
        <v>155.25</v>
      </c>
      <c r="H371" s="31" t="n">
        <v>-1.67</v>
      </c>
      <c r="I371" s="31" t="n">
        <v>885790</v>
      </c>
      <c r="J371" s="31" t="inlineStr">
        <is>
          <t>543325</t>
        </is>
      </c>
    </row>
    <row r="372">
      <c r="A372" s="31" t="inlineStr">
        <is>
          <t>SILVERTUC</t>
        </is>
      </c>
      <c r="B372" s="31" t="inlineStr">
        <is>
          <t>Silver Touch Technologies Ltd</t>
        </is>
      </c>
      <c r="C372" s="31" t="inlineStr">
        <is>
          <t>i.t</t>
        </is>
      </c>
      <c r="D372" s="31" t="inlineStr">
        <is>
          <t>computers - software - medium / small</t>
        </is>
      </c>
      <c r="E372" s="31" t="inlineStr">
        <is>
          <t>smallcap</t>
        </is>
      </c>
      <c r="F372" s="31" t="n">
        <v>2507.29</v>
      </c>
      <c r="G372" s="31" t="n">
        <v>194.24</v>
      </c>
      <c r="H372" s="31" t="n">
        <v>-1.76</v>
      </c>
      <c r="I372" s="31" t="n">
        <v>361566</v>
      </c>
      <c r="J372" s="31" t="inlineStr">
        <is>
          <t>535031</t>
        </is>
      </c>
    </row>
    <row r="373">
      <c r="A373" s="31" t="inlineStr">
        <is>
          <t>AURUM</t>
        </is>
      </c>
      <c r="B373" s="31" t="inlineStr">
        <is>
          <t>Aurum Proptech Ltd</t>
        </is>
      </c>
      <c r="C373" s="31" t="inlineStr">
        <is>
          <t>i.t</t>
        </is>
      </c>
      <c r="D373" s="31" t="inlineStr">
        <is>
          <t>computers - software - medium / small</t>
        </is>
      </c>
      <c r="E373" s="31" t="inlineStr">
        <is>
          <t>smallcap</t>
        </is>
      </c>
      <c r="F373" s="31" t="n">
        <v>1834.29</v>
      </c>
      <c r="G373" s="31" t="n">
        <v>234.8</v>
      </c>
      <c r="H373" s="31" t="n">
        <v>-1.87</v>
      </c>
      <c r="I373" s="31" t="n">
        <v>2184292</v>
      </c>
      <c r="J373" s="31" t="inlineStr">
        <is>
          <t>539289</t>
        </is>
      </c>
    </row>
    <row r="374">
      <c r="A374" s="31" t="inlineStr">
        <is>
          <t>ACMESOLAR</t>
        </is>
      </c>
      <c r="B374" s="31" t="inlineStr">
        <is>
          <t>ACME Solar Holdings Ltd</t>
        </is>
      </c>
      <c r="C374" s="31" t="inlineStr">
        <is>
          <t>realty</t>
        </is>
      </c>
      <c r="D374" s="31" t="inlineStr">
        <is>
          <t>engineering - turnkey services</t>
        </is>
      </c>
      <c r="E374" s="31" t="inlineStr">
        <is>
          <t>largecap</t>
        </is>
      </c>
      <c r="F374" s="31" t="n">
        <v>27204.46</v>
      </c>
      <c r="G374" s="31" t="n">
        <v>377.55</v>
      </c>
      <c r="H374" s="31" t="n">
        <v>-2</v>
      </c>
      <c r="I374" s="31" t="n">
        <v>1381083</v>
      </c>
      <c r="J374" s="31" t="inlineStr">
        <is>
          <t>544283</t>
        </is>
      </c>
    </row>
    <row r="375">
      <c r="A375" s="31" t="inlineStr">
        <is>
          <t>HONASA</t>
        </is>
      </c>
      <c r="B375" s="31" t="inlineStr">
        <is>
          <t>Honasa Consumer Ltd</t>
        </is>
      </c>
      <c r="C375" s="31" t="inlineStr">
        <is>
          <t>services</t>
        </is>
      </c>
      <c r="D375" s="31" t="inlineStr">
        <is>
          <t>trading</t>
        </is>
      </c>
      <c r="E375" s="31" t="inlineStr">
        <is>
          <t>midcap</t>
        </is>
      </c>
      <c r="F375" s="31" t="n">
        <v>15223.7</v>
      </c>
      <c r="G375" s="31" t="n">
        <v>457.55</v>
      </c>
      <c r="H375" s="31" t="n">
        <v>-2.01</v>
      </c>
      <c r="I375" s="31" t="n">
        <v>1008664</v>
      </c>
      <c r="J375" s="31" t="inlineStr">
        <is>
          <t>544014</t>
        </is>
      </c>
    </row>
    <row r="376">
      <c r="A376" s="31" t="inlineStr">
        <is>
          <t>MIRZAINT</t>
        </is>
      </c>
      <c r="B376" s="31" t="inlineStr">
        <is>
          <t>Mirza International Limited</t>
        </is>
      </c>
      <c r="C376" s="31" t="inlineStr">
        <is>
          <t>consumer discretionary</t>
        </is>
      </c>
      <c r="D376" s="31" t="inlineStr">
        <is>
          <t>leather / leather products</t>
        </is>
      </c>
      <c r="E376" s="31" t="inlineStr">
        <is>
          <t>smallcap</t>
        </is>
      </c>
      <c r="F376" s="31" t="n">
        <v>535.39</v>
      </c>
      <c r="G376" s="31" t="n">
        <v>37.95</v>
      </c>
      <c r="H376" s="31" t="n">
        <v>-2.04</v>
      </c>
      <c r="I376" s="31" t="n">
        <v>434974</v>
      </c>
      <c r="J376" s="31" t="inlineStr">
        <is>
          <t>526642</t>
        </is>
      </c>
    </row>
    <row r="377">
      <c r="A377" s="31" t="inlineStr">
        <is>
          <t>MRPL</t>
        </is>
      </c>
      <c r="B377" s="31" t="inlineStr">
        <is>
          <t>Mangalore Refinery And Petrochemicals Limited</t>
        </is>
      </c>
      <c r="C377" s="31" t="inlineStr">
        <is>
          <t>energy</t>
        </is>
      </c>
      <c r="D377" s="31" t="inlineStr">
        <is>
          <t>refineries</t>
        </is>
      </c>
      <c r="E377" s="31" t="inlineStr">
        <is>
          <t>largecap</t>
        </is>
      </c>
      <c r="F377" s="31" t="n">
        <v>30581.1</v>
      </c>
      <c r="G377" s="31" t="n">
        <v>170.92</v>
      </c>
      <c r="H377" s="31" t="n">
        <v>-2.05</v>
      </c>
      <c r="I377" s="31" t="n">
        <v>14972840</v>
      </c>
      <c r="J377" s="31" t="inlineStr">
        <is>
          <t>500109</t>
        </is>
      </c>
    </row>
    <row r="378">
      <c r="A378" s="31" t="inlineStr">
        <is>
          <t>POONAWALLA</t>
        </is>
      </c>
      <c r="B378" s="31" t="inlineStr">
        <is>
          <t>Poonawalla Fincorp Ltd</t>
        </is>
      </c>
      <c r="C378" s="31" t="inlineStr">
        <is>
          <t>financials</t>
        </is>
      </c>
      <c r="D378" s="31" t="inlineStr">
        <is>
          <t>finance &amp; investments</t>
        </is>
      </c>
      <c r="E378" s="31" t="inlineStr">
        <is>
          <t>largecap</t>
        </is>
      </c>
      <c r="F378" s="31" t="n">
        <v>42026.2</v>
      </c>
      <c r="G378" s="31" t="n">
        <v>467.25</v>
      </c>
      <c r="H378" s="31" t="n">
        <v>-2.11</v>
      </c>
      <c r="I378" s="31" t="n">
        <v>5963064</v>
      </c>
      <c r="J378" s="31" t="inlineStr">
        <is>
          <t>524000</t>
        </is>
      </c>
    </row>
    <row r="379">
      <c r="A379" s="31" t="inlineStr">
        <is>
          <t>SIGNPOST</t>
        </is>
      </c>
      <c r="B379" s="31" t="inlineStr">
        <is>
          <t>Signpost India Ltd</t>
        </is>
      </c>
      <c r="C379" s="31" t="inlineStr">
        <is>
          <t>miscellaneous</t>
        </is>
      </c>
      <c r="D379" s="31" t="inlineStr">
        <is>
          <t>miscellaneous</t>
        </is>
      </c>
      <c r="E379" s="31" t="inlineStr">
        <is>
          <t>smallcap</t>
        </is>
      </c>
      <c r="F379" s="31" t="n">
        <v>1747.28</v>
      </c>
      <c r="G379" s="31" t="n">
        <v>319.9</v>
      </c>
      <c r="H379" s="31" t="n">
        <v>-2.14</v>
      </c>
      <c r="I379" s="31" t="n">
        <v>81485</v>
      </c>
      <c r="J379" s="31" t="n"/>
    </row>
    <row r="380">
      <c r="A380" s="31" t="inlineStr">
        <is>
          <t>IKIO</t>
        </is>
      </c>
      <c r="B380" s="31" t="inlineStr">
        <is>
          <t>IKIO Lighting Ltd</t>
        </is>
      </c>
      <c r="C380" s="31" t="inlineStr">
        <is>
          <t>consumer discretionary</t>
        </is>
      </c>
      <c r="D380" s="31" t="inlineStr">
        <is>
          <t>electric equipment</t>
        </is>
      </c>
      <c r="E380" s="31" t="inlineStr">
        <is>
          <t>smallcap</t>
        </is>
      </c>
      <c r="F380" s="31" t="n">
        <v>1695.31</v>
      </c>
      <c r="G380" s="31" t="n">
        <v>214.37</v>
      </c>
      <c r="H380" s="31" t="n">
        <v>-2.28</v>
      </c>
      <c r="I380" s="31" t="n">
        <v>841567</v>
      </c>
      <c r="J380" s="31" t="inlineStr">
        <is>
          <t>543923</t>
        </is>
      </c>
    </row>
    <row r="381">
      <c r="A381" s="31" t="inlineStr">
        <is>
          <t>BUTTERFLY</t>
        </is>
      </c>
      <c r="B381" s="31" t="inlineStr">
        <is>
          <t>Butterfly Gandhimathi Appliances Limited</t>
        </is>
      </c>
      <c r="C381" s="31" t="inlineStr">
        <is>
          <t>consumer discretionary</t>
        </is>
      </c>
      <c r="D381" s="31" t="inlineStr">
        <is>
          <t>domestic appliances</t>
        </is>
      </c>
      <c r="E381" s="31" t="inlineStr">
        <is>
          <t>smallcap</t>
        </is>
      </c>
      <c r="F381" s="31" t="n">
        <v>1387.36</v>
      </c>
      <c r="G381" s="31" t="n">
        <v>758.2</v>
      </c>
      <c r="H381" s="31" t="n">
        <v>-2.29</v>
      </c>
      <c r="I381" s="31" t="n">
        <v>37694</v>
      </c>
      <c r="J381" s="31" t="inlineStr">
        <is>
          <t>517421</t>
        </is>
      </c>
    </row>
    <row r="382">
      <c r="A382" s="31" t="inlineStr">
        <is>
          <t>RPEL</t>
        </is>
      </c>
      <c r="B382" s="31" t="inlineStr">
        <is>
          <t>Raghav Productivity Enhancers Ltd</t>
        </is>
      </c>
      <c r="C382" s="31" t="inlineStr">
        <is>
          <t>building materials</t>
        </is>
      </c>
      <c r="D382" s="31" t="inlineStr">
        <is>
          <t>refractories / intermediates</t>
        </is>
      </c>
      <c r="E382" s="31" t="inlineStr">
        <is>
          <t>midcap</t>
        </is>
      </c>
      <c r="F382" s="31" t="n">
        <v>6033.23</v>
      </c>
      <c r="G382" s="31" t="n">
        <v>1283.1</v>
      </c>
      <c r="H382" s="31" t="n">
        <v>-2.34</v>
      </c>
      <c r="I382" s="31" t="n">
        <v>31350</v>
      </c>
      <c r="J382" s="31" t="inlineStr">
        <is>
          <t>539837</t>
        </is>
      </c>
    </row>
    <row r="383">
      <c r="A383" s="31" t="inlineStr">
        <is>
          <t>OAL</t>
        </is>
      </c>
      <c r="B383" s="31" t="inlineStr">
        <is>
          <t>Oriental Aromatics Ltd</t>
        </is>
      </c>
      <c r="C383" s="31" t="inlineStr">
        <is>
          <t>chemicals</t>
        </is>
      </c>
      <c r="D383" s="31" t="inlineStr">
        <is>
          <t>chemicals</t>
        </is>
      </c>
      <c r="E383" s="31" t="inlineStr">
        <is>
          <t>smallcap</t>
        </is>
      </c>
      <c r="F383" s="31" t="n">
        <v>1207.32</v>
      </c>
      <c r="G383" s="31" t="n">
        <v>350.2</v>
      </c>
      <c r="H383" s="31" t="n">
        <v>-2.38</v>
      </c>
      <c r="I383" s="31" t="n">
        <v>12049</v>
      </c>
      <c r="J383" s="31" t="inlineStr">
        <is>
          <t>500078</t>
        </is>
      </c>
    </row>
    <row r="384">
      <c r="A384" s="31" t="inlineStr">
        <is>
          <t>CGCL</t>
        </is>
      </c>
      <c r="B384" s="31" t="inlineStr">
        <is>
          <t>Capri Global Capital Limited</t>
        </is>
      </c>
      <c r="C384" s="31" t="inlineStr">
        <is>
          <t>financials</t>
        </is>
      </c>
      <c r="D384" s="31" t="inlineStr">
        <is>
          <t>finance &amp; investments</t>
        </is>
      </c>
      <c r="E384" s="31" t="inlineStr">
        <is>
          <t>largecap</t>
        </is>
      </c>
      <c r="F384" s="31" t="n">
        <v>24667.7</v>
      </c>
      <c r="G384" s="31" t="n">
        <v>250.02</v>
      </c>
      <c r="H384" s="31" t="n">
        <v>-2.48</v>
      </c>
      <c r="I384" s="31" t="n">
        <v>2118442</v>
      </c>
      <c r="J384" s="31" t="inlineStr">
        <is>
          <t>531595</t>
        </is>
      </c>
    </row>
    <row r="385">
      <c r="A385" s="31" t="inlineStr">
        <is>
          <t>SANGAMIND</t>
        </is>
      </c>
      <c r="B385" s="31" t="inlineStr">
        <is>
          <t>Sangam (india) Limited</t>
        </is>
      </c>
      <c r="C385" s="31" t="inlineStr">
        <is>
          <t>textiles</t>
        </is>
      </c>
      <c r="D385" s="31" t="inlineStr">
        <is>
          <t>textiles - spinning - synthetic / blended</t>
        </is>
      </c>
      <c r="E385" s="31" t="inlineStr">
        <is>
          <t>smallcap</t>
        </is>
      </c>
      <c r="F385" s="31" t="n">
        <v>3200.45</v>
      </c>
      <c r="G385" s="31" t="n">
        <v>621.1</v>
      </c>
      <c r="H385" s="31" t="n">
        <v>-2.49</v>
      </c>
      <c r="I385" s="31" t="n">
        <v>721869</v>
      </c>
      <c r="J385" s="31" t="inlineStr">
        <is>
          <t>514234</t>
        </is>
      </c>
    </row>
    <row r="386">
      <c r="A386" s="31" t="inlineStr">
        <is>
          <t>SUBEXLTD</t>
        </is>
      </c>
      <c r="B386" s="31" t="inlineStr">
        <is>
          <t>Subex Ltd</t>
        </is>
      </c>
      <c r="C386" s="31" t="inlineStr">
        <is>
          <t>i.t</t>
        </is>
      </c>
      <c r="D386" s="31" t="inlineStr">
        <is>
          <t>computers - software - medium / small</t>
        </is>
      </c>
      <c r="E386" s="31" t="inlineStr">
        <is>
          <t>smallcap</t>
        </is>
      </c>
      <c r="F386" s="31" t="n">
        <v>745.78</v>
      </c>
      <c r="G386" s="31" t="n">
        <v>12.93</v>
      </c>
      <c r="H386" s="31" t="n">
        <v>-2.56</v>
      </c>
      <c r="I386" s="31" t="n">
        <v>619787</v>
      </c>
      <c r="J386" s="31" t="inlineStr">
        <is>
          <t>532348</t>
        </is>
      </c>
    </row>
    <row r="387">
      <c r="A387" s="31" t="inlineStr">
        <is>
          <t>MOSCHIP</t>
        </is>
      </c>
      <c r="B387" s="31" t="inlineStr">
        <is>
          <t>Moschip Technologies Ltd</t>
        </is>
      </c>
      <c r="C387" s="31" t="inlineStr">
        <is>
          <t>i.t</t>
        </is>
      </c>
      <c r="D387" s="31" t="inlineStr">
        <is>
          <t>computers - hardware</t>
        </is>
      </c>
      <c r="E387" s="31" t="inlineStr">
        <is>
          <t>smallcap</t>
        </is>
      </c>
      <c r="F387" s="31" t="n">
        <v>4669.22</v>
      </c>
      <c r="G387" s="31" t="n">
        <v>233.79</v>
      </c>
      <c r="H387" s="31" t="n">
        <v>-2.63</v>
      </c>
      <c r="I387" s="31" t="n">
        <v>2011347</v>
      </c>
      <c r="J387" s="31" t="inlineStr">
        <is>
          <t>532407</t>
        </is>
      </c>
    </row>
    <row r="388">
      <c r="A388" s="31" t="inlineStr">
        <is>
          <t>TFCILTD</t>
        </is>
      </c>
      <c r="B388" s="31" t="inlineStr">
        <is>
          <t>Tourism Finance Corporation Of India Limited</t>
        </is>
      </c>
      <c r="C388" s="31" t="inlineStr">
        <is>
          <t>financials</t>
        </is>
      </c>
      <c r="D388" s="31" t="inlineStr">
        <is>
          <t>finance - term-lending institutions</t>
        </is>
      </c>
      <c r="E388" s="31" t="inlineStr">
        <is>
          <t>smallcap</t>
        </is>
      </c>
      <c r="F388" s="31" t="n">
        <v>3936.7</v>
      </c>
      <c r="G388" s="31" t="n">
        <v>82.73999999999999</v>
      </c>
      <c r="H388" s="31" t="n">
        <v>-2.69</v>
      </c>
      <c r="I388" s="31" t="n">
        <v>10344839</v>
      </c>
      <c r="J388" s="31" t="inlineStr">
        <is>
          <t>526650</t>
        </is>
      </c>
    </row>
    <row r="389">
      <c r="A389" s="31" t="inlineStr">
        <is>
          <t>VAIBHAVGBL</t>
        </is>
      </c>
      <c r="B389" s="31" t="inlineStr">
        <is>
          <t>Vaibhav Global Limited</t>
        </is>
      </c>
      <c r="C389" s="31" t="inlineStr">
        <is>
          <t>consumer discretionary</t>
        </is>
      </c>
      <c r="D389" s="31" t="inlineStr">
        <is>
          <t>diamond cutting / jewellery</t>
        </is>
      </c>
      <c r="E389" s="31" t="inlineStr">
        <is>
          <t>smallcap</t>
        </is>
      </c>
      <c r="F389" s="31" t="n">
        <v>4378.34</v>
      </c>
      <c r="G389" s="31" t="n">
        <v>254.9</v>
      </c>
      <c r="H389" s="31" t="n">
        <v>-2.74</v>
      </c>
      <c r="I389" s="31" t="n">
        <v>387633</v>
      </c>
      <c r="J389" s="31" t="inlineStr">
        <is>
          <t>532156</t>
        </is>
      </c>
    </row>
    <row r="390">
      <c r="A390" s="31" t="inlineStr">
        <is>
          <t>IPCALAB</t>
        </is>
      </c>
      <c r="B390" s="31" t="inlineStr">
        <is>
          <t>Ipca Laboratories Limited</t>
        </is>
      </c>
      <c r="C390" s="31" t="inlineStr">
        <is>
          <t>healthcare</t>
        </is>
      </c>
      <c r="D390" s="31" t="inlineStr">
        <is>
          <t>pharmaceuticals - indian - bulk drugs &amp; formln</t>
        </is>
      </c>
      <c r="E390" s="31" t="inlineStr">
        <is>
          <t>largecap</t>
        </is>
      </c>
      <c r="F390" s="31" t="n">
        <v>48219.02</v>
      </c>
      <c r="G390" s="31" t="n">
        <v>1838.6</v>
      </c>
      <c r="H390" s="31" t="n">
        <v>-3.26</v>
      </c>
      <c r="I390" s="31" t="n">
        <v>301980</v>
      </c>
      <c r="J390" s="31" t="inlineStr">
        <is>
          <t>524494</t>
        </is>
      </c>
    </row>
    <row r="391">
      <c r="A391" s="31" t="inlineStr">
        <is>
          <t>AIIL</t>
        </is>
      </c>
      <c r="B391" s="31" t="inlineStr">
        <is>
          <t>Authum Investment &amp; Infrastructure Ltd</t>
        </is>
      </c>
      <c r="C391" s="31" t="inlineStr">
        <is>
          <t>financials</t>
        </is>
      </c>
      <c r="D391" s="31" t="inlineStr">
        <is>
          <t>finance &amp; investments</t>
        </is>
      </c>
      <c r="E391" s="31" t="inlineStr">
        <is>
          <t>largecap</t>
        </is>
      </c>
      <c r="F391" s="31" t="n">
        <v>48490.78</v>
      </c>
      <c r="G391" s="31" t="n">
        <v>551.95</v>
      </c>
      <c r="H391" s="31" t="n">
        <v>-3.34</v>
      </c>
      <c r="I391" s="31" t="n">
        <v>505499</v>
      </c>
      <c r="J391" s="31" t="inlineStr">
        <is>
          <t>539177</t>
        </is>
      </c>
    </row>
    <row r="392">
      <c r="A392" s="31" t="inlineStr">
        <is>
          <t>CUPID</t>
        </is>
      </c>
      <c r="B392" s="31" t="inlineStr">
        <is>
          <t>Cupid Limited</t>
        </is>
      </c>
      <c r="C392" s="31" t="inlineStr">
        <is>
          <t>fmcg</t>
        </is>
      </c>
      <c r="D392" s="31" t="inlineStr">
        <is>
          <t>personal care - indian</t>
        </is>
      </c>
      <c r="E392" s="31" t="inlineStr">
        <is>
          <t>largecap</t>
        </is>
      </c>
      <c r="F392" s="31" t="n">
        <v>28880.62</v>
      </c>
      <c r="G392" s="31" t="n">
        <v>207.27</v>
      </c>
      <c r="H392" s="31" t="n">
        <v>-3.5</v>
      </c>
      <c r="I392" s="31" t="n">
        <v>62639495</v>
      </c>
      <c r="J392" s="31" t="inlineStr">
        <is>
          <t>530843</t>
        </is>
      </c>
    </row>
    <row r="393">
      <c r="A393" s="31" t="inlineStr">
        <is>
          <t>RUBYMILLS</t>
        </is>
      </c>
      <c r="B393" s="31" t="inlineStr">
        <is>
          <t>The Ruby Mills Limited</t>
        </is>
      </c>
      <c r="C393" s="31" t="inlineStr">
        <is>
          <t>textiles</t>
        </is>
      </c>
      <c r="D393" s="31" t="inlineStr">
        <is>
          <t>textiles - composite</t>
        </is>
      </c>
      <c r="E393" s="31" t="inlineStr">
        <is>
          <t>smallcap</t>
        </is>
      </c>
      <c r="F393" s="31" t="n">
        <v>1383.08</v>
      </c>
      <c r="G393" s="31" t="n">
        <v>392.95</v>
      </c>
      <c r="H393" s="31" t="n">
        <v>-4.99</v>
      </c>
      <c r="I393" s="31" t="n">
        <v>20421</v>
      </c>
      <c r="J393" s="31" t="inlineStr">
        <is>
          <t>503169</t>
        </is>
      </c>
    </row>
    <row r="394">
      <c r="A394" s="31" t="inlineStr">
        <is>
          <t>GNA</t>
        </is>
      </c>
      <c r="B394" s="31" t="inlineStr">
        <is>
          <t>Gna Axles Limited</t>
        </is>
      </c>
      <c r="C394" s="31" t="inlineStr">
        <is>
          <t>auto</t>
        </is>
      </c>
      <c r="D394" s="31" t="inlineStr">
        <is>
          <t>auto ancillaries</t>
        </is>
      </c>
      <c r="E394" s="31" t="inlineStr">
        <is>
          <t>smallcap</t>
        </is>
      </c>
      <c r="F394" s="31" t="n">
        <v>2434.39</v>
      </c>
      <c r="G394" s="31" t="n">
        <v>508</v>
      </c>
      <c r="H394" s="31" t="n">
        <v>-10.41</v>
      </c>
      <c r="I394" s="31" t="n">
        <v>2003848</v>
      </c>
      <c r="J394" s="31" t="inlineStr">
        <is>
          <t>540124</t>
        </is>
      </c>
    </row>
  </sheetData>
  <autoFilter ref="A1:J3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MENONBE</t>
        </is>
      </c>
      <c r="E2" s="31" t="inlineStr">
        <is>
          <t>Menon Bearings Limited</t>
        </is>
      </c>
      <c r="F2" s="31" t="inlineStr">
        <is>
          <t>Auto Ancillaries - Bearings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22</v>
      </c>
      <c r="K2" s="31" t="n">
        <v>21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TINNARUBR</t>
        </is>
      </c>
      <c r="E3" s="31" t="inlineStr">
        <is>
          <t>Tinna Rubber &amp; Infrastructure Ltd</t>
        </is>
      </c>
      <c r="F3" s="31" t="inlineStr">
        <is>
          <t>Rubber Processing/Rubber Products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20</v>
      </c>
      <c r="K3" s="31" t="n">
        <v>21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RADICO</t>
        </is>
      </c>
      <c r="E4" s="31" t="inlineStr">
        <is>
          <t>Radico Khaitan Limited</t>
        </is>
      </c>
      <c r="F4" s="31" t="inlineStr">
        <is>
          <t>Alcoholic Beverages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16</v>
      </c>
      <c r="K4" s="31" t="n">
        <v>26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MUTHOOTMF</t>
        </is>
      </c>
      <c r="E5" s="31" t="inlineStr">
        <is>
          <t>Muthoot Microfin Ltd</t>
        </is>
      </c>
      <c r="F5" s="31" t="inlineStr">
        <is>
          <t>Finance &amp; Investments - Microfinance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16</v>
      </c>
      <c r="K5" s="31" t="n">
        <v>16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CEMPRO</t>
        </is>
      </c>
      <c r="E6" s="31" t="inlineStr">
        <is>
          <t>Cemindia Projects Ltd</t>
        </is>
      </c>
      <c r="F6" s="31" t="inlineStr">
        <is>
          <t>Infra - Construction &amp; Contracting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20</v>
      </c>
      <c r="K6" s="31" t="n">
        <v>30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ADOR</t>
        </is>
      </c>
      <c r="E7" s="31" t="inlineStr">
        <is>
          <t>Ador Welding Ltd</t>
        </is>
      </c>
      <c r="F7" s="31" t="inlineStr">
        <is>
          <t>Welding Equipments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16</v>
      </c>
      <c r="K7" s="31" t="n">
        <v>29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TATVA</t>
        </is>
      </c>
      <c r="E8" s="31" t="inlineStr">
        <is>
          <t>Tatva Chintan Pharma Chem Ltd</t>
        </is>
      </c>
      <c r="F8" s="31" t="inlineStr">
        <is>
          <t>Speciality Chemicals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25</v>
      </c>
      <c r="K8" s="31" t="n">
        <v>1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SKYGOLD</t>
        </is>
      </c>
      <c r="E9" s="31" t="inlineStr">
        <is>
          <t>Sky Gold Ltd</t>
        </is>
      </c>
      <c r="F9" s="31" t="inlineStr">
        <is>
          <t>Diamond, Gems &amp; Jewellery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25</v>
      </c>
      <c r="K9" s="31" t="n">
        <v>19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MBAPL</t>
        </is>
      </c>
      <c r="E10" s="31" t="inlineStr">
        <is>
          <t>Madhya Bharat Agro Products Ltd</t>
        </is>
      </c>
      <c r="F10" s="31" t="inlineStr">
        <is>
          <t>Fertilisers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16</v>
      </c>
      <c r="K10" s="31" t="n">
        <v>15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KAPSTON</t>
        </is>
      </c>
      <c r="E11" s="31" t="inlineStr">
        <is>
          <t>Kapston Services Ltd</t>
        </is>
      </c>
      <c r="F11" s="31" t="inlineStr">
        <is>
          <t>Services - Others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18</v>
      </c>
      <c r="K11" s="31" t="n">
        <v>20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RPGLIFE</t>
        </is>
      </c>
      <c r="E12" s="31" t="inlineStr">
        <is>
          <t>Rpg Life Sciences Limited</t>
        </is>
      </c>
      <c r="F12" s="31" t="inlineStr">
        <is>
          <t>Pharma - Formulators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16</v>
      </c>
      <c r="K12" s="31" t="n">
        <v>11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LLOYDSME</t>
        </is>
      </c>
      <c r="E13" s="31" t="inlineStr">
        <is>
          <t>Lloyds Metals &amp; Energy Ltd</t>
        </is>
      </c>
      <c r="F13" s="31" t="inlineStr">
        <is>
          <t>Mining/Minerals - Iron Ore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19</v>
      </c>
      <c r="K13" s="31" t="n">
        <v>16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SATIN</t>
        </is>
      </c>
      <c r="E14" s="31" t="inlineStr">
        <is>
          <t>Satin Creditcare Network Limited</t>
        </is>
      </c>
      <c r="F14" s="31" t="inlineStr">
        <is>
          <t>Finance &amp; Investments - Microfinance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17</v>
      </c>
      <c r="K14" s="31" t="n">
        <v>27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SURYODAY</t>
        </is>
      </c>
      <c r="E15" s="31" t="inlineStr">
        <is>
          <t>Suryoday Small Finance Bank Ltd</t>
        </is>
      </c>
      <c r="F15" s="31" t="inlineStr">
        <is>
          <t>Banks - Small Finance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17</v>
      </c>
      <c r="K15" s="31" t="n">
        <v>29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PRICOLLTD</t>
        </is>
      </c>
      <c r="E16" s="31" t="inlineStr">
        <is>
          <t>Pricol Ltd.</t>
        </is>
      </c>
      <c r="F16" s="31" t="inlineStr">
        <is>
          <t>unknown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0</v>
      </c>
      <c r="K16" s="31" t="n">
        <v>8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TIPSMUSIC</t>
        </is>
      </c>
      <c r="E17" s="31" t="inlineStr">
        <is>
          <t>Tips Music Ltd</t>
        </is>
      </c>
      <c r="F17" s="31" t="inlineStr">
        <is>
          <t>Music Licensing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23</v>
      </c>
      <c r="K17" s="31" t="n">
        <v>13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SAKAR</t>
        </is>
      </c>
      <c r="E18" s="31" t="inlineStr">
        <is>
          <t>Sakar Healthcare Ltd</t>
        </is>
      </c>
      <c r="F18" s="31" t="inlineStr">
        <is>
          <t>Hospitals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16</v>
      </c>
      <c r="K18" s="31" t="n">
        <v>28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INDOBORAX</t>
        </is>
      </c>
      <c r="E19" s="31" t="inlineStr">
        <is>
          <t>Indo Borax &amp; Chemicals Ltd</t>
        </is>
      </c>
      <c r="F19" s="31" t="inlineStr">
        <is>
          <t>Chemicals - Inorganic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18</v>
      </c>
      <c r="K19" s="31" t="n">
        <v>30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RPEL</t>
        </is>
      </c>
      <c r="E20" s="31" t="inlineStr">
        <is>
          <t>Raghav Productivity Enhancers Ltd</t>
        </is>
      </c>
      <c r="F20" s="31" t="inlineStr">
        <is>
          <t>Steel Products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18</v>
      </c>
      <c r="K20" s="31" t="n">
        <v>30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AEGISLOG</t>
        </is>
      </c>
      <c r="E21" s="31" t="inlineStr">
        <is>
          <t>Aegis Logistics Ltd</t>
        </is>
      </c>
      <c r="F21" s="31" t="inlineStr">
        <is>
          <t>Logistics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17</v>
      </c>
      <c r="K21" s="31" t="n">
        <v>25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PAISALO</t>
        </is>
      </c>
      <c r="E22" s="31" t="inlineStr">
        <is>
          <t>Paisalo Digital Ltd</t>
        </is>
      </c>
      <c r="F22" s="31" t="inlineStr">
        <is>
          <t>Finance - Capital Markets - Brokers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19</v>
      </c>
      <c r="K22" s="31" t="n">
        <v>30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UJJIVANSFB</t>
        </is>
      </c>
      <c r="E23" s="31" t="inlineStr">
        <is>
          <t>Ujjivan Small Finance Bank Ltd</t>
        </is>
      </c>
      <c r="F23" s="31" t="inlineStr">
        <is>
          <t>Banks - Small Finance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17</v>
      </c>
      <c r="K23" s="31" t="n">
        <v>9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HSCL</t>
        </is>
      </c>
      <c r="E24" s="31" t="inlineStr">
        <is>
          <t>Himadri Speciality Chemical Limited</t>
        </is>
      </c>
      <c r="F24" s="31" t="inlineStr">
        <is>
          <t>Carbon Black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18</v>
      </c>
      <c r="K24" s="31" t="n">
        <v>27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INDIAGLYCO</t>
        </is>
      </c>
      <c r="E25" s="31" t="inlineStr">
        <is>
          <t>India Glycols Limited</t>
        </is>
      </c>
      <c r="F25" s="31" t="inlineStr">
        <is>
          <t>unknown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0</v>
      </c>
      <c r="K25" s="31" t="n">
        <v>2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E2E</t>
        </is>
      </c>
      <c r="E26" s="31" t="inlineStr">
        <is>
          <t>E2E Networks Ltd</t>
        </is>
      </c>
      <c r="F26" s="31" t="inlineStr">
        <is>
          <t>Data Centre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15</v>
      </c>
      <c r="K26" s="31" t="n">
        <v>9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IBULLSLTD</t>
        </is>
      </c>
      <c r="E27" s="31" t="inlineStr">
        <is>
          <t>Indiabulls Limited</t>
        </is>
      </c>
      <c r="F27" s="31" t="inlineStr">
        <is>
          <t>Diversified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15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BHEL</t>
        </is>
      </c>
      <c r="E28" s="31" t="inlineStr">
        <is>
          <t>Bharat Heavy Electricals Limited</t>
        </is>
      </c>
      <c r="F28" s="31" t="inlineStr">
        <is>
          <t>Capital Goods - Engineering Heavy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18</v>
      </c>
      <c r="K28" s="31" t="n">
        <v>17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RISHABH</t>
        </is>
      </c>
      <c r="E29" s="31" t="inlineStr">
        <is>
          <t>Rishabh Instruments Ltd</t>
        </is>
      </c>
      <c r="F29" s="31" t="inlineStr">
        <is>
          <t>unknown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0</v>
      </c>
      <c r="K29" s="31" t="n">
        <v>22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SKMEGGPROD</t>
        </is>
      </c>
      <c r="E30" s="31" t="inlineStr">
        <is>
          <t>Skm Egg Products Export (india) Limited</t>
        </is>
      </c>
      <c r="F30" s="31" t="inlineStr">
        <is>
          <t>FMCG - Animal/Polutry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17</v>
      </c>
      <c r="K30" s="31" t="n">
        <v>30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ACUTAAS</t>
        </is>
      </c>
      <c r="E31" s="31" t="inlineStr">
        <is>
          <t>Acutaas Chemicals Ltd</t>
        </is>
      </c>
      <c r="F31" s="31" t="inlineStr">
        <is>
          <t>Pharma - API &amp; CRAMS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22</v>
      </c>
      <c r="K31" s="31" t="n">
        <v>28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JSFB</t>
        </is>
      </c>
      <c r="E32" s="31" t="inlineStr">
        <is>
          <t>Jana Small Finance Bank Ltd</t>
        </is>
      </c>
      <c r="F32" s="31" t="inlineStr">
        <is>
          <t>Banks - Small Finance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22</v>
      </c>
      <c r="K32" s="31" t="n">
        <v>9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RPTECH</t>
        </is>
      </c>
      <c r="E33" s="31" t="inlineStr">
        <is>
          <t>Rashi Peripherals Ltd</t>
        </is>
      </c>
      <c r="F33" s="31" t="inlineStr">
        <is>
          <t>Trading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18</v>
      </c>
      <c r="K33" s="31" t="n">
        <v>28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RAMCOSYS</t>
        </is>
      </c>
      <c r="E34" s="31" t="inlineStr">
        <is>
          <t>Ramco Systems Limited</t>
        </is>
      </c>
      <c r="F34" s="31" t="inlineStr">
        <is>
          <t>IT Product Companies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15</v>
      </c>
      <c r="K34" s="31" t="n">
        <v>20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UNIPARTS</t>
        </is>
      </c>
      <c r="E35" s="31" t="inlineStr">
        <is>
          <t>Uniparts India Ltd</t>
        </is>
      </c>
      <c r="F35" s="31" t="inlineStr">
        <is>
          <t>Castings, Forgings &amp; Fastners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17</v>
      </c>
      <c r="K35" s="31" t="n">
        <v>30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CUPID</t>
        </is>
      </c>
      <c r="E36" s="31" t="inlineStr">
        <is>
          <t>Cupid Limited</t>
        </is>
      </c>
      <c r="F36" s="31" t="inlineStr">
        <is>
          <t>Contraceptives/Protectives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20</v>
      </c>
      <c r="K36" s="31" t="n">
        <v>30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GRANULES</t>
        </is>
      </c>
      <c r="E37" s="31" t="inlineStr">
        <is>
          <t>Granules India Limited</t>
        </is>
      </c>
      <c r="F37" s="31" t="inlineStr">
        <is>
          <t>Pharma - API &amp; CRAMS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17</v>
      </c>
      <c r="K37" s="31" t="n">
        <v>23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THANGAMAYL</t>
        </is>
      </c>
      <c r="E38" s="31" t="inlineStr">
        <is>
          <t>Thangamayil Jewellery Limited</t>
        </is>
      </c>
      <c r="F38" s="31" t="inlineStr">
        <is>
          <t>Diamond, Gems &amp; Jewellery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18</v>
      </c>
      <c r="K38" s="31" t="n">
        <v>29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PGHL</t>
        </is>
      </c>
      <c r="E39" s="31" t="inlineStr">
        <is>
          <t>Procter &amp; Gamble Health Ltd</t>
        </is>
      </c>
      <c r="F39" s="31" t="inlineStr">
        <is>
          <t>unknown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0</v>
      </c>
      <c r="K39" s="31" t="n">
        <v>30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RAIN</t>
        </is>
      </c>
      <c r="E40" s="31" t="inlineStr">
        <is>
          <t>Rain Industries Limited</t>
        </is>
      </c>
      <c r="F40" s="31" t="inlineStr">
        <is>
          <t>Cement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15</v>
      </c>
      <c r="K40" s="31" t="n">
        <v>24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ATHERENERG</t>
        </is>
      </c>
      <c r="E41" s="31" t="inlineStr">
        <is>
          <t>Ather Energy Ltd</t>
        </is>
      </c>
      <c r="F41" s="31" t="inlineStr">
        <is>
          <t>Auto - 2 &amp; 3 Wheelers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17</v>
      </c>
      <c r="K41" s="31" t="n">
        <v>23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FEDERALBNK</t>
        </is>
      </c>
      <c r="E42" s="31" t="inlineStr">
        <is>
          <t>The Federal Bank  Limited</t>
        </is>
      </c>
      <c r="F42" s="31" t="inlineStr">
        <is>
          <t>Banks - Private</t>
        </is>
      </c>
      <c r="G42" s="31" t="n">
        <v>2</v>
      </c>
      <c r="H42" s="31" t="inlineStr">
        <is>
          <t>52W Breakout</t>
        </is>
      </c>
      <c r="I42" s="31" t="inlineStr">
        <is>
          <t>Yes</t>
        </is>
      </c>
      <c r="J42" s="31" t="n">
        <v>10</v>
      </c>
      <c r="K42" s="31" t="n">
        <v>25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KABRAEXTRU</t>
        </is>
      </c>
      <c r="E43" s="31" t="inlineStr">
        <is>
          <t>Kabra Extrusion Technik Limited</t>
        </is>
      </c>
      <c r="F43" s="31" t="inlineStr">
        <is>
          <t>Capital Goods - Engineering Heavy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18</v>
      </c>
      <c r="K43" s="31" t="n">
        <v>3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GNA</t>
        </is>
      </c>
      <c r="E44" s="31" t="inlineStr">
        <is>
          <t>Gna Axles Limited</t>
        </is>
      </c>
      <c r="F44" s="31" t="inlineStr">
        <is>
          <t>Auto &amp; Auto Ancl - CV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17</v>
      </c>
      <c r="K44" s="31" t="n">
        <v>12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TFCILTD</t>
        </is>
      </c>
      <c r="E45" s="31" t="inlineStr">
        <is>
          <t>Tourism Finance Corporation Of India Limited</t>
        </is>
      </c>
      <c r="F45" s="31" t="inlineStr">
        <is>
          <t>Finance - PSU Lending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17</v>
      </c>
      <c r="K45" s="31" t="n">
        <v>9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VADILALIND</t>
        </is>
      </c>
      <c r="E46" s="31" t="inlineStr">
        <is>
          <t>Vadilal Industries Limited</t>
        </is>
      </c>
      <c r="F46" s="31" t="inlineStr">
        <is>
          <t>FMCG - Dairy Products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18</v>
      </c>
      <c r="K46" s="31" t="n">
        <v>26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HESTERBIO</t>
        </is>
      </c>
      <c r="E47" s="31" t="inlineStr">
        <is>
          <t>Hester Biosciences Limited</t>
        </is>
      </c>
      <c r="F47" s="31" t="inlineStr">
        <is>
          <t>Pharma - Animal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16</v>
      </c>
      <c r="K47" s="31" t="n">
        <v>30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KRISHANA</t>
        </is>
      </c>
      <c r="E48" s="31" t="inlineStr">
        <is>
          <t>Krishana Phoschem Ltd</t>
        </is>
      </c>
      <c r="F48" s="31" t="inlineStr">
        <is>
          <t>Fertilisers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18</v>
      </c>
      <c r="K48" s="31" t="n">
        <v>12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FILATEX</t>
        </is>
      </c>
      <c r="E49" s="31" t="inlineStr">
        <is>
          <t>Filatex India Limited</t>
        </is>
      </c>
      <c r="F49" s="31" t="inlineStr">
        <is>
          <t>Textiles - Manmade Fibre - PFY/PSF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20</v>
      </c>
      <c r="K49" s="31" t="n">
        <v>10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CONSOFINVT</t>
        </is>
      </c>
      <c r="E50" s="31" t="inlineStr">
        <is>
          <t>Consolidated Finvest &amp; Holdings Limited</t>
        </is>
      </c>
      <c r="F50" s="31" t="inlineStr">
        <is>
          <t>Finance &amp; Investments - Others</t>
        </is>
      </c>
      <c r="G50" s="31" t="n">
        <v>2</v>
      </c>
      <c r="H50" s="31" t="inlineStr">
        <is>
          <t>52W Breakout</t>
        </is>
      </c>
      <c r="I50" s="31" t="inlineStr">
        <is>
          <t>Yes</t>
        </is>
      </c>
      <c r="J50" s="31" t="n">
        <v>1</v>
      </c>
      <c r="K50" s="31" t="n">
        <v>9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WABAG</t>
        </is>
      </c>
      <c r="E51" s="31" t="inlineStr">
        <is>
          <t>Va Tech Wabag Limited</t>
        </is>
      </c>
      <c r="F51" s="31" t="inlineStr">
        <is>
          <t>unknown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0</v>
      </c>
      <c r="K51" s="31" t="n">
        <v>29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SHAREINDIA</t>
        </is>
      </c>
      <c r="E52" s="31" t="inlineStr">
        <is>
          <t>Share India Securities Ltd</t>
        </is>
      </c>
      <c r="F52" s="31" t="inlineStr">
        <is>
          <t>Finance - Capital Markets - Brokers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17</v>
      </c>
      <c r="K52" s="31" t="n">
        <v>1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CGCL</t>
        </is>
      </c>
      <c r="E53" s="31" t="inlineStr">
        <is>
          <t>Capri Global Capital Limited</t>
        </is>
      </c>
      <c r="F53" s="31" t="inlineStr">
        <is>
          <t>Finance &amp; Investments - Gold Loan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21</v>
      </c>
      <c r="K53" s="31" t="n">
        <v>29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INDNIPPON</t>
        </is>
      </c>
      <c r="E54" s="31" t="inlineStr">
        <is>
          <t>India Nippon Electricals Limited</t>
        </is>
      </c>
      <c r="F54" s="31" t="inlineStr">
        <is>
          <t>Auto Ancillaries - Engine Parts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24</v>
      </c>
      <c r="K54" s="31" t="n">
        <v>27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OBEROIRLTY</t>
        </is>
      </c>
      <c r="E55" s="31" t="inlineStr">
        <is>
          <t>Oberoi Realty Limited</t>
        </is>
      </c>
      <c r="F55" s="31" t="inlineStr">
        <is>
          <t>Realty - Regional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18</v>
      </c>
      <c r="K55" s="31" t="n">
        <v>17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SUNPHARMA</t>
        </is>
      </c>
      <c r="E56" s="31" t="inlineStr">
        <is>
          <t>Sun Pharmaceuticals Industries Limited</t>
        </is>
      </c>
      <c r="F56" s="31" t="inlineStr">
        <is>
          <t>Pharma - Formulators</t>
        </is>
      </c>
      <c r="G56" s="31" t="n">
        <v>2</v>
      </c>
      <c r="H56" s="31" t="inlineStr">
        <is>
          <t>52W Breakout</t>
        </is>
      </c>
      <c r="I56" s="31" t="inlineStr">
        <is>
          <t>Yes</t>
        </is>
      </c>
      <c r="J56" s="31" t="n">
        <v>11</v>
      </c>
      <c r="K56" s="31" t="n">
        <v>11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KMEW</t>
        </is>
      </c>
      <c r="E57" s="31" t="inlineStr">
        <is>
          <t>Knowledge Marine &amp; Engineering Works Ltd</t>
        </is>
      </c>
      <c r="F57" s="31" t="inlineStr">
        <is>
          <t>Shipping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18</v>
      </c>
      <c r="K57" s="31" t="n">
        <v>12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IKIO</t>
        </is>
      </c>
      <c r="E58" s="31" t="inlineStr">
        <is>
          <t>IKIO Lighting Ltd</t>
        </is>
      </c>
      <c r="F58" s="31" t="inlineStr">
        <is>
          <t>Capital Goods - Electric General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16</v>
      </c>
      <c r="K58" s="31" t="n">
        <v>1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INDOTECH</t>
        </is>
      </c>
      <c r="E59" s="31" t="inlineStr">
        <is>
          <t>Indo Tech Transformers Limited</t>
        </is>
      </c>
      <c r="F59" s="31" t="inlineStr">
        <is>
          <t>Capital Goods - Transformers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18</v>
      </c>
      <c r="K59" s="31" t="n">
        <v>23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CHOICEIN</t>
        </is>
      </c>
      <c r="E60" s="31" t="inlineStr">
        <is>
          <t>Choice International Ltd</t>
        </is>
      </c>
      <c r="F60" s="31" t="inlineStr">
        <is>
          <t>Finance - Capital Markets - Brokers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15</v>
      </c>
      <c r="K60" s="31" t="n">
        <v>13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POONAWALLA</t>
        </is>
      </c>
      <c r="E61" s="31" t="inlineStr">
        <is>
          <t>Poonawalla Fincorp Ltd</t>
        </is>
      </c>
      <c r="F61" s="31" t="inlineStr">
        <is>
          <t>Conglomerate Backed NBFC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20</v>
      </c>
      <c r="K61" s="31" t="n">
        <v>1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RATEGAIN</t>
        </is>
      </c>
      <c r="E62" s="31" t="inlineStr">
        <is>
          <t>Rategain Travel Technologies Ltd</t>
        </is>
      </c>
      <c r="F62" s="31" t="inlineStr">
        <is>
          <t>unknown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0</v>
      </c>
      <c r="K62" s="31" t="n">
        <v>30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AURUM</t>
        </is>
      </c>
      <c r="E63" s="31" t="inlineStr">
        <is>
          <t>Aurum Proptech Ltd</t>
        </is>
      </c>
      <c r="F63" s="31" t="inlineStr">
        <is>
          <t>IT Enabled Services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25</v>
      </c>
      <c r="K63" s="31" t="n">
        <v>20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NYKAA</t>
        </is>
      </c>
      <c r="E64" s="31" t="inlineStr">
        <is>
          <t>FSN E-Commerce Ventures Ltd</t>
        </is>
      </c>
      <c r="F64" s="31" t="inlineStr">
        <is>
          <t>New age - Platform - E-Retail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16</v>
      </c>
      <c r="K64" s="31" t="n">
        <v>15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SSWL</t>
        </is>
      </c>
      <c r="E65" s="31" t="inlineStr">
        <is>
          <t>Steel Strips Wheels Limited</t>
        </is>
      </c>
      <c r="F65" s="31" t="inlineStr">
        <is>
          <t>Auto Ancillaries - Wheels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26</v>
      </c>
      <c r="K65" s="31" t="n">
        <v>22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WELCORP</t>
        </is>
      </c>
      <c r="E66" s="31" t="inlineStr">
        <is>
          <t>Welspun Corp Limited</t>
        </is>
      </c>
      <c r="F66" s="31" t="inlineStr">
        <is>
          <t>DI Pipes/Saw Pipes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20</v>
      </c>
      <c r="K66" s="31" t="n">
        <v>30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NOVARTIND</t>
        </is>
      </c>
      <c r="E67" s="31" t="inlineStr">
        <is>
          <t>Novartis India Ltd</t>
        </is>
      </c>
      <c r="F67" s="31" t="inlineStr">
        <is>
          <t>Pharma - MNC bulk Drugs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21</v>
      </c>
      <c r="K67" s="31" t="n">
        <v>23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BEPL</t>
        </is>
      </c>
      <c r="E68" s="31" t="inlineStr">
        <is>
          <t>Bhansali Engineering Polymers Limited</t>
        </is>
      </c>
      <c r="F68" s="31" t="inlineStr">
        <is>
          <t>Petrochem - Polymers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22</v>
      </c>
      <c r="K68" s="31" t="n">
        <v>8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IKS</t>
        </is>
      </c>
      <c r="E69" s="31" t="inlineStr">
        <is>
          <t>Inventurus Knowledge Solutions Ltd</t>
        </is>
      </c>
      <c r="F69" s="31" t="inlineStr">
        <is>
          <t>IT Enabled Services/Business Process Outsourcing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16</v>
      </c>
      <c r="K69" s="31" t="n">
        <v>19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ITDC</t>
        </is>
      </c>
      <c r="E70" s="31" t="inlineStr">
        <is>
          <t>India Tourism Development Corporation Ltd</t>
        </is>
      </c>
      <c r="F70" s="31" t="inlineStr">
        <is>
          <t>Resorts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16</v>
      </c>
      <c r="K70" s="31" t="n">
        <v>14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DPABHUSHAN</t>
        </is>
      </c>
      <c r="E71" s="31" t="inlineStr">
        <is>
          <t>D.P. Abhushan Ltd</t>
        </is>
      </c>
      <c r="F71" s="31" t="inlineStr">
        <is>
          <t>Diamond, Gems &amp; Jewellery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21</v>
      </c>
      <c r="K71" s="31" t="n">
        <v>1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HUHTAMAKI</t>
        </is>
      </c>
      <c r="E72" s="31" t="inlineStr">
        <is>
          <t>Huhtamaki India Ltd</t>
        </is>
      </c>
      <c r="F72" s="31" t="inlineStr">
        <is>
          <t>Packaging - FMCG/Consumers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16</v>
      </c>
      <c r="K72" s="31" t="n">
        <v>1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DIACABS</t>
        </is>
      </c>
      <c r="E73" s="31" t="inlineStr">
        <is>
          <t>Diamond Power Infrastructure Ltd</t>
        </is>
      </c>
      <c r="F73" s="31" t="inlineStr">
        <is>
          <t>Cables - Power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20</v>
      </c>
      <c r="K73" s="31" t="n">
        <v>27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DIVISLAB</t>
        </is>
      </c>
      <c r="E74" s="31" t="inlineStr">
        <is>
          <t>Divi's Laboratories Limited</t>
        </is>
      </c>
      <c r="F74" s="31" t="inlineStr">
        <is>
          <t>Pharma - API &amp; CRAMS</t>
        </is>
      </c>
      <c r="G74" s="31" t="n">
        <v>2</v>
      </c>
      <c r="H74" s="31" t="inlineStr">
        <is>
          <t>52W Breakout</t>
        </is>
      </c>
      <c r="I74" s="31" t="inlineStr">
        <is>
          <t>Yes</t>
        </is>
      </c>
      <c r="J74" s="31" t="n">
        <v>9</v>
      </c>
      <c r="K74" s="31" t="n">
        <v>7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TBZ</t>
        </is>
      </c>
      <c r="E75" s="31" t="inlineStr">
        <is>
          <t>Tribhovandas Bhimji Zaveri Limited</t>
        </is>
      </c>
      <c r="F75" s="31" t="inlineStr">
        <is>
          <t>Diamond, Gems &amp; Jewellery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20</v>
      </c>
      <c r="K75" s="31" t="n">
        <v>18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LLOYDSENT</t>
        </is>
      </c>
      <c r="E76" s="31" t="inlineStr">
        <is>
          <t>Lloyds Enterprises Ltd</t>
        </is>
      </c>
      <c r="F76" s="31" t="inlineStr">
        <is>
          <t>Trading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20</v>
      </c>
      <c r="K76" s="31" t="n">
        <v>4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GALAPREC</t>
        </is>
      </c>
      <c r="E77" s="31" t="inlineStr">
        <is>
          <t>Gala Precision Engineering Ltd</t>
        </is>
      </c>
      <c r="F77" s="31" t="inlineStr">
        <is>
          <t>Castings, Forgings &amp; Fastners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17</v>
      </c>
      <c r="K77" s="31" t="n">
        <v>28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AZAD</t>
        </is>
      </c>
      <c r="E78" s="31" t="inlineStr">
        <is>
          <t>Azad Engineering Ltd</t>
        </is>
      </c>
      <c r="F78" s="31" t="inlineStr">
        <is>
          <t>Aerospace &amp; Defence - Equipments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16</v>
      </c>
      <c r="K78" s="31" t="n">
        <v>9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GANDHAR</t>
        </is>
      </c>
      <c r="E79" s="31" t="inlineStr">
        <is>
          <t>Gandhar Oil Refinery (India) Ltd</t>
        </is>
      </c>
      <c r="F79" s="31" t="inlineStr">
        <is>
          <t>Refineries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17</v>
      </c>
      <c r="K79" s="31" t="n">
        <v>20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KALYANKJIL</t>
        </is>
      </c>
      <c r="E80" s="31" t="inlineStr">
        <is>
          <t>Kalyan Jewellers India Ltd</t>
        </is>
      </c>
      <c r="F80" s="31" t="inlineStr">
        <is>
          <t>Diamond, Gems &amp; Jewellery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20</v>
      </c>
      <c r="K80" s="31" t="n">
        <v>1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SAILIFE</t>
        </is>
      </c>
      <c r="E81" s="31" t="inlineStr">
        <is>
          <t>Sai Life Sciences Ltd</t>
        </is>
      </c>
      <c r="F81" s="31" t="inlineStr">
        <is>
          <t>Pharma - API &amp; CRAMS</t>
        </is>
      </c>
      <c r="G81" s="31" t="n">
        <v>2</v>
      </c>
      <c r="H81" s="31" t="inlineStr">
        <is>
          <t>52W Breakout</t>
        </is>
      </c>
      <c r="I81" s="31" t="inlineStr">
        <is>
          <t>Yes</t>
        </is>
      </c>
      <c r="J81" s="31" t="n">
        <v>12</v>
      </c>
      <c r="K81" s="31" t="n">
        <v>30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BHARATFORG</t>
        </is>
      </c>
      <c r="E82" s="31" t="inlineStr">
        <is>
          <t>Bharat Forge Limited</t>
        </is>
      </c>
      <c r="F82" s="31" t="inlineStr">
        <is>
          <t>Castings, Forgings &amp; Fastners</t>
        </is>
      </c>
      <c r="G82" s="31" t="n">
        <v>2</v>
      </c>
      <c r="H82" s="31" t="inlineStr">
        <is>
          <t>52W Breakout</t>
        </is>
      </c>
      <c r="I82" s="31" t="inlineStr">
        <is>
          <t>Yes</t>
        </is>
      </c>
      <c r="J82" s="31" t="n">
        <v>9</v>
      </c>
      <c r="K82" s="31" t="n">
        <v>23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ADANIENSOL</t>
        </is>
      </c>
      <c r="E83" s="31" t="inlineStr">
        <is>
          <t>Adani Energy Solutions Ltd</t>
        </is>
      </c>
      <c r="F83" s="31" t="inlineStr">
        <is>
          <t>Power - Transmission/Equipment</t>
        </is>
      </c>
      <c r="G83" s="31" t="n">
        <v>2</v>
      </c>
      <c r="H83" s="31" t="inlineStr">
        <is>
          <t>52W Breakout</t>
        </is>
      </c>
      <c r="I83" s="31" t="inlineStr">
        <is>
          <t>Yes</t>
        </is>
      </c>
      <c r="J83" s="31" t="n">
        <v>12</v>
      </c>
      <c r="K83" s="31" t="n">
        <v>25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DYCL</t>
        </is>
      </c>
      <c r="E84" s="31" t="inlineStr">
        <is>
          <t>Dynamic Cables Ltd</t>
        </is>
      </c>
      <c r="F84" s="31" t="inlineStr">
        <is>
          <t>Cables - Power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26</v>
      </c>
      <c r="K84" s="31" t="n">
        <v>1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SHYAMMETL</t>
        </is>
      </c>
      <c r="E85" s="31" t="inlineStr">
        <is>
          <t>Shyam Metalics &amp; Energy Ltd</t>
        </is>
      </c>
      <c r="F85" s="31" t="inlineStr">
        <is>
          <t>Steel Products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22</v>
      </c>
      <c r="K85" s="31" t="n">
        <v>21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ESABINDIA</t>
        </is>
      </c>
      <c r="E86" s="31" t="inlineStr">
        <is>
          <t>Esab India Limited</t>
        </is>
      </c>
      <c r="F86" s="31" t="inlineStr">
        <is>
          <t>Welding Equipments</t>
        </is>
      </c>
      <c r="G86" s="31" t="n">
        <v>2</v>
      </c>
      <c r="H86" s="31" t="inlineStr">
        <is>
          <t>EMA Crossover</t>
        </is>
      </c>
      <c r="I86" s="31" t="inlineStr">
        <is>
          <t>Yes</t>
        </is>
      </c>
      <c r="J86" s="31" t="n">
        <v>3</v>
      </c>
      <c r="K86" s="31" t="n">
        <v>2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PNB</t>
        </is>
      </c>
      <c r="E87" s="31" t="inlineStr">
        <is>
          <t>Punjab National Bank Ltd</t>
        </is>
      </c>
      <c r="F87" s="31" t="inlineStr">
        <is>
          <t>Banks - PSU</t>
        </is>
      </c>
      <c r="G87" s="31" t="n">
        <v>2</v>
      </c>
      <c r="H87" s="31" t="inlineStr">
        <is>
          <t>EMA Crossover</t>
        </is>
      </c>
      <c r="I87" s="31" t="inlineStr">
        <is>
          <t>Yes</t>
        </is>
      </c>
      <c r="J87" s="31" t="n">
        <v>3</v>
      </c>
      <c r="K87" s="31" t="n">
        <v>1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TITAN</t>
        </is>
      </c>
      <c r="E88" s="31" t="inlineStr">
        <is>
          <t>Titan Company Limited</t>
        </is>
      </c>
      <c r="F88" s="31" t="inlineStr">
        <is>
          <t>Diamond, Gems &amp; Jewellery</t>
        </is>
      </c>
      <c r="G88" s="31" t="n">
        <v>2</v>
      </c>
      <c r="H88" s="31" t="inlineStr">
        <is>
          <t>52W Breakout</t>
        </is>
      </c>
      <c r="I88" s="31" t="inlineStr">
        <is>
          <t>Yes</t>
        </is>
      </c>
      <c r="J88" s="31" t="n">
        <v>9</v>
      </c>
      <c r="K88" s="31" t="n">
        <v>13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GABRIEL</t>
        </is>
      </c>
      <c r="E89" s="31" t="inlineStr">
        <is>
          <t>Gabriel India Limited</t>
        </is>
      </c>
      <c r="F89" s="31" t="inlineStr">
        <is>
          <t>Auto Ancillaries - Shock Absorber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16</v>
      </c>
      <c r="K89" s="31" t="n">
        <v>15</v>
      </c>
    </row>
  </sheetData>
  <autoFilter ref="A1:K89"/>
  <conditionalFormatting sqref="G2:G8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9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4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IF(B2=0,"",RANK(B2,$B$2:$B$340,0))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NH</t>
        </is>
      </c>
      <c r="D2" s="31" t="inlineStr">
        <is>
          <t>Narayana Hrudayalaya Ltd.</t>
        </is>
      </c>
      <c r="E2" s="31" t="inlineStr">
        <is>
          <t>healthcare</t>
        </is>
      </c>
      <c r="F2" s="31" t="inlineStr">
        <is>
          <t>healthcare</t>
        </is>
      </c>
      <c r="G2" s="31" t="inlineStr">
        <is>
          <t>largecap</t>
        </is>
      </c>
      <c r="H2" s="32" t="n">
        <v>41475.03</v>
      </c>
      <c r="I2" s="32" t="n">
        <v>2021.2</v>
      </c>
      <c r="J2" s="32" t="n">
        <v>-0.41</v>
      </c>
      <c r="K2" s="32" t="n">
        <v>163857</v>
      </c>
      <c r="L2" s="31" t="inlineStr"/>
      <c r="M2" s="31" t="inlineStr"/>
      <c r="N2" s="32">
        <f>IF(M2="Underperforming",-5,IF(L2&gt;=95,15,IF(L2&gt;=90,10,IF(L2&gt;=80,5,0))))</f>
        <v/>
      </c>
      <c r="O2" s="32" t="inlineStr"/>
      <c r="P2" s="32" t="inlineStr"/>
      <c r="Q2" s="32" t="inlineStr"/>
      <c r="R2" s="31" t="inlineStr"/>
      <c r="S2" s="31" t="inlineStr"/>
      <c r="T2" s="32" t="inlineStr"/>
      <c r="U2" s="32" t="inlineStr"/>
      <c r="V2" s="32" t="inlineStr"/>
      <c r="W2" s="32" t="inlineStr"/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Shallow Cyclical (2 to 3 Years Growth)</t>
        </is>
      </c>
      <c r="AG2" s="31">
        <f>IF(AF2="Structural (10 Years Consistency)",10,IF(AF2="Shallow Cyclical (2 to 3 years growth)",5,0))</f>
        <v/>
      </c>
      <c r="AH2" s="31" t="inlineStr">
        <is>
          <t>Yes due to Product Mix change or Operating Leverage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No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20 to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Between 12 to 20%</t>
        </is>
      </c>
      <c r="BO2" s="31">
        <f>IF(BN2="More than 20%",10,IF(BN2="Between 12 to 20%",5,IF(BN2="Less than 12%",0,0)))</f>
        <v/>
      </c>
      <c r="BP2" s="31" t="inlineStr">
        <is>
          <t>Yes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IF(B3=0,"",RANK(B3,$B$2:$B$340,0))</f>
        <v/>
      </c>
      <c r="B3" s="32">
        <f>SUM(N3,Y3,AA3,AC3,AE3,AG3,AI3,AK3,AM3,AO3,AQ3,AS3,AU3,AW3,AY3,BA3,BC3,BE3,BG3,BI3,BK3,BM3,BO3,BQ3,BS3,BU3,BW3,BY3,CA3,CC3,CE3)</f>
        <v/>
      </c>
      <c r="C3" s="33" t="inlineStr">
        <is>
          <t>SRF</t>
        </is>
      </c>
      <c r="D3" s="33" t="inlineStr">
        <is>
          <t>Srf Limited</t>
        </is>
      </c>
      <c r="E3" s="31" t="inlineStr">
        <is>
          <t>chemicals</t>
        </is>
      </c>
      <c r="F3" s="31" t="inlineStr">
        <is>
          <t>chemicals</t>
        </is>
      </c>
      <c r="G3" s="31" t="inlineStr">
        <is>
          <t>largecap</t>
        </is>
      </c>
      <c r="H3" s="32" t="n">
        <v>85213.24000000001</v>
      </c>
      <c r="I3" s="32" t="n">
        <v>2871.7</v>
      </c>
      <c r="J3" s="32" t="n">
        <v>-0.1</v>
      </c>
      <c r="K3" s="32" t="n">
        <v>302818</v>
      </c>
      <c r="L3" s="31" t="n">
        <v>15</v>
      </c>
      <c r="M3" s="31" t="inlineStr">
        <is>
          <t>Underperforming</t>
        </is>
      </c>
      <c r="N3" s="32">
        <f>IF(M3="Underperforming",-5,IF(L3&gt;=95,15,IF(L3&gt;=90,10,IF(L3&gt;=80,5,0))))</f>
        <v/>
      </c>
      <c r="O3" s="32" t="n">
        <v>58.77</v>
      </c>
      <c r="P3" s="32" t="n">
        <v>12.01</v>
      </c>
      <c r="Q3" s="32" t="inlineStr"/>
      <c r="R3" s="31" t="inlineStr">
        <is>
          <t>Earnings / Momentum Support</t>
        </is>
      </c>
      <c r="S3" s="31" t="inlineStr">
        <is>
          <t>Nifty 500</t>
        </is>
      </c>
      <c r="T3" s="32" t="n">
        <v>0.26</v>
      </c>
      <c r="U3" s="32" t="n">
        <v>-9.52</v>
      </c>
      <c r="V3" s="32" t="n">
        <v>-9.75</v>
      </c>
      <c r="W3" s="32" t="n">
        <v>1.63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Oligopoly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Shallow Cyclical (2 to 3 Years Growth)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20 to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3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Sideways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IF(B4=0,"",RANK(B4,$B$2:$B$340,0))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APOLLOHOSP</t>
        </is>
      </c>
      <c r="D4" s="31" t="inlineStr">
        <is>
          <t>Apollo Hospitals Enterprise Limited</t>
        </is>
      </c>
      <c r="E4" s="31" t="inlineStr">
        <is>
          <t>healthcare</t>
        </is>
      </c>
      <c r="F4" s="31" t="inlineStr">
        <is>
          <t>healthcare</t>
        </is>
      </c>
      <c r="G4" s="31" t="inlineStr">
        <is>
          <t>largecap</t>
        </is>
      </c>
      <c r="H4" s="32" t="n">
        <v>126904.34</v>
      </c>
      <c r="I4" s="32" t="n">
        <v>8905</v>
      </c>
      <c r="J4" s="32" t="n">
        <v>0.9</v>
      </c>
      <c r="K4" s="32" t="n">
        <v>317613</v>
      </c>
      <c r="L4" s="31" t="n">
        <v>45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69.81</v>
      </c>
      <c r="P4" s="32" t="n">
        <v>25.63</v>
      </c>
      <c r="Q4" s="32" t="inlineStr"/>
      <c r="R4" s="31" t="inlineStr">
        <is>
          <t>Earnings / Momentum Support</t>
        </is>
      </c>
      <c r="S4" s="31" t="inlineStr">
        <is>
          <t>Nifty Pharma</t>
        </is>
      </c>
      <c r="T4" s="32" t="n">
        <v>13.51</v>
      </c>
      <c r="U4" s="32" t="n">
        <v>21.16</v>
      </c>
      <c r="V4" s="32" t="n">
        <v>6.74</v>
      </c>
      <c r="W4" s="32" t="n">
        <v>7.14</v>
      </c>
      <c r="X4" s="31" t="inlineStr">
        <is>
          <t>Cyclical in an Upturn</t>
        </is>
      </c>
      <c r="Y4" s="31">
        <f>IF(X4="Growing Industry",10,IF(X4="Cyclical in an Upturn",5,0))</f>
        <v/>
      </c>
      <c r="Z4" s="31" t="inlineStr">
        <is>
          <t>Oligopoly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Cyclical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Fully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Yes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Between 1.5 to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IF(B5=0,"",RANK(B5,$B$2:$B$340,0))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NAVINFLUOR</t>
        </is>
      </c>
      <c r="D5" s="31" t="inlineStr">
        <is>
          <t>Navin Fluorine International Limited</t>
        </is>
      </c>
      <c r="E5" s="31" t="inlineStr">
        <is>
          <t>chemicals</t>
        </is>
      </c>
      <c r="F5" s="31" t="inlineStr">
        <is>
          <t>chemicals</t>
        </is>
      </c>
      <c r="G5" s="31" t="inlineStr">
        <is>
          <t>largecap</t>
        </is>
      </c>
      <c r="H5" s="32" t="n">
        <v>38841.29</v>
      </c>
      <c r="I5" s="32" t="n">
        <v>7861.5</v>
      </c>
      <c r="J5" s="32" t="n">
        <v>3.73</v>
      </c>
      <c r="K5" s="32" t="n">
        <v>228992</v>
      </c>
      <c r="L5" s="31" t="n">
        <v>70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69.09999999999999</v>
      </c>
      <c r="P5" s="32" t="n">
        <v>50.92</v>
      </c>
      <c r="Q5" s="32" t="inlineStr"/>
      <c r="R5" s="31" t="inlineStr">
        <is>
          <t>Earnings / Momentum Support</t>
        </is>
      </c>
      <c r="S5" s="31" t="inlineStr">
        <is>
          <t>Nifty 50</t>
        </is>
      </c>
      <c r="T5" s="32" t="n">
        <v>-2.54</v>
      </c>
      <c r="U5" s="32" t="n">
        <v>56</v>
      </c>
      <c r="V5" s="32" t="n">
        <v>60.07</v>
      </c>
      <c r="W5" s="32" t="n">
        <v>13.83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Oligopoly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Shallow Cyclical (2 to 3 Years Growth)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20 to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3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Above 2</t>
        </is>
      </c>
      <c r="BU5" s="31">
        <f>IF(BT5="Above 2",0,IF(BT5="Between 1.5 to 2",5,IF(BT5="Less than 1.5",10,0)))</f>
        <v/>
      </c>
      <c r="BV5" s="31" t="inlineStr">
        <is>
          <t>Between 50% to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IF(B6=0,"",RANK(B6,$B$2:$B$340,0))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APCOTEXIND</t>
        </is>
      </c>
      <c r="D6" s="31" t="inlineStr">
        <is>
          <t>Apcotex Industries Limited</t>
        </is>
      </c>
      <c r="E6" s="31" t="inlineStr">
        <is>
          <t>chemicals</t>
        </is>
      </c>
      <c r="F6" s="31" t="inlineStr">
        <is>
          <t>miscellaneous</t>
        </is>
      </c>
      <c r="G6" s="31" t="inlineStr">
        <is>
          <t>smallcap</t>
        </is>
      </c>
      <c r="H6" s="32" t="n">
        <v>2743.12</v>
      </c>
      <c r="I6" s="32" t="n">
        <v>552.1</v>
      </c>
      <c r="J6" s="32" t="n">
        <v>4.35</v>
      </c>
      <c r="K6" s="32" t="n">
        <v>154914</v>
      </c>
      <c r="L6" s="31" t="n">
        <v>74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64.91</v>
      </c>
      <c r="P6" s="32" t="n">
        <v>53.7</v>
      </c>
      <c r="Q6" s="32" t="inlineStr"/>
      <c r="R6" s="31" t="inlineStr">
        <is>
          <t>Earnings / Momentum Support</t>
        </is>
      </c>
      <c r="S6" s="31" t="inlineStr">
        <is>
          <t>Nifty Infra</t>
        </is>
      </c>
      <c r="T6" s="32" t="n">
        <v>1.74</v>
      </c>
      <c r="U6" s="32" t="n">
        <v>36.84</v>
      </c>
      <c r="V6" s="32" t="n">
        <v>34.5</v>
      </c>
      <c r="W6" s="32" t="n">
        <v>15.44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Oligopoly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Cyclical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Fully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1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Sideways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Overhead supply in last 2 years in last 2 years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Between 50% to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IF(B7=0,"",RANK(B7,$B$2:$B$340,0))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TIPSMUSIC</t>
        </is>
      </c>
      <c r="D7" s="31" t="inlineStr">
        <is>
          <t>Tips Music Ltd</t>
        </is>
      </c>
      <c r="E7" s="31" t="inlineStr">
        <is>
          <t>media</t>
        </is>
      </c>
      <c r="F7" s="31" t="inlineStr">
        <is>
          <t>entertainment / electronic media software</t>
        </is>
      </c>
      <c r="G7" s="31" t="inlineStr">
        <is>
          <t>midcap</t>
        </is>
      </c>
      <c r="H7" s="32" t="n">
        <v>8551.93</v>
      </c>
      <c r="I7" s="32" t="n">
        <v>710.55</v>
      </c>
      <c r="J7" s="32" t="n">
        <v>6.21</v>
      </c>
      <c r="K7" s="32" t="n">
        <v>3349651</v>
      </c>
      <c r="L7" s="31" t="n">
        <v>32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57.44</v>
      </c>
      <c r="P7" s="32" t="n">
        <v>42.52</v>
      </c>
      <c r="Q7" s="32" t="inlineStr"/>
      <c r="R7" s="31" t="inlineStr">
        <is>
          <t>Volume Spike / Accumulation</t>
        </is>
      </c>
      <c r="S7" s="31" t="inlineStr">
        <is>
          <t>Nifty IT</t>
        </is>
      </c>
      <c r="T7" s="32" t="n">
        <v>-21.31</v>
      </c>
      <c r="U7" s="32" t="n">
        <v>7.7</v>
      </c>
      <c r="V7" s="32" t="n">
        <v>36.87</v>
      </c>
      <c r="W7" s="32" t="n">
        <v>5.08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IF(B8=0,"",RANK(B8,$B$2:$B$340,0))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PRICOLLTD</t>
        </is>
      </c>
      <c r="D8" s="31" t="inlineStr">
        <is>
          <t>Pricol Ltd.</t>
        </is>
      </c>
      <c r="E8" s="31" t="inlineStr">
        <is>
          <t>auto</t>
        </is>
      </c>
      <c r="F8" s="31" t="inlineStr">
        <is>
          <t>auto ancillaries</t>
        </is>
      </c>
      <c r="G8" s="31" t="inlineStr">
        <is>
          <t>midcap</t>
        </is>
      </c>
      <c r="H8" s="32" t="n">
        <v>7499.37</v>
      </c>
      <c r="I8" s="32" t="n">
        <v>613.6</v>
      </c>
      <c r="J8" s="32" t="n">
        <v>-0.28</v>
      </c>
      <c r="K8" s="32" t="n">
        <v>196237</v>
      </c>
      <c r="L8" s="31" t="n">
        <v>46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56.54</v>
      </c>
      <c r="P8" s="32" t="n">
        <v>20.41</v>
      </c>
      <c r="Q8" s="32" t="inlineStr"/>
      <c r="R8" s="31" t="inlineStr">
        <is>
          <t>Earnings / Momentum Support</t>
        </is>
      </c>
      <c r="S8" s="31" t="inlineStr">
        <is>
          <t>Nifty Auto</t>
        </is>
      </c>
      <c r="T8" s="32" t="n">
        <v>13.41</v>
      </c>
      <c r="U8" s="32" t="n">
        <v>36.08</v>
      </c>
      <c r="V8" s="32" t="n">
        <v>19.98</v>
      </c>
      <c r="W8" s="32" t="n">
        <v>7.62</v>
      </c>
      <c r="X8" s="31" t="inlineStr">
        <is>
          <t>Cyclical in an Upturn</t>
        </is>
      </c>
      <c r="Y8" s="31">
        <f>IF(X8="Growing Industry",10,IF(X8="Cyclical in an Upturn",5,0))</f>
        <v/>
      </c>
      <c r="Z8" s="31" t="inlineStr">
        <is>
          <t>Oligopoly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Shallow Cyclical (2 to 3 Years Growth)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Fully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Allocated capital in Non-core Areas</t>
        </is>
      </c>
      <c r="AU8" s="31">
        <f>IF(AT8="Good",10,0)</f>
        <v/>
      </c>
      <c r="AV8" s="31" t="inlineStr">
        <is>
          <t>Yes only for next 1 to 2 years</t>
        </is>
      </c>
      <c r="AW8" s="31">
        <f>IF(AV8="Yes for more than 2 years",10,IF(AV8="Yes only for next 1 to 2 years",5,0))</f>
        <v/>
      </c>
      <c r="AX8" s="31" t="inlineStr">
        <is>
          <t>20 to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Between 12 to 20%</t>
        </is>
      </c>
      <c r="BO8" s="31">
        <f>IF(BN8="More than 20%",10,IF(BN8="Between 12 to 20%",5,IF(BN8="Less than 12%",0,0)))</f>
        <v/>
      </c>
      <c r="BP8" s="31" t="inlineStr">
        <is>
          <t>Yes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Between 1.5 to 2</t>
        </is>
      </c>
      <c r="BU8" s="31">
        <f>IF(BT8="Above 2",0,IF(BT8="Between 1.5 to 2",5,IF(BT8="Less than 1.5",10,0)))</f>
        <v/>
      </c>
      <c r="BV8" s="31" t="inlineStr">
        <is>
          <t>Between 50% to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IF(B9=0,"",RANK(B9,$B$2:$B$340,0))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MENONBE</t>
        </is>
      </c>
      <c r="D9" s="31" t="inlineStr">
        <is>
          <t>Menon Bearings Limited</t>
        </is>
      </c>
      <c r="E9" s="31" t="inlineStr">
        <is>
          <t>auto</t>
        </is>
      </c>
      <c r="F9" s="31" t="inlineStr">
        <is>
          <t>auto ancillaries</t>
        </is>
      </c>
      <c r="G9" s="31" t="inlineStr">
        <is>
          <t>smallcap</t>
        </is>
      </c>
      <c r="H9" s="32" t="n">
        <v>1118.95</v>
      </c>
      <c r="I9" s="32" t="n">
        <v>209.65</v>
      </c>
      <c r="J9" s="32" t="n">
        <v>5</v>
      </c>
      <c r="K9" s="32" t="n">
        <v>249414</v>
      </c>
      <c r="L9" s="31" t="n">
        <v>88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73.84</v>
      </c>
      <c r="P9" s="32" t="n">
        <v>44.92</v>
      </c>
      <c r="Q9" s="32" t="inlineStr"/>
      <c r="R9" s="31" t="inlineStr">
        <is>
          <t>Earnings / Momentum Support</t>
        </is>
      </c>
      <c r="S9" s="31" t="inlineStr">
        <is>
          <t>Nifty Auto</t>
        </is>
      </c>
      <c r="T9" s="32" t="n">
        <v>13.41</v>
      </c>
      <c r="U9" s="32" t="n">
        <v>59.56</v>
      </c>
      <c r="V9" s="32" t="n">
        <v>40.68</v>
      </c>
      <c r="W9" s="32" t="n">
        <v>23.69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IF(B10=0,"",RANK(B10,$B$2:$B$340,0))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SAKAR</t>
        </is>
      </c>
      <c r="D10" s="31" t="inlineStr">
        <is>
          <t>Sakar Healthcare Ltd</t>
        </is>
      </c>
      <c r="E10" s="31" t="inlineStr">
        <is>
          <t>healthcare</t>
        </is>
      </c>
      <c r="F10" s="31" t="inlineStr">
        <is>
          <t>pharmaceuticals - indian - bulk drugs &amp; formln</t>
        </is>
      </c>
      <c r="G10" s="31" t="inlineStr">
        <is>
          <t>smallcap</t>
        </is>
      </c>
      <c r="H10" s="32" t="n">
        <v>1952.87</v>
      </c>
      <c r="I10" s="32" t="n">
        <v>898.8</v>
      </c>
      <c r="J10" s="32" t="n">
        <v>2.4</v>
      </c>
      <c r="K10" s="32" t="n">
        <v>72908</v>
      </c>
      <c r="L10" s="31" t="n">
        <v>93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75</v>
      </c>
      <c r="P10" s="32" t="n">
        <v>56.59</v>
      </c>
      <c r="Q10" s="32" t="inlineStr"/>
      <c r="R10" s="31" t="inlineStr">
        <is>
          <t>Earnings / Momentum Support</t>
        </is>
      </c>
      <c r="S10" s="31" t="inlineStr">
        <is>
          <t>Nifty Pharma</t>
        </is>
      </c>
      <c r="T10" s="32" t="n">
        <v>13.51</v>
      </c>
      <c r="U10" s="32" t="n">
        <v>148.36</v>
      </c>
      <c r="V10" s="32" t="n">
        <v>118.8</v>
      </c>
      <c r="W10" s="32" t="n">
        <v>31.38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IF(B11=0,"",RANK(B11,$B$2:$B$340,0))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CONFIPET</t>
        </is>
      </c>
      <c r="D11" s="31" t="inlineStr">
        <is>
          <t>Confidence Petroleum India Ltd</t>
        </is>
      </c>
      <c r="E11" s="31" t="inlineStr">
        <is>
          <t>miscellaneous</t>
        </is>
      </c>
      <c r="F11" s="31" t="inlineStr">
        <is>
          <t>miscellaneous</t>
        </is>
      </c>
      <c r="G11" s="31" t="inlineStr">
        <is>
          <t>smallcap</t>
        </is>
      </c>
      <c r="H11" s="32" t="n">
        <v>2429.35</v>
      </c>
      <c r="I11" s="32" t="n">
        <v>76.66</v>
      </c>
      <c r="J11" s="32" t="n">
        <v>4.84</v>
      </c>
      <c r="K11" s="32" t="n">
        <v>3877073</v>
      </c>
      <c r="L11" s="31" t="n">
        <v>79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67.33</v>
      </c>
      <c r="P11" s="32" t="n">
        <v>65.41</v>
      </c>
      <c r="Q11" s="32" t="inlineStr"/>
      <c r="R11" s="31" t="inlineStr">
        <is>
          <t>Earnings / Momentum Support</t>
        </is>
      </c>
      <c r="S11" s="31" t="inlineStr">
        <is>
          <t>Nifty 50</t>
        </is>
      </c>
      <c r="T11" s="32" t="n">
        <v>-2.54</v>
      </c>
      <c r="U11" s="32" t="n">
        <v>32.94</v>
      </c>
      <c r="V11" s="32" t="n">
        <v>36.4</v>
      </c>
      <c r="W11" s="32" t="n">
        <v>17.98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IF(B12=0,"",RANK(B12,$B$2:$B$340,0))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INDOBORAX</t>
        </is>
      </c>
      <c r="D12" s="31" t="inlineStr">
        <is>
          <t>Indo Borax &amp; Chemicals Ltd</t>
        </is>
      </c>
      <c r="E12" s="31" t="inlineStr">
        <is>
          <t>chemicals</t>
        </is>
      </c>
      <c r="F12" s="31" t="inlineStr">
        <is>
          <t>chemicals</t>
        </is>
      </c>
      <c r="G12" s="31" t="inlineStr">
        <is>
          <t>smallcap</t>
        </is>
      </c>
      <c r="H12" s="32" t="n">
        <v>1494.43</v>
      </c>
      <c r="I12" s="32" t="n">
        <v>481.05</v>
      </c>
      <c r="J12" s="32" t="n">
        <v>3.3</v>
      </c>
      <c r="K12" s="32" t="n">
        <v>936898</v>
      </c>
      <c r="L12" s="31" t="n">
        <v>94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87.45</v>
      </c>
      <c r="P12" s="32" t="n">
        <v>70.48</v>
      </c>
      <c r="Q12" s="32" t="inlineStr"/>
      <c r="R12" s="31" t="inlineStr">
        <is>
          <t>Earnings / Momentum Support</t>
        </is>
      </c>
      <c r="S12" s="31" t="inlineStr">
        <is>
          <t>Nifty 50</t>
        </is>
      </c>
      <c r="T12" s="32" t="n">
        <v>-2.54</v>
      </c>
      <c r="U12" s="32" t="n">
        <v>89.66</v>
      </c>
      <c r="V12" s="32" t="n">
        <v>94.59999999999999</v>
      </c>
      <c r="W12" s="32" t="n">
        <v>34.04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IF(B13=0,"",RANK(B13,$B$2:$B$340,0))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AEGISLOG</t>
        </is>
      </c>
      <c r="D13" s="31" t="inlineStr">
        <is>
          <t>Aegis Logistics Ltd</t>
        </is>
      </c>
      <c r="E13" s="31" t="inlineStr">
        <is>
          <t>services</t>
        </is>
      </c>
      <c r="F13" s="31" t="inlineStr">
        <is>
          <t>trading</t>
        </is>
      </c>
      <c r="G13" s="31" t="inlineStr">
        <is>
          <t>largecap</t>
        </is>
      </c>
      <c r="H13" s="32" t="n">
        <v>47353.41</v>
      </c>
      <c r="I13" s="32" t="n">
        <v>1383.9</v>
      </c>
      <c r="J13" s="32" t="n">
        <v>2.58</v>
      </c>
      <c r="K13" s="32" t="n">
        <v>3704335</v>
      </c>
      <c r="L13" s="31" t="n">
        <v>96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80.02</v>
      </c>
      <c r="P13" s="32" t="n">
        <v>43.78</v>
      </c>
      <c r="Q13" s="32" t="inlineStr"/>
      <c r="R13" s="31" t="inlineStr">
        <is>
          <t>Earnings / Momentum Support</t>
        </is>
      </c>
      <c r="S13" s="31" t="inlineStr">
        <is>
          <t>Nifty 50</t>
        </is>
      </c>
      <c r="T13" s="32" t="n">
        <v>-2.54</v>
      </c>
      <c r="U13" s="32" t="n">
        <v>83</v>
      </c>
      <c r="V13" s="32" t="n">
        <v>87.77</v>
      </c>
      <c r="W13" s="32" t="n">
        <v>35.84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IF(B14=0,"",RANK(B14,$B$2:$B$340,0))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PREMIERPOL</t>
        </is>
      </c>
      <c r="D14" s="31" t="inlineStr">
        <is>
          <t>Premier Polyfilm Limited</t>
        </is>
      </c>
      <c r="E14" s="31" t="inlineStr">
        <is>
          <t>plastic products</t>
        </is>
      </c>
      <c r="F14" s="31" t="inlineStr">
        <is>
          <t>plastics products</t>
        </is>
      </c>
      <c r="G14" s="31" t="inlineStr">
        <is>
          <t>smallcap</t>
        </is>
      </c>
      <c r="H14" s="32" t="n">
        <v>772.48</v>
      </c>
      <c r="I14" s="32" t="n">
        <v>73.98999999999999</v>
      </c>
      <c r="J14" s="32" t="n">
        <v>0.33</v>
      </c>
      <c r="K14" s="32" t="n">
        <v>1384380</v>
      </c>
      <c r="L14" s="31" t="n">
        <v>74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67.59</v>
      </c>
      <c r="P14" s="32" t="n">
        <v>46.31</v>
      </c>
      <c r="Q14" s="32" t="inlineStr"/>
      <c r="R14" s="31" t="inlineStr">
        <is>
          <t>Earnings / Momentum Support</t>
        </is>
      </c>
      <c r="S14" s="31" t="inlineStr">
        <is>
          <t>Nifty 50</t>
        </is>
      </c>
      <c r="T14" s="32" t="n">
        <v>-2.54</v>
      </c>
      <c r="U14" s="32" t="n">
        <v>35.4</v>
      </c>
      <c r="V14" s="32" t="n">
        <v>38.93</v>
      </c>
      <c r="W14" s="32" t="n">
        <v>15.37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IF(B15=0,"",RANK(B15,$B$2:$B$340,0))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RPEL</t>
        </is>
      </c>
      <c r="D15" s="31" t="inlineStr">
        <is>
          <t>Raghav Productivity Enhancers Ltd</t>
        </is>
      </c>
      <c r="E15" s="31" t="inlineStr">
        <is>
          <t>building materials</t>
        </is>
      </c>
      <c r="F15" s="31" t="inlineStr">
        <is>
          <t>refractories / intermediates</t>
        </is>
      </c>
      <c r="G15" s="31" t="inlineStr">
        <is>
          <t>midcap</t>
        </is>
      </c>
      <c r="H15" s="32" t="n">
        <v>6033.23</v>
      </c>
      <c r="I15" s="32" t="n">
        <v>1283.1</v>
      </c>
      <c r="J15" s="32" t="n">
        <v>-2.34</v>
      </c>
      <c r="K15" s="32" t="n">
        <v>31350</v>
      </c>
      <c r="L15" s="31" t="n">
        <v>95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79.06</v>
      </c>
      <c r="P15" s="32" t="n">
        <v>44.04</v>
      </c>
      <c r="Q15" s="32" t="inlineStr"/>
      <c r="R15" s="31" t="inlineStr">
        <is>
          <t>Earnings / Momentum Support</t>
        </is>
      </c>
      <c r="S15" s="31" t="inlineStr">
        <is>
          <t>Nifty Infra</t>
        </is>
      </c>
      <c r="T15" s="32" t="n">
        <v>1.74</v>
      </c>
      <c r="U15" s="32" t="n">
        <v>89.39</v>
      </c>
      <c r="V15" s="32" t="n">
        <v>86.15000000000001</v>
      </c>
      <c r="W15" s="32" t="n">
        <v>34.86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IF(B16=0,"",RANK(B16,$B$2:$B$340,0))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TINNARUBR</t>
        </is>
      </c>
      <c r="D16" s="31" t="inlineStr">
        <is>
          <t>Tinna Rubber &amp; Infrastructure Ltd</t>
        </is>
      </c>
      <c r="E16" s="31" t="inlineStr">
        <is>
          <t>fmcg</t>
        </is>
      </c>
      <c r="F16" s="31" t="inlineStr">
        <is>
          <t>miscellaneous</t>
        </is>
      </c>
      <c r="G16" s="31" t="inlineStr">
        <is>
          <t>smallcap</t>
        </is>
      </c>
      <c r="H16" s="32" t="n">
        <v>1786.44</v>
      </c>
      <c r="I16" s="32" t="n">
        <v>1189.9</v>
      </c>
      <c r="J16" s="32" t="n">
        <v>20</v>
      </c>
      <c r="K16" s="32" t="n">
        <v>1222578</v>
      </c>
      <c r="L16" s="31" t="n">
        <v>54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66.08</v>
      </c>
      <c r="P16" s="32" t="n">
        <v>30.02</v>
      </c>
      <c r="Q16" s="32" t="inlineStr"/>
      <c r="R16" s="31" t="inlineStr">
        <is>
          <t>Volume Spike / Accumulation</t>
        </is>
      </c>
      <c r="S16" s="31" t="inlineStr">
        <is>
          <t>Nifty FMCG</t>
        </is>
      </c>
      <c r="T16" s="32" t="n">
        <v>-13.73</v>
      </c>
      <c r="U16" s="32" t="n">
        <v>0.8</v>
      </c>
      <c r="V16" s="32" t="n">
        <v>16.84</v>
      </c>
      <c r="W16" s="32" t="n">
        <v>9.539999999999999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Between 50% to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IF(B17=0,"",RANK(B17,$B$2:$B$340,0))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E2E</t>
        </is>
      </c>
      <c r="D17" s="31" t="inlineStr">
        <is>
          <t>E2E Networks Ltd</t>
        </is>
      </c>
      <c r="E17" s="31" t="inlineStr">
        <is>
          <t>i.t</t>
        </is>
      </c>
      <c r="F17" s="31" t="inlineStr">
        <is>
          <t>computers - software - medium / small</t>
        </is>
      </c>
      <c r="G17" s="31" t="inlineStr">
        <is>
          <t>midcap</t>
        </is>
      </c>
      <c r="H17" s="32" t="n">
        <v>8324.35</v>
      </c>
      <c r="I17" s="32" t="n">
        <v>425.15</v>
      </c>
      <c r="J17" s="32" t="n">
        <v>4.99</v>
      </c>
      <c r="K17" s="32" t="n">
        <v>2515611</v>
      </c>
      <c r="L17" s="31" t="n">
        <v>88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61.39</v>
      </c>
      <c r="P17" s="32" t="n">
        <v>42.62</v>
      </c>
      <c r="Q17" s="32" t="inlineStr"/>
      <c r="R17" s="31" t="inlineStr">
        <is>
          <t>Earnings / Momentum Support</t>
        </is>
      </c>
      <c r="S17" s="31" t="inlineStr">
        <is>
          <t>Nifty IT</t>
        </is>
      </c>
      <c r="T17" s="32" t="n">
        <v>-21.31</v>
      </c>
      <c r="U17" s="32" t="n">
        <v>67.65000000000001</v>
      </c>
      <c r="V17" s="32" t="n">
        <v>113.05</v>
      </c>
      <c r="W17" s="32" t="n">
        <v>23.51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Less than 12%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IF(B18=0,"",RANK(B18,$B$2:$B$340,0))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INDIAGLYCO</t>
        </is>
      </c>
      <c r="D18" s="31" t="inlineStr">
        <is>
          <t>India Glycols Limited</t>
        </is>
      </c>
      <c r="E18" s="31" t="inlineStr">
        <is>
          <t>fmcg</t>
        </is>
      </c>
      <c r="F18" s="31" t="inlineStr">
        <is>
          <t>breweries &amp; distilleries</t>
        </is>
      </c>
      <c r="G18" s="31" t="inlineStr">
        <is>
          <t>midcap</t>
        </is>
      </c>
      <c r="H18" s="32" t="n">
        <v>7770.41</v>
      </c>
      <c r="I18" s="32" t="n">
        <v>1143.2</v>
      </c>
      <c r="J18" s="32" t="n">
        <v>-1.39</v>
      </c>
      <c r="K18" s="32" t="n">
        <v>224297</v>
      </c>
      <c r="L18" s="31" t="n">
        <v>48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65.26000000000001</v>
      </c>
      <c r="P18" s="32" t="n">
        <v>23.86</v>
      </c>
      <c r="Q18" s="32" t="inlineStr"/>
      <c r="R18" s="31" t="inlineStr">
        <is>
          <t>Earnings / Momentum Support</t>
        </is>
      </c>
      <c r="S18" s="31" t="inlineStr">
        <is>
          <t>Nifty FMCG</t>
        </is>
      </c>
      <c r="T18" s="32" t="n">
        <v>-13.73</v>
      </c>
      <c r="U18" s="32" t="n">
        <v>22.44</v>
      </c>
      <c r="V18" s="32" t="n">
        <v>41.93</v>
      </c>
      <c r="W18" s="32" t="n">
        <v>8.220000000000001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B2C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IF(B19=0,"",RANK(B19,$B$2:$B$340,0))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STYLAMIND</t>
        </is>
      </c>
      <c r="D19" s="31" t="inlineStr">
        <is>
          <t>Stylam Industries Ltd</t>
        </is>
      </c>
      <c r="E19" s="31" t="inlineStr">
        <is>
          <t>building materials</t>
        </is>
      </c>
      <c r="F19" s="31" t="inlineStr">
        <is>
          <t>miscellaneous</t>
        </is>
      </c>
      <c r="G19" s="31" t="inlineStr">
        <is>
          <t>midcap</t>
        </is>
      </c>
      <c r="H19" s="32" t="n">
        <v>5508.8</v>
      </c>
      <c r="I19" s="32" t="n">
        <v>3414.3</v>
      </c>
      <c r="J19" s="32" t="n">
        <v>5.04</v>
      </c>
      <c r="K19" s="32" t="n">
        <v>62999</v>
      </c>
      <c r="L19" s="31" t="n">
        <v>87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81.09</v>
      </c>
      <c r="P19" s="32" t="n">
        <v>67.87</v>
      </c>
      <c r="Q19" s="32" t="inlineStr"/>
      <c r="R19" s="31" t="inlineStr">
        <is>
          <t>Earnings / Momentum Support</t>
        </is>
      </c>
      <c r="S19" s="31" t="inlineStr">
        <is>
          <t>Nifty Infra</t>
        </is>
      </c>
      <c r="T19" s="32" t="n">
        <v>1.74</v>
      </c>
      <c r="U19" s="32" t="n">
        <v>86.75</v>
      </c>
      <c r="V19" s="32" t="n">
        <v>83.56</v>
      </c>
      <c r="W19" s="32" t="n">
        <v>23.3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IF(B20=0,"",RANK(B20,$B$2:$B$340,0))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HSCL</t>
        </is>
      </c>
      <c r="D20" s="31" t="inlineStr">
        <is>
          <t>Himadri Speciality Chemical Limited</t>
        </is>
      </c>
      <c r="E20" s="31" t="inlineStr">
        <is>
          <t>chemicals</t>
        </is>
      </c>
      <c r="F20" s="31" t="inlineStr">
        <is>
          <t>chemicals</t>
        </is>
      </c>
      <c r="G20" s="31" t="inlineStr">
        <is>
          <t>largecap</t>
        </is>
      </c>
      <c r="H20" s="32" t="n">
        <v>37414.28</v>
      </c>
      <c r="I20" s="32" t="n">
        <v>769.9</v>
      </c>
      <c r="J20" s="32" t="n">
        <v>3.82</v>
      </c>
      <c r="K20" s="32" t="n">
        <v>18133649</v>
      </c>
      <c r="L20" s="31" t="n">
        <v>82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74.56</v>
      </c>
      <c r="P20" s="32" t="n">
        <v>42.11</v>
      </c>
      <c r="Q20" s="32" t="inlineStr"/>
      <c r="R20" s="31" t="inlineStr">
        <is>
          <t>Earnings / Momentum Support</t>
        </is>
      </c>
      <c r="S20" s="31" t="inlineStr">
        <is>
          <t>Nifty 50</t>
        </is>
      </c>
      <c r="T20" s="32" t="n">
        <v>-2.54</v>
      </c>
      <c r="U20" s="32" t="n">
        <v>44.48</v>
      </c>
      <c r="V20" s="32" t="n">
        <v>48.25</v>
      </c>
      <c r="W20" s="32" t="n">
        <v>19.54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Between 1.5 to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IF(B21=0,"",RANK(B21,$B$2:$B$340,0))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PGIL</t>
        </is>
      </c>
      <c r="D21" s="31" t="inlineStr">
        <is>
          <t>Pearl Global Industries Limited</t>
        </is>
      </c>
      <c r="E21" s="31" t="inlineStr">
        <is>
          <t>consumer discretionary</t>
        </is>
      </c>
      <c r="F21" s="31" t="inlineStr">
        <is>
          <t>textiles - products</t>
        </is>
      </c>
      <c r="G21" s="31" t="inlineStr">
        <is>
          <t>midcap</t>
        </is>
      </c>
      <c r="H21" s="32" t="n">
        <v>9427.559999999999</v>
      </c>
      <c r="I21" s="32" t="n">
        <v>2094.7</v>
      </c>
      <c r="J21" s="32" t="n">
        <v>2.62</v>
      </c>
      <c r="K21" s="32" t="n">
        <v>196034</v>
      </c>
      <c r="L21" s="31" t="n">
        <v>62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67.36</v>
      </c>
      <c r="P21" s="32" t="n">
        <v>45.36</v>
      </c>
      <c r="Q21" s="32" t="inlineStr"/>
      <c r="R21" s="31" t="inlineStr">
        <is>
          <t>Earnings / Momentum Support</t>
        </is>
      </c>
      <c r="S21" s="31" t="inlineStr">
        <is>
          <t>Nifty 50</t>
        </is>
      </c>
      <c r="T21" s="32" t="n">
        <v>-2.54</v>
      </c>
      <c r="U21" s="32" t="n">
        <v>31.6</v>
      </c>
      <c r="V21" s="32" t="n">
        <v>35.03</v>
      </c>
      <c r="W21" s="32" t="n">
        <v>11.43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Between 1.5 to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IF(B22=0,"",RANK(B22,$B$2:$B$340,0))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ASTRAMICRO</t>
        </is>
      </c>
      <c r="D22" s="31" t="inlineStr">
        <is>
          <t>Astra Microwave Products Limited</t>
        </is>
      </c>
      <c r="E22" s="31" t="inlineStr">
        <is>
          <t>aerospace &amp; defence</t>
        </is>
      </c>
      <c r="F22" s="31" t="inlineStr">
        <is>
          <t>telecommunications - equipment</t>
        </is>
      </c>
      <c r="G22" s="31" t="inlineStr">
        <is>
          <t>midcap</t>
        </is>
      </c>
      <c r="H22" s="32" t="n">
        <v>16338.14</v>
      </c>
      <c r="I22" s="32" t="n">
        <v>1751</v>
      </c>
      <c r="J22" s="32" t="n">
        <v>1.76</v>
      </c>
      <c r="K22" s="32" t="n">
        <v>231267</v>
      </c>
      <c r="L22" s="31" t="n">
        <v>90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74.16</v>
      </c>
      <c r="P22" s="32" t="n">
        <v>52.97</v>
      </c>
      <c r="Q22" s="32" t="inlineStr"/>
      <c r="R22" s="31" t="inlineStr">
        <is>
          <t>Earnings / Momentum Support</t>
        </is>
      </c>
      <c r="S22" s="31" t="inlineStr">
        <is>
          <t>Nifty 50</t>
        </is>
      </c>
      <c r="T22" s="32" t="n">
        <v>-2.54</v>
      </c>
      <c r="U22" s="32" t="n">
        <v>77.95999999999999</v>
      </c>
      <c r="V22" s="32" t="n">
        <v>82.59</v>
      </c>
      <c r="W22" s="32" t="n">
        <v>25.98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Oligopoly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Between 1.5 to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IF(B23=0,"",RANK(B23,$B$2:$B$340,0))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IBULLSLTD</t>
        </is>
      </c>
      <c r="D23" s="31" t="inlineStr">
        <is>
          <t>Indiabulls Limited</t>
        </is>
      </c>
      <c r="E23" s="31" t="inlineStr">
        <is>
          <t>miscellaneous</t>
        </is>
      </c>
      <c r="F23" s="31" t="inlineStr">
        <is>
          <t>diversified - medium / small</t>
        </is>
      </c>
      <c r="G23" s="31" t="inlineStr">
        <is>
          <t>midcap</t>
        </is>
      </c>
      <c r="H23" s="32" t="n">
        <v>6738.38</v>
      </c>
      <c r="I23" s="32" t="n">
        <v>29.39</v>
      </c>
      <c r="J23" s="32" t="n">
        <v>1.38</v>
      </c>
      <c r="K23" s="32" t="n">
        <v>3091209</v>
      </c>
      <c r="L23" s="31" t="n">
        <v>92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75.70999999999999</v>
      </c>
      <c r="P23" s="32" t="n">
        <v>46.52</v>
      </c>
      <c r="Q23" s="32" t="inlineStr"/>
      <c r="R23" s="31" t="inlineStr">
        <is>
          <t>Earnings / Momentum Support</t>
        </is>
      </c>
      <c r="S23" s="31" t="inlineStr">
        <is>
          <t>Nifty 50</t>
        </is>
      </c>
      <c r="T23" s="32" t="n">
        <v>-2.54</v>
      </c>
      <c r="U23" s="32" t="n">
        <v>85.95</v>
      </c>
      <c r="V23" s="32" t="n">
        <v>90.8</v>
      </c>
      <c r="W23" s="32" t="n">
        <v>30.45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Between 50% to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IF(B24=0,"",RANK(B24,$B$2:$B$340,0))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PRECOT</t>
        </is>
      </c>
      <c r="D24" s="31" t="inlineStr">
        <is>
          <t>Precot Meridian Limited</t>
        </is>
      </c>
      <c r="E24" s="31" t="inlineStr">
        <is>
          <t>textiles</t>
        </is>
      </c>
      <c r="F24" s="31" t="inlineStr">
        <is>
          <t>textiles - cotton/blended</t>
        </is>
      </c>
      <c r="G24" s="31" t="inlineStr">
        <is>
          <t>smallcap</t>
        </is>
      </c>
      <c r="H24" s="32" t="n">
        <v>990.36</v>
      </c>
      <c r="I24" s="32" t="n">
        <v>829.5</v>
      </c>
      <c r="J24" s="32" t="n">
        <v>0.51</v>
      </c>
      <c r="K24" s="32" t="n">
        <v>12988</v>
      </c>
      <c r="L24" s="31" t="n">
        <v>86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70.28</v>
      </c>
      <c r="P24" s="32" t="n">
        <v>44.47</v>
      </c>
      <c r="Q24" s="32" t="inlineStr"/>
      <c r="R24" s="31" t="inlineStr">
        <is>
          <t>Earnings / Momentum Support</t>
        </is>
      </c>
      <c r="S24" s="31" t="inlineStr">
        <is>
          <t>Nifty 50</t>
        </is>
      </c>
      <c r="T24" s="32" t="n">
        <v>-2.54</v>
      </c>
      <c r="U24" s="32" t="n">
        <v>34.14</v>
      </c>
      <c r="V24" s="32" t="n">
        <v>37.64</v>
      </c>
      <c r="W24" s="32" t="n">
        <v>21.74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Between 0.7 to 1.2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IF(B25=0,"",RANK(B25,$B$2:$B$340,0))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RISHABH</t>
        </is>
      </c>
      <c r="D25" s="31" t="inlineStr">
        <is>
          <t>Rishabh Instruments Ltd</t>
        </is>
      </c>
      <c r="E25" s="31" t="inlineStr">
        <is>
          <t>industrials</t>
        </is>
      </c>
      <c r="F25" s="31" t="inlineStr">
        <is>
          <t>electric equipment</t>
        </is>
      </c>
      <c r="G25" s="31" t="inlineStr">
        <is>
          <t>smallcap</t>
        </is>
      </c>
      <c r="H25" s="32" t="n">
        <v>2529</v>
      </c>
      <c r="I25" s="32" t="n">
        <v>657.15</v>
      </c>
      <c r="J25" s="32" t="n">
        <v>0.16</v>
      </c>
      <c r="K25" s="32" t="n">
        <v>803716</v>
      </c>
      <c r="L25" s="31" t="n">
        <v>90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71.88</v>
      </c>
      <c r="P25" s="32" t="n">
        <v>43.08</v>
      </c>
      <c r="Q25" s="32" t="inlineStr"/>
      <c r="R25" s="31" t="inlineStr">
        <is>
          <t>Earnings / Momentum Support</t>
        </is>
      </c>
      <c r="S25" s="31" t="inlineStr">
        <is>
          <t>Nifty 50</t>
        </is>
      </c>
      <c r="T25" s="32" t="n">
        <v>-2.54</v>
      </c>
      <c r="U25" s="32" t="n">
        <v>118.81</v>
      </c>
      <c r="V25" s="32" t="n">
        <v>124.51</v>
      </c>
      <c r="W25" s="32" t="n">
        <v>26.68</v>
      </c>
      <c r="X25" s="31" t="inlineStr">
        <is>
          <t>Cyclical in an Upturn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IF(B26=0,"",RANK(B26,$B$2:$B$340,0))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BHEL</t>
        </is>
      </c>
      <c r="D26" s="31" t="inlineStr">
        <is>
          <t>Bharat Heavy Electricals Limited</t>
        </is>
      </c>
      <c r="E26" s="31" t="inlineStr">
        <is>
          <t>industrials</t>
        </is>
      </c>
      <c r="F26" s="31" t="inlineStr">
        <is>
          <t>electric equipment</t>
        </is>
      </c>
      <c r="G26" s="31" t="inlineStr">
        <is>
          <t>largecap</t>
        </is>
      </c>
      <c r="H26" s="32" t="n">
        <v>146943.07</v>
      </c>
      <c r="I26" s="32" t="n">
        <v>417.5</v>
      </c>
      <c r="J26" s="32" t="n">
        <v>-1.07</v>
      </c>
      <c r="K26" s="32" t="n">
        <v>12038892</v>
      </c>
      <c r="L26" s="31" t="n">
        <v>81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67.77</v>
      </c>
      <c r="P26" s="32" t="n">
        <v>46.77</v>
      </c>
      <c r="Q26" s="32" t="inlineStr"/>
      <c r="R26" s="31" t="inlineStr">
        <is>
          <t>Earnings / Momentum Support</t>
        </is>
      </c>
      <c r="S26" s="31" t="inlineStr">
        <is>
          <t>Nifty 50</t>
        </is>
      </c>
      <c r="T26" s="32" t="n">
        <v>-2.54</v>
      </c>
      <c r="U26" s="32" t="n">
        <v>69.36</v>
      </c>
      <c r="V26" s="32" t="n">
        <v>73.77</v>
      </c>
      <c r="W26" s="32" t="n">
        <v>18.76</v>
      </c>
      <c r="X26" s="31" t="inlineStr">
        <is>
          <t>Cyclical in an Upturn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IF(B27=0,"",RANK(B27,$B$2:$B$340,0))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EMCURE</t>
        </is>
      </c>
      <c r="D27" s="31" t="inlineStr">
        <is>
          <t>Emcure Pharmaceuticals Ltd</t>
        </is>
      </c>
      <c r="E27" s="31" t="inlineStr">
        <is>
          <t>healthcare</t>
        </is>
      </c>
      <c r="F27" s="31" t="inlineStr">
        <is>
          <t>pharmaceuticals - indian - bulk drugs &amp; formln</t>
        </is>
      </c>
      <c r="G27" s="31" t="inlineStr">
        <is>
          <t>largecap</t>
        </is>
      </c>
      <c r="H27" s="32" t="n">
        <v>33807.61</v>
      </c>
      <c r="I27" s="32" t="n">
        <v>1861.2</v>
      </c>
      <c r="J27" s="32" t="n">
        <v>4.37</v>
      </c>
      <c r="K27" s="32" t="n">
        <v>195372</v>
      </c>
      <c r="L27" s="31" t="n">
        <v>44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61.1</v>
      </c>
      <c r="P27" s="32" t="n">
        <v>55.98</v>
      </c>
      <c r="Q27" s="32" t="inlineStr"/>
      <c r="R27" s="31" t="inlineStr">
        <is>
          <t>Earnings / Momentum Support</t>
        </is>
      </c>
      <c r="S27" s="31" t="inlineStr">
        <is>
          <t>Nifty Pharma</t>
        </is>
      </c>
      <c r="T27" s="32" t="n">
        <v>13.51</v>
      </c>
      <c r="U27" s="32" t="n">
        <v>30.7</v>
      </c>
      <c r="V27" s="32" t="n">
        <v>15.14</v>
      </c>
      <c r="W27" s="32" t="n">
        <v>7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Between 50% to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IF(B28=0,"",RANK(B28,$B$2:$B$340,0))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RAMCOSYS</t>
        </is>
      </c>
      <c r="D28" s="31" t="inlineStr">
        <is>
          <t>Ramco Systems Limited</t>
        </is>
      </c>
      <c r="E28" s="31" t="inlineStr">
        <is>
          <t>i.t</t>
        </is>
      </c>
      <c r="F28" s="31" t="inlineStr">
        <is>
          <t>computers - software - medium / small</t>
        </is>
      </c>
      <c r="G28" s="31" t="inlineStr">
        <is>
          <t>smallcap</t>
        </is>
      </c>
      <c r="H28" s="32" t="n">
        <v>2951.99</v>
      </c>
      <c r="I28" s="32" t="n">
        <v>806</v>
      </c>
      <c r="J28" s="32" t="n">
        <v>2.15</v>
      </c>
      <c r="K28" s="32" t="n">
        <v>978051</v>
      </c>
      <c r="L28" s="31" t="n">
        <v>96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73.68000000000001</v>
      </c>
      <c r="P28" s="32" t="n">
        <v>30.71</v>
      </c>
      <c r="Q28" s="32" t="inlineStr"/>
      <c r="R28" s="31" t="inlineStr">
        <is>
          <t>Earnings / Momentum Support</t>
        </is>
      </c>
      <c r="S28" s="31" t="inlineStr">
        <is>
          <t>Nifty IT</t>
        </is>
      </c>
      <c r="T28" s="32" t="n">
        <v>-21.31</v>
      </c>
      <c r="U28" s="32" t="n">
        <v>99.33</v>
      </c>
      <c r="V28" s="32" t="n">
        <v>153.31</v>
      </c>
      <c r="W28" s="32" t="n">
        <v>36.14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IF(B29=0,"",RANK(B29,$B$2:$B$340,0))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ACUTAAS</t>
        </is>
      </c>
      <c r="D29" s="31" t="inlineStr">
        <is>
          <t>Acutaas Chemicals Ltd</t>
        </is>
      </c>
      <c r="E29" s="31" t="inlineStr">
        <is>
          <t>healthcare</t>
        </is>
      </c>
      <c r="F29" s="31" t="inlineStr">
        <is>
          <t>pharmaceuticals - indian - bulk drugs</t>
        </is>
      </c>
      <c r="G29" s="31" t="inlineStr">
        <is>
          <t>largecap</t>
        </is>
      </c>
      <c r="H29" s="32" t="n">
        <v>29632.43</v>
      </c>
      <c r="I29" s="32" t="n">
        <v>3656.2</v>
      </c>
      <c r="J29" s="32" t="n">
        <v>1.02</v>
      </c>
      <c r="K29" s="32" t="n">
        <v>189140</v>
      </c>
      <c r="L29" s="31" t="n">
        <v>96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71.54000000000001</v>
      </c>
      <c r="P29" s="32" t="n">
        <v>70.2</v>
      </c>
      <c r="Q29" s="32" t="inlineStr"/>
      <c r="R29" s="31" t="inlineStr">
        <is>
          <t>Earnings / Momentum Support</t>
        </is>
      </c>
      <c r="S29" s="31" t="inlineStr">
        <is>
          <t>Nifty Pharma</t>
        </is>
      </c>
      <c r="T29" s="32" t="n">
        <v>13.51</v>
      </c>
      <c r="U29" s="32" t="n">
        <v>201.12</v>
      </c>
      <c r="V29" s="32" t="n">
        <v>165.28</v>
      </c>
      <c r="W29" s="32" t="n">
        <v>37.14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Between 50% to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IF(B30=0,"",RANK(B30,$B$2:$B$340,0))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RADICO</t>
        </is>
      </c>
      <c r="D30" s="31" t="inlineStr">
        <is>
          <t>Radico Khaitan Limited</t>
        </is>
      </c>
      <c r="E30" s="31" t="inlineStr">
        <is>
          <t>fmcg</t>
        </is>
      </c>
      <c r="F30" s="31" t="inlineStr">
        <is>
          <t>breweries &amp; distilleries</t>
        </is>
      </c>
      <c r="G30" s="31" t="inlineStr">
        <is>
          <t>largecap</t>
        </is>
      </c>
      <c r="H30" s="32" t="n">
        <v>54870.03</v>
      </c>
      <c r="I30" s="32" t="n">
        <v>4132.4</v>
      </c>
      <c r="J30" s="32" t="n">
        <v>0.84</v>
      </c>
      <c r="K30" s="32" t="n">
        <v>574803</v>
      </c>
      <c r="L30" s="31" t="n">
        <v>73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79.92</v>
      </c>
      <c r="P30" s="32" t="n">
        <v>55.09</v>
      </c>
      <c r="Q30" s="32" t="inlineStr"/>
      <c r="R30" s="31" t="inlineStr">
        <is>
          <t>Earnings / Momentum Support</t>
        </is>
      </c>
      <c r="S30" s="31" t="inlineStr">
        <is>
          <t>Nifty FMCG</t>
        </is>
      </c>
      <c r="T30" s="32" t="n">
        <v>-13.73</v>
      </c>
      <c r="U30" s="32" t="n">
        <v>50.97</v>
      </c>
      <c r="V30" s="32" t="n">
        <v>75</v>
      </c>
      <c r="W30" s="32" t="n">
        <v>14.99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B2C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IF(B31=0,"",RANK(B31,$B$2:$B$340,0))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GLAND</t>
        </is>
      </c>
      <c r="D31" s="31" t="inlineStr">
        <is>
          <t>Gland Pharma Ltd</t>
        </is>
      </c>
      <c r="E31" s="31" t="inlineStr">
        <is>
          <t>healthcare</t>
        </is>
      </c>
      <c r="F31" s="31" t="inlineStr">
        <is>
          <t>pharmaceuticals - indian - formulations</t>
        </is>
      </c>
      <c r="G31" s="31" t="inlineStr">
        <is>
          <t>largecap</t>
        </is>
      </c>
      <c r="H31" s="32" t="n">
        <v>40348.85</v>
      </c>
      <c r="I31" s="32" t="n">
        <v>2459.1</v>
      </c>
      <c r="J31" s="32" t="n">
        <v>0.41</v>
      </c>
      <c r="K31" s="32" t="n">
        <v>324972</v>
      </c>
      <c r="L31" s="31" t="n">
        <v>67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70.43000000000001</v>
      </c>
      <c r="P31" s="32" t="n">
        <v>51.92</v>
      </c>
      <c r="Q31" s="32" t="inlineStr"/>
      <c r="R31" s="31" t="inlineStr">
        <is>
          <t>Earnings / Momentum Support</t>
        </is>
      </c>
      <c r="S31" s="31" t="inlineStr">
        <is>
          <t>Nifty Pharma</t>
        </is>
      </c>
      <c r="T31" s="32" t="n">
        <v>13.51</v>
      </c>
      <c r="U31" s="32" t="n">
        <v>23.57</v>
      </c>
      <c r="V31" s="32" t="n">
        <v>8.859999999999999</v>
      </c>
      <c r="W31" s="32" t="n">
        <v>12.74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Between 50% to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IF(B32=0,"",RANK(B32,$B$2:$B$340,0))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SKMEGGPROD</t>
        </is>
      </c>
      <c r="D32" s="31" t="inlineStr">
        <is>
          <t>Skm Egg Products Export (india) Limited</t>
        </is>
      </c>
      <c r="E32" s="31" t="inlineStr">
        <is>
          <t>fmcg</t>
        </is>
      </c>
      <c r="F32" s="31" t="inlineStr">
        <is>
          <t>food - processing - indian</t>
        </is>
      </c>
      <c r="G32" s="31" t="inlineStr">
        <is>
          <t>smallcap</t>
        </is>
      </c>
      <c r="H32" s="32" t="n">
        <v>1679.59</v>
      </c>
      <c r="I32" s="32" t="n">
        <v>319.35</v>
      </c>
      <c r="J32" s="32" t="n">
        <v>0.13</v>
      </c>
      <c r="K32" s="32" t="n">
        <v>273440</v>
      </c>
      <c r="L32" s="31" t="n">
        <v>96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79.11</v>
      </c>
      <c r="P32" s="32" t="n">
        <v>45.07</v>
      </c>
      <c r="Q32" s="32" t="inlineStr"/>
      <c r="R32" s="31" t="inlineStr">
        <is>
          <t>Earnings / Momentum Support</t>
        </is>
      </c>
      <c r="S32" s="31" t="inlineStr">
        <is>
          <t>Nifty FMCG</t>
        </is>
      </c>
      <c r="T32" s="32" t="n">
        <v>-13.73</v>
      </c>
      <c r="U32" s="32" t="n">
        <v>118.17</v>
      </c>
      <c r="V32" s="32" t="n">
        <v>152.89</v>
      </c>
      <c r="W32" s="32" t="n">
        <v>35.71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B2C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Less than 50%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IF(B33=0,"",RANK(B33,$B$2:$B$340,0))</f>
        <v/>
      </c>
      <c r="B33" s="32">
        <f>SUM(N33,Y33,AA33,AC33,AE33,AG33,AI33,AK33,AM33,AO33,AQ33,AS33,AU33,AW33,AY33,BA33,BC33,BE33,BG33,BI33,BK33,BM33,BO33,BQ33,BS33,BU33,BW33,BY33,CA33,CC33,CE33)</f>
        <v/>
      </c>
      <c r="C33" s="33" t="inlineStr">
        <is>
          <t>MARKSANS</t>
        </is>
      </c>
      <c r="D33" s="33" t="inlineStr">
        <is>
          <t>Marksans Pharma Limited</t>
        </is>
      </c>
      <c r="E33" s="31" t="inlineStr">
        <is>
          <t>healthcare</t>
        </is>
      </c>
      <c r="F33" s="31" t="inlineStr">
        <is>
          <t>pharmaceuticals - indian - formulations</t>
        </is>
      </c>
      <c r="G33" s="31" t="inlineStr">
        <is>
          <t>midcap</t>
        </is>
      </c>
      <c r="H33" s="32" t="n">
        <v>12104</v>
      </c>
      <c r="I33" s="32" t="n">
        <v>266.95</v>
      </c>
      <c r="J33" s="32" t="n">
        <v>-0.06</v>
      </c>
      <c r="K33" s="32" t="n">
        <v>755907</v>
      </c>
      <c r="L33" s="31" t="n">
        <v>70</v>
      </c>
      <c r="M33" s="31" t="inlineStr">
        <is>
          <t>Underperforming</t>
        </is>
      </c>
      <c r="N33" s="32">
        <f>IF(M33="Underperforming",-5,IF(L33&gt;=95,15,IF(L33&gt;=90,10,IF(L33&gt;=80,5,0))))</f>
        <v/>
      </c>
      <c r="O33" s="32" t="n">
        <v>71.68000000000001</v>
      </c>
      <c r="P33" s="32" t="n">
        <v>52.08</v>
      </c>
      <c r="Q33" s="32" t="inlineStr"/>
      <c r="R33" s="31" t="inlineStr">
        <is>
          <t>Earnings / Momentum Support</t>
        </is>
      </c>
      <c r="S33" s="31" t="inlineStr">
        <is>
          <t>Nifty Pharma</t>
        </is>
      </c>
      <c r="T33" s="32" t="n">
        <v>13.51</v>
      </c>
      <c r="U33" s="32" t="n">
        <v>4.81</v>
      </c>
      <c r="V33" s="32" t="n">
        <v>-7.67</v>
      </c>
      <c r="W33" s="32" t="n">
        <v>13.77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IF(B34=0,"",RANK(B34,$B$2:$B$340,0))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SANSERA</t>
        </is>
      </c>
      <c r="D34" s="31" t="inlineStr">
        <is>
          <t>Sansera Engineering Ltd</t>
        </is>
      </c>
      <c r="E34" s="31" t="inlineStr">
        <is>
          <t>auto</t>
        </is>
      </c>
      <c r="F34" s="31" t="inlineStr">
        <is>
          <t>auto ancillaries</t>
        </is>
      </c>
      <c r="G34" s="31" t="inlineStr">
        <is>
          <t>largecap</t>
        </is>
      </c>
      <c r="H34" s="32" t="n">
        <v>20086.46</v>
      </c>
      <c r="I34" s="32" t="n">
        <v>3335.2</v>
      </c>
      <c r="J34" s="32" t="n">
        <v>3.62</v>
      </c>
      <c r="K34" s="32" t="n">
        <v>545332</v>
      </c>
      <c r="L34" s="31" t="n">
        <v>90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74.87</v>
      </c>
      <c r="P34" s="32" t="n">
        <v>51.07</v>
      </c>
      <c r="Q34" s="32" t="inlineStr"/>
      <c r="R34" s="31" t="inlineStr">
        <is>
          <t>Earnings / Momentum Support</t>
        </is>
      </c>
      <c r="S34" s="31" t="inlineStr">
        <is>
          <t>Nifty Auto</t>
        </is>
      </c>
      <c r="T34" s="32" t="n">
        <v>13.41</v>
      </c>
      <c r="U34" s="32" t="n">
        <v>137.65</v>
      </c>
      <c r="V34" s="32" t="n">
        <v>109.54</v>
      </c>
      <c r="W34" s="32" t="n">
        <v>26.81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Between 50% to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IF(B35=0,"",RANK(B35,$B$2:$B$340,0))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KANORICHEM</t>
        </is>
      </c>
      <c r="D35" s="31" t="inlineStr">
        <is>
          <t>Kanoria Chemicals &amp; Industries Limited</t>
        </is>
      </c>
      <c r="E35" s="31" t="inlineStr">
        <is>
          <t>chemicals</t>
        </is>
      </c>
      <c r="F35" s="31" t="inlineStr">
        <is>
          <t>chemicals</t>
        </is>
      </c>
      <c r="G35" s="31" t="inlineStr">
        <is>
          <t>smallcap</t>
        </is>
      </c>
      <c r="H35" s="32" t="n">
        <v>618.87</v>
      </c>
      <c r="I35" s="32" t="n">
        <v>146.5</v>
      </c>
      <c r="J35" s="32" t="n">
        <v>3.43</v>
      </c>
      <c r="K35" s="32" t="n">
        <v>64202</v>
      </c>
      <c r="L35" s="31" t="n">
        <v>92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78.14</v>
      </c>
      <c r="P35" s="32" t="n">
        <v>45.52</v>
      </c>
      <c r="Q35" s="32" t="inlineStr"/>
      <c r="R35" s="31" t="inlineStr">
        <is>
          <t>Earnings / Momentum Support</t>
        </is>
      </c>
      <c r="S35" s="31" t="inlineStr">
        <is>
          <t>Nifty 50</t>
        </is>
      </c>
      <c r="T35" s="32" t="n">
        <v>-2.54</v>
      </c>
      <c r="U35" s="32" t="n">
        <v>56.04</v>
      </c>
      <c r="V35" s="32" t="n">
        <v>60.11</v>
      </c>
      <c r="W35" s="32" t="n">
        <v>30.26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IF(B36=0,"",RANK(B36,$B$2:$B$340,0))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UNIPARTS</t>
        </is>
      </c>
      <c r="D36" s="31" t="inlineStr">
        <is>
          <t>Uniparts India Ltd</t>
        </is>
      </c>
      <c r="E36" s="31" t="inlineStr">
        <is>
          <t>industrials</t>
        </is>
      </c>
      <c r="F36" s="31" t="inlineStr">
        <is>
          <t>engineering</t>
        </is>
      </c>
      <c r="G36" s="31" t="inlineStr">
        <is>
          <t>smallcap</t>
        </is>
      </c>
      <c r="H36" s="32" t="n">
        <v>3051.67</v>
      </c>
      <c r="I36" s="32" t="n">
        <v>697</v>
      </c>
      <c r="J36" s="32" t="n">
        <v>3.11</v>
      </c>
      <c r="K36" s="32" t="n">
        <v>63283</v>
      </c>
      <c r="L36" s="31" t="n">
        <v>86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68.3</v>
      </c>
      <c r="P36" s="32" t="n">
        <v>55.41</v>
      </c>
      <c r="Q36" s="32" t="inlineStr"/>
      <c r="R36" s="31" t="inlineStr">
        <is>
          <t>Earnings / Momentum Support</t>
        </is>
      </c>
      <c r="S36" s="31" t="inlineStr">
        <is>
          <t>Nifty 50</t>
        </is>
      </c>
      <c r="T36" s="32" t="n">
        <v>-2.54</v>
      </c>
      <c r="U36" s="32" t="n">
        <v>89.98999999999999</v>
      </c>
      <c r="V36" s="32" t="n">
        <v>94.94</v>
      </c>
      <c r="W36" s="32" t="n">
        <v>21.55</v>
      </c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IF(B37=0,"",RANK(B37,$B$2:$B$340,0))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RPTECH</t>
        </is>
      </c>
      <c r="D37" s="31" t="inlineStr">
        <is>
          <t>Rashi Peripherals Ltd</t>
        </is>
      </c>
      <c r="E37" s="31" t="inlineStr">
        <is>
          <t>services</t>
        </is>
      </c>
      <c r="F37" s="31" t="inlineStr">
        <is>
          <t>trading</t>
        </is>
      </c>
      <c r="G37" s="31" t="inlineStr">
        <is>
          <t>smallcap</t>
        </is>
      </c>
      <c r="H37" s="32" t="n">
        <v>4840</v>
      </c>
      <c r="I37" s="32" t="n">
        <v>756.7</v>
      </c>
      <c r="J37" s="32" t="n">
        <v>3.03</v>
      </c>
      <c r="K37" s="32" t="n">
        <v>294114</v>
      </c>
      <c r="L37" s="31" t="n">
        <v>93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75.44</v>
      </c>
      <c r="P37" s="32" t="n">
        <v>73.65000000000001</v>
      </c>
      <c r="Q37" s="32" t="inlineStr"/>
      <c r="R37" s="31" t="inlineStr">
        <is>
          <t>Earnings / Momentum Support</t>
        </is>
      </c>
      <c r="S37" s="31" t="inlineStr">
        <is>
          <t>Nifty 50</t>
        </is>
      </c>
      <c r="T37" s="32" t="n">
        <v>-2.54</v>
      </c>
      <c r="U37" s="32" t="n">
        <v>132.88</v>
      </c>
      <c r="V37" s="32" t="n">
        <v>138.94</v>
      </c>
      <c r="W37" s="32" t="n">
        <v>32.46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Less than 50%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IF(B38=0,"",RANK(B38,$B$2:$B$340,0))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GANESHBE</t>
        </is>
      </c>
      <c r="D38" s="31" t="inlineStr">
        <is>
          <t>Ganesh Benzoplast Ltd</t>
        </is>
      </c>
      <c r="E38" s="31" t="inlineStr">
        <is>
          <t>miscellaneous</t>
        </is>
      </c>
      <c r="F38" s="31" t="inlineStr">
        <is>
          <t>miscellaneous</t>
        </is>
      </c>
      <c r="G38" s="31" t="inlineStr">
        <is>
          <t>smallcap</t>
        </is>
      </c>
      <c r="H38" s="32" t="n">
        <v>751.64</v>
      </c>
      <c r="I38" s="32" t="n">
        <v>107.02</v>
      </c>
      <c r="J38" s="32" t="n">
        <v>2.5</v>
      </c>
      <c r="K38" s="32" t="n">
        <v>180937</v>
      </c>
      <c r="L38" s="31" t="n">
        <v>24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58.08</v>
      </c>
      <c r="P38" s="32" t="n">
        <v>26.87</v>
      </c>
      <c r="Q38" s="32" t="inlineStr"/>
      <c r="R38" s="31" t="inlineStr">
        <is>
          <t>Earnings / Momentum Support</t>
        </is>
      </c>
      <c r="S38" s="31" t="inlineStr">
        <is>
          <t>Nifty 50</t>
        </is>
      </c>
      <c r="T38" s="32" t="n">
        <v>-2.54</v>
      </c>
      <c r="U38" s="32" t="n">
        <v>7.59</v>
      </c>
      <c r="V38" s="32" t="n">
        <v>10.4</v>
      </c>
      <c r="W38" s="32" t="n">
        <v>3.46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IF(B39=0,"",RANK(B39,$B$2:$B$340,0))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NRL</t>
        </is>
      </c>
      <c r="D39" s="31" t="inlineStr">
        <is>
          <t>Nupur Recyclers Ltd</t>
        </is>
      </c>
      <c r="E39" s="31" t="inlineStr">
        <is>
          <t>services</t>
        </is>
      </c>
      <c r="F39" s="31" t="inlineStr">
        <is>
          <t>trading</t>
        </is>
      </c>
      <c r="G39" s="31" t="inlineStr">
        <is>
          <t>smallcap</t>
        </is>
      </c>
      <c r="H39" s="32" t="n">
        <v>744.84</v>
      </c>
      <c r="I39" s="32" t="n">
        <v>110.1</v>
      </c>
      <c r="J39" s="32" t="n">
        <v>2.1</v>
      </c>
      <c r="K39" s="32" t="n">
        <v>208436</v>
      </c>
      <c r="L39" s="31" t="n">
        <v>93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85.45</v>
      </c>
      <c r="P39" s="32" t="n">
        <v>40.72</v>
      </c>
      <c r="Q39" s="32" t="inlineStr"/>
      <c r="R39" s="31" t="inlineStr">
        <is>
          <t>Earnings / Momentum Support</t>
        </is>
      </c>
      <c r="S39" s="31" t="inlineStr">
        <is>
          <t>Nifty 50</t>
        </is>
      </c>
      <c r="T39" s="32" t="n">
        <v>-2.54</v>
      </c>
      <c r="U39" s="32" t="n">
        <v>39.09</v>
      </c>
      <c r="V39" s="32" t="n">
        <v>42.72</v>
      </c>
      <c r="W39" s="32" t="n">
        <v>31.61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Between 1.5 to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IF(B40=0,"",RANK(B40,$B$2:$B$340,0))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CARTRADE</t>
        </is>
      </c>
      <c r="D40" s="31" t="inlineStr">
        <is>
          <t>Cartrade Tech Ltd</t>
        </is>
      </c>
      <c r="E40" s="31" t="inlineStr">
        <is>
          <t>consumer discretionary</t>
        </is>
      </c>
      <c r="F40" s="31" t="inlineStr">
        <is>
          <t>miscellaneous</t>
        </is>
      </c>
      <c r="G40" s="31" t="inlineStr">
        <is>
          <t>midcap</t>
        </is>
      </c>
      <c r="H40" s="32" t="n">
        <v>12924.2</v>
      </c>
      <c r="I40" s="32" t="n">
        <v>2755.4</v>
      </c>
      <c r="J40" s="32" t="n">
        <v>2.07</v>
      </c>
      <c r="K40" s="32" t="n">
        <v>339570</v>
      </c>
      <c r="L40" s="31" t="n">
        <v>83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63.09</v>
      </c>
      <c r="P40" s="32" t="n">
        <v>28.27</v>
      </c>
      <c r="Q40" s="32" t="inlineStr"/>
      <c r="R40" s="31" t="inlineStr">
        <is>
          <t>Earnings / Momentum Support</t>
        </is>
      </c>
      <c r="S40" s="31" t="inlineStr">
        <is>
          <t>Nifty 50</t>
        </is>
      </c>
      <c r="T40" s="32" t="n">
        <v>-2.54</v>
      </c>
      <c r="U40" s="32" t="n">
        <v>42.24</v>
      </c>
      <c r="V40" s="32" t="n">
        <v>45.94</v>
      </c>
      <c r="W40" s="32" t="n">
        <v>19.79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IF(B41=0,"",RANK(B41,$B$2:$B$340,0))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QUESS</t>
        </is>
      </c>
      <c r="D41" s="31" t="inlineStr">
        <is>
          <t>Quess Corp Limited</t>
        </is>
      </c>
      <c r="E41" s="31" t="inlineStr">
        <is>
          <t>miscellaneous</t>
        </is>
      </c>
      <c r="F41" s="31" t="inlineStr">
        <is>
          <t>diversified - large</t>
        </is>
      </c>
      <c r="G41" s="31" t="inlineStr">
        <is>
          <t>smallcap</t>
        </is>
      </c>
      <c r="H41" s="32" t="n">
        <v>4345.62</v>
      </c>
      <c r="I41" s="32" t="n">
        <v>294.95</v>
      </c>
      <c r="J41" s="32" t="n">
        <v>1.37</v>
      </c>
      <c r="K41" s="32" t="n">
        <v>185348</v>
      </c>
      <c r="L41" s="31" t="n">
        <v>65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72.31</v>
      </c>
      <c r="P41" s="32" t="n">
        <v>38.02</v>
      </c>
      <c r="Q41" s="32" t="inlineStr"/>
      <c r="R41" s="31" t="inlineStr">
        <is>
          <t>Earnings / Momentum Support</t>
        </is>
      </c>
      <c r="S41" s="31" t="inlineStr">
        <is>
          <t>Nifty 50</t>
        </is>
      </c>
      <c r="T41" s="32" t="n">
        <v>-2.54</v>
      </c>
      <c r="U41" s="32" t="n">
        <v>-1.43</v>
      </c>
      <c r="V41" s="32" t="n">
        <v>1.14</v>
      </c>
      <c r="W41" s="32" t="n">
        <v>12.26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IF(B42=0,"",RANK(B42,$B$2:$B$340,0))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PLASTIBLEN</t>
        </is>
      </c>
      <c r="D42" s="31" t="inlineStr">
        <is>
          <t>Plastiblends India Limited</t>
        </is>
      </c>
      <c r="E42" s="31" t="inlineStr">
        <is>
          <t>chemicals</t>
        </is>
      </c>
      <c r="F42" s="31" t="inlineStr">
        <is>
          <t>chemicals</t>
        </is>
      </c>
      <c r="G42" s="31" t="inlineStr">
        <is>
          <t>smallcap</t>
        </is>
      </c>
      <c r="H42" s="32" t="n">
        <v>516.0700000000001</v>
      </c>
      <c r="I42" s="32" t="n">
        <v>199.86</v>
      </c>
      <c r="J42" s="32" t="n">
        <v>0.65</v>
      </c>
      <c r="K42" s="32" t="n">
        <v>103191</v>
      </c>
      <c r="L42" s="31" t="n">
        <v>42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70.75</v>
      </c>
      <c r="P42" s="32" t="n">
        <v>23.3</v>
      </c>
      <c r="Q42" s="32" t="inlineStr"/>
      <c r="R42" s="31" t="inlineStr">
        <is>
          <t>Earnings / Momentum Support</t>
        </is>
      </c>
      <c r="S42" s="31" t="inlineStr">
        <is>
          <t>Nifty 50</t>
        </is>
      </c>
      <c r="T42" s="32" t="n">
        <v>-2.54</v>
      </c>
      <c r="U42" s="32" t="n">
        <v>-0.91</v>
      </c>
      <c r="V42" s="32" t="n">
        <v>1.67</v>
      </c>
      <c r="W42" s="32" t="n">
        <v>6.74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IF(B43=0,"",RANK(B43,$B$2:$B$340,0))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BUTTERFLY</t>
        </is>
      </c>
      <c r="D43" s="31" t="inlineStr">
        <is>
          <t>Butterfly Gandhimathi Appliances Limited</t>
        </is>
      </c>
      <c r="E43" s="31" t="inlineStr">
        <is>
          <t>consumer discretionary</t>
        </is>
      </c>
      <c r="F43" s="31" t="inlineStr">
        <is>
          <t>domestic appliances</t>
        </is>
      </c>
      <c r="G43" s="31" t="inlineStr">
        <is>
          <t>smallcap</t>
        </is>
      </c>
      <c r="H43" s="32" t="n">
        <v>1387.36</v>
      </c>
      <c r="I43" s="32" t="n">
        <v>758.2</v>
      </c>
      <c r="J43" s="32" t="n">
        <v>-2.29</v>
      </c>
      <c r="K43" s="32" t="n">
        <v>37694</v>
      </c>
      <c r="L43" s="31" t="n">
        <v>40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67.95</v>
      </c>
      <c r="P43" s="32" t="n">
        <v>39.89</v>
      </c>
      <c r="Q43" s="32" t="inlineStr"/>
      <c r="R43" s="31" t="inlineStr">
        <is>
          <t>Earnings / Momentum Support</t>
        </is>
      </c>
      <c r="S43" s="31" t="inlineStr">
        <is>
          <t>Nifty 50</t>
        </is>
      </c>
      <c r="T43" s="32" t="n">
        <v>-2.54</v>
      </c>
      <c r="U43" s="32" t="n">
        <v>4.08</v>
      </c>
      <c r="V43" s="32" t="n">
        <v>6.79</v>
      </c>
      <c r="W43" s="32" t="n">
        <v>6.43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IF(B44=0,"",RANK(B44,$B$2:$B$340,0))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PIXTRANS</t>
        </is>
      </c>
      <c r="D44" s="31" t="inlineStr">
        <is>
          <t>Pix Transmission Ltd</t>
        </is>
      </c>
      <c r="E44" s="31" t="inlineStr">
        <is>
          <t>fmcg</t>
        </is>
      </c>
      <c r="F44" s="31" t="inlineStr">
        <is>
          <t>miscellaneous</t>
        </is>
      </c>
      <c r="G44" s="31" t="inlineStr">
        <is>
          <t>smallcap</t>
        </is>
      </c>
      <c r="H44" s="32" t="n">
        <v>2449.81</v>
      </c>
      <c r="I44" s="32" t="n">
        <v>1860</v>
      </c>
      <c r="J44" s="32" t="n">
        <v>3.45</v>
      </c>
      <c r="K44" s="32" t="n">
        <v>18543</v>
      </c>
      <c r="L44" s="31" t="n">
        <v>46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70.31</v>
      </c>
      <c r="P44" s="32" t="n">
        <v>42.06</v>
      </c>
      <c r="Q44" s="32" t="inlineStr"/>
      <c r="R44" s="31" t="inlineStr">
        <is>
          <t>Earnings / Momentum Support</t>
        </is>
      </c>
      <c r="S44" s="31" t="inlineStr">
        <is>
          <t>Nifty FMCG</t>
        </is>
      </c>
      <c r="T44" s="32" t="n">
        <v>-13.73</v>
      </c>
      <c r="U44" s="32" t="n">
        <v>17.79</v>
      </c>
      <c r="V44" s="32" t="n">
        <v>36.54</v>
      </c>
      <c r="W44" s="32" t="n">
        <v>7.69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B2C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Less than 12%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IF(B45=0,"",RANK(B45,$B$2:$B$340,0))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CCL</t>
        </is>
      </c>
      <c r="D45" s="31" t="inlineStr">
        <is>
          <t>Ccl Products (india) Limited</t>
        </is>
      </c>
      <c r="E45" s="31" t="inlineStr">
        <is>
          <t>fmcg</t>
        </is>
      </c>
      <c r="F45" s="31" t="inlineStr">
        <is>
          <t>tea</t>
        </is>
      </c>
      <c r="G45" s="31" t="inlineStr">
        <is>
          <t>midcap</t>
        </is>
      </c>
      <c r="H45" s="32" t="n">
        <v>15908.52</v>
      </c>
      <c r="I45" s="32" t="n">
        <v>1202</v>
      </c>
      <c r="J45" s="32" t="n">
        <v>0.89</v>
      </c>
      <c r="K45" s="32" t="n">
        <v>111885</v>
      </c>
      <c r="L45" s="31" t="n">
        <v>51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66.61</v>
      </c>
      <c r="P45" s="32" t="n">
        <v>47.76</v>
      </c>
      <c r="Q45" s="32" t="inlineStr"/>
      <c r="R45" s="31" t="inlineStr">
        <is>
          <t>Earnings / Momentum Support</t>
        </is>
      </c>
      <c r="S45" s="31" t="inlineStr">
        <is>
          <t>Nifty FMCG</t>
        </is>
      </c>
      <c r="T45" s="32" t="n">
        <v>-13.73</v>
      </c>
      <c r="U45" s="32" t="n">
        <v>37.86</v>
      </c>
      <c r="V45" s="32" t="n">
        <v>59.8</v>
      </c>
      <c r="W45" s="32" t="n">
        <v>8.77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B2C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Between 12 to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IF(B46=0,"",RANK(B46,$B$2:$B$340,0))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PGHL</t>
        </is>
      </c>
      <c r="D46" s="31" t="inlineStr">
        <is>
          <t>Procter &amp; Gamble Health Ltd</t>
        </is>
      </c>
      <c r="E46" s="31" t="inlineStr">
        <is>
          <t>healthcare</t>
        </is>
      </c>
      <c r="F46" s="31" t="inlineStr">
        <is>
          <t>pharmaceuticals - multinational</t>
        </is>
      </c>
      <c r="G46" s="31" t="inlineStr">
        <is>
          <t>midcap</t>
        </is>
      </c>
      <c r="H46" s="32" t="n">
        <v>11286.75</v>
      </c>
      <c r="I46" s="32" t="n">
        <v>6833.5</v>
      </c>
      <c r="J46" s="32" t="n">
        <v>0.5</v>
      </c>
      <c r="K46" s="32" t="n">
        <v>10026</v>
      </c>
      <c r="L46" s="31" t="n">
        <v>64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80.2</v>
      </c>
      <c r="P46" s="32" t="n">
        <v>64.98</v>
      </c>
      <c r="Q46" s="32" t="inlineStr"/>
      <c r="R46" s="31" t="inlineStr">
        <is>
          <t>Earnings / Momentum Support</t>
        </is>
      </c>
      <c r="S46" s="31" t="inlineStr">
        <is>
          <t>Nifty Pharma</t>
        </is>
      </c>
      <c r="T46" s="32" t="n">
        <v>13.51</v>
      </c>
      <c r="U46" s="32" t="n">
        <v>20.32</v>
      </c>
      <c r="V46" s="32" t="n">
        <v>6</v>
      </c>
      <c r="W46" s="32" t="n">
        <v>12.05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IF(B47=0,"",RANK(B47,$B$2:$B$340,0))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PANACEABIO</t>
        </is>
      </c>
      <c r="D47" s="31" t="inlineStr">
        <is>
          <t>Panacea Biotec Limited</t>
        </is>
      </c>
      <c r="E47" s="31" t="inlineStr">
        <is>
          <t>healthcare</t>
        </is>
      </c>
      <c r="F47" s="31" t="inlineStr">
        <is>
          <t>pharmaceuticals - indian - bulk drugs &amp; formln</t>
        </is>
      </c>
      <c r="G47" s="31" t="inlineStr">
        <is>
          <t>smallcap</t>
        </is>
      </c>
      <c r="H47" s="32" t="n">
        <v>3361.75</v>
      </c>
      <c r="I47" s="32" t="n">
        <v>548.85</v>
      </c>
      <c r="J47" s="32" t="n">
        <v>0</v>
      </c>
      <c r="K47" s="32" t="n">
        <v>111258</v>
      </c>
      <c r="L47" s="31" t="n">
        <v>79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74.31999999999999</v>
      </c>
      <c r="P47" s="32" t="n">
        <v>48.63</v>
      </c>
      <c r="Q47" s="32" t="inlineStr"/>
      <c r="R47" s="31" t="inlineStr">
        <is>
          <t>Earnings / Momentum Support</t>
        </is>
      </c>
      <c r="S47" s="31" t="inlineStr">
        <is>
          <t>Nifty Pharma</t>
        </is>
      </c>
      <c r="T47" s="32" t="n">
        <v>13.51</v>
      </c>
      <c r="U47" s="32" t="n">
        <v>27.91</v>
      </c>
      <c r="V47" s="32" t="n">
        <v>12.68</v>
      </c>
      <c r="W47" s="32" t="n">
        <v>17.86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Less than 12%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IF(B48=0,"",RANK(B48,$B$2:$B$340,0))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KOPRAN</t>
        </is>
      </c>
      <c r="D48" s="31" t="inlineStr">
        <is>
          <t>Kopran Limited</t>
        </is>
      </c>
      <c r="E48" s="31" t="inlineStr">
        <is>
          <t>healthcare</t>
        </is>
      </c>
      <c r="F48" s="31" t="inlineStr">
        <is>
          <t>pharmaceuticals - indian - bulk drugs &amp; formln</t>
        </is>
      </c>
      <c r="G48" s="31" t="inlineStr">
        <is>
          <t>smallcap</t>
        </is>
      </c>
      <c r="H48" s="32" t="n">
        <v>983.24</v>
      </c>
      <c r="I48" s="32" t="n">
        <v>203.13</v>
      </c>
      <c r="J48" s="32" t="n">
        <v>-0.25</v>
      </c>
      <c r="K48" s="32" t="n">
        <v>133595</v>
      </c>
      <c r="L48" s="31" t="n">
        <v>54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65.11</v>
      </c>
      <c r="P48" s="32" t="n">
        <v>37.38</v>
      </c>
      <c r="Q48" s="32" t="inlineStr"/>
      <c r="R48" s="31" t="inlineStr">
        <is>
          <t>Earnings / Momentum Support</t>
        </is>
      </c>
      <c r="S48" s="31" t="inlineStr">
        <is>
          <t>Nifty Pharma</t>
        </is>
      </c>
      <c r="T48" s="32" t="n">
        <v>13.51</v>
      </c>
      <c r="U48" s="32" t="n">
        <v>16.41</v>
      </c>
      <c r="V48" s="32" t="n">
        <v>2.55</v>
      </c>
      <c r="W48" s="32" t="n">
        <v>9.550000000000001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IF(B49=0,"",RANK(B49,$B$2:$B$340,0))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GRANULES</t>
        </is>
      </c>
      <c r="D49" s="31" t="inlineStr">
        <is>
          <t>Granules India Limited</t>
        </is>
      </c>
      <c r="E49" s="31" t="inlineStr">
        <is>
          <t>healthcare</t>
        </is>
      </c>
      <c r="F49" s="31" t="inlineStr">
        <is>
          <t>pharmaceuticals - indian - bulk drugs &amp; formln</t>
        </is>
      </c>
      <c r="G49" s="31" t="inlineStr">
        <is>
          <t>largecap</t>
        </is>
      </c>
      <c r="H49" s="32" t="n">
        <v>21825.95</v>
      </c>
      <c r="I49" s="32" t="n">
        <v>876.1</v>
      </c>
      <c r="J49" s="32" t="n">
        <v>-0.53</v>
      </c>
      <c r="K49" s="32" t="n">
        <v>545107</v>
      </c>
      <c r="L49" s="31" t="n">
        <v>83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76.31999999999999</v>
      </c>
      <c r="P49" s="32" t="n">
        <v>50.62</v>
      </c>
      <c r="Q49" s="32" t="inlineStr"/>
      <c r="R49" s="31" t="inlineStr">
        <is>
          <t>Earnings / Momentum Support</t>
        </is>
      </c>
      <c r="S49" s="31" t="inlineStr">
        <is>
          <t>Nifty Pharma</t>
        </is>
      </c>
      <c r="T49" s="32" t="n">
        <v>13.51</v>
      </c>
      <c r="U49" s="32" t="n">
        <v>78.06999999999999</v>
      </c>
      <c r="V49" s="32" t="n">
        <v>56.88</v>
      </c>
      <c r="W49" s="32" t="n">
        <v>19.73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Between 50% to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IF(B50=0,"",RANK(B50,$B$2:$B$340,0))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ASTERDM</t>
        </is>
      </c>
      <c r="D50" s="31" t="inlineStr">
        <is>
          <t>Aster DM Healthcare Ltd</t>
        </is>
      </c>
      <c r="E50" s="31" t="inlineStr">
        <is>
          <t>healthcare</t>
        </is>
      </c>
      <c r="F50" s="31" t="inlineStr">
        <is>
          <t>healthcare</t>
        </is>
      </c>
      <c r="G50" s="31" t="inlineStr">
        <is>
          <t>largecap</t>
        </is>
      </c>
      <c r="H50" s="32" t="n">
        <v>42480.74</v>
      </c>
      <c r="I50" s="32" t="n">
        <v>815.15</v>
      </c>
      <c r="J50" s="32" t="n">
        <v>-0.58</v>
      </c>
      <c r="K50" s="32" t="n">
        <v>170084</v>
      </c>
      <c r="L50" s="31" t="n">
        <v>62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67.76000000000001</v>
      </c>
      <c r="P50" s="32" t="n">
        <v>49.65</v>
      </c>
      <c r="Q50" s="32" t="inlineStr"/>
      <c r="R50" s="31" t="inlineStr">
        <is>
          <t>Earnings / Momentum Support</t>
        </is>
      </c>
      <c r="S50" s="31" t="inlineStr">
        <is>
          <t>Nifty Pharma</t>
        </is>
      </c>
      <c r="T50" s="32" t="n">
        <v>13.51</v>
      </c>
      <c r="U50" s="32" t="n">
        <v>38.71</v>
      </c>
      <c r="V50" s="32" t="n">
        <v>22.2</v>
      </c>
      <c r="W50" s="32" t="n">
        <v>11.45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Between 1.5 to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IF(B51=0,"",RANK(B51,$B$2:$B$340,0))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CUPID</t>
        </is>
      </c>
      <c r="D51" s="31" t="inlineStr">
        <is>
          <t>Cupid Limited</t>
        </is>
      </c>
      <c r="E51" s="31" t="inlineStr">
        <is>
          <t>fmcg</t>
        </is>
      </c>
      <c r="F51" s="31" t="inlineStr">
        <is>
          <t>personal care - indian</t>
        </is>
      </c>
      <c r="G51" s="31" t="inlineStr">
        <is>
          <t>largecap</t>
        </is>
      </c>
      <c r="H51" s="32" t="n">
        <v>28880.62</v>
      </c>
      <c r="I51" s="32" t="n">
        <v>207.27</v>
      </c>
      <c r="J51" s="32" t="n">
        <v>-3.5</v>
      </c>
      <c r="K51" s="32" t="n">
        <v>62639495</v>
      </c>
      <c r="L51" s="31" t="n">
        <v>99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88.88</v>
      </c>
      <c r="P51" s="32" t="n">
        <v>66.06</v>
      </c>
      <c r="Q51" s="32" t="inlineStr"/>
      <c r="R51" s="31" t="inlineStr">
        <is>
          <t>Earnings / Momentum Support</t>
        </is>
      </c>
      <c r="S51" s="31" t="inlineStr">
        <is>
          <t>Nifty FMCG</t>
        </is>
      </c>
      <c r="T51" s="32" t="n">
        <v>-13.73</v>
      </c>
      <c r="U51" s="32" t="n">
        <v>631.6900000000001</v>
      </c>
      <c r="V51" s="32" t="n">
        <v>748.13</v>
      </c>
      <c r="W51" s="32" t="n">
        <v>76.51000000000001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B2C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Less than 50%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IF(B52=0,"",RANK(B52,$B$2:$B$340,0))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KABRAEXTRU</t>
        </is>
      </c>
      <c r="D52" s="31" t="inlineStr">
        <is>
          <t>Kabra Extrusion Technik Limited</t>
        </is>
      </c>
      <c r="E52" s="31" t="inlineStr">
        <is>
          <t>industrials</t>
        </is>
      </c>
      <c r="F52" s="31" t="inlineStr">
        <is>
          <t>engineering</t>
        </is>
      </c>
      <c r="G52" s="31" t="inlineStr">
        <is>
          <t>smallcap</t>
        </is>
      </c>
      <c r="H52" s="32" t="n">
        <v>1156.55</v>
      </c>
      <c r="I52" s="32" t="n">
        <v>351.65</v>
      </c>
      <c r="J52" s="32" t="n">
        <v>6.34</v>
      </c>
      <c r="K52" s="32" t="n">
        <v>355854</v>
      </c>
      <c r="L52" s="31" t="n">
        <v>61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71.84999999999999</v>
      </c>
      <c r="P52" s="32" t="n">
        <v>20.22</v>
      </c>
      <c r="Q52" s="32" t="inlineStr"/>
      <c r="R52" s="31" t="inlineStr">
        <is>
          <t>Earnings / Momentum Support</t>
        </is>
      </c>
      <c r="S52" s="31" t="inlineStr">
        <is>
          <t>Nifty 50</t>
        </is>
      </c>
      <c r="T52" s="32" t="n">
        <v>-2.54</v>
      </c>
      <c r="U52" s="32" t="n">
        <v>6.76</v>
      </c>
      <c r="V52" s="32" t="n">
        <v>9.550000000000001</v>
      </c>
      <c r="W52" s="32" t="n">
        <v>11.12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IF(B53=0,"",RANK(B53,$B$2:$B$340,0))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TALBROAUTO</t>
        </is>
      </c>
      <c r="D53" s="31" t="inlineStr">
        <is>
          <t>Talbros Automotive Components Limited</t>
        </is>
      </c>
      <c r="E53" s="31" t="inlineStr">
        <is>
          <t>auto</t>
        </is>
      </c>
      <c r="F53" s="31" t="inlineStr">
        <is>
          <t>auto ancillaries</t>
        </is>
      </c>
      <c r="G53" s="31" t="inlineStr">
        <is>
          <t>smallcap</t>
        </is>
      </c>
      <c r="H53" s="32" t="n">
        <v>2500.61</v>
      </c>
      <c r="I53" s="32" t="n">
        <v>416.55</v>
      </c>
      <c r="J53" s="32" t="n">
        <v>2.83</v>
      </c>
      <c r="K53" s="32" t="n">
        <v>204367</v>
      </c>
      <c r="L53" s="31" t="n">
        <v>80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73.73999999999999</v>
      </c>
      <c r="P53" s="32" t="n">
        <v>39.86</v>
      </c>
      <c r="Q53" s="32" t="inlineStr"/>
      <c r="R53" s="31" t="inlineStr">
        <is>
          <t>Earnings / Momentum Support</t>
        </is>
      </c>
      <c r="S53" s="31" t="inlineStr">
        <is>
          <t>Nifty Auto</t>
        </is>
      </c>
      <c r="T53" s="32" t="n">
        <v>13.41</v>
      </c>
      <c r="U53" s="32" t="n">
        <v>41.36</v>
      </c>
      <c r="V53" s="32" t="n">
        <v>24.64</v>
      </c>
      <c r="W53" s="32" t="n">
        <v>18.13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Between 12 to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Between 50% to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IF(B54=0,"",RANK(B54,$B$2:$B$340,0))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RAIN</t>
        </is>
      </c>
      <c r="D54" s="31" t="inlineStr">
        <is>
          <t>Rain Industries Limited</t>
        </is>
      </c>
      <c r="E54" s="31" t="inlineStr">
        <is>
          <t>miscellaneous</t>
        </is>
      </c>
      <c r="F54" s="31" t="inlineStr">
        <is>
          <t>miscellaneous</t>
        </is>
      </c>
      <c r="G54" s="31" t="inlineStr">
        <is>
          <t>midcap</t>
        </is>
      </c>
      <c r="H54" s="32" t="n">
        <v>6954.62</v>
      </c>
      <c r="I54" s="32" t="n">
        <v>212.02</v>
      </c>
      <c r="J54" s="32" t="n">
        <v>2.54</v>
      </c>
      <c r="K54" s="32" t="n">
        <v>4363982</v>
      </c>
      <c r="L54" s="31" t="n">
        <v>83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71.44</v>
      </c>
      <c r="P54" s="32" t="n">
        <v>40.31</v>
      </c>
      <c r="Q54" s="32" t="inlineStr"/>
      <c r="R54" s="31" t="inlineStr">
        <is>
          <t>Earnings / Momentum Support</t>
        </is>
      </c>
      <c r="S54" s="31" t="inlineStr">
        <is>
          <t>Nifty 50</t>
        </is>
      </c>
      <c r="T54" s="32" t="n">
        <v>-2.54</v>
      </c>
      <c r="U54" s="32" t="n">
        <v>38.69</v>
      </c>
      <c r="V54" s="32" t="n">
        <v>42.31</v>
      </c>
      <c r="W54" s="32" t="n">
        <v>20.51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More than 1.2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IF(B55=0,"",RANK(B55,$B$2:$B$340,0))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THELEELA</t>
        </is>
      </c>
      <c r="D55" s="31" t="inlineStr">
        <is>
          <t>Leela Palaces Hotels &amp; Resorts Ltd</t>
        </is>
      </c>
      <c r="E55" s="31" t="inlineStr">
        <is>
          <t>services</t>
        </is>
      </c>
      <c r="F55" s="31" t="inlineStr">
        <is>
          <t>hotels</t>
        </is>
      </c>
      <c r="G55" s="31" t="inlineStr">
        <is>
          <t>midcap</t>
        </is>
      </c>
      <c r="H55" s="32" t="n">
        <v>16218.66</v>
      </c>
      <c r="I55" s="32" t="n">
        <v>492.55</v>
      </c>
      <c r="J55" s="32" t="n">
        <v>1.42</v>
      </c>
      <c r="K55" s="32" t="n">
        <v>166447</v>
      </c>
      <c r="L55" s="31" t="n">
        <v>26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60.07</v>
      </c>
      <c r="P55" s="32" t="n">
        <v>20.27</v>
      </c>
      <c r="Q55" s="32" t="inlineStr"/>
      <c r="R55" s="31" t="inlineStr">
        <is>
          <t>Earnings / Momentum Support</t>
        </is>
      </c>
      <c r="S55" s="31" t="inlineStr">
        <is>
          <t>Nifty 50</t>
        </is>
      </c>
      <c r="T55" s="32" t="n">
        <v>-2.54</v>
      </c>
      <c r="U55" s="32" t="n">
        <v>5.35</v>
      </c>
      <c r="V55" s="32" t="n">
        <v>8.09</v>
      </c>
      <c r="W55" s="32" t="n">
        <v>4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Between 1.5 to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IF(B56=0,"",RANK(B56,$B$2:$B$340,0))</f>
        <v/>
      </c>
      <c r="B56" s="32">
        <f>SUM(N56,Y56,AA56,AC56,AE56,AG56,AI56,AK56,AM56,AO56,AQ56,AS56,AU56,AW56,AY56,BA56,BC56,BE56,BG56,BI56,BK56,BM56,BO56,BQ56,BS56,BU56,BW56,BY56,CA56,CC56,CE56)</f>
        <v/>
      </c>
      <c r="C56" s="33" t="inlineStr">
        <is>
          <t>OCCLLTD</t>
        </is>
      </c>
      <c r="D56" s="33" t="inlineStr">
        <is>
          <t>OCCL Ltd</t>
        </is>
      </c>
      <c r="E56" s="31" t="inlineStr">
        <is>
          <t>chemicals</t>
        </is>
      </c>
      <c r="F56" s="31" t="inlineStr">
        <is>
          <t>chemicals</t>
        </is>
      </c>
      <c r="G56" s="31" t="inlineStr">
        <is>
          <t>smallcap</t>
        </is>
      </c>
      <c r="H56" s="32" t="n">
        <v>675.6799999999999</v>
      </c>
      <c r="I56" s="32" t="n">
        <v>137</v>
      </c>
      <c r="J56" s="32" t="n">
        <v>1.28</v>
      </c>
      <c r="K56" s="32" t="n">
        <v>32578</v>
      </c>
      <c r="L56" s="31" t="n">
        <v>53</v>
      </c>
      <c r="M56" s="31" t="inlineStr">
        <is>
          <t>Underperforming</t>
        </is>
      </c>
      <c r="N56" s="32">
        <f>IF(M56="Underperforming",-5,IF(L56&gt;=95,15,IF(L56&gt;=90,10,IF(L56&gt;=80,5,0))))</f>
        <v/>
      </c>
      <c r="O56" s="32" t="n">
        <v>69.64</v>
      </c>
      <c r="P56" s="32" t="n">
        <v>27.06</v>
      </c>
      <c r="Q56" s="32" t="inlineStr"/>
      <c r="R56" s="31" t="inlineStr">
        <is>
          <t>Earnings / Momentum Support</t>
        </is>
      </c>
      <c r="S56" s="31" t="inlineStr">
        <is>
          <t>Nifty 50</t>
        </is>
      </c>
      <c r="T56" s="32" t="n">
        <v>-2.54</v>
      </c>
      <c r="U56" s="32" t="n">
        <v>-3.03</v>
      </c>
      <c r="V56" s="32" t="n">
        <v>-0.5</v>
      </c>
      <c r="W56" s="32" t="n">
        <v>9.470000000000001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IF(B57=0,"",RANK(B57,$B$2:$B$340,0))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ATHERENERG</t>
        </is>
      </c>
      <c r="D57" s="31" t="inlineStr">
        <is>
          <t>Ather Energy Ltd</t>
        </is>
      </c>
      <c r="E57" s="31" t="inlineStr">
        <is>
          <t>auto</t>
        </is>
      </c>
      <c r="F57" s="31" t="inlineStr">
        <is>
          <t>automobiles - scooters and 3 - wheelers</t>
        </is>
      </c>
      <c r="G57" s="31" t="inlineStr">
        <is>
          <t>largecap</t>
        </is>
      </c>
      <c r="H57" s="32" t="n">
        <v>49123.77</v>
      </c>
      <c r="I57" s="32" t="n">
        <v>1296.7</v>
      </c>
      <c r="J57" s="32" t="n">
        <v>1.13</v>
      </c>
      <c r="K57" s="32" t="n">
        <v>5275779</v>
      </c>
      <c r="L57" s="31" t="n">
        <v>98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79.54000000000001</v>
      </c>
      <c r="P57" s="32" t="n">
        <v>55.67</v>
      </c>
      <c r="Q57" s="32" t="inlineStr"/>
      <c r="R57" s="31" t="inlineStr">
        <is>
          <t>Earnings / Momentum Support</t>
        </is>
      </c>
      <c r="S57" s="31" t="inlineStr">
        <is>
          <t>Nifty Auto</t>
        </is>
      </c>
      <c r="T57" s="32" t="n">
        <v>13.41</v>
      </c>
      <c r="U57" s="32" t="n">
        <v>275.68</v>
      </c>
      <c r="V57" s="32" t="n">
        <v>231.25</v>
      </c>
      <c r="W57" s="32" t="n">
        <v>46.25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Negative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IF(B58=0,"",RANK(B58,$B$2:$B$340,0))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STOVEKRAFT</t>
        </is>
      </c>
      <c r="D58" s="31" t="inlineStr">
        <is>
          <t>Stove Kraft Ltd</t>
        </is>
      </c>
      <c r="E58" s="31" t="inlineStr">
        <is>
          <t>consumer discretionary</t>
        </is>
      </c>
      <c r="F58" s="31" t="inlineStr">
        <is>
          <t>domestic appliances</t>
        </is>
      </c>
      <c r="G58" s="31" t="inlineStr">
        <is>
          <t>smallcap</t>
        </is>
      </c>
      <c r="H58" s="32" t="n">
        <v>2560.02</v>
      </c>
      <c r="I58" s="32" t="n">
        <v>777.75</v>
      </c>
      <c r="J58" s="32" t="n">
        <v>0.58</v>
      </c>
      <c r="K58" s="32" t="n">
        <v>73525</v>
      </c>
      <c r="L58" s="31" t="n">
        <v>72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71.70999999999999</v>
      </c>
      <c r="P58" s="32" t="n">
        <v>43.27</v>
      </c>
      <c r="Q58" s="32" t="inlineStr"/>
      <c r="R58" s="31" t="inlineStr">
        <is>
          <t>Earnings / Momentum Support</t>
        </is>
      </c>
      <c r="S58" s="31" t="inlineStr">
        <is>
          <t>Nifty 50</t>
        </is>
      </c>
      <c r="T58" s="32" t="n">
        <v>-2.54</v>
      </c>
      <c r="U58" s="32" t="n">
        <v>26.14</v>
      </c>
      <c r="V58" s="32" t="n">
        <v>29.43</v>
      </c>
      <c r="W58" s="32" t="n">
        <v>14.71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IF(B59=0,"",RANK(B59,$B$2:$B$340,0))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SIS</t>
        </is>
      </c>
      <c r="D59" s="31" t="inlineStr">
        <is>
          <t>Security &amp; Intelligence Services India</t>
        </is>
      </c>
      <c r="E59" s="31" t="inlineStr">
        <is>
          <t>miscellaneous</t>
        </is>
      </c>
      <c r="F59" s="31" t="inlineStr">
        <is>
          <t>miscellaneous</t>
        </is>
      </c>
      <c r="G59" s="31" t="inlineStr">
        <is>
          <t>midcap</t>
        </is>
      </c>
      <c r="H59" s="32" t="n">
        <v>6125.56</v>
      </c>
      <c r="I59" s="32" t="n">
        <v>436.05</v>
      </c>
      <c r="J59" s="32" t="n">
        <v>0.57</v>
      </c>
      <c r="K59" s="32" t="n">
        <v>282279</v>
      </c>
      <c r="L59" s="31" t="n">
        <v>60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73.34999999999999</v>
      </c>
      <c r="P59" s="32" t="n">
        <v>55.14</v>
      </c>
      <c r="Q59" s="32" t="inlineStr"/>
      <c r="R59" s="31" t="inlineStr">
        <is>
          <t>Earnings / Momentum Support</t>
        </is>
      </c>
      <c r="S59" s="31" t="inlineStr">
        <is>
          <t>Nifty 50</t>
        </is>
      </c>
      <c r="T59" s="32" t="n">
        <v>-2.54</v>
      </c>
      <c r="U59" s="32" t="n">
        <v>16.05</v>
      </c>
      <c r="V59" s="32" t="n">
        <v>19.07</v>
      </c>
      <c r="W59" s="32" t="n">
        <v>10.9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Between 0.7 to 1.2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IF(B60=0,"",RANK(B60,$B$2:$B$340,0))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HITECHCORP</t>
        </is>
      </c>
      <c r="D60" s="31" t="inlineStr">
        <is>
          <t>Hitech Corporation</t>
        </is>
      </c>
      <c r="E60" s="31" t="inlineStr">
        <is>
          <t>industrials</t>
        </is>
      </c>
      <c r="F60" s="31" t="inlineStr">
        <is>
          <t>packaging</t>
        </is>
      </c>
      <c r="G60" s="31" t="inlineStr">
        <is>
          <t>smallcap</t>
        </is>
      </c>
      <c r="H60" s="32" t="n">
        <v>553.4</v>
      </c>
      <c r="I60" s="32" t="n">
        <v>322.05</v>
      </c>
      <c r="J60" s="32" t="n">
        <v>-0.05</v>
      </c>
      <c r="K60" s="32" t="n">
        <v>6093</v>
      </c>
      <c r="L60" s="31" t="n">
        <v>97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81.06999999999999</v>
      </c>
      <c r="P60" s="32" t="n">
        <v>48.66</v>
      </c>
      <c r="Q60" s="32" t="inlineStr"/>
      <c r="R60" s="31" t="inlineStr">
        <is>
          <t>Earnings / Momentum Support</t>
        </is>
      </c>
      <c r="S60" s="31" t="inlineStr">
        <is>
          <t>Nifty 50</t>
        </is>
      </c>
      <c r="T60" s="32" t="n">
        <v>-2.54</v>
      </c>
      <c r="U60" s="32" t="n">
        <v>52.93</v>
      </c>
      <c r="V60" s="32" t="n">
        <v>56.91</v>
      </c>
      <c r="W60" s="32" t="n">
        <v>42.21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Between 50% to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IF(B61=0,"",RANK(B61,$B$2:$B$340,0))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CENTURYPLY</t>
        </is>
      </c>
      <c r="D61" s="31" t="inlineStr">
        <is>
          <t>Century Plyboards (india) Limited</t>
        </is>
      </c>
      <c r="E61" s="31" t="inlineStr">
        <is>
          <t>building materials</t>
        </is>
      </c>
      <c r="F61" s="31" t="inlineStr">
        <is>
          <t>miscellaneous</t>
        </is>
      </c>
      <c r="G61" s="31" t="inlineStr">
        <is>
          <t>midcap</t>
        </is>
      </c>
      <c r="H61" s="32" t="n">
        <v>17686.08</v>
      </c>
      <c r="I61" s="32" t="n">
        <v>795</v>
      </c>
      <c r="J61" s="32" t="n">
        <v>-0.13</v>
      </c>
      <c r="K61" s="32" t="n">
        <v>58651</v>
      </c>
      <c r="L61" s="31" t="n">
        <v>21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56.84</v>
      </c>
      <c r="P61" s="32" t="n">
        <v>21.56</v>
      </c>
      <c r="Q61" s="32" t="inlineStr"/>
      <c r="R61" s="31" t="inlineStr">
        <is>
          <t>Earnings / Momentum Support</t>
        </is>
      </c>
      <c r="S61" s="31" t="inlineStr">
        <is>
          <t>Nifty Infra</t>
        </is>
      </c>
      <c r="T61" s="32" t="n">
        <v>1.74</v>
      </c>
      <c r="U61" s="32" t="n">
        <v>10.65</v>
      </c>
      <c r="V61" s="32" t="n">
        <v>8.76</v>
      </c>
      <c r="W61" s="32" t="n">
        <v>2.96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IF(B62=0,"",RANK(B62,$B$2:$B$340,0))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SPECTRUM</t>
        </is>
      </c>
      <c r="D62" s="31" t="inlineStr">
        <is>
          <t>Spectrum Electrical Industries Ltd</t>
        </is>
      </c>
      <c r="E62" s="31" t="inlineStr">
        <is>
          <t>industrials</t>
        </is>
      </c>
      <c r="F62" s="31" t="inlineStr">
        <is>
          <t>electric equipment</t>
        </is>
      </c>
      <c r="G62" s="31" t="inlineStr">
        <is>
          <t>smallcap</t>
        </is>
      </c>
      <c r="H62" s="32" t="n">
        <v>3078.81</v>
      </c>
      <c r="I62" s="32" t="n">
        <v>1949</v>
      </c>
      <c r="J62" s="32" t="n">
        <v>-0.53</v>
      </c>
      <c r="K62" s="32" t="n">
        <v>20673</v>
      </c>
      <c r="L62" s="31" t="n">
        <v>84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67.84999999999999</v>
      </c>
      <c r="P62" s="32" t="n">
        <v>42.03</v>
      </c>
      <c r="Q62" s="32" t="inlineStr"/>
      <c r="R62" s="31" t="inlineStr">
        <is>
          <t>Earnings / Momentum Support</t>
        </is>
      </c>
      <c r="S62" s="31" t="inlineStr">
        <is>
          <t>Nifty 50</t>
        </is>
      </c>
      <c r="T62" s="32" t="n">
        <v>-2.54</v>
      </c>
      <c r="U62" s="32" t="n">
        <v>26.67</v>
      </c>
      <c r="V62" s="32" t="n">
        <v>29.97</v>
      </c>
      <c r="W62" s="32" t="n">
        <v>20.59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Between 0.7 to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IF(B63=0,"",RANK(B63,$B$2:$B$340,0))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GRWRHITECH</t>
        </is>
      </c>
      <c r="D63" s="31" t="inlineStr">
        <is>
          <t>Garware Hi Tech Films Ltd</t>
        </is>
      </c>
      <c r="E63" s="31" t="inlineStr">
        <is>
          <t>industrials</t>
        </is>
      </c>
      <c r="F63" s="31" t="inlineStr">
        <is>
          <t>packaging</t>
        </is>
      </c>
      <c r="G63" s="31" t="inlineStr">
        <is>
          <t>midcap</t>
        </is>
      </c>
      <c r="H63" s="32" t="n">
        <v>16194.14</v>
      </c>
      <c r="I63" s="32" t="n">
        <v>6923</v>
      </c>
      <c r="J63" s="32" t="n">
        <v>-0.68</v>
      </c>
      <c r="K63" s="32" t="n">
        <v>30715</v>
      </c>
      <c r="L63" s="31" t="n">
        <v>94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77.8</v>
      </c>
      <c r="P63" s="32" t="n">
        <v>52.42</v>
      </c>
      <c r="Q63" s="32" t="inlineStr"/>
      <c r="R63" s="31" t="inlineStr">
        <is>
          <t>Earnings / Momentum Support</t>
        </is>
      </c>
      <c r="S63" s="31" t="inlineStr">
        <is>
          <t>Nifty 50</t>
        </is>
      </c>
      <c r="T63" s="32" t="n">
        <v>-2.54</v>
      </c>
      <c r="U63" s="32" t="n">
        <v>88.7</v>
      </c>
      <c r="V63" s="32" t="n">
        <v>93.62</v>
      </c>
      <c r="W63" s="32" t="n">
        <v>32.97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IF(B64=0,"",RANK(B64,$B$2:$B$340,0))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THANGAMAYL</t>
        </is>
      </c>
      <c r="D64" s="31" t="inlineStr">
        <is>
          <t>Thangamayil Jewellery Limited</t>
        </is>
      </c>
      <c r="E64" s="31" t="inlineStr">
        <is>
          <t>consumer discretionary</t>
        </is>
      </c>
      <c r="F64" s="31" t="inlineStr">
        <is>
          <t>diamond cutting / jewellery</t>
        </is>
      </c>
      <c r="G64" s="31" t="inlineStr">
        <is>
          <t>largecap</t>
        </is>
      </c>
      <c r="H64" s="32" t="n">
        <v>20004.39</v>
      </c>
      <c r="I64" s="32" t="n">
        <v>6385.5</v>
      </c>
      <c r="J64" s="32" t="n">
        <v>-0.78</v>
      </c>
      <c r="K64" s="32" t="n">
        <v>113648</v>
      </c>
      <c r="L64" s="31" t="n">
        <v>97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75.84999999999999</v>
      </c>
      <c r="P64" s="32" t="n">
        <v>49.01</v>
      </c>
      <c r="Q64" s="32" t="inlineStr"/>
      <c r="R64" s="31" t="inlineStr">
        <is>
          <t>Earnings / Momentum Support</t>
        </is>
      </c>
      <c r="S64" s="31" t="inlineStr">
        <is>
          <t>Nifty 50</t>
        </is>
      </c>
      <c r="T64" s="32" t="n">
        <v>-2.54</v>
      </c>
      <c r="U64" s="32" t="n">
        <v>242.67</v>
      </c>
      <c r="V64" s="32" t="n">
        <v>251.6</v>
      </c>
      <c r="W64" s="32" t="n">
        <v>42.77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Between 50% to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IF(B65=0,"",RANK(B65,$B$2:$B$340,0))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GNA</t>
        </is>
      </c>
      <c r="D65" s="31" t="inlineStr">
        <is>
          <t>Gna Axles Limited</t>
        </is>
      </c>
      <c r="E65" s="31" t="inlineStr">
        <is>
          <t>auto</t>
        </is>
      </c>
      <c r="F65" s="31" t="inlineStr">
        <is>
          <t>auto ancillaries</t>
        </is>
      </c>
      <c r="G65" s="31" t="inlineStr">
        <is>
          <t>smallcap</t>
        </is>
      </c>
      <c r="H65" s="32" t="n">
        <v>2434.39</v>
      </c>
      <c r="I65" s="32" t="n">
        <v>508</v>
      </c>
      <c r="J65" s="32" t="n">
        <v>-10.41</v>
      </c>
      <c r="K65" s="32" t="n">
        <v>2003848</v>
      </c>
      <c r="L65" s="31" t="n">
        <v>80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76.94</v>
      </c>
      <c r="P65" s="32" t="n">
        <v>24.94</v>
      </c>
      <c r="Q65" s="32" t="inlineStr"/>
      <c r="R65" s="31" t="inlineStr">
        <is>
          <t>Earnings / Momentum Support</t>
        </is>
      </c>
      <c r="S65" s="31" t="inlineStr">
        <is>
          <t>Nifty Auto</t>
        </is>
      </c>
      <c r="T65" s="32" t="n">
        <v>13.41</v>
      </c>
      <c r="U65" s="32" t="n">
        <v>68.69</v>
      </c>
      <c r="V65" s="32" t="n">
        <v>48.74</v>
      </c>
      <c r="W65" s="32" t="n">
        <v>18.24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IF(B66=0,"",RANK(B66,$B$2:$B$340,0))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THYROCARE</t>
        </is>
      </c>
      <c r="D66" s="31" t="inlineStr">
        <is>
          <t>Thyrocare Technologies Limited</t>
        </is>
      </c>
      <c r="E66" s="31" t="inlineStr">
        <is>
          <t>healthcare</t>
        </is>
      </c>
      <c r="F66" s="31" t="inlineStr">
        <is>
          <t>healthcare</t>
        </is>
      </c>
      <c r="G66" s="31" t="inlineStr">
        <is>
          <t>midcap</t>
        </is>
      </c>
      <c r="H66" s="32" t="n">
        <v>8286.15</v>
      </c>
      <c r="I66" s="32" t="n">
        <v>555.5</v>
      </c>
      <c r="J66" s="32" t="n">
        <v>6.7</v>
      </c>
      <c r="K66" s="32" t="n">
        <v>1185446</v>
      </c>
      <c r="L66" s="31" t="n">
        <v>73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61.75</v>
      </c>
      <c r="P66" s="32" t="n">
        <v>47.52</v>
      </c>
      <c r="Q66" s="32" t="inlineStr"/>
      <c r="R66" s="31" t="inlineStr">
        <is>
          <t>Earnings / Momentum Support</t>
        </is>
      </c>
      <c r="S66" s="31" t="inlineStr">
        <is>
          <t>Nifty Pharma</t>
        </is>
      </c>
      <c r="T66" s="32" t="n">
        <v>13.51</v>
      </c>
      <c r="U66" s="32" t="n">
        <v>36.48</v>
      </c>
      <c r="V66" s="32" t="n">
        <v>20.24</v>
      </c>
      <c r="W66" s="32" t="n">
        <v>14.88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IF(B67=0,"",RANK(B67,$B$2:$B$340,0))</f>
        <v/>
      </c>
      <c r="B67" s="32">
        <f>SUM(N67,Y67,AA67,AC67,AE67,AG67,AI67,AK67,AM67,AO67,AQ67,AS67,AU67,AW67,AY67,BA67,BC67,BE67,BG67,BI67,BK67,BM67,BO67,BQ67,BS67,BU67,BW67,BY67,CA67,CC67,CE67)</f>
        <v/>
      </c>
      <c r="C67" s="33" t="inlineStr">
        <is>
          <t>SUVEN</t>
        </is>
      </c>
      <c r="D67" s="33" t="inlineStr">
        <is>
          <t>Suven Life Sciences Limited</t>
        </is>
      </c>
      <c r="E67" s="31" t="inlineStr">
        <is>
          <t>healthcare</t>
        </is>
      </c>
      <c r="F67" s="31" t="inlineStr">
        <is>
          <t>miscellaneous</t>
        </is>
      </c>
      <c r="G67" s="31" t="inlineStr">
        <is>
          <t>midcap</t>
        </is>
      </c>
      <c r="H67" s="32" t="n">
        <v>8603.52</v>
      </c>
      <c r="I67" s="32" t="n">
        <v>338.5</v>
      </c>
      <c r="J67" s="32" t="n">
        <v>3.87</v>
      </c>
      <c r="K67" s="32" t="n">
        <v>1119625</v>
      </c>
      <c r="L67" s="31" t="n">
        <v>85</v>
      </c>
      <c r="M67" s="31" t="inlineStr">
        <is>
          <t>Underperforming</t>
        </is>
      </c>
      <c r="N67" s="32">
        <f>IF(M67="Underperforming",-5,IF(L67&gt;=95,15,IF(L67&gt;=90,10,IF(L67&gt;=80,5,0))))</f>
        <v/>
      </c>
      <c r="O67" s="32" t="n">
        <v>68.22</v>
      </c>
      <c r="P67" s="32" t="n">
        <v>47.46</v>
      </c>
      <c r="Q67" s="32" t="inlineStr"/>
      <c r="R67" s="31" t="inlineStr">
        <is>
          <t>Earnings / Momentum Support</t>
        </is>
      </c>
      <c r="S67" s="31" t="inlineStr">
        <is>
          <t>Nifty Pharma</t>
        </is>
      </c>
      <c r="T67" s="32" t="n">
        <v>13.51</v>
      </c>
      <c r="U67" s="32" t="n">
        <v>11.99</v>
      </c>
      <c r="V67" s="32" t="n">
        <v>-1.34</v>
      </c>
      <c r="W67" s="32" t="n">
        <v>21.43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IF(B68=0,"",RANK(B68,$B$2:$B$340,0))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HESTERBIO</t>
        </is>
      </c>
      <c r="D68" s="31" t="inlineStr">
        <is>
          <t>Hester Biosciences Limited</t>
        </is>
      </c>
      <c r="E68" s="31" t="inlineStr">
        <is>
          <t>healthcare</t>
        </is>
      </c>
      <c r="F68" s="31" t="inlineStr">
        <is>
          <t>pharmaceuticals - indian - formulations</t>
        </is>
      </c>
      <c r="G68" s="31" t="inlineStr">
        <is>
          <t>smallcap</t>
        </is>
      </c>
      <c r="H68" s="32" t="n">
        <v>2082.31</v>
      </c>
      <c r="I68" s="32" t="n">
        <v>2523.4</v>
      </c>
      <c r="J68" s="32" t="n">
        <v>3.09</v>
      </c>
      <c r="K68" s="32" t="n">
        <v>49226</v>
      </c>
      <c r="L68" s="31" t="n">
        <v>84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76.11</v>
      </c>
      <c r="P68" s="32" t="n">
        <v>49.25</v>
      </c>
      <c r="Q68" s="32" t="inlineStr"/>
      <c r="R68" s="31" t="inlineStr">
        <is>
          <t>Earnings / Momentum Support</t>
        </is>
      </c>
      <c r="S68" s="31" t="inlineStr">
        <is>
          <t>Nifty Pharma</t>
        </is>
      </c>
      <c r="T68" s="32" t="n">
        <v>13.51</v>
      </c>
      <c r="U68" s="32" t="n">
        <v>27.96</v>
      </c>
      <c r="V68" s="32" t="n">
        <v>12.73</v>
      </c>
      <c r="W68" s="32" t="n">
        <v>21.16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IF(B69=0,"",RANK(B69,$B$2:$B$340,0))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NEULANDLAB</t>
        </is>
      </c>
      <c r="D69" s="31" t="inlineStr">
        <is>
          <t>Neuland Laboratories Limited</t>
        </is>
      </c>
      <c r="E69" s="31" t="inlineStr">
        <is>
          <t>healthcare</t>
        </is>
      </c>
      <c r="F69" s="31" t="inlineStr">
        <is>
          <t>pharmaceuticals - indian - bulk drugs</t>
        </is>
      </c>
      <c r="G69" s="31" t="inlineStr">
        <is>
          <t>largecap</t>
        </is>
      </c>
      <c r="H69" s="32" t="n">
        <v>23650.62</v>
      </c>
      <c r="I69" s="32" t="n">
        <v>18949</v>
      </c>
      <c r="J69" s="32" t="n">
        <v>2.79</v>
      </c>
      <c r="K69" s="32" t="n">
        <v>30500</v>
      </c>
      <c r="L69" s="31" t="n">
        <v>57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63.08</v>
      </c>
      <c r="P69" s="32" t="n">
        <v>43.43</v>
      </c>
      <c r="Q69" s="32" t="inlineStr"/>
      <c r="R69" s="31" t="inlineStr">
        <is>
          <t>Earnings / Momentum Support</t>
        </is>
      </c>
      <c r="S69" s="31" t="inlineStr">
        <is>
          <t>Nifty Pharma</t>
        </is>
      </c>
      <c r="T69" s="32" t="n">
        <v>13.51</v>
      </c>
      <c r="U69" s="32" t="n">
        <v>29.24</v>
      </c>
      <c r="V69" s="32" t="n">
        <v>13.86</v>
      </c>
      <c r="W69" s="32" t="n">
        <v>10.06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IF(B70=0,"",RANK(B70,$B$2:$B$340,0))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NESTLEIND</t>
        </is>
      </c>
      <c r="D70" s="31" t="inlineStr">
        <is>
          <t>Nestle India Limited</t>
        </is>
      </c>
      <c r="E70" s="31" t="inlineStr">
        <is>
          <t>fmcg</t>
        </is>
      </c>
      <c r="F70" s="31" t="inlineStr">
        <is>
          <t>food - processing - mnc</t>
        </is>
      </c>
      <c r="G70" s="31" t="inlineStr">
        <is>
          <t>largecap</t>
        </is>
      </c>
      <c r="H70" s="32" t="n">
        <v>275209.02</v>
      </c>
      <c r="I70" s="32" t="n">
        <v>1446.3</v>
      </c>
      <c r="J70" s="32" t="n">
        <v>1.34</v>
      </c>
      <c r="K70" s="32" t="n">
        <v>1689777</v>
      </c>
      <c r="L70" s="31" t="n">
        <v>35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60.85</v>
      </c>
      <c r="P70" s="32" t="n">
        <v>34.98</v>
      </c>
      <c r="Q70" s="32" t="inlineStr"/>
      <c r="R70" s="31" t="inlineStr">
        <is>
          <t>Earnings / Momentum Support</t>
        </is>
      </c>
      <c r="S70" s="31" t="inlineStr">
        <is>
          <t>Nifty FMCG</t>
        </is>
      </c>
      <c r="T70" s="32" t="n">
        <v>-13.73</v>
      </c>
      <c r="U70" s="32" t="n">
        <v>16.64</v>
      </c>
      <c r="V70" s="32" t="n">
        <v>35.2</v>
      </c>
      <c r="W70" s="32" t="n">
        <v>5.54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B2C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IF(B71=0,"",RANK(B71,$B$2:$B$340,0))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VADILALIND</t>
        </is>
      </c>
      <c r="D71" s="31" t="inlineStr">
        <is>
          <t>Vadilal Industries Limited</t>
        </is>
      </c>
      <c r="E71" s="31" t="inlineStr">
        <is>
          <t>fmcg</t>
        </is>
      </c>
      <c r="F71" s="31" t="inlineStr">
        <is>
          <t>food - processing - indian</t>
        </is>
      </c>
      <c r="G71" s="31" t="inlineStr">
        <is>
          <t>smallcap</t>
        </is>
      </c>
      <c r="H71" s="32" t="n">
        <v>4827.35</v>
      </c>
      <c r="I71" s="32" t="n">
        <v>6775</v>
      </c>
      <c r="J71" s="32" t="n">
        <v>0.88</v>
      </c>
      <c r="K71" s="32" t="n">
        <v>8569</v>
      </c>
      <c r="L71" s="31" t="n">
        <v>76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72.67</v>
      </c>
      <c r="P71" s="32" t="n">
        <v>29.2</v>
      </c>
      <c r="Q71" s="32" t="inlineStr"/>
      <c r="R71" s="31" t="inlineStr">
        <is>
          <t>Earnings / Momentum Support</t>
        </is>
      </c>
      <c r="S71" s="31" t="inlineStr">
        <is>
          <t>Nifty FMCG</t>
        </is>
      </c>
      <c r="T71" s="32" t="n">
        <v>-13.73</v>
      </c>
      <c r="U71" s="32" t="n">
        <v>26.81</v>
      </c>
      <c r="V71" s="32" t="n">
        <v>46.99</v>
      </c>
      <c r="W71" s="32" t="n">
        <v>15.98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B2C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Between 50% to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IF(B72=0,"",RANK(B72,$B$2:$B$340,0))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NINSYS</t>
        </is>
      </c>
      <c r="D72" s="31" t="inlineStr">
        <is>
          <t>NINtec Systems Ltd</t>
        </is>
      </c>
      <c r="E72" s="31" t="inlineStr">
        <is>
          <t>i.t</t>
        </is>
      </c>
      <c r="F72" s="31" t="inlineStr">
        <is>
          <t>computers - software - medium / small</t>
        </is>
      </c>
      <c r="G72" s="31" t="inlineStr">
        <is>
          <t>smallcap</t>
        </is>
      </c>
      <c r="H72" s="32" t="n">
        <v>1659.95</v>
      </c>
      <c r="I72" s="32" t="n">
        <v>900</v>
      </c>
      <c r="J72" s="32" t="n">
        <v>0.72</v>
      </c>
      <c r="K72" s="32" t="n">
        <v>8734</v>
      </c>
      <c r="L72" s="31" t="n">
        <v>97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86.86</v>
      </c>
      <c r="P72" s="32" t="n">
        <v>69.18000000000001</v>
      </c>
      <c r="Q72" s="32" t="inlineStr"/>
      <c r="R72" s="31" t="inlineStr">
        <is>
          <t>Earnings / Momentum Support</t>
        </is>
      </c>
      <c r="S72" s="31" t="inlineStr">
        <is>
          <t>Nifty IT</t>
        </is>
      </c>
      <c r="T72" s="32" t="n">
        <v>-21.31</v>
      </c>
      <c r="U72" s="32" t="n">
        <v>95.73</v>
      </c>
      <c r="V72" s="32" t="n">
        <v>148.74</v>
      </c>
      <c r="W72" s="32" t="n">
        <v>38.5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Between 12 to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Between 50% to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IF(B73=0,"",RANK(B73,$B$2:$B$340,0))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ORCHPHARMA</t>
        </is>
      </c>
      <c r="D73" s="31" t="inlineStr">
        <is>
          <t>Orchid Pharma Ltd</t>
        </is>
      </c>
      <c r="E73" s="31" t="inlineStr">
        <is>
          <t>healthcare</t>
        </is>
      </c>
      <c r="F73" s="31" t="inlineStr">
        <is>
          <t>pharmaceuticals - indian - bulk drugs &amp; formln</t>
        </is>
      </c>
      <c r="G73" s="31" t="inlineStr">
        <is>
          <t>midcap</t>
        </is>
      </c>
      <c r="H73" s="32" t="n">
        <v>5281.63</v>
      </c>
      <c r="I73" s="32" t="n">
        <v>1047</v>
      </c>
      <c r="J73" s="32" t="n">
        <v>0.54</v>
      </c>
      <c r="K73" s="32" t="n">
        <v>56310</v>
      </c>
      <c r="L73" s="31" t="n">
        <v>91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75.93000000000001</v>
      </c>
      <c r="P73" s="32" t="n">
        <v>41.39</v>
      </c>
      <c r="Q73" s="32" t="inlineStr"/>
      <c r="R73" s="31" t="inlineStr">
        <is>
          <t>Earnings / Momentum Support</t>
        </is>
      </c>
      <c r="S73" s="31" t="inlineStr">
        <is>
          <t>Nifty Pharma</t>
        </is>
      </c>
      <c r="T73" s="32" t="n">
        <v>13.51</v>
      </c>
      <c r="U73" s="32" t="n">
        <v>42.15</v>
      </c>
      <c r="V73" s="32" t="n">
        <v>25.24</v>
      </c>
      <c r="W73" s="32" t="n">
        <v>28.65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IF(B74=0,"",RANK(B74,$B$2:$B$340,0))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SUBEXLTD</t>
        </is>
      </c>
      <c r="D74" s="31" t="inlineStr">
        <is>
          <t>Subex Ltd</t>
        </is>
      </c>
      <c r="E74" s="31" t="inlineStr">
        <is>
          <t>i.t</t>
        </is>
      </c>
      <c r="F74" s="31" t="inlineStr">
        <is>
          <t>computers - software - medium / small</t>
        </is>
      </c>
      <c r="G74" s="31" t="inlineStr">
        <is>
          <t>smallcap</t>
        </is>
      </c>
      <c r="H74" s="32" t="n">
        <v>745.78</v>
      </c>
      <c r="I74" s="32" t="n">
        <v>12.93</v>
      </c>
      <c r="J74" s="32" t="n">
        <v>-2.56</v>
      </c>
      <c r="K74" s="32" t="n">
        <v>619787</v>
      </c>
      <c r="L74" s="31" t="n">
        <v>47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63.59</v>
      </c>
      <c r="P74" s="32" t="n">
        <v>22.42</v>
      </c>
      <c r="Q74" s="32" t="inlineStr"/>
      <c r="R74" s="31" t="inlineStr">
        <is>
          <t>Earnings / Momentum Support</t>
        </is>
      </c>
      <c r="S74" s="31" t="inlineStr">
        <is>
          <t>Nifty IT</t>
        </is>
      </c>
      <c r="T74" s="32" t="n">
        <v>-21.31</v>
      </c>
      <c r="U74" s="32" t="n">
        <v>-5.69</v>
      </c>
      <c r="V74" s="32" t="n">
        <v>19.86</v>
      </c>
      <c r="W74" s="32" t="n">
        <v>7.77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IF(B75=0,"",RANK(B75,$B$2:$B$340,0))</f>
        <v/>
      </c>
      <c r="B75" s="32">
        <f>SUM(N75,Y75,AA75,AC75,AE75,AG75,AI75,AK75,AM75,AO75,AQ75,AS75,AU75,AW75,AY75,BA75,BC75,BE75,BG75,BI75,BK75,BM75,BO75,BQ75,BS75,BU75,BW75,BY75,CA75,CC75,CE75)</f>
        <v/>
      </c>
      <c r="C75" s="33" t="inlineStr">
        <is>
          <t>JGCHEM</t>
        </is>
      </c>
      <c r="D75" s="33" t="inlineStr">
        <is>
          <t>J.G.Chemicals Ltd</t>
        </is>
      </c>
      <c r="E75" s="31" t="inlineStr">
        <is>
          <t>chemicals</t>
        </is>
      </c>
      <c r="F75" s="31" t="inlineStr">
        <is>
          <t>chemicals</t>
        </is>
      </c>
      <c r="G75" s="31" t="inlineStr">
        <is>
          <t>smallcap</t>
        </is>
      </c>
      <c r="H75" s="32" t="n">
        <v>1745.54</v>
      </c>
      <c r="I75" s="32" t="n">
        <v>489.2</v>
      </c>
      <c r="J75" s="32" t="n">
        <v>9.82</v>
      </c>
      <c r="K75" s="32" t="n">
        <v>2555053</v>
      </c>
      <c r="L75" s="31" t="n">
        <v>16</v>
      </c>
      <c r="M75" s="31" t="inlineStr">
        <is>
          <t>Underperforming</t>
        </is>
      </c>
      <c r="N75" s="32">
        <f>IF(M75="Underperforming",-5,IF(L75&gt;=95,15,IF(L75&gt;=90,10,IF(L75&gt;=80,5,0))))</f>
        <v/>
      </c>
      <c r="O75" s="32" t="n">
        <v>59.79</v>
      </c>
      <c r="P75" s="32" t="n">
        <v>22.84</v>
      </c>
      <c r="Q75" s="32" t="inlineStr"/>
      <c r="R75" s="31" t="inlineStr">
        <is>
          <t>Volume Spike / Accumulation</t>
        </is>
      </c>
      <c r="S75" s="31" t="inlineStr">
        <is>
          <t>Nifty 50</t>
        </is>
      </c>
      <c r="T75" s="32" t="n">
        <v>-2.54</v>
      </c>
      <c r="U75" s="32" t="n">
        <v>-12.32</v>
      </c>
      <c r="V75" s="32" t="n">
        <v>-10.04</v>
      </c>
      <c r="W75" s="32" t="n">
        <v>1.92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Between 12 to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Between 1.5 to 2</t>
        </is>
      </c>
      <c r="BU75" s="31">
        <f>IF(BT75="Above 2",0,IF(BT75="Between 1.5 to 2",5,IF(BT75="Less than 1.5",10,0)))</f>
        <v/>
      </c>
      <c r="BV75" s="31" t="inlineStr">
        <is>
          <t>Between 50% to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IF(B76=0,"",RANK(B76,$B$2:$B$340,0))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WABAG</t>
        </is>
      </c>
      <c r="D76" s="31" t="inlineStr">
        <is>
          <t>Va Tech Wabag Limited</t>
        </is>
      </c>
      <c r="E76" s="31" t="inlineStr">
        <is>
          <t>realty</t>
        </is>
      </c>
      <c r="F76" s="31" t="inlineStr">
        <is>
          <t>engineering - turnkey services</t>
        </is>
      </c>
      <c r="G76" s="31" t="inlineStr">
        <is>
          <t>midcap</t>
        </is>
      </c>
      <c r="H76" s="32" t="n">
        <v>12406.46</v>
      </c>
      <c r="I76" s="32" t="n">
        <v>2117</v>
      </c>
      <c r="J76" s="32" t="n">
        <v>6.32</v>
      </c>
      <c r="K76" s="32" t="n">
        <v>1527205</v>
      </c>
      <c r="L76" s="31" t="n">
        <v>77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66.39</v>
      </c>
      <c r="P76" s="32" t="n">
        <v>30.3</v>
      </c>
      <c r="Q76" s="32" t="inlineStr"/>
      <c r="R76" s="31" t="inlineStr">
        <is>
          <t>Earnings / Momentum Support</t>
        </is>
      </c>
      <c r="S76" s="31" t="inlineStr">
        <is>
          <t>Nifty Realty</t>
        </is>
      </c>
      <c r="T76" s="32" t="n">
        <v>-8.119999999999999</v>
      </c>
      <c r="U76" s="32" t="n">
        <v>34.67</v>
      </c>
      <c r="V76" s="32" t="n">
        <v>46.58</v>
      </c>
      <c r="W76" s="32" t="n">
        <v>16.68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Less than 50%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IF(B77=0,"",RANK(B77,$B$2:$B$340,0))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KRISHANA</t>
        </is>
      </c>
      <c r="D77" s="31" t="inlineStr">
        <is>
          <t>Krishana Phoschem Ltd</t>
        </is>
      </c>
      <c r="E77" s="31" t="inlineStr">
        <is>
          <t>chemicals</t>
        </is>
      </c>
      <c r="F77" s="31" t="inlineStr">
        <is>
          <t>fertilizers</t>
        </is>
      </c>
      <c r="G77" s="31" t="inlineStr">
        <is>
          <t>smallcap</t>
        </is>
      </c>
      <c r="H77" s="32" t="n">
        <v>868.37</v>
      </c>
      <c r="I77" s="32" t="n">
        <v>145.3</v>
      </c>
      <c r="J77" s="32" t="n">
        <v>3.45</v>
      </c>
      <c r="K77" s="32" t="n">
        <v>1705781</v>
      </c>
      <c r="L77" s="31" t="n">
        <v>62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63.14</v>
      </c>
      <c r="P77" s="32" t="n">
        <v>42.45</v>
      </c>
      <c r="Q77" s="32" t="inlineStr"/>
      <c r="R77" s="31" t="inlineStr">
        <is>
          <t>Earnings / Momentum Support</t>
        </is>
      </c>
      <c r="S77" s="31" t="inlineStr">
        <is>
          <t>Nifty 50</t>
        </is>
      </c>
      <c r="T77" s="32" t="n">
        <v>-2.54</v>
      </c>
      <c r="U77" s="32" t="n">
        <v>44.62</v>
      </c>
      <c r="V77" s="32" t="n">
        <v>48.39</v>
      </c>
      <c r="W77" s="32" t="n">
        <v>11.23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More than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IF(B78=0,"",RANK(B78,$B$2:$B$340,0))</f>
        <v/>
      </c>
      <c r="B78" s="32">
        <f>SUM(N78,Y78,AA78,AC78,AE78,AG78,AI78,AK78,AM78,AO78,AQ78,AS78,AU78,AW78,AY78,BA78,BC78,BE78,BG78,BI78,BK78,BM78,BO78,BQ78,BS78,BU78,BW78,BY78,CA78,CC78,CE78)</f>
        <v/>
      </c>
      <c r="C78" s="33" t="inlineStr">
        <is>
          <t>GREENPLY</t>
        </is>
      </c>
      <c r="D78" s="33" t="inlineStr">
        <is>
          <t>Greenply Industries Limited</t>
        </is>
      </c>
      <c r="E78" s="31" t="inlineStr">
        <is>
          <t>building materials</t>
        </is>
      </c>
      <c r="F78" s="31" t="inlineStr">
        <is>
          <t>miscellaneous</t>
        </is>
      </c>
      <c r="G78" s="31" t="inlineStr">
        <is>
          <t>smallcap</t>
        </is>
      </c>
      <c r="H78" s="32" t="n">
        <v>3938.79</v>
      </c>
      <c r="I78" s="32" t="n">
        <v>323</v>
      </c>
      <c r="J78" s="32" t="n">
        <v>2.43</v>
      </c>
      <c r="K78" s="32" t="n">
        <v>263120</v>
      </c>
      <c r="L78" s="31" t="n">
        <v>46</v>
      </c>
      <c r="M78" s="31" t="inlineStr">
        <is>
          <t>Underperforming</t>
        </is>
      </c>
      <c r="N78" s="32">
        <f>IF(M78="Underperforming",-5,IF(L78&gt;=95,15,IF(L78&gt;=90,10,IF(L78&gt;=80,5,0))))</f>
        <v/>
      </c>
      <c r="O78" s="32" t="n">
        <v>67.43000000000001</v>
      </c>
      <c r="P78" s="32" t="n">
        <v>31.37</v>
      </c>
      <c r="Q78" s="32" t="inlineStr"/>
      <c r="R78" s="31" t="inlineStr">
        <is>
          <t>Earnings / Momentum Support</t>
        </is>
      </c>
      <c r="S78" s="31" t="inlineStr">
        <is>
          <t>Nifty Infra</t>
        </is>
      </c>
      <c r="T78" s="32" t="n">
        <v>1.74</v>
      </c>
      <c r="U78" s="32" t="n">
        <v>-4.23</v>
      </c>
      <c r="V78" s="32" t="n">
        <v>-5.87</v>
      </c>
      <c r="W78" s="32" t="n">
        <v>7.57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IF(B79=0,"",RANK(B79,$B$2:$B$340,0))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FIEMIND</t>
        </is>
      </c>
      <c r="D79" s="31" t="inlineStr">
        <is>
          <t>Fiem Industries Limited</t>
        </is>
      </c>
      <c r="E79" s="31" t="inlineStr">
        <is>
          <t>auto</t>
        </is>
      </c>
      <c r="F79" s="31" t="inlineStr">
        <is>
          <t>auto ancillaries</t>
        </is>
      </c>
      <c r="G79" s="31" t="inlineStr">
        <is>
          <t>midcap</t>
        </is>
      </c>
      <c r="H79" s="32" t="n">
        <v>5980.35</v>
      </c>
      <c r="I79" s="32" t="n">
        <v>2305.5</v>
      </c>
      <c r="J79" s="32" t="n">
        <v>1.47</v>
      </c>
      <c r="K79" s="32" t="n">
        <v>39007</v>
      </c>
      <c r="L79" s="31" t="n">
        <v>22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55.49</v>
      </c>
      <c r="P79" s="32" t="n">
        <v>22.38</v>
      </c>
      <c r="Q79" s="32" t="inlineStr"/>
      <c r="R79" s="31" t="inlineStr">
        <is>
          <t>Earnings / Momentum Support</t>
        </is>
      </c>
      <c r="S79" s="31" t="inlineStr">
        <is>
          <t>Nifty Auto</t>
        </is>
      </c>
      <c r="T79" s="32" t="n">
        <v>13.41</v>
      </c>
      <c r="U79" s="32" t="n">
        <v>15.26</v>
      </c>
      <c r="V79" s="32" t="n">
        <v>1.62</v>
      </c>
      <c r="W79" s="32" t="n">
        <v>3.12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Less than 50%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IF(B80=0,"",RANK(B80,$B$2:$B$340,0))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FILATEX</t>
        </is>
      </c>
      <c r="D80" s="31" t="inlineStr">
        <is>
          <t>Filatex India Limited</t>
        </is>
      </c>
      <c r="E80" s="31" t="inlineStr">
        <is>
          <t>textiles</t>
        </is>
      </c>
      <c r="F80" s="31" t="inlineStr">
        <is>
          <t>textiles - manmade</t>
        </is>
      </c>
      <c r="G80" s="31" t="inlineStr">
        <is>
          <t>smallcap</t>
        </is>
      </c>
      <c r="H80" s="32" t="n">
        <v>3178.13</v>
      </c>
      <c r="I80" s="32" t="n">
        <v>72.47</v>
      </c>
      <c r="J80" s="32" t="n">
        <v>1.26</v>
      </c>
      <c r="K80" s="32" t="n">
        <v>3860895</v>
      </c>
      <c r="L80" s="31" t="n">
        <v>81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75.66</v>
      </c>
      <c r="P80" s="32" t="n">
        <v>24.3</v>
      </c>
      <c r="Q80" s="32" t="inlineStr"/>
      <c r="R80" s="31" t="inlineStr">
        <is>
          <t>Earnings / Momentum Support</t>
        </is>
      </c>
      <c r="S80" s="31" t="inlineStr">
        <is>
          <t>Nifty 50</t>
        </is>
      </c>
      <c r="T80" s="32" t="n">
        <v>-2.54</v>
      </c>
      <c r="U80" s="32" t="n">
        <v>22.17</v>
      </c>
      <c r="V80" s="32" t="n">
        <v>25.35</v>
      </c>
      <c r="W80" s="32" t="n">
        <v>18.8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Between 12 to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IF(B81=0,"",RANK(B81,$B$2:$B$340,0))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HAPPYFORGE</t>
        </is>
      </c>
      <c r="D81" s="31" t="inlineStr">
        <is>
          <t>Happy Forgings Ltd</t>
        </is>
      </c>
      <c r="E81" s="31" t="inlineStr">
        <is>
          <t>industrials</t>
        </is>
      </c>
      <c r="F81" s="31" t="inlineStr">
        <is>
          <t>castings &amp; forgings</t>
        </is>
      </c>
      <c r="G81" s="31" t="inlineStr">
        <is>
          <t>midcap</t>
        </is>
      </c>
      <c r="H81" s="32" t="n">
        <v>15056.24</v>
      </c>
      <c r="I81" s="32" t="n">
        <v>1608</v>
      </c>
      <c r="J81" s="32" t="n">
        <v>0.8</v>
      </c>
      <c r="K81" s="32" t="n">
        <v>58818</v>
      </c>
      <c r="L81" s="31" t="n">
        <v>74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71.66</v>
      </c>
      <c r="P81" s="32" t="n">
        <v>46.06</v>
      </c>
      <c r="Q81" s="32" t="inlineStr"/>
      <c r="R81" s="31" t="inlineStr">
        <is>
          <t>Earnings / Momentum Support</t>
        </is>
      </c>
      <c r="S81" s="31" t="inlineStr">
        <is>
          <t>Nifty 50</t>
        </is>
      </c>
      <c r="T81" s="32" t="n">
        <v>-2.54</v>
      </c>
      <c r="U81" s="32" t="n">
        <v>70.2</v>
      </c>
      <c r="V81" s="32" t="n">
        <v>74.63</v>
      </c>
      <c r="W81" s="32" t="n">
        <v>15.45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IF(B82=0,"",RANK(B82,$B$2:$B$340,0))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CEMPRO</t>
        </is>
      </c>
      <c r="D82" s="31" t="inlineStr">
        <is>
          <t>Cemindia Projects Ltd</t>
        </is>
      </c>
      <c r="E82" s="31" t="inlineStr">
        <is>
          <t>realty</t>
        </is>
      </c>
      <c r="F82" s="31" t="inlineStr">
        <is>
          <t>construction</t>
        </is>
      </c>
      <c r="G82" s="31" t="inlineStr">
        <is>
          <t>largecap</t>
        </is>
      </c>
      <c r="H82" s="32" t="n">
        <v>27743.69</v>
      </c>
      <c r="I82" s="32" t="n">
        <v>1627</v>
      </c>
      <c r="J82" s="32" t="n">
        <v>0.74</v>
      </c>
      <c r="K82" s="32" t="n">
        <v>986966</v>
      </c>
      <c r="L82" s="31" t="n">
        <v>98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84.45</v>
      </c>
      <c r="P82" s="32" t="n">
        <v>56.92</v>
      </c>
      <c r="Q82" s="32" t="inlineStr"/>
      <c r="R82" s="31" t="inlineStr">
        <is>
          <t>Earnings / Momentum Support</t>
        </is>
      </c>
      <c r="S82" s="31" t="inlineStr">
        <is>
          <t>Nifty Realty</t>
        </is>
      </c>
      <c r="T82" s="32" t="n">
        <v>-8.119999999999999</v>
      </c>
      <c r="U82" s="32" t="n">
        <v>100.87</v>
      </c>
      <c r="V82" s="32" t="n">
        <v>118.63</v>
      </c>
      <c r="W82" s="32" t="n">
        <v>55.75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Less than 50%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IF(B83=0,"",RANK(B83,$B$2:$B$340,0))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GHCLTEXTIL</t>
        </is>
      </c>
      <c r="D83" s="31" t="inlineStr">
        <is>
          <t>GHCL Textiles Ltd</t>
        </is>
      </c>
      <c r="E83" s="31" t="inlineStr">
        <is>
          <t>textiles</t>
        </is>
      </c>
      <c r="F83" s="31" t="inlineStr">
        <is>
          <t>textiles - spinning - synthetic / blended</t>
        </is>
      </c>
      <c r="G83" s="31" t="inlineStr">
        <is>
          <t>smallcap</t>
        </is>
      </c>
      <c r="H83" s="32" t="n">
        <v>1086.81</v>
      </c>
      <c r="I83" s="32" t="n">
        <v>114.17</v>
      </c>
      <c r="J83" s="32" t="n">
        <v>0.41</v>
      </c>
      <c r="K83" s="32" t="n">
        <v>424604</v>
      </c>
      <c r="L83" s="31" t="n">
        <v>61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70.84</v>
      </c>
      <c r="P83" s="32" t="n">
        <v>24.46</v>
      </c>
      <c r="Q83" s="32" t="inlineStr"/>
      <c r="R83" s="31" t="inlineStr">
        <is>
          <t>Earnings / Momentum Support</t>
        </is>
      </c>
      <c r="S83" s="31" t="inlineStr">
        <is>
          <t>Nifty 50</t>
        </is>
      </c>
      <c r="T83" s="32" t="n">
        <v>-2.54</v>
      </c>
      <c r="U83" s="32" t="n">
        <v>22.51</v>
      </c>
      <c r="V83" s="32" t="n">
        <v>25.7</v>
      </c>
      <c r="W83" s="32" t="n">
        <v>11.2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Less than 50%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IF(B84=0,"",RANK(B84,$B$2:$B$340,0))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RAMCOIND</t>
        </is>
      </c>
      <c r="D84" s="31" t="inlineStr">
        <is>
          <t>Ramco Industries Limited</t>
        </is>
      </c>
      <c r="E84" s="31" t="inlineStr">
        <is>
          <t>building materials</t>
        </is>
      </c>
      <c r="F84" s="31" t="inlineStr">
        <is>
          <t>cement products</t>
        </is>
      </c>
      <c r="G84" s="31" t="inlineStr">
        <is>
          <t>smallcap</t>
        </is>
      </c>
      <c r="H84" s="32" t="n">
        <v>3069.41</v>
      </c>
      <c r="I84" s="32" t="n">
        <v>354.35</v>
      </c>
      <c r="J84" s="32" t="n">
        <v>0.25</v>
      </c>
      <c r="K84" s="32" t="n">
        <v>110451</v>
      </c>
      <c r="L84" s="31" t="n">
        <v>58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62.93</v>
      </c>
      <c r="P84" s="32" t="n">
        <v>28.15</v>
      </c>
      <c r="Q84" s="32" t="inlineStr"/>
      <c r="R84" s="31" t="inlineStr">
        <is>
          <t>Earnings / Momentum Support</t>
        </is>
      </c>
      <c r="S84" s="31" t="inlineStr">
        <is>
          <t>Nifty Infra</t>
        </is>
      </c>
      <c r="T84" s="32" t="n">
        <v>1.74</v>
      </c>
      <c r="U84" s="32" t="n">
        <v>22.34</v>
      </c>
      <c r="V84" s="32" t="n">
        <v>20.24</v>
      </c>
      <c r="W84" s="32" t="n">
        <v>10.25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IF(B85=0,"",RANK(B85,$B$2:$B$340,0))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WELENT</t>
        </is>
      </c>
      <c r="D85" s="31" t="inlineStr">
        <is>
          <t>Welspun Enterprises Limited</t>
        </is>
      </c>
      <c r="E85" s="31" t="inlineStr">
        <is>
          <t>realty</t>
        </is>
      </c>
      <c r="F85" s="31" t="inlineStr">
        <is>
          <t>construction</t>
        </is>
      </c>
      <c r="G85" s="31" t="inlineStr">
        <is>
          <t>midcap</t>
        </is>
      </c>
      <c r="H85" s="32" t="n">
        <v>8668.860000000001</v>
      </c>
      <c r="I85" s="32" t="n">
        <v>625.55</v>
      </c>
      <c r="J85" s="32" t="n">
        <v>-0.12</v>
      </c>
      <c r="K85" s="32" t="n">
        <v>65725</v>
      </c>
      <c r="L85" s="31" t="n">
        <v>60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74.2</v>
      </c>
      <c r="P85" s="32" t="n">
        <v>20.58</v>
      </c>
      <c r="Q85" s="32" t="inlineStr"/>
      <c r="R85" s="31" t="inlineStr">
        <is>
          <t>Earnings / Momentum Support</t>
        </is>
      </c>
      <c r="S85" s="31" t="inlineStr">
        <is>
          <t>Nifty Realty</t>
        </is>
      </c>
      <c r="T85" s="32" t="n">
        <v>-8.119999999999999</v>
      </c>
      <c r="U85" s="32" t="n">
        <v>20.9</v>
      </c>
      <c r="V85" s="32" t="n">
        <v>31.58</v>
      </c>
      <c r="W85" s="32" t="n">
        <v>10.97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Less than 50%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IF(B86=0,"",RANK(B86,$B$2:$B$340,0))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SIGNPOST</t>
        </is>
      </c>
      <c r="D86" s="31" t="inlineStr">
        <is>
          <t>Signpost India Ltd</t>
        </is>
      </c>
      <c r="E86" s="31" t="inlineStr">
        <is>
          <t>miscellaneous</t>
        </is>
      </c>
      <c r="F86" s="31" t="inlineStr">
        <is>
          <t>miscellaneous</t>
        </is>
      </c>
      <c r="G86" s="31" t="inlineStr">
        <is>
          <t>smallcap</t>
        </is>
      </c>
      <c r="H86" s="32" t="n">
        <v>1747.28</v>
      </c>
      <c r="I86" s="32" t="n">
        <v>319.9</v>
      </c>
      <c r="J86" s="32" t="n">
        <v>-2.14</v>
      </c>
      <c r="K86" s="32" t="n">
        <v>81485</v>
      </c>
      <c r="L86" s="31" t="n">
        <v>70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67.48</v>
      </c>
      <c r="P86" s="32" t="n">
        <v>32.87</v>
      </c>
      <c r="Q86" s="32" t="inlineStr"/>
      <c r="R86" s="31" t="inlineStr">
        <is>
          <t>Earnings / Momentum Support</t>
        </is>
      </c>
      <c r="S86" s="31" t="inlineStr">
        <is>
          <t>Nifty 50</t>
        </is>
      </c>
      <c r="T86" s="32" t="n">
        <v>-2.54</v>
      </c>
      <c r="U86" s="32" t="n">
        <v>37.87</v>
      </c>
      <c r="V86" s="32" t="n">
        <v>41.47</v>
      </c>
      <c r="W86" s="32" t="n">
        <v>13.94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Less than 50%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IF(B87=0,"",RANK(B87,$B$2:$B$340,0))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VAIBHAVGBL</t>
        </is>
      </c>
      <c r="D87" s="31" t="inlineStr">
        <is>
          <t>Vaibhav Global Limited</t>
        </is>
      </c>
      <c r="E87" s="31" t="inlineStr">
        <is>
          <t>consumer discretionary</t>
        </is>
      </c>
      <c r="F87" s="31" t="inlineStr">
        <is>
          <t>diamond cutting / jewellery</t>
        </is>
      </c>
      <c r="G87" s="31" t="inlineStr">
        <is>
          <t>smallcap</t>
        </is>
      </c>
      <c r="H87" s="32" t="n">
        <v>4378.34</v>
      </c>
      <c r="I87" s="32" t="n">
        <v>254.9</v>
      </c>
      <c r="J87" s="32" t="n">
        <v>-2.74</v>
      </c>
      <c r="K87" s="32" t="n">
        <v>387633</v>
      </c>
      <c r="L87" s="31" t="n">
        <v>37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63.05</v>
      </c>
      <c r="P87" s="32" t="n">
        <v>20.42</v>
      </c>
      <c r="Q87" s="32" t="inlineStr"/>
      <c r="R87" s="31" t="inlineStr">
        <is>
          <t>Earnings / Momentum Support</t>
        </is>
      </c>
      <c r="S87" s="31" t="inlineStr">
        <is>
          <t>Nifty 50</t>
        </is>
      </c>
      <c r="T87" s="32" t="n">
        <v>-2.54</v>
      </c>
      <c r="U87" s="32" t="n">
        <v>9.1</v>
      </c>
      <c r="V87" s="32" t="n">
        <v>11.94</v>
      </c>
      <c r="W87" s="32" t="n">
        <v>5.73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IF(B88=0,"",RANK(B88,$B$2:$B$340,0))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RUBYMILLS</t>
        </is>
      </c>
      <c r="D88" s="31" t="inlineStr">
        <is>
          <t>The Ruby Mills Limited</t>
        </is>
      </c>
      <c r="E88" s="31" t="inlineStr">
        <is>
          <t>textiles</t>
        </is>
      </c>
      <c r="F88" s="31" t="inlineStr">
        <is>
          <t>textiles - composite</t>
        </is>
      </c>
      <c r="G88" s="31" t="inlineStr">
        <is>
          <t>smallcap</t>
        </is>
      </c>
      <c r="H88" s="32" t="n">
        <v>1383.08</v>
      </c>
      <c r="I88" s="32" t="n">
        <v>392.95</v>
      </c>
      <c r="J88" s="32" t="n">
        <v>-4.99</v>
      </c>
      <c r="K88" s="32" t="n">
        <v>20421</v>
      </c>
      <c r="L88" s="31" t="n">
        <v>91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81.69</v>
      </c>
      <c r="P88" s="32" t="n">
        <v>52.17</v>
      </c>
      <c r="Q88" s="32" t="inlineStr"/>
      <c r="R88" s="31" t="inlineStr">
        <is>
          <t>Earnings / Momentum Support</t>
        </is>
      </c>
      <c r="S88" s="31" t="inlineStr">
        <is>
          <t>Nifty 50</t>
        </is>
      </c>
      <c r="T88" s="32" t="n">
        <v>-2.54</v>
      </c>
      <c r="U88" s="32" t="n">
        <v>67.65000000000001</v>
      </c>
      <c r="V88" s="32" t="n">
        <v>72.02</v>
      </c>
      <c r="W88" s="32" t="n">
        <v>28.89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Less than 12%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IF(B89=0,"",RANK(B89,$B$2:$B$340,0))</f>
        <v/>
      </c>
      <c r="B89" s="32">
        <f>SUM(N89,Y89,AA89,AC89,AE89,AG89,AI89,AK89,AM89,AO89,AQ89,AS89,AU89,AW89,AY89,BA89,BC89,BE89,BG89,BI89,BK89,BM89,BO89,BQ89,BS89,BU89,BW89,BY89,CA89,CC89,CE89)</f>
        <v/>
      </c>
      <c r="C89" s="33" t="inlineStr">
        <is>
          <t>METROPOLIS</t>
        </is>
      </c>
      <c r="D89" s="33" t="inlineStr">
        <is>
          <t>Metropolis Healthcare Ltd</t>
        </is>
      </c>
      <c r="E89" s="31" t="inlineStr">
        <is>
          <t>healthcare</t>
        </is>
      </c>
      <c r="F89" s="31" t="inlineStr">
        <is>
          <t>healthcare</t>
        </is>
      </c>
      <c r="G89" s="31" t="inlineStr">
        <is>
          <t>midcap</t>
        </is>
      </c>
      <c r="H89" s="32" t="n">
        <v>11305.58</v>
      </c>
      <c r="I89" s="32" t="n">
        <v>573.75</v>
      </c>
      <c r="J89" s="32" t="n">
        <v>5.22</v>
      </c>
      <c r="K89" s="32" t="n">
        <v>367019</v>
      </c>
      <c r="L89" s="31" t="n">
        <v>37</v>
      </c>
      <c r="M89" s="31" t="inlineStr">
        <is>
          <t>Underperforming</t>
        </is>
      </c>
      <c r="N89" s="32">
        <f>IF(M89="Underperforming",-5,IF(L89&gt;=95,15,IF(L89&gt;=90,10,IF(L89&gt;=80,5,0))))</f>
        <v/>
      </c>
      <c r="O89" s="32" t="n">
        <v>57.91</v>
      </c>
      <c r="P89" s="32" t="n">
        <v>39.27</v>
      </c>
      <c r="Q89" s="32" t="inlineStr"/>
      <c r="R89" s="31" t="inlineStr">
        <is>
          <t>Earnings / Momentum Support</t>
        </is>
      </c>
      <c r="S89" s="31" t="inlineStr">
        <is>
          <t>Nifty Pharma</t>
        </is>
      </c>
      <c r="T89" s="32" t="n">
        <v>13.51</v>
      </c>
      <c r="U89" s="32" t="n">
        <v>12.96</v>
      </c>
      <c r="V89" s="32" t="n">
        <v>-0.48</v>
      </c>
      <c r="W89" s="32" t="n">
        <v>5.83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IF(B90=0,"",RANK(B90,$B$2:$B$340,0))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VENKEYS</t>
        </is>
      </c>
      <c r="D90" s="31" t="inlineStr">
        <is>
          <t>Venky's (india) Limited</t>
        </is>
      </c>
      <c r="E90" s="31" t="inlineStr">
        <is>
          <t>fmcg</t>
        </is>
      </c>
      <c r="F90" s="31" t="inlineStr">
        <is>
          <t>miscellaneous</t>
        </is>
      </c>
      <c r="G90" s="31" t="inlineStr">
        <is>
          <t>smallcap</t>
        </is>
      </c>
      <c r="H90" s="32" t="n">
        <v>2043.93</v>
      </c>
      <c r="I90" s="32" t="n">
        <v>1522.3</v>
      </c>
      <c r="J90" s="32" t="n">
        <v>4.92</v>
      </c>
      <c r="K90" s="32" t="n">
        <v>56639</v>
      </c>
      <c r="L90" s="31" t="n">
        <v>2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49.88</v>
      </c>
      <c r="P90" s="32" t="n">
        <v>37.19</v>
      </c>
      <c r="Q90" s="32" t="inlineStr"/>
      <c r="R90" s="31" t="inlineStr">
        <is>
          <t>Earnings / Momentum Support</t>
        </is>
      </c>
      <c r="S90" s="31" t="inlineStr">
        <is>
          <t>Nifty FMCG</t>
        </is>
      </c>
      <c r="T90" s="32" t="n">
        <v>-13.73</v>
      </c>
      <c r="U90" s="32" t="n">
        <v>-7.57</v>
      </c>
      <c r="V90" s="32" t="n">
        <v>7.13</v>
      </c>
      <c r="W90" s="32" t="n">
        <v>-3.14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B2C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Below 45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IF(B91=0,"",RANK(B91,$B$2:$B$340,0))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PICCADIL</t>
        </is>
      </c>
      <c r="D91" s="31" t="inlineStr">
        <is>
          <t>Piccadily Agro Industries Ltd</t>
        </is>
      </c>
      <c r="E91" s="31" t="inlineStr">
        <is>
          <t>fmcg</t>
        </is>
      </c>
      <c r="F91" s="31" t="inlineStr">
        <is>
          <t>breweries &amp; distilleries</t>
        </is>
      </c>
      <c r="G91" s="31" t="inlineStr">
        <is>
          <t>midcap</t>
        </is>
      </c>
      <c r="H91" s="32" t="n">
        <v>7191.33</v>
      </c>
      <c r="I91" s="32" t="n">
        <v>751.6</v>
      </c>
      <c r="J91" s="32" t="n">
        <v>3.02</v>
      </c>
      <c r="K91" s="32" t="n">
        <v>364222</v>
      </c>
      <c r="L91" s="31" t="n">
        <v>53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69.79000000000001</v>
      </c>
      <c r="P91" s="32" t="n">
        <v>40.88</v>
      </c>
      <c r="Q91" s="32" t="inlineStr"/>
      <c r="R91" s="31" t="inlineStr">
        <is>
          <t>Earnings / Momentum Support</t>
        </is>
      </c>
      <c r="S91" s="31" t="inlineStr">
        <is>
          <t>Nifty FMCG</t>
        </is>
      </c>
      <c r="T91" s="32" t="n">
        <v>-13.73</v>
      </c>
      <c r="U91" s="32" t="n">
        <v>21.09</v>
      </c>
      <c r="V91" s="32" t="n">
        <v>40.36</v>
      </c>
      <c r="W91" s="32" t="n">
        <v>9.48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B2C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Less than 12%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Between 50% to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IF(B92=0,"",RANK(B92,$B$2:$B$340,0))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AUROPHARMA</t>
        </is>
      </c>
      <c r="D92" s="31" t="inlineStr">
        <is>
          <t>Aurobindo Pharma Limited</t>
        </is>
      </c>
      <c r="E92" s="31" t="inlineStr">
        <is>
          <t>healthcare</t>
        </is>
      </c>
      <c r="F92" s="31" t="inlineStr">
        <is>
          <t>pharmaceuticals - indian - bulk drugs &amp; formln</t>
        </is>
      </c>
      <c r="G92" s="31" t="inlineStr">
        <is>
          <t>largecap</t>
        </is>
      </c>
      <c r="H92" s="32" t="n">
        <v>88228.45</v>
      </c>
      <c r="I92" s="32" t="n">
        <v>1559.6</v>
      </c>
      <c r="J92" s="32" t="n">
        <v>1.71</v>
      </c>
      <c r="K92" s="32" t="n">
        <v>1260115</v>
      </c>
      <c r="L92" s="31" t="n">
        <v>50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63.87</v>
      </c>
      <c r="P92" s="32" t="n">
        <v>45.52</v>
      </c>
      <c r="Q92" s="32" t="inlineStr"/>
      <c r="R92" s="31" t="inlineStr">
        <is>
          <t>Earnings / Momentum Support</t>
        </is>
      </c>
      <c r="S92" s="31" t="inlineStr">
        <is>
          <t>Nifty Pharma</t>
        </is>
      </c>
      <c r="T92" s="32" t="n">
        <v>13.51</v>
      </c>
      <c r="U92" s="32" t="n">
        <v>35.07</v>
      </c>
      <c r="V92" s="32" t="n">
        <v>19</v>
      </c>
      <c r="W92" s="32" t="n">
        <v>8.59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Less than 12%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IF(B93=0,"",RANK(B93,$B$2:$B$340,0))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MARICO</t>
        </is>
      </c>
      <c r="D93" s="31" t="inlineStr">
        <is>
          <t>Marico Limited</t>
        </is>
      </c>
      <c r="E93" s="31" t="inlineStr">
        <is>
          <t>fmcg</t>
        </is>
      </c>
      <c r="F93" s="31" t="inlineStr">
        <is>
          <t>solvent extraction</t>
        </is>
      </c>
      <c r="G93" s="31" t="inlineStr">
        <is>
          <t>largecap</t>
        </is>
      </c>
      <c r="H93" s="32" t="n">
        <v>109563.77</v>
      </c>
      <c r="I93" s="32" t="n">
        <v>855.3</v>
      </c>
      <c r="J93" s="32" t="n">
        <v>1.34</v>
      </c>
      <c r="K93" s="32" t="n">
        <v>1575899</v>
      </c>
      <c r="L93" s="31" t="n">
        <v>37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64.78</v>
      </c>
      <c r="P93" s="32" t="n">
        <v>27.74</v>
      </c>
      <c r="Q93" s="32" t="inlineStr"/>
      <c r="R93" s="31" t="inlineStr">
        <is>
          <t>Earnings / Momentum Support</t>
        </is>
      </c>
      <c r="S93" s="31" t="inlineStr">
        <is>
          <t>Nifty FMCG</t>
        </is>
      </c>
      <c r="T93" s="32" t="n">
        <v>-13.73</v>
      </c>
      <c r="U93" s="32" t="n">
        <v>18.36</v>
      </c>
      <c r="V93" s="32" t="n">
        <v>37.19</v>
      </c>
      <c r="W93" s="32" t="n">
        <v>5.8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B2C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Between 12 to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IF(B94=0,"",RANK(B94,$B$2:$B$340,0))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SUNPHARMA</t>
        </is>
      </c>
      <c r="D94" s="31" t="inlineStr">
        <is>
          <t>Sun Pharmaceuticals Industries Limited</t>
        </is>
      </c>
      <c r="E94" s="31" t="inlineStr">
        <is>
          <t>healthcare</t>
        </is>
      </c>
      <c r="F94" s="31" t="inlineStr">
        <is>
          <t>pharmaceuticals - indian - bulk drugs &amp; formln</t>
        </is>
      </c>
      <c r="G94" s="31" t="inlineStr">
        <is>
          <t>largecap</t>
        </is>
      </c>
      <c r="H94" s="32" t="n">
        <v>463695.48</v>
      </c>
      <c r="I94" s="32" t="n">
        <v>1956.4</v>
      </c>
      <c r="J94" s="32" t="n">
        <v>1.23</v>
      </c>
      <c r="K94" s="32" t="n">
        <v>1676157</v>
      </c>
      <c r="L94" s="31" t="n">
        <v>39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64.87</v>
      </c>
      <c r="P94" s="32" t="n">
        <v>20.5</v>
      </c>
      <c r="Q94" s="32" t="inlineStr"/>
      <c r="R94" s="31" t="inlineStr">
        <is>
          <t>Earnings / Momentum Support</t>
        </is>
      </c>
      <c r="S94" s="31" t="inlineStr">
        <is>
          <t>Nifty Pharma</t>
        </is>
      </c>
      <c r="T94" s="32" t="n">
        <v>13.51</v>
      </c>
      <c r="U94" s="32" t="n">
        <v>15.15</v>
      </c>
      <c r="V94" s="32" t="n">
        <v>1.45</v>
      </c>
      <c r="W94" s="32" t="n">
        <v>6.18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Between 1.5 to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IF(B95=0,"",RANK(B95,$B$2:$B$340,0))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SHILPAMED</t>
        </is>
      </c>
      <c r="D95" s="31" t="inlineStr">
        <is>
          <t>Shilpa Medicare Limited</t>
        </is>
      </c>
      <c r="E95" s="31" t="inlineStr">
        <is>
          <t>healthcare</t>
        </is>
      </c>
      <c r="F95" s="31" t="inlineStr">
        <is>
          <t>pharmaceuticals - indian - formulations</t>
        </is>
      </c>
      <c r="G95" s="31" t="inlineStr">
        <is>
          <t>midcap</t>
        </is>
      </c>
      <c r="H95" s="32" t="n">
        <v>12130.96</v>
      </c>
      <c r="I95" s="32" t="n">
        <v>625.45</v>
      </c>
      <c r="J95" s="32" t="n">
        <v>0.84</v>
      </c>
      <c r="K95" s="32" t="n">
        <v>414105</v>
      </c>
      <c r="L95" s="31" t="n">
        <v>84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83.03</v>
      </c>
      <c r="P95" s="32" t="n">
        <v>67.95</v>
      </c>
      <c r="Q95" s="32" t="inlineStr"/>
      <c r="R95" s="31" t="inlineStr">
        <is>
          <t>Earnings / Momentum Support</t>
        </is>
      </c>
      <c r="S95" s="31" t="inlineStr">
        <is>
          <t>Nifty Pharma</t>
        </is>
      </c>
      <c r="T95" s="32" t="n">
        <v>13.51</v>
      </c>
      <c r="U95" s="32" t="n">
        <v>35.63</v>
      </c>
      <c r="V95" s="32" t="n">
        <v>19.49</v>
      </c>
      <c r="W95" s="32" t="n">
        <v>20.53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Headwind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IF(B96=0,"",RANK(B96,$B$2:$B$340,0))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TECHM</t>
        </is>
      </c>
      <c r="D96" s="31" t="inlineStr">
        <is>
          <t>Tech Mahindra Limited</t>
        </is>
      </c>
      <c r="E96" s="31" t="inlineStr">
        <is>
          <t>i.t</t>
        </is>
      </c>
      <c r="F96" s="31" t="inlineStr">
        <is>
          <t>computers - software - large</t>
        </is>
      </c>
      <c r="G96" s="31" t="inlineStr">
        <is>
          <t>largecap</t>
        </is>
      </c>
      <c r="H96" s="32" t="n">
        <v>154119.23</v>
      </c>
      <c r="I96" s="32" t="n">
        <v>1576.4</v>
      </c>
      <c r="J96" s="32" t="n">
        <v>0.22</v>
      </c>
      <c r="K96" s="32" t="n">
        <v>2325177</v>
      </c>
      <c r="L96" s="31" t="n">
        <v>21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60.92</v>
      </c>
      <c r="P96" s="32" t="n">
        <v>11.57</v>
      </c>
      <c r="Q96" s="32" t="inlineStr"/>
      <c r="R96" s="31" t="inlineStr">
        <is>
          <t>Earnings / Momentum Support</t>
        </is>
      </c>
      <c r="S96" s="31" t="inlineStr">
        <is>
          <t>Nifty IT</t>
        </is>
      </c>
      <c r="T96" s="32" t="n">
        <v>-21.31</v>
      </c>
      <c r="U96" s="32" t="n">
        <v>5.28</v>
      </c>
      <c r="V96" s="32" t="n">
        <v>33.79</v>
      </c>
      <c r="W96" s="32" t="n">
        <v>2.82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Headwind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0 to 20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IF(B97=0,"",RANK(B97,$B$2:$B$340,0))</f>
        <v/>
      </c>
      <c r="B97" s="32">
        <f>SUM(N97,Y97,AA97,AC97,AE97,AG97,AI97,AK97,AM97,AO97,AQ97,AS97,AU97,AW97,AY97,BA97,BC97,BE97,BG97,BI97,BK97,BM97,BO97,BQ97,BS97,BU97,BW97,BY97,CA97,CC97,CE97)</f>
        <v/>
      </c>
      <c r="C97" s="33" t="inlineStr">
        <is>
          <t>RAINBOW</t>
        </is>
      </c>
      <c r="D97" s="33" t="inlineStr">
        <is>
          <t>Rainbow Childrens Medicare Ltd</t>
        </is>
      </c>
      <c r="E97" s="31" t="inlineStr">
        <is>
          <t>healthcare</t>
        </is>
      </c>
      <c r="F97" s="31" t="inlineStr">
        <is>
          <t>healthcare</t>
        </is>
      </c>
      <c r="G97" s="31" t="inlineStr">
        <is>
          <t>midcap</t>
        </is>
      </c>
      <c r="H97" s="32" t="n">
        <v>15166.84</v>
      </c>
      <c r="I97" s="32" t="n">
        <v>1492.3</v>
      </c>
      <c r="J97" s="32" t="n">
        <v>-0.07000000000000001</v>
      </c>
      <c r="K97" s="32" t="n">
        <v>49695</v>
      </c>
      <c r="L97" s="31" t="n">
        <v>27</v>
      </c>
      <c r="M97" s="31" t="inlineStr">
        <is>
          <t>Underperforming</t>
        </is>
      </c>
      <c r="N97" s="32">
        <f>IF(M97="Underperforming",-5,IF(L97&gt;=95,15,IF(L97&gt;=90,10,IF(L97&gt;=80,5,0))))</f>
        <v/>
      </c>
      <c r="O97" s="32" t="n">
        <v>67.95</v>
      </c>
      <c r="P97" s="32" t="n">
        <v>34.01</v>
      </c>
      <c r="Q97" s="32" t="inlineStr"/>
      <c r="R97" s="31" t="inlineStr">
        <is>
          <t>Earnings / Momentum Support</t>
        </is>
      </c>
      <c r="S97" s="31" t="inlineStr">
        <is>
          <t>Nifty Pharma</t>
        </is>
      </c>
      <c r="T97" s="32" t="n">
        <v>13.51</v>
      </c>
      <c r="U97" s="32" t="n">
        <v>-2.17</v>
      </c>
      <c r="V97" s="32" t="n">
        <v>-13.81</v>
      </c>
      <c r="W97" s="32" t="n">
        <v>4.02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Yes</t>
        </is>
      </c>
      <c r="AC97" s="31">
        <f>IF(AB97="No",5,0)</f>
        <v/>
      </c>
      <c r="AD97" s="31" t="inlineStr">
        <is>
          <t>Headwind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3</t>
        </is>
      </c>
      <c r="BC97" s="31">
        <f>IF(BB97="Stage 2",20,IF(BB97="Stage 1",0,IF(BB97="Stage 3",5,IF(BB97="Stage 4",-5,0))))</f>
        <v/>
      </c>
      <c r="BD97" s="31" t="inlineStr">
        <is>
          <t>Negative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IF(B98=0,"",RANK(B98,$B$2:$B$340,0))</f>
        <v/>
      </c>
      <c r="B98" s="32">
        <f>SUM(N98,Y98,AA98,AC98,AE98,AG98,AI98,AK98,AM98,AO98,AQ98,AS98,AU98,AW98,AY98,BA98,BC98,BE98,BG98,BI98,BK98,BM98,BO98,BQ98,BS98,BU98,BW98,BY98,CA98,CC98,CE98)</f>
        <v/>
      </c>
      <c r="C98" s="33" t="inlineStr">
        <is>
          <t>ORIENTHOT</t>
        </is>
      </c>
      <c r="D98" s="33" t="inlineStr">
        <is>
          <t>Oriental Hotels Limited</t>
        </is>
      </c>
      <c r="E98" s="31" t="inlineStr">
        <is>
          <t>services</t>
        </is>
      </c>
      <c r="F98" s="31" t="inlineStr">
        <is>
          <t>hotels</t>
        </is>
      </c>
      <c r="G98" s="31" t="inlineStr">
        <is>
          <t>smallcap</t>
        </is>
      </c>
      <c r="H98" s="32" t="n">
        <v>2261.24</v>
      </c>
      <c r="I98" s="32" t="n">
        <v>143.68</v>
      </c>
      <c r="J98" s="32" t="n">
        <v>13.48</v>
      </c>
      <c r="K98" s="32" t="n">
        <v>9634260</v>
      </c>
      <c r="L98" s="31" t="n">
        <v>20</v>
      </c>
      <c r="M98" s="31" t="inlineStr">
        <is>
          <t>Underperforming</t>
        </is>
      </c>
      <c r="N98" s="32">
        <f>IF(M98="Underperforming",-5,IF(L98&gt;=95,15,IF(L98&gt;=90,10,IF(L98&gt;=80,5,0))))</f>
        <v/>
      </c>
      <c r="O98" s="32" t="n">
        <v>58.91</v>
      </c>
      <c r="P98" s="32" t="n">
        <v>24.42</v>
      </c>
      <c r="Q98" s="32" t="inlineStr"/>
      <c r="R98" s="31" t="inlineStr">
        <is>
          <t>Volume Spike / Accumulation</t>
        </is>
      </c>
      <c r="S98" s="31" t="inlineStr">
        <is>
          <t>Nifty 50</t>
        </is>
      </c>
      <c r="T98" s="32" t="n">
        <v>-2.54</v>
      </c>
      <c r="U98" s="32" t="n">
        <v>-19.43</v>
      </c>
      <c r="V98" s="32" t="n">
        <v>-17.33</v>
      </c>
      <c r="W98" s="32" t="n">
        <v>2.75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Headwind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3</t>
        </is>
      </c>
      <c r="BC98" s="31">
        <f>IF(BB98="Stage 2",20,IF(BB98="Stage 1",0,IF(BB98="Stage 3",5,IF(BB98="Stage 4",-5,0))))</f>
        <v/>
      </c>
      <c r="BD98" s="31" t="inlineStr">
        <is>
          <t>Negative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Less than 12%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IF(B99=0,"",RANK(B99,$B$2:$B$340,0))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COMSYN</t>
        </is>
      </c>
      <c r="D99" s="31" t="inlineStr">
        <is>
          <t>Commercial Syn Bags Ltd</t>
        </is>
      </c>
      <c r="E99" s="31" t="inlineStr">
        <is>
          <t>industrials</t>
        </is>
      </c>
      <c r="F99" s="31" t="inlineStr">
        <is>
          <t>packaging</t>
        </is>
      </c>
      <c r="G99" s="31" t="inlineStr">
        <is>
          <t>smallcap</t>
        </is>
      </c>
      <c r="H99" s="32" t="n">
        <v>763.5</v>
      </c>
      <c r="I99" s="32" t="n">
        <v>209.35</v>
      </c>
      <c r="J99" s="32" t="n">
        <v>10.61</v>
      </c>
      <c r="K99" s="32" t="n">
        <v>3872284</v>
      </c>
      <c r="L99" s="31" t="n">
        <v>62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64.67</v>
      </c>
      <c r="P99" s="32" t="n">
        <v>48.54</v>
      </c>
      <c r="Q99" s="32" t="inlineStr"/>
      <c r="R99" s="31" t="inlineStr">
        <is>
          <t>Volume Spike / Accumulation</t>
        </is>
      </c>
      <c r="S99" s="31" t="inlineStr">
        <is>
          <t>Nifty 50</t>
        </is>
      </c>
      <c r="T99" s="32" t="n">
        <v>-2.54</v>
      </c>
      <c r="U99" s="32" t="n">
        <v>45.89</v>
      </c>
      <c r="V99" s="32" t="n">
        <v>49.69</v>
      </c>
      <c r="W99" s="32" t="n">
        <v>11.33</v>
      </c>
      <c r="X99" s="31" t="inlineStr">
        <is>
          <t>Cyclical in an Upturn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Headwind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3</t>
        </is>
      </c>
      <c r="BC99" s="31">
        <f>IF(BB99="Stage 2",20,IF(BB99="Stage 1",0,IF(BB99="Stage 3",5,IF(BB99="Stage 4",-5,0))))</f>
        <v/>
      </c>
      <c r="BD99" s="31" t="inlineStr">
        <is>
          <t>Negative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Less than 12%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Between 0.7 to 1.2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IF(B100=0,"",RANK(B100,$B$2:$B$340,0))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VISHNU</t>
        </is>
      </c>
      <c r="D100" s="31" t="inlineStr">
        <is>
          <t>Vishnu Chemicals Limited</t>
        </is>
      </c>
      <c r="E100" s="31" t="inlineStr">
        <is>
          <t>chemicals</t>
        </is>
      </c>
      <c r="F100" s="31" t="inlineStr">
        <is>
          <t>chemicals</t>
        </is>
      </c>
      <c r="G100" s="31" t="inlineStr">
        <is>
          <t>smallcap</t>
        </is>
      </c>
      <c r="H100" s="32" t="n">
        <v>4077.62</v>
      </c>
      <c r="I100" s="32" t="n">
        <v>640.1</v>
      </c>
      <c r="J100" s="32" t="n">
        <v>5.67</v>
      </c>
      <c r="K100" s="32" t="n">
        <v>177391</v>
      </c>
      <c r="L100" s="31" t="n">
        <v>31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59.68</v>
      </c>
      <c r="P100" s="32" t="n">
        <v>48.2</v>
      </c>
      <c r="Q100" s="32" t="inlineStr"/>
      <c r="R100" s="31" t="inlineStr">
        <is>
          <t>Earnings / Momentum Support</t>
        </is>
      </c>
      <c r="S100" s="31" t="inlineStr">
        <is>
          <t>Nifty 50</t>
        </is>
      </c>
      <c r="T100" s="32" t="n">
        <v>-2.54</v>
      </c>
      <c r="U100" s="32" t="n">
        <v>21.01</v>
      </c>
      <c r="V100" s="32" t="n">
        <v>24.16</v>
      </c>
      <c r="W100" s="32" t="n">
        <v>4.96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Headwind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No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3</t>
        </is>
      </c>
      <c r="BC100" s="31">
        <f>IF(BB100="Stage 2",20,IF(BB100="Stage 1",0,IF(BB100="Stage 3",5,IF(BB100="Stage 4",-5,0))))</f>
        <v/>
      </c>
      <c r="BD100" s="31" t="inlineStr">
        <is>
          <t>Negative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Less than 12%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Between 50% to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IF(B101=0,"",RANK(B101,$B$2:$B$340,0))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ADOR</t>
        </is>
      </c>
      <c r="D101" s="31" t="inlineStr">
        <is>
          <t>Ador Welding Ltd</t>
        </is>
      </c>
      <c r="E101" s="31" t="inlineStr">
        <is>
          <t>industrials</t>
        </is>
      </c>
      <c r="F101" s="31" t="inlineStr">
        <is>
          <t>electrodes - welding equipment</t>
        </is>
      </c>
      <c r="G101" s="31" t="inlineStr">
        <is>
          <t>smallcap</t>
        </is>
      </c>
      <c r="H101" s="32" t="n">
        <v>2408.72</v>
      </c>
      <c r="I101" s="32" t="n">
        <v>1455.3</v>
      </c>
      <c r="J101" s="32" t="n">
        <v>5.14</v>
      </c>
      <c r="K101" s="32" t="n">
        <v>111339</v>
      </c>
      <c r="L101" s="31" t="n">
        <v>71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77.83</v>
      </c>
      <c r="P101" s="32" t="n">
        <v>38.24</v>
      </c>
      <c r="Q101" s="32" t="inlineStr"/>
      <c r="R101" s="31" t="inlineStr">
        <is>
          <t>Earnings / Momentum Support</t>
        </is>
      </c>
      <c r="S101" s="31" t="inlineStr">
        <is>
          <t>Nifty 50</t>
        </is>
      </c>
      <c r="T101" s="32" t="n">
        <v>-2.54</v>
      </c>
      <c r="U101" s="32" t="n">
        <v>26.64</v>
      </c>
      <c r="V101" s="32" t="n">
        <v>29.94</v>
      </c>
      <c r="W101" s="32" t="n">
        <v>14.24</v>
      </c>
      <c r="X101" s="31" t="inlineStr">
        <is>
          <t>Cyclical in an Upturn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Headwind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No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Above 75</t>
        </is>
      </c>
      <c r="BA101" s="31">
        <f>IF(AZ101="Between 50 to 75",10,IF(AZ101="Above 75",0,0))</f>
        <v/>
      </c>
      <c r="BB101" s="31" t="inlineStr">
        <is>
          <t>Stage 3</t>
        </is>
      </c>
      <c r="BC101" s="31">
        <f>IF(BB101="Stage 2",20,IF(BB101="Stage 1",0,IF(BB101="Stage 3",5,IF(BB101="Stage 4",-5,0))))</f>
        <v/>
      </c>
      <c r="BD101" s="31" t="inlineStr">
        <is>
          <t>Negative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IF(B102=0,"",RANK(B102,$B$2:$B$340,0))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3" t="inlineStr">
        <is>
          <t>TPLPLASTEH</t>
        </is>
      </c>
      <c r="D102" s="33" t="inlineStr">
        <is>
          <t>Tpl Plastech Limited</t>
        </is>
      </c>
      <c r="E102" s="31" t="inlineStr">
        <is>
          <t>industrials</t>
        </is>
      </c>
      <c r="F102" s="31" t="inlineStr">
        <is>
          <t>packaging</t>
        </is>
      </c>
      <c r="G102" s="31" t="inlineStr">
        <is>
          <t>smallcap</t>
        </is>
      </c>
      <c r="H102" s="32" t="n">
        <v>621.14</v>
      </c>
      <c r="I102" s="32" t="n">
        <v>82.5</v>
      </c>
      <c r="J102" s="32" t="n">
        <v>3.6</v>
      </c>
      <c r="K102" s="32" t="n">
        <v>221300</v>
      </c>
      <c r="L102" s="31" t="n">
        <v>20</v>
      </c>
      <c r="M102" s="31" t="inlineStr">
        <is>
          <t>Underperforming</t>
        </is>
      </c>
      <c r="N102" s="32">
        <f>IF(M102="Underperforming",-5,IF(L102&gt;=95,15,IF(L102&gt;=90,10,IF(L102&gt;=80,5,0))))</f>
        <v/>
      </c>
      <c r="O102" s="32" t="n">
        <v>58.8</v>
      </c>
      <c r="P102" s="32" t="n">
        <v>21.41</v>
      </c>
      <c r="Q102" s="32" t="inlineStr"/>
      <c r="R102" s="31" t="inlineStr">
        <is>
          <t>Earnings / Momentum Support</t>
        </is>
      </c>
      <c r="S102" s="31" t="inlineStr">
        <is>
          <t>Nifty Infra</t>
        </is>
      </c>
      <c r="T102" s="32" t="n">
        <v>1.74</v>
      </c>
      <c r="U102" s="32" t="n">
        <v>0.47</v>
      </c>
      <c r="V102" s="32" t="n">
        <v>-1.25</v>
      </c>
      <c r="W102" s="32" t="n">
        <v>2.74</v>
      </c>
      <c r="X102" s="31" t="inlineStr">
        <is>
          <t>Cyclical in an Upturn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Headwind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3</t>
        </is>
      </c>
      <c r="BC102" s="31">
        <f>IF(BB102="Stage 2",20,IF(BB102="Stage 1",0,IF(BB102="Stage 3",5,IF(BB102="Stage 4",-5,0))))</f>
        <v/>
      </c>
      <c r="BD102" s="31" t="inlineStr">
        <is>
          <t>Negative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Between 12 to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IF(B103=0,"",RANK(B103,$B$2:$B$340,0))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SOLARINDS</t>
        </is>
      </c>
      <c r="D103" s="31" t="inlineStr">
        <is>
          <t>Solar Industries India Limited</t>
        </is>
      </c>
      <c r="E103" s="31" t="inlineStr">
        <is>
          <t>aerospace &amp; defence</t>
        </is>
      </c>
      <c r="F103" s="31" t="inlineStr">
        <is>
          <t>chemicals</t>
        </is>
      </c>
      <c r="G103" s="31" t="inlineStr">
        <is>
          <t>largecap</t>
        </is>
      </c>
      <c r="H103" s="32" t="n">
        <v>167107.98</v>
      </c>
      <c r="I103" s="32" t="n">
        <v>19028</v>
      </c>
      <c r="J103" s="32" t="n">
        <v>3.04</v>
      </c>
      <c r="K103" s="32" t="n">
        <v>239259</v>
      </c>
      <c r="L103" s="31" t="n">
        <v>55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65.05</v>
      </c>
      <c r="P103" s="32" t="n">
        <v>39.64</v>
      </c>
      <c r="Q103" s="32" t="inlineStr"/>
      <c r="R103" s="31" t="inlineStr">
        <is>
          <t>Earnings / Momentum Support</t>
        </is>
      </c>
      <c r="S103" s="31" t="inlineStr">
        <is>
          <t>Nifty 500</t>
        </is>
      </c>
      <c r="T103" s="32" t="n">
        <v>0.26</v>
      </c>
      <c r="U103" s="32" t="n">
        <v>23.91</v>
      </c>
      <c r="V103" s="32" t="n">
        <v>23.58</v>
      </c>
      <c r="W103" s="32" t="n">
        <v>9.58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Headwind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No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3</t>
        </is>
      </c>
      <c r="BC103" s="31">
        <f>IF(BB103="Stage 2",20,IF(BB103="Stage 1",0,IF(BB103="Stage 3",5,IF(BB103="Stage 4",-5,0))))</f>
        <v/>
      </c>
      <c r="BD103" s="31" t="inlineStr">
        <is>
          <t>Negative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Less than 1.5</t>
        </is>
      </c>
      <c r="BU103" s="31">
        <f>IF(BT103="Above 2",0,IF(BT103="Between 1.5 to 2",5,IF(BT103="Less than 1.5",10,0)))</f>
        <v/>
      </c>
      <c r="BV103" s="31" t="inlineStr">
        <is>
          <t>Less than 50%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IF(B104=0,"",RANK(B104,$B$2:$B$340,0))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3" t="inlineStr">
        <is>
          <t>RAYMONDREL</t>
        </is>
      </c>
      <c r="D104" s="33" t="inlineStr">
        <is>
          <t>Raymond Realty Ltd</t>
        </is>
      </c>
      <c r="E104" s="31" t="inlineStr">
        <is>
          <t>realty</t>
        </is>
      </c>
      <c r="F104" s="31" t="inlineStr">
        <is>
          <t>construction</t>
        </is>
      </c>
      <c r="G104" s="31" t="inlineStr">
        <is>
          <t>smallcap</t>
        </is>
      </c>
      <c r="H104" s="32" t="n">
        <v>4548.98</v>
      </c>
      <c r="I104" s="32" t="n">
        <v>703.5</v>
      </c>
      <c r="J104" s="32" t="n">
        <v>2.96</v>
      </c>
      <c r="K104" s="32" t="n">
        <v>324477</v>
      </c>
      <c r="L104" s="31" t="n">
        <v>56</v>
      </c>
      <c r="M104" s="31" t="inlineStr">
        <is>
          <t>Underperforming</t>
        </is>
      </c>
      <c r="N104" s="32">
        <f>IF(M104="Underperforming",-5,IF(L104&gt;=95,15,IF(L104&gt;=90,10,IF(L104&gt;=80,5,0))))</f>
        <v/>
      </c>
      <c r="O104" s="32" t="n">
        <v>61.87</v>
      </c>
      <c r="P104" s="32" t="n">
        <v>44.11</v>
      </c>
      <c r="Q104" s="32" t="inlineStr"/>
      <c r="R104" s="31" t="inlineStr">
        <is>
          <t>Earnings / Momentum Support</t>
        </is>
      </c>
      <c r="S104" s="31" t="inlineStr">
        <is>
          <t>Nifty Realty</t>
        </is>
      </c>
      <c r="T104" s="32" t="n">
        <v>-8.119999999999999</v>
      </c>
      <c r="U104" s="32" t="n">
        <v>-15.95</v>
      </c>
      <c r="V104" s="32" t="n">
        <v>-8.52</v>
      </c>
      <c r="W104" s="32" t="n">
        <v>9.76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Headwind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No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3</t>
        </is>
      </c>
      <c r="BC104" s="31">
        <f>IF(BB104="Stage 2",20,IF(BB104="Stage 1",0,IF(BB104="Stage 3",5,IF(BB104="Stage 4",-5,0))))</f>
        <v/>
      </c>
      <c r="BD104" s="31" t="inlineStr">
        <is>
          <t>Negative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Negative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IF(B105=0,"",RANK(B105,$B$2:$B$340,0))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PSPPROJECT</t>
        </is>
      </c>
      <c r="D105" s="31" t="inlineStr">
        <is>
          <t>PSP Projects Ltd</t>
        </is>
      </c>
      <c r="E105" s="31" t="inlineStr">
        <is>
          <t>realty</t>
        </is>
      </c>
      <c r="F105" s="31" t="inlineStr">
        <is>
          <t>construction</t>
        </is>
      </c>
      <c r="G105" s="31" t="inlineStr">
        <is>
          <t>smallcap</t>
        </is>
      </c>
      <c r="H105" s="32" t="n">
        <v>4147.72</v>
      </c>
      <c r="I105" s="32" t="n">
        <v>1074</v>
      </c>
      <c r="J105" s="32" t="n">
        <v>2.65</v>
      </c>
      <c r="K105" s="32" t="n">
        <v>77186</v>
      </c>
      <c r="L105" s="31" t="n">
        <v>75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69.56</v>
      </c>
      <c r="P105" s="32" t="n">
        <v>31.18</v>
      </c>
      <c r="Q105" s="32" t="inlineStr"/>
      <c r="R105" s="31" t="inlineStr">
        <is>
          <t>Earnings / Momentum Support</t>
        </is>
      </c>
      <c r="S105" s="31" t="inlineStr">
        <is>
          <t>Nifty Realty</t>
        </is>
      </c>
      <c r="T105" s="32" t="n">
        <v>-8.119999999999999</v>
      </c>
      <c r="U105" s="32" t="n">
        <v>27.97</v>
      </c>
      <c r="V105" s="32" t="n">
        <v>39.28</v>
      </c>
      <c r="W105" s="32" t="n">
        <v>15.49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Headwind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No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3</t>
        </is>
      </c>
      <c r="BC105" s="31">
        <f>IF(BB105="Stage 2",20,IF(BB105="Stage 1",0,IF(BB105="Stage 3",5,IF(BB105="Stage 4",-5,0))))</f>
        <v/>
      </c>
      <c r="BD105" s="31" t="inlineStr">
        <is>
          <t>Negative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IF(B106=0,"",RANK(B106,$B$2:$B$340,0))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3" t="inlineStr">
        <is>
          <t>HINDCOMPOS</t>
        </is>
      </c>
      <c r="D106" s="33" t="inlineStr">
        <is>
          <t>Hindustan Composites Limited</t>
        </is>
      </c>
      <c r="E106" s="31" t="inlineStr">
        <is>
          <t>auto</t>
        </is>
      </c>
      <c r="F106" s="31" t="inlineStr">
        <is>
          <t>auto ancillaries</t>
        </is>
      </c>
      <c r="G106" s="31" t="inlineStr">
        <is>
          <t>smallcap</t>
        </is>
      </c>
      <c r="H106" s="32" t="n">
        <v>642.23</v>
      </c>
      <c r="I106" s="32" t="n">
        <v>443.75</v>
      </c>
      <c r="J106" s="32" t="n">
        <v>2.05</v>
      </c>
      <c r="K106" s="32" t="n">
        <v>1946</v>
      </c>
      <c r="L106" s="31" t="n">
        <v>1</v>
      </c>
      <c r="M106" s="31" t="inlineStr">
        <is>
          <t>Underperforming</t>
        </is>
      </c>
      <c r="N106" s="32">
        <f>IF(M106="Underperforming",-5,IF(L106&gt;=95,15,IF(L106&gt;=90,10,IF(L106&gt;=80,5,0))))</f>
        <v/>
      </c>
      <c r="O106" s="32" t="n">
        <v>51.49</v>
      </c>
      <c r="P106" s="32" t="n">
        <v>25.93</v>
      </c>
      <c r="Q106" s="32" t="inlineStr"/>
      <c r="R106" s="31" t="inlineStr">
        <is>
          <t>Earnings / Momentum Support</t>
        </is>
      </c>
      <c r="S106" s="31" t="inlineStr">
        <is>
          <t>Nifty Auto</t>
        </is>
      </c>
      <c r="T106" s="32" t="n">
        <v>13.41</v>
      </c>
      <c r="U106" s="32" t="n">
        <v>-11.23</v>
      </c>
      <c r="V106" s="32" t="n">
        <v>-21.73</v>
      </c>
      <c r="W106" s="32" t="n">
        <v>-4.35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Headwind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3</t>
        </is>
      </c>
      <c r="BC106" s="31">
        <f>IF(BB106="Stage 2",20,IF(BB106="Stage 1",0,IF(BB106="Stage 3",5,IF(BB106="Stage 4",-5,0))))</f>
        <v/>
      </c>
      <c r="BD106" s="31" t="inlineStr">
        <is>
          <t>Negative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Less than 50%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IF(B107=0,"",RANK(B107,$B$2:$B$340,0))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3" t="inlineStr">
        <is>
          <t>VISAKAIND</t>
        </is>
      </c>
      <c r="D107" s="33" t="inlineStr">
        <is>
          <t>Visaka Industries Limited</t>
        </is>
      </c>
      <c r="E107" s="31" t="inlineStr">
        <is>
          <t>building materials</t>
        </is>
      </c>
      <c r="F107" s="31" t="inlineStr">
        <is>
          <t>cement products</t>
        </is>
      </c>
      <c r="G107" s="31" t="inlineStr">
        <is>
          <t>smallcap</t>
        </is>
      </c>
      <c r="H107" s="32" t="n">
        <v>699.45</v>
      </c>
      <c r="I107" s="32" t="n">
        <v>82.5</v>
      </c>
      <c r="J107" s="32" t="n">
        <v>1.91</v>
      </c>
      <c r="K107" s="32" t="n">
        <v>113725</v>
      </c>
      <c r="L107" s="31" t="n">
        <v>35</v>
      </c>
      <c r="M107" s="31" t="inlineStr">
        <is>
          <t>Underperforming</t>
        </is>
      </c>
      <c r="N107" s="32">
        <f>IF(M107="Underperforming",-5,IF(L107&gt;=95,15,IF(L107&gt;=90,10,IF(L107&gt;=80,5,0))))</f>
        <v/>
      </c>
      <c r="O107" s="32" t="n">
        <v>66.77</v>
      </c>
      <c r="P107" s="32" t="n">
        <v>29.74</v>
      </c>
      <c r="Q107" s="32" t="inlineStr"/>
      <c r="R107" s="31" t="inlineStr">
        <is>
          <t>Earnings / Momentum Support</t>
        </is>
      </c>
      <c r="S107" s="31" t="inlineStr">
        <is>
          <t>Nifty Infra</t>
        </is>
      </c>
      <c r="T107" s="32" t="n">
        <v>1.74</v>
      </c>
      <c r="U107" s="32" t="n">
        <v>-2.47</v>
      </c>
      <c r="V107" s="32" t="n">
        <v>-4.13</v>
      </c>
      <c r="W107" s="32" t="n">
        <v>5.66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Headwind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3</t>
        </is>
      </c>
      <c r="BC107" s="31">
        <f>IF(BB107="Stage 2",20,IF(BB107="Stage 1",0,IF(BB107="Stage 3",5,IF(BB107="Stage 4",-5,0))))</f>
        <v/>
      </c>
      <c r="BD107" s="31" t="inlineStr">
        <is>
          <t>Negative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IF(B108=0,"",RANK(B108,$B$2:$B$340,0))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3" t="inlineStr">
        <is>
          <t>JAYAGROGN</t>
        </is>
      </c>
      <c r="D108" s="33" t="inlineStr">
        <is>
          <t>Jayant Agro Organics Limited</t>
        </is>
      </c>
      <c r="E108" s="31" t="inlineStr">
        <is>
          <t>chemicals</t>
        </is>
      </c>
      <c r="F108" s="31" t="inlineStr">
        <is>
          <t>chemicals</t>
        </is>
      </c>
      <c r="G108" s="31" t="inlineStr">
        <is>
          <t>smallcap</t>
        </is>
      </c>
      <c r="H108" s="32" t="n">
        <v>660.78</v>
      </c>
      <c r="I108" s="32" t="n">
        <v>224.22</v>
      </c>
      <c r="J108" s="32" t="n">
        <v>1.8</v>
      </c>
      <c r="K108" s="32" t="n">
        <v>15055</v>
      </c>
      <c r="L108" s="31" t="n">
        <v>7</v>
      </c>
      <c r="M108" s="31" t="inlineStr">
        <is>
          <t>Underperforming</t>
        </is>
      </c>
      <c r="N108" s="32">
        <f>IF(M108="Underperforming",-5,IF(L108&gt;=95,15,IF(L108&gt;=90,10,IF(L108&gt;=80,5,0))))</f>
        <v/>
      </c>
      <c r="O108" s="32" t="n">
        <v>56.07</v>
      </c>
      <c r="P108" s="32" t="n">
        <v>35.85</v>
      </c>
      <c r="Q108" s="32" t="inlineStr"/>
      <c r="R108" s="31" t="inlineStr">
        <is>
          <t>Earnings / Momentum Support</t>
        </is>
      </c>
      <c r="S108" s="31" t="inlineStr">
        <is>
          <t>Nifty 50</t>
        </is>
      </c>
      <c r="T108" s="32" t="n">
        <v>-2.54</v>
      </c>
      <c r="U108" s="32" t="n">
        <v>-15.79</v>
      </c>
      <c r="V108" s="32" t="n">
        <v>-13.59</v>
      </c>
      <c r="W108" s="32" t="n">
        <v>-1.13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Headwind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No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3</t>
        </is>
      </c>
      <c r="BC108" s="31">
        <f>IF(BB108="Stage 2",20,IF(BB108="Stage 1",0,IF(BB108="Stage 3",5,IF(BB108="Stage 4",-5,0))))</f>
        <v/>
      </c>
      <c r="BD108" s="31" t="inlineStr">
        <is>
          <t>Negative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Less than 50%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IF(B109=0,"",RANK(B109,$B$2:$B$340,0))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KMEW</t>
        </is>
      </c>
      <c r="D109" s="31" t="inlineStr">
        <is>
          <t>Knowledge Marine &amp; Engineering Works Ltd</t>
        </is>
      </c>
      <c r="E109" s="31" t="inlineStr">
        <is>
          <t>transportation</t>
        </is>
      </c>
      <c r="F109" s="31" t="inlineStr">
        <is>
          <t>miscellaneous</t>
        </is>
      </c>
      <c r="G109" s="31" t="inlineStr">
        <is>
          <t>midcap</t>
        </is>
      </c>
      <c r="H109" s="32" t="n">
        <v>5878.56</v>
      </c>
      <c r="I109" s="32" t="n">
        <v>2445.3</v>
      </c>
      <c r="J109" s="32" t="n">
        <v>1.68</v>
      </c>
      <c r="K109" s="32" t="n">
        <v>52524</v>
      </c>
      <c r="L109" s="31" t="n">
        <v>93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70.31999999999999</v>
      </c>
      <c r="P109" s="32" t="n">
        <v>45.6</v>
      </c>
      <c r="Q109" s="32" t="inlineStr"/>
      <c r="R109" s="31" t="inlineStr">
        <is>
          <t>Earnings / Momentum Support</t>
        </is>
      </c>
      <c r="S109" s="31" t="inlineStr">
        <is>
          <t>Nifty 50</t>
        </is>
      </c>
      <c r="T109" s="32" t="n">
        <v>-2.54</v>
      </c>
      <c r="U109" s="32" t="n">
        <v>163.45</v>
      </c>
      <c r="V109" s="32" t="n">
        <v>170.31</v>
      </c>
      <c r="W109" s="32" t="n">
        <v>31.41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Headwind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3</t>
        </is>
      </c>
      <c r="BC109" s="31">
        <f>IF(BB109="Stage 2",20,IF(BB109="Stage 1",0,IF(BB109="Stage 3",5,IF(BB109="Stage 4",-5,0))))</f>
        <v/>
      </c>
      <c r="BD109" s="31" t="inlineStr">
        <is>
          <t>Negative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Negative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IF(B110=0,"",RANK(B110,$B$2:$B$340,0))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SWANDEF</t>
        </is>
      </c>
      <c r="D110" s="31" t="inlineStr">
        <is>
          <t>Swan Defence and Heavy Industries Ltd</t>
        </is>
      </c>
      <c r="E110" s="31" t="inlineStr">
        <is>
          <t>transportation</t>
        </is>
      </c>
      <c r="F110" s="31" t="inlineStr">
        <is>
          <t>miscellaneous</t>
        </is>
      </c>
      <c r="G110" s="31" t="inlineStr">
        <is>
          <t>midcap</t>
        </is>
      </c>
      <c r="H110" s="32" t="n">
        <v>11746.01</v>
      </c>
      <c r="I110" s="32" t="n">
        <v>2265</v>
      </c>
      <c r="J110" s="32" t="n">
        <v>1.59</v>
      </c>
      <c r="K110" s="32" t="n">
        <v>16990</v>
      </c>
      <c r="L110" s="31" t="n">
        <v>99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64.62</v>
      </c>
      <c r="P110" s="32" t="n">
        <v>47.49</v>
      </c>
      <c r="Q110" s="32" t="inlineStr"/>
      <c r="R110" s="31" t="inlineStr">
        <is>
          <t>Earnings / Momentum Support</t>
        </is>
      </c>
      <c r="S110" s="31" t="inlineStr">
        <is>
          <t>Nifty 50</t>
        </is>
      </c>
      <c r="T110" s="32" t="n">
        <v>-2.54</v>
      </c>
      <c r="U110" s="32" t="n">
        <v>664.4299999999999</v>
      </c>
      <c r="V110" s="32" t="n">
        <v>684.34</v>
      </c>
      <c r="W110" s="32" t="n">
        <v>68.5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Headwind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3</t>
        </is>
      </c>
      <c r="BC110" s="31">
        <f>IF(BB110="Stage 2",20,IF(BB110="Stage 1",0,IF(BB110="Stage 3",5,IF(BB110="Stage 4",-5,0))))</f>
        <v/>
      </c>
      <c r="BD110" s="31" t="inlineStr">
        <is>
          <t>Negative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Negative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More than 1.2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IF(B111=0,"",RANK(B111,$B$2:$B$340,0))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3" t="inlineStr">
        <is>
          <t>MGEL</t>
        </is>
      </c>
      <c r="D111" s="33" t="inlineStr">
        <is>
          <t>Mangalam Global Enterprise Ltd</t>
        </is>
      </c>
      <c r="E111" s="31" t="inlineStr">
        <is>
          <t>services</t>
        </is>
      </c>
      <c r="F111" s="31" t="inlineStr">
        <is>
          <t>trading</t>
        </is>
      </c>
      <c r="G111" s="31" t="inlineStr">
        <is>
          <t>smallcap</t>
        </is>
      </c>
      <c r="H111" s="32" t="n">
        <v>543.77</v>
      </c>
      <c r="I111" s="32" t="n">
        <v>16.74</v>
      </c>
      <c r="J111" s="32" t="n">
        <v>1.45</v>
      </c>
      <c r="K111" s="32" t="n">
        <v>102096</v>
      </c>
      <c r="L111" s="31" t="n">
        <v>38</v>
      </c>
      <c r="M111" s="31" t="inlineStr">
        <is>
          <t>Underperforming</t>
        </is>
      </c>
      <c r="N111" s="32">
        <f>IF(M111="Underperforming",-5,IF(L111&gt;=95,15,IF(L111&gt;=90,10,IF(L111&gt;=80,5,0))))</f>
        <v/>
      </c>
      <c r="O111" s="32" t="n">
        <v>63.43</v>
      </c>
      <c r="P111" s="32" t="n">
        <v>40.86</v>
      </c>
      <c r="Q111" s="32" t="inlineStr"/>
      <c r="R111" s="31" t="inlineStr">
        <is>
          <t>Earnings / Momentum Support</t>
        </is>
      </c>
      <c r="S111" s="31" t="inlineStr">
        <is>
          <t>Nifty 50</t>
        </is>
      </c>
      <c r="T111" s="32" t="n">
        <v>-2.54</v>
      </c>
      <c r="U111" s="32" t="n">
        <v>-4.18</v>
      </c>
      <c r="V111" s="32" t="n">
        <v>-1.68</v>
      </c>
      <c r="W111" s="32" t="n">
        <v>6.07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Headwind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No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3</t>
        </is>
      </c>
      <c r="BC111" s="31">
        <f>IF(BB111="Stage 2",20,IF(BB111="Stage 1",0,IF(BB111="Stage 3",5,IF(BB111="Stage 4",-5,0))))</f>
        <v/>
      </c>
      <c r="BD111" s="31" t="inlineStr">
        <is>
          <t>Negative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Between 0.7 to 1.2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IF(B112=0,"",RANK(B112,$B$2:$B$340,0))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SONACOMS</t>
        </is>
      </c>
      <c r="D112" s="31" t="inlineStr">
        <is>
          <t>Sona BLW Precision Forgings Ltd</t>
        </is>
      </c>
      <c r="E112" s="31" t="inlineStr">
        <is>
          <t>auto</t>
        </is>
      </c>
      <c r="F112" s="31" t="inlineStr">
        <is>
          <t>auto ancillaries</t>
        </is>
      </c>
      <c r="G112" s="31" t="inlineStr">
        <is>
          <t>largecap</t>
        </is>
      </c>
      <c r="H112" s="32" t="n">
        <v>43830.88</v>
      </c>
      <c r="I112" s="32" t="n">
        <v>714.55</v>
      </c>
      <c r="J112" s="32" t="n">
        <v>1.38</v>
      </c>
      <c r="K112" s="32" t="n">
        <v>2929776</v>
      </c>
      <c r="L112" s="31" t="n">
        <v>67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74.73999999999999</v>
      </c>
      <c r="P112" s="32" t="n">
        <v>41.06</v>
      </c>
      <c r="Q112" s="32" t="inlineStr"/>
      <c r="R112" s="31" t="inlineStr">
        <is>
          <t>Earnings / Momentum Support</t>
        </is>
      </c>
      <c r="S112" s="31" t="inlineStr">
        <is>
          <t>Nifty Auto</t>
        </is>
      </c>
      <c r="T112" s="32" t="n">
        <v>13.41</v>
      </c>
      <c r="U112" s="32" t="n">
        <v>47.83</v>
      </c>
      <c r="V112" s="32" t="n">
        <v>30.34</v>
      </c>
      <c r="W112" s="32" t="n">
        <v>12.69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Headwind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3</t>
        </is>
      </c>
      <c r="BC112" s="31">
        <f>IF(BB112="Stage 2",20,IF(BB112="Stage 1",0,IF(BB112="Stage 3",5,IF(BB112="Stage 4",-5,0))))</f>
        <v/>
      </c>
      <c r="BD112" s="31" t="inlineStr">
        <is>
          <t>Negative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Between 12 to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Between 50% to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IF(B113=0,"",RANK(B113,$B$2:$B$340,0))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CCAVENUE</t>
        </is>
      </c>
      <c r="D113" s="31" t="inlineStr">
        <is>
          <t>AvenuesAI Ltd</t>
        </is>
      </c>
      <c r="E113" s="31" t="inlineStr">
        <is>
          <t>i.t</t>
        </is>
      </c>
      <c r="F113" s="31" t="inlineStr">
        <is>
          <t>miscellaneous</t>
        </is>
      </c>
      <c r="G113" s="31" t="inlineStr">
        <is>
          <t>midcap</t>
        </is>
      </c>
      <c r="H113" s="32" t="n">
        <v>5964.89</v>
      </c>
      <c r="I113" s="32" t="n">
        <v>17.23</v>
      </c>
      <c r="J113" s="32" t="n">
        <v>1</v>
      </c>
      <c r="K113" s="32" t="n">
        <v>7315169</v>
      </c>
      <c r="L113" s="31" t="n">
        <v>29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57.04</v>
      </c>
      <c r="P113" s="32" t="n">
        <v>18.61</v>
      </c>
      <c r="Q113" s="32" t="inlineStr"/>
      <c r="R113" s="31" t="inlineStr">
        <is>
          <t>Earnings / Momentum Support</t>
        </is>
      </c>
      <c r="S113" s="31" t="inlineStr">
        <is>
          <t>Nifty IT</t>
        </is>
      </c>
      <c r="T113" s="32" t="n">
        <v>-21.31</v>
      </c>
      <c r="U113" s="32" t="n">
        <v>7.23</v>
      </c>
      <c r="V113" s="32" t="n">
        <v>36.27</v>
      </c>
      <c r="W113" s="32" t="n">
        <v>4.65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Headwind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0 to 20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3</t>
        </is>
      </c>
      <c r="BC113" s="31">
        <f>IF(BB113="Stage 2",20,IF(BB113="Stage 1",0,IF(BB113="Stage 3",5,IF(BB113="Stage 4",-5,0))))</f>
        <v/>
      </c>
      <c r="BD113" s="31" t="inlineStr">
        <is>
          <t>Negative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IF(B114=0,"",RANK(B114,$B$2:$B$340,0))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GMRAIRPORT</t>
        </is>
      </c>
      <c r="D114" s="31" t="inlineStr">
        <is>
          <t>GMR Airports Ltd</t>
        </is>
      </c>
      <c r="E114" s="31" t="inlineStr">
        <is>
          <t>miscellaneous</t>
        </is>
      </c>
      <c r="F114" s="31" t="inlineStr">
        <is>
          <t>miscellaneous</t>
        </is>
      </c>
      <c r="G114" s="31" t="inlineStr">
        <is>
          <t>largecap</t>
        </is>
      </c>
      <c r="H114" s="32" t="n">
        <v>116718.92</v>
      </c>
      <c r="I114" s="32" t="n">
        <v>111.54</v>
      </c>
      <c r="J114" s="32" t="n">
        <v>0.9</v>
      </c>
      <c r="K114" s="32" t="n">
        <v>26130679</v>
      </c>
      <c r="L114" s="31" t="n">
        <v>40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63.15</v>
      </c>
      <c r="P114" s="32" t="n">
        <v>22.99</v>
      </c>
      <c r="Q114" s="32" t="inlineStr"/>
      <c r="R114" s="31" t="inlineStr">
        <is>
          <t>Earnings / Momentum Support</t>
        </is>
      </c>
      <c r="S114" s="31" t="inlineStr">
        <is>
          <t>Nifty 50</t>
        </is>
      </c>
      <c r="T114" s="32" t="n">
        <v>-2.54</v>
      </c>
      <c r="U114" s="32" t="n">
        <v>17.2</v>
      </c>
      <c r="V114" s="32" t="n">
        <v>20.25</v>
      </c>
      <c r="W114" s="32" t="n">
        <v>6.32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Headwind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3</t>
        </is>
      </c>
      <c r="BC114" s="31">
        <f>IF(BB114="Stage 2",20,IF(BB114="Stage 1",0,IF(BB114="Stage 3",5,IF(BB114="Stage 4",-5,0))))</f>
        <v/>
      </c>
      <c r="BD114" s="31" t="inlineStr">
        <is>
          <t>Negative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IF(B115=0,"",RANK(B115,$B$2:$B$340,0))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INDOTECH</t>
        </is>
      </c>
      <c r="D115" s="31" t="inlineStr">
        <is>
          <t>Indo Tech Transformers Limited</t>
        </is>
      </c>
      <c r="E115" s="31" t="inlineStr">
        <is>
          <t>industrials</t>
        </is>
      </c>
      <c r="F115" s="31" t="inlineStr">
        <is>
          <t>electric equipment</t>
        </is>
      </c>
      <c r="G115" s="31" t="inlineStr">
        <is>
          <t>smallcap</t>
        </is>
      </c>
      <c r="H115" s="32" t="n">
        <v>3611.76</v>
      </c>
      <c r="I115" s="32" t="n">
        <v>3419</v>
      </c>
      <c r="J115" s="32" t="n">
        <v>0.53</v>
      </c>
      <c r="K115" s="32" t="n">
        <v>10186</v>
      </c>
      <c r="L115" s="31" t="n">
        <v>95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75.34999999999999</v>
      </c>
      <c r="P115" s="32" t="n">
        <v>48.96</v>
      </c>
      <c r="Q115" s="32" t="inlineStr"/>
      <c r="R115" s="31" t="inlineStr">
        <is>
          <t>Earnings / Momentum Support</t>
        </is>
      </c>
      <c r="S115" s="31" t="inlineStr">
        <is>
          <t>Nifty 50</t>
        </is>
      </c>
      <c r="T115" s="32" t="n">
        <v>-2.54</v>
      </c>
      <c r="U115" s="32" t="n">
        <v>80.76000000000001</v>
      </c>
      <c r="V115" s="32" t="n">
        <v>85.47</v>
      </c>
      <c r="W115" s="32" t="n">
        <v>34.4</v>
      </c>
      <c r="X115" s="31" t="inlineStr">
        <is>
          <t>Cyclical in an Upturn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Headwind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3</t>
        </is>
      </c>
      <c r="BC115" s="31">
        <f>IF(BB115="Stage 2",20,IF(BB115="Stage 1",0,IF(BB115="Stage 3",5,IF(BB115="Stage 4",-5,0))))</f>
        <v/>
      </c>
      <c r="BD115" s="31" t="inlineStr">
        <is>
          <t>Negative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Between 12 to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Less than 50%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IF(B116=0,"",RANK(B116,$B$2:$B$340,0))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3" t="inlineStr">
        <is>
          <t>BOROSCI</t>
        </is>
      </c>
      <c r="D116" s="33" t="inlineStr">
        <is>
          <t>Borosil Scientific Ltd</t>
        </is>
      </c>
      <c r="E116" s="31" t="inlineStr">
        <is>
          <t>building materials</t>
        </is>
      </c>
      <c r="F116" s="31" t="inlineStr">
        <is>
          <t>glass &amp; glass products</t>
        </is>
      </c>
      <c r="G116" s="31" t="inlineStr">
        <is>
          <t>smallcap</t>
        </is>
      </c>
      <c r="H116" s="32" t="n">
        <v>1429.82</v>
      </c>
      <c r="I116" s="32" t="n">
        <v>161.53</v>
      </c>
      <c r="J116" s="32" t="n">
        <v>0.49</v>
      </c>
      <c r="K116" s="32" t="n">
        <v>76940</v>
      </c>
      <c r="L116" s="31" t="n">
        <v>43</v>
      </c>
      <c r="M116" s="31" t="inlineStr">
        <is>
          <t>Underperforming</t>
        </is>
      </c>
      <c r="N116" s="32">
        <f>IF(M116="Underperforming",-5,IF(L116&gt;=95,15,IF(L116&gt;=90,10,IF(L116&gt;=80,5,0))))</f>
        <v/>
      </c>
      <c r="O116" s="32" t="n">
        <v>68.16</v>
      </c>
      <c r="P116" s="32" t="n">
        <v>41.61</v>
      </c>
      <c r="Q116" s="32" t="inlineStr"/>
      <c r="R116" s="31" t="inlineStr">
        <is>
          <t>Earnings / Momentum Support</t>
        </is>
      </c>
      <c r="S116" s="31" t="inlineStr">
        <is>
          <t>Nifty Infra</t>
        </is>
      </c>
      <c r="T116" s="32" t="n">
        <v>1.74</v>
      </c>
      <c r="U116" s="32" t="n">
        <v>-10.49</v>
      </c>
      <c r="V116" s="32" t="n">
        <v>-12.02</v>
      </c>
      <c r="W116" s="32" t="n">
        <v>6.86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Headwind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3</t>
        </is>
      </c>
      <c r="BC116" s="31">
        <f>IF(BB116="Stage 2",20,IF(BB116="Stage 1",0,IF(BB116="Stage 3",5,IF(BB116="Stage 4",-5,0))))</f>
        <v/>
      </c>
      <c r="BD116" s="31" t="inlineStr">
        <is>
          <t>Negative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Between 50% to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IF(B117=0,"",RANK(B117,$B$2:$B$340,0))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KAJARIACER</t>
        </is>
      </c>
      <c r="D117" s="31" t="inlineStr">
        <is>
          <t>Kajaria Ceramics Limited</t>
        </is>
      </c>
      <c r="E117" s="31" t="inlineStr">
        <is>
          <t>building materials</t>
        </is>
      </c>
      <c r="F117" s="31" t="inlineStr">
        <is>
          <t>ceramics - tiles / sanitaryware</t>
        </is>
      </c>
      <c r="G117" s="31" t="inlineStr">
        <is>
          <t>midcap</t>
        </is>
      </c>
      <c r="H117" s="32" t="n">
        <v>19741.8</v>
      </c>
      <c r="I117" s="32" t="n">
        <v>1243.5</v>
      </c>
      <c r="J117" s="32" t="n">
        <v>0.32</v>
      </c>
      <c r="K117" s="32" t="n">
        <v>162510</v>
      </c>
      <c r="L117" s="31" t="n">
        <v>17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66.51000000000001</v>
      </c>
      <c r="P117" s="32" t="n">
        <v>24.42</v>
      </c>
      <c r="Q117" s="32" t="inlineStr"/>
      <c r="R117" s="31" t="inlineStr">
        <is>
          <t>Earnings / Momentum Support</t>
        </is>
      </c>
      <c r="S117" s="31" t="inlineStr">
        <is>
          <t>Nifty Infra</t>
        </is>
      </c>
      <c r="T117" s="32" t="n">
        <v>1.74</v>
      </c>
      <c r="U117" s="32" t="n">
        <v>2.08</v>
      </c>
      <c r="V117" s="32" t="n">
        <v>0.33</v>
      </c>
      <c r="W117" s="32" t="n">
        <v>2.19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Headwind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No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3</t>
        </is>
      </c>
      <c r="BC117" s="31">
        <f>IF(BB117="Stage 2",20,IF(BB117="Stage 1",0,IF(BB117="Stage 3",5,IF(BB117="Stage 4",-5,0))))</f>
        <v/>
      </c>
      <c r="BD117" s="31" t="inlineStr">
        <is>
          <t>Negative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IF(B118=0,"",RANK(B118,$B$2:$B$340,0))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SPORTKING</t>
        </is>
      </c>
      <c r="D118" s="31" t="inlineStr">
        <is>
          <t>Sportking India Ltd</t>
        </is>
      </c>
      <c r="E118" s="31" t="inlineStr">
        <is>
          <t>textiles</t>
        </is>
      </c>
      <c r="F118" s="31" t="inlineStr">
        <is>
          <t>textiles - spinning - synthetic / blended</t>
        </is>
      </c>
      <c r="G118" s="31" t="inlineStr">
        <is>
          <t>smallcap</t>
        </is>
      </c>
      <c r="H118" s="32" t="n">
        <v>2505.99</v>
      </c>
      <c r="I118" s="32" t="n">
        <v>197.55</v>
      </c>
      <c r="J118" s="32" t="n">
        <v>0.17</v>
      </c>
      <c r="K118" s="32" t="n">
        <v>205876</v>
      </c>
      <c r="L118" s="31" t="n">
        <v>86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81.41</v>
      </c>
      <c r="P118" s="32" t="n">
        <v>67.93000000000001</v>
      </c>
      <c r="Q118" s="32" t="inlineStr"/>
      <c r="R118" s="31" t="inlineStr">
        <is>
          <t>Earnings / Momentum Support</t>
        </is>
      </c>
      <c r="S118" s="31" t="inlineStr">
        <is>
          <t>Nifty 50</t>
        </is>
      </c>
      <c r="T118" s="32" t="n">
        <v>-2.54</v>
      </c>
      <c r="U118" s="32" t="n">
        <v>49.61</v>
      </c>
      <c r="V118" s="32" t="n">
        <v>53.51</v>
      </c>
      <c r="W118" s="32" t="n">
        <v>21.66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Headwind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Above 75</t>
        </is>
      </c>
      <c r="BA118" s="31">
        <f>IF(AZ118="Between 50 to 75",10,IF(AZ118="Above 75",0,0))</f>
        <v/>
      </c>
      <c r="BB118" s="31" t="inlineStr">
        <is>
          <t>Stage 3</t>
        </is>
      </c>
      <c r="BC118" s="31">
        <f>IF(BB118="Stage 2",20,IF(BB118="Stage 1",0,IF(BB118="Stage 3",5,IF(BB118="Stage 4",-5,0))))</f>
        <v/>
      </c>
      <c r="BD118" s="31" t="inlineStr">
        <is>
          <t>Negative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Less than 12%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IF(B119=0,"",RANK(B119,$B$2:$B$340,0))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PREMIERENE</t>
        </is>
      </c>
      <c r="D119" s="31" t="inlineStr">
        <is>
          <t>Premier Energies Ltd</t>
        </is>
      </c>
      <c r="E119" s="31" t="inlineStr">
        <is>
          <t>services</t>
        </is>
      </c>
      <c r="F119" s="31" t="inlineStr">
        <is>
          <t>trading</t>
        </is>
      </c>
      <c r="G119" s="31" t="inlineStr">
        <is>
          <t>largecap</t>
        </is>
      </c>
      <c r="H119" s="32" t="n">
        <v>49204.25</v>
      </c>
      <c r="I119" s="32" t="n">
        <v>1086.4</v>
      </c>
      <c r="J119" s="32" t="n">
        <v>0.02</v>
      </c>
      <c r="K119" s="32" t="n">
        <v>2526545</v>
      </c>
      <c r="L119" s="31" t="n">
        <v>27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60.64</v>
      </c>
      <c r="P119" s="32" t="n">
        <v>21.75</v>
      </c>
      <c r="Q119" s="32" t="inlineStr"/>
      <c r="R119" s="31" t="inlineStr">
        <is>
          <t>Earnings / Momentum Support</t>
        </is>
      </c>
      <c r="S119" s="31" t="inlineStr">
        <is>
          <t>Nifty 50</t>
        </is>
      </c>
      <c r="T119" s="32" t="n">
        <v>-2.54</v>
      </c>
      <c r="U119" s="32" t="n">
        <v>2.78</v>
      </c>
      <c r="V119" s="32" t="n">
        <v>5.46</v>
      </c>
      <c r="W119" s="32" t="n">
        <v>4.03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Headwind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3</t>
        </is>
      </c>
      <c r="BC119" s="31">
        <f>IF(BB119="Stage 2",20,IF(BB119="Stage 1",0,IF(BB119="Stage 3",5,IF(BB119="Stage 4",-5,0))))</f>
        <v/>
      </c>
      <c r="BD119" s="31" t="inlineStr">
        <is>
          <t>Negative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Between 50% to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Between 0.7 to 1.2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IF(B120=0,"",RANK(B120,$B$2:$B$340,0))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PRIVISCL</t>
        </is>
      </c>
      <c r="D120" s="31" t="inlineStr">
        <is>
          <t>Privi Speciality Chemicals Ltd</t>
        </is>
      </c>
      <c r="E120" s="31" t="inlineStr">
        <is>
          <t>chemicals</t>
        </is>
      </c>
      <c r="F120" s="31" t="inlineStr">
        <is>
          <t>chemicals</t>
        </is>
      </c>
      <c r="G120" s="31" t="inlineStr">
        <is>
          <t>midcap</t>
        </is>
      </c>
      <c r="H120" s="32" t="n">
        <v>14361.4</v>
      </c>
      <c r="I120" s="32" t="n">
        <v>3675.6</v>
      </c>
      <c r="J120" s="32" t="n">
        <v>-0.02</v>
      </c>
      <c r="K120" s="32" t="n">
        <v>28136</v>
      </c>
      <c r="L120" s="31" t="n">
        <v>65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66.38</v>
      </c>
      <c r="P120" s="32" t="n">
        <v>27.78</v>
      </c>
      <c r="Q120" s="32" t="inlineStr"/>
      <c r="R120" s="31" t="inlineStr">
        <is>
          <t>Earnings / Momentum Support</t>
        </is>
      </c>
      <c r="S120" s="31" t="inlineStr">
        <is>
          <t>Nifty 50</t>
        </is>
      </c>
      <c r="T120" s="32" t="n">
        <v>-2.54</v>
      </c>
      <c r="U120" s="32" t="n">
        <v>50.36</v>
      </c>
      <c r="V120" s="32" t="n">
        <v>54.28</v>
      </c>
      <c r="W120" s="32" t="n">
        <v>12.28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Headwind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3</t>
        </is>
      </c>
      <c r="BC120" s="31">
        <f>IF(BB120="Stage 2",20,IF(BB120="Stage 1",0,IF(BB120="Stage 3",5,IF(BB120="Stage 4",-5,0))))</f>
        <v/>
      </c>
      <c r="BD120" s="31" t="inlineStr">
        <is>
          <t>Negative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Between 0.7 to 1.2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IF(B121=0,"",RANK(B121,$B$2:$B$340,0))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SFL</t>
        </is>
      </c>
      <c r="D121" s="31" t="inlineStr">
        <is>
          <t>Sheela Foam Limited</t>
        </is>
      </c>
      <c r="E121" s="31" t="inlineStr">
        <is>
          <t>consumer discretionary</t>
        </is>
      </c>
      <c r="F121" s="31" t="inlineStr">
        <is>
          <t>miscellaneous</t>
        </is>
      </c>
      <c r="G121" s="31" t="inlineStr">
        <is>
          <t>midcap</t>
        </is>
      </c>
      <c r="H121" s="32" t="n">
        <v>8273.98</v>
      </c>
      <c r="I121" s="32" t="n">
        <v>760.55</v>
      </c>
      <c r="J121" s="32" t="n">
        <v>-0.07000000000000001</v>
      </c>
      <c r="K121" s="32" t="n">
        <v>177865</v>
      </c>
      <c r="L121" s="31" t="n">
        <v>63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70.44</v>
      </c>
      <c r="P121" s="32" t="n">
        <v>32.39</v>
      </c>
      <c r="Q121" s="32" t="inlineStr"/>
      <c r="R121" s="31" t="inlineStr">
        <is>
          <t>Earnings / Momentum Support</t>
        </is>
      </c>
      <c r="S121" s="31" t="inlineStr">
        <is>
          <t>Nifty 50</t>
        </is>
      </c>
      <c r="T121" s="32" t="n">
        <v>-2.54</v>
      </c>
      <c r="U121" s="32" t="n">
        <v>13.01</v>
      </c>
      <c r="V121" s="32" t="n">
        <v>15.95</v>
      </c>
      <c r="W121" s="32" t="n">
        <v>11.83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Headwind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3</t>
        </is>
      </c>
      <c r="BC121" s="31">
        <f>IF(BB121="Stage 2",20,IF(BB121="Stage 1",0,IF(BB121="Stage 3",5,IF(BB121="Stage 4",-5,0))))</f>
        <v/>
      </c>
      <c r="BD121" s="31" t="inlineStr">
        <is>
          <t>Negative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IF(B122=0,"",RANK(B122,$B$2:$B$340,0))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XPROINDIA</t>
        </is>
      </c>
      <c r="D122" s="31" t="inlineStr">
        <is>
          <t>Xpro India Limited</t>
        </is>
      </c>
      <c r="E122" s="31" t="inlineStr">
        <is>
          <t>industrials</t>
        </is>
      </c>
      <c r="F122" s="31" t="inlineStr">
        <is>
          <t>packaging</t>
        </is>
      </c>
      <c r="G122" s="31" t="inlineStr">
        <is>
          <t>smallcap</t>
        </is>
      </c>
      <c r="H122" s="32" t="n">
        <v>3279.52</v>
      </c>
      <c r="I122" s="32" t="n">
        <v>1395</v>
      </c>
      <c r="J122" s="32" t="n">
        <v>-0.16</v>
      </c>
      <c r="K122" s="32" t="n">
        <v>20286</v>
      </c>
      <c r="L122" s="31" t="n">
        <v>53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64.26000000000001</v>
      </c>
      <c r="P122" s="32" t="n">
        <v>41.35</v>
      </c>
      <c r="Q122" s="32" t="inlineStr"/>
      <c r="R122" s="31" t="inlineStr">
        <is>
          <t>Earnings / Momentum Support</t>
        </is>
      </c>
      <c r="S122" s="31" t="inlineStr">
        <is>
          <t>Nifty 50</t>
        </is>
      </c>
      <c r="T122" s="32" t="n">
        <v>-2.54</v>
      </c>
      <c r="U122" s="32" t="n">
        <v>12.44</v>
      </c>
      <c r="V122" s="32" t="n">
        <v>15.37</v>
      </c>
      <c r="W122" s="32" t="n">
        <v>9.460000000000001</v>
      </c>
      <c r="X122" s="31" t="inlineStr">
        <is>
          <t>Cyclical in an Upturn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Headwind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3</t>
        </is>
      </c>
      <c r="BC122" s="31">
        <f>IF(BB122="Stage 2",20,IF(BB122="Stage 1",0,IF(BB122="Stage 3",5,IF(BB122="Stage 4",-5,0))))</f>
        <v/>
      </c>
      <c r="BD122" s="31" t="inlineStr">
        <is>
          <t>Negative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Between 1.5 to 2</t>
        </is>
      </c>
      <c r="BU122" s="31">
        <f>IF(BT122="Above 2",0,IF(BT122="Between 1.5 to 2",5,IF(BT122="Less than 1.5",10,0)))</f>
        <v/>
      </c>
      <c r="BV122" s="31" t="inlineStr">
        <is>
          <t>Less than 50%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IF(B123=0,"",RANK(B123,$B$2:$B$340,0))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3" t="inlineStr">
        <is>
          <t>POLYPLEX</t>
        </is>
      </c>
      <c r="D123" s="33" t="inlineStr">
        <is>
          <t>Polyplex Corporation Limited</t>
        </is>
      </c>
      <c r="E123" s="31" t="inlineStr">
        <is>
          <t>industrials</t>
        </is>
      </c>
      <c r="F123" s="31" t="inlineStr">
        <is>
          <t>packaging</t>
        </is>
      </c>
      <c r="G123" s="31" t="inlineStr">
        <is>
          <t>smallcap</t>
        </is>
      </c>
      <c r="H123" s="32" t="n">
        <v>3382.69</v>
      </c>
      <c r="I123" s="32" t="n">
        <v>1075.35</v>
      </c>
      <c r="J123" s="32" t="n">
        <v>-0.2</v>
      </c>
      <c r="K123" s="32" t="n">
        <v>81511</v>
      </c>
      <c r="L123" s="31" t="n">
        <v>28</v>
      </c>
      <c r="M123" s="31" t="inlineStr">
        <is>
          <t>Underperforming</t>
        </is>
      </c>
      <c r="N123" s="32">
        <f>IF(M123="Underperforming",-5,IF(L123&gt;=95,15,IF(L123&gt;=90,10,IF(L123&gt;=80,5,0))))</f>
        <v/>
      </c>
      <c r="O123" s="32" t="n">
        <v>67.36</v>
      </c>
      <c r="P123" s="32" t="n">
        <v>41.79</v>
      </c>
      <c r="Q123" s="32" t="inlineStr"/>
      <c r="R123" s="31" t="inlineStr">
        <is>
          <t>Earnings / Momentum Support</t>
        </is>
      </c>
      <c r="S123" s="31" t="inlineStr">
        <is>
          <t>Nifty 50</t>
        </is>
      </c>
      <c r="T123" s="32" t="n">
        <v>-2.54</v>
      </c>
      <c r="U123" s="32" t="n">
        <v>-4.42</v>
      </c>
      <c r="V123" s="32" t="n">
        <v>-1.93</v>
      </c>
      <c r="W123" s="32" t="n">
        <v>4.23</v>
      </c>
      <c r="X123" s="31" t="inlineStr">
        <is>
          <t>Cyclical in an Upturn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Headwind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No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3</t>
        </is>
      </c>
      <c r="BC123" s="31">
        <f>IF(BB123="Stage 2",20,IF(BB123="Stage 1",0,IF(BB123="Stage 3",5,IF(BB123="Stage 4",-5,0))))</f>
        <v/>
      </c>
      <c r="BD123" s="31" t="inlineStr">
        <is>
          <t>Negative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IF(B124=0,"",RANK(B124,$B$2:$B$340,0))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INDNIPPON</t>
        </is>
      </c>
      <c r="D124" s="31" t="inlineStr">
        <is>
          <t>India Nippon Electricals Limited</t>
        </is>
      </c>
      <c r="E124" s="31" t="inlineStr">
        <is>
          <t>auto</t>
        </is>
      </c>
      <c r="F124" s="31" t="inlineStr">
        <is>
          <t>auto ancillaries</t>
        </is>
      </c>
      <c r="G124" s="31" t="inlineStr">
        <is>
          <t>smallcap</t>
        </is>
      </c>
      <c r="H124" s="32" t="n">
        <v>2744.88</v>
      </c>
      <c r="I124" s="32" t="n">
        <v>1209.4</v>
      </c>
      <c r="J124" s="32" t="n">
        <v>-0.33</v>
      </c>
      <c r="K124" s="32" t="n">
        <v>33794</v>
      </c>
      <c r="L124" s="31" t="n">
        <v>89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77.8</v>
      </c>
      <c r="P124" s="32" t="n">
        <v>31.88</v>
      </c>
      <c r="Q124" s="32" t="inlineStr"/>
      <c r="R124" s="31" t="inlineStr">
        <is>
          <t>Earnings / Momentum Support</t>
        </is>
      </c>
      <c r="S124" s="31" t="inlineStr">
        <is>
          <t>Nifty Auto</t>
        </is>
      </c>
      <c r="T124" s="32" t="n">
        <v>13.41</v>
      </c>
      <c r="U124" s="32" t="n">
        <v>58.64</v>
      </c>
      <c r="V124" s="32" t="n">
        <v>39.88</v>
      </c>
      <c r="W124" s="32" t="n">
        <v>23.7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Headwind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Above 75</t>
        </is>
      </c>
      <c r="BA124" s="31">
        <f>IF(AZ124="Between 50 to 75",10,IF(AZ124="Above 75",0,0))</f>
        <v/>
      </c>
      <c r="BB124" s="31" t="inlineStr">
        <is>
          <t>Stage 3</t>
        </is>
      </c>
      <c r="BC124" s="31">
        <f>IF(BB124="Stage 2",20,IF(BB124="Stage 1",0,IF(BB124="Stage 3",5,IF(BB124="Stage 4",-5,0))))</f>
        <v/>
      </c>
      <c r="BD124" s="31" t="inlineStr">
        <is>
          <t>Negative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Less than 50%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IF(B125=0,"",RANK(B125,$B$2:$B$340,0))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OBEROIRLTY</t>
        </is>
      </c>
      <c r="D125" s="31" t="inlineStr">
        <is>
          <t>Oberoi Realty Limited</t>
        </is>
      </c>
      <c r="E125" s="31" t="inlineStr">
        <is>
          <t>realty</t>
        </is>
      </c>
      <c r="F125" s="31" t="inlineStr">
        <is>
          <t>construction</t>
        </is>
      </c>
      <c r="G125" s="31" t="inlineStr">
        <is>
          <t>largecap</t>
        </is>
      </c>
      <c r="H125" s="32" t="n">
        <v>68895.35000000001</v>
      </c>
      <c r="I125" s="32" t="n">
        <v>1882.7</v>
      </c>
      <c r="J125" s="32" t="n">
        <v>-0.64</v>
      </c>
      <c r="K125" s="32" t="n">
        <v>307109</v>
      </c>
      <c r="L125" s="31" t="n">
        <v>22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65.18000000000001</v>
      </c>
      <c r="P125" s="32" t="n">
        <v>17.59</v>
      </c>
      <c r="Q125" s="32" t="inlineStr"/>
      <c r="R125" s="31" t="inlineStr">
        <is>
          <t>Earnings / Momentum Support</t>
        </is>
      </c>
      <c r="S125" s="31" t="inlineStr">
        <is>
          <t>Nifty Realty</t>
        </is>
      </c>
      <c r="T125" s="32" t="n">
        <v>-8.119999999999999</v>
      </c>
      <c r="U125" s="32" t="n">
        <v>3.77</v>
      </c>
      <c r="V125" s="32" t="n">
        <v>12.94</v>
      </c>
      <c r="W125" s="32" t="n">
        <v>3.1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Headwind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0 to 20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3</t>
        </is>
      </c>
      <c r="BC125" s="31">
        <f>IF(BB125="Stage 2",20,IF(BB125="Stage 1",0,IF(BB125="Stage 3",5,IF(BB125="Stage 4",-5,0))))</f>
        <v/>
      </c>
      <c r="BD125" s="31" t="inlineStr">
        <is>
          <t>Negative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Less than 1.5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IF(B126=0,"",RANK(B126,$B$2:$B$340,0))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TTKPRESTIG</t>
        </is>
      </c>
      <c r="D126" s="31" t="inlineStr">
        <is>
          <t>Ttk Prestige Limited</t>
        </is>
      </c>
      <c r="E126" s="31" t="inlineStr">
        <is>
          <t>consumer discretionary</t>
        </is>
      </c>
      <c r="F126" s="31" t="inlineStr">
        <is>
          <t>domestic appliances</t>
        </is>
      </c>
      <c r="G126" s="31" t="inlineStr">
        <is>
          <t>midcap</t>
        </is>
      </c>
      <c r="H126" s="32" t="n">
        <v>9209.950000000001</v>
      </c>
      <c r="I126" s="32" t="n">
        <v>665.3</v>
      </c>
      <c r="J126" s="32" t="n">
        <v>-1.07</v>
      </c>
      <c r="K126" s="32" t="n">
        <v>45298</v>
      </c>
      <c r="L126" s="31" t="n">
        <v>56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70.78</v>
      </c>
      <c r="P126" s="32" t="n">
        <v>38.12</v>
      </c>
      <c r="Q126" s="32" t="inlineStr"/>
      <c r="R126" s="31" t="inlineStr">
        <is>
          <t>Earnings / Momentum Support</t>
        </is>
      </c>
      <c r="S126" s="31" t="inlineStr">
        <is>
          <t>Nifty 50</t>
        </is>
      </c>
      <c r="T126" s="32" t="n">
        <v>-2.54</v>
      </c>
      <c r="U126" s="32" t="n">
        <v>6.61</v>
      </c>
      <c r="V126" s="32" t="n">
        <v>9.390000000000001</v>
      </c>
      <c r="W126" s="32" t="n">
        <v>9.869999999999999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Headwind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No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3</t>
        </is>
      </c>
      <c r="BC126" s="31">
        <f>IF(BB126="Stage 2",20,IF(BB126="Stage 1",0,IF(BB126="Stage 3",5,IF(BB126="Stage 4",-5,0))))</f>
        <v/>
      </c>
      <c r="BD126" s="31" t="inlineStr">
        <is>
          <t>Negative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IF(B127=0,"",RANK(B127,$B$2:$B$340,0))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3" t="inlineStr">
        <is>
          <t>ROLEXRINGS</t>
        </is>
      </c>
      <c r="D127" s="33" t="inlineStr">
        <is>
          <t>Rolex Rings Ltd</t>
        </is>
      </c>
      <c r="E127" s="31" t="inlineStr">
        <is>
          <t>auto</t>
        </is>
      </c>
      <c r="F127" s="31" t="inlineStr">
        <is>
          <t>auto ancillaries</t>
        </is>
      </c>
      <c r="G127" s="31" t="inlineStr">
        <is>
          <t>smallcap</t>
        </is>
      </c>
      <c r="H127" s="32" t="n">
        <v>4299.87</v>
      </c>
      <c r="I127" s="32" t="n">
        <v>155.25</v>
      </c>
      <c r="J127" s="32" t="n">
        <v>-1.67</v>
      </c>
      <c r="K127" s="32" t="n">
        <v>885790</v>
      </c>
      <c r="L127" s="31" t="n">
        <v>32</v>
      </c>
      <c r="M127" s="31" t="inlineStr">
        <is>
          <t>Underperforming</t>
        </is>
      </c>
      <c r="N127" s="32">
        <f>IF(M127="Underperforming",-5,IF(L127&gt;=95,15,IF(L127&gt;=90,10,IF(L127&gt;=80,5,0))))</f>
        <v/>
      </c>
      <c r="O127" s="32" t="n">
        <v>62.29</v>
      </c>
      <c r="P127" s="32" t="n">
        <v>36.03</v>
      </c>
      <c r="Q127" s="32" t="inlineStr"/>
      <c r="R127" s="31" t="inlineStr">
        <is>
          <t>Earnings / Momentum Support</t>
        </is>
      </c>
      <c r="S127" s="31" t="inlineStr">
        <is>
          <t>Nifty Auto</t>
        </is>
      </c>
      <c r="T127" s="32" t="n">
        <v>13.41</v>
      </c>
      <c r="U127" s="32" t="n">
        <v>5.86</v>
      </c>
      <c r="V127" s="32" t="n">
        <v>-6.66</v>
      </c>
      <c r="W127" s="32" t="n">
        <v>5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Headwind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3</t>
        </is>
      </c>
      <c r="BC127" s="31">
        <f>IF(BB127="Stage 2",20,IF(BB127="Stage 1",0,IF(BB127="Stage 3",5,IF(BB127="Stage 4",-5,0))))</f>
        <v/>
      </c>
      <c r="BD127" s="31" t="inlineStr">
        <is>
          <t>Negative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IF(B128=0,"",RANK(B128,$B$2:$B$340,0))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HONASA</t>
        </is>
      </c>
      <c r="D128" s="31" t="inlineStr">
        <is>
          <t>Honasa Consumer Ltd</t>
        </is>
      </c>
      <c r="E128" s="31" t="inlineStr">
        <is>
          <t>services</t>
        </is>
      </c>
      <c r="F128" s="31" t="inlineStr">
        <is>
          <t>trading</t>
        </is>
      </c>
      <c r="G128" s="31" t="inlineStr">
        <is>
          <t>midcap</t>
        </is>
      </c>
      <c r="H128" s="32" t="n">
        <v>15223.7</v>
      </c>
      <c r="I128" s="32" t="n">
        <v>457.55</v>
      </c>
      <c r="J128" s="32" t="n">
        <v>-2.01</v>
      </c>
      <c r="K128" s="32" t="n">
        <v>1008664</v>
      </c>
      <c r="L128" s="31" t="n">
        <v>80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80.28</v>
      </c>
      <c r="P128" s="32" t="n">
        <v>53.43</v>
      </c>
      <c r="Q128" s="32" t="inlineStr"/>
      <c r="R128" s="31" t="inlineStr">
        <is>
          <t>Earnings / Momentum Support</t>
        </is>
      </c>
      <c r="S128" s="31" t="inlineStr">
        <is>
          <t>Nifty 50</t>
        </is>
      </c>
      <c r="T128" s="32" t="n">
        <v>-2.54</v>
      </c>
      <c r="U128" s="32" t="n">
        <v>63.01</v>
      </c>
      <c r="V128" s="32" t="n">
        <v>67.26000000000001</v>
      </c>
      <c r="W128" s="32" t="n">
        <v>18.22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Headwind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Above 75</t>
        </is>
      </c>
      <c r="BA128" s="31">
        <f>IF(AZ128="Between 50 to 75",10,IF(AZ128="Above 75",0,0))</f>
        <v/>
      </c>
      <c r="BB128" s="31" t="inlineStr">
        <is>
          <t>Stage 3</t>
        </is>
      </c>
      <c r="BC128" s="31">
        <f>IF(BB128="Stage 2",20,IF(BB128="Stage 1",0,IF(BB128="Stage 3",5,IF(BB128="Stage 4",-5,0))))</f>
        <v/>
      </c>
      <c r="BD128" s="31" t="inlineStr">
        <is>
          <t>Negative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Between 50% to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IF(B129=0,"",RANK(B129,$B$2:$B$340,0))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IKIO</t>
        </is>
      </c>
      <c r="D129" s="31" t="inlineStr">
        <is>
          <t>IKIO Lighting Ltd</t>
        </is>
      </c>
      <c r="E129" s="31" t="inlineStr">
        <is>
          <t>consumer discretionary</t>
        </is>
      </c>
      <c r="F129" s="31" t="inlineStr">
        <is>
          <t>electric equipment</t>
        </is>
      </c>
      <c r="G129" s="31" t="inlineStr">
        <is>
          <t>smallcap</t>
        </is>
      </c>
      <c r="H129" s="32" t="n">
        <v>1695.31</v>
      </c>
      <c r="I129" s="32" t="n">
        <v>214.37</v>
      </c>
      <c r="J129" s="32" t="n">
        <v>-2.28</v>
      </c>
      <c r="K129" s="32" t="n">
        <v>841567</v>
      </c>
      <c r="L129" s="31" t="n">
        <v>70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69.41</v>
      </c>
      <c r="P129" s="32" t="n">
        <v>24.97</v>
      </c>
      <c r="Q129" s="32" t="inlineStr"/>
      <c r="R129" s="31" t="inlineStr">
        <is>
          <t>Earnings / Momentum Support</t>
        </is>
      </c>
      <c r="S129" s="31" t="inlineStr">
        <is>
          <t>Nifty 50</t>
        </is>
      </c>
      <c r="T129" s="32" t="n">
        <v>-2.54</v>
      </c>
      <c r="U129" s="32" t="n">
        <v>4.67</v>
      </c>
      <c r="V129" s="32" t="n">
        <v>7.4</v>
      </c>
      <c r="W129" s="32" t="n">
        <v>13.91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Headwind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3</t>
        </is>
      </c>
      <c r="BC129" s="31">
        <f>IF(BB129="Stage 2",20,IF(BB129="Stage 1",0,IF(BB129="Stage 3",5,IF(BB129="Stage 4",-5,0))))</f>
        <v/>
      </c>
      <c r="BD129" s="31" t="inlineStr">
        <is>
          <t>Negative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Less than 50%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IF(B130=0,"",RANK(B130,$B$2:$B$340,0))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3" t="inlineStr">
        <is>
          <t>MANKIND</t>
        </is>
      </c>
      <c r="D130" s="33" t="inlineStr">
        <is>
          <t>Mankind Pharma Ltd</t>
        </is>
      </c>
      <c r="E130" s="31" t="inlineStr">
        <is>
          <t>healthcare</t>
        </is>
      </c>
      <c r="F130" s="31" t="inlineStr">
        <is>
          <t>pharmaceuticals - indian - bulk drugs &amp; formln</t>
        </is>
      </c>
      <c r="G130" s="31" t="inlineStr">
        <is>
          <t>largecap</t>
        </is>
      </c>
      <c r="H130" s="32" t="n">
        <v>102554.81</v>
      </c>
      <c r="I130" s="32" t="n">
        <v>2565.8</v>
      </c>
      <c r="J130" s="32" t="n">
        <v>3.28</v>
      </c>
      <c r="K130" s="32" t="n">
        <v>587023</v>
      </c>
      <c r="L130" s="31" t="n">
        <v>19</v>
      </c>
      <c r="M130" s="31" t="inlineStr">
        <is>
          <t>Underperforming</t>
        </is>
      </c>
      <c r="N130" s="32">
        <f>IF(M130="Underperforming",-5,IF(L130&gt;=95,15,IF(L130&gt;=90,10,IF(L130&gt;=80,5,0))))</f>
        <v/>
      </c>
      <c r="O130" s="32" t="n">
        <v>59.97</v>
      </c>
      <c r="P130" s="32" t="n">
        <v>28.41</v>
      </c>
      <c r="Q130" s="32" t="inlineStr"/>
      <c r="R130" s="31" t="inlineStr">
        <is>
          <t>Earnings / Momentum Support</t>
        </is>
      </c>
      <c r="S130" s="31" t="inlineStr">
        <is>
          <t>Nifty Pharma</t>
        </is>
      </c>
      <c r="T130" s="32" t="n">
        <v>13.51</v>
      </c>
      <c r="U130" s="32" t="n">
        <v>-6.3</v>
      </c>
      <c r="V130" s="32" t="n">
        <v>-17.45</v>
      </c>
      <c r="W130" s="32" t="n">
        <v>2.55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Yes</t>
        </is>
      </c>
      <c r="AC130" s="31">
        <f>IF(AB130="No",5,0)</f>
        <v/>
      </c>
      <c r="AD130" s="31" t="inlineStr">
        <is>
          <t>Headwind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3</t>
        </is>
      </c>
      <c r="BC130" s="31">
        <f>IF(BB130="Stage 2",20,IF(BB130="Stage 1",0,IF(BB130="Stage 3",5,IF(BB130="Stage 4",-5,0))))</f>
        <v/>
      </c>
      <c r="BD130" s="31" t="inlineStr">
        <is>
          <t>Negative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Between 1.5 to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IF(B131=0,"",RANK(B131,$B$2:$B$340,0))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ZYDUSWELL</t>
        </is>
      </c>
      <c r="D131" s="31" t="inlineStr">
        <is>
          <t>Zydus Wellness Limited</t>
        </is>
      </c>
      <c r="E131" s="31" t="inlineStr">
        <is>
          <t>fmcg</t>
        </is>
      </c>
      <c r="F131" s="31" t="inlineStr">
        <is>
          <t>food - processing - indian</t>
        </is>
      </c>
      <c r="G131" s="31" t="inlineStr">
        <is>
          <t>midcap</t>
        </is>
      </c>
      <c r="H131" s="32" t="n">
        <v>18658.54</v>
      </c>
      <c r="I131" s="32" t="n">
        <v>602.5</v>
      </c>
      <c r="J131" s="32" t="n">
        <v>2.74</v>
      </c>
      <c r="K131" s="32" t="n">
        <v>1117306</v>
      </c>
      <c r="L131" s="31" t="n">
        <v>60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71.59</v>
      </c>
      <c r="P131" s="32" t="n">
        <v>51.6</v>
      </c>
      <c r="Q131" s="32" t="inlineStr"/>
      <c r="R131" s="31" t="inlineStr">
        <is>
          <t>Earnings / Momentum Support</t>
        </is>
      </c>
      <c r="S131" s="31" t="inlineStr">
        <is>
          <t>Nifty FMCG</t>
        </is>
      </c>
      <c r="T131" s="32" t="n">
        <v>-13.73</v>
      </c>
      <c r="U131" s="32" t="n">
        <v>40.31</v>
      </c>
      <c r="V131" s="32" t="n">
        <v>62.64</v>
      </c>
      <c r="W131" s="32" t="n">
        <v>10.88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Headwind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B2C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Annuity, Lower One Time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3</t>
        </is>
      </c>
      <c r="BC131" s="31">
        <f>IF(BB131="Stage 2",20,IF(BB131="Stage 1",0,IF(BB131="Stage 3",5,IF(BB131="Stage 4",-5,0))))</f>
        <v/>
      </c>
      <c r="BD131" s="31" t="inlineStr">
        <is>
          <t>Negative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Less than 12%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Less than 50%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IF(B132=0,"",RANK(B132,$B$2:$B$340,0))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LAURUSLABS</t>
        </is>
      </c>
      <c r="D132" s="31" t="inlineStr">
        <is>
          <t>Laurus Labs Limited</t>
        </is>
      </c>
      <c r="E132" s="31" t="inlineStr">
        <is>
          <t>healthcare</t>
        </is>
      </c>
      <c r="F132" s="31" t="inlineStr">
        <is>
          <t>pharmaceuticals - indian - bulk drugs &amp; formln</t>
        </is>
      </c>
      <c r="G132" s="31" t="inlineStr">
        <is>
          <t>largecap</t>
        </is>
      </c>
      <c r="H132" s="32" t="n">
        <v>82587.25999999999</v>
      </c>
      <c r="I132" s="32" t="n">
        <v>1558.9</v>
      </c>
      <c r="J132" s="32" t="n">
        <v>1.9</v>
      </c>
      <c r="K132" s="32" t="n">
        <v>1235847</v>
      </c>
      <c r="L132" s="31" t="n">
        <v>84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77.38</v>
      </c>
      <c r="P132" s="32" t="n">
        <v>54.57</v>
      </c>
      <c r="Q132" s="32" t="inlineStr"/>
      <c r="R132" s="31" t="inlineStr">
        <is>
          <t>Earnings / Momentum Support</t>
        </is>
      </c>
      <c r="S132" s="31" t="inlineStr">
        <is>
          <t>Nifty Pharma</t>
        </is>
      </c>
      <c r="T132" s="32" t="n">
        <v>13.51</v>
      </c>
      <c r="U132" s="32" t="n">
        <v>85.31999999999999</v>
      </c>
      <c r="V132" s="32" t="n">
        <v>63.26</v>
      </c>
      <c r="W132" s="32" t="n">
        <v>20.74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Yes</t>
        </is>
      </c>
      <c r="AC132" s="31">
        <f>IF(AB132="No",5,0)</f>
        <v/>
      </c>
      <c r="AD132" s="31" t="inlineStr">
        <is>
          <t>Headwind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No</t>
        </is>
      </c>
      <c r="AQ132" s="31">
        <f>IF(AP132="Yes",10,0)</f>
        <v/>
      </c>
      <c r="AR132" s="31" t="inlineStr">
        <is>
          <t>Higher Annuity, Lower One Time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Above 75</t>
        </is>
      </c>
      <c r="BA132" s="31">
        <f>IF(AZ132="Between 50 to 75",10,IF(AZ132="Above 75",0,0))</f>
        <v/>
      </c>
      <c r="BB132" s="31" t="inlineStr">
        <is>
          <t>Stage 3</t>
        </is>
      </c>
      <c r="BC132" s="31">
        <f>IF(BB132="Stage 2",20,IF(BB132="Stage 1",0,IF(BB132="Stage 3",5,IF(BB132="Stage 4",-5,0))))</f>
        <v/>
      </c>
      <c r="BD132" s="31" t="inlineStr">
        <is>
          <t>Negative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Between 12 to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IF(B133=0,"",RANK(B133,$B$2:$B$340,0))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AKUMS</t>
        </is>
      </c>
      <c r="D133" s="31" t="inlineStr">
        <is>
          <t>Akums Drugs &amp; Pharmaceuticals Ltd</t>
        </is>
      </c>
      <c r="E133" s="31" t="inlineStr">
        <is>
          <t>healthcare</t>
        </is>
      </c>
      <c r="F133" s="31" t="inlineStr">
        <is>
          <t>pharmaceuticals - indian - bulk drugs &amp; formln</t>
        </is>
      </c>
      <c r="G133" s="31" t="inlineStr">
        <is>
          <t>midcap</t>
        </is>
      </c>
      <c r="H133" s="32" t="n">
        <v>10465.91</v>
      </c>
      <c r="I133" s="32" t="n">
        <v>676.55</v>
      </c>
      <c r="J133" s="32" t="n">
        <v>1.74</v>
      </c>
      <c r="K133" s="32" t="n">
        <v>187289</v>
      </c>
      <c r="L133" s="31" t="n">
        <v>53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68.67</v>
      </c>
      <c r="P133" s="32" t="n">
        <v>48.5</v>
      </c>
      <c r="Q133" s="32" t="inlineStr"/>
      <c r="R133" s="31" t="inlineStr">
        <is>
          <t>Earnings / Momentum Support</t>
        </is>
      </c>
      <c r="S133" s="31" t="inlineStr">
        <is>
          <t>Nifty Pharma</t>
        </is>
      </c>
      <c r="T133" s="32" t="n">
        <v>13.51</v>
      </c>
      <c r="U133" s="32" t="n">
        <v>20.85</v>
      </c>
      <c r="V133" s="32" t="n">
        <v>6.46</v>
      </c>
      <c r="W133" s="32" t="n">
        <v>9.48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Yes</t>
        </is>
      </c>
      <c r="AC133" s="31">
        <f>IF(AB133="No",5,0)</f>
        <v/>
      </c>
      <c r="AD133" s="31" t="inlineStr">
        <is>
          <t>Headwind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No</t>
        </is>
      </c>
      <c r="AQ133" s="31">
        <f>IF(AP133="Yes",10,0)</f>
        <v/>
      </c>
      <c r="AR133" s="31" t="inlineStr">
        <is>
          <t>Higher Annuity, Lower One Time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3</t>
        </is>
      </c>
      <c r="BC133" s="31">
        <f>IF(BB133="Stage 2",20,IF(BB133="Stage 1",0,IF(BB133="Stage 3",5,IF(BB133="Stage 4",-5,0))))</f>
        <v/>
      </c>
      <c r="BD133" s="31" t="inlineStr">
        <is>
          <t>Negative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Less than 12%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IF(B134=0,"",RANK(B134,$B$2:$B$340,0))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LUPIN</t>
        </is>
      </c>
      <c r="D134" s="31" t="inlineStr">
        <is>
          <t>Lupin Limited</t>
        </is>
      </c>
      <c r="E134" s="31" t="inlineStr">
        <is>
          <t>healthcare</t>
        </is>
      </c>
      <c r="F134" s="31" t="inlineStr">
        <is>
          <t>pharmaceuticals - indian - bulk drugs &amp; formln</t>
        </is>
      </c>
      <c r="G134" s="31" t="inlineStr">
        <is>
          <t>largecap</t>
        </is>
      </c>
      <c r="H134" s="32" t="n">
        <v>111698</v>
      </c>
      <c r="I134" s="32" t="n">
        <v>2478.5</v>
      </c>
      <c r="J134" s="32" t="n">
        <v>1.44</v>
      </c>
      <c r="K134" s="32" t="n">
        <v>688783</v>
      </c>
      <c r="L134" s="31" t="n">
        <v>40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66.54000000000001</v>
      </c>
      <c r="P134" s="32" t="n">
        <v>18.09</v>
      </c>
      <c r="Q134" s="32" t="inlineStr"/>
      <c r="R134" s="31" t="inlineStr">
        <is>
          <t>Earnings / Momentum Support</t>
        </is>
      </c>
      <c r="S134" s="31" t="inlineStr">
        <is>
          <t>Nifty Pharma</t>
        </is>
      </c>
      <c r="T134" s="32" t="n">
        <v>13.51</v>
      </c>
      <c r="U134" s="32" t="n">
        <v>28.16</v>
      </c>
      <c r="V134" s="32" t="n">
        <v>12.9</v>
      </c>
      <c r="W134" s="32" t="n">
        <v>6.34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Yes</t>
        </is>
      </c>
      <c r="AC134" s="31">
        <f>IF(AB134="No",5,0)</f>
        <v/>
      </c>
      <c r="AD134" s="31" t="inlineStr">
        <is>
          <t>Headwind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Annuity, Lower One Time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0 to 20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3</t>
        </is>
      </c>
      <c r="BC134" s="31">
        <f>IF(BB134="Stage 2",20,IF(BB134="Stage 1",0,IF(BB134="Stage 3",5,IF(BB134="Stage 4",-5,0))))</f>
        <v/>
      </c>
      <c r="BD134" s="31" t="inlineStr">
        <is>
          <t>Negative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IF(B135=0,"",RANK(B135,$B$2:$B$340,0))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MANORAMA</t>
        </is>
      </c>
      <c r="D135" s="31" t="inlineStr">
        <is>
          <t>Manorama Industries Ltd</t>
        </is>
      </c>
      <c r="E135" s="31" t="inlineStr">
        <is>
          <t>fmcg</t>
        </is>
      </c>
      <c r="F135" s="31" t="inlineStr">
        <is>
          <t>food - processing - indian</t>
        </is>
      </c>
      <c r="G135" s="31" t="inlineStr">
        <is>
          <t>midcap</t>
        </is>
      </c>
      <c r="H135" s="32" t="n">
        <v>9502.610000000001</v>
      </c>
      <c r="I135" s="32" t="n">
        <v>1601.1</v>
      </c>
      <c r="J135" s="32" t="n">
        <v>0.6</v>
      </c>
      <c r="K135" s="32" t="n">
        <v>144254</v>
      </c>
      <c r="L135" s="31" t="n">
        <v>24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60.15</v>
      </c>
      <c r="P135" s="32" t="n">
        <v>12.16</v>
      </c>
      <c r="Q135" s="32" t="inlineStr"/>
      <c r="R135" s="31" t="inlineStr">
        <is>
          <t>Earnings / Momentum Support</t>
        </is>
      </c>
      <c r="S135" s="31" t="inlineStr">
        <is>
          <t>Nifty FMCG</t>
        </is>
      </c>
      <c r="T135" s="32" t="n">
        <v>-13.73</v>
      </c>
      <c r="U135" s="32" t="n">
        <v>2.05</v>
      </c>
      <c r="V135" s="32" t="n">
        <v>18.29</v>
      </c>
      <c r="W135" s="32" t="n">
        <v>3.39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Headwind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B2C</t>
        </is>
      </c>
      <c r="AO135" s="31">
        <f>IF(AN135="B2C",10,IF(AN135="B2B",5,0))</f>
        <v/>
      </c>
      <c r="AP135" s="31" t="inlineStr">
        <is>
          <t>No</t>
        </is>
      </c>
      <c r="AQ135" s="31">
        <f>IF(AP135="Yes",10,0)</f>
        <v/>
      </c>
      <c r="AR135" s="31" t="inlineStr">
        <is>
          <t>Higher Annuity, Lower One Time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0 to 20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3</t>
        </is>
      </c>
      <c r="BC135" s="31">
        <f>IF(BB135="Stage 2",20,IF(BB135="Stage 1",0,IF(BB135="Stage 3",5,IF(BB135="Stage 4",-5,0))))</f>
        <v/>
      </c>
      <c r="BD135" s="31" t="inlineStr">
        <is>
          <t>Negative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Less than 1.5</t>
        </is>
      </c>
      <c r="BU135" s="31">
        <f>IF(BT135="Above 2",0,IF(BT135="Between 1.5 to 2",5,IF(BT135="Less than 1.5",10,0)))</f>
        <v/>
      </c>
      <c r="BV135" s="31" t="inlineStr">
        <is>
          <t>Between 50% to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IF(B136=0,"",RANK(B136,$B$2:$B$340,0))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3" t="inlineStr">
        <is>
          <t>ALIVUS</t>
        </is>
      </c>
      <c r="D136" s="33" t="inlineStr">
        <is>
          <t>Alivus Life Sciences Ltd</t>
        </is>
      </c>
      <c r="E136" s="31" t="inlineStr">
        <is>
          <t>healthcare</t>
        </is>
      </c>
      <c r="F136" s="31" t="inlineStr">
        <is>
          <t>pharmaceuticals - indian - bulk drugs &amp; formln</t>
        </is>
      </c>
      <c r="G136" s="31" t="inlineStr">
        <is>
          <t>midcap</t>
        </is>
      </c>
      <c r="H136" s="32" t="n">
        <v>13909.71</v>
      </c>
      <c r="I136" s="32" t="n">
        <v>1140</v>
      </c>
      <c r="J136" s="32" t="n">
        <v>0.59</v>
      </c>
      <c r="K136" s="32" t="n">
        <v>40180</v>
      </c>
      <c r="L136" s="31" t="n">
        <v>23</v>
      </c>
      <c r="M136" s="31" t="inlineStr">
        <is>
          <t>Underperforming</t>
        </is>
      </c>
      <c r="N136" s="32">
        <f>IF(M136="Underperforming",-5,IF(L136&gt;=95,15,IF(L136&gt;=90,10,IF(L136&gt;=80,5,0))))</f>
        <v/>
      </c>
      <c r="O136" s="32" t="n">
        <v>64.5</v>
      </c>
      <c r="P136" s="32" t="n">
        <v>35.33</v>
      </c>
      <c r="Q136" s="32" t="inlineStr"/>
      <c r="R136" s="31" t="inlineStr">
        <is>
          <t>Earnings / Momentum Support</t>
        </is>
      </c>
      <c r="S136" s="31" t="inlineStr">
        <is>
          <t>Nifty Pharma</t>
        </is>
      </c>
      <c r="T136" s="32" t="n">
        <v>13.51</v>
      </c>
      <c r="U136" s="32" t="n">
        <v>7.66</v>
      </c>
      <c r="V136" s="32" t="n">
        <v>-5.16</v>
      </c>
      <c r="W136" s="32" t="n">
        <v>3.28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Yes</t>
        </is>
      </c>
      <c r="AC136" s="31">
        <f>IF(AB136="No",5,0)</f>
        <v/>
      </c>
      <c r="AD136" s="31" t="inlineStr">
        <is>
          <t>Headwind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Annuity, Lower One Time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3</t>
        </is>
      </c>
      <c r="BC136" s="31">
        <f>IF(BB136="Stage 2",20,IF(BB136="Stage 1",0,IF(BB136="Stage 3",5,IF(BB136="Stage 4",-5,0))))</f>
        <v/>
      </c>
      <c r="BD136" s="31" t="inlineStr">
        <is>
          <t>Negative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Between 12 to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Between 1.5 to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IF(B137=0,"",RANK(B137,$B$2:$B$340,0))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RATEGAIN</t>
        </is>
      </c>
      <c r="D137" s="31" t="inlineStr">
        <is>
          <t>Rategain Travel Technologies Ltd</t>
        </is>
      </c>
      <c r="E137" s="31" t="inlineStr">
        <is>
          <t>i.t</t>
        </is>
      </c>
      <c r="F137" s="31" t="inlineStr">
        <is>
          <t>computers - software - medium / small</t>
        </is>
      </c>
      <c r="G137" s="31" t="inlineStr">
        <is>
          <t>midcap</t>
        </is>
      </c>
      <c r="H137" s="32" t="n">
        <v>11233.99</v>
      </c>
      <c r="I137" s="32" t="n">
        <v>949</v>
      </c>
      <c r="J137" s="32" t="n">
        <v>-0.18</v>
      </c>
      <c r="K137" s="32" t="n">
        <v>248900</v>
      </c>
      <c r="L137" s="31" t="n">
        <v>92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78.77</v>
      </c>
      <c r="P137" s="32" t="n">
        <v>37.94</v>
      </c>
      <c r="Q137" s="32" t="inlineStr"/>
      <c r="R137" s="31" t="inlineStr">
        <is>
          <t>Earnings / Momentum Support</t>
        </is>
      </c>
      <c r="S137" s="31" t="inlineStr">
        <is>
          <t>Nifty IT</t>
        </is>
      </c>
      <c r="T137" s="32" t="n">
        <v>-21.31</v>
      </c>
      <c r="U137" s="32" t="n">
        <v>104.1</v>
      </c>
      <c r="V137" s="32" t="n">
        <v>159.38</v>
      </c>
      <c r="W137" s="32" t="n">
        <v>31.09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Headwind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Annuity, Lower One Time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Above 75</t>
        </is>
      </c>
      <c r="BA137" s="31">
        <f>IF(AZ137="Between 50 to 75",10,IF(AZ137="Above 75",0,0))</f>
        <v/>
      </c>
      <c r="BB137" s="31" t="inlineStr">
        <is>
          <t>Stage 3</t>
        </is>
      </c>
      <c r="BC137" s="31">
        <f>IF(BB137="Stage 2",20,IF(BB137="Stage 1",0,IF(BB137="Stage 3",5,IF(BB137="Stage 4",-5,0))))</f>
        <v/>
      </c>
      <c r="BD137" s="31" t="inlineStr">
        <is>
          <t>Negative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Between 50% to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IF(B138=0,"",RANK(B138,$B$2:$B$340,0))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DALMIASUG</t>
        </is>
      </c>
      <c r="D138" s="31" t="inlineStr">
        <is>
          <t>Dalmia Bharat Sugar And Industries Limited</t>
        </is>
      </c>
      <c r="E138" s="31" t="inlineStr">
        <is>
          <t>fmcg</t>
        </is>
      </c>
      <c r="F138" s="31" t="inlineStr">
        <is>
          <t>sugar</t>
        </is>
      </c>
      <c r="G138" s="31" t="inlineStr">
        <is>
          <t>smallcap</t>
        </is>
      </c>
      <c r="H138" s="32" t="n">
        <v>2973.71</v>
      </c>
      <c r="I138" s="32" t="n">
        <v>362.6</v>
      </c>
      <c r="J138" s="32" t="n">
        <v>-1.31</v>
      </c>
      <c r="K138" s="32" t="n">
        <v>73189</v>
      </c>
      <c r="L138" s="31" t="n">
        <v>9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58.19</v>
      </c>
      <c r="P138" s="32" t="n">
        <v>24.04</v>
      </c>
      <c r="Q138" s="32" t="inlineStr"/>
      <c r="R138" s="31" t="inlineStr">
        <is>
          <t>Earnings / Momentum Support</t>
        </is>
      </c>
      <c r="S138" s="31" t="inlineStr">
        <is>
          <t>Nifty FMCG</t>
        </is>
      </c>
      <c r="T138" s="32" t="n">
        <v>-13.73</v>
      </c>
      <c r="U138" s="32" t="n">
        <v>-5.55</v>
      </c>
      <c r="V138" s="32" t="n">
        <v>9.48</v>
      </c>
      <c r="W138" s="32" t="n">
        <v>-0.23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Headwind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B2C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Annuity, Lower One Time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3</t>
        </is>
      </c>
      <c r="BC138" s="31">
        <f>IF(BB138="Stage 2",20,IF(BB138="Stage 1",0,IF(BB138="Stage 3",5,IF(BB138="Stage 4",-5,0))))</f>
        <v/>
      </c>
      <c r="BD138" s="31" t="inlineStr">
        <is>
          <t>Negative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Less than 12%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Between 50% to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IF(B139=0,"",RANK(B139,$B$2:$B$340,0))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SENORES</t>
        </is>
      </c>
      <c r="D139" s="31" t="inlineStr">
        <is>
          <t>Senores Pharmaceuticals Ltd</t>
        </is>
      </c>
      <c r="E139" s="31" t="inlineStr">
        <is>
          <t>healthcare</t>
        </is>
      </c>
      <c r="F139" s="31" t="inlineStr">
        <is>
          <t>pharmaceuticals - indian - formulations</t>
        </is>
      </c>
      <c r="G139" s="31" t="inlineStr">
        <is>
          <t>midcap</t>
        </is>
      </c>
      <c r="H139" s="32" t="n">
        <v>6470.99</v>
      </c>
      <c r="I139" s="32" t="n">
        <v>1385</v>
      </c>
      <c r="J139" s="32" t="n">
        <v>-1.43</v>
      </c>
      <c r="K139" s="32" t="n">
        <v>169049</v>
      </c>
      <c r="L139" s="31" t="n">
        <v>92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76.81999999999999</v>
      </c>
      <c r="P139" s="32" t="n">
        <v>63.07</v>
      </c>
      <c r="Q139" s="32" t="inlineStr"/>
      <c r="R139" s="31" t="inlineStr">
        <is>
          <t>Earnings / Momentum Support</t>
        </is>
      </c>
      <c r="S139" s="31" t="inlineStr">
        <is>
          <t>Nifty Pharma</t>
        </is>
      </c>
      <c r="T139" s="32" t="n">
        <v>13.51</v>
      </c>
      <c r="U139" s="32" t="n">
        <v>125.05</v>
      </c>
      <c r="V139" s="32" t="n">
        <v>98.26000000000001</v>
      </c>
      <c r="W139" s="32" t="n">
        <v>30.51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Yes</t>
        </is>
      </c>
      <c r="AC139" s="31">
        <f>IF(AB139="No",5,0)</f>
        <v/>
      </c>
      <c r="AD139" s="31" t="inlineStr">
        <is>
          <t>Headwind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Annuity, Lower One Time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Above 75</t>
        </is>
      </c>
      <c r="BA139" s="31">
        <f>IF(AZ139="Between 50 to 75",10,IF(AZ139="Above 75",0,0))</f>
        <v/>
      </c>
      <c r="BB139" s="31" t="inlineStr">
        <is>
          <t>Stage 3</t>
        </is>
      </c>
      <c r="BC139" s="31">
        <f>IF(BB139="Stage 2",20,IF(BB139="Stage 1",0,IF(BB139="Stage 3",5,IF(BB139="Stage 4",-5,0))))</f>
        <v/>
      </c>
      <c r="BD139" s="31" t="inlineStr">
        <is>
          <t>Negative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Less than 50%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IF(B140=0,"",RANK(B140,$B$2:$B$340,0))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AURUM</t>
        </is>
      </c>
      <c r="D140" s="31" t="inlineStr">
        <is>
          <t>Aurum Proptech Ltd</t>
        </is>
      </c>
      <c r="E140" s="31" t="inlineStr">
        <is>
          <t>i.t</t>
        </is>
      </c>
      <c r="F140" s="31" t="inlineStr">
        <is>
          <t>computers - software - medium / small</t>
        </is>
      </c>
      <c r="G140" s="31" t="inlineStr">
        <is>
          <t>smallcap</t>
        </is>
      </c>
      <c r="H140" s="32" t="n">
        <v>1834.29</v>
      </c>
      <c r="I140" s="32" t="n">
        <v>234.8</v>
      </c>
      <c r="J140" s="32" t="n">
        <v>-1.87</v>
      </c>
      <c r="K140" s="32" t="n">
        <v>2184292</v>
      </c>
      <c r="L140" s="31" t="n">
        <v>63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73.41</v>
      </c>
      <c r="P140" s="32" t="n">
        <v>38.84</v>
      </c>
      <c r="Q140" s="32" t="inlineStr"/>
      <c r="R140" s="31" t="inlineStr">
        <is>
          <t>Earnings / Momentum Support</t>
        </is>
      </c>
      <c r="S140" s="31" t="inlineStr">
        <is>
          <t>Nifty IT</t>
        </is>
      </c>
      <c r="T140" s="32" t="n">
        <v>-21.31</v>
      </c>
      <c r="U140" s="32" t="n">
        <v>20.01</v>
      </c>
      <c r="V140" s="32" t="n">
        <v>52.51</v>
      </c>
      <c r="W140" s="32" t="n">
        <v>11.74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Headwind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Annuity, Lower One Time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3</t>
        </is>
      </c>
      <c r="BC140" s="31">
        <f>IF(BB140="Stage 2",20,IF(BB140="Stage 1",0,IF(BB140="Stage 3",5,IF(BB140="Stage 4",-5,0))))</f>
        <v/>
      </c>
      <c r="BD140" s="31" t="inlineStr">
        <is>
          <t>Negative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Between 50% to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IF(B141=0,"",RANK(B141,$B$2:$B$340,0))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TATVA</t>
        </is>
      </c>
      <c r="D141" s="31" t="inlineStr">
        <is>
          <t>Tatva Chintan Pharma Chem Ltd</t>
        </is>
      </c>
      <c r="E141" s="31" t="inlineStr">
        <is>
          <t>chemicals</t>
        </is>
      </c>
      <c r="F141" s="31" t="inlineStr">
        <is>
          <t>chemicals</t>
        </is>
      </c>
      <c r="G141" s="31" t="inlineStr">
        <is>
          <t>smallcap</t>
        </is>
      </c>
      <c r="H141" s="32" t="n">
        <v>3340.62</v>
      </c>
      <c r="I141" s="32" t="n">
        <v>1713.7</v>
      </c>
      <c r="J141" s="32" t="n">
        <v>20</v>
      </c>
      <c r="K141" s="32" t="n">
        <v>3293812</v>
      </c>
      <c r="L141" s="31" t="n">
        <v>58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63.33</v>
      </c>
      <c r="P141" s="32" t="n">
        <v>18.79</v>
      </c>
      <c r="Q141" s="32" t="inlineStr"/>
      <c r="R141" s="31" t="inlineStr">
        <is>
          <t>Volume Spike / Accumulation</t>
        </is>
      </c>
      <c r="S141" s="31" t="inlineStr">
        <is>
          <t>Nifty 50</t>
        </is>
      </c>
      <c r="T141" s="32" t="n">
        <v>-2.54</v>
      </c>
      <c r="U141" s="32" t="n">
        <v>42.9</v>
      </c>
      <c r="V141" s="32" t="n">
        <v>46.63</v>
      </c>
      <c r="W141" s="32" t="n">
        <v>10.58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Headwind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0 to 20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3</t>
        </is>
      </c>
      <c r="BC141" s="31">
        <f>IF(BB141="Stage 2",20,IF(BB141="Stage 1",0,IF(BB141="Stage 3",5,IF(BB141="Stage 4",-5,0))))</f>
        <v/>
      </c>
      <c r="BD141" s="31" t="inlineStr">
        <is>
          <t>Negative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IF(B142=0,"",RANK(B142,$B$2:$B$340,0))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3" t="inlineStr">
        <is>
          <t>KROSS</t>
        </is>
      </c>
      <c r="D142" s="33" t="inlineStr">
        <is>
          <t>Kross Ltd</t>
        </is>
      </c>
      <c r="E142" s="31" t="inlineStr">
        <is>
          <t>auto</t>
        </is>
      </c>
      <c r="F142" s="31" t="inlineStr">
        <is>
          <t>auto ancillaries</t>
        </is>
      </c>
      <c r="G142" s="31" t="inlineStr">
        <is>
          <t>smallcap</t>
        </is>
      </c>
      <c r="H142" s="32" t="n">
        <v>1240.19</v>
      </c>
      <c r="I142" s="32" t="n">
        <v>208.32</v>
      </c>
      <c r="J142" s="32" t="n">
        <v>8.359999999999999</v>
      </c>
      <c r="K142" s="32" t="n">
        <v>25351624</v>
      </c>
      <c r="L142" s="31" t="n">
        <v>9</v>
      </c>
      <c r="M142" s="31" t="inlineStr">
        <is>
          <t>Underperforming</t>
        </is>
      </c>
      <c r="N142" s="32">
        <f>IF(M142="Underperforming",-5,IF(L142&gt;=95,15,IF(L142&gt;=90,10,IF(L142&gt;=80,5,0))))</f>
        <v/>
      </c>
      <c r="O142" s="32" t="n">
        <v>51.75</v>
      </c>
      <c r="P142" s="32" t="n">
        <v>19.05</v>
      </c>
      <c r="Q142" s="32" t="inlineStr"/>
      <c r="R142" s="31" t="inlineStr">
        <is>
          <t>Volume Spike / Accumulation</t>
        </is>
      </c>
      <c r="S142" s="31" t="inlineStr">
        <is>
          <t>Nifty Auto</t>
        </is>
      </c>
      <c r="T142" s="32" t="n">
        <v>13.41</v>
      </c>
      <c r="U142" s="32" t="n">
        <v>-0.02</v>
      </c>
      <c r="V142" s="32" t="n">
        <v>-11.84</v>
      </c>
      <c r="W142" s="32" t="n">
        <v>-0.08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Headwind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0 to 20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3</t>
        </is>
      </c>
      <c r="BC142" s="31">
        <f>IF(BB142="Stage 2",20,IF(BB142="Stage 1",0,IF(BB142="Stage 3",5,IF(BB142="Stage 4",-5,0))))</f>
        <v/>
      </c>
      <c r="BD142" s="31" t="inlineStr">
        <is>
          <t>Negative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No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Less than 50%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IF(B143=0,"",RANK(B143,$B$2:$B$340,0))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3" t="inlineStr">
        <is>
          <t>EXICOM</t>
        </is>
      </c>
      <c r="D143" s="33" t="inlineStr">
        <is>
          <t>Exicom Tele-Systems Ltd</t>
        </is>
      </c>
      <c r="E143" s="31" t="inlineStr">
        <is>
          <t>industrials</t>
        </is>
      </c>
      <c r="F143" s="31" t="inlineStr">
        <is>
          <t>electric equipment</t>
        </is>
      </c>
      <c r="G143" s="31" t="inlineStr">
        <is>
          <t>smallcap</t>
        </is>
      </c>
      <c r="H143" s="32" t="n">
        <v>2246.28</v>
      </c>
      <c r="I143" s="32" t="n">
        <v>168.22</v>
      </c>
      <c r="J143" s="32" t="n">
        <v>4.15</v>
      </c>
      <c r="K143" s="32" t="n">
        <v>2002015</v>
      </c>
      <c r="L143" s="31" t="n">
        <v>56</v>
      </c>
      <c r="M143" s="31" t="inlineStr">
        <is>
          <t>Underperforming</t>
        </is>
      </c>
      <c r="N143" s="32">
        <f>IF(M143="Underperforming",-5,IF(L143&gt;=95,15,IF(L143&gt;=90,10,IF(L143&gt;=80,5,0))))</f>
        <v/>
      </c>
      <c r="O143" s="32" t="n">
        <v>59.02</v>
      </c>
      <c r="P143" s="32" t="n">
        <v>34.59</v>
      </c>
      <c r="Q143" s="32" t="inlineStr"/>
      <c r="R143" s="31" t="inlineStr">
        <is>
          <t>Earnings / Momentum Support</t>
        </is>
      </c>
      <c r="S143" s="31" t="inlineStr">
        <is>
          <t>Nifty 50</t>
        </is>
      </c>
      <c r="T143" s="32" t="n">
        <v>-2.54</v>
      </c>
      <c r="U143" s="32" t="n">
        <v>-8.06</v>
      </c>
      <c r="V143" s="32" t="n">
        <v>-5.66</v>
      </c>
      <c r="W143" s="32" t="n">
        <v>9.880000000000001</v>
      </c>
      <c r="X143" s="31" t="inlineStr">
        <is>
          <t>Cyclical in an Upturn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Headwind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3</t>
        </is>
      </c>
      <c r="BC143" s="31">
        <f>IF(BB143="Stage 2",20,IF(BB143="Stage 1",0,IF(BB143="Stage 3",5,IF(BB143="Stage 4",-5,0))))</f>
        <v/>
      </c>
      <c r="BD143" s="31" t="inlineStr">
        <is>
          <t>Negative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Between 0.7 to 1.2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IF(B144=0,"",RANK(B144,$B$2:$B$340,0))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3" t="inlineStr">
        <is>
          <t>SSWL</t>
        </is>
      </c>
      <c r="D144" s="33" t="inlineStr">
        <is>
          <t>Steel Strips Wheels Limited</t>
        </is>
      </c>
      <c r="E144" s="31" t="inlineStr">
        <is>
          <t>auto</t>
        </is>
      </c>
      <c r="F144" s="31" t="inlineStr">
        <is>
          <t>auto ancillaries</t>
        </is>
      </c>
      <c r="G144" s="31" t="inlineStr">
        <is>
          <t>smallcap</t>
        </is>
      </c>
      <c r="H144" s="32" t="n">
        <v>4184.3</v>
      </c>
      <c r="I144" s="32" t="n">
        <v>276.33</v>
      </c>
      <c r="J144" s="32" t="n">
        <v>3.8</v>
      </c>
      <c r="K144" s="32" t="n">
        <v>1802687</v>
      </c>
      <c r="L144" s="31" t="n">
        <v>37</v>
      </c>
      <c r="M144" s="31" t="inlineStr">
        <is>
          <t>Underperforming</t>
        </is>
      </c>
      <c r="N144" s="32">
        <f>IF(M144="Underperforming",-5,IF(L144&gt;=95,15,IF(L144&gt;=90,10,IF(L144&gt;=80,5,0))))</f>
        <v/>
      </c>
      <c r="O144" s="32" t="n">
        <v>67.91</v>
      </c>
      <c r="P144" s="32" t="n">
        <v>16.49</v>
      </c>
      <c r="Q144" s="32" t="inlineStr"/>
      <c r="R144" s="31" t="inlineStr">
        <is>
          <t>Earnings / Momentum Support</t>
        </is>
      </c>
      <c r="S144" s="31" t="inlineStr">
        <is>
          <t>Nifty Auto</t>
        </is>
      </c>
      <c r="T144" s="32" t="n">
        <v>13.41</v>
      </c>
      <c r="U144" s="32" t="n">
        <v>4.51</v>
      </c>
      <c r="V144" s="32" t="n">
        <v>-7.85</v>
      </c>
      <c r="W144" s="32" t="n">
        <v>5.81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Headwind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0 to 20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3</t>
        </is>
      </c>
      <c r="BC144" s="31">
        <f>IF(BB144="Stage 2",20,IF(BB144="Stage 1",0,IF(BB144="Stage 3",5,IF(BB144="Stage 4",-5,0))))</f>
        <v/>
      </c>
      <c r="BD144" s="31" t="inlineStr">
        <is>
          <t>Negative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IF(B145=0,"",RANK(B145,$B$2:$B$340,0))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CRAFTSMAN</t>
        </is>
      </c>
      <c r="D145" s="31" t="inlineStr">
        <is>
          <t>Craftsman Automation Ltd</t>
        </is>
      </c>
      <c r="E145" s="31" t="inlineStr">
        <is>
          <t>auto</t>
        </is>
      </c>
      <c r="F145" s="31" t="inlineStr">
        <is>
          <t>auto ancillaries</t>
        </is>
      </c>
      <c r="G145" s="31" t="inlineStr">
        <is>
          <t>largecap</t>
        </is>
      </c>
      <c r="H145" s="32" t="n">
        <v>23813.61</v>
      </c>
      <c r="I145" s="32" t="n">
        <v>9393.5</v>
      </c>
      <c r="J145" s="32" t="n">
        <v>3.17</v>
      </c>
      <c r="K145" s="32" t="n">
        <v>125360</v>
      </c>
      <c r="L145" s="31" t="n">
        <v>62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60.19</v>
      </c>
      <c r="P145" s="32" t="n">
        <v>55.12</v>
      </c>
      <c r="Q145" s="32" t="inlineStr"/>
      <c r="R145" s="31" t="inlineStr">
        <is>
          <t>Earnings / Momentum Support</t>
        </is>
      </c>
      <c r="S145" s="31" t="inlineStr">
        <is>
          <t>Nifty Auto</t>
        </is>
      </c>
      <c r="T145" s="32" t="n">
        <v>13.41</v>
      </c>
      <c r="U145" s="32" t="n">
        <v>42.38</v>
      </c>
      <c r="V145" s="32" t="n">
        <v>25.54</v>
      </c>
      <c r="W145" s="32" t="n">
        <v>11.32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Headwind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Above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3</t>
        </is>
      </c>
      <c r="BC145" s="31">
        <f>IF(BB145="Stage 2",20,IF(BB145="Stage 1",0,IF(BB145="Stage 3",5,IF(BB145="Stage 4",-5,0))))</f>
        <v/>
      </c>
      <c r="BD145" s="31" t="inlineStr">
        <is>
          <t>Negative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Less than 1.5</t>
        </is>
      </c>
      <c r="BU145" s="31">
        <f>IF(BT145="Above 2",0,IF(BT145="Between 1.5 to 2",5,IF(BT145="Less than 1.5",10,0)))</f>
        <v/>
      </c>
      <c r="BV145" s="31" t="inlineStr">
        <is>
          <t>Less than 50% and Borrowings are increasing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Between 0.7 to 1.2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IF(B146=0,"",RANK(B146,$B$2:$B$340,0))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3" t="inlineStr">
        <is>
          <t>USHAMART</t>
        </is>
      </c>
      <c r="D146" s="33" t="inlineStr">
        <is>
          <t>Usha Martin Limited</t>
        </is>
      </c>
      <c r="E146" s="31" t="inlineStr">
        <is>
          <t>metals &amp; mining</t>
        </is>
      </c>
      <c r="F146" s="31" t="inlineStr">
        <is>
          <t>steel - medium / small</t>
        </is>
      </c>
      <c r="G146" s="31" t="inlineStr">
        <is>
          <t>midcap</t>
        </is>
      </c>
      <c r="H146" s="32" t="n">
        <v>15083.21</v>
      </c>
      <c r="I146" s="32" t="n">
        <v>508.4</v>
      </c>
      <c r="J146" s="32" t="n">
        <v>2.72</v>
      </c>
      <c r="K146" s="32" t="n">
        <v>404778</v>
      </c>
      <c r="L146" s="31" t="n">
        <v>48</v>
      </c>
      <c r="M146" s="31" t="inlineStr">
        <is>
          <t>Underperforming</t>
        </is>
      </c>
      <c r="N146" s="32">
        <f>IF(M146="Underperforming",-5,IF(L146&gt;=95,15,IF(L146&gt;=90,10,IF(L146&gt;=80,5,0))))</f>
        <v/>
      </c>
      <c r="O146" s="32" t="n">
        <v>59.64</v>
      </c>
      <c r="P146" s="32" t="n">
        <v>45.51</v>
      </c>
      <c r="Q146" s="32" t="inlineStr"/>
      <c r="R146" s="31" t="inlineStr">
        <is>
          <t>Earnings / Momentum Support</t>
        </is>
      </c>
      <c r="S146" s="31" t="inlineStr">
        <is>
          <t>Nifty Metal</t>
        </is>
      </c>
      <c r="T146" s="32" t="n">
        <v>31.49</v>
      </c>
      <c r="U146" s="32" t="n">
        <v>30.81</v>
      </c>
      <c r="V146" s="32" t="n">
        <v>-0.52</v>
      </c>
      <c r="W146" s="32" t="n">
        <v>7.97</v>
      </c>
      <c r="X146" s="31" t="inlineStr">
        <is>
          <t>Cyclical in an Upturn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Headwind</t>
        </is>
      </c>
      <c r="AE146" s="31">
        <f>IF(AD146="Tailwind",10,0)</f>
        <v/>
      </c>
      <c r="AF146" s="31" t="inlineStr">
        <is>
          <t>Cyclical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Volatile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3</t>
        </is>
      </c>
      <c r="BC146" s="31">
        <f>IF(BB146="Stage 2",20,IF(BB146="Stage 1",0,IF(BB146="Stage 3",5,IF(BB146="Stage 4",-5,0))))</f>
        <v/>
      </c>
      <c r="BD146" s="31" t="inlineStr">
        <is>
          <t>Negative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Less than 1.5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IF(B147=0,"",RANK(B147,$B$2:$B$340,0))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BODALCHEM</t>
        </is>
      </c>
      <c r="D147" s="31" t="inlineStr">
        <is>
          <t>Bodal Chemicals Limited</t>
        </is>
      </c>
      <c r="E147" s="31" t="inlineStr">
        <is>
          <t>chemicals</t>
        </is>
      </c>
      <c r="F147" s="31" t="inlineStr">
        <is>
          <t>dyes and pigments</t>
        </is>
      </c>
      <c r="G147" s="31" t="inlineStr">
        <is>
          <t>smallcap</t>
        </is>
      </c>
      <c r="H147" s="32" t="n">
        <v>808.0599999999999</v>
      </c>
      <c r="I147" s="32" t="n">
        <v>65.83</v>
      </c>
      <c r="J147" s="32" t="n">
        <v>2.6</v>
      </c>
      <c r="K147" s="32" t="n">
        <v>177655</v>
      </c>
      <c r="L147" s="31" t="n">
        <v>2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51.6</v>
      </c>
      <c r="P147" s="32" t="n">
        <v>38.62</v>
      </c>
      <c r="Q147" s="32" t="inlineStr"/>
      <c r="R147" s="31" t="inlineStr">
        <is>
          <t>Earnings / Momentum Support</t>
        </is>
      </c>
      <c r="S147" s="31" t="inlineStr">
        <is>
          <t>Nifty IT</t>
        </is>
      </c>
      <c r="T147" s="32" t="n">
        <v>-21.31</v>
      </c>
      <c r="U147" s="32" t="n">
        <v>-16.27</v>
      </c>
      <c r="V147" s="32" t="n">
        <v>6.4</v>
      </c>
      <c r="W147" s="32" t="n">
        <v>-2.66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Headwind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3</t>
        </is>
      </c>
      <c r="BC147" s="31">
        <f>IF(BB147="Stage 2",20,IF(BB147="Stage 1",0,IF(BB147="Stage 3",5,IF(BB147="Stage 4",-5,0))))</f>
        <v/>
      </c>
      <c r="BD147" s="31" t="inlineStr">
        <is>
          <t>Negative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Between 0.7 to 1.2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IF(B148=0,"",RANK(B148,$B$2:$B$340,0))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NELCO</t>
        </is>
      </c>
      <c r="D148" s="31" t="inlineStr">
        <is>
          <t>Nelco Limited</t>
        </is>
      </c>
      <c r="E148" s="31" t="inlineStr">
        <is>
          <t>telecom</t>
        </is>
      </c>
      <c r="F148" s="31" t="inlineStr">
        <is>
          <t>telecommunications - service provider</t>
        </is>
      </c>
      <c r="G148" s="31" t="inlineStr">
        <is>
          <t>smallcap</t>
        </is>
      </c>
      <c r="H148" s="32" t="n">
        <v>1978.7</v>
      </c>
      <c r="I148" s="32" t="n">
        <v>889.6</v>
      </c>
      <c r="J148" s="32" t="n">
        <v>2.59</v>
      </c>
      <c r="K148" s="32" t="n">
        <v>296455</v>
      </c>
      <c r="L148" s="31" t="n">
        <v>42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60</v>
      </c>
      <c r="P148" s="32" t="n">
        <v>22.23</v>
      </c>
      <c r="Q148" s="32" t="inlineStr"/>
      <c r="R148" s="31" t="inlineStr">
        <is>
          <t>Earnings / Momentum Support</t>
        </is>
      </c>
      <c r="S148" s="31" t="inlineStr">
        <is>
          <t>Nifty 50</t>
        </is>
      </c>
      <c r="T148" s="32" t="n">
        <v>-2.54</v>
      </c>
      <c r="U148" s="32" t="n">
        <v>0.64</v>
      </c>
      <c r="V148" s="32" t="n">
        <v>3.26</v>
      </c>
      <c r="W148" s="32" t="n">
        <v>6.67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Oligopoly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Yes</t>
        </is>
      </c>
      <c r="AC148" s="31">
        <f>IF(AB148="No",5,0)</f>
        <v/>
      </c>
      <c r="AD148" s="31" t="inlineStr">
        <is>
          <t>Headwind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3</t>
        </is>
      </c>
      <c r="BC148" s="31">
        <f>IF(BB148="Stage 2",20,IF(BB148="Stage 1",0,IF(BB148="Stage 3",5,IF(BB148="Stage 4",-5,0))))</f>
        <v/>
      </c>
      <c r="BD148" s="31" t="inlineStr">
        <is>
          <t>Negative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IF(B149=0,"",RANK(B149,$B$2:$B$340,0))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3" t="inlineStr">
        <is>
          <t>KKCL</t>
        </is>
      </c>
      <c r="D149" s="33" t="inlineStr">
        <is>
          <t>Kewal Kiran Clothing Limited</t>
        </is>
      </c>
      <c r="E149" s="31" t="inlineStr">
        <is>
          <t>consumer discretionary</t>
        </is>
      </c>
      <c r="F149" s="31" t="inlineStr">
        <is>
          <t>textiles - products</t>
        </is>
      </c>
      <c r="G149" s="31" t="inlineStr">
        <is>
          <t>smallcap</t>
        </is>
      </c>
      <c r="H149" s="32" t="n">
        <v>3049.21</v>
      </c>
      <c r="I149" s="32" t="n">
        <v>505.9</v>
      </c>
      <c r="J149" s="32" t="n">
        <v>2.24</v>
      </c>
      <c r="K149" s="32" t="n">
        <v>36296</v>
      </c>
      <c r="L149" s="31" t="n">
        <v>5</v>
      </c>
      <c r="M149" s="31" t="inlineStr">
        <is>
          <t>Underperforming</t>
        </is>
      </c>
      <c r="N149" s="32">
        <f>IF(M149="Underperforming",-5,IF(L149&gt;=95,15,IF(L149&gt;=90,10,IF(L149&gt;=80,5,0))))</f>
        <v/>
      </c>
      <c r="O149" s="32" t="n">
        <v>54.2</v>
      </c>
      <c r="P149" s="32" t="n">
        <v>13.09</v>
      </c>
      <c r="Q149" s="32" t="inlineStr"/>
      <c r="R149" s="31" t="inlineStr">
        <is>
          <t>Earnings / Momentum Support</t>
        </is>
      </c>
      <c r="S149" s="31" t="inlineStr">
        <is>
          <t>Nifty 50</t>
        </is>
      </c>
      <c r="T149" s="32" t="n">
        <v>-2.54</v>
      </c>
      <c r="U149" s="32" t="n">
        <v>-10.18</v>
      </c>
      <c r="V149" s="32" t="n">
        <v>-7.84</v>
      </c>
      <c r="W149" s="32" t="n">
        <v>-1.37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Headwind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0 to 20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3</t>
        </is>
      </c>
      <c r="BC149" s="31">
        <f>IF(BB149="Stage 2",20,IF(BB149="Stage 1",0,IF(BB149="Stage 3",5,IF(BB149="Stage 4",-5,0))))</f>
        <v/>
      </c>
      <c r="BD149" s="31" t="inlineStr">
        <is>
          <t>Negative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Less than 1.5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IF(B150=0,"",RANK(B150,$B$2:$B$340,0))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WELCORP</t>
        </is>
      </c>
      <c r="D150" s="31" t="inlineStr">
        <is>
          <t>Welspun Corp Limited</t>
        </is>
      </c>
      <c r="E150" s="31" t="inlineStr">
        <is>
          <t>industrials</t>
        </is>
      </c>
      <c r="F150" s="31" t="inlineStr">
        <is>
          <t>steel - large</t>
        </is>
      </c>
      <c r="G150" s="31" t="inlineStr">
        <is>
          <t>largecap</t>
        </is>
      </c>
      <c r="H150" s="32" t="n">
        <v>41718.49</v>
      </c>
      <c r="I150" s="32" t="n">
        <v>1615.8</v>
      </c>
      <c r="J150" s="32" t="n">
        <v>2.17</v>
      </c>
      <c r="K150" s="32" t="n">
        <v>946334</v>
      </c>
      <c r="L150" s="31" t="n">
        <v>89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82.56</v>
      </c>
      <c r="P150" s="32" t="n">
        <v>68.5</v>
      </c>
      <c r="Q150" s="32" t="inlineStr"/>
      <c r="R150" s="31" t="inlineStr">
        <is>
          <t>Earnings / Momentum Support</t>
        </is>
      </c>
      <c r="S150" s="31" t="inlineStr">
        <is>
          <t>Nifty Metal</t>
        </is>
      </c>
      <c r="T150" s="32" t="n">
        <v>31.49</v>
      </c>
      <c r="U150" s="32" t="n">
        <v>71.81999999999999</v>
      </c>
      <c r="V150" s="32" t="n">
        <v>30.67</v>
      </c>
      <c r="W150" s="32" t="n">
        <v>23.89</v>
      </c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Headwind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Above 75</t>
        </is>
      </c>
      <c r="BA150" s="31">
        <f>IF(AZ150="Between 50 to 75",10,IF(AZ150="Above 75",0,0))</f>
        <v/>
      </c>
      <c r="BB150" s="31" t="inlineStr">
        <is>
          <t>Stage 3</t>
        </is>
      </c>
      <c r="BC150" s="31">
        <f>IF(BB150="Stage 2",20,IF(BB150="Stage 1",0,IF(BB150="Stage 3",5,IF(BB150="Stage 4",-5,0))))</f>
        <v/>
      </c>
      <c r="BD150" s="31" t="inlineStr">
        <is>
          <t>Negative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Less than 12%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IF(B151=0,"",RANK(B151,$B$2:$B$340,0))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YASHO</t>
        </is>
      </c>
      <c r="D151" s="31" t="inlineStr">
        <is>
          <t>Yasho Industries Ltd</t>
        </is>
      </c>
      <c r="E151" s="31" t="inlineStr">
        <is>
          <t>chemicals</t>
        </is>
      </c>
      <c r="F151" s="31" t="inlineStr">
        <is>
          <t>chemicals</t>
        </is>
      </c>
      <c r="G151" s="31" t="inlineStr">
        <is>
          <t>smallcap</t>
        </is>
      </c>
      <c r="H151" s="32" t="n">
        <v>3628.55</v>
      </c>
      <c r="I151" s="32" t="n">
        <v>3071.5</v>
      </c>
      <c r="J151" s="32" t="n">
        <v>2.02</v>
      </c>
      <c r="K151" s="32" t="n">
        <v>27546</v>
      </c>
      <c r="L151" s="31" t="n">
        <v>95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83.25</v>
      </c>
      <c r="P151" s="32" t="n">
        <v>49.55</v>
      </c>
      <c r="Q151" s="32" t="inlineStr"/>
      <c r="R151" s="31" t="inlineStr">
        <is>
          <t>Earnings / Momentum Support</t>
        </is>
      </c>
      <c r="S151" s="31" t="inlineStr">
        <is>
          <t>Nifty 50</t>
        </is>
      </c>
      <c r="T151" s="32" t="n">
        <v>-2.54</v>
      </c>
      <c r="U151" s="32" t="n">
        <v>51.3</v>
      </c>
      <c r="V151" s="32" t="n">
        <v>55.25</v>
      </c>
      <c r="W151" s="32" t="n">
        <v>34.53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Headwind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Above 40</t>
        </is>
      </c>
      <c r="AY151" s="31">
        <f>IF(AX151="Above 40",20,IF(AX151="20 to 40",10,IF(AX151="0 to 20",-5,0)))</f>
        <v/>
      </c>
      <c r="AZ151" s="31" t="inlineStr">
        <is>
          <t>Above 75</t>
        </is>
      </c>
      <c r="BA151" s="31">
        <f>IF(AZ151="Between 50 to 75",10,IF(AZ151="Above 75",0,0))</f>
        <v/>
      </c>
      <c r="BB151" s="31" t="inlineStr">
        <is>
          <t>Stage 3</t>
        </is>
      </c>
      <c r="BC151" s="31">
        <f>IF(BB151="Stage 2",20,IF(BB151="Stage 1",0,IF(BB151="Stage 3",5,IF(BB151="Stage 4",-5,0))))</f>
        <v/>
      </c>
      <c r="BD151" s="31" t="inlineStr">
        <is>
          <t>Negative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More than 1.2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IF(B152=0,"",RANK(B152,$B$2:$B$340,0))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SHRIPISTON</t>
        </is>
      </c>
      <c r="D152" s="31" t="inlineStr">
        <is>
          <t>Shriram Pistons &amp; Rings Limited</t>
        </is>
      </c>
      <c r="E152" s="31" t="inlineStr">
        <is>
          <t>auto</t>
        </is>
      </c>
      <c r="F152" s="31" t="inlineStr">
        <is>
          <t>auto ancillaries</t>
        </is>
      </c>
      <c r="G152" s="31" t="inlineStr">
        <is>
          <t>midcap</t>
        </is>
      </c>
      <c r="H152" s="32" t="n">
        <v>18368.34</v>
      </c>
      <c r="I152" s="32" t="n">
        <v>4233.8</v>
      </c>
      <c r="J152" s="32" t="n">
        <v>1.53</v>
      </c>
      <c r="K152" s="32" t="n">
        <v>173976</v>
      </c>
      <c r="L152" s="31" t="n">
        <v>71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69.38</v>
      </c>
      <c r="P152" s="32" t="n">
        <v>37.4</v>
      </c>
      <c r="Q152" s="32" t="inlineStr"/>
      <c r="R152" s="31" t="inlineStr">
        <is>
          <t>Earnings / Momentum Support</t>
        </is>
      </c>
      <c r="S152" s="31" t="inlineStr">
        <is>
          <t>Nifty Auto</t>
        </is>
      </c>
      <c r="T152" s="32" t="n">
        <v>13.41</v>
      </c>
      <c r="U152" s="32" t="n">
        <v>71.08</v>
      </c>
      <c r="V152" s="32" t="n">
        <v>50.84</v>
      </c>
      <c r="W152" s="32" t="n">
        <v>14.07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Headwind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3</t>
        </is>
      </c>
      <c r="BC152" s="31">
        <f>IF(BB152="Stage 2",20,IF(BB152="Stage 1",0,IF(BB152="Stage 3",5,IF(BB152="Stage 4",-5,0))))</f>
        <v/>
      </c>
      <c r="BD152" s="31" t="inlineStr">
        <is>
          <t>Negative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Less than 12%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IF(B153=0,"",RANK(B153,$B$2:$B$340,0))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MAHLOG</t>
        </is>
      </c>
      <c r="D153" s="31" t="inlineStr">
        <is>
          <t>Mahindra Logistics Ltd</t>
        </is>
      </c>
      <c r="E153" s="31" t="inlineStr">
        <is>
          <t>transportation</t>
        </is>
      </c>
      <c r="F153" s="31" t="inlineStr">
        <is>
          <t>miscellaneous</t>
        </is>
      </c>
      <c r="G153" s="31" t="inlineStr">
        <is>
          <t>smallcap</t>
        </is>
      </c>
      <c r="H153" s="32" t="n">
        <v>3843.38</v>
      </c>
      <c r="I153" s="32" t="n">
        <v>393.05</v>
      </c>
      <c r="J153" s="32" t="n">
        <v>1.47</v>
      </c>
      <c r="K153" s="32" t="n">
        <v>3167177</v>
      </c>
      <c r="L153" s="31" t="n">
        <v>12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55.95</v>
      </c>
      <c r="P153" s="32" t="n">
        <v>18.65</v>
      </c>
      <c r="Q153" s="32" t="inlineStr"/>
      <c r="R153" s="31" t="inlineStr">
        <is>
          <t>Volume Spike / Accumulation</t>
        </is>
      </c>
      <c r="S153" s="31" t="inlineStr">
        <is>
          <t>Nifty 50</t>
        </is>
      </c>
      <c r="T153" s="32" t="n">
        <v>-2.54</v>
      </c>
      <c r="U153" s="32" t="n">
        <v>3.65</v>
      </c>
      <c r="V153" s="32" t="n">
        <v>6.35</v>
      </c>
      <c r="W153" s="32" t="n">
        <v>0.66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Headwind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0 to 20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3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IF(B154=0,"",RANK(B154,$B$2:$B$340,0))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SHREEPUSHK</t>
        </is>
      </c>
      <c r="D154" s="31" t="inlineStr">
        <is>
          <t>Shree Pushkar Chemicals &amp; Fertilisers Limited</t>
        </is>
      </c>
      <c r="E154" s="31" t="inlineStr">
        <is>
          <t>chemicals</t>
        </is>
      </c>
      <c r="F154" s="31" t="inlineStr">
        <is>
          <t>dyes and pigments</t>
        </is>
      </c>
      <c r="G154" s="31" t="inlineStr">
        <is>
          <t>smallcap</t>
        </is>
      </c>
      <c r="H154" s="32" t="n">
        <v>1319.05</v>
      </c>
      <c r="I154" s="32" t="n">
        <v>411.75</v>
      </c>
      <c r="J154" s="32" t="n">
        <v>0.9399999999999999</v>
      </c>
      <c r="K154" s="32" t="n">
        <v>32374</v>
      </c>
      <c r="L154" s="31" t="n">
        <v>41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58.28</v>
      </c>
      <c r="P154" s="32" t="n">
        <v>35.19</v>
      </c>
      <c r="Q154" s="32" t="inlineStr"/>
      <c r="R154" s="31" t="inlineStr">
        <is>
          <t>Earnings / Momentum Support</t>
        </is>
      </c>
      <c r="S154" s="31" t="inlineStr">
        <is>
          <t>Nifty 50</t>
        </is>
      </c>
      <c r="T154" s="32" t="n">
        <v>-2.54</v>
      </c>
      <c r="U154" s="32" t="n">
        <v>12.72</v>
      </c>
      <c r="V154" s="32" t="n">
        <v>15.65</v>
      </c>
      <c r="W154" s="32" t="n">
        <v>6.63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Headwind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3</t>
        </is>
      </c>
      <c r="BC154" s="31">
        <f>IF(BB154="Stage 2",20,IF(BB154="Stage 1",0,IF(BB154="Stage 3",5,IF(BB154="Stage 4",-5,0))))</f>
        <v/>
      </c>
      <c r="BD154" s="31" t="inlineStr">
        <is>
          <t>Negative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Less than 12%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IF(B155=0,"",RANK(B155,$B$2:$B$340,0))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KDDL</t>
        </is>
      </c>
      <c r="D155" s="31" t="inlineStr">
        <is>
          <t>Kddl Limited</t>
        </is>
      </c>
      <c r="E155" s="31" t="inlineStr">
        <is>
          <t>consumer discretionary</t>
        </is>
      </c>
      <c r="F155" s="31" t="inlineStr">
        <is>
          <t>miscellaneous</t>
        </is>
      </c>
      <c r="G155" s="31" t="inlineStr">
        <is>
          <t>smallcap</t>
        </is>
      </c>
      <c r="H155" s="32" t="n">
        <v>3919.53</v>
      </c>
      <c r="I155" s="32" t="n">
        <v>3213</v>
      </c>
      <c r="J155" s="32" t="n">
        <v>0.82</v>
      </c>
      <c r="K155" s="32" t="n">
        <v>9948</v>
      </c>
      <c r="L155" s="31" t="n">
        <v>59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66.26000000000001</v>
      </c>
      <c r="P155" s="32" t="n">
        <v>30.7</v>
      </c>
      <c r="Q155" s="32" t="inlineStr"/>
      <c r="R155" s="31" t="inlineStr">
        <is>
          <t>Earnings / Momentum Support</t>
        </is>
      </c>
      <c r="S155" s="31" t="inlineStr">
        <is>
          <t>Nifty 50</t>
        </is>
      </c>
      <c r="T155" s="32" t="n">
        <v>-2.54</v>
      </c>
      <c r="U155" s="32" t="n">
        <v>17.36</v>
      </c>
      <c r="V155" s="32" t="n">
        <v>20.42</v>
      </c>
      <c r="W155" s="32" t="n">
        <v>10.71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Headwind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No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3</t>
        </is>
      </c>
      <c r="BC155" s="31">
        <f>IF(BB155="Stage 2",20,IF(BB155="Stage 1",0,IF(BB155="Stage 3",5,IF(BB155="Stage 4",-5,0))))</f>
        <v/>
      </c>
      <c r="BD155" s="31" t="inlineStr">
        <is>
          <t>Negative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Between 1.5 to 2</t>
        </is>
      </c>
      <c r="BU155" s="31">
        <f>IF(BT155="Above 2",0,IF(BT155="Between 1.5 to 2",5,IF(BT155="Less than 1.5",10,0)))</f>
        <v/>
      </c>
      <c r="BV155" s="31" t="inlineStr">
        <is>
          <t>Less than 50%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IF(B156=0,"",RANK(B156,$B$2:$B$340,0))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NAHARSPING</t>
        </is>
      </c>
      <c r="D156" s="31" t="inlineStr">
        <is>
          <t>Nahar Spinning Mills Limited</t>
        </is>
      </c>
      <c r="E156" s="31" t="inlineStr">
        <is>
          <t>textiles</t>
        </is>
      </c>
      <c r="F156" s="31" t="inlineStr">
        <is>
          <t>textiles - cotton/blended</t>
        </is>
      </c>
      <c r="G156" s="31" t="inlineStr">
        <is>
          <t>smallcap</t>
        </is>
      </c>
      <c r="H156" s="32" t="n">
        <v>998.11</v>
      </c>
      <c r="I156" s="32" t="n">
        <v>279</v>
      </c>
      <c r="J156" s="32" t="n">
        <v>0.8100000000000001</v>
      </c>
      <c r="K156" s="32" t="n">
        <v>11110</v>
      </c>
      <c r="L156" s="31" t="n">
        <v>33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62.58</v>
      </c>
      <c r="P156" s="32" t="n">
        <v>21.85</v>
      </c>
      <c r="Q156" s="32" t="inlineStr"/>
      <c r="R156" s="31" t="inlineStr">
        <is>
          <t>Earnings / Momentum Support</t>
        </is>
      </c>
      <c r="S156" s="31" t="inlineStr">
        <is>
          <t>Nifty 50</t>
        </is>
      </c>
      <c r="T156" s="32" t="n">
        <v>-2.54</v>
      </c>
      <c r="U156" s="32" t="n">
        <v>4.65</v>
      </c>
      <c r="V156" s="32" t="n">
        <v>7.38</v>
      </c>
      <c r="W156" s="32" t="n">
        <v>5.23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Headwind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3</t>
        </is>
      </c>
      <c r="BC156" s="31">
        <f>IF(BB156="Stage 2",20,IF(BB156="Stage 1",0,IF(BB156="Stage 3",5,IF(BB156="Stage 4",-5,0))))</f>
        <v/>
      </c>
      <c r="BD156" s="31" t="inlineStr">
        <is>
          <t>Negative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Between 12 to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IF(B157=0,"",RANK(B157,$B$2:$B$340,0))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3" t="inlineStr">
        <is>
          <t>PDSL</t>
        </is>
      </c>
      <c r="D157" s="33" t="inlineStr">
        <is>
          <t>PDS Ltd</t>
        </is>
      </c>
      <c r="E157" s="31" t="inlineStr">
        <is>
          <t>textiles</t>
        </is>
      </c>
      <c r="F157" s="31" t="inlineStr">
        <is>
          <t>trading</t>
        </is>
      </c>
      <c r="G157" s="31" t="inlineStr">
        <is>
          <t>midcap</t>
        </is>
      </c>
      <c r="H157" s="32" t="n">
        <v>5118.08</v>
      </c>
      <c r="I157" s="32" t="n">
        <v>364.35</v>
      </c>
      <c r="J157" s="32" t="n">
        <v>0.6899999999999999</v>
      </c>
      <c r="K157" s="32" t="n">
        <v>162787</v>
      </c>
      <c r="L157" s="31" t="n">
        <v>26</v>
      </c>
      <c r="M157" s="31" t="inlineStr">
        <is>
          <t>Underperforming</t>
        </is>
      </c>
      <c r="N157" s="32">
        <f>IF(M157="Underperforming",-5,IF(L157&gt;=95,15,IF(L157&gt;=90,10,IF(L157&gt;=80,5,0))))</f>
        <v/>
      </c>
      <c r="O157" s="32" t="n">
        <v>59.89</v>
      </c>
      <c r="P157" s="32" t="n">
        <v>23.44</v>
      </c>
      <c r="Q157" s="32" t="inlineStr"/>
      <c r="R157" s="31" t="inlineStr">
        <is>
          <t>Earnings / Momentum Support</t>
        </is>
      </c>
      <c r="S157" s="31" t="inlineStr">
        <is>
          <t>Nifty 50</t>
        </is>
      </c>
      <c r="T157" s="32" t="n">
        <v>-2.54</v>
      </c>
      <c r="U157" s="32" t="n">
        <v>-6.3</v>
      </c>
      <c r="V157" s="32" t="n">
        <v>-3.85</v>
      </c>
      <c r="W157" s="32" t="n">
        <v>3.86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Headwind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3</t>
        </is>
      </c>
      <c r="BC157" s="31">
        <f>IF(BB157="Stage 2",20,IF(BB157="Stage 1",0,IF(BB157="Stage 3",5,IF(BB157="Stage 4",-5,0))))</f>
        <v/>
      </c>
      <c r="BD157" s="31" t="inlineStr">
        <is>
          <t>Negative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IF(B158=0,"",RANK(B158,$B$2:$B$340,0))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3" t="inlineStr">
        <is>
          <t>JKPAPER</t>
        </is>
      </c>
      <c r="D158" s="33" t="inlineStr">
        <is>
          <t>Jk Paper Limited</t>
        </is>
      </c>
      <c r="E158" s="31" t="inlineStr">
        <is>
          <t>building materials</t>
        </is>
      </c>
      <c r="F158" s="31" t="inlineStr">
        <is>
          <t>paper</t>
        </is>
      </c>
      <c r="G158" s="31" t="inlineStr">
        <is>
          <t>midcap</t>
        </is>
      </c>
      <c r="H158" s="32" t="n">
        <v>6700.64</v>
      </c>
      <c r="I158" s="32" t="n">
        <v>371.95</v>
      </c>
      <c r="J158" s="32" t="n">
        <v>0.65</v>
      </c>
      <c r="K158" s="32" t="n">
        <v>441951</v>
      </c>
      <c r="L158" s="31" t="n">
        <v>7</v>
      </c>
      <c r="M158" s="31" t="inlineStr">
        <is>
          <t>Underperforming</t>
        </is>
      </c>
      <c r="N158" s="32">
        <f>IF(M158="Underperforming",-5,IF(L158&gt;=95,15,IF(L158&gt;=90,10,IF(L158&gt;=80,5,0))))</f>
        <v/>
      </c>
      <c r="O158" s="32" t="n">
        <v>54.55</v>
      </c>
      <c r="P158" s="32" t="n">
        <v>19.47</v>
      </c>
      <c r="Q158" s="32" t="inlineStr"/>
      <c r="R158" s="31" t="inlineStr">
        <is>
          <t>Earnings / Momentum Support</t>
        </is>
      </c>
      <c r="S158" s="31" t="inlineStr">
        <is>
          <t>Nifty Infra</t>
        </is>
      </c>
      <c r="T158" s="32" t="n">
        <v>1.74</v>
      </c>
      <c r="U158" s="32" t="n">
        <v>-4.04</v>
      </c>
      <c r="V158" s="32" t="n">
        <v>-5.68</v>
      </c>
      <c r="W158" s="32" t="n">
        <v>-0.71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Headwind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0 to 20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3</t>
        </is>
      </c>
      <c r="BC158" s="31">
        <f>IF(BB158="Stage 2",20,IF(BB158="Stage 1",0,IF(BB158="Stage 3",5,IF(BB158="Stage 4",-5,0))))</f>
        <v/>
      </c>
      <c r="BD158" s="31" t="inlineStr">
        <is>
          <t>Negative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IF(B159=0,"",RANK(B159,$B$2:$B$340,0))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3" t="inlineStr">
        <is>
          <t>ARE&amp;M</t>
        </is>
      </c>
      <c r="D159" s="33" t="inlineStr">
        <is>
          <t>Amara Raja Energy &amp; Mobility Ltd</t>
        </is>
      </c>
      <c r="E159" s="31" t="inlineStr">
        <is>
          <t>auto</t>
        </is>
      </c>
      <c r="F159" s="31" t="inlineStr">
        <is>
          <t>auto ancillaries</t>
        </is>
      </c>
      <c r="G159" s="31" t="inlineStr">
        <is>
          <t>midcap</t>
        </is>
      </c>
      <c r="H159" s="32" t="n">
        <v>16607.72</v>
      </c>
      <c r="I159" s="32" t="n">
        <v>911.3</v>
      </c>
      <c r="J159" s="32" t="n">
        <v>0.43</v>
      </c>
      <c r="K159" s="32" t="n">
        <v>1212551</v>
      </c>
      <c r="L159" s="31" t="n">
        <v>20</v>
      </c>
      <c r="M159" s="31" t="inlineStr">
        <is>
          <t>Underperforming</t>
        </is>
      </c>
      <c r="N159" s="32">
        <f>IF(M159="Underperforming",-5,IF(L159&gt;=95,15,IF(L159&gt;=90,10,IF(L159&gt;=80,5,0))))</f>
        <v/>
      </c>
      <c r="O159" s="32" t="n">
        <v>56.89</v>
      </c>
      <c r="P159" s="32" t="n">
        <v>12.16</v>
      </c>
      <c r="Q159" s="32" t="inlineStr"/>
      <c r="R159" s="31" t="inlineStr">
        <is>
          <t>Earnings / Momentum Support</t>
        </is>
      </c>
      <c r="S159" s="31" t="inlineStr">
        <is>
          <t>Nifty Auto</t>
        </is>
      </c>
      <c r="T159" s="32" t="n">
        <v>13.41</v>
      </c>
      <c r="U159" s="32" t="n">
        <v>-6.04</v>
      </c>
      <c r="V159" s="32" t="n">
        <v>-17.15</v>
      </c>
      <c r="W159" s="32" t="n">
        <v>2.59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Headwind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0 to 20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3</t>
        </is>
      </c>
      <c r="BC159" s="31">
        <f>IF(BB159="Stage 2",20,IF(BB159="Stage 1",0,IF(BB159="Stage 3",5,IF(BB159="Stage 4",-5,0))))</f>
        <v/>
      </c>
      <c r="BD159" s="31" t="inlineStr">
        <is>
          <t>Negative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Less than 1.5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IF(B160=0,"",RANK(B160,$B$2:$B$340,0))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ADANIPORTS</t>
        </is>
      </c>
      <c r="D160" s="31" t="inlineStr">
        <is>
          <t>Adani Ports And Special Economic Zone Limited</t>
        </is>
      </c>
      <c r="E160" s="31" t="inlineStr">
        <is>
          <t>transportation</t>
        </is>
      </c>
      <c r="F160" s="31" t="inlineStr">
        <is>
          <t>miscellaneous</t>
        </is>
      </c>
      <c r="G160" s="31" t="inlineStr">
        <is>
          <t>largecap</t>
        </is>
      </c>
      <c r="H160" s="32" t="n">
        <v>423329.44</v>
      </c>
      <c r="I160" s="32" t="n">
        <v>1844</v>
      </c>
      <c r="J160" s="32" t="n">
        <v>0.36</v>
      </c>
      <c r="K160" s="32" t="n">
        <v>754950</v>
      </c>
      <c r="L160" s="31" t="n">
        <v>51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67.05</v>
      </c>
      <c r="P160" s="32" t="n">
        <v>34.24</v>
      </c>
      <c r="Q160" s="32" t="inlineStr"/>
      <c r="R160" s="31" t="inlineStr">
        <is>
          <t>Earnings / Momentum Support</t>
        </is>
      </c>
      <c r="S160" s="31" t="inlineStr">
        <is>
          <t>Nifty 50</t>
        </is>
      </c>
      <c r="T160" s="32" t="n">
        <v>-2.54</v>
      </c>
      <c r="U160" s="32" t="n">
        <v>27.86</v>
      </c>
      <c r="V160" s="32" t="n">
        <v>31.19</v>
      </c>
      <c r="W160" s="32" t="n">
        <v>8.77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Headwind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3</t>
        </is>
      </c>
      <c r="BC160" s="31">
        <f>IF(BB160="Stage 2",20,IF(BB160="Stage 1",0,IF(BB160="Stage 3",5,IF(BB160="Stage 4",-5,0))))</f>
        <v/>
      </c>
      <c r="BD160" s="31" t="inlineStr">
        <is>
          <t>Negative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Less than 12%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IF(B161=0,"",RANK(B161,$B$2:$B$340,0))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EXIDEIND</t>
        </is>
      </c>
      <c r="D161" s="31" t="inlineStr">
        <is>
          <t>Exide Industries Limited</t>
        </is>
      </c>
      <c r="E161" s="31" t="inlineStr">
        <is>
          <t>auto</t>
        </is>
      </c>
      <c r="F161" s="31" t="inlineStr">
        <is>
          <t>auto ancillaries</t>
        </is>
      </c>
      <c r="G161" s="31" t="inlineStr">
        <is>
          <t>largecap</t>
        </is>
      </c>
      <c r="H161" s="32" t="n">
        <v>36992</v>
      </c>
      <c r="I161" s="32" t="n">
        <v>436.65</v>
      </c>
      <c r="J161" s="32" t="n">
        <v>0.33</v>
      </c>
      <c r="K161" s="32" t="n">
        <v>4985198</v>
      </c>
      <c r="L161" s="31" t="n">
        <v>57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70.28</v>
      </c>
      <c r="P161" s="32" t="n">
        <v>34.18</v>
      </c>
      <c r="Q161" s="32" t="inlineStr"/>
      <c r="R161" s="31" t="inlineStr">
        <is>
          <t>Earnings / Momentum Support</t>
        </is>
      </c>
      <c r="S161" s="31" t="inlineStr">
        <is>
          <t>Nifty Auto</t>
        </is>
      </c>
      <c r="T161" s="32" t="n">
        <v>13.41</v>
      </c>
      <c r="U161" s="32" t="n">
        <v>13.86</v>
      </c>
      <c r="V161" s="32" t="n">
        <v>0.39</v>
      </c>
      <c r="W161" s="32" t="n">
        <v>10.23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Headwind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3</t>
        </is>
      </c>
      <c r="BC161" s="31">
        <f>IF(BB161="Stage 2",20,IF(BB161="Stage 1",0,IF(BB161="Stage 3",5,IF(BB161="Stage 4",-5,0))))</f>
        <v/>
      </c>
      <c r="BD161" s="31" t="inlineStr">
        <is>
          <t>Negative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Between 12 to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IF(B162=0,"",RANK(B162,$B$2:$B$340,0))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AARTIIND</t>
        </is>
      </c>
      <c r="D162" s="31" t="inlineStr">
        <is>
          <t>Aarti Industries Limited</t>
        </is>
      </c>
      <c r="E162" s="31" t="inlineStr">
        <is>
          <t>chemicals</t>
        </is>
      </c>
      <c r="F162" s="31" t="inlineStr">
        <is>
          <t>chemicals</t>
        </is>
      </c>
      <c r="G162" s="31" t="inlineStr">
        <is>
          <t>midcap</t>
        </is>
      </c>
      <c r="H162" s="32" t="n">
        <v>17910.35</v>
      </c>
      <c r="I162" s="32" t="n">
        <v>495.4</v>
      </c>
      <c r="J162" s="32" t="n">
        <v>0.29</v>
      </c>
      <c r="K162" s="32" t="n">
        <v>713949</v>
      </c>
      <c r="L162" s="31" t="n">
        <v>34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60.4</v>
      </c>
      <c r="P162" s="32" t="n">
        <v>25.49</v>
      </c>
      <c r="Q162" s="32" t="inlineStr"/>
      <c r="R162" s="31" t="inlineStr">
        <is>
          <t>Earnings / Momentum Support</t>
        </is>
      </c>
      <c r="S162" s="31" t="inlineStr">
        <is>
          <t>Nifty 50</t>
        </is>
      </c>
      <c r="T162" s="32" t="n">
        <v>-2.54</v>
      </c>
      <c r="U162" s="32" t="n">
        <v>10.88</v>
      </c>
      <c r="V162" s="32" t="n">
        <v>13.77</v>
      </c>
      <c r="W162" s="32" t="n">
        <v>5.43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Headwind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3</t>
        </is>
      </c>
      <c r="BC162" s="31">
        <f>IF(BB162="Stage 2",20,IF(BB162="Stage 1",0,IF(BB162="Stage 3",5,IF(BB162="Stage 4",-5,0))))</f>
        <v/>
      </c>
      <c r="BD162" s="31" t="inlineStr">
        <is>
          <t>Negative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Less than 1.5</t>
        </is>
      </c>
      <c r="BU162" s="31">
        <f>IF(BT162="Above 2",0,IF(BT162="Between 1.5 to 2",5,IF(BT162="Less than 1.5",10,0)))</f>
        <v/>
      </c>
      <c r="BV162" s="31" t="inlineStr">
        <is>
          <t>Between 50% to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Between 0.7 to 1.2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IF(B163=0,"",RANK(B163,$B$2:$B$340,0))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ABB</t>
        </is>
      </c>
      <c r="D163" s="31" t="inlineStr">
        <is>
          <t>Abb India Limited</t>
        </is>
      </c>
      <c r="E163" s="31" t="inlineStr">
        <is>
          <t>industrials</t>
        </is>
      </c>
      <c r="F163" s="31" t="inlineStr">
        <is>
          <t>electric equipment</t>
        </is>
      </c>
      <c r="G163" s="31" t="inlineStr">
        <is>
          <t>largecap</t>
        </is>
      </c>
      <c r="H163" s="32" t="n">
        <v>159058.43</v>
      </c>
      <c r="I163" s="32" t="n">
        <v>7517</v>
      </c>
      <c r="J163" s="32" t="n">
        <v>0.15</v>
      </c>
      <c r="K163" s="32" t="n">
        <v>272955</v>
      </c>
      <c r="L163" s="31" t="n">
        <v>52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63.27</v>
      </c>
      <c r="P163" s="32" t="n">
        <v>35.61</v>
      </c>
      <c r="Q163" s="32" t="inlineStr"/>
      <c r="R163" s="31" t="inlineStr">
        <is>
          <t>Earnings / Momentum Support</t>
        </is>
      </c>
      <c r="S163" s="31" t="inlineStr">
        <is>
          <t>Nifty 500</t>
        </is>
      </c>
      <c r="T163" s="32" t="n">
        <v>0.26</v>
      </c>
      <c r="U163" s="32" t="n">
        <v>33.73</v>
      </c>
      <c r="V163" s="32" t="n">
        <v>33.38</v>
      </c>
      <c r="W163" s="32" t="n">
        <v>8.93</v>
      </c>
      <c r="X163" s="31" t="inlineStr">
        <is>
          <t>Cyclical in an Upturn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Headwind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3</t>
        </is>
      </c>
      <c r="BC163" s="31">
        <f>IF(BB163="Stage 2",20,IF(BB163="Stage 1",0,IF(BB163="Stage 3",5,IF(BB163="Stage 4",-5,0))))</f>
        <v/>
      </c>
      <c r="BD163" s="31" t="inlineStr">
        <is>
          <t>Negative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IF(B164=0,"",RANK(B164,$B$2:$B$340,0))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CIEINDIA</t>
        </is>
      </c>
      <c r="D164" s="31" t="inlineStr">
        <is>
          <t>CIE Automotive India Ltd</t>
        </is>
      </c>
      <c r="E164" s="31" t="inlineStr">
        <is>
          <t>industrials</t>
        </is>
      </c>
      <c r="F164" s="31" t="inlineStr">
        <is>
          <t>castings &amp; forgings</t>
        </is>
      </c>
      <c r="G164" s="31" t="inlineStr">
        <is>
          <t>midcap</t>
        </is>
      </c>
      <c r="H164" s="32" t="n">
        <v>17970.4</v>
      </c>
      <c r="I164" s="32" t="n">
        <v>473.8</v>
      </c>
      <c r="J164" s="32" t="n">
        <v>0.02</v>
      </c>
      <c r="K164" s="32" t="n">
        <v>333080</v>
      </c>
      <c r="L164" s="31" t="n">
        <v>18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58.08</v>
      </c>
      <c r="P164" s="32" t="n">
        <v>15.49</v>
      </c>
      <c r="Q164" s="32" t="inlineStr"/>
      <c r="R164" s="31" t="inlineStr">
        <is>
          <t>Earnings / Momentum Support</t>
        </is>
      </c>
      <c r="S164" s="31" t="inlineStr">
        <is>
          <t>Nifty 50</t>
        </is>
      </c>
      <c r="T164" s="32" t="n">
        <v>-2.54</v>
      </c>
      <c r="U164" s="32" t="n">
        <v>11.98</v>
      </c>
      <c r="V164" s="32" t="n">
        <v>14.9</v>
      </c>
      <c r="W164" s="32" t="n">
        <v>2.37</v>
      </c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Headwind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0 to 20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3</t>
        </is>
      </c>
      <c r="BC164" s="31">
        <f>IF(BB164="Stage 2",20,IF(BB164="Stage 1",0,IF(BB164="Stage 3",5,IF(BB164="Stage 4",-5,0))))</f>
        <v/>
      </c>
      <c r="BD164" s="31" t="inlineStr">
        <is>
          <t>Negative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Less than 1.5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IF(B165=0,"",RANK(B165,$B$2:$B$340,0))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RSWM</t>
        </is>
      </c>
      <c r="D165" s="31" t="inlineStr">
        <is>
          <t>Rswm Limited</t>
        </is>
      </c>
      <c r="E165" s="31" t="inlineStr">
        <is>
          <t>textiles</t>
        </is>
      </c>
      <c r="F165" s="31" t="inlineStr">
        <is>
          <t>textiles - cotton/blended</t>
        </is>
      </c>
      <c r="G165" s="31" t="inlineStr">
        <is>
          <t>smallcap</t>
        </is>
      </c>
      <c r="H165" s="32" t="n">
        <v>1001.76</v>
      </c>
      <c r="I165" s="32" t="n">
        <v>212.2</v>
      </c>
      <c r="J165" s="32" t="n">
        <v>-0.23</v>
      </c>
      <c r="K165" s="32" t="n">
        <v>40955</v>
      </c>
      <c r="L165" s="31" t="n">
        <v>67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68.04000000000001</v>
      </c>
      <c r="P165" s="32" t="n">
        <v>35.04</v>
      </c>
      <c r="Q165" s="32" t="inlineStr"/>
      <c r="R165" s="31" t="inlineStr">
        <is>
          <t>Earnings / Momentum Support</t>
        </is>
      </c>
      <c r="S165" s="31" t="inlineStr">
        <is>
          <t>Nifty 50</t>
        </is>
      </c>
      <c r="T165" s="32" t="n">
        <v>-2.54</v>
      </c>
      <c r="U165" s="32" t="n">
        <v>27.07</v>
      </c>
      <c r="V165" s="32" t="n">
        <v>30.38</v>
      </c>
      <c r="W165" s="32" t="n">
        <v>12.8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Headwind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3</t>
        </is>
      </c>
      <c r="BC165" s="31">
        <f>IF(BB165="Stage 2",20,IF(BB165="Stage 1",0,IF(BB165="Stage 3",5,IF(BB165="Stage 4",-5,0))))</f>
        <v/>
      </c>
      <c r="BD165" s="31" t="inlineStr">
        <is>
          <t>Negative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More than 1.2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IF(B166=0,"",RANK(B166,$B$2:$B$340,0))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PHOENIXLTD</t>
        </is>
      </c>
      <c r="D166" s="31" t="inlineStr">
        <is>
          <t>The Phoenix Mills Limited</t>
        </is>
      </c>
      <c r="E166" s="31" t="inlineStr">
        <is>
          <t>realty</t>
        </is>
      </c>
      <c r="F166" s="31" t="inlineStr">
        <is>
          <t>construction</t>
        </is>
      </c>
      <c r="G166" s="31" t="inlineStr">
        <is>
          <t>largecap</t>
        </is>
      </c>
      <c r="H166" s="32" t="n">
        <v>74239.00999999999</v>
      </c>
      <c r="I166" s="32" t="n">
        <v>2070.1</v>
      </c>
      <c r="J166" s="32" t="n">
        <v>-0.27</v>
      </c>
      <c r="K166" s="32" t="n">
        <v>215043</v>
      </c>
      <c r="L166" s="31" t="n">
        <v>58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67.16</v>
      </c>
      <c r="P166" s="32" t="n">
        <v>16.27</v>
      </c>
      <c r="Q166" s="32" t="inlineStr"/>
      <c r="R166" s="31" t="inlineStr">
        <is>
          <t>Earnings / Momentum Support</t>
        </is>
      </c>
      <c r="S166" s="31" t="inlineStr">
        <is>
          <t>Nifty Realty</t>
        </is>
      </c>
      <c r="T166" s="32" t="n">
        <v>-8.119999999999999</v>
      </c>
      <c r="U166" s="32" t="n">
        <v>39.88</v>
      </c>
      <c r="V166" s="32" t="n">
        <v>52.24</v>
      </c>
      <c r="W166" s="32" t="n">
        <v>10.39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Headwind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0 to 20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3</t>
        </is>
      </c>
      <c r="BC166" s="31">
        <f>IF(BB166="Stage 2",20,IF(BB166="Stage 1",0,IF(BB166="Stage 3",5,IF(BB166="Stage 4",-5,0))))</f>
        <v/>
      </c>
      <c r="BD166" s="31" t="inlineStr">
        <is>
          <t>Negative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Less than 1.5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IF(B167=0,"",RANK(B167,$B$2:$B$340,0))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3" t="inlineStr">
        <is>
          <t>RELAXO</t>
        </is>
      </c>
      <c r="D167" s="33" t="inlineStr">
        <is>
          <t>Relaxo Footwears Limited</t>
        </is>
      </c>
      <c r="E167" s="31" t="inlineStr">
        <is>
          <t>consumer discretionary</t>
        </is>
      </c>
      <c r="F167" s="31" t="inlineStr">
        <is>
          <t>leather / leather products</t>
        </is>
      </c>
      <c r="G167" s="31" t="inlineStr">
        <is>
          <t>midcap</t>
        </is>
      </c>
      <c r="H167" s="32" t="n">
        <v>10952.05</v>
      </c>
      <c r="I167" s="32" t="n">
        <v>437.05</v>
      </c>
      <c r="J167" s="32" t="n">
        <v>-0.66</v>
      </c>
      <c r="K167" s="32" t="n">
        <v>11061459</v>
      </c>
      <c r="L167" s="31" t="n">
        <v>48</v>
      </c>
      <c r="M167" s="31" t="inlineStr">
        <is>
          <t>Underperforming</t>
        </is>
      </c>
      <c r="N167" s="32">
        <f>IF(M167="Underperforming",-5,IF(L167&gt;=95,15,IF(L167&gt;=90,10,IF(L167&gt;=80,5,0))))</f>
        <v/>
      </c>
      <c r="O167" s="32" t="n">
        <v>66.04000000000001</v>
      </c>
      <c r="P167" s="32" t="n">
        <v>25.44</v>
      </c>
      <c r="Q167" s="32" t="inlineStr"/>
      <c r="R167" s="31" t="inlineStr">
        <is>
          <t>Earnings / Momentum Support</t>
        </is>
      </c>
      <c r="S167" s="31" t="inlineStr">
        <is>
          <t>Nifty 50</t>
        </is>
      </c>
      <c r="T167" s="32" t="n">
        <v>-2.54</v>
      </c>
      <c r="U167" s="32" t="n">
        <v>-12.87</v>
      </c>
      <c r="V167" s="32" t="n">
        <v>-10.6</v>
      </c>
      <c r="W167" s="32" t="n">
        <v>7.94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Headwind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3</t>
        </is>
      </c>
      <c r="BC167" s="31">
        <f>IF(BB167="Stage 2",20,IF(BB167="Stage 1",0,IF(BB167="Stage 3",5,IF(BB167="Stage 4",-5,0))))</f>
        <v/>
      </c>
      <c r="BD167" s="31" t="inlineStr">
        <is>
          <t>Negative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IF(B168=0,"",RANK(B168,$B$2:$B$340,0))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3" t="inlineStr">
        <is>
          <t>SUNDRMFAST</t>
        </is>
      </c>
      <c r="D168" s="33" t="inlineStr">
        <is>
          <t>Sundram Fasteners Limited</t>
        </is>
      </c>
      <c r="E168" s="31" t="inlineStr">
        <is>
          <t>auto</t>
        </is>
      </c>
      <c r="F168" s="31" t="inlineStr">
        <is>
          <t>auto ancillaries</t>
        </is>
      </c>
      <c r="G168" s="31" t="inlineStr">
        <is>
          <t>largecap</t>
        </is>
      </c>
      <c r="H168" s="32" t="n">
        <v>20284.74</v>
      </c>
      <c r="I168" s="32" t="n">
        <v>955.65</v>
      </c>
      <c r="J168" s="32" t="n">
        <v>-1</v>
      </c>
      <c r="K168" s="32" t="n">
        <v>24312</v>
      </c>
      <c r="L168" s="31" t="n">
        <v>21</v>
      </c>
      <c r="M168" s="31" t="inlineStr">
        <is>
          <t>Underperforming</t>
        </is>
      </c>
      <c r="N168" s="32">
        <f>IF(M168="Underperforming",-5,IF(L168&gt;=95,15,IF(L168&gt;=90,10,IF(L168&gt;=80,5,0))))</f>
        <v/>
      </c>
      <c r="O168" s="32" t="n">
        <v>65.7</v>
      </c>
      <c r="P168" s="32" t="n">
        <v>13.96</v>
      </c>
      <c r="Q168" s="32" t="inlineStr"/>
      <c r="R168" s="31" t="inlineStr">
        <is>
          <t>Earnings / Momentum Support</t>
        </is>
      </c>
      <c r="S168" s="31" t="inlineStr">
        <is>
          <t>Nifty Auto</t>
        </is>
      </c>
      <c r="T168" s="32" t="n">
        <v>13.41</v>
      </c>
      <c r="U168" s="32" t="n">
        <v>-4.24</v>
      </c>
      <c r="V168" s="32" t="n">
        <v>-15.56</v>
      </c>
      <c r="W168" s="32" t="n">
        <v>2.97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Headwind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0 to 20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3</t>
        </is>
      </c>
      <c r="BC168" s="31">
        <f>IF(BB168="Stage 2",20,IF(BB168="Stage 1",0,IF(BB168="Stage 3",5,IF(BB168="Stage 4",-5,0))))</f>
        <v/>
      </c>
      <c r="BD168" s="31" t="inlineStr">
        <is>
          <t>Negative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Less than 1.5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IF(B169=0,"",RANK(B169,$B$2:$B$340,0))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PANSARI</t>
        </is>
      </c>
      <c r="D169" s="31" t="inlineStr">
        <is>
          <t>Pansari Developers Ltd</t>
        </is>
      </c>
      <c r="E169" s="31" t="inlineStr">
        <is>
          <t>realty</t>
        </is>
      </c>
      <c r="F169" s="31" t="inlineStr">
        <is>
          <t>construction</t>
        </is>
      </c>
      <c r="G169" s="31" t="inlineStr">
        <is>
          <t>smallcap</t>
        </is>
      </c>
      <c r="H169" s="32" t="n">
        <v>629.22</v>
      </c>
      <c r="I169" s="32" t="n">
        <v>356</v>
      </c>
      <c r="J169" s="32" t="n">
        <v>-1.29</v>
      </c>
      <c r="K169" s="32" t="n">
        <v>2987</v>
      </c>
      <c r="L169" s="31" t="n">
        <v>69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63.07</v>
      </c>
      <c r="P169" s="32" t="n">
        <v>32.19</v>
      </c>
      <c r="Q169" s="32" t="inlineStr"/>
      <c r="R169" s="31" t="inlineStr">
        <is>
          <t>Earnings / Momentum Support</t>
        </is>
      </c>
      <c r="S169" s="31" t="inlineStr">
        <is>
          <t>Nifty Realty</t>
        </is>
      </c>
      <c r="T169" s="32" t="n">
        <v>-8.119999999999999</v>
      </c>
      <c r="U169" s="32" t="n">
        <v>41.99</v>
      </c>
      <c r="V169" s="32" t="n">
        <v>54.54</v>
      </c>
      <c r="W169" s="32" t="n">
        <v>13.56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Headwind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3</t>
        </is>
      </c>
      <c r="BC169" s="31">
        <f>IF(BB169="Stage 2",20,IF(BB169="Stage 1",0,IF(BB169="Stage 3",5,IF(BB169="Stage 4",-5,0))))</f>
        <v/>
      </c>
      <c r="BD169" s="31" t="inlineStr">
        <is>
          <t>Negative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Less than 1.5</t>
        </is>
      </c>
      <c r="BU169" s="31">
        <f>IF(BT169="Above 2",0,IF(BT169="Between 1.5 to 2",5,IF(BT169="Less than 1.5",10,0)))</f>
        <v/>
      </c>
      <c r="BV169" s="31" t="inlineStr">
        <is>
          <t>Negative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IF(B170=0,"",RANK(B170,$B$2:$B$340,0))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GREAVESCOT</t>
        </is>
      </c>
      <c r="D170" s="31" t="inlineStr">
        <is>
          <t>Greaves Cotton Limited</t>
        </is>
      </c>
      <c r="E170" s="31" t="inlineStr">
        <is>
          <t>industrials</t>
        </is>
      </c>
      <c r="F170" s="31" t="inlineStr">
        <is>
          <t>engines</t>
        </is>
      </c>
      <c r="G170" s="31" t="inlineStr">
        <is>
          <t>midcap</t>
        </is>
      </c>
      <c r="H170" s="32" t="n">
        <v>5811.21</v>
      </c>
      <c r="I170" s="32" t="n">
        <v>245.72</v>
      </c>
      <c r="J170" s="32" t="n">
        <v>-1.5</v>
      </c>
      <c r="K170" s="32" t="n">
        <v>1078009</v>
      </c>
      <c r="L170" s="31" t="n">
        <v>78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69.98999999999999</v>
      </c>
      <c r="P170" s="32" t="n">
        <v>28.47</v>
      </c>
      <c r="Q170" s="32" t="inlineStr"/>
      <c r="R170" s="31" t="inlineStr">
        <is>
          <t>Earnings / Momentum Support</t>
        </is>
      </c>
      <c r="S170" s="31" t="inlineStr">
        <is>
          <t>Nifty 50</t>
        </is>
      </c>
      <c r="T170" s="32" t="n">
        <v>-2.54</v>
      </c>
      <c r="U170" s="32" t="n">
        <v>21.7</v>
      </c>
      <c r="V170" s="32" t="n">
        <v>24.87</v>
      </c>
      <c r="W170" s="32" t="n">
        <v>17.37</v>
      </c>
      <c r="X170" s="31" t="inlineStr">
        <is>
          <t>Cyclical in an Upturn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Headwind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3</t>
        </is>
      </c>
      <c r="BC170" s="31">
        <f>IF(BB170="Stage 2",20,IF(BB170="Stage 1",0,IF(BB170="Stage 3",5,IF(BB170="Stage 4",-5,0))))</f>
        <v/>
      </c>
      <c r="BD170" s="31" t="inlineStr">
        <is>
          <t>Negative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IF(B171=0,"",RANK(B171,$B$2:$B$340,0))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AETHER</t>
        </is>
      </c>
      <c r="D171" s="31" t="inlineStr">
        <is>
          <t>Aether Industries Ltd</t>
        </is>
      </c>
      <c r="E171" s="31" t="inlineStr">
        <is>
          <t>chemicals</t>
        </is>
      </c>
      <c r="F171" s="31" t="inlineStr">
        <is>
          <t>chemicals</t>
        </is>
      </c>
      <c r="G171" s="31" t="inlineStr">
        <is>
          <t>midcap</t>
        </is>
      </c>
      <c r="H171" s="32" t="n">
        <v>19579.09</v>
      </c>
      <c r="I171" s="32" t="n">
        <v>1450.6</v>
      </c>
      <c r="J171" s="32" t="n">
        <v>-1.67</v>
      </c>
      <c r="K171" s="32" t="n">
        <v>95908</v>
      </c>
      <c r="L171" s="31" t="n">
        <v>81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73.41</v>
      </c>
      <c r="P171" s="32" t="n">
        <v>45.23</v>
      </c>
      <c r="Q171" s="32" t="inlineStr"/>
      <c r="R171" s="31" t="inlineStr">
        <is>
          <t>Earnings / Momentum Support</t>
        </is>
      </c>
      <c r="S171" s="31" t="inlineStr">
        <is>
          <t>Nifty 50</t>
        </is>
      </c>
      <c r="T171" s="32" t="n">
        <v>-2.54</v>
      </c>
      <c r="U171" s="32" t="n">
        <v>79.34999999999999</v>
      </c>
      <c r="V171" s="32" t="n">
        <v>84.02</v>
      </c>
      <c r="W171" s="32" t="n">
        <v>18.52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Headwind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Above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3</t>
        </is>
      </c>
      <c r="BC171" s="31">
        <f>IF(BB171="Stage 2",20,IF(BB171="Stage 1",0,IF(BB171="Stage 3",5,IF(BB171="Stage 4",-5,0))))</f>
        <v/>
      </c>
      <c r="BD171" s="31" t="inlineStr">
        <is>
          <t>Negative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Less than 12%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Less than 50%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IF(B172=0,"",RANK(B172,$B$2:$B$340,0))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SANGAMIND</t>
        </is>
      </c>
      <c r="D172" s="31" t="inlineStr">
        <is>
          <t>Sangam (india) Limited</t>
        </is>
      </c>
      <c r="E172" s="31" t="inlineStr">
        <is>
          <t>textiles</t>
        </is>
      </c>
      <c r="F172" s="31" t="inlineStr">
        <is>
          <t>textiles - spinning - synthetic / blended</t>
        </is>
      </c>
      <c r="G172" s="31" t="inlineStr">
        <is>
          <t>smallcap</t>
        </is>
      </c>
      <c r="H172" s="32" t="n">
        <v>3200.45</v>
      </c>
      <c r="I172" s="32" t="n">
        <v>621.1</v>
      </c>
      <c r="J172" s="32" t="n">
        <v>-2.49</v>
      </c>
      <c r="K172" s="32" t="n">
        <v>721869</v>
      </c>
      <c r="L172" s="31" t="n">
        <v>75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79.26000000000001</v>
      </c>
      <c r="P172" s="32" t="n">
        <v>46.2</v>
      </c>
      <c r="Q172" s="32" t="inlineStr"/>
      <c r="R172" s="31" t="inlineStr">
        <is>
          <t>Earnings / Momentum Support</t>
        </is>
      </c>
      <c r="S172" s="31" t="inlineStr">
        <is>
          <t>Nifty 50</t>
        </is>
      </c>
      <c r="T172" s="32" t="n">
        <v>-2.54</v>
      </c>
      <c r="U172" s="32" t="n">
        <v>37.7</v>
      </c>
      <c r="V172" s="32" t="n">
        <v>41.29</v>
      </c>
      <c r="W172" s="32" t="n">
        <v>15.61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Headwind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Above 40</t>
        </is>
      </c>
      <c r="AY172" s="31">
        <f>IF(AX172="Above 40",20,IF(AX172="20 to 40",10,IF(AX172="0 to 20",-5,0)))</f>
        <v/>
      </c>
      <c r="AZ172" s="31" t="inlineStr">
        <is>
          <t>Above 75</t>
        </is>
      </c>
      <c r="BA172" s="31">
        <f>IF(AZ172="Between 50 to 75",10,IF(AZ172="Above 75",0,0))</f>
        <v/>
      </c>
      <c r="BB172" s="31" t="inlineStr">
        <is>
          <t>Stage 3</t>
        </is>
      </c>
      <c r="BC172" s="31">
        <f>IF(BB172="Stage 2",20,IF(BB172="Stage 1",0,IF(BB172="Stage 3",5,IF(BB172="Stage 4",-5,0))))</f>
        <v/>
      </c>
      <c r="BD172" s="31" t="inlineStr">
        <is>
          <t>Negative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Between 0.7 to 1.2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IF(B173=0,"",RANK(B173,$B$2:$B$340,0))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NOVARTIND</t>
        </is>
      </c>
      <c r="D173" s="31" t="inlineStr">
        <is>
          <t>Novartis India Ltd</t>
        </is>
      </c>
      <c r="E173" s="31" t="inlineStr">
        <is>
          <t>healthcare</t>
        </is>
      </c>
      <c r="F173" s="31" t="inlineStr">
        <is>
          <t>pharmaceuticals - multinational</t>
        </is>
      </c>
      <c r="G173" s="31" t="inlineStr">
        <is>
          <t>smallcap</t>
        </is>
      </c>
      <c r="H173" s="32" t="n">
        <v>3876.7</v>
      </c>
      <c r="I173" s="32" t="n">
        <v>1667.9</v>
      </c>
      <c r="J173" s="32" t="n">
        <v>6.23</v>
      </c>
      <c r="K173" s="32" t="n">
        <v>42799</v>
      </c>
      <c r="L173" s="31" t="n">
        <v>87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72.58</v>
      </c>
      <c r="P173" s="32" t="n">
        <v>69.83</v>
      </c>
      <c r="Q173" s="32" t="inlineStr"/>
      <c r="R173" s="31" t="inlineStr">
        <is>
          <t>Earnings / Momentum Support</t>
        </is>
      </c>
      <c r="S173" s="31" t="inlineStr">
        <is>
          <t>Nifty Pharma</t>
        </is>
      </c>
      <c r="T173" s="32" t="n">
        <v>13.51</v>
      </c>
      <c r="U173" s="32" t="n">
        <v>50.81</v>
      </c>
      <c r="V173" s="32" t="n">
        <v>32.86</v>
      </c>
      <c r="W173" s="32" t="n">
        <v>23.1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Yes</t>
        </is>
      </c>
      <c r="AC173" s="31">
        <f>IF(AB173="No",5,0)</f>
        <v/>
      </c>
      <c r="AD173" s="31" t="inlineStr">
        <is>
          <t>Headwind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Annuity, Lower One Time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Above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3</t>
        </is>
      </c>
      <c r="BC173" s="31">
        <f>IF(BB173="Stage 2",20,IF(BB173="Stage 1",0,IF(BB173="Stage 3",5,IF(BB173="Stage 4",-5,0))))</f>
        <v/>
      </c>
      <c r="BD173" s="31" t="inlineStr">
        <is>
          <t>Negative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Less than 12%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Less than 50%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IF(B174=0,"",RANK(B174,$B$2:$B$340,0))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HMVL</t>
        </is>
      </c>
      <c r="D174" s="31" t="inlineStr">
        <is>
          <t>Hindustan Media Ventures Limited</t>
        </is>
      </c>
      <c r="E174" s="31" t="inlineStr">
        <is>
          <t>media</t>
        </is>
      </c>
      <c r="F174" s="31" t="inlineStr">
        <is>
          <t>entertainment / electronic media software</t>
        </is>
      </c>
      <c r="G174" s="31" t="inlineStr">
        <is>
          <t>smallcap</t>
        </is>
      </c>
      <c r="H174" s="32" t="n">
        <v>656.49</v>
      </c>
      <c r="I174" s="32" t="n">
        <v>92.5</v>
      </c>
      <c r="J174" s="32" t="n">
        <v>3.8</v>
      </c>
      <c r="K174" s="32" t="n">
        <v>58060</v>
      </c>
      <c r="L174" s="31" t="n">
        <v>44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67.68000000000001</v>
      </c>
      <c r="P174" s="32" t="n">
        <v>29.95</v>
      </c>
      <c r="Q174" s="32" t="inlineStr"/>
      <c r="R174" s="31" t="inlineStr">
        <is>
          <t>Earnings / Momentum Support</t>
        </is>
      </c>
      <c r="S174" s="31" t="inlineStr">
        <is>
          <t>Nifty IT</t>
        </is>
      </c>
      <c r="T174" s="32" t="n">
        <v>-21.31</v>
      </c>
      <c r="U174" s="32" t="n">
        <v>-0.64</v>
      </c>
      <c r="V174" s="32" t="n">
        <v>26.27</v>
      </c>
      <c r="W174" s="32" t="n">
        <v>7.01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Headwind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Annuity, Lower One Time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3</t>
        </is>
      </c>
      <c r="BC174" s="31">
        <f>IF(BB174="Stage 2",20,IF(BB174="Stage 1",0,IF(BB174="Stage 3",5,IF(BB174="Stage 4",-5,0))))</f>
        <v/>
      </c>
      <c r="BD174" s="31" t="inlineStr">
        <is>
          <t>Negative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Less than 12%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Between 50% to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IF(B175=0,"",RANK(B175,$B$2:$B$340,0))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HNDFDS</t>
        </is>
      </c>
      <c r="D175" s="31" t="inlineStr">
        <is>
          <t>Hindustan Foods Ltd</t>
        </is>
      </c>
      <c r="E175" s="31" t="inlineStr">
        <is>
          <t>fmcg</t>
        </is>
      </c>
      <c r="F175" s="31" t="inlineStr">
        <is>
          <t>diversified - large</t>
        </is>
      </c>
      <c r="G175" s="31" t="inlineStr">
        <is>
          <t>midcap</t>
        </is>
      </c>
      <c r="H175" s="32" t="n">
        <v>6671.86</v>
      </c>
      <c r="I175" s="32" t="n">
        <v>572.95</v>
      </c>
      <c r="J175" s="32" t="n">
        <v>2.61</v>
      </c>
      <c r="K175" s="32" t="n">
        <v>172379</v>
      </c>
      <c r="L175" s="31" t="n">
        <v>16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59.18</v>
      </c>
      <c r="P175" s="32" t="n">
        <v>31.35</v>
      </c>
      <c r="Q175" s="32" t="inlineStr"/>
      <c r="R175" s="31" t="inlineStr">
        <is>
          <t>Earnings / Momentum Support</t>
        </is>
      </c>
      <c r="S175" s="31" t="inlineStr">
        <is>
          <t>Nifty FMCG</t>
        </is>
      </c>
      <c r="T175" s="32" t="n">
        <v>-13.73</v>
      </c>
      <c r="U175" s="32" t="n">
        <v>-1.7</v>
      </c>
      <c r="V175" s="32" t="n">
        <v>13.95</v>
      </c>
      <c r="W175" s="32" t="n">
        <v>1.82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Headwind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B2C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Annuity, Lower One Time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3</t>
        </is>
      </c>
      <c r="BC175" s="31">
        <f>IF(BB175="Stage 2",20,IF(BB175="Stage 1",0,IF(BB175="Stage 3",5,IF(BB175="Stage 4",-5,0))))</f>
        <v/>
      </c>
      <c r="BD175" s="31" t="inlineStr">
        <is>
          <t>Negative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Between 1.5 to 2</t>
        </is>
      </c>
      <c r="BU175" s="31">
        <f>IF(BT175="Above 2",0,IF(BT175="Between 1.5 to 2",5,IF(BT175="Less than 1.5",10,0)))</f>
        <v/>
      </c>
      <c r="BV175" s="31" t="inlineStr">
        <is>
          <t>Less than 50%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Between 0.7 to 1.2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IF(B176=0,"",RANK(B176,$B$2:$B$340,0))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3" t="inlineStr">
        <is>
          <t>APLLTD</t>
        </is>
      </c>
      <c r="D176" s="33" t="inlineStr">
        <is>
          <t>Alembic Pharmaceuticals Limited</t>
        </is>
      </c>
      <c r="E176" s="31" t="inlineStr">
        <is>
          <t>healthcare</t>
        </is>
      </c>
      <c r="F176" s="31" t="inlineStr">
        <is>
          <t>pharmaceuticals - indian - bulk drugs &amp; formln</t>
        </is>
      </c>
      <c r="G176" s="31" t="inlineStr">
        <is>
          <t>midcap</t>
        </is>
      </c>
      <c r="H176" s="32" t="n">
        <v>16218.42</v>
      </c>
      <c r="I176" s="32" t="n">
        <v>842.65</v>
      </c>
      <c r="J176" s="32" t="n">
        <v>2.13</v>
      </c>
      <c r="K176" s="32" t="n">
        <v>81712</v>
      </c>
      <c r="L176" s="31" t="n">
        <v>2</v>
      </c>
      <c r="M176" s="31" t="inlineStr">
        <is>
          <t>Underperforming</t>
        </is>
      </c>
      <c r="N176" s="32">
        <f>IF(M176="Underperforming",-5,IF(L176&gt;=95,15,IF(L176&gt;=90,10,IF(L176&gt;=80,5,0))))</f>
        <v/>
      </c>
      <c r="O176" s="32" t="n">
        <v>57.69</v>
      </c>
      <c r="P176" s="32" t="n">
        <v>12</v>
      </c>
      <c r="Q176" s="32" t="inlineStr"/>
      <c r="R176" s="31" t="inlineStr">
        <is>
          <t>Earnings / Momentum Support</t>
        </is>
      </c>
      <c r="S176" s="31" t="inlineStr">
        <is>
          <t>Nifty Pharma</t>
        </is>
      </c>
      <c r="T176" s="32" t="n">
        <v>13.51</v>
      </c>
      <c r="U176" s="32" t="n">
        <v>-19.11</v>
      </c>
      <c r="V176" s="32" t="n">
        <v>-28.74</v>
      </c>
      <c r="W176" s="32" t="n">
        <v>-2.77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Yes</t>
        </is>
      </c>
      <c r="AC176" s="31">
        <f>IF(AB176="No",5,0)</f>
        <v/>
      </c>
      <c r="AD176" s="31" t="inlineStr">
        <is>
          <t>Headwind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Annuity, Lower One Time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0 to 20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3</t>
        </is>
      </c>
      <c r="BC176" s="31">
        <f>IF(BB176="Stage 2",20,IF(BB176="Stage 1",0,IF(BB176="Stage 3",5,IF(BB176="Stage 4",-5,0))))</f>
        <v/>
      </c>
      <c r="BD176" s="31" t="inlineStr">
        <is>
          <t>Negative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Less than 1.5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IF(B177=0,"",RANK(B177,$B$2:$B$340,0))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DHAMPURSUG</t>
        </is>
      </c>
      <c r="D177" s="31" t="inlineStr">
        <is>
          <t>Dhampur Sugar Mills Limited</t>
        </is>
      </c>
      <c r="E177" s="31" t="inlineStr">
        <is>
          <t>fmcg</t>
        </is>
      </c>
      <c r="F177" s="31" t="inlineStr">
        <is>
          <t>sugar</t>
        </is>
      </c>
      <c r="G177" s="31" t="inlineStr">
        <is>
          <t>smallcap</t>
        </is>
      </c>
      <c r="H177" s="32" t="n">
        <v>915.98</v>
      </c>
      <c r="I177" s="32" t="n">
        <v>145.42</v>
      </c>
      <c r="J177" s="32" t="n">
        <v>2.09</v>
      </c>
      <c r="K177" s="32" t="n">
        <v>297516</v>
      </c>
      <c r="L177" s="31" t="n">
        <v>10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55.92</v>
      </c>
      <c r="P177" s="32" t="n">
        <v>23.06</v>
      </c>
      <c r="Q177" s="32" t="inlineStr"/>
      <c r="R177" s="31" t="inlineStr">
        <is>
          <t>Earnings / Momentum Support</t>
        </is>
      </c>
      <c r="S177" s="31" t="inlineStr">
        <is>
          <t>Nifty FMCG</t>
        </is>
      </c>
      <c r="T177" s="32" t="n">
        <v>-13.73</v>
      </c>
      <c r="U177" s="32" t="n">
        <v>-5</v>
      </c>
      <c r="V177" s="32" t="n">
        <v>10.12</v>
      </c>
      <c r="W177" s="32" t="n">
        <v>0.05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Headwind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B2C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Annuity, Lower One Time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3</t>
        </is>
      </c>
      <c r="BC177" s="31">
        <f>IF(BB177="Stage 2",20,IF(BB177="Stage 1",0,IF(BB177="Stage 3",5,IF(BB177="Stage 4",-5,0))))</f>
        <v/>
      </c>
      <c r="BD177" s="31" t="inlineStr">
        <is>
          <t>Negative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Between 0.7 to 1.2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IF(B178=0,"",RANK(B178,$B$2:$B$340,0))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AJANTPHARM</t>
        </is>
      </c>
      <c r="D178" s="31" t="inlineStr">
        <is>
          <t>Ajanta Pharma Limited</t>
        </is>
      </c>
      <c r="E178" s="31" t="inlineStr">
        <is>
          <t>healthcare</t>
        </is>
      </c>
      <c r="F178" s="31" t="inlineStr">
        <is>
          <t>pharmaceuticals - indian - formulations</t>
        </is>
      </c>
      <c r="G178" s="31" t="inlineStr">
        <is>
          <t>largecap</t>
        </is>
      </c>
      <c r="H178" s="32" t="n">
        <v>42720.49</v>
      </c>
      <c r="I178" s="32" t="n">
        <v>3469</v>
      </c>
      <c r="J178" s="32" t="n">
        <v>1.45</v>
      </c>
      <c r="K178" s="32" t="n">
        <v>54972</v>
      </c>
      <c r="L178" s="31" t="n">
        <v>55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69.41</v>
      </c>
      <c r="P178" s="32" t="n">
        <v>41.36</v>
      </c>
      <c r="Q178" s="32" t="inlineStr"/>
      <c r="R178" s="31" t="inlineStr">
        <is>
          <t>Earnings / Momentum Support</t>
        </is>
      </c>
      <c r="S178" s="31" t="inlineStr">
        <is>
          <t>Nifty Pharma</t>
        </is>
      </c>
      <c r="T178" s="32" t="n">
        <v>13.51</v>
      </c>
      <c r="U178" s="32" t="n">
        <v>24.7</v>
      </c>
      <c r="V178" s="32" t="n">
        <v>9.859999999999999</v>
      </c>
      <c r="W178" s="32" t="n">
        <v>9.66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Yes</t>
        </is>
      </c>
      <c r="AC178" s="31">
        <f>IF(AB178="No",5,0)</f>
        <v/>
      </c>
      <c r="AD178" s="31" t="inlineStr">
        <is>
          <t>Headwind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Annuity, Lower One Time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Above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3</t>
        </is>
      </c>
      <c r="BC178" s="31">
        <f>IF(BB178="Stage 2",20,IF(BB178="Stage 1",0,IF(BB178="Stage 3",5,IF(BB178="Stage 4",-5,0))))</f>
        <v/>
      </c>
      <c r="BD178" s="31" t="inlineStr">
        <is>
          <t>Negative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Between 12 to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Less than 50%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IF(B179=0,"",RANK(B179,$B$2:$B$340,0))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IKS</t>
        </is>
      </c>
      <c r="D179" s="31" t="inlineStr">
        <is>
          <t>Inventurus Knowledge Solutions Ltd</t>
        </is>
      </c>
      <c r="E179" s="31" t="inlineStr">
        <is>
          <t>i.t</t>
        </is>
      </c>
      <c r="F179" s="31" t="inlineStr">
        <is>
          <t>computers - software - medium / small</t>
        </is>
      </c>
      <c r="G179" s="31" t="inlineStr">
        <is>
          <t>largecap</t>
        </is>
      </c>
      <c r="H179" s="32" t="n">
        <v>32549.14</v>
      </c>
      <c r="I179" s="32" t="n">
        <v>1901.9</v>
      </c>
      <c r="J179" s="32" t="n">
        <v>0.25</v>
      </c>
      <c r="K179" s="32" t="n">
        <v>162038</v>
      </c>
      <c r="L179" s="31" t="n">
        <v>56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66.15000000000001</v>
      </c>
      <c r="P179" s="32" t="n">
        <v>13.53</v>
      </c>
      <c r="Q179" s="32" t="inlineStr"/>
      <c r="R179" s="31" t="inlineStr">
        <is>
          <t>Earnings / Momentum Support</t>
        </is>
      </c>
      <c r="S179" s="31" t="inlineStr">
        <is>
          <t>Nifty IT</t>
        </is>
      </c>
      <c r="T179" s="32" t="n">
        <v>-21.31</v>
      </c>
      <c r="U179" s="32" t="n">
        <v>19.44</v>
      </c>
      <c r="V179" s="32" t="n">
        <v>51.79</v>
      </c>
      <c r="W179" s="32" t="n">
        <v>9.800000000000001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Headwind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Annuity, Lower One Time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0 to 20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3</t>
        </is>
      </c>
      <c r="BC179" s="31">
        <f>IF(BB179="Stage 2",20,IF(BB179="Stage 1",0,IF(BB179="Stage 3",5,IF(BB179="Stage 4",-5,0))))</f>
        <v/>
      </c>
      <c r="BD179" s="31" t="inlineStr">
        <is>
          <t>Negative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Between 50% to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IF(B180=0,"",RANK(B180,$B$2:$B$340,0))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TRIVENI</t>
        </is>
      </c>
      <c r="D180" s="31" t="inlineStr">
        <is>
          <t>Triveni Engineering &amp; Industries Limited</t>
        </is>
      </c>
      <c r="E180" s="31" t="inlineStr">
        <is>
          <t>fmcg</t>
        </is>
      </c>
      <c r="F180" s="31" t="inlineStr">
        <is>
          <t>sugar</t>
        </is>
      </c>
      <c r="G180" s="31" t="inlineStr">
        <is>
          <t>midcap</t>
        </is>
      </c>
      <c r="H180" s="32" t="n">
        <v>10335.27</v>
      </c>
      <c r="I180" s="32" t="n">
        <v>470.35</v>
      </c>
      <c r="J180" s="32" t="n">
        <v>-0.38</v>
      </c>
      <c r="K180" s="32" t="n">
        <v>643789</v>
      </c>
      <c r="L180" s="31" t="n">
        <v>57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70.26000000000001</v>
      </c>
      <c r="P180" s="32" t="n">
        <v>24.68</v>
      </c>
      <c r="Q180" s="32" t="inlineStr"/>
      <c r="R180" s="31" t="inlineStr">
        <is>
          <t>Earnings / Momentum Support</t>
        </is>
      </c>
      <c r="S180" s="31" t="inlineStr">
        <is>
          <t>Nifty FMCG</t>
        </is>
      </c>
      <c r="T180" s="32" t="n">
        <v>-13.73</v>
      </c>
      <c r="U180" s="32" t="n">
        <v>31.56</v>
      </c>
      <c r="V180" s="32" t="n">
        <v>52.5</v>
      </c>
      <c r="W180" s="32" t="n">
        <v>10.21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Headwind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B2C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Annuity, Lower One Time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3</t>
        </is>
      </c>
      <c r="BC180" s="31">
        <f>IF(BB180="Stage 2",20,IF(BB180="Stage 1",0,IF(BB180="Stage 3",5,IF(BB180="Stage 4",-5,0))))</f>
        <v/>
      </c>
      <c r="BD180" s="31" t="inlineStr">
        <is>
          <t>Negative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Less than 12%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Less than 50%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IF(B181=0,"",RANK(B181,$B$2:$B$340,0))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BALRAMCHIN</t>
        </is>
      </c>
      <c r="D181" s="31" t="inlineStr">
        <is>
          <t>Balrampur Chini Mills Limited</t>
        </is>
      </c>
      <c r="E181" s="31" t="inlineStr">
        <is>
          <t>fmcg</t>
        </is>
      </c>
      <c r="F181" s="31" t="inlineStr">
        <is>
          <t>sugar</t>
        </is>
      </c>
      <c r="G181" s="31" t="inlineStr">
        <is>
          <t>midcap</t>
        </is>
      </c>
      <c r="H181" s="32" t="n">
        <v>12770.05</v>
      </c>
      <c r="I181" s="32" t="n">
        <v>600.05</v>
      </c>
      <c r="J181" s="32" t="n">
        <v>-0.73</v>
      </c>
      <c r="K181" s="32" t="n">
        <v>295077</v>
      </c>
      <c r="L181" s="31" t="n">
        <v>39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74.34</v>
      </c>
      <c r="P181" s="32" t="n">
        <v>35.13</v>
      </c>
      <c r="Q181" s="32" t="inlineStr"/>
      <c r="R181" s="31" t="inlineStr">
        <is>
          <t>Earnings / Momentum Support</t>
        </is>
      </c>
      <c r="S181" s="31" t="inlineStr">
        <is>
          <t>Nifty FMCG</t>
        </is>
      </c>
      <c r="T181" s="32" t="n">
        <v>-13.73</v>
      </c>
      <c r="U181" s="32" t="n">
        <v>-1.41</v>
      </c>
      <c r="V181" s="32" t="n">
        <v>14.28</v>
      </c>
      <c r="W181" s="32" t="n">
        <v>6.14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Headwind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B2C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Annuity, Lower One Time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3</t>
        </is>
      </c>
      <c r="BC181" s="31">
        <f>IF(BB181="Stage 2",20,IF(BB181="Stage 1",0,IF(BB181="Stage 3",5,IF(BB181="Stage 4",-5,0))))</f>
        <v/>
      </c>
      <c r="BD181" s="31" t="inlineStr">
        <is>
          <t>Negative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Less than 12%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Between 0.7 to 1.2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IF(B182=0,"",RANK(B182,$B$2:$B$340,0))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IPCALAB</t>
        </is>
      </c>
      <c r="D182" s="31" t="inlineStr">
        <is>
          <t>Ipca Laboratories Limited</t>
        </is>
      </c>
      <c r="E182" s="31" t="inlineStr">
        <is>
          <t>healthcare</t>
        </is>
      </c>
      <c r="F182" s="31" t="inlineStr">
        <is>
          <t>pharmaceuticals - indian - bulk drugs &amp; formln</t>
        </is>
      </c>
      <c r="G182" s="31" t="inlineStr">
        <is>
          <t>largecap</t>
        </is>
      </c>
      <c r="H182" s="32" t="n">
        <v>48219.02</v>
      </c>
      <c r="I182" s="32" t="n">
        <v>1838.6</v>
      </c>
      <c r="J182" s="32" t="n">
        <v>-3.26</v>
      </c>
      <c r="K182" s="32" t="n">
        <v>301980</v>
      </c>
      <c r="L182" s="31" t="n">
        <v>64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71.43000000000001</v>
      </c>
      <c r="P182" s="32" t="n">
        <v>36.21</v>
      </c>
      <c r="Q182" s="32" t="inlineStr"/>
      <c r="R182" s="31" t="inlineStr">
        <is>
          <t>Earnings / Momentum Support</t>
        </is>
      </c>
      <c r="S182" s="31" t="inlineStr">
        <is>
          <t>Nifty Pharma</t>
        </is>
      </c>
      <c r="T182" s="32" t="n">
        <v>13.51</v>
      </c>
      <c r="U182" s="32" t="n">
        <v>29.38</v>
      </c>
      <c r="V182" s="32" t="n">
        <v>13.98</v>
      </c>
      <c r="W182" s="32" t="n">
        <v>12.22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Yes</t>
        </is>
      </c>
      <c r="AC182" s="31">
        <f>IF(AB182="No",5,0)</f>
        <v/>
      </c>
      <c r="AD182" s="31" t="inlineStr">
        <is>
          <t>Headwind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Annuity, Lower One Time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3</t>
        </is>
      </c>
      <c r="BC182" s="31">
        <f>IF(BB182="Stage 2",20,IF(BB182="Stage 1",0,IF(BB182="Stage 3",5,IF(BB182="Stage 4",-5,0))))</f>
        <v/>
      </c>
      <c r="BD182" s="31" t="inlineStr">
        <is>
          <t>Negative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Between 50% to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IF(B183=0,"",RANK(B183,$B$2:$B$340,0))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3" t="inlineStr">
        <is>
          <t>BEPL</t>
        </is>
      </c>
      <c r="D183" s="33" t="inlineStr">
        <is>
          <t>Bhansali Engineering Polymers Limited</t>
        </is>
      </c>
      <c r="E183" s="31" t="inlineStr">
        <is>
          <t>energy</t>
        </is>
      </c>
      <c r="F183" s="31" t="inlineStr">
        <is>
          <t>petrochemicals</t>
        </is>
      </c>
      <c r="G183" s="31" t="inlineStr">
        <is>
          <t>smallcap</t>
        </is>
      </c>
      <c r="H183" s="32" t="n">
        <v>2814.59</v>
      </c>
      <c r="I183" s="32" t="n">
        <v>127.77</v>
      </c>
      <c r="J183" s="32" t="n">
        <v>12.97</v>
      </c>
      <c r="K183" s="32" t="n">
        <v>102860780</v>
      </c>
      <c r="L183" s="31" t="n">
        <v>31</v>
      </c>
      <c r="M183" s="31" t="inlineStr">
        <is>
          <t>Underperforming</t>
        </is>
      </c>
      <c r="N183" s="32">
        <f>IF(M183="Underperforming",-5,IF(L183&gt;=95,15,IF(L183&gt;=90,10,IF(L183&gt;=80,5,0))))</f>
        <v/>
      </c>
      <c r="O183" s="32" t="n">
        <v>69.31999999999999</v>
      </c>
      <c r="P183" s="32" t="n">
        <v>38.97</v>
      </c>
      <c r="Q183" s="32" t="inlineStr"/>
      <c r="R183" s="31" t="inlineStr">
        <is>
          <t>Volume Spike / Accumulation</t>
        </is>
      </c>
      <c r="S183" s="31" t="inlineStr">
        <is>
          <t>Nifty Energy</t>
        </is>
      </c>
      <c r="T183" s="32" t="n">
        <v>8.41</v>
      </c>
      <c r="U183" s="32" t="n">
        <v>2.5</v>
      </c>
      <c r="V183" s="32" t="n">
        <v>-5.44</v>
      </c>
      <c r="W183" s="32" t="n">
        <v>4.89</v>
      </c>
      <c r="X183" s="31" t="inlineStr">
        <is>
          <t>Cyclical in an Upturn</t>
        </is>
      </c>
      <c r="Y183" s="31">
        <f>IF(X183="Growing Industry",10,IF(X183="Cyclical in an Upturn",5,0))</f>
        <v/>
      </c>
      <c r="Z183" s="31" t="inlineStr">
        <is>
          <t>Oligopoly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Yes</t>
        </is>
      </c>
      <c r="AC183" s="31">
        <f>IF(AB183="No",5,0)</f>
        <v/>
      </c>
      <c r="AD183" s="31" t="inlineStr">
        <is>
          <t>Headwind</t>
        </is>
      </c>
      <c r="AE183" s="31">
        <f>IF(AD183="Tailwind",10,0)</f>
        <v/>
      </c>
      <c r="AF183" s="31" t="inlineStr">
        <is>
          <t>Cyclical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Volatile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3</t>
        </is>
      </c>
      <c r="BC183" s="31">
        <f>IF(BB183="Stage 2",20,IF(BB183="Stage 1",0,IF(BB183="Stage 3",5,IF(BB183="Stage 4",-5,0))))</f>
        <v/>
      </c>
      <c r="BD183" s="31" t="inlineStr">
        <is>
          <t>Negative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Less than 1.5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IF(B184=0,"",RANK(B184,$B$2:$B$340,0))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3" t="inlineStr">
        <is>
          <t>DPABHUSHAN</t>
        </is>
      </c>
      <c r="D184" s="33" t="inlineStr">
        <is>
          <t>D.P. Abhushan Ltd</t>
        </is>
      </c>
      <c r="E184" s="31" t="inlineStr">
        <is>
          <t>consumer discretionary</t>
        </is>
      </c>
      <c r="F184" s="31" t="inlineStr">
        <is>
          <t>diamond cutting / jewellery</t>
        </is>
      </c>
      <c r="G184" s="31" t="inlineStr">
        <is>
          <t>smallcap</t>
        </is>
      </c>
      <c r="H184" s="32" t="n">
        <v>3049.81</v>
      </c>
      <c r="I184" s="32" t="n">
        <v>1434.35</v>
      </c>
      <c r="J184" s="32" t="n">
        <v>7.36</v>
      </c>
      <c r="K184" s="32" t="n">
        <v>1525531</v>
      </c>
      <c r="L184" s="31" t="n">
        <v>18</v>
      </c>
      <c r="M184" s="31" t="inlineStr">
        <is>
          <t>Underperforming</t>
        </is>
      </c>
      <c r="N184" s="32">
        <f>IF(M184="Underperforming",-5,IF(L184&gt;=95,15,IF(L184&gt;=90,10,IF(L184&gt;=80,5,0))))</f>
        <v/>
      </c>
      <c r="O184" s="32" t="n">
        <v>62.37</v>
      </c>
      <c r="P184" s="32" t="n">
        <v>25.87</v>
      </c>
      <c r="Q184" s="32" t="inlineStr"/>
      <c r="R184" s="31" t="inlineStr">
        <is>
          <t>Volume Spike / Accumulation</t>
        </is>
      </c>
      <c r="S184" s="31" t="inlineStr">
        <is>
          <t>Nifty 50</t>
        </is>
      </c>
      <c r="T184" s="32" t="n">
        <v>-2.54</v>
      </c>
      <c r="U184" s="32" t="n">
        <v>-17.55</v>
      </c>
      <c r="V184" s="32" t="n">
        <v>-15.4</v>
      </c>
      <c r="W184" s="32" t="n">
        <v>2.4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Headwind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3</t>
        </is>
      </c>
      <c r="BC184" s="31">
        <f>IF(BB184="Stage 2",20,IF(BB184="Stage 1",0,IF(BB184="Stage 3",5,IF(BB184="Stage 4",-5,0))))</f>
        <v/>
      </c>
      <c r="BD184" s="31" t="inlineStr">
        <is>
          <t>Negative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Negative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IF(B185=0,"",RANK(B185,$B$2:$B$340,0))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SKYGOLD</t>
        </is>
      </c>
      <c r="D185" s="31" t="inlineStr">
        <is>
          <t>Sky Gold Ltd</t>
        </is>
      </c>
      <c r="E185" s="31" t="inlineStr">
        <is>
          <t>consumer discretionary</t>
        </is>
      </c>
      <c r="F185" s="31" t="inlineStr">
        <is>
          <t>diamond cutting / jewellery</t>
        </is>
      </c>
      <c r="G185" s="31" t="inlineStr">
        <is>
          <t>midcap</t>
        </is>
      </c>
      <c r="H185" s="32" t="n">
        <v>9622.309999999999</v>
      </c>
      <c r="I185" s="32" t="n">
        <v>658.35</v>
      </c>
      <c r="J185" s="32" t="n">
        <v>5.96</v>
      </c>
      <c r="K185" s="32" t="n">
        <v>1579631</v>
      </c>
      <c r="L185" s="31" t="n">
        <v>89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72.27</v>
      </c>
      <c r="P185" s="32" t="n">
        <v>55.4</v>
      </c>
      <c r="Q185" s="32" t="inlineStr"/>
      <c r="R185" s="31" t="inlineStr">
        <is>
          <t>Earnings / Momentum Support</t>
        </is>
      </c>
      <c r="S185" s="31" t="inlineStr">
        <is>
          <t>Nifty 50</t>
        </is>
      </c>
      <c r="T185" s="32" t="n">
        <v>-2.54</v>
      </c>
      <c r="U185" s="32" t="n">
        <v>90.06</v>
      </c>
      <c r="V185" s="32" t="n">
        <v>95.01000000000001</v>
      </c>
      <c r="W185" s="32" t="n">
        <v>24.64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Headwind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Above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3</t>
        </is>
      </c>
      <c r="BC185" s="31">
        <f>IF(BB185="Stage 2",20,IF(BB185="Stage 1",0,IF(BB185="Stage 3",5,IF(BB185="Stage 4",-5,0))))</f>
        <v/>
      </c>
      <c r="BD185" s="31" t="inlineStr">
        <is>
          <t>Negative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Negative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Between 0.7 to 1.2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IF(B186=0,"",RANK(B186,$B$2:$B$340,0))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JITFINFRA</t>
        </is>
      </c>
      <c r="D186" s="31" t="inlineStr">
        <is>
          <t>JITF Infra Logistics Ltd</t>
        </is>
      </c>
      <c r="E186" s="31" t="inlineStr">
        <is>
          <t>miscellaneous</t>
        </is>
      </c>
      <c r="F186" s="31" t="inlineStr">
        <is>
          <t>miscellaneous</t>
        </is>
      </c>
      <c r="G186" s="31" t="inlineStr">
        <is>
          <t>smallcap</t>
        </is>
      </c>
      <c r="H186" s="32" t="n">
        <v>945.13</v>
      </c>
      <c r="I186" s="32" t="n">
        <v>386.05</v>
      </c>
      <c r="J186" s="32" t="n">
        <v>4.99</v>
      </c>
      <c r="K186" s="32" t="n">
        <v>76947</v>
      </c>
      <c r="L186" s="31" t="n">
        <v>23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60.2</v>
      </c>
      <c r="P186" s="32" t="n">
        <v>8.369999999999999</v>
      </c>
      <c r="Q186" s="32" t="inlineStr"/>
      <c r="R186" s="31" t="inlineStr">
        <is>
          <t>Earnings / Momentum Support</t>
        </is>
      </c>
      <c r="S186" s="31" t="inlineStr">
        <is>
          <t>Nifty 50</t>
        </is>
      </c>
      <c r="T186" s="32" t="n">
        <v>-2.54</v>
      </c>
      <c r="U186" s="32" t="n">
        <v>0.62</v>
      </c>
      <c r="V186" s="32" t="n">
        <v>3.24</v>
      </c>
      <c r="W186" s="32" t="n">
        <v>3.34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Headwind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0 to 20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3</t>
        </is>
      </c>
      <c r="BC186" s="31">
        <f>IF(BB186="Stage 2",20,IF(BB186="Stage 1",0,IF(BB186="Stage 3",5,IF(BB186="Stage 4",-5,0))))</f>
        <v/>
      </c>
      <c r="BD186" s="31" t="inlineStr">
        <is>
          <t>Negative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Less than 1.5</t>
        </is>
      </c>
      <c r="BU186" s="31">
        <f>IF(BT186="Above 2",0,IF(BT186="Between 1.5 to 2",5,IF(BT186="Less than 1.5",10,0)))</f>
        <v/>
      </c>
      <c r="BV186" s="31" t="inlineStr">
        <is>
          <t>Less than 50%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IF(B187=0,"",RANK(B187,$B$2:$B$340,0))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ITDC</t>
        </is>
      </c>
      <c r="D187" s="31" t="inlineStr">
        <is>
          <t>India Tourism Development Corporation Ltd</t>
        </is>
      </c>
      <c r="E187" s="31" t="inlineStr">
        <is>
          <t>services</t>
        </is>
      </c>
      <c r="F187" s="31" t="inlineStr">
        <is>
          <t>hotels</t>
        </is>
      </c>
      <c r="G187" s="31" t="inlineStr">
        <is>
          <t>midcap</t>
        </is>
      </c>
      <c r="H187" s="32" t="n">
        <v>6380.81</v>
      </c>
      <c r="I187" s="32" t="n">
        <v>773.9</v>
      </c>
      <c r="J187" s="32" t="n">
        <v>4.03</v>
      </c>
      <c r="K187" s="32" t="n">
        <v>9216052</v>
      </c>
      <c r="L187" s="31" t="n">
        <v>51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64.94</v>
      </c>
      <c r="P187" s="32" t="n">
        <v>36.16</v>
      </c>
      <c r="Q187" s="32" t="inlineStr"/>
      <c r="R187" s="31" t="inlineStr">
        <is>
          <t>Earnings / Momentum Support</t>
        </is>
      </c>
      <c r="S187" s="31" t="inlineStr">
        <is>
          <t>Nifty 50</t>
        </is>
      </c>
      <c r="T187" s="32" t="n">
        <v>-2.54</v>
      </c>
      <c r="U187" s="32" t="n">
        <v>23.53</v>
      </c>
      <c r="V187" s="32" t="n">
        <v>26.75</v>
      </c>
      <c r="W187" s="32" t="n">
        <v>8.9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Headwind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3</t>
        </is>
      </c>
      <c r="BC187" s="31">
        <f>IF(BB187="Stage 2",20,IF(BB187="Stage 1",0,IF(BB187="Stage 3",5,IF(BB187="Stage 4",-5,0))))</f>
        <v/>
      </c>
      <c r="BD187" s="31" t="inlineStr">
        <is>
          <t>Negative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Less than 12%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IF(B188=0,"",RANK(B188,$B$2:$B$340,0))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SETL</t>
        </is>
      </c>
      <c r="D188" s="31" t="inlineStr">
        <is>
          <t>Standard Enginnering Technology Ltd</t>
        </is>
      </c>
      <c r="E188" s="31" t="inlineStr">
        <is>
          <t>industrials</t>
        </is>
      </c>
      <c r="F188" s="31" t="inlineStr">
        <is>
          <t>engineering</t>
        </is>
      </c>
      <c r="G188" s="31" t="inlineStr">
        <is>
          <t>midcap</t>
        </is>
      </c>
      <c r="H188" s="32" t="n">
        <v>5607.71</v>
      </c>
      <c r="I188" s="32" t="n">
        <v>288.05</v>
      </c>
      <c r="J188" s="32" t="n">
        <v>2.47</v>
      </c>
      <c r="K188" s="32" t="n">
        <v>487963</v>
      </c>
      <c r="L188" s="31" t="n">
        <v>97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81.95999999999999</v>
      </c>
      <c r="P188" s="32" t="n">
        <v>35</v>
      </c>
      <c r="Q188" s="32" t="inlineStr"/>
      <c r="R188" s="31" t="inlineStr">
        <is>
          <t>Earnings / Momentum Support</t>
        </is>
      </c>
      <c r="S188" s="31" t="inlineStr">
        <is>
          <t>Nifty 50</t>
        </is>
      </c>
      <c r="T188" s="32" t="n">
        <v>-2.54</v>
      </c>
      <c r="U188" s="32" t="n">
        <v>52.76</v>
      </c>
      <c r="V188" s="32" t="n">
        <v>56.74</v>
      </c>
      <c r="W188" s="32" t="n">
        <v>37.4</v>
      </c>
      <c r="X188" s="31" t="inlineStr">
        <is>
          <t>Cyclical in an Upturn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Headwind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Above 75</t>
        </is>
      </c>
      <c r="BA188" s="31">
        <f>IF(AZ188="Between 50 to 75",10,IF(AZ188="Above 75",0,0))</f>
        <v/>
      </c>
      <c r="BB188" s="31" t="inlineStr">
        <is>
          <t>Stage 3</t>
        </is>
      </c>
      <c r="BC188" s="31">
        <f>IF(BB188="Stage 2",20,IF(BB188="Stage 1",0,IF(BB188="Stage 3",5,IF(BB188="Stage 4",-5,0))))</f>
        <v/>
      </c>
      <c r="BD188" s="31" t="inlineStr">
        <is>
          <t>Negative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Less than 50%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IF(B189=0,"",RANK(B189,$B$2:$B$340,0))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LLOYDSENGG</t>
        </is>
      </c>
      <c r="D189" s="31" t="inlineStr">
        <is>
          <t>Lloyds Engineering Works Ltd</t>
        </is>
      </c>
      <c r="E189" s="31" t="inlineStr">
        <is>
          <t>industrials</t>
        </is>
      </c>
      <c r="F189" s="31" t="inlineStr">
        <is>
          <t>engineering</t>
        </is>
      </c>
      <c r="G189" s="31" t="inlineStr">
        <is>
          <t>midcap</t>
        </is>
      </c>
      <c r="H189" s="32" t="n">
        <v>13109.51</v>
      </c>
      <c r="I189" s="32" t="n">
        <v>90.70999999999999</v>
      </c>
      <c r="J189" s="32" t="n">
        <v>2.43</v>
      </c>
      <c r="K189" s="32" t="n">
        <v>13074316</v>
      </c>
      <c r="L189" s="31" t="n">
        <v>81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72.08</v>
      </c>
      <c r="P189" s="32" t="n">
        <v>41.06</v>
      </c>
      <c r="Q189" s="32" t="inlineStr"/>
      <c r="R189" s="31" t="inlineStr">
        <is>
          <t>Earnings / Momentum Support</t>
        </is>
      </c>
      <c r="S189" s="31" t="inlineStr">
        <is>
          <t>Nifty 50</t>
        </is>
      </c>
      <c r="T189" s="32" t="n">
        <v>-2.54</v>
      </c>
      <c r="U189" s="32" t="n">
        <v>17.62</v>
      </c>
      <c r="V189" s="32" t="n">
        <v>20.68</v>
      </c>
      <c r="W189" s="32" t="n">
        <v>18.43</v>
      </c>
      <c r="X189" s="31" t="inlineStr">
        <is>
          <t>Cyclical in an Upturn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Headwind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No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Above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3</t>
        </is>
      </c>
      <c r="BC189" s="31">
        <f>IF(BB189="Stage 2",20,IF(BB189="Stage 1",0,IF(BB189="Stage 3",5,IF(BB189="Stage 4",-5,0))))</f>
        <v/>
      </c>
      <c r="BD189" s="31" t="inlineStr">
        <is>
          <t>Negative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Negative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IF(B190=0,"",RANK(B190,$B$2:$B$340,0))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JSWINFRA</t>
        </is>
      </c>
      <c r="D190" s="31" t="inlineStr">
        <is>
          <t>JSW Infrastructure Ltd</t>
        </is>
      </c>
      <c r="E190" s="31" t="inlineStr">
        <is>
          <t>transportation</t>
        </is>
      </c>
      <c r="F190" s="31" t="inlineStr">
        <is>
          <t>miscellaneous</t>
        </is>
      </c>
      <c r="G190" s="31" t="inlineStr">
        <is>
          <t>largecap</t>
        </is>
      </c>
      <c r="H190" s="32" t="n">
        <v>79721</v>
      </c>
      <c r="I190" s="32" t="n">
        <v>348.45</v>
      </c>
      <c r="J190" s="32" t="n">
        <v>1.84</v>
      </c>
      <c r="K190" s="32" t="n">
        <v>3996065</v>
      </c>
      <c r="L190" s="31" t="n">
        <v>48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72.52</v>
      </c>
      <c r="P190" s="32" t="n">
        <v>35.79</v>
      </c>
      <c r="Q190" s="32" t="inlineStr"/>
      <c r="R190" s="31" t="inlineStr">
        <is>
          <t>Earnings / Momentum Support</t>
        </is>
      </c>
      <c r="S190" s="31" t="inlineStr">
        <is>
          <t>Nifty 50</t>
        </is>
      </c>
      <c r="T190" s="32" t="n">
        <v>-2.54</v>
      </c>
      <c r="U190" s="32" t="n">
        <v>11.44</v>
      </c>
      <c r="V190" s="32" t="n">
        <v>14.34</v>
      </c>
      <c r="W190" s="32" t="n">
        <v>7.98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Headwind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3</t>
        </is>
      </c>
      <c r="BC190" s="31">
        <f>IF(BB190="Stage 2",20,IF(BB190="Stage 1",0,IF(BB190="Stage 3",5,IF(BB190="Stage 4",-5,0))))</f>
        <v/>
      </c>
      <c r="BD190" s="31" t="inlineStr">
        <is>
          <t>Negative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Less than 12%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IF(B191=0,"",RANK(B191,$B$2:$B$340,0))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NAZARA</t>
        </is>
      </c>
      <c r="D191" s="31" t="inlineStr">
        <is>
          <t>Nazara Technologies Ltd</t>
        </is>
      </c>
      <c r="E191" s="31" t="inlineStr">
        <is>
          <t>i.t</t>
        </is>
      </c>
      <c r="F191" s="31" t="inlineStr">
        <is>
          <t>telecommunications - service provider</t>
        </is>
      </c>
      <c r="G191" s="31" t="inlineStr">
        <is>
          <t>midcap</t>
        </is>
      </c>
      <c r="H191" s="32" t="n">
        <v>11286.22</v>
      </c>
      <c r="I191" s="32" t="n">
        <v>309.25</v>
      </c>
      <c r="J191" s="32" t="n">
        <v>1.51</v>
      </c>
      <c r="K191" s="32" t="n">
        <v>1212308</v>
      </c>
      <c r="L191" s="31" t="n">
        <v>9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60.67</v>
      </c>
      <c r="P191" s="32" t="n">
        <v>14.49</v>
      </c>
      <c r="Q191" s="32" t="inlineStr"/>
      <c r="R191" s="31" t="inlineStr">
        <is>
          <t>Earnings / Momentum Support</t>
        </is>
      </c>
      <c r="S191" s="31" t="inlineStr">
        <is>
          <t>Nifty IT</t>
        </is>
      </c>
      <c r="T191" s="32" t="n">
        <v>-21.31</v>
      </c>
      <c r="U191" s="32" t="n">
        <v>-14.81</v>
      </c>
      <c r="V191" s="32" t="n">
        <v>8.27</v>
      </c>
      <c r="W191" s="32" t="n">
        <v>0.03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Oligopoly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Yes</t>
        </is>
      </c>
      <c r="AC191" s="31">
        <f>IF(AB191="No",5,0)</f>
        <v/>
      </c>
      <c r="AD191" s="31" t="inlineStr">
        <is>
          <t>Headwind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0 to 20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3</t>
        </is>
      </c>
      <c r="BC191" s="31">
        <f>IF(BB191="Stage 2",20,IF(BB191="Stage 1",0,IF(BB191="Stage 3",5,IF(BB191="Stage 4",-5,0))))</f>
        <v/>
      </c>
      <c r="BD191" s="31" t="inlineStr">
        <is>
          <t>Negative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Less than 1.5</t>
        </is>
      </c>
      <c r="BU191" s="31">
        <f>IF(BT191="Above 2",0,IF(BT191="Between 1.5 to 2",5,IF(BT191="Less than 1.5",10,0)))</f>
        <v/>
      </c>
      <c r="BV191" s="31" t="inlineStr">
        <is>
          <t>Between 50% to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IF(B192=0,"",RANK(B192,$B$2:$B$340,0))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3" t="inlineStr">
        <is>
          <t>ULTRACEMCO</t>
        </is>
      </c>
      <c r="D192" s="33" t="inlineStr">
        <is>
          <t>Ultratech Cement Limited</t>
        </is>
      </c>
      <c r="E192" s="31" t="inlineStr">
        <is>
          <t>building materials</t>
        </is>
      </c>
      <c r="F192" s="31" t="inlineStr">
        <is>
          <t>cement - north india</t>
        </is>
      </c>
      <c r="G192" s="31" t="inlineStr">
        <is>
          <t>largecap</t>
        </is>
      </c>
      <c r="H192" s="32" t="n">
        <v>345570.26</v>
      </c>
      <c r="I192" s="32" t="n">
        <v>11903</v>
      </c>
      <c r="J192" s="32" t="n">
        <v>1.5</v>
      </c>
      <c r="K192" s="32" t="n">
        <v>456048</v>
      </c>
      <c r="L192" s="31" t="n">
        <v>5</v>
      </c>
      <c r="M192" s="31" t="inlineStr">
        <is>
          <t>Underperforming</t>
        </is>
      </c>
      <c r="N192" s="32">
        <f>IF(M192="Underperforming",-5,IF(L192&gt;=95,15,IF(L192&gt;=90,10,IF(L192&gt;=80,5,0))))</f>
        <v/>
      </c>
      <c r="O192" s="32" t="n">
        <v>51.29</v>
      </c>
      <c r="P192" s="32" t="n">
        <v>12.8</v>
      </c>
      <c r="Q192" s="32" t="inlineStr"/>
      <c r="R192" s="31" t="inlineStr">
        <is>
          <t>Earnings / Momentum Support</t>
        </is>
      </c>
      <c r="S192" s="31" t="inlineStr">
        <is>
          <t>Nifty Infra</t>
        </is>
      </c>
      <c r="T192" s="32" t="n">
        <v>1.74</v>
      </c>
      <c r="U192" s="32" t="n">
        <v>-5.57</v>
      </c>
      <c r="V192" s="32" t="n">
        <v>-7.19</v>
      </c>
      <c r="W192" s="32" t="n">
        <v>-1.4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Headwind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0 to 20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3</t>
        </is>
      </c>
      <c r="BC192" s="31">
        <f>IF(BB192="Stage 2",20,IF(BB192="Stage 1",0,IF(BB192="Stage 3",5,IF(BB192="Stage 4",-5,0))))</f>
        <v/>
      </c>
      <c r="BD192" s="31" t="inlineStr">
        <is>
          <t>Negative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Less than 1.5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IF(B193=0,"",RANK(B193,$B$2:$B$340,0))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HEG</t>
        </is>
      </c>
      <c r="D193" s="31" t="inlineStr">
        <is>
          <t>Heg Limited</t>
        </is>
      </c>
      <c r="E193" s="31" t="inlineStr">
        <is>
          <t>industrials</t>
        </is>
      </c>
      <c r="F193" s="31" t="inlineStr">
        <is>
          <t>electrodes - graphites</t>
        </is>
      </c>
      <c r="G193" s="31" t="inlineStr">
        <is>
          <t>midcap</t>
        </is>
      </c>
      <c r="H193" s="32" t="n">
        <v>11334.54</v>
      </c>
      <c r="I193" s="32" t="n">
        <v>594.3</v>
      </c>
      <c r="J193" s="32" t="n">
        <v>1.18</v>
      </c>
      <c r="K193" s="32" t="n">
        <v>1038397</v>
      </c>
      <c r="L193" s="31" t="n">
        <v>12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55.16</v>
      </c>
      <c r="P193" s="32" t="n">
        <v>25.45</v>
      </c>
      <c r="Q193" s="32" t="inlineStr"/>
      <c r="R193" s="31" t="inlineStr">
        <is>
          <t>Earnings / Momentum Support</t>
        </is>
      </c>
      <c r="S193" s="31" t="inlineStr">
        <is>
          <t>Nifty 50</t>
        </is>
      </c>
      <c r="T193" s="32" t="n">
        <v>-2.54</v>
      </c>
      <c r="U193" s="32" t="n">
        <v>9.300000000000001</v>
      </c>
      <c r="V193" s="32" t="n">
        <v>12.15</v>
      </c>
      <c r="W193" s="32" t="n">
        <v>0.65</v>
      </c>
      <c r="X193" s="31" t="inlineStr">
        <is>
          <t>Cyclical in an Upturn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Headwind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3</t>
        </is>
      </c>
      <c r="BC193" s="31">
        <f>IF(BB193="Stage 2",20,IF(BB193="Stage 1",0,IF(BB193="Stage 3",5,IF(BB193="Stage 4",-5,0))))</f>
        <v/>
      </c>
      <c r="BD193" s="31" t="inlineStr">
        <is>
          <t>Negative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Less than 50%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IF(B194=0,"",RANK(B194,$B$2:$B$340,0))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3" t="inlineStr">
        <is>
          <t>AUTOAXLES</t>
        </is>
      </c>
      <c r="D194" s="33" t="inlineStr">
        <is>
          <t>Automotive Axles Limited</t>
        </is>
      </c>
      <c r="E194" s="31" t="inlineStr">
        <is>
          <t>auto</t>
        </is>
      </c>
      <c r="F194" s="31" t="inlineStr">
        <is>
          <t>auto ancillaries</t>
        </is>
      </c>
      <c r="G194" s="31" t="inlineStr">
        <is>
          <t>smallcap</t>
        </is>
      </c>
      <c r="H194" s="32" t="n">
        <v>2752.04</v>
      </c>
      <c r="I194" s="32" t="n">
        <v>1838.5</v>
      </c>
      <c r="J194" s="32" t="n">
        <v>0.96</v>
      </c>
      <c r="K194" s="32" t="n">
        <v>18884</v>
      </c>
      <c r="L194" s="31" t="n">
        <v>10</v>
      </c>
      <c r="M194" s="31" t="inlineStr">
        <is>
          <t>Underperforming</t>
        </is>
      </c>
      <c r="N194" s="32">
        <f>IF(M194="Underperforming",-5,IF(L194&gt;=95,15,IF(L194&gt;=90,10,IF(L194&gt;=80,5,0))))</f>
        <v/>
      </c>
      <c r="O194" s="32" t="n">
        <v>52.19</v>
      </c>
      <c r="P194" s="32" t="n">
        <v>6.78</v>
      </c>
      <c r="Q194" s="32" t="inlineStr"/>
      <c r="R194" s="31" t="inlineStr">
        <is>
          <t>Earnings / Momentum Support</t>
        </is>
      </c>
      <c r="S194" s="31" t="inlineStr">
        <is>
          <t>Nifty Auto</t>
        </is>
      </c>
      <c r="T194" s="32" t="n">
        <v>13.41</v>
      </c>
      <c r="U194" s="32" t="n">
        <v>2.95</v>
      </c>
      <c r="V194" s="32" t="n">
        <v>-9.23</v>
      </c>
      <c r="W194" s="32" t="n">
        <v>0.18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Headwind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0 to 20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3</t>
        </is>
      </c>
      <c r="BC194" s="31">
        <f>IF(BB194="Stage 2",20,IF(BB194="Stage 1",0,IF(BB194="Stage 3",5,IF(BB194="Stage 4",-5,0))))</f>
        <v/>
      </c>
      <c r="BD194" s="31" t="inlineStr">
        <is>
          <t>Negative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Between 12 to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Less than 1.5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IF(B195=0,"",RANK(B195,$B$2:$B$340,0))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3" t="inlineStr">
        <is>
          <t>SUPRAJIT</t>
        </is>
      </c>
      <c r="D195" s="33" t="inlineStr">
        <is>
          <t>Suprajit Engineering Limited</t>
        </is>
      </c>
      <c r="E195" s="31" t="inlineStr">
        <is>
          <t>auto</t>
        </is>
      </c>
      <c r="F195" s="31" t="inlineStr">
        <is>
          <t>auto ancillaries</t>
        </is>
      </c>
      <c r="G195" s="31" t="inlineStr">
        <is>
          <t>midcap</t>
        </is>
      </c>
      <c r="H195" s="32" t="n">
        <v>6722.07</v>
      </c>
      <c r="I195" s="32" t="n">
        <v>491.15</v>
      </c>
      <c r="J195" s="32" t="n">
        <v>0.22</v>
      </c>
      <c r="K195" s="32" t="n">
        <v>38134</v>
      </c>
      <c r="L195" s="31" t="n">
        <v>28</v>
      </c>
      <c r="M195" s="31" t="inlineStr">
        <is>
          <t>Underperforming</t>
        </is>
      </c>
      <c r="N195" s="32">
        <f>IF(M195="Underperforming",-5,IF(L195&gt;=95,15,IF(L195&gt;=90,10,IF(L195&gt;=80,5,0))))</f>
        <v/>
      </c>
      <c r="O195" s="32" t="n">
        <v>58.81</v>
      </c>
      <c r="P195" s="32" t="n">
        <v>35.94</v>
      </c>
      <c r="Q195" s="32" t="inlineStr"/>
      <c r="R195" s="31" t="inlineStr">
        <is>
          <t>Earnings / Momentum Support</t>
        </is>
      </c>
      <c r="S195" s="31" t="inlineStr">
        <is>
          <t>Nifty Auto</t>
        </is>
      </c>
      <c r="T195" s="32" t="n">
        <v>13.41</v>
      </c>
      <c r="U195" s="32" t="n">
        <v>6.04</v>
      </c>
      <c r="V195" s="32" t="n">
        <v>-6.5</v>
      </c>
      <c r="W195" s="32" t="n">
        <v>4.55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Headwind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3</t>
        </is>
      </c>
      <c r="BC195" s="31">
        <f>IF(BB195="Stage 2",20,IF(BB195="Stage 1",0,IF(BB195="Stage 3",5,IF(BB195="Stage 4",-5,0))))</f>
        <v/>
      </c>
      <c r="BD195" s="31" t="inlineStr">
        <is>
          <t>Negative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Less than 50%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IF(B196=0,"",RANK(B196,$B$2:$B$340,0))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NYKAA</t>
        </is>
      </c>
      <c r="D196" s="31" t="inlineStr">
        <is>
          <t>FSN E-Commerce Ventures Ltd</t>
        </is>
      </c>
      <c r="E196" s="31" t="inlineStr">
        <is>
          <t>i.t</t>
        </is>
      </c>
      <c r="F196" s="31" t="inlineStr">
        <is>
          <t>trading</t>
        </is>
      </c>
      <c r="G196" s="31" t="inlineStr">
        <is>
          <t>largecap</t>
        </is>
      </c>
      <c r="H196" s="32" t="n">
        <v>92496.56</v>
      </c>
      <c r="I196" s="32" t="n">
        <v>323.5</v>
      </c>
      <c r="J196" s="32" t="n">
        <v>0.14</v>
      </c>
      <c r="K196" s="32" t="n">
        <v>5976462</v>
      </c>
      <c r="L196" s="31" t="n">
        <v>68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69.97</v>
      </c>
      <c r="P196" s="32" t="n">
        <v>36.23</v>
      </c>
      <c r="Q196" s="32" t="inlineStr"/>
      <c r="R196" s="31" t="inlineStr">
        <is>
          <t>Earnings / Momentum Support</t>
        </is>
      </c>
      <c r="S196" s="31" t="inlineStr">
        <is>
          <t>Nifty IT</t>
        </is>
      </c>
      <c r="T196" s="32" t="n">
        <v>-21.31</v>
      </c>
      <c r="U196" s="32" t="n">
        <v>51.77</v>
      </c>
      <c r="V196" s="32" t="n">
        <v>92.87</v>
      </c>
      <c r="W196" s="32" t="n">
        <v>13.15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Headwind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3</t>
        </is>
      </c>
      <c r="BC196" s="31">
        <f>IF(BB196="Stage 2",20,IF(BB196="Stage 1",0,IF(BB196="Stage 3",5,IF(BB196="Stage 4",-5,0))))</f>
        <v/>
      </c>
      <c r="BD196" s="31" t="inlineStr">
        <is>
          <t>Negative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Between 0.7 to 1.2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IF(B197=0,"",RANK(B197,$B$2:$B$340,0))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CENTUM</t>
        </is>
      </c>
      <c r="D197" s="31" t="inlineStr">
        <is>
          <t>Centum Electronics Limited</t>
        </is>
      </c>
      <c r="E197" s="31" t="inlineStr">
        <is>
          <t>consumer discretionary</t>
        </is>
      </c>
      <c r="F197" s="31" t="inlineStr">
        <is>
          <t>electronics - components</t>
        </is>
      </c>
      <c r="G197" s="31" t="inlineStr">
        <is>
          <t>midcap</t>
        </is>
      </c>
      <c r="H197" s="32" t="n">
        <v>5477.66</v>
      </c>
      <c r="I197" s="32" t="n">
        <v>3710</v>
      </c>
      <c r="J197" s="32" t="n">
        <v>-0.04</v>
      </c>
      <c r="K197" s="32" t="n">
        <v>18076</v>
      </c>
      <c r="L197" s="31" t="n">
        <v>73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70.09999999999999</v>
      </c>
      <c r="P197" s="32" t="n">
        <v>61.77</v>
      </c>
      <c r="Q197" s="32" t="inlineStr"/>
      <c r="R197" s="31" t="inlineStr">
        <is>
          <t>Earnings / Momentum Support</t>
        </is>
      </c>
      <c r="S197" s="31" t="inlineStr">
        <is>
          <t>Nifty 50</t>
        </is>
      </c>
      <c r="T197" s="32" t="n">
        <v>-2.54</v>
      </c>
      <c r="U197" s="32" t="n">
        <v>60</v>
      </c>
      <c r="V197" s="32" t="n">
        <v>64.17</v>
      </c>
      <c r="W197" s="32" t="n">
        <v>14.94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Headwind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Above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3</t>
        </is>
      </c>
      <c r="BC197" s="31">
        <f>IF(BB197="Stage 2",20,IF(BB197="Stage 1",0,IF(BB197="Stage 3",5,IF(BB197="Stage 4",-5,0))))</f>
        <v/>
      </c>
      <c r="BD197" s="31" t="inlineStr">
        <is>
          <t>Negative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Less than 12%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Less than 50%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IF(B198=0,"",RANK(B198,$B$2:$B$340,0))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ARROWGREEN</t>
        </is>
      </c>
      <c r="D198" s="31" t="inlineStr">
        <is>
          <t>Arrow Greentech Limited</t>
        </is>
      </c>
      <c r="E198" s="31" t="inlineStr">
        <is>
          <t>plastic products</t>
        </is>
      </c>
      <c r="F198" s="31" t="inlineStr">
        <is>
          <t>plastics products</t>
        </is>
      </c>
      <c r="G198" s="31" t="inlineStr">
        <is>
          <t>smallcap</t>
        </is>
      </c>
      <c r="H198" s="32" t="n">
        <v>1010.89</v>
      </c>
      <c r="I198" s="32" t="n">
        <v>667.15</v>
      </c>
      <c r="J198" s="32" t="n">
        <v>-0.43</v>
      </c>
      <c r="K198" s="32" t="n">
        <v>14654</v>
      </c>
      <c r="L198" s="31" t="n">
        <v>38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64.37</v>
      </c>
      <c r="P198" s="32" t="n">
        <v>26.62</v>
      </c>
      <c r="Q198" s="32" t="inlineStr"/>
      <c r="R198" s="31" t="inlineStr">
        <is>
          <t>Earnings / Momentum Support</t>
        </is>
      </c>
      <c r="S198" s="31" t="inlineStr">
        <is>
          <t>Nifty Infra</t>
        </is>
      </c>
      <c r="T198" s="32" t="n">
        <v>1.74</v>
      </c>
      <c r="U198" s="32" t="n">
        <v>2.57</v>
      </c>
      <c r="V198" s="32" t="n">
        <v>0.82</v>
      </c>
      <c r="W198" s="32" t="n">
        <v>5.97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Headwind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3</t>
        </is>
      </c>
      <c r="BC198" s="31">
        <f>IF(BB198="Stage 2",20,IF(BB198="Stage 1",0,IF(BB198="Stage 3",5,IF(BB198="Stage 4",-5,0))))</f>
        <v/>
      </c>
      <c r="BD198" s="31" t="inlineStr">
        <is>
          <t>Negative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Less than 12%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Between 50% to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IF(B199=0,"",RANK(B199,$B$2:$B$340,0))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UNIMECH</t>
        </is>
      </c>
      <c r="D199" s="31" t="inlineStr">
        <is>
          <t>Unimech Aerospace and Manufacturing Ltd</t>
        </is>
      </c>
      <c r="E199" s="31" t="inlineStr">
        <is>
          <t>aerospace &amp; defence</t>
        </is>
      </c>
      <c r="F199" s="31" t="inlineStr">
        <is>
          <t>engineering</t>
        </is>
      </c>
      <c r="G199" s="31" t="inlineStr">
        <is>
          <t>midcap</t>
        </is>
      </c>
      <c r="H199" s="32" t="n">
        <v>6523.92</v>
      </c>
      <c r="I199" s="32" t="n">
        <v>1274.5</v>
      </c>
      <c r="J199" s="32" t="n">
        <v>-0.65</v>
      </c>
      <c r="K199" s="32" t="n">
        <v>201431</v>
      </c>
      <c r="L199" s="31" t="n">
        <v>52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68.64</v>
      </c>
      <c r="P199" s="32" t="n">
        <v>27.94</v>
      </c>
      <c r="Q199" s="32" t="inlineStr"/>
      <c r="R199" s="31" t="inlineStr">
        <is>
          <t>Earnings / Momentum Support</t>
        </is>
      </c>
      <c r="S199" s="31" t="inlineStr">
        <is>
          <t>Nifty 50</t>
        </is>
      </c>
      <c r="T199" s="32" t="n">
        <v>-2.54</v>
      </c>
      <c r="U199" s="32" t="n">
        <v>6.57</v>
      </c>
      <c r="V199" s="32" t="n">
        <v>9.35</v>
      </c>
      <c r="W199" s="32" t="n">
        <v>9.23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Headwind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3</t>
        </is>
      </c>
      <c r="BC199" s="31">
        <f>IF(BB199="Stage 2",20,IF(BB199="Stage 1",0,IF(BB199="Stage 3",5,IF(BB199="Stage 4",-5,0))))</f>
        <v/>
      </c>
      <c r="BD199" s="31" t="inlineStr">
        <is>
          <t>Negative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Less than 12%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IF(B200=0,"",RANK(B200,$B$2:$B$340,0))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3" t="inlineStr">
        <is>
          <t>ASKAUTOLTD</t>
        </is>
      </c>
      <c r="D200" s="33" t="inlineStr">
        <is>
          <t>ASK Automotive Ltd</t>
        </is>
      </c>
      <c r="E200" s="31" t="inlineStr">
        <is>
          <t>auto</t>
        </is>
      </c>
      <c r="F200" s="31" t="inlineStr">
        <is>
          <t>auto ancillaries</t>
        </is>
      </c>
      <c r="G200" s="31" t="inlineStr">
        <is>
          <t>midcap</t>
        </is>
      </c>
      <c r="H200" s="32" t="n">
        <v>9504.24</v>
      </c>
      <c r="I200" s="32" t="n">
        <v>477.35</v>
      </c>
      <c r="J200" s="32" t="n">
        <v>-0.99</v>
      </c>
      <c r="K200" s="32" t="n">
        <v>81382</v>
      </c>
      <c r="L200" s="31" t="n">
        <v>11</v>
      </c>
      <c r="M200" s="31" t="inlineStr">
        <is>
          <t>Underperforming</t>
        </is>
      </c>
      <c r="N200" s="32">
        <f>IF(M200="Underperforming",-5,IF(L200&gt;=95,15,IF(L200&gt;=90,10,IF(L200&gt;=80,5,0))))</f>
        <v/>
      </c>
      <c r="O200" s="32" t="n">
        <v>58.39</v>
      </c>
      <c r="P200" s="32" t="n">
        <v>8.75</v>
      </c>
      <c r="Q200" s="32" t="inlineStr"/>
      <c r="R200" s="31" t="inlineStr">
        <is>
          <t>Earnings / Momentum Support</t>
        </is>
      </c>
      <c r="S200" s="31" t="inlineStr">
        <is>
          <t>Nifty Auto</t>
        </is>
      </c>
      <c r="T200" s="32" t="n">
        <v>13.41</v>
      </c>
      <c r="U200" s="32" t="n">
        <v>-8.220000000000001</v>
      </c>
      <c r="V200" s="32" t="n">
        <v>-19.08</v>
      </c>
      <c r="W200" s="32" t="n">
        <v>0.58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Headwind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0 to 20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3</t>
        </is>
      </c>
      <c r="BC200" s="31">
        <f>IF(BB200="Stage 2",20,IF(BB200="Stage 1",0,IF(BB200="Stage 3",5,IF(BB200="Stage 4",-5,0))))</f>
        <v/>
      </c>
      <c r="BD200" s="31" t="inlineStr">
        <is>
          <t>Negative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Less than 1.5</t>
        </is>
      </c>
      <c r="BU200" s="31">
        <f>IF(BT200="Above 2",0,IF(BT200="Between 1.5 to 2",5,IF(BT200="Less than 1.5",10,0)))</f>
        <v/>
      </c>
      <c r="BV200" s="31" t="inlineStr">
        <is>
          <t>Between 50% to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IF(B201=0,"",RANK(B201,$B$2:$B$340,0))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MIRZAINT</t>
        </is>
      </c>
      <c r="D201" s="31" t="inlineStr">
        <is>
          <t>Mirza International Limited</t>
        </is>
      </c>
      <c r="E201" s="31" t="inlineStr">
        <is>
          <t>consumer discretionary</t>
        </is>
      </c>
      <c r="F201" s="31" t="inlineStr">
        <is>
          <t>leather / leather products</t>
        </is>
      </c>
      <c r="G201" s="31" t="inlineStr">
        <is>
          <t>smallcap</t>
        </is>
      </c>
      <c r="H201" s="32" t="n">
        <v>535.39</v>
      </c>
      <c r="I201" s="32" t="n">
        <v>37.95</v>
      </c>
      <c r="J201" s="32" t="n">
        <v>-2.04</v>
      </c>
      <c r="K201" s="32" t="n">
        <v>434974</v>
      </c>
      <c r="L201" s="31" t="n">
        <v>45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59.48</v>
      </c>
      <c r="P201" s="32" t="n">
        <v>15.75</v>
      </c>
      <c r="Q201" s="32" t="inlineStr"/>
      <c r="R201" s="31" t="inlineStr">
        <is>
          <t>Earnings / Momentum Support</t>
        </is>
      </c>
      <c r="S201" s="31" t="inlineStr">
        <is>
          <t>Nifty 50</t>
        </is>
      </c>
      <c r="T201" s="32" t="n">
        <v>-2.54</v>
      </c>
      <c r="U201" s="32" t="n">
        <v>19.72</v>
      </c>
      <c r="V201" s="32" t="n">
        <v>22.84</v>
      </c>
      <c r="W201" s="32" t="n">
        <v>7.27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Headwind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0 to 20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3</t>
        </is>
      </c>
      <c r="BC201" s="31">
        <f>IF(BB201="Stage 2",20,IF(BB201="Stage 1",0,IF(BB201="Stage 3",5,IF(BB201="Stage 4",-5,0))))</f>
        <v/>
      </c>
      <c r="BD201" s="31" t="inlineStr">
        <is>
          <t>Negative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IF(B202=0,"",RANK(B202,$B$2:$B$340,0))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OAL</t>
        </is>
      </c>
      <c r="D202" s="31" t="inlineStr">
        <is>
          <t>Oriental Aromatics Ltd</t>
        </is>
      </c>
      <c r="E202" s="31" t="inlineStr">
        <is>
          <t>chemicals</t>
        </is>
      </c>
      <c r="F202" s="31" t="inlineStr">
        <is>
          <t>chemicals</t>
        </is>
      </c>
      <c r="G202" s="31" t="inlineStr">
        <is>
          <t>smallcap</t>
        </is>
      </c>
      <c r="H202" s="32" t="n">
        <v>1207.32</v>
      </c>
      <c r="I202" s="32" t="n">
        <v>350.2</v>
      </c>
      <c r="J202" s="32" t="n">
        <v>-2.38</v>
      </c>
      <c r="K202" s="32" t="n">
        <v>12049</v>
      </c>
      <c r="L202" s="31" t="n">
        <v>15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62.56</v>
      </c>
      <c r="P202" s="32" t="n">
        <v>24.05</v>
      </c>
      <c r="Q202" s="32" t="inlineStr"/>
      <c r="R202" s="31" t="inlineStr">
        <is>
          <t>Earnings / Momentum Support</t>
        </is>
      </c>
      <c r="S202" s="31" t="inlineStr">
        <is>
          <t>Nifty IT</t>
        </is>
      </c>
      <c r="T202" s="32" t="n">
        <v>-21.31</v>
      </c>
      <c r="U202" s="32" t="n">
        <v>-11.89</v>
      </c>
      <c r="V202" s="32" t="n">
        <v>11.97</v>
      </c>
      <c r="W202" s="32" t="n">
        <v>1.64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Headwind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3</t>
        </is>
      </c>
      <c r="BC202" s="31">
        <f>IF(BB202="Stage 2",20,IF(BB202="Stage 1",0,IF(BB202="Stage 3",5,IF(BB202="Stage 4",-5,0))))</f>
        <v/>
      </c>
      <c r="BD202" s="31" t="inlineStr">
        <is>
          <t>Negative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Less than 50%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IF(B203=0,"",RANK(B203,$B$2:$B$340,0))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MOSCHIP</t>
        </is>
      </c>
      <c r="D203" s="31" t="inlineStr">
        <is>
          <t>Moschip Technologies Ltd</t>
        </is>
      </c>
      <c r="E203" s="31" t="inlineStr">
        <is>
          <t>i.t</t>
        </is>
      </c>
      <c r="F203" s="31" t="inlineStr">
        <is>
          <t>computers - hardware</t>
        </is>
      </c>
      <c r="G203" s="31" t="inlineStr">
        <is>
          <t>smallcap</t>
        </is>
      </c>
      <c r="H203" s="32" t="n">
        <v>4669.22</v>
      </c>
      <c r="I203" s="32" t="n">
        <v>233.79</v>
      </c>
      <c r="J203" s="32" t="n">
        <v>-2.63</v>
      </c>
      <c r="K203" s="32" t="n">
        <v>2011347</v>
      </c>
      <c r="L203" s="31" t="n">
        <v>72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61.71</v>
      </c>
      <c r="P203" s="32" t="n">
        <v>20.92</v>
      </c>
      <c r="Q203" s="32" t="inlineStr"/>
      <c r="R203" s="31" t="inlineStr">
        <is>
          <t>Earnings / Momentum Support</t>
        </is>
      </c>
      <c r="S203" s="31" t="inlineStr">
        <is>
          <t>Nifty IT</t>
        </is>
      </c>
      <c r="T203" s="32" t="n">
        <v>-21.31</v>
      </c>
      <c r="U203" s="32" t="n">
        <v>40.03</v>
      </c>
      <c r="V203" s="32" t="n">
        <v>77.95999999999999</v>
      </c>
      <c r="W203" s="32" t="n">
        <v>14.73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Headwind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3</t>
        </is>
      </c>
      <c r="BC203" s="31">
        <f>IF(BB203="Stage 2",20,IF(BB203="Stage 1",0,IF(BB203="Stage 3",5,IF(BB203="Stage 4",-5,0))))</f>
        <v/>
      </c>
      <c r="BD203" s="31" t="inlineStr">
        <is>
          <t>Negative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Less than 12%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IF(B204=0,"",RANK(B204,$B$2:$B$340,0))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WANBURY</t>
        </is>
      </c>
      <c r="D204" s="31" t="inlineStr">
        <is>
          <t>Wanbury Limited</t>
        </is>
      </c>
      <c r="E204" s="31" t="inlineStr">
        <is>
          <t>healthcare</t>
        </is>
      </c>
      <c r="F204" s="31" t="inlineStr">
        <is>
          <t>pharmaceuticals - indian - bulk drugs &amp; formln</t>
        </is>
      </c>
      <c r="G204" s="31" t="inlineStr">
        <is>
          <t>smallcap</t>
        </is>
      </c>
      <c r="H204" s="32" t="n">
        <v>1160.69</v>
      </c>
      <c r="I204" s="32" t="n">
        <v>340.95</v>
      </c>
      <c r="J204" s="32" t="n">
        <v>2.63</v>
      </c>
      <c r="K204" s="32" t="n">
        <v>445577</v>
      </c>
      <c r="L204" s="31" t="n">
        <v>59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66.48</v>
      </c>
      <c r="P204" s="32" t="n">
        <v>19.09</v>
      </c>
      <c r="Q204" s="32" t="inlineStr"/>
      <c r="R204" s="31" t="inlineStr">
        <is>
          <t>Earnings / Momentum Support</t>
        </is>
      </c>
      <c r="S204" s="31" t="inlineStr">
        <is>
          <t>Nifty Pharma</t>
        </is>
      </c>
      <c r="T204" s="32" t="n">
        <v>13.51</v>
      </c>
      <c r="U204" s="32" t="n">
        <v>21.17</v>
      </c>
      <c r="V204" s="32" t="n">
        <v>6.75</v>
      </c>
      <c r="W204" s="32" t="n">
        <v>10.76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Yes</t>
        </is>
      </c>
      <c r="AC204" s="31">
        <f>IF(AB204="No",5,0)</f>
        <v/>
      </c>
      <c r="AD204" s="31" t="inlineStr">
        <is>
          <t>Headwind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Annuity, Lower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0 to 20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3</t>
        </is>
      </c>
      <c r="BC204" s="31">
        <f>IF(BB204="Stage 2",20,IF(BB204="Stage 1",0,IF(BB204="Stage 3",5,IF(BB204="Stage 4",-5,0))))</f>
        <v/>
      </c>
      <c r="BD204" s="31" t="inlineStr">
        <is>
          <t>Negative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IF(B205=0,"",RANK(B205,$B$2:$B$340,0))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UNITDSPR</t>
        </is>
      </c>
      <c r="D205" s="31" t="inlineStr">
        <is>
          <t>United Spirits Ltd</t>
        </is>
      </c>
      <c r="E205" s="31" t="inlineStr">
        <is>
          <t>fmcg</t>
        </is>
      </c>
      <c r="F205" s="31" t="inlineStr">
        <is>
          <t>breweries &amp; distilleries</t>
        </is>
      </c>
      <c r="G205" s="31" t="inlineStr">
        <is>
          <t>largecap</t>
        </is>
      </c>
      <c r="H205" s="32" t="n">
        <v>100068.93</v>
      </c>
      <c r="I205" s="32" t="n">
        <v>1397</v>
      </c>
      <c r="J205" s="32" t="n">
        <v>1.54</v>
      </c>
      <c r="K205" s="32" t="n">
        <v>656234</v>
      </c>
      <c r="L205" s="31" t="n">
        <v>16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55.93</v>
      </c>
      <c r="P205" s="32" t="n">
        <v>12.81</v>
      </c>
      <c r="Q205" s="32" t="inlineStr"/>
      <c r="R205" s="31" t="inlineStr">
        <is>
          <t>Earnings / Momentum Support</t>
        </is>
      </c>
      <c r="S205" s="31" t="inlineStr">
        <is>
          <t>Nifty FMCG</t>
        </is>
      </c>
      <c r="T205" s="32" t="n">
        <v>-13.73</v>
      </c>
      <c r="U205" s="32" t="n">
        <v>2.78</v>
      </c>
      <c r="V205" s="32" t="n">
        <v>19.14</v>
      </c>
      <c r="W205" s="32" t="n">
        <v>1.87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Headwind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B2C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Annuity, Lower One Time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0 to 20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3</t>
        </is>
      </c>
      <c r="BC205" s="31">
        <f>IF(BB205="Stage 2",20,IF(BB205="Stage 1",0,IF(BB205="Stage 3",5,IF(BB205="Stage 4",-5,0))))</f>
        <v/>
      </c>
      <c r="BD205" s="31" t="inlineStr">
        <is>
          <t>Negative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Between 50% to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IF(B206=0,"",RANK(B206,$B$2:$B$340,0))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CAPLIPOINT</t>
        </is>
      </c>
      <c r="D206" s="31" t="inlineStr">
        <is>
          <t>Caplin Point Laboratories Limited</t>
        </is>
      </c>
      <c r="E206" s="31" t="inlineStr">
        <is>
          <t>healthcare</t>
        </is>
      </c>
      <c r="F206" s="31" t="inlineStr">
        <is>
          <t>pharmaceuticals - indian - formulations</t>
        </is>
      </c>
      <c r="G206" s="31" t="inlineStr">
        <is>
          <t>midcap</t>
        </is>
      </c>
      <c r="H206" s="32" t="n">
        <v>19870.98</v>
      </c>
      <c r="I206" s="32" t="n">
        <v>2649.2</v>
      </c>
      <c r="J206" s="32" t="n">
        <v>1.34</v>
      </c>
      <c r="K206" s="32" t="n">
        <v>68227</v>
      </c>
      <c r="L206" s="31" t="n">
        <v>76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81.15000000000001</v>
      </c>
      <c r="P206" s="32" t="n">
        <v>37.12</v>
      </c>
      <c r="Q206" s="32" t="inlineStr"/>
      <c r="R206" s="31" t="inlineStr">
        <is>
          <t>Earnings / Momentum Support</t>
        </is>
      </c>
      <c r="S206" s="31" t="inlineStr">
        <is>
          <t>Nifty Pharma</t>
        </is>
      </c>
      <c r="T206" s="32" t="n">
        <v>13.51</v>
      </c>
      <c r="U206" s="32" t="n">
        <v>24.7</v>
      </c>
      <c r="V206" s="32" t="n">
        <v>9.859999999999999</v>
      </c>
      <c r="W206" s="32" t="n">
        <v>15.86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Yes</t>
        </is>
      </c>
      <c r="AC206" s="31">
        <f>IF(AB206="No",5,0)</f>
        <v/>
      </c>
      <c r="AD206" s="31" t="inlineStr">
        <is>
          <t>Headwind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Annuity, Lower One Time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Above 75</t>
        </is>
      </c>
      <c r="BA206" s="31">
        <f>IF(AZ206="Between 50 to 75",10,IF(AZ206="Above 75",0,0))</f>
        <v/>
      </c>
      <c r="BB206" s="31" t="inlineStr">
        <is>
          <t>Stage 3</t>
        </is>
      </c>
      <c r="BC206" s="31">
        <f>IF(BB206="Stage 2",20,IF(BB206="Stage 1",0,IF(BB206="Stage 3",5,IF(BB206="Stage 4",-5,0))))</f>
        <v/>
      </c>
      <c r="BD206" s="31" t="inlineStr">
        <is>
          <t>Negative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Between 12 to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Between 1.5 to 2</t>
        </is>
      </c>
      <c r="BU206" s="31">
        <f>IF(BT206="Above 2",0,IF(BT206="Between 1.5 to 2",5,IF(BT206="Less than 1.5",10,0)))</f>
        <v/>
      </c>
      <c r="BV206" s="31" t="inlineStr">
        <is>
          <t>Between 50% to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IF(B207=0,"",RANK(B207,$B$2:$B$340,0))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3" t="inlineStr">
        <is>
          <t>DIVISLAB</t>
        </is>
      </c>
      <c r="D207" s="33" t="inlineStr">
        <is>
          <t>Divi's Laboratories Limited</t>
        </is>
      </c>
      <c r="E207" s="31" t="inlineStr">
        <is>
          <t>healthcare</t>
        </is>
      </c>
      <c r="F207" s="31" t="inlineStr">
        <is>
          <t>pharmaceuticals - indian - bulk drugs</t>
        </is>
      </c>
      <c r="G207" s="31" t="inlineStr">
        <is>
          <t>largecap</t>
        </is>
      </c>
      <c r="H207" s="32" t="n">
        <v>192398.35</v>
      </c>
      <c r="I207" s="32" t="n">
        <v>7318</v>
      </c>
      <c r="J207" s="32" t="n">
        <v>0.97</v>
      </c>
      <c r="K207" s="32" t="n">
        <v>434480</v>
      </c>
      <c r="L207" s="31" t="n">
        <v>32</v>
      </c>
      <c r="M207" s="31" t="inlineStr">
        <is>
          <t>Underperforming</t>
        </is>
      </c>
      <c r="N207" s="32">
        <f>IF(M207="Underperforming",-5,IF(L207&gt;=95,15,IF(L207&gt;=90,10,IF(L207&gt;=80,5,0))))</f>
        <v/>
      </c>
      <c r="O207" s="32" t="n">
        <v>70.19</v>
      </c>
      <c r="P207" s="32" t="n">
        <v>20.53</v>
      </c>
      <c r="Q207" s="32" t="inlineStr"/>
      <c r="R207" s="31" t="inlineStr">
        <is>
          <t>Earnings / Momentum Support</t>
        </is>
      </c>
      <c r="S207" s="31" t="inlineStr">
        <is>
          <t>Nifty Pharma</t>
        </is>
      </c>
      <c r="T207" s="32" t="n">
        <v>13.51</v>
      </c>
      <c r="U207" s="32" t="n">
        <v>8.16</v>
      </c>
      <c r="V207" s="32" t="n">
        <v>-4.72</v>
      </c>
      <c r="W207" s="32" t="n">
        <v>5.12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Yes</t>
        </is>
      </c>
      <c r="AC207" s="31">
        <f>IF(AB207="No",5,0)</f>
        <v/>
      </c>
      <c r="AD207" s="31" t="inlineStr">
        <is>
          <t>Headwind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Annuity, Lower One Time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3</t>
        </is>
      </c>
      <c r="BC207" s="31">
        <f>IF(BB207="Stage 2",20,IF(BB207="Stage 1",0,IF(BB207="Stage 3",5,IF(BB207="Stage 4",-5,0))))</f>
        <v/>
      </c>
      <c r="BD207" s="31" t="inlineStr">
        <is>
          <t>Negative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Between 12 to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IF(B208=0,"",RANK(B208,$B$2:$B$340,0))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HTMEDIA</t>
        </is>
      </c>
      <c r="D208" s="31" t="inlineStr">
        <is>
          <t>Ht Media Limited</t>
        </is>
      </c>
      <c r="E208" s="31" t="inlineStr">
        <is>
          <t>media</t>
        </is>
      </c>
      <c r="F208" s="31" t="inlineStr">
        <is>
          <t>entertainment / electronic media software</t>
        </is>
      </c>
      <c r="G208" s="31" t="inlineStr">
        <is>
          <t>smallcap</t>
        </is>
      </c>
      <c r="H208" s="32" t="n">
        <v>608.7</v>
      </c>
      <c r="I208" s="32" t="n">
        <v>26.29</v>
      </c>
      <c r="J208" s="32" t="n">
        <v>0.54</v>
      </c>
      <c r="K208" s="32" t="n">
        <v>90741</v>
      </c>
      <c r="L208" s="31" t="n">
        <v>30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65.06999999999999</v>
      </c>
      <c r="P208" s="32" t="n">
        <v>17.14</v>
      </c>
      <c r="Q208" s="32" t="inlineStr"/>
      <c r="R208" s="31" t="inlineStr">
        <is>
          <t>Earnings / Momentum Support</t>
        </is>
      </c>
      <c r="S208" s="31" t="inlineStr">
        <is>
          <t>Nifty IT</t>
        </is>
      </c>
      <c r="T208" s="32" t="n">
        <v>-21.31</v>
      </c>
      <c r="U208" s="32" t="n">
        <v>11.8</v>
      </c>
      <c r="V208" s="32" t="n">
        <v>42.08</v>
      </c>
      <c r="W208" s="32" t="n">
        <v>4.87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Headwind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Annuity, Lower One Time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0 to 20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3</t>
        </is>
      </c>
      <c r="BC208" s="31">
        <f>IF(BB208="Stage 2",20,IF(BB208="Stage 1",0,IF(BB208="Stage 3",5,IF(BB208="Stage 4",-5,0))))</f>
        <v/>
      </c>
      <c r="BD208" s="31" t="inlineStr">
        <is>
          <t>Negative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IF(B209=0,"",RANK(B209,$B$2:$B$340,0))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3" t="inlineStr">
        <is>
          <t>JLHL</t>
        </is>
      </c>
      <c r="D209" s="33" t="inlineStr">
        <is>
          <t>Jupiter Life Line Hospitals Ltd</t>
        </is>
      </c>
      <c r="E209" s="31" t="inlineStr">
        <is>
          <t>healthcare</t>
        </is>
      </c>
      <c r="F209" s="31" t="inlineStr">
        <is>
          <t>healthcare</t>
        </is>
      </c>
      <c r="G209" s="31" t="inlineStr">
        <is>
          <t>midcap</t>
        </is>
      </c>
      <c r="H209" s="32" t="n">
        <v>10182.4</v>
      </c>
      <c r="I209" s="32" t="n">
        <v>1558</v>
      </c>
      <c r="J209" s="32" t="n">
        <v>0.32</v>
      </c>
      <c r="K209" s="32" t="n">
        <v>39652</v>
      </c>
      <c r="L209" s="31" t="n">
        <v>36</v>
      </c>
      <c r="M209" s="31" t="inlineStr">
        <is>
          <t>Underperforming</t>
        </is>
      </c>
      <c r="N209" s="32">
        <f>IF(M209="Underperforming",-5,IF(L209&gt;=95,15,IF(L209&gt;=90,10,IF(L209&gt;=80,5,0))))</f>
        <v/>
      </c>
      <c r="O209" s="32" t="n">
        <v>71.52</v>
      </c>
      <c r="P209" s="32" t="n">
        <v>24.4</v>
      </c>
      <c r="Q209" s="32" t="inlineStr"/>
      <c r="R209" s="31" t="inlineStr">
        <is>
          <t>Earnings / Momentum Support</t>
        </is>
      </c>
      <c r="S209" s="31" t="inlineStr">
        <is>
          <t>Nifty Pharma</t>
        </is>
      </c>
      <c r="T209" s="32" t="n">
        <v>13.51</v>
      </c>
      <c r="U209" s="32" t="n">
        <v>4.3</v>
      </c>
      <c r="V209" s="32" t="n">
        <v>-8.109999999999999</v>
      </c>
      <c r="W209" s="32" t="n">
        <v>5.7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Yes</t>
        </is>
      </c>
      <c r="AC209" s="31">
        <f>IF(AB209="No",5,0)</f>
        <v/>
      </c>
      <c r="AD209" s="31" t="inlineStr">
        <is>
          <t>Headwind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Annuity, Lower One Time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3</t>
        </is>
      </c>
      <c r="BC209" s="31">
        <f>IF(BB209="Stage 2",20,IF(BB209="Stage 1",0,IF(BB209="Stage 3",5,IF(BB209="Stage 4",-5,0))))</f>
        <v/>
      </c>
      <c r="BD209" s="31" t="inlineStr">
        <is>
          <t>Negative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Between 12 to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IF(B210=0,"",RANK(B210,$B$2:$B$340,0))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DIACABS</t>
        </is>
      </c>
      <c r="D210" s="31" t="inlineStr">
        <is>
          <t>Diamond Power Infrastructure Ltd</t>
        </is>
      </c>
      <c r="E210" s="31" t="inlineStr">
        <is>
          <t>industrials</t>
        </is>
      </c>
      <c r="F210" s="31" t="inlineStr">
        <is>
          <t>cables - power</t>
        </is>
      </c>
      <c r="G210" s="31" t="inlineStr">
        <is>
          <t>midcap</t>
        </is>
      </c>
      <c r="H210" s="32" t="n">
        <v>11718.78</v>
      </c>
      <c r="I210" s="32" t="n">
        <v>244.61</v>
      </c>
      <c r="J210" s="32" t="n">
        <v>10</v>
      </c>
      <c r="K210" s="32" t="n">
        <v>9896915</v>
      </c>
      <c r="L210" s="31" t="n">
        <v>79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72.31</v>
      </c>
      <c r="P210" s="32" t="n">
        <v>52.59</v>
      </c>
      <c r="Q210" s="32" t="inlineStr"/>
      <c r="R210" s="31" t="inlineStr">
        <is>
          <t>Earnings / Momentum Support</t>
        </is>
      </c>
      <c r="S210" s="31" t="inlineStr">
        <is>
          <t>Nifty Energy</t>
        </is>
      </c>
      <c r="T210" s="32" t="n">
        <v>8.41</v>
      </c>
      <c r="U210" s="32" t="n">
        <v>31.69</v>
      </c>
      <c r="V210" s="32" t="n">
        <v>21.48</v>
      </c>
      <c r="W210" s="32" t="n">
        <v>17.59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Headwind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Above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3</t>
        </is>
      </c>
      <c r="BC210" s="31">
        <f>IF(BB210="Stage 2",20,IF(BB210="Stage 1",0,IF(BB210="Stage 3",5,IF(BB210="Stage 4",-5,0))))</f>
        <v/>
      </c>
      <c r="BD210" s="31" t="inlineStr">
        <is>
          <t>Negative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Negative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IF(B211=0,"",RANK(B211,$B$2:$B$340,0))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RICOAUTO</t>
        </is>
      </c>
      <c r="D211" s="31" t="inlineStr">
        <is>
          <t>Rico Auto Industries Limited</t>
        </is>
      </c>
      <c r="E211" s="31" t="inlineStr">
        <is>
          <t>auto</t>
        </is>
      </c>
      <c r="F211" s="31" t="inlineStr">
        <is>
          <t>auto ancillaries</t>
        </is>
      </c>
      <c r="G211" s="31" t="inlineStr">
        <is>
          <t>smallcap</t>
        </is>
      </c>
      <c r="H211" s="32" t="n">
        <v>1724.48</v>
      </c>
      <c r="I211" s="32" t="n">
        <v>138.36</v>
      </c>
      <c r="J211" s="32" t="n">
        <v>8.539999999999999</v>
      </c>
      <c r="K211" s="32" t="n">
        <v>6335691</v>
      </c>
      <c r="L211" s="31" t="n">
        <v>69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52.9</v>
      </c>
      <c r="P211" s="32" t="n">
        <v>30.32</v>
      </c>
      <c r="Q211" s="32" t="inlineStr"/>
      <c r="R211" s="31" t="inlineStr">
        <is>
          <t>Earnings / Momentum Support</t>
        </is>
      </c>
      <c r="S211" s="31" t="inlineStr">
        <is>
          <t>Nifty Auto</t>
        </is>
      </c>
      <c r="T211" s="32" t="n">
        <v>13.41</v>
      </c>
      <c r="U211" s="32" t="n">
        <v>69.67</v>
      </c>
      <c r="V211" s="32" t="n">
        <v>49.6</v>
      </c>
      <c r="W211" s="32" t="n">
        <v>13.64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Headwind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3</t>
        </is>
      </c>
      <c r="BC211" s="31">
        <f>IF(BB211="Stage 2",20,IF(BB211="Stage 1",0,IF(BB211="Stage 3",5,IF(BB211="Stage 4",-5,0))))</f>
        <v/>
      </c>
      <c r="BD211" s="31" t="inlineStr">
        <is>
          <t>Negative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Less than 12%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Between 0.7 to 1.2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IF(B212=0,"",RANK(B212,$B$2:$B$340,0))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3" t="inlineStr">
        <is>
          <t>LLOYDSENT</t>
        </is>
      </c>
      <c r="D212" s="33" t="inlineStr">
        <is>
          <t>Lloyds Enterprises Ltd</t>
        </is>
      </c>
      <c r="E212" s="31" t="inlineStr">
        <is>
          <t>services</t>
        </is>
      </c>
      <c r="F212" s="31" t="inlineStr">
        <is>
          <t>trading</t>
        </is>
      </c>
      <c r="G212" s="31" t="inlineStr">
        <is>
          <t>midcap</t>
        </is>
      </c>
      <c r="H212" s="32" t="n">
        <v>11891.84</v>
      </c>
      <c r="I212" s="32" t="n">
        <v>82.23</v>
      </c>
      <c r="J212" s="32" t="n">
        <v>5.56</v>
      </c>
      <c r="K212" s="32" t="n">
        <v>17344517</v>
      </c>
      <c r="L212" s="31" t="n">
        <v>31</v>
      </c>
      <c r="M212" s="31" t="inlineStr">
        <is>
          <t>Underperforming</t>
        </is>
      </c>
      <c r="N212" s="32">
        <f>IF(M212="Underperforming",-5,IF(L212&gt;=95,15,IF(L212&gt;=90,10,IF(L212&gt;=80,5,0))))</f>
        <v/>
      </c>
      <c r="O212" s="32" t="n">
        <v>62.36</v>
      </c>
      <c r="P212" s="32" t="n">
        <v>33.4</v>
      </c>
      <c r="Q212" s="32" t="inlineStr"/>
      <c r="R212" s="31" t="inlineStr">
        <is>
          <t>Earnings / Momentum Support</t>
        </is>
      </c>
      <c r="S212" s="31" t="inlineStr">
        <is>
          <t>Nifty 50</t>
        </is>
      </c>
      <c r="T212" s="32" t="n">
        <v>-2.54</v>
      </c>
      <c r="U212" s="32" t="n">
        <v>-3.14</v>
      </c>
      <c r="V212" s="32" t="n">
        <v>-0.61</v>
      </c>
      <c r="W212" s="32" t="n">
        <v>4.95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Headwind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3</t>
        </is>
      </c>
      <c r="BC212" s="31">
        <f>IF(BB212="Stage 2",20,IF(BB212="Stage 1",0,IF(BB212="Stage 3",5,IF(BB212="Stage 4",-5,0))))</f>
        <v/>
      </c>
      <c r="BD212" s="31" t="inlineStr">
        <is>
          <t>Negative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Less than 1.5</t>
        </is>
      </c>
      <c r="BU212" s="31">
        <f>IF(BT212="Above 2",0,IF(BT212="Between 1.5 to 2",5,IF(BT212="Less than 1.5",10,0)))</f>
        <v/>
      </c>
      <c r="BV212" s="31" t="inlineStr">
        <is>
          <t>Negative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IF(B213=0,"",RANK(B213,$B$2:$B$340,0))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ANTELOPUS</t>
        </is>
      </c>
      <c r="D213" s="31" t="inlineStr">
        <is>
          <t>Antelopus Selan Energy Ltd</t>
        </is>
      </c>
      <c r="E213" s="31" t="inlineStr">
        <is>
          <t>energy</t>
        </is>
      </c>
      <c r="F213" s="31" t="inlineStr">
        <is>
          <t>oil drilling / allied services</t>
        </is>
      </c>
      <c r="G213" s="31" t="inlineStr">
        <is>
          <t>smallcap</t>
        </is>
      </c>
      <c r="H213" s="32" t="n">
        <v>2886.13</v>
      </c>
      <c r="I213" s="32" t="n">
        <v>861.8</v>
      </c>
      <c r="J213" s="32" t="n">
        <v>5</v>
      </c>
      <c r="K213" s="32" t="n">
        <v>77843</v>
      </c>
      <c r="L213" s="31" t="n">
        <v>68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62.33</v>
      </c>
      <c r="P213" s="32" t="n">
        <v>51.07</v>
      </c>
      <c r="Q213" s="32" t="inlineStr"/>
      <c r="R213" s="31" t="inlineStr">
        <is>
          <t>Earnings / Momentum Support</t>
        </is>
      </c>
      <c r="S213" s="31" t="inlineStr">
        <is>
          <t>Nifty Energy</t>
        </is>
      </c>
      <c r="T213" s="32" t="n">
        <v>8.41</v>
      </c>
      <c r="U213" s="32" t="n">
        <v>25.19</v>
      </c>
      <c r="V213" s="32" t="n">
        <v>15.48</v>
      </c>
      <c r="W213" s="32" t="n">
        <v>13.1</v>
      </c>
      <c r="X213" s="31" t="inlineStr">
        <is>
          <t>Cyclical in an Upturn</t>
        </is>
      </c>
      <c r="Y213" s="31">
        <f>IF(X213="Growing Industry",10,IF(X213="Cyclical in an Upturn",5,0))</f>
        <v/>
      </c>
      <c r="Z213" s="31" t="inlineStr">
        <is>
          <t>Oligopoly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Yes</t>
        </is>
      </c>
      <c r="AC213" s="31">
        <f>IF(AB213="No",5,0)</f>
        <v/>
      </c>
      <c r="AD213" s="31" t="inlineStr">
        <is>
          <t>Headwind</t>
        </is>
      </c>
      <c r="AE213" s="31">
        <f>IF(AD213="Tailwind",10,0)</f>
        <v/>
      </c>
      <c r="AF213" s="31" t="inlineStr">
        <is>
          <t>Cyclical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Volatile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Above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3</t>
        </is>
      </c>
      <c r="BC213" s="31">
        <f>IF(BB213="Stage 2",20,IF(BB213="Stage 1",0,IF(BB213="Stage 3",5,IF(BB213="Stage 4",-5,0))))</f>
        <v/>
      </c>
      <c r="BD213" s="31" t="inlineStr">
        <is>
          <t>Negative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IF(B214=0,"",RANK(B214,$B$2:$B$340,0))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CYIENTDLM</t>
        </is>
      </c>
      <c r="D214" s="31" t="inlineStr">
        <is>
          <t>Cyient DLM Ltd</t>
        </is>
      </c>
      <c r="E214" s="31" t="inlineStr">
        <is>
          <t>consumer discretionary</t>
        </is>
      </c>
      <c r="F214" s="31" t="inlineStr">
        <is>
          <t>electronics - components</t>
        </is>
      </c>
      <c r="G214" s="31" t="inlineStr">
        <is>
          <t>smallcap</t>
        </is>
      </c>
      <c r="H214" s="32" t="n">
        <v>4592.42</v>
      </c>
      <c r="I214" s="32" t="n">
        <v>596.05</v>
      </c>
      <c r="J214" s="32" t="n">
        <v>3.01</v>
      </c>
      <c r="K214" s="32" t="n">
        <v>684761</v>
      </c>
      <c r="L214" s="31" t="n">
        <v>85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77.25</v>
      </c>
      <c r="P214" s="32" t="n">
        <v>48.07</v>
      </c>
      <c r="Q214" s="32" t="inlineStr"/>
      <c r="R214" s="31" t="inlineStr">
        <is>
          <t>Earnings / Momentum Support</t>
        </is>
      </c>
      <c r="S214" s="31" t="inlineStr">
        <is>
          <t>Nifty 50</t>
        </is>
      </c>
      <c r="T214" s="32" t="n">
        <v>-2.54</v>
      </c>
      <c r="U214" s="32" t="n">
        <v>20.92</v>
      </c>
      <c r="V214" s="32" t="n">
        <v>24.07</v>
      </c>
      <c r="W214" s="32" t="n">
        <v>21.45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Headwind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Above 40</t>
        </is>
      </c>
      <c r="AY214" s="31">
        <f>IF(AX214="Above 40",20,IF(AX214="20 to 40",10,IF(AX214="0 to 20",-5,0)))</f>
        <v/>
      </c>
      <c r="AZ214" s="31" t="inlineStr">
        <is>
          <t>Above 75</t>
        </is>
      </c>
      <c r="BA214" s="31">
        <f>IF(AZ214="Between 50 to 75",10,IF(AZ214="Above 75",0,0))</f>
        <v/>
      </c>
      <c r="BB214" s="31" t="inlineStr">
        <is>
          <t>Stage 3</t>
        </is>
      </c>
      <c r="BC214" s="31">
        <f>IF(BB214="Stage 2",20,IF(BB214="Stage 1",0,IF(BB214="Stage 3",5,IF(BB214="Stage 4",-5,0))))</f>
        <v/>
      </c>
      <c r="BD214" s="31" t="inlineStr">
        <is>
          <t>Negative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Less than 50%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IF(B215=0,"",RANK(B215,$B$2:$B$340,0))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NHPC</t>
        </is>
      </c>
      <c r="D215" s="31" t="inlineStr">
        <is>
          <t>Nhpc Limited</t>
        </is>
      </c>
      <c r="E215" s="31" t="inlineStr">
        <is>
          <t>power &amp; utilities</t>
        </is>
      </c>
      <c r="F215" s="31" t="inlineStr">
        <is>
          <t>power generation and supply</t>
        </is>
      </c>
      <c r="G215" s="31" t="inlineStr">
        <is>
          <t>largecap</t>
        </is>
      </c>
      <c r="H215" s="32" t="n">
        <v>79556.67999999999</v>
      </c>
      <c r="I215" s="32" t="n">
        <v>81</v>
      </c>
      <c r="J215" s="32" t="n">
        <v>2.27</v>
      </c>
      <c r="K215" s="32" t="n">
        <v>12119668</v>
      </c>
      <c r="L215" s="31" t="n">
        <v>3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51.74</v>
      </c>
      <c r="P215" s="32" t="n">
        <v>15.29</v>
      </c>
      <c r="Q215" s="32" t="inlineStr"/>
      <c r="R215" s="31" t="inlineStr">
        <is>
          <t>Earnings / Momentum Support</t>
        </is>
      </c>
      <c r="S215" s="31" t="inlineStr">
        <is>
          <t>Nifty IT</t>
        </is>
      </c>
      <c r="T215" s="32" t="n">
        <v>-21.31</v>
      </c>
      <c r="U215" s="32" t="n">
        <v>-6.79</v>
      </c>
      <c r="V215" s="32" t="n">
        <v>18.45</v>
      </c>
      <c r="W215" s="32" t="n">
        <v>-2.33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Headwind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0 to 20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3</t>
        </is>
      </c>
      <c r="BC215" s="31">
        <f>IF(BB215="Stage 2",20,IF(BB215="Stage 1",0,IF(BB215="Stage 3",5,IF(BB215="Stage 4",-5,0))))</f>
        <v/>
      </c>
      <c r="BD215" s="31" t="inlineStr">
        <is>
          <t>Negative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Less than 1.5</t>
        </is>
      </c>
      <c r="BU215" s="31">
        <f>IF(BT215="Above 2",0,IF(BT215="Between 1.5 to 2",5,IF(BT215="Less than 1.5",10,0)))</f>
        <v/>
      </c>
      <c r="BV215" s="31" t="inlineStr">
        <is>
          <t>Between 50% to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Between 0.7 to 1.2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IF(B216=0,"",RANK(B216,$B$2:$B$340,0))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SOTL</t>
        </is>
      </c>
      <c r="D216" s="31" t="inlineStr">
        <is>
          <t>Savita Oil Technologies Limited</t>
        </is>
      </c>
      <c r="E216" s="31" t="inlineStr">
        <is>
          <t>energy</t>
        </is>
      </c>
      <c r="F216" s="31" t="inlineStr">
        <is>
          <t>petrochemicals</t>
        </is>
      </c>
      <c r="G216" s="31" t="inlineStr">
        <is>
          <t>smallcap</t>
        </is>
      </c>
      <c r="H216" s="32" t="n">
        <v>3978.22</v>
      </c>
      <c r="I216" s="32" t="n">
        <v>589.65</v>
      </c>
      <c r="J216" s="32" t="n">
        <v>1.62</v>
      </c>
      <c r="K216" s="32" t="n">
        <v>232633</v>
      </c>
      <c r="L216" s="31" t="n">
        <v>85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65.51000000000001</v>
      </c>
      <c r="P216" s="32" t="n">
        <v>39.26</v>
      </c>
      <c r="Q216" s="32" t="inlineStr"/>
      <c r="R216" s="31" t="inlineStr">
        <is>
          <t>Earnings / Momentum Support</t>
        </is>
      </c>
      <c r="S216" s="31" t="inlineStr">
        <is>
          <t>Nifty Energy</t>
        </is>
      </c>
      <c r="T216" s="32" t="n">
        <v>8.41</v>
      </c>
      <c r="U216" s="32" t="n">
        <v>39.93</v>
      </c>
      <c r="V216" s="32" t="n">
        <v>29.08</v>
      </c>
      <c r="W216" s="32" t="n">
        <v>21.2</v>
      </c>
      <c r="X216" s="31" t="inlineStr">
        <is>
          <t>Cyclical in an Upturn</t>
        </is>
      </c>
      <c r="Y216" s="31">
        <f>IF(X216="Growing Industry",10,IF(X216="Cyclical in an Upturn",5,0))</f>
        <v/>
      </c>
      <c r="Z216" s="31" t="inlineStr">
        <is>
          <t>Oligopoly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Yes</t>
        </is>
      </c>
      <c r="AC216" s="31">
        <f>IF(AB216="No",5,0)</f>
        <v/>
      </c>
      <c r="AD216" s="31" t="inlineStr">
        <is>
          <t>Headwind</t>
        </is>
      </c>
      <c r="AE216" s="31">
        <f>IF(AD216="Tailwind",10,0)</f>
        <v/>
      </c>
      <c r="AF216" s="31" t="inlineStr">
        <is>
          <t>Cyclical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Volatile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3</t>
        </is>
      </c>
      <c r="BC216" s="31">
        <f>IF(BB216="Stage 2",20,IF(BB216="Stage 1",0,IF(BB216="Stage 3",5,IF(BB216="Stage 4",-5,0))))</f>
        <v/>
      </c>
      <c r="BD216" s="31" t="inlineStr">
        <is>
          <t>Negative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Less than 1.5</t>
        </is>
      </c>
      <c r="BU216" s="31">
        <f>IF(BT216="Above 2",0,IF(BT216="Between 1.5 to 2",5,IF(BT216="Less than 1.5",10,0)))</f>
        <v/>
      </c>
      <c r="BV216" s="31" t="inlineStr">
        <is>
          <t>Between 50% to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IF(B217=0,"",RANK(B217,$B$2:$B$340,0))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3" t="inlineStr">
        <is>
          <t>GODREJPROP</t>
        </is>
      </c>
      <c r="D217" s="33" t="inlineStr">
        <is>
          <t>Godrej Properties Limited</t>
        </is>
      </c>
      <c r="E217" s="31" t="inlineStr">
        <is>
          <t>realty</t>
        </is>
      </c>
      <c r="F217" s="31" t="inlineStr">
        <is>
          <t>construction</t>
        </is>
      </c>
      <c r="G217" s="31" t="inlineStr">
        <is>
          <t>largecap</t>
        </is>
      </c>
      <c r="H217" s="32" t="n">
        <v>63316.59</v>
      </c>
      <c r="I217" s="32" t="n">
        <v>2118.7</v>
      </c>
      <c r="J217" s="32" t="n">
        <v>0.79</v>
      </c>
      <c r="K217" s="32" t="n">
        <v>362804</v>
      </c>
      <c r="L217" s="31" t="n">
        <v>17</v>
      </c>
      <c r="M217" s="31" t="inlineStr">
        <is>
          <t>Underperforming</t>
        </is>
      </c>
      <c r="N217" s="32">
        <f>IF(M217="Underperforming",-5,IF(L217&gt;=95,15,IF(L217&gt;=90,10,IF(L217&gt;=80,5,0))))</f>
        <v/>
      </c>
      <c r="O217" s="32" t="n">
        <v>62.72</v>
      </c>
      <c r="P217" s="32" t="n">
        <v>10.46</v>
      </c>
      <c r="Q217" s="32" t="inlineStr"/>
      <c r="R217" s="31" t="inlineStr">
        <is>
          <t>Earnings / Momentum Support</t>
        </is>
      </c>
      <c r="S217" s="31" t="inlineStr">
        <is>
          <t>Nifty Realty</t>
        </is>
      </c>
      <c r="T217" s="32" t="n">
        <v>-8.119999999999999</v>
      </c>
      <c r="U217" s="32" t="n">
        <v>-11.13</v>
      </c>
      <c r="V217" s="32" t="n">
        <v>-3.28</v>
      </c>
      <c r="W217" s="32" t="n">
        <v>2.23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Headwind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0 to 20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3</t>
        </is>
      </c>
      <c r="BC217" s="31">
        <f>IF(BB217="Stage 2",20,IF(BB217="Stage 1",0,IF(BB217="Stage 3",5,IF(BB217="Stage 4",-5,0))))</f>
        <v/>
      </c>
      <c r="BD217" s="31" t="inlineStr">
        <is>
          <t>Negative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Less than 1.5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Between 0.7 to 1.2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IF(B218=0,"",RANK(B218,$B$2:$B$340,0))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ADANIENT</t>
        </is>
      </c>
      <c r="D218" s="31" t="inlineStr">
        <is>
          <t>Adani Enterprises Limited</t>
        </is>
      </c>
      <c r="E218" s="31" t="inlineStr">
        <is>
          <t>services</t>
        </is>
      </c>
      <c r="F218" s="31" t="inlineStr">
        <is>
          <t>trading</t>
        </is>
      </c>
      <c r="G218" s="31" t="inlineStr">
        <is>
          <t>largecap</t>
        </is>
      </c>
      <c r="H218" s="32" t="n">
        <v>427871.1</v>
      </c>
      <c r="I218" s="32" t="n">
        <v>3183.3</v>
      </c>
      <c r="J218" s="32" t="n">
        <v>0.72</v>
      </c>
      <c r="K218" s="32" t="n">
        <v>994798</v>
      </c>
      <c r="L218" s="31" t="n">
        <v>71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71.8</v>
      </c>
      <c r="P218" s="32" t="n">
        <v>40.46</v>
      </c>
      <c r="Q218" s="32" t="inlineStr"/>
      <c r="R218" s="31" t="inlineStr">
        <is>
          <t>Earnings / Momentum Support</t>
        </is>
      </c>
      <c r="S218" s="31" t="inlineStr">
        <is>
          <t>Nifty 50</t>
        </is>
      </c>
      <c r="T218" s="32" t="n">
        <v>-2.54</v>
      </c>
      <c r="U218" s="32" t="n">
        <v>21.8</v>
      </c>
      <c r="V218" s="32" t="n">
        <v>24.98</v>
      </c>
      <c r="W218" s="32" t="n">
        <v>14.15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Headwind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Above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3</t>
        </is>
      </c>
      <c r="BC218" s="31">
        <f>IF(BB218="Stage 2",20,IF(BB218="Stage 1",0,IF(BB218="Stage 3",5,IF(BB218="Stage 4",-5,0))))</f>
        <v/>
      </c>
      <c r="BD218" s="31" t="inlineStr">
        <is>
          <t>Negative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Less than 50% and Borrowings are increasing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Between 0.7 to 1.2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IF(B219=0,"",RANK(B219,$B$2:$B$340,0))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DEEPAKFERT</t>
        </is>
      </c>
      <c r="D219" s="31" t="inlineStr">
        <is>
          <t>Deepak Fertilizers And Petrochemicals Corporation Limited</t>
        </is>
      </c>
      <c r="E219" s="31" t="inlineStr">
        <is>
          <t>chemicals</t>
        </is>
      </c>
      <c r="F219" s="31" t="inlineStr">
        <is>
          <t>chemicals</t>
        </is>
      </c>
      <c r="G219" s="31" t="inlineStr">
        <is>
          <t>largecap</t>
        </is>
      </c>
      <c r="H219" s="32" t="n">
        <v>20122.31</v>
      </c>
      <c r="I219" s="32" t="n">
        <v>1605.1</v>
      </c>
      <c r="J219" s="32" t="n">
        <v>0.7</v>
      </c>
      <c r="K219" s="32" t="n">
        <v>146849</v>
      </c>
      <c r="L219" s="31" t="n">
        <v>46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65.28</v>
      </c>
      <c r="P219" s="32" t="n">
        <v>42.7</v>
      </c>
      <c r="Q219" s="32" t="inlineStr"/>
      <c r="R219" s="31" t="inlineStr">
        <is>
          <t>Earnings / Momentum Support</t>
        </is>
      </c>
      <c r="S219" s="31" t="inlineStr">
        <is>
          <t>Nifty 50</t>
        </is>
      </c>
      <c r="T219" s="32" t="n">
        <v>-2.54</v>
      </c>
      <c r="U219" s="32" t="n">
        <v>1.52</v>
      </c>
      <c r="V219" s="32" t="n">
        <v>4.16</v>
      </c>
      <c r="W219" s="32" t="n">
        <v>7.35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Headwind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Above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3</t>
        </is>
      </c>
      <c r="BC219" s="31">
        <f>IF(BB219="Stage 2",20,IF(BB219="Stage 1",0,IF(BB219="Stage 3",5,IF(BB219="Stage 4",-5,0))))</f>
        <v/>
      </c>
      <c r="BD219" s="31" t="inlineStr">
        <is>
          <t>Negative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Less than 12%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Less than 50%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Between 0.7 to 1.2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IF(B220=0,"",RANK(B220,$B$2:$B$340,0))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3" t="inlineStr">
        <is>
          <t>BOSCHLTD</t>
        </is>
      </c>
      <c r="D220" s="33" t="inlineStr">
        <is>
          <t>Bosch Limited</t>
        </is>
      </c>
      <c r="E220" s="31" t="inlineStr">
        <is>
          <t>auto</t>
        </is>
      </c>
      <c r="F220" s="31" t="inlineStr">
        <is>
          <t>auto ancillaries</t>
        </is>
      </c>
      <c r="G220" s="31" t="inlineStr">
        <is>
          <t>largecap</t>
        </is>
      </c>
      <c r="H220" s="32" t="n">
        <v>120496.27</v>
      </c>
      <c r="I220" s="32" t="n">
        <v>41120</v>
      </c>
      <c r="J220" s="32" t="n">
        <v>0.65</v>
      </c>
      <c r="K220" s="32" t="n">
        <v>26597</v>
      </c>
      <c r="L220" s="31" t="n">
        <v>24</v>
      </c>
      <c r="M220" s="31" t="inlineStr">
        <is>
          <t>Underperforming</t>
        </is>
      </c>
      <c r="N220" s="32">
        <f>IF(M220="Underperforming",-5,IF(L220&gt;=95,15,IF(L220&gt;=90,10,IF(L220&gt;=80,5,0))))</f>
        <v/>
      </c>
      <c r="O220" s="32" t="n">
        <v>61.13</v>
      </c>
      <c r="P220" s="32" t="n">
        <v>26.54</v>
      </c>
      <c r="Q220" s="32" t="inlineStr"/>
      <c r="R220" s="31" t="inlineStr">
        <is>
          <t>Earnings / Momentum Support</t>
        </is>
      </c>
      <c r="S220" s="31" t="inlineStr">
        <is>
          <t>Nifty Auto</t>
        </is>
      </c>
      <c r="T220" s="32" t="n">
        <v>13.41</v>
      </c>
      <c r="U220" s="32" t="n">
        <v>8.26</v>
      </c>
      <c r="V220" s="32" t="n">
        <v>-4.55</v>
      </c>
      <c r="W220" s="32" t="n">
        <v>3.48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Headwind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3</t>
        </is>
      </c>
      <c r="BC220" s="31">
        <f>IF(BB220="Stage 2",20,IF(BB220="Stage 1",0,IF(BB220="Stage 3",5,IF(BB220="Stage 4",-5,0))))</f>
        <v/>
      </c>
      <c r="BD220" s="31" t="inlineStr">
        <is>
          <t>Negative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Less than 12%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IF(B221=0,"",RANK(B221,$B$2:$B$340,0))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HIRECT</t>
        </is>
      </c>
      <c r="D221" s="31" t="inlineStr">
        <is>
          <t>Hind Rectifiers Limited</t>
        </is>
      </c>
      <c r="E221" s="31" t="inlineStr">
        <is>
          <t>consumer discretionary</t>
        </is>
      </c>
      <c r="F221" s="31" t="inlineStr">
        <is>
          <t>electronics - components</t>
        </is>
      </c>
      <c r="G221" s="31" t="inlineStr">
        <is>
          <t>smallcap</t>
        </is>
      </c>
      <c r="H221" s="32" t="n">
        <v>4277.63</v>
      </c>
      <c r="I221" s="32" t="n">
        <v>1252.1</v>
      </c>
      <c r="J221" s="32" t="n">
        <v>0.61</v>
      </c>
      <c r="K221" s="32" t="n">
        <v>85199</v>
      </c>
      <c r="L221" s="31" t="n">
        <v>87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74.18000000000001</v>
      </c>
      <c r="P221" s="32" t="n">
        <v>31.73</v>
      </c>
      <c r="Q221" s="32" t="inlineStr"/>
      <c r="R221" s="31" t="inlineStr">
        <is>
          <t>Earnings / Momentum Support</t>
        </is>
      </c>
      <c r="S221" s="31" t="inlineStr">
        <is>
          <t>Nifty Infra</t>
        </is>
      </c>
      <c r="T221" s="32" t="n">
        <v>1.74</v>
      </c>
      <c r="U221" s="32" t="n">
        <v>87.20999999999999</v>
      </c>
      <c r="V221" s="32" t="n">
        <v>84.01000000000001</v>
      </c>
      <c r="W221" s="32" t="n">
        <v>22.67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Headwind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3</t>
        </is>
      </c>
      <c r="BC221" s="31">
        <f>IF(BB221="Stage 2",20,IF(BB221="Stage 1",0,IF(BB221="Stage 3",5,IF(BB221="Stage 4",-5,0))))</f>
        <v/>
      </c>
      <c r="BD221" s="31" t="inlineStr">
        <is>
          <t>Negative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Between 0.7 to 1.2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IF(B222=0,"",RANK(B222,$B$2:$B$340,0))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AVL</t>
        </is>
      </c>
      <c r="D222" s="31" t="inlineStr">
        <is>
          <t>Aditya Vision Ltd</t>
        </is>
      </c>
      <c r="E222" s="31" t="inlineStr">
        <is>
          <t>consumer discretionary</t>
        </is>
      </c>
      <c r="F222" s="31" t="inlineStr">
        <is>
          <t>trading</t>
        </is>
      </c>
      <c r="G222" s="31" t="inlineStr">
        <is>
          <t>midcap</t>
        </is>
      </c>
      <c r="H222" s="32" t="n">
        <v>8191.23</v>
      </c>
      <c r="I222" s="32" t="n">
        <v>637.3</v>
      </c>
      <c r="J222" s="32" t="n">
        <v>0.47</v>
      </c>
      <c r="K222" s="32" t="n">
        <v>56958</v>
      </c>
      <c r="L222" s="31" t="n">
        <v>76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65.87</v>
      </c>
      <c r="P222" s="32" t="n">
        <v>39.65</v>
      </c>
      <c r="Q222" s="32" t="inlineStr"/>
      <c r="R222" s="31" t="inlineStr">
        <is>
          <t>Earnings / Momentum Support</t>
        </is>
      </c>
      <c r="S222" s="31" t="inlineStr">
        <is>
          <t>Nifty 50</t>
        </is>
      </c>
      <c r="T222" s="32" t="n">
        <v>-2.54</v>
      </c>
      <c r="U222" s="32" t="n">
        <v>64.77</v>
      </c>
      <c r="V222" s="32" t="n">
        <v>69.06999999999999</v>
      </c>
      <c r="W222" s="32" t="n">
        <v>16.23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Headwind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3</t>
        </is>
      </c>
      <c r="BC222" s="31">
        <f>IF(BB222="Stage 2",20,IF(BB222="Stage 1",0,IF(BB222="Stage 3",5,IF(BB222="Stage 4",-5,0))))</f>
        <v/>
      </c>
      <c r="BD222" s="31" t="inlineStr">
        <is>
          <t>Negative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Between 1.5 to 2</t>
        </is>
      </c>
      <c r="BU222" s="31">
        <f>IF(BT222="Above 2",0,IF(BT222="Between 1.5 to 2",5,IF(BT222="Less than 1.5",10,0)))</f>
        <v/>
      </c>
      <c r="BV222" s="31" t="inlineStr">
        <is>
          <t>Less than 50%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Between 0.7 to 1.2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IF(B223=0,"",RANK(B223,$B$2:$B$340,0))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NAUKRI</t>
        </is>
      </c>
      <c r="D223" s="31" t="inlineStr">
        <is>
          <t>Info Edge (india) Limited</t>
        </is>
      </c>
      <c r="E223" s="31" t="inlineStr">
        <is>
          <t>i.t</t>
        </is>
      </c>
      <c r="F223" s="31" t="inlineStr">
        <is>
          <t>miscellaneous</t>
        </is>
      </c>
      <c r="G223" s="31" t="inlineStr">
        <is>
          <t>largecap</t>
        </is>
      </c>
      <c r="H223" s="32" t="n">
        <v>76983.74000000001</v>
      </c>
      <c r="I223" s="32" t="n">
        <v>1191.5</v>
      </c>
      <c r="J223" s="32" t="n">
        <v>0.36</v>
      </c>
      <c r="K223" s="32" t="n">
        <v>3300086</v>
      </c>
      <c r="L223" s="31" t="n">
        <v>11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60.74</v>
      </c>
      <c r="P223" s="32" t="n">
        <v>18.9</v>
      </c>
      <c r="Q223" s="32" t="inlineStr"/>
      <c r="R223" s="31" t="inlineStr">
        <is>
          <t>Earnings / Momentum Support</t>
        </is>
      </c>
      <c r="S223" s="31" t="inlineStr">
        <is>
          <t>Nifty IT</t>
        </is>
      </c>
      <c r="T223" s="32" t="n">
        <v>-21.31</v>
      </c>
      <c r="U223" s="32" t="n">
        <v>-12.45</v>
      </c>
      <c r="V223" s="32" t="n">
        <v>11.26</v>
      </c>
      <c r="W223" s="32" t="n">
        <v>0.5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Headwind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0 to 20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3</t>
        </is>
      </c>
      <c r="BC223" s="31">
        <f>IF(BB223="Stage 2",20,IF(BB223="Stage 1",0,IF(BB223="Stage 3",5,IF(BB223="Stage 4",-5,0))))</f>
        <v/>
      </c>
      <c r="BD223" s="31" t="inlineStr">
        <is>
          <t>Negative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IF(B224=0,"",RANK(B224,$B$2:$B$340,0))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PANACHE</t>
        </is>
      </c>
      <c r="D224" s="31" t="inlineStr">
        <is>
          <t>Panache Digilife Ltd</t>
        </is>
      </c>
      <c r="E224" s="31" t="inlineStr">
        <is>
          <t>i.t</t>
        </is>
      </c>
      <c r="F224" s="31" t="inlineStr">
        <is>
          <t>computers - hardware</t>
        </is>
      </c>
      <c r="G224" s="31" t="inlineStr">
        <is>
          <t>smallcap</t>
        </is>
      </c>
      <c r="H224" s="32" t="n">
        <v>690.2</v>
      </c>
      <c r="I224" s="32" t="n">
        <v>431</v>
      </c>
      <c r="J224" s="32" t="n">
        <v>0</v>
      </c>
      <c r="K224" s="32" t="n">
        <v>23501</v>
      </c>
      <c r="L224" s="31" t="n">
        <v>87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62.68</v>
      </c>
      <c r="P224" s="32" t="n">
        <v>22.3</v>
      </c>
      <c r="Q224" s="32" t="inlineStr"/>
      <c r="R224" s="31" t="inlineStr">
        <is>
          <t>Earnings / Momentum Support</t>
        </is>
      </c>
      <c r="S224" s="31" t="inlineStr">
        <is>
          <t>Nifty IT</t>
        </is>
      </c>
      <c r="T224" s="32" t="n">
        <v>-21.31</v>
      </c>
      <c r="U224" s="32" t="n">
        <v>68.3</v>
      </c>
      <c r="V224" s="32" t="n">
        <v>113.88</v>
      </c>
      <c r="W224" s="32" t="n">
        <v>22.59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Headwind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3</t>
        </is>
      </c>
      <c r="BC224" s="31">
        <f>IF(BB224="Stage 2",20,IF(BB224="Stage 1",0,IF(BB224="Stage 3",5,IF(BB224="Stage 4",-5,0))))</f>
        <v/>
      </c>
      <c r="BD224" s="31" t="inlineStr">
        <is>
          <t>Negative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Negative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IF(B225=0,"",RANK(B225,$B$2:$B$340,0))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SBC</t>
        </is>
      </c>
      <c r="D225" s="31" t="inlineStr">
        <is>
          <t>SBC Exports Ltd</t>
        </is>
      </c>
      <c r="E225" s="31" t="inlineStr">
        <is>
          <t>textiles</t>
        </is>
      </c>
      <c r="F225" s="31" t="inlineStr">
        <is>
          <t>textiles - products</t>
        </is>
      </c>
      <c r="G225" s="31" t="inlineStr">
        <is>
          <t>smallcap</t>
        </is>
      </c>
      <c r="H225" s="32" t="n">
        <v>2012.86</v>
      </c>
      <c r="I225" s="32" t="n">
        <v>42.24</v>
      </c>
      <c r="J225" s="32" t="n">
        <v>-0.07000000000000001</v>
      </c>
      <c r="K225" s="32" t="n">
        <v>4992711</v>
      </c>
      <c r="L225" s="31" t="n">
        <v>90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73.16</v>
      </c>
      <c r="P225" s="32" t="n">
        <v>41.51</v>
      </c>
      <c r="Q225" s="32" t="inlineStr"/>
      <c r="R225" s="31" t="inlineStr">
        <is>
          <t>Earnings / Momentum Support</t>
        </is>
      </c>
      <c r="S225" s="31" t="inlineStr">
        <is>
          <t>Nifty 50</t>
        </is>
      </c>
      <c r="T225" s="32" t="n">
        <v>-2.54</v>
      </c>
      <c r="U225" s="32" t="n">
        <v>156.34</v>
      </c>
      <c r="V225" s="32" t="n">
        <v>163.02</v>
      </c>
      <c r="W225" s="32" t="n">
        <v>27.09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Headwind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Above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3</t>
        </is>
      </c>
      <c r="BC225" s="31">
        <f>IF(BB225="Stage 2",20,IF(BB225="Stage 1",0,IF(BB225="Stage 3",5,IF(BB225="Stage 4",-5,0))))</f>
        <v/>
      </c>
      <c r="BD225" s="31" t="inlineStr">
        <is>
          <t>Negative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Between 1.5 to 2</t>
        </is>
      </c>
      <c r="BU225" s="31">
        <f>IF(BT225="Above 2",0,IF(BT225="Between 1.5 to 2",5,IF(BT225="Less than 1.5",10,0)))</f>
        <v/>
      </c>
      <c r="BV225" s="31" t="inlineStr">
        <is>
          <t>Negative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More than 1.2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IF(B226=0,"",RANK(B226,$B$2:$B$340,0))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INGERRAND</t>
        </is>
      </c>
      <c r="D226" s="31" t="inlineStr">
        <is>
          <t>Ingersoll Rand (india) Limited</t>
        </is>
      </c>
      <c r="E226" s="31" t="inlineStr">
        <is>
          <t>industrials</t>
        </is>
      </c>
      <c r="F226" s="31" t="inlineStr">
        <is>
          <t>compressors / drilling equipment</t>
        </is>
      </c>
      <c r="G226" s="31" t="inlineStr">
        <is>
          <t>midcap</t>
        </is>
      </c>
      <c r="H226" s="32" t="n">
        <v>14430.36</v>
      </c>
      <c r="I226" s="32" t="n">
        <v>4562.9</v>
      </c>
      <c r="J226" s="32" t="n">
        <v>-0.18</v>
      </c>
      <c r="K226" s="32" t="n">
        <v>8254</v>
      </c>
      <c r="L226" s="31" t="n">
        <v>35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60.58</v>
      </c>
      <c r="P226" s="32" t="n">
        <v>28.12</v>
      </c>
      <c r="Q226" s="32" t="inlineStr"/>
      <c r="R226" s="31" t="inlineStr">
        <is>
          <t>Earnings / Momentum Support</t>
        </is>
      </c>
      <c r="S226" s="31" t="inlineStr">
        <is>
          <t>Nifty 50</t>
        </is>
      </c>
      <c r="T226" s="32" t="n">
        <v>-2.54</v>
      </c>
      <c r="U226" s="32" t="n">
        <v>12.13</v>
      </c>
      <c r="V226" s="32" t="n">
        <v>15.05</v>
      </c>
      <c r="W226" s="32" t="n">
        <v>5.69</v>
      </c>
      <c r="X226" s="31" t="inlineStr">
        <is>
          <t>Cyclical in an Upturn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Headwind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3</t>
        </is>
      </c>
      <c r="BC226" s="31">
        <f>IF(BB226="Stage 2",20,IF(BB226="Stage 1",0,IF(BB226="Stage 3",5,IF(BB226="Stage 4",-5,0))))</f>
        <v/>
      </c>
      <c r="BD226" s="31" t="inlineStr">
        <is>
          <t>Negative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IF(B227=0,"",RANK(B227,$B$2:$B$340,0))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3" t="inlineStr">
        <is>
          <t>MUNJALSHOW</t>
        </is>
      </c>
      <c r="D227" s="33" t="inlineStr">
        <is>
          <t>Munjal Showa Limited</t>
        </is>
      </c>
      <c r="E227" s="31" t="inlineStr">
        <is>
          <t>auto</t>
        </is>
      </c>
      <c r="F227" s="31" t="inlineStr">
        <is>
          <t>auto ancillaries</t>
        </is>
      </c>
      <c r="G227" s="31" t="inlineStr">
        <is>
          <t>smallcap</t>
        </is>
      </c>
      <c r="H227" s="32" t="n">
        <v>542.49</v>
      </c>
      <c r="I227" s="32" t="n">
        <v>135.25</v>
      </c>
      <c r="J227" s="32" t="n">
        <v>-0.29</v>
      </c>
      <c r="K227" s="32" t="n">
        <v>20348</v>
      </c>
      <c r="L227" s="31" t="n">
        <v>9</v>
      </c>
      <c r="M227" s="31" t="inlineStr">
        <is>
          <t>Underperforming</t>
        </is>
      </c>
      <c r="N227" s="32">
        <f>IF(M227="Underperforming",-5,IF(L227&gt;=95,15,IF(L227&gt;=90,10,IF(L227&gt;=80,5,0))))</f>
        <v/>
      </c>
      <c r="O227" s="32" t="n">
        <v>56.94</v>
      </c>
      <c r="P227" s="32" t="n">
        <v>26.78</v>
      </c>
      <c r="Q227" s="32" t="inlineStr"/>
      <c r="R227" s="31" t="inlineStr">
        <is>
          <t>Earnings / Momentum Support</t>
        </is>
      </c>
      <c r="S227" s="31" t="inlineStr">
        <is>
          <t>Nifty Auto</t>
        </is>
      </c>
      <c r="T227" s="32" t="n">
        <v>13.41</v>
      </c>
      <c r="U227" s="32" t="n">
        <v>-7.39</v>
      </c>
      <c r="V227" s="32" t="n">
        <v>-18.34</v>
      </c>
      <c r="W227" s="32" t="n">
        <v>0.01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Headwind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3</t>
        </is>
      </c>
      <c r="BC227" s="31">
        <f>IF(BB227="Stage 2",20,IF(BB227="Stage 1",0,IF(BB227="Stage 3",5,IF(BB227="Stage 4",-5,0))))</f>
        <v/>
      </c>
      <c r="BD227" s="31" t="inlineStr">
        <is>
          <t>Negative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Between 1.5 to 2</t>
        </is>
      </c>
      <c r="BU227" s="31">
        <f>IF(BT227="Above 2",0,IF(BT227="Between 1.5 to 2",5,IF(BT227="Less than 1.5",10,0)))</f>
        <v/>
      </c>
      <c r="BV227" s="31" t="inlineStr">
        <is>
          <t>Negative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IF(B228=0,"",RANK(B228,$B$2:$B$340,0))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MANGLMCEM</t>
        </is>
      </c>
      <c r="D228" s="31" t="inlineStr">
        <is>
          <t>Mangalam Cement Limited</t>
        </is>
      </c>
      <c r="E228" s="31" t="inlineStr">
        <is>
          <t>building materials</t>
        </is>
      </c>
      <c r="F228" s="31" t="inlineStr">
        <is>
          <t>cement - north india</t>
        </is>
      </c>
      <c r="G228" s="31" t="inlineStr">
        <is>
          <t>smallcap</t>
        </is>
      </c>
      <c r="H228" s="32" t="n">
        <v>2712.88</v>
      </c>
      <c r="I228" s="32" t="n">
        <v>980.15</v>
      </c>
      <c r="J228" s="32" t="n">
        <v>-0.65</v>
      </c>
      <c r="K228" s="32" t="n">
        <v>30572</v>
      </c>
      <c r="L228" s="31" t="n">
        <v>48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67.03</v>
      </c>
      <c r="P228" s="32" t="n">
        <v>21.33</v>
      </c>
      <c r="Q228" s="32" t="inlineStr"/>
      <c r="R228" s="31" t="inlineStr">
        <is>
          <t>Earnings / Momentum Support</t>
        </is>
      </c>
      <c r="S228" s="31" t="inlineStr">
        <is>
          <t>Nifty Infra</t>
        </is>
      </c>
      <c r="T228" s="32" t="n">
        <v>1.74</v>
      </c>
      <c r="U228" s="32" t="n">
        <v>34.75</v>
      </c>
      <c r="V228" s="32" t="n">
        <v>32.45</v>
      </c>
      <c r="W228" s="32" t="n">
        <v>7.96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Headwind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3</t>
        </is>
      </c>
      <c r="BC228" s="31">
        <f>IF(BB228="Stage 2",20,IF(BB228="Stage 1",0,IF(BB228="Stage 3",5,IF(BB228="Stage 4",-5,0))))</f>
        <v/>
      </c>
      <c r="BD228" s="31" t="inlineStr">
        <is>
          <t>Negative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Less than 50%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Between 0.7 to 1.2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IF(B229=0,"",RANK(B229,$B$2:$B$340,0))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TBZ</t>
        </is>
      </c>
      <c r="D229" s="31" t="inlineStr">
        <is>
          <t>Tribhovandas Bhimji Zaveri Limited</t>
        </is>
      </c>
      <c r="E229" s="31" t="inlineStr">
        <is>
          <t>consumer discretionary</t>
        </is>
      </c>
      <c r="F229" s="31" t="inlineStr">
        <is>
          <t>diamond cutting / jewellery</t>
        </is>
      </c>
      <c r="G229" s="31" t="inlineStr">
        <is>
          <t>smallcap</t>
        </is>
      </c>
      <c r="H229" s="32" t="n">
        <v>1722.52</v>
      </c>
      <c r="I229" s="32" t="n">
        <v>255.62</v>
      </c>
      <c r="J229" s="32" t="n">
        <v>-0.97</v>
      </c>
      <c r="K229" s="32" t="n">
        <v>938567</v>
      </c>
      <c r="L229" s="31" t="n">
        <v>88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78.12</v>
      </c>
      <c r="P229" s="32" t="n">
        <v>28.61</v>
      </c>
      <c r="Q229" s="32" t="inlineStr"/>
      <c r="R229" s="31" t="inlineStr">
        <is>
          <t>Earnings / Momentum Support</t>
        </is>
      </c>
      <c r="S229" s="31" t="inlineStr">
        <is>
          <t>Nifty 50</t>
        </is>
      </c>
      <c r="T229" s="32" t="n">
        <v>-2.54</v>
      </c>
      <c r="U229" s="32" t="n">
        <v>29.92</v>
      </c>
      <c r="V229" s="32" t="n">
        <v>33.3</v>
      </c>
      <c r="W229" s="32" t="n">
        <v>23.52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Headwind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Above 75</t>
        </is>
      </c>
      <c r="BA229" s="31">
        <f>IF(AZ229="Between 50 to 75",10,IF(AZ229="Above 75",0,0))</f>
        <v/>
      </c>
      <c r="BB229" s="31" t="inlineStr">
        <is>
          <t>Stage 3</t>
        </is>
      </c>
      <c r="BC229" s="31">
        <f>IF(BB229="Stage 2",20,IF(BB229="Stage 1",0,IF(BB229="Stage 3",5,IF(BB229="Stage 4",-5,0))))</f>
        <v/>
      </c>
      <c r="BD229" s="31" t="inlineStr">
        <is>
          <t>Negative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Less than 1.5</t>
        </is>
      </c>
      <c r="BU229" s="31">
        <f>IF(BT229="Above 2",0,IF(BT229="Between 1.5 to 2",5,IF(BT229="Less than 1.5",10,0)))</f>
        <v/>
      </c>
      <c r="BV229" s="31" t="inlineStr">
        <is>
          <t>Less than 50% and Borrowings are increasing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Between 0.7 to 1.2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IF(B230=0,"",RANK(B230,$B$2:$B$340,0))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MACPOWER</t>
        </is>
      </c>
      <c r="D230" s="31" t="inlineStr">
        <is>
          <t>Macpower CNC Machines Ltd</t>
        </is>
      </c>
      <c r="E230" s="31" t="inlineStr">
        <is>
          <t>industrials</t>
        </is>
      </c>
      <c r="F230" s="31" t="inlineStr">
        <is>
          <t>engineering</t>
        </is>
      </c>
      <c r="G230" s="31" t="inlineStr">
        <is>
          <t>smallcap</t>
        </is>
      </c>
      <c r="H230" s="32" t="n">
        <v>1327.25</v>
      </c>
      <c r="I230" s="32" t="n">
        <v>1312.1</v>
      </c>
      <c r="J230" s="32" t="n">
        <v>-1.1</v>
      </c>
      <c r="K230" s="32" t="n">
        <v>8775</v>
      </c>
      <c r="L230" s="31" t="n">
        <v>60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62.51</v>
      </c>
      <c r="P230" s="32" t="n">
        <v>28.61</v>
      </c>
      <c r="Q230" s="32" t="inlineStr"/>
      <c r="R230" s="31" t="inlineStr">
        <is>
          <t>Earnings / Momentum Support</t>
        </is>
      </c>
      <c r="S230" s="31" t="inlineStr">
        <is>
          <t>Nifty 50</t>
        </is>
      </c>
      <c r="T230" s="32" t="n">
        <v>-2.54</v>
      </c>
      <c r="U230" s="32" t="n">
        <v>23.98</v>
      </c>
      <c r="V230" s="32" t="n">
        <v>27.21</v>
      </c>
      <c r="W230" s="32" t="n">
        <v>10.8</v>
      </c>
      <c r="X230" s="31" t="inlineStr">
        <is>
          <t>Cyclical in an Upturn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Headwind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3</t>
        </is>
      </c>
      <c r="BC230" s="31">
        <f>IF(BB230="Stage 2",20,IF(BB230="Stage 1",0,IF(BB230="Stage 3",5,IF(BB230="Stage 4",-5,0))))</f>
        <v/>
      </c>
      <c r="BD230" s="31" t="inlineStr">
        <is>
          <t>Negative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Between 12 to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Less than 50%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IF(B231=0,"",RANK(B231,$B$2:$B$340,0))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3" t="inlineStr">
        <is>
          <t>JINDALSAW</t>
        </is>
      </c>
      <c r="D231" s="33" t="inlineStr">
        <is>
          <t>Jindal Saw Limited</t>
        </is>
      </c>
      <c r="E231" s="31" t="inlineStr">
        <is>
          <t>industrials</t>
        </is>
      </c>
      <c r="F231" s="31" t="inlineStr">
        <is>
          <t>steel - large</t>
        </is>
      </c>
      <c r="G231" s="31" t="inlineStr">
        <is>
          <t>midcap</t>
        </is>
      </c>
      <c r="H231" s="32" t="n">
        <v>17231.55</v>
      </c>
      <c r="I231" s="32" t="n">
        <v>265.95</v>
      </c>
      <c r="J231" s="32" t="n">
        <v>-1.3</v>
      </c>
      <c r="K231" s="32" t="n">
        <v>1258760</v>
      </c>
      <c r="L231" s="31" t="n">
        <v>54</v>
      </c>
      <c r="M231" s="31" t="inlineStr">
        <is>
          <t>Underperforming</t>
        </is>
      </c>
      <c r="N231" s="32">
        <f>IF(M231="Underperforming",-5,IF(L231&gt;=95,15,IF(L231&gt;=90,10,IF(L231&gt;=80,5,0))))</f>
        <v/>
      </c>
      <c r="O231" s="32" t="n">
        <v>65.29000000000001</v>
      </c>
      <c r="P231" s="32" t="n">
        <v>39.06</v>
      </c>
      <c r="Q231" s="32" t="inlineStr"/>
      <c r="R231" s="31" t="inlineStr">
        <is>
          <t>Earnings / Momentum Support</t>
        </is>
      </c>
      <c r="S231" s="31" t="inlineStr">
        <is>
          <t>Nifty Metal</t>
        </is>
      </c>
      <c r="T231" s="32" t="n">
        <v>31.49</v>
      </c>
      <c r="U231" s="32" t="n">
        <v>19.01</v>
      </c>
      <c r="V231" s="32" t="n">
        <v>-9.49</v>
      </c>
      <c r="W231" s="32" t="n">
        <v>9.5</v>
      </c>
      <c r="X231" s="31" t="inlineStr">
        <is>
          <t>Cyclical in an Upturn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Headwind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3</t>
        </is>
      </c>
      <c r="BC231" s="31">
        <f>IF(BB231="Stage 2",20,IF(BB231="Stage 1",0,IF(BB231="Stage 3",5,IF(BB231="Stage 4",-5,0))))</f>
        <v/>
      </c>
      <c r="BD231" s="31" t="inlineStr">
        <is>
          <t>Negative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IF(B232=0,"",RANK(B232,$B$2:$B$340,0))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3" t="inlineStr">
        <is>
          <t>GUFICBIO</t>
        </is>
      </c>
      <c r="D232" s="33" t="inlineStr">
        <is>
          <t>Gufic Biosciences Limited</t>
        </is>
      </c>
      <c r="E232" s="31" t="inlineStr">
        <is>
          <t>healthcare</t>
        </is>
      </c>
      <c r="F232" s="31" t="inlineStr">
        <is>
          <t>pharmaceuticals - indian - bulk drugs &amp; formln</t>
        </is>
      </c>
      <c r="G232" s="31" t="inlineStr">
        <is>
          <t>smallcap</t>
        </is>
      </c>
      <c r="H232" s="32" t="n">
        <v>3829.79</v>
      </c>
      <c r="I232" s="32" t="n">
        <v>393.75</v>
      </c>
      <c r="J232" s="32" t="n">
        <v>3.1</v>
      </c>
      <c r="K232" s="32" t="n">
        <v>81287</v>
      </c>
      <c r="L232" s="31" t="n">
        <v>39</v>
      </c>
      <c r="M232" s="31" t="inlineStr">
        <is>
          <t>Underperforming</t>
        </is>
      </c>
      <c r="N232" s="32">
        <f>IF(M232="Underperforming",-5,IF(L232&gt;=95,15,IF(L232&gt;=90,10,IF(L232&gt;=80,5,0))))</f>
        <v/>
      </c>
      <c r="O232" s="32" t="n">
        <v>63.46</v>
      </c>
      <c r="P232" s="32" t="n">
        <v>38.83</v>
      </c>
      <c r="Q232" s="32" t="inlineStr"/>
      <c r="R232" s="31" t="inlineStr">
        <is>
          <t>Earnings / Momentum Support</t>
        </is>
      </c>
      <c r="S232" s="31" t="inlineStr">
        <is>
          <t>Nifty Pharma</t>
        </is>
      </c>
      <c r="T232" s="32" t="n">
        <v>13.51</v>
      </c>
      <c r="U232" s="32" t="n">
        <v>-0.62</v>
      </c>
      <c r="V232" s="32" t="n">
        <v>-12.45</v>
      </c>
      <c r="W232" s="32" t="n">
        <v>6.21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Yes</t>
        </is>
      </c>
      <c r="AC232" s="31">
        <f>IF(AB232="No",5,0)</f>
        <v/>
      </c>
      <c r="AD232" s="31" t="inlineStr">
        <is>
          <t>Headwind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Annuity, Lower One Time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3</t>
        </is>
      </c>
      <c r="BC232" s="31">
        <f>IF(BB232="Stage 2",20,IF(BB232="Stage 1",0,IF(BB232="Stage 3",5,IF(BB232="Stage 4",-5,0))))</f>
        <v/>
      </c>
      <c r="BD232" s="31" t="inlineStr">
        <is>
          <t>Negative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Less than 50%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IF(B233=0,"",RANK(B233,$B$2:$B$340,0))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SAILIFE</t>
        </is>
      </c>
      <c r="D233" s="31" t="inlineStr">
        <is>
          <t>Sai Life Sciences Ltd</t>
        </is>
      </c>
      <c r="E233" s="31" t="inlineStr">
        <is>
          <t>healthcare</t>
        </is>
      </c>
      <c r="F233" s="31" t="inlineStr">
        <is>
          <t>pharmaceuticals - indian - bulk drugs &amp; formln</t>
        </is>
      </c>
      <c r="G233" s="31" t="inlineStr">
        <is>
          <t>largecap</t>
        </is>
      </c>
      <c r="H233" s="32" t="n">
        <v>26938.32</v>
      </c>
      <c r="I233" s="32" t="n">
        <v>1297</v>
      </c>
      <c r="J233" s="32" t="n">
        <v>1.97</v>
      </c>
      <c r="K233" s="32" t="n">
        <v>311355</v>
      </c>
      <c r="L233" s="31" t="n">
        <v>76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75.27</v>
      </c>
      <c r="P233" s="32" t="n">
        <v>31.46</v>
      </c>
      <c r="Q233" s="32" t="inlineStr"/>
      <c r="R233" s="31" t="inlineStr">
        <is>
          <t>Earnings / Momentum Support</t>
        </is>
      </c>
      <c r="S233" s="31" t="inlineStr">
        <is>
          <t>Nifty Pharma</t>
        </is>
      </c>
      <c r="T233" s="32" t="n">
        <v>13.51</v>
      </c>
      <c r="U233" s="32" t="n">
        <v>56.04</v>
      </c>
      <c r="V233" s="32" t="n">
        <v>37.46</v>
      </c>
      <c r="W233" s="32" t="n">
        <v>16.06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Yes</t>
        </is>
      </c>
      <c r="AC233" s="31">
        <f>IF(AB233="No",5,0)</f>
        <v/>
      </c>
      <c r="AD233" s="31" t="inlineStr">
        <is>
          <t>Headwind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Annuity, Lower One Time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Above 75</t>
        </is>
      </c>
      <c r="BA233" s="31">
        <f>IF(AZ233="Between 50 to 75",10,IF(AZ233="Above 75",0,0))</f>
        <v/>
      </c>
      <c r="BB233" s="31" t="inlineStr">
        <is>
          <t>Stage 3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Between 12 to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IF(B234=0,"",RANK(B234,$B$2:$B$340,0))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3" t="inlineStr">
        <is>
          <t>MEDANTA</t>
        </is>
      </c>
      <c r="D234" s="33" t="inlineStr">
        <is>
          <t>Global Health Ltd</t>
        </is>
      </c>
      <c r="E234" s="31" t="inlineStr">
        <is>
          <t>healthcare</t>
        </is>
      </c>
      <c r="F234" s="31" t="inlineStr">
        <is>
          <t>healthcare</t>
        </is>
      </c>
      <c r="G234" s="31" t="inlineStr">
        <is>
          <t>largecap</t>
        </is>
      </c>
      <c r="H234" s="32" t="n">
        <v>35397.01</v>
      </c>
      <c r="I234" s="32" t="n">
        <v>1331.4</v>
      </c>
      <c r="J234" s="32" t="n">
        <v>1.1</v>
      </c>
      <c r="K234" s="32" t="n">
        <v>61320</v>
      </c>
      <c r="L234" s="31" t="n">
        <v>30</v>
      </c>
      <c r="M234" s="31" t="inlineStr">
        <is>
          <t>Underperforming</t>
        </is>
      </c>
      <c r="N234" s="32">
        <f>IF(M234="Underperforming",-5,IF(L234&gt;=95,15,IF(L234&gt;=90,10,IF(L234&gt;=80,5,0))))</f>
        <v/>
      </c>
      <c r="O234" s="32" t="n">
        <v>62.15</v>
      </c>
      <c r="P234" s="32" t="n">
        <v>13.91</v>
      </c>
      <c r="Q234" s="32" t="inlineStr"/>
      <c r="R234" s="31" t="inlineStr">
        <is>
          <t>Earnings / Momentum Support</t>
        </is>
      </c>
      <c r="S234" s="31" t="inlineStr">
        <is>
          <t>Nifty Pharma</t>
        </is>
      </c>
      <c r="T234" s="32" t="n">
        <v>13.51</v>
      </c>
      <c r="U234" s="32" t="n">
        <v>-0.14</v>
      </c>
      <c r="V234" s="32" t="n">
        <v>-12.02</v>
      </c>
      <c r="W234" s="32" t="n">
        <v>4.88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Yes</t>
        </is>
      </c>
      <c r="AC234" s="31">
        <f>IF(AB234="No",5,0)</f>
        <v/>
      </c>
      <c r="AD234" s="31" t="inlineStr">
        <is>
          <t>Headwind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Annuity, Lower One Time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3</t>
        </is>
      </c>
      <c r="BC234" s="31">
        <f>IF(BB234="Stage 2",20,IF(BB234="Stage 1",0,IF(BB234="Stage 3",5,IF(BB234="Stage 4",-5,0))))</f>
        <v/>
      </c>
      <c r="BD234" s="31" t="inlineStr">
        <is>
          <t>Negative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Between 1.5 to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IF(B235=0,"",RANK(B235,$B$2:$B$340,0))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INDSWFTLAB</t>
        </is>
      </c>
      <c r="D235" s="31" t="inlineStr">
        <is>
          <t>Ind-swift Laboratories Limited</t>
        </is>
      </c>
      <c r="E235" s="31" t="inlineStr">
        <is>
          <t>healthcare</t>
        </is>
      </c>
      <c r="F235" s="31" t="inlineStr">
        <is>
          <t>pharmaceuticals - indian - bulk drugs &amp; formln</t>
        </is>
      </c>
      <c r="G235" s="31" t="inlineStr">
        <is>
          <t>smallcap</t>
        </is>
      </c>
      <c r="H235" s="32" t="n">
        <v>2010.01</v>
      </c>
      <c r="I235" s="32" t="n">
        <v>233.99</v>
      </c>
      <c r="J235" s="32" t="n">
        <v>1.09</v>
      </c>
      <c r="K235" s="32" t="n">
        <v>438766</v>
      </c>
      <c r="L235" s="31" t="n">
        <v>95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79</v>
      </c>
      <c r="P235" s="32" t="n">
        <v>50.37</v>
      </c>
      <c r="Q235" s="32" t="inlineStr"/>
      <c r="R235" s="31" t="inlineStr">
        <is>
          <t>Earnings / Momentum Support</t>
        </is>
      </c>
      <c r="S235" s="31" t="inlineStr">
        <is>
          <t>Nifty Pharma</t>
        </is>
      </c>
      <c r="T235" s="32" t="n">
        <v>13.51</v>
      </c>
      <c r="U235" s="32" t="n">
        <v>116.53</v>
      </c>
      <c r="V235" s="32" t="n">
        <v>90.76000000000001</v>
      </c>
      <c r="W235" s="32" t="n">
        <v>34.84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Yes</t>
        </is>
      </c>
      <c r="AC235" s="31">
        <f>IF(AB235="No",5,0)</f>
        <v/>
      </c>
      <c r="AD235" s="31" t="inlineStr">
        <is>
          <t>Headwind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Annuity, Lower One Time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Above 40</t>
        </is>
      </c>
      <c r="AY235" s="31">
        <f>IF(AX235="Above 40",20,IF(AX235="20 to 40",10,IF(AX235="0 to 20",-5,0)))</f>
        <v/>
      </c>
      <c r="AZ235" s="31" t="inlineStr">
        <is>
          <t>Above 75</t>
        </is>
      </c>
      <c r="BA235" s="31">
        <f>IF(AZ235="Between 50 to 75",10,IF(AZ235="Above 75",0,0))</f>
        <v/>
      </c>
      <c r="BB235" s="31" t="inlineStr">
        <is>
          <t>Stage 3</t>
        </is>
      </c>
      <c r="BC235" s="31">
        <f>IF(BB235="Stage 2",20,IF(BB235="Stage 1",0,IF(BB235="Stage 3",5,IF(BB235="Stage 4",-5,0))))</f>
        <v/>
      </c>
      <c r="BD235" s="31" t="inlineStr">
        <is>
          <t>Negative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Less than 12%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Negative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IF(B236=0,"",RANK(B236,$B$2:$B$340,0))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3" t="inlineStr">
        <is>
          <t>LALPATHLAB</t>
        </is>
      </c>
      <c r="D236" s="33" t="inlineStr">
        <is>
          <t>Dr. Lal Path Labs Ltd.</t>
        </is>
      </c>
      <c r="E236" s="31" t="inlineStr">
        <is>
          <t>healthcare</t>
        </is>
      </c>
      <c r="F236" s="31" t="inlineStr">
        <is>
          <t>healthcare</t>
        </is>
      </c>
      <c r="G236" s="31" t="inlineStr">
        <is>
          <t>largecap</t>
        </is>
      </c>
      <c r="H236" s="32" t="n">
        <v>28273.23</v>
      </c>
      <c r="I236" s="32" t="n">
        <v>1697.8</v>
      </c>
      <c r="J236" s="32" t="n">
        <v>0.62</v>
      </c>
      <c r="K236" s="32" t="n">
        <v>209192</v>
      </c>
      <c r="L236" s="31" t="n">
        <v>44</v>
      </c>
      <c r="M236" s="31" t="inlineStr">
        <is>
          <t>Underperforming</t>
        </is>
      </c>
      <c r="N236" s="32">
        <f>IF(M236="Underperforming",-5,IF(L236&gt;=95,15,IF(L236&gt;=90,10,IF(L236&gt;=80,5,0))))</f>
        <v/>
      </c>
      <c r="O236" s="32" t="n">
        <v>63</v>
      </c>
      <c r="P236" s="32" t="n">
        <v>33.84</v>
      </c>
      <c r="Q236" s="32" t="inlineStr"/>
      <c r="R236" s="31" t="inlineStr">
        <is>
          <t>Earnings / Momentum Support</t>
        </is>
      </c>
      <c r="S236" s="31" t="inlineStr">
        <is>
          <t>Nifty Pharma</t>
        </is>
      </c>
      <c r="T236" s="32" t="n">
        <v>13.51</v>
      </c>
      <c r="U236" s="32" t="n">
        <v>13.38</v>
      </c>
      <c r="V236" s="32" t="n">
        <v>-0.11</v>
      </c>
      <c r="W236" s="32" t="n">
        <v>7.13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Yes</t>
        </is>
      </c>
      <c r="AC236" s="31">
        <f>IF(AB236="No",5,0)</f>
        <v/>
      </c>
      <c r="AD236" s="31" t="inlineStr">
        <is>
          <t>Headwind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Annuity, Lower One Time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3</t>
        </is>
      </c>
      <c r="BC236" s="31">
        <f>IF(BB236="Stage 2",20,IF(BB236="Stage 1",0,IF(BB236="Stage 3",5,IF(BB236="Stage 4",-5,0))))</f>
        <v/>
      </c>
      <c r="BD236" s="31" t="inlineStr">
        <is>
          <t>Negative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Less than 12%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IF(B237=0,"",RANK(B237,$B$2:$B$340,0))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ZYDUSLIFE</t>
        </is>
      </c>
      <c r="D237" s="31" t="inlineStr">
        <is>
          <t>Zydus Lifesciences Ltd</t>
        </is>
      </c>
      <c r="E237" s="31" t="inlineStr">
        <is>
          <t>healthcare</t>
        </is>
      </c>
      <c r="F237" s="31" t="inlineStr">
        <is>
          <t>pharmaceuticals - indian - bulk drugs &amp; formln</t>
        </is>
      </c>
      <c r="G237" s="31" t="inlineStr">
        <is>
          <t>largecap</t>
        </is>
      </c>
      <c r="H237" s="32" t="n">
        <v>114084.51</v>
      </c>
      <c r="I237" s="32" t="n">
        <v>1149</v>
      </c>
      <c r="J237" s="32" t="n">
        <v>0.46</v>
      </c>
      <c r="K237" s="32" t="n">
        <v>920689</v>
      </c>
      <c r="L237" s="31" t="n">
        <v>49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70.78</v>
      </c>
      <c r="P237" s="32" t="n">
        <v>36.07</v>
      </c>
      <c r="Q237" s="32" t="inlineStr"/>
      <c r="R237" s="31" t="inlineStr">
        <is>
          <t>Earnings / Momentum Support</t>
        </is>
      </c>
      <c r="S237" s="31" t="inlineStr">
        <is>
          <t>Nifty Pharma</t>
        </is>
      </c>
      <c r="T237" s="32" t="n">
        <v>13.51</v>
      </c>
      <c r="U237" s="32" t="n">
        <v>18.65</v>
      </c>
      <c r="V237" s="32" t="n">
        <v>4.53</v>
      </c>
      <c r="W237" s="32" t="n">
        <v>8.279999999999999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Yes</t>
        </is>
      </c>
      <c r="AC237" s="31">
        <f>IF(AB237="No",5,0)</f>
        <v/>
      </c>
      <c r="AD237" s="31" t="inlineStr">
        <is>
          <t>Headwind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Annuity, Lower One Time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3</t>
        </is>
      </c>
      <c r="BC237" s="31">
        <f>IF(BB237="Stage 2",20,IF(BB237="Stage 1",0,IF(BB237="Stage 3",5,IF(BB237="Stage 4",-5,0))))</f>
        <v/>
      </c>
      <c r="BD237" s="31" t="inlineStr">
        <is>
          <t>Negative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Less than 50%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IF(B238=0,"",RANK(B238,$B$2:$B$340,0))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3" t="inlineStr">
        <is>
          <t>PPLPHARMA</t>
        </is>
      </c>
      <c r="D238" s="33" t="inlineStr">
        <is>
          <t>Piramal Pharma Ltd</t>
        </is>
      </c>
      <c r="E238" s="31" t="inlineStr">
        <is>
          <t>healthcare</t>
        </is>
      </c>
      <c r="F238" s="31" t="inlineStr">
        <is>
          <t>pharmaceuticals - indian - bulk drugs &amp; formln</t>
        </is>
      </c>
      <c r="G238" s="31" t="inlineStr">
        <is>
          <t>largecap</t>
        </is>
      </c>
      <c r="H238" s="32" t="n">
        <v>23887.05</v>
      </c>
      <c r="I238" s="32" t="n">
        <v>178.87</v>
      </c>
      <c r="J238" s="32" t="n">
        <v>-0.31</v>
      </c>
      <c r="K238" s="32" t="n">
        <v>4197930</v>
      </c>
      <c r="L238" s="31" t="n">
        <v>15</v>
      </c>
      <c r="M238" s="31" t="inlineStr">
        <is>
          <t>Underperforming</t>
        </is>
      </c>
      <c r="N238" s="32">
        <f>IF(M238="Underperforming",-5,IF(L238&gt;=95,15,IF(L238&gt;=90,10,IF(L238&gt;=80,5,0))))</f>
        <v/>
      </c>
      <c r="O238" s="32" t="n">
        <v>57.67</v>
      </c>
      <c r="P238" s="32" t="n">
        <v>17.23</v>
      </c>
      <c r="Q238" s="32" t="inlineStr"/>
      <c r="R238" s="31" t="inlineStr">
        <is>
          <t>Earnings / Momentum Support</t>
        </is>
      </c>
      <c r="S238" s="31" t="inlineStr">
        <is>
          <t>Nifty Pharma</t>
        </is>
      </c>
      <c r="T238" s="32" t="n">
        <v>13.51</v>
      </c>
      <c r="U238" s="32" t="n">
        <v>-15.04</v>
      </c>
      <c r="V238" s="32" t="n">
        <v>-25.15</v>
      </c>
      <c r="W238" s="32" t="n">
        <v>1.63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Yes</t>
        </is>
      </c>
      <c r="AC238" s="31">
        <f>IF(AB238="No",5,0)</f>
        <v/>
      </c>
      <c r="AD238" s="31" t="inlineStr">
        <is>
          <t>Headwind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Annuity, Lower One Time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3</t>
        </is>
      </c>
      <c r="BC238" s="31">
        <f>IF(BB238="Stage 2",20,IF(BB238="Stage 1",0,IF(BB238="Stage 3",5,IF(BB238="Stage 4",-5,0))))</f>
        <v/>
      </c>
      <c r="BD238" s="31" t="inlineStr">
        <is>
          <t>Negative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IF(B239=0,"",RANK(B239,$B$2:$B$340,0))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BLSE</t>
        </is>
      </c>
      <c r="D239" s="31" t="inlineStr">
        <is>
          <t>BLS E-Services Ltd</t>
        </is>
      </c>
      <c r="E239" s="31" t="inlineStr">
        <is>
          <t>i.t</t>
        </is>
      </c>
      <c r="F239" s="31" t="inlineStr">
        <is>
          <t>computers - software - medium / small</t>
        </is>
      </c>
      <c r="G239" s="31" t="inlineStr">
        <is>
          <t>smallcap</t>
        </is>
      </c>
      <c r="H239" s="32" t="n">
        <v>2492.83</v>
      </c>
      <c r="I239" s="32" t="n">
        <v>272.86</v>
      </c>
      <c r="J239" s="32" t="n">
        <v>-0.55</v>
      </c>
      <c r="K239" s="32" t="n">
        <v>352587</v>
      </c>
      <c r="L239" s="31" t="n">
        <v>86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77.22</v>
      </c>
      <c r="P239" s="32" t="n">
        <v>34.03</v>
      </c>
      <c r="Q239" s="32" t="inlineStr"/>
      <c r="R239" s="31" t="inlineStr">
        <is>
          <t>Earnings / Momentum Support</t>
        </is>
      </c>
      <c r="S239" s="31" t="inlineStr">
        <is>
          <t>Nifty IT</t>
        </is>
      </c>
      <c r="T239" s="32" t="n">
        <v>-21.31</v>
      </c>
      <c r="U239" s="32" t="n">
        <v>49.07</v>
      </c>
      <c r="V239" s="32" t="n">
        <v>89.45</v>
      </c>
      <c r="W239" s="32" t="n">
        <v>21.65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Headwind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Annuity, Lower One Time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Above 75</t>
        </is>
      </c>
      <c r="BA239" s="31">
        <f>IF(AZ239="Between 50 to 75",10,IF(AZ239="Above 75",0,0))</f>
        <v/>
      </c>
      <c r="BB239" s="31" t="inlineStr">
        <is>
          <t>Stage 3</t>
        </is>
      </c>
      <c r="BC239" s="31">
        <f>IF(BB239="Stage 2",20,IF(BB239="Stage 1",0,IF(BB239="Stage 3",5,IF(BB239="Stage 4",-5,0))))</f>
        <v/>
      </c>
      <c r="BD239" s="31" t="inlineStr">
        <is>
          <t>Negative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Less than 12%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Yes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Between 50% to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IF(B240=0,"",RANK(B240,$B$2:$B$340,0))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GANDHAR</t>
        </is>
      </c>
      <c r="D240" s="31" t="inlineStr">
        <is>
          <t>Gandhar Oil Refinery (India) Ltd</t>
        </is>
      </c>
      <c r="E240" s="31" t="inlineStr">
        <is>
          <t>energy</t>
        </is>
      </c>
      <c r="F240" s="31" t="inlineStr">
        <is>
          <t>refineries</t>
        </is>
      </c>
      <c r="G240" s="31" t="inlineStr">
        <is>
          <t>smallcap</t>
        </is>
      </c>
      <c r="H240" s="32" t="n">
        <v>2035.21</v>
      </c>
      <c r="I240" s="32" t="n">
        <v>228.32</v>
      </c>
      <c r="J240" s="32" t="n">
        <v>9.81</v>
      </c>
      <c r="K240" s="32" t="n">
        <v>3212464</v>
      </c>
      <c r="L240" s="31" t="n">
        <v>71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72.77</v>
      </c>
      <c r="P240" s="32" t="n">
        <v>47.15</v>
      </c>
      <c r="Q240" s="32" t="inlineStr"/>
      <c r="R240" s="31" t="inlineStr">
        <is>
          <t>Earnings / Momentum Support</t>
        </is>
      </c>
      <c r="S240" s="31" t="inlineStr">
        <is>
          <t>Nifty Energy</t>
        </is>
      </c>
      <c r="T240" s="32" t="n">
        <v>8.41</v>
      </c>
      <c r="U240" s="32" t="n">
        <v>24.11</v>
      </c>
      <c r="V240" s="32" t="n">
        <v>14.48</v>
      </c>
      <c r="W240" s="32" t="n">
        <v>14.4</v>
      </c>
      <c r="X240" s="31" t="inlineStr">
        <is>
          <t>Cyclical in an Upturn</t>
        </is>
      </c>
      <c r="Y240" s="31">
        <f>IF(X240="Growing Industry",10,IF(X240="Cyclical in an Upturn",5,0))</f>
        <v/>
      </c>
      <c r="Z240" s="31" t="inlineStr">
        <is>
          <t>Oligopoly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Yes</t>
        </is>
      </c>
      <c r="AC240" s="31">
        <f>IF(AB240="No",5,0)</f>
        <v/>
      </c>
      <c r="AD240" s="31" t="inlineStr">
        <is>
          <t>Headwind</t>
        </is>
      </c>
      <c r="AE240" s="31">
        <f>IF(AD240="Tailwind",10,0)</f>
        <v/>
      </c>
      <c r="AF240" s="31" t="inlineStr">
        <is>
          <t>Cyclical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Volatile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Above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3</t>
        </is>
      </c>
      <c r="BC240" s="31">
        <f>IF(BB240="Stage 2",20,IF(BB240="Stage 1",0,IF(BB240="Stage 3",5,IF(BB240="Stage 4",-5,0))))</f>
        <v/>
      </c>
      <c r="BD240" s="31" t="inlineStr">
        <is>
          <t>Negative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Between 50% to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IF(B241=0,"",RANK(B241,$B$2:$B$340,0))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MBAPL</t>
        </is>
      </c>
      <c r="D241" s="31" t="inlineStr">
        <is>
          <t>Madhya Bharat Agro Products Ltd</t>
        </is>
      </c>
      <c r="E241" s="31" t="inlineStr">
        <is>
          <t>chemicals</t>
        </is>
      </c>
      <c r="F241" s="31" t="inlineStr">
        <is>
          <t>fertilizers</t>
        </is>
      </c>
      <c r="G241" s="31" t="inlineStr">
        <is>
          <t>smallcap</t>
        </is>
      </c>
      <c r="H241" s="32" t="n">
        <v>1193.48</v>
      </c>
      <c r="I241" s="32" t="n">
        <v>145.55</v>
      </c>
      <c r="J241" s="32" t="n">
        <v>6.86</v>
      </c>
      <c r="K241" s="32" t="n">
        <v>3421257</v>
      </c>
      <c r="L241" s="31" t="n">
        <v>80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80.39</v>
      </c>
      <c r="P241" s="32" t="n">
        <v>57.4</v>
      </c>
      <c r="Q241" s="32" t="inlineStr"/>
      <c r="R241" s="31" t="inlineStr">
        <is>
          <t>Earnings / Momentum Support</t>
        </is>
      </c>
      <c r="S241" s="31" t="inlineStr">
        <is>
          <t>Nifty 50</t>
        </is>
      </c>
      <c r="T241" s="32" t="n">
        <v>-2.54</v>
      </c>
      <c r="U241" s="32" t="n">
        <v>61.02</v>
      </c>
      <c r="V241" s="32" t="n">
        <v>65.20999999999999</v>
      </c>
      <c r="W241" s="32" t="n">
        <v>18.11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Headwind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Above 40</t>
        </is>
      </c>
      <c r="AY241" s="31">
        <f>IF(AX241="Above 40",20,IF(AX241="20 to 40",10,IF(AX241="0 to 20",-5,0)))</f>
        <v/>
      </c>
      <c r="AZ241" s="31" t="inlineStr">
        <is>
          <t>Above 75</t>
        </is>
      </c>
      <c r="BA241" s="31">
        <f>IF(AZ241="Between 50 to 75",10,IF(AZ241="Above 75",0,0))</f>
        <v/>
      </c>
      <c r="BB241" s="31" t="inlineStr">
        <is>
          <t>Stage 3</t>
        </is>
      </c>
      <c r="BC241" s="31">
        <f>IF(BB241="Stage 2",20,IF(BB241="Stage 1",0,IF(BB241="Stage 3",5,IF(BB241="Stage 4",-5,0))))</f>
        <v/>
      </c>
      <c r="BD241" s="31" t="inlineStr">
        <is>
          <t>Negative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Between 12 to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More than 1.2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IF(B242=0,"",RANK(B242,$B$2:$B$340,0))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FLUOROCHEM</t>
        </is>
      </c>
      <c r="D242" s="31" t="inlineStr">
        <is>
          <t>Gujarat Fluorochemicals Ltd</t>
        </is>
      </c>
      <c r="E242" s="31" t="inlineStr">
        <is>
          <t>chemicals</t>
        </is>
      </c>
      <c r="F242" s="31" t="inlineStr">
        <is>
          <t>chemicals</t>
        </is>
      </c>
      <c r="G242" s="31" t="inlineStr">
        <is>
          <t>largecap</t>
        </is>
      </c>
      <c r="H242" s="32" t="n">
        <v>45531.73</v>
      </c>
      <c r="I242" s="32" t="n">
        <v>4316.2</v>
      </c>
      <c r="J242" s="32" t="n">
        <v>4.13</v>
      </c>
      <c r="K242" s="32" t="n">
        <v>308265</v>
      </c>
      <c r="L242" s="31" t="n">
        <v>50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66.84</v>
      </c>
      <c r="P242" s="32" t="n">
        <v>19.68</v>
      </c>
      <c r="Q242" s="32" t="inlineStr"/>
      <c r="R242" s="31" t="inlineStr">
        <is>
          <t>Earnings / Momentum Support</t>
        </is>
      </c>
      <c r="S242" s="31" t="inlineStr">
        <is>
          <t>Nifty 500</t>
        </is>
      </c>
      <c r="T242" s="32" t="n">
        <v>0.26</v>
      </c>
      <c r="U242" s="32" t="n">
        <v>18.54</v>
      </c>
      <c r="V242" s="32" t="n">
        <v>18.23</v>
      </c>
      <c r="W242" s="32" t="n">
        <v>8.710000000000001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Oligopoly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Shallow Cyclical (2 to 3 Years Growth)</t>
        </is>
      </c>
      <c r="AG242" s="31">
        <f>IF(AF242="Structural (10 Years Consistency)",10,IF(AF242="Shallow Cyclical (2 to 3 years growth)",5,0))</f>
        <v/>
      </c>
      <c r="AH242" s="31" t="inlineStr">
        <is>
          <t>Yes due to Product Mix change or Operating Leverage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Volatile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Allocated capital in Non-core Areas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Above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3</t>
        </is>
      </c>
      <c r="BC242" s="31">
        <f>IF(BB242="Stage 2",20,IF(BB242="Stage 1",0,IF(BB242="Stage 3",5,IF(BB242="Stage 4",-5,0))))</f>
        <v/>
      </c>
      <c r="BD242" s="31" t="inlineStr">
        <is>
          <t>Negative Trend</t>
        </is>
      </c>
      <c r="BE242" s="31">
        <f>IF(BD242="Positive Trend",20,IF(BD242="Negative Trend",-10,0))</f>
        <v/>
      </c>
      <c r="BF242" s="31" t="inlineStr">
        <is>
          <t>Sideways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Overhead supply in last 2 years in last 2 years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More than 15%</t>
        </is>
      </c>
      <c r="CC242" s="31">
        <f>IF(CB242="More than 15%",-10,IF(CB242="Less than 15%",10,0))</f>
        <v/>
      </c>
      <c r="CD242" s="31" t="inlineStr">
        <is>
          <t>Yes Upto 10%</t>
        </is>
      </c>
      <c r="CE242" s="31">
        <f>IF(CD242="Yes, more than 10%",-10,IF(CD242="No",10,0))</f>
        <v/>
      </c>
    </row>
    <row r="243">
      <c r="A243" s="31">
        <f>IF(B243=0,"",RANK(B243,$B$2:$B$340,0))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3" t="inlineStr">
        <is>
          <t>AEGISVOPAK</t>
        </is>
      </c>
      <c r="D243" s="33" t="inlineStr">
        <is>
          <t>Aegis Vopak Terminals Ltd</t>
        </is>
      </c>
      <c r="E243" s="31" t="inlineStr">
        <is>
          <t>transportation</t>
        </is>
      </c>
      <c r="F243" s="31" t="inlineStr">
        <is>
          <t>miscellaneous</t>
        </is>
      </c>
      <c r="G243" s="31" t="inlineStr">
        <is>
          <t>largecap</t>
        </is>
      </c>
      <c r="H243" s="32" t="n">
        <v>30053.16</v>
      </c>
      <c r="I243" s="32" t="n">
        <v>281.02</v>
      </c>
      <c r="J243" s="32" t="n">
        <v>3.61</v>
      </c>
      <c r="K243" s="32" t="n">
        <v>2213490</v>
      </c>
      <c r="L243" s="31" t="n">
        <v>45</v>
      </c>
      <c r="M243" s="31" t="inlineStr">
        <is>
          <t>Underperforming</t>
        </is>
      </c>
      <c r="N243" s="32">
        <f>IF(M243="Underperforming",-5,IF(L243&gt;=95,15,IF(L243&gt;=90,10,IF(L243&gt;=80,5,0))))</f>
        <v/>
      </c>
      <c r="O243" s="32" t="n">
        <v>61.31</v>
      </c>
      <c r="P243" s="32" t="n">
        <v>25.52</v>
      </c>
      <c r="Q243" s="32" t="inlineStr"/>
      <c r="R243" s="31" t="inlineStr">
        <is>
          <t>Earnings / Momentum Support</t>
        </is>
      </c>
      <c r="S243" s="31" t="inlineStr">
        <is>
          <t>Nifty 50</t>
        </is>
      </c>
      <c r="T243" s="32" t="n">
        <v>-2.54</v>
      </c>
      <c r="U243" s="32" t="n">
        <v>-6.74</v>
      </c>
      <c r="V243" s="32" t="n">
        <v>-4.31</v>
      </c>
      <c r="W243" s="32" t="n">
        <v>7.31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Headwind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3</t>
        </is>
      </c>
      <c r="BC243" s="31">
        <f>IF(BB243="Stage 2",20,IF(BB243="Stage 1",0,IF(BB243="Stage 3",5,IF(BB243="Stage 4",-5,0))))</f>
        <v/>
      </c>
      <c r="BD243" s="31" t="inlineStr">
        <is>
          <t>Negative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Between 12 to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Between 0.7 to 1.2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IF(B244=0,"",RANK(B244,$B$2:$B$340,0))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TIRUPATIFL</t>
        </is>
      </c>
      <c r="D244" s="31" t="inlineStr">
        <is>
          <t>Tirupati Forge Ltd</t>
        </is>
      </c>
      <c r="E244" s="31" t="inlineStr">
        <is>
          <t>industrials</t>
        </is>
      </c>
      <c r="F244" s="31" t="inlineStr">
        <is>
          <t>castings &amp; forgings</t>
        </is>
      </c>
      <c r="G244" s="31" t="inlineStr">
        <is>
          <t>smallcap</t>
        </is>
      </c>
      <c r="H244" s="32" t="n">
        <v>880.6900000000001</v>
      </c>
      <c r="I244" s="32" t="n">
        <v>69.95999999999999</v>
      </c>
      <c r="J244" s="32" t="n">
        <v>2.63</v>
      </c>
      <c r="K244" s="32" t="n">
        <v>460867</v>
      </c>
      <c r="L244" s="31" t="n">
        <v>85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78.11</v>
      </c>
      <c r="P244" s="32" t="n">
        <v>37.1</v>
      </c>
      <c r="Q244" s="32" t="inlineStr"/>
      <c r="R244" s="31" t="inlineStr">
        <is>
          <t>Earnings / Momentum Support</t>
        </is>
      </c>
      <c r="S244" s="31" t="inlineStr">
        <is>
          <t>Nifty 50</t>
        </is>
      </c>
      <c r="T244" s="32" t="n">
        <v>-2.54</v>
      </c>
      <c r="U244" s="32" t="n">
        <v>59.69</v>
      </c>
      <c r="V244" s="32" t="n">
        <v>63.85</v>
      </c>
      <c r="W244" s="32" t="n">
        <v>21.24</v>
      </c>
      <c r="X244" s="31" t="inlineStr">
        <is>
          <t>Cyclical in an Upturn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Headwind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Above 75</t>
        </is>
      </c>
      <c r="BA244" s="31">
        <f>IF(AZ244="Between 50 to 75",10,IF(AZ244="Above 75",0,0))</f>
        <v/>
      </c>
      <c r="BB244" s="31" t="inlineStr">
        <is>
          <t>Stage 3</t>
        </is>
      </c>
      <c r="BC244" s="31">
        <f>IF(BB244="Stage 2",20,IF(BB244="Stage 1",0,IF(BB244="Stage 3",5,IF(BB244="Stage 4",-5,0))))</f>
        <v/>
      </c>
      <c r="BD244" s="31" t="inlineStr">
        <is>
          <t>Negative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Less than 12%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IF(B245=0,"",RANK(B245,$B$2:$B$340,0))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GALAPREC</t>
        </is>
      </c>
      <c r="D245" s="31" t="inlineStr">
        <is>
          <t>Gala Precision Engineering Ltd</t>
        </is>
      </c>
      <c r="E245" s="31" t="inlineStr">
        <is>
          <t>industrials</t>
        </is>
      </c>
      <c r="F245" s="31" t="inlineStr">
        <is>
          <t>fasteners</t>
        </is>
      </c>
      <c r="G245" s="31" t="inlineStr">
        <is>
          <t>smallcap</t>
        </is>
      </c>
      <c r="H245" s="32" t="n">
        <v>1507.08</v>
      </c>
      <c r="I245" s="32" t="n">
        <v>1210</v>
      </c>
      <c r="J245" s="32" t="n">
        <v>2.37</v>
      </c>
      <c r="K245" s="32" t="n">
        <v>63104</v>
      </c>
      <c r="L245" s="31" t="n">
        <v>81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79.09999999999999</v>
      </c>
      <c r="P245" s="32" t="n">
        <v>46.1</v>
      </c>
      <c r="Q245" s="32" t="inlineStr"/>
      <c r="R245" s="31" t="inlineStr">
        <is>
          <t>Earnings / Momentum Support</t>
        </is>
      </c>
      <c r="S245" s="31" t="inlineStr">
        <is>
          <t>Nifty 50</t>
        </is>
      </c>
      <c r="T245" s="32" t="n">
        <v>-2.54</v>
      </c>
      <c r="U245" s="32" t="n">
        <v>35.65</v>
      </c>
      <c r="V245" s="32" t="n">
        <v>39.19</v>
      </c>
      <c r="W245" s="32" t="n">
        <v>18.27</v>
      </c>
      <c r="X245" s="31" t="inlineStr">
        <is>
          <t>Cyclical in an Upturn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Headwind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Above 40</t>
        </is>
      </c>
      <c r="AY245" s="31">
        <f>IF(AX245="Above 40",20,IF(AX245="20 to 40",10,IF(AX245="0 to 20",-5,0)))</f>
        <v/>
      </c>
      <c r="AZ245" s="31" t="inlineStr">
        <is>
          <t>Above 75</t>
        </is>
      </c>
      <c r="BA245" s="31">
        <f>IF(AZ245="Between 50 to 75",10,IF(AZ245="Above 75",0,0))</f>
        <v/>
      </c>
      <c r="BB245" s="31" t="inlineStr">
        <is>
          <t>Stage 3</t>
        </is>
      </c>
      <c r="BC245" s="31">
        <f>IF(BB245="Stage 2",20,IF(BB245="Stage 1",0,IF(BB245="Stage 3",5,IF(BB245="Stage 4",-5,0))))</f>
        <v/>
      </c>
      <c r="BD245" s="31" t="inlineStr">
        <is>
          <t>Negative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Less than 12%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Yes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Less than 50%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IF(B246=0,"",RANK(B246,$B$2:$B$340,0))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3" t="inlineStr">
        <is>
          <t>JASH</t>
        </is>
      </c>
      <c r="D246" s="33" t="inlineStr">
        <is>
          <t>Jash Engineering Ltd</t>
        </is>
      </c>
      <c r="E246" s="31" t="inlineStr">
        <is>
          <t>industrials</t>
        </is>
      </c>
      <c r="F246" s="31" t="inlineStr">
        <is>
          <t>engineering</t>
        </is>
      </c>
      <c r="G246" s="31" t="inlineStr">
        <is>
          <t>smallcap</t>
        </is>
      </c>
      <c r="H246" s="32" t="n">
        <v>3288.92</v>
      </c>
      <c r="I246" s="32" t="n">
        <v>528.5</v>
      </c>
      <c r="J246" s="32" t="n">
        <v>1.55</v>
      </c>
      <c r="K246" s="32" t="n">
        <v>62740</v>
      </c>
      <c r="L246" s="31" t="n">
        <v>32</v>
      </c>
      <c r="M246" s="31" t="inlineStr">
        <is>
          <t>Underperforming</t>
        </is>
      </c>
      <c r="N246" s="32">
        <f>IF(M246="Underperforming",-5,IF(L246&gt;=95,15,IF(L246&gt;=90,10,IF(L246&gt;=80,5,0))))</f>
        <v/>
      </c>
      <c r="O246" s="32" t="n">
        <v>61.2</v>
      </c>
      <c r="P246" s="32" t="n">
        <v>19.56</v>
      </c>
      <c r="Q246" s="32" t="inlineStr"/>
      <c r="R246" s="31" t="inlineStr">
        <is>
          <t>Earnings / Momentum Support</t>
        </is>
      </c>
      <c r="S246" s="31" t="inlineStr">
        <is>
          <t>Nifty Infra</t>
        </is>
      </c>
      <c r="T246" s="32" t="n">
        <v>1.74</v>
      </c>
      <c r="U246" s="32" t="n">
        <v>-14.52</v>
      </c>
      <c r="V246" s="32" t="n">
        <v>-15.98</v>
      </c>
      <c r="W246" s="32" t="n">
        <v>5</v>
      </c>
      <c r="X246" s="31" t="inlineStr">
        <is>
          <t>Cyclical in an Upturn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Headwind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0 to 20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3</t>
        </is>
      </c>
      <c r="BC246" s="31">
        <f>IF(BB246="Stage 2",20,IF(BB246="Stage 1",0,IF(BB246="Stage 3",5,IF(BB246="Stage 4",-5,0))))</f>
        <v/>
      </c>
      <c r="BD246" s="31" t="inlineStr">
        <is>
          <t>Negative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Less than 1.5</t>
        </is>
      </c>
      <c r="BU246" s="31">
        <f>IF(BT246="Above 2",0,IF(BT246="Between 1.5 to 2",5,IF(BT246="Less than 1.5",10,0)))</f>
        <v/>
      </c>
      <c r="BV246" s="31" t="inlineStr">
        <is>
          <t>Between 50% to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IF(B247=0,"",RANK(B247,$B$2:$B$340,0))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INOXINDIA</t>
        </is>
      </c>
      <c r="D247" s="31" t="inlineStr">
        <is>
          <t>Inox India Ltd</t>
        </is>
      </c>
      <c r="E247" s="31" t="inlineStr">
        <is>
          <t>industrials</t>
        </is>
      </c>
      <c r="F247" s="31" t="inlineStr">
        <is>
          <t>packaging</t>
        </is>
      </c>
      <c r="G247" s="31" t="inlineStr">
        <is>
          <t>midcap</t>
        </is>
      </c>
      <c r="H247" s="32" t="n">
        <v>17972.99</v>
      </c>
      <c r="I247" s="32" t="n">
        <v>2003.4</v>
      </c>
      <c r="J247" s="32" t="n">
        <v>1.17</v>
      </c>
      <c r="K247" s="32" t="n">
        <v>466072</v>
      </c>
      <c r="L247" s="31" t="n">
        <v>79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81.98999999999999</v>
      </c>
      <c r="P247" s="32" t="n">
        <v>66.06999999999999</v>
      </c>
      <c r="Q247" s="32" t="inlineStr"/>
      <c r="R247" s="31" t="inlineStr">
        <is>
          <t>Earnings / Momentum Support</t>
        </is>
      </c>
      <c r="S247" s="31" t="inlineStr">
        <is>
          <t>Nifty 50</t>
        </is>
      </c>
      <c r="T247" s="32" t="n">
        <v>-2.54</v>
      </c>
      <c r="U247" s="32" t="n">
        <v>60.51</v>
      </c>
      <c r="V247" s="32" t="n">
        <v>64.69</v>
      </c>
      <c r="W247" s="32" t="n">
        <v>17.89</v>
      </c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Headwind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Above 40</t>
        </is>
      </c>
      <c r="AY247" s="31">
        <f>IF(AX247="Above 40",20,IF(AX247="20 to 40",10,IF(AX247="0 to 20",-5,0)))</f>
        <v/>
      </c>
      <c r="AZ247" s="31" t="inlineStr">
        <is>
          <t>Above 75</t>
        </is>
      </c>
      <c r="BA247" s="31">
        <f>IF(AZ247="Between 50 to 75",10,IF(AZ247="Above 75",0,0))</f>
        <v/>
      </c>
      <c r="BB247" s="31" t="inlineStr">
        <is>
          <t>Stage 3</t>
        </is>
      </c>
      <c r="BC247" s="31">
        <f>IF(BB247="Stage 2",20,IF(BB247="Stage 1",0,IF(BB247="Stage 3",5,IF(BB247="Stage 4",-5,0))))</f>
        <v/>
      </c>
      <c r="BD247" s="31" t="inlineStr">
        <is>
          <t>Negative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Between 12 to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Less than 50%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IF(B248=0,"",RANK(B248,$B$2:$B$340,0))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CHENNPETRO</t>
        </is>
      </c>
      <c r="D248" s="31" t="inlineStr">
        <is>
          <t>Chennai Petroleum Corporation Limited</t>
        </is>
      </c>
      <c r="E248" s="31" t="inlineStr">
        <is>
          <t>energy</t>
        </is>
      </c>
      <c r="F248" s="31" t="inlineStr">
        <is>
          <t>refineries</t>
        </is>
      </c>
      <c r="G248" s="31" t="inlineStr">
        <is>
          <t>midcap</t>
        </is>
      </c>
      <c r="H248" s="32" t="n">
        <v>17878.3</v>
      </c>
      <c r="I248" s="32" t="n">
        <v>1214</v>
      </c>
      <c r="J248" s="32" t="n">
        <v>1.12</v>
      </c>
      <c r="K248" s="32" t="n">
        <v>1133036</v>
      </c>
      <c r="L248" s="31" t="n">
        <v>67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63.36</v>
      </c>
      <c r="P248" s="32" t="n">
        <v>48.18</v>
      </c>
      <c r="Q248" s="32" t="inlineStr"/>
      <c r="R248" s="31" t="inlineStr">
        <is>
          <t>Earnings / Momentum Support</t>
        </is>
      </c>
      <c r="S248" s="31" t="inlineStr">
        <is>
          <t>Nifty Energy</t>
        </is>
      </c>
      <c r="T248" s="32" t="n">
        <v>8.41</v>
      </c>
      <c r="U248" s="32" t="n">
        <v>56.41</v>
      </c>
      <c r="V248" s="32" t="n">
        <v>44.28</v>
      </c>
      <c r="W248" s="32" t="n">
        <v>12.99</v>
      </c>
      <c r="X248" s="31" t="inlineStr">
        <is>
          <t>Cyclical in an Upturn</t>
        </is>
      </c>
      <c r="Y248" s="31">
        <f>IF(X248="Growing Industry",10,IF(X248="Cyclical in an Upturn",5,0))</f>
        <v/>
      </c>
      <c r="Z248" s="31" t="inlineStr">
        <is>
          <t>Oligopoly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Yes</t>
        </is>
      </c>
      <c r="AC248" s="31">
        <f>IF(AB248="No",5,0)</f>
        <v/>
      </c>
      <c r="AD248" s="31" t="inlineStr">
        <is>
          <t>Headwind</t>
        </is>
      </c>
      <c r="AE248" s="31">
        <f>IF(AD248="Tailwind",10,0)</f>
        <v/>
      </c>
      <c r="AF248" s="31" t="inlineStr">
        <is>
          <t>Cyclical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Volatile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Above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3</t>
        </is>
      </c>
      <c r="BC248" s="31">
        <f>IF(BB248="Stage 2",20,IF(BB248="Stage 1",0,IF(BB248="Stage 3",5,IF(BB248="Stage 4",-5,0))))</f>
        <v/>
      </c>
      <c r="BD248" s="31" t="inlineStr">
        <is>
          <t>Negative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Between 50% to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IF(B249=0,"",RANK(B249,$B$2:$B$340,0))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BHARATFORG</t>
        </is>
      </c>
      <c r="D249" s="31" t="inlineStr">
        <is>
          <t>Bharat Forge Limited</t>
        </is>
      </c>
      <c r="E249" s="31" t="inlineStr">
        <is>
          <t>industrials</t>
        </is>
      </c>
      <c r="F249" s="31" t="inlineStr">
        <is>
          <t>castings &amp; forgings</t>
        </is>
      </c>
      <c r="G249" s="31" t="inlineStr">
        <is>
          <t>largecap</t>
        </is>
      </c>
      <c r="H249" s="32" t="n">
        <v>104725.31</v>
      </c>
      <c r="I249" s="32" t="n">
        <v>2209</v>
      </c>
      <c r="J249" s="32" t="n">
        <v>0.84</v>
      </c>
      <c r="K249" s="32" t="n">
        <v>864503</v>
      </c>
      <c r="L249" s="31" t="n">
        <v>77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73</v>
      </c>
      <c r="P249" s="32" t="n">
        <v>44.27</v>
      </c>
      <c r="Q249" s="32" t="inlineStr"/>
      <c r="R249" s="31" t="inlineStr">
        <is>
          <t>Earnings / Momentum Support</t>
        </is>
      </c>
      <c r="S249" s="31" t="inlineStr">
        <is>
          <t>Nifty 500</t>
        </is>
      </c>
      <c r="T249" s="32" t="n">
        <v>0.26</v>
      </c>
      <c r="U249" s="32" t="n">
        <v>80.8</v>
      </c>
      <c r="V249" s="32" t="n">
        <v>80.33</v>
      </c>
      <c r="W249" s="32" t="n">
        <v>16.69</v>
      </c>
      <c r="X249" s="31" t="inlineStr">
        <is>
          <t>Cyclical in an Upturn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Headwind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Above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3</t>
        </is>
      </c>
      <c r="BC249" s="31">
        <f>IF(BB249="Stage 2",20,IF(BB249="Stage 1",0,IF(BB249="Stage 3",5,IF(BB249="Stage 4",-5,0))))</f>
        <v/>
      </c>
      <c r="BD249" s="31" t="inlineStr">
        <is>
          <t>Negative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Less than 12%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Between 50% to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Between 0.7 to 1.2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IF(B250=0,"",RANK(B250,$B$2:$B$340,0))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3MINDIA</t>
        </is>
      </c>
      <c r="D250" s="31" t="inlineStr">
        <is>
          <t>3m India Limited</t>
        </is>
      </c>
      <c r="E250" s="31" t="inlineStr">
        <is>
          <t>miscellaneous</t>
        </is>
      </c>
      <c r="F250" s="31" t="inlineStr">
        <is>
          <t>diversified - large</t>
        </is>
      </c>
      <c r="G250" s="31" t="inlineStr">
        <is>
          <t>largecap</t>
        </is>
      </c>
      <c r="H250" s="32" t="n">
        <v>39281.3</v>
      </c>
      <c r="I250" s="32" t="n">
        <v>35150</v>
      </c>
      <c r="J250" s="32" t="n">
        <v>0.8</v>
      </c>
      <c r="K250" s="32" t="n">
        <v>3974</v>
      </c>
      <c r="L250" s="31" t="n">
        <v>43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58.84</v>
      </c>
      <c r="P250" s="32" t="n">
        <v>11.38</v>
      </c>
      <c r="Q250" s="32" t="inlineStr"/>
      <c r="R250" s="31" t="inlineStr">
        <is>
          <t>Earnings / Momentum Support</t>
        </is>
      </c>
      <c r="S250" s="31" t="inlineStr">
        <is>
          <t>Nifty 50</t>
        </is>
      </c>
      <c r="T250" s="32" t="n">
        <v>-2.54</v>
      </c>
      <c r="U250" s="32" t="n">
        <v>20.34</v>
      </c>
      <c r="V250" s="32" t="n">
        <v>23.48</v>
      </c>
      <c r="W250" s="32" t="n">
        <v>6.83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Headwind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0 to 20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3</t>
        </is>
      </c>
      <c r="BC250" s="31">
        <f>IF(BB250="Stage 2",20,IF(BB250="Stage 1",0,IF(BB250="Stage 3",5,IF(BB250="Stage 4",-5,0))))</f>
        <v/>
      </c>
      <c r="BD250" s="31" t="inlineStr">
        <is>
          <t>Negative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Yes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Between 50% to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IF(B251=0,"",RANK(B251,$B$2:$B$340,0))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BAJAJ-AUTO</t>
        </is>
      </c>
      <c r="D251" s="31" t="inlineStr">
        <is>
          <t>Bajaj Auto Limited</t>
        </is>
      </c>
      <c r="E251" s="31" t="inlineStr">
        <is>
          <t>auto</t>
        </is>
      </c>
      <c r="F251" s="31" t="inlineStr">
        <is>
          <t>automobiles - scooters and 3 - wheelers</t>
        </is>
      </c>
      <c r="G251" s="31" t="inlineStr">
        <is>
          <t>largecap</t>
        </is>
      </c>
      <c r="H251" s="32" t="n">
        <v>291879.59</v>
      </c>
      <c r="I251" s="32" t="n">
        <v>10522.5</v>
      </c>
      <c r="J251" s="32" t="n">
        <v>0.76</v>
      </c>
      <c r="K251" s="32" t="n">
        <v>335498</v>
      </c>
      <c r="L251" s="31" t="n">
        <v>41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61.53</v>
      </c>
      <c r="P251" s="32" t="n">
        <v>17.13</v>
      </c>
      <c r="Q251" s="32" t="inlineStr"/>
      <c r="R251" s="31" t="inlineStr">
        <is>
          <t>Earnings / Momentum Support</t>
        </is>
      </c>
      <c r="S251" s="31" t="inlineStr">
        <is>
          <t>Nifty Auto</t>
        </is>
      </c>
      <c r="T251" s="32" t="n">
        <v>13.41</v>
      </c>
      <c r="U251" s="32" t="n">
        <v>26.86</v>
      </c>
      <c r="V251" s="32" t="n">
        <v>11.86</v>
      </c>
      <c r="W251" s="32" t="n">
        <v>6.6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Headwind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0 to 20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3</t>
        </is>
      </c>
      <c r="BC251" s="31">
        <f>IF(BB251="Stage 2",20,IF(BB251="Stage 1",0,IF(BB251="Stage 3",5,IF(BB251="Stage 4",-5,0))))</f>
        <v/>
      </c>
      <c r="BD251" s="31" t="inlineStr">
        <is>
          <t>Negative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Less than 50%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IF(B252=0,"",RANK(B252,$B$2:$B$340,0))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AZAD</t>
        </is>
      </c>
      <c r="D252" s="31" t="inlineStr">
        <is>
          <t>Azad Engineering Ltd</t>
        </is>
      </c>
      <c r="E252" s="31" t="inlineStr">
        <is>
          <t>aerospace &amp; defence</t>
        </is>
      </c>
      <c r="F252" s="31" t="inlineStr">
        <is>
          <t>engineering</t>
        </is>
      </c>
      <c r="G252" s="31" t="inlineStr">
        <is>
          <t>midcap</t>
        </is>
      </c>
      <c r="H252" s="32" t="n">
        <v>15045.61</v>
      </c>
      <c r="I252" s="32" t="n">
        <v>2345.7</v>
      </c>
      <c r="J252" s="32" t="n">
        <v>0.6899999999999999</v>
      </c>
      <c r="K252" s="32" t="n">
        <v>243452</v>
      </c>
      <c r="L252" s="31" t="n">
        <v>66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62.56</v>
      </c>
      <c r="P252" s="32" t="n">
        <v>31.33</v>
      </c>
      <c r="Q252" s="32" t="inlineStr"/>
      <c r="R252" s="31" t="inlineStr">
        <is>
          <t>Earnings / Momentum Support</t>
        </is>
      </c>
      <c r="S252" s="31" t="inlineStr">
        <is>
          <t>Nifty 50</t>
        </is>
      </c>
      <c r="T252" s="32" t="n">
        <v>-2.54</v>
      </c>
      <c r="U252" s="32" t="n">
        <v>42.52</v>
      </c>
      <c r="V252" s="32" t="n">
        <v>46.23</v>
      </c>
      <c r="W252" s="32" t="n">
        <v>12.52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Headwind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20 to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3</t>
        </is>
      </c>
      <c r="BC252" s="31">
        <f>IF(BB252="Stage 2",20,IF(BB252="Stage 1",0,IF(BB252="Stage 3",5,IF(BB252="Stage 4",-5,0))))</f>
        <v/>
      </c>
      <c r="BD252" s="31" t="inlineStr">
        <is>
          <t>Negative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Yes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Negative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IF(B253=0,"",RANK(B253,$B$2:$B$340,0))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KRN</t>
        </is>
      </c>
      <c r="D253" s="31" t="inlineStr">
        <is>
          <t>KRN Heat Exchanger and Refrigeration Ltd</t>
        </is>
      </c>
      <c r="E253" s="31" t="inlineStr">
        <is>
          <t>industrials</t>
        </is>
      </c>
      <c r="F253" s="31" t="inlineStr">
        <is>
          <t>engineering</t>
        </is>
      </c>
      <c r="G253" s="31" t="inlineStr">
        <is>
          <t>midcap</t>
        </is>
      </c>
      <c r="H253" s="32" t="n">
        <v>8181.66</v>
      </c>
      <c r="I253" s="32" t="n">
        <v>1257.7</v>
      </c>
      <c r="J253" s="32" t="n">
        <v>0.62</v>
      </c>
      <c r="K253" s="32" t="n">
        <v>80129</v>
      </c>
      <c r="L253" s="31" t="n">
        <v>64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62.93</v>
      </c>
      <c r="P253" s="32" t="n">
        <v>36.17</v>
      </c>
      <c r="Q253" s="32" t="inlineStr"/>
      <c r="R253" s="31" t="inlineStr">
        <is>
          <t>Earnings / Momentum Support</t>
        </is>
      </c>
      <c r="S253" s="31" t="inlineStr">
        <is>
          <t>Nifty 50</t>
        </is>
      </c>
      <c r="T253" s="32" t="n">
        <v>-2.54</v>
      </c>
      <c r="U253" s="32" t="n">
        <v>47.03</v>
      </c>
      <c r="V253" s="32" t="n">
        <v>50.86</v>
      </c>
      <c r="W253" s="32" t="n">
        <v>11.87</v>
      </c>
      <c r="X253" s="31" t="inlineStr">
        <is>
          <t>Cyclical in an Upturn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Headwind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3</t>
        </is>
      </c>
      <c r="BC253" s="31">
        <f>IF(BB253="Stage 2",20,IF(BB253="Stage 1",0,IF(BB253="Stage 3",5,IF(BB253="Stage 4",-5,0))))</f>
        <v/>
      </c>
      <c r="BD253" s="31" t="inlineStr">
        <is>
          <t>Negative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Between 1.5 to 2</t>
        </is>
      </c>
      <c r="BU253" s="31">
        <f>IF(BT253="Above 2",0,IF(BT253="Between 1.5 to 2",5,IF(BT253="Less than 1.5",10,0)))</f>
        <v/>
      </c>
      <c r="BV253" s="31" t="inlineStr">
        <is>
          <t>Negative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IF(B254=0,"",RANK(B254,$B$2:$B$340,0))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3" t="inlineStr">
        <is>
          <t>SUMICHEM</t>
        </is>
      </c>
      <c r="D254" s="33" t="inlineStr">
        <is>
          <t>Sumitomo Chemical India Ltd</t>
        </is>
      </c>
      <c r="E254" s="31" t="inlineStr">
        <is>
          <t>chemicals</t>
        </is>
      </c>
      <c r="F254" s="31" t="inlineStr">
        <is>
          <t>pesticides / agrochemicals - indian</t>
        </is>
      </c>
      <c r="G254" s="31" t="inlineStr">
        <is>
          <t>largecap</t>
        </is>
      </c>
      <c r="H254" s="32" t="n">
        <v>26881.49</v>
      </c>
      <c r="I254" s="32" t="n">
        <v>540.65</v>
      </c>
      <c r="J254" s="32" t="n">
        <v>0.39</v>
      </c>
      <c r="K254" s="32" t="n">
        <v>351414</v>
      </c>
      <c r="L254" s="31" t="n">
        <v>22</v>
      </c>
      <c r="M254" s="31" t="inlineStr">
        <is>
          <t>Underperforming</t>
        </is>
      </c>
      <c r="N254" s="32">
        <f>IF(M254="Underperforming",-5,IF(L254&gt;=95,15,IF(L254&gt;=90,10,IF(L254&gt;=80,5,0))))</f>
        <v/>
      </c>
      <c r="O254" s="32" t="n">
        <v>63.91</v>
      </c>
      <c r="P254" s="32" t="n">
        <v>28.77</v>
      </c>
      <c r="Q254" s="32" t="inlineStr"/>
      <c r="R254" s="31" t="inlineStr">
        <is>
          <t>Earnings / Momentum Support</t>
        </is>
      </c>
      <c r="S254" s="31" t="inlineStr">
        <is>
          <t>Nifty 50</t>
        </is>
      </c>
      <c r="T254" s="32" t="n">
        <v>-2.54</v>
      </c>
      <c r="U254" s="32" t="n">
        <v>-10.76</v>
      </c>
      <c r="V254" s="32" t="n">
        <v>-8.43</v>
      </c>
      <c r="W254" s="32" t="n">
        <v>3.12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Headwind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20 to 40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3</t>
        </is>
      </c>
      <c r="BC254" s="31">
        <f>IF(BB254="Stage 2",20,IF(BB254="Stage 1",0,IF(BB254="Stage 3",5,IF(BB254="Stage 4",-5,0))))</f>
        <v/>
      </c>
      <c r="BD254" s="31" t="inlineStr">
        <is>
          <t>Negative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Less than 12%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Yes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Between 50% to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IF(B255=0,"",RANK(B255,$B$2:$B$340,0))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EICHERMOT</t>
        </is>
      </c>
      <c r="D255" s="31" t="inlineStr">
        <is>
          <t>Eicher Motors Limited</t>
        </is>
      </c>
      <c r="E255" s="31" t="inlineStr">
        <is>
          <t>auto</t>
        </is>
      </c>
      <c r="F255" s="31" t="inlineStr">
        <is>
          <t>automobiles - motorcycles / mopeds</t>
        </is>
      </c>
      <c r="G255" s="31" t="inlineStr">
        <is>
          <t>largecap</t>
        </is>
      </c>
      <c r="H255" s="32" t="n">
        <v>207477.55</v>
      </c>
      <c r="I255" s="32" t="n">
        <v>7563.5</v>
      </c>
      <c r="J255" s="32" t="n">
        <v>0</v>
      </c>
      <c r="K255" s="32" t="n">
        <v>266361</v>
      </c>
      <c r="L255" s="31" t="n">
        <v>47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56.8</v>
      </c>
      <c r="P255" s="32" t="n">
        <v>7.39</v>
      </c>
      <c r="Q255" s="32" t="inlineStr"/>
      <c r="R255" s="31" t="inlineStr">
        <is>
          <t>Earnings / Momentum Support</t>
        </is>
      </c>
      <c r="S255" s="31" t="inlineStr">
        <is>
          <t>Nifty Auto</t>
        </is>
      </c>
      <c r="T255" s="32" t="n">
        <v>13.41</v>
      </c>
      <c r="U255" s="32" t="n">
        <v>36.15</v>
      </c>
      <c r="V255" s="32" t="n">
        <v>20.04</v>
      </c>
      <c r="W255" s="32" t="n">
        <v>7.86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Headwind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No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0 to 20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3</t>
        </is>
      </c>
      <c r="BC255" s="31">
        <f>IF(BB255="Stage 2",20,IF(BB255="Stage 1",0,IF(BB255="Stage 3",5,IF(BB255="Stage 4",-5,0))))</f>
        <v/>
      </c>
      <c r="BD255" s="31" t="inlineStr">
        <is>
          <t>Negative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Less than 12%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No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IF(B256=0,"",RANK(B256,$B$2:$B$340,0))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MAHLIFE</t>
        </is>
      </c>
      <c r="D256" s="31" t="inlineStr">
        <is>
          <t>Mahindra Lifespace Developers Limited</t>
        </is>
      </c>
      <c r="E256" s="31" t="inlineStr">
        <is>
          <t>realty</t>
        </is>
      </c>
      <c r="F256" s="31" t="inlineStr">
        <is>
          <t>construction</t>
        </is>
      </c>
      <c r="G256" s="31" t="inlineStr">
        <is>
          <t>midcap</t>
        </is>
      </c>
      <c r="H256" s="32" t="n">
        <v>7968.35</v>
      </c>
      <c r="I256" s="32" t="n">
        <v>373.2</v>
      </c>
      <c r="J256" s="32" t="n">
        <v>-0.08</v>
      </c>
      <c r="K256" s="32" t="n">
        <v>61321</v>
      </c>
      <c r="L256" s="31" t="n">
        <v>23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57.79</v>
      </c>
      <c r="P256" s="32" t="n">
        <v>10.79</v>
      </c>
      <c r="Q256" s="32" t="inlineStr"/>
      <c r="R256" s="31" t="inlineStr">
        <is>
          <t>Earnings / Momentum Support</t>
        </is>
      </c>
      <c r="S256" s="31" t="inlineStr">
        <is>
          <t>Nifty Realty</t>
        </is>
      </c>
      <c r="T256" s="32" t="n">
        <v>-8.119999999999999</v>
      </c>
      <c r="U256" s="32" t="n">
        <v>-1.54</v>
      </c>
      <c r="V256" s="32" t="n">
        <v>7.16</v>
      </c>
      <c r="W256" s="32" t="n">
        <v>3.28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Headwind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No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0 to 20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3</t>
        </is>
      </c>
      <c r="BC256" s="31">
        <f>IF(BB256="Stage 2",20,IF(BB256="Stage 1",0,IF(BB256="Stage 3",5,IF(BB256="Stage 4",-5,0))))</f>
        <v/>
      </c>
      <c r="BD256" s="31" t="inlineStr">
        <is>
          <t>Negative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Less than 12%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IF(B257=0,"",RANK(B257,$B$2:$B$340,0))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HAL</t>
        </is>
      </c>
      <c r="D257" s="31" t="inlineStr">
        <is>
          <t>Hindustan Aeronautics Ltd</t>
        </is>
      </c>
      <c r="E257" s="31" t="inlineStr">
        <is>
          <t>aerospace &amp; defence</t>
        </is>
      </c>
      <c r="F257" s="31" t="inlineStr">
        <is>
          <t>engineering</t>
        </is>
      </c>
      <c r="G257" s="31" t="inlineStr">
        <is>
          <t>largecap</t>
        </is>
      </c>
      <c r="H257" s="32" t="n">
        <v>300995.56</v>
      </c>
      <c r="I257" s="32" t="n">
        <v>4491</v>
      </c>
      <c r="J257" s="32" t="n">
        <v>-0.22</v>
      </c>
      <c r="K257" s="32" t="n">
        <v>344704</v>
      </c>
      <c r="L257" s="31" t="n">
        <v>10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55.52</v>
      </c>
      <c r="P257" s="32" t="n">
        <v>18.05</v>
      </c>
      <c r="Q257" s="32" t="inlineStr"/>
      <c r="R257" s="31" t="inlineStr">
        <is>
          <t>Earnings / Momentum Support</t>
        </is>
      </c>
      <c r="S257" s="31" t="inlineStr">
        <is>
          <t>Nifty 50</t>
        </is>
      </c>
      <c r="T257" s="32" t="n">
        <v>-2.54</v>
      </c>
      <c r="U257" s="32" t="n">
        <v>-2.11</v>
      </c>
      <c r="V257" s="32" t="n">
        <v>0.44</v>
      </c>
      <c r="W257" s="32" t="n">
        <v>0.21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Headwind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0 to 20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3</t>
        </is>
      </c>
      <c r="BC257" s="31">
        <f>IF(BB257="Stage 2",20,IF(BB257="Stage 1",0,IF(BB257="Stage 3",5,IF(BB257="Stage 4",-5,0))))</f>
        <v/>
      </c>
      <c r="BD257" s="31" t="inlineStr">
        <is>
          <t>Negative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IF(B258=0,"",RANK(B258,$B$2:$B$340,0))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3" t="inlineStr">
        <is>
          <t>UNOMINDA</t>
        </is>
      </c>
      <c r="D258" s="33" t="inlineStr">
        <is>
          <t>Uno Minda Ltd</t>
        </is>
      </c>
      <c r="E258" s="31" t="inlineStr">
        <is>
          <t>auto</t>
        </is>
      </c>
      <c r="F258" s="31" t="inlineStr">
        <is>
          <t>auto ancillaries</t>
        </is>
      </c>
      <c r="G258" s="31" t="inlineStr">
        <is>
          <t>largecap</t>
        </is>
      </c>
      <c r="H258" s="32" t="n">
        <v>66680.67</v>
      </c>
      <c r="I258" s="32" t="n">
        <v>1152</v>
      </c>
      <c r="J258" s="32" t="n">
        <v>-0.24</v>
      </c>
      <c r="K258" s="32" t="n">
        <v>431621</v>
      </c>
      <c r="L258" s="31" t="n">
        <v>19</v>
      </c>
      <c r="M258" s="31" t="inlineStr">
        <is>
          <t>Underperforming</t>
        </is>
      </c>
      <c r="N258" s="32">
        <f>IF(M258="Underperforming",-5,IF(L258&gt;=95,15,IF(L258&gt;=90,10,IF(L258&gt;=80,5,0))))</f>
        <v/>
      </c>
      <c r="O258" s="32" t="n">
        <v>52.54</v>
      </c>
      <c r="P258" s="32" t="n">
        <v>17.19</v>
      </c>
      <c r="Q258" s="32" t="inlineStr"/>
      <c r="R258" s="31" t="inlineStr">
        <is>
          <t>Earnings / Momentum Support</t>
        </is>
      </c>
      <c r="S258" s="31" t="inlineStr">
        <is>
          <t>Nifty Auto</t>
        </is>
      </c>
      <c r="T258" s="32" t="n">
        <v>13.41</v>
      </c>
      <c r="U258" s="32" t="n">
        <v>6.1</v>
      </c>
      <c r="V258" s="32" t="n">
        <v>-6.45</v>
      </c>
      <c r="W258" s="32" t="n">
        <v>2.44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Headwind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0 to 20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3</t>
        </is>
      </c>
      <c r="BC258" s="31">
        <f>IF(BB258="Stage 2",20,IF(BB258="Stage 1",0,IF(BB258="Stage 3",5,IF(BB258="Stage 4",-5,0))))</f>
        <v/>
      </c>
      <c r="BD258" s="31" t="inlineStr">
        <is>
          <t>Negative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Yes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IF(B259=0,"",RANK(B259,$B$2:$B$340,0))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IRISDOREME</t>
        </is>
      </c>
      <c r="D259" s="31" t="inlineStr">
        <is>
          <t>Iris Clothings Ltd</t>
        </is>
      </c>
      <c r="E259" s="31" t="inlineStr">
        <is>
          <t>consumer discretionary</t>
        </is>
      </c>
      <c r="F259" s="31" t="inlineStr">
        <is>
          <t>textiles - products</t>
        </is>
      </c>
      <c r="G259" s="31" t="inlineStr">
        <is>
          <t>smallcap</t>
        </is>
      </c>
      <c r="H259" s="32" t="n">
        <v>885.8</v>
      </c>
      <c r="I259" s="32" t="n">
        <v>46.2</v>
      </c>
      <c r="J259" s="32" t="n">
        <v>-0.73</v>
      </c>
      <c r="K259" s="32" t="n">
        <v>253717</v>
      </c>
      <c r="L259" s="31" t="n">
        <v>73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74.29000000000001</v>
      </c>
      <c r="P259" s="32" t="n">
        <v>28.46</v>
      </c>
      <c r="Q259" s="32" t="inlineStr"/>
      <c r="R259" s="31" t="inlineStr">
        <is>
          <t>Earnings / Momentum Support</t>
        </is>
      </c>
      <c r="S259" s="31" t="inlineStr">
        <is>
          <t>Nifty 50</t>
        </is>
      </c>
      <c r="T259" s="32" t="n">
        <v>-2.54</v>
      </c>
      <c r="U259" s="32" t="n">
        <v>49.5</v>
      </c>
      <c r="V259" s="32" t="n">
        <v>53.4</v>
      </c>
      <c r="W259" s="32" t="n">
        <v>15.11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Headwind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20 to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3</t>
        </is>
      </c>
      <c r="BC259" s="31">
        <f>IF(BB259="Stage 2",20,IF(BB259="Stage 1",0,IF(BB259="Stage 3",5,IF(BB259="Stage 4",-5,0))))</f>
        <v/>
      </c>
      <c r="BD259" s="31" t="inlineStr">
        <is>
          <t>Negative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Negative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IF(B260=0,"",RANK(B260,$B$2:$B$340,0))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3" t="inlineStr">
        <is>
          <t>KALYANKJIL</t>
        </is>
      </c>
      <c r="D260" s="33" t="inlineStr">
        <is>
          <t>Kalyan Jewellers India Ltd</t>
        </is>
      </c>
      <c r="E260" s="31" t="inlineStr">
        <is>
          <t>consumer discretionary</t>
        </is>
      </c>
      <c r="F260" s="31" t="inlineStr">
        <is>
          <t>diamond cutting / jewellery</t>
        </is>
      </c>
      <c r="G260" s="31" t="inlineStr">
        <is>
          <t>largecap</t>
        </is>
      </c>
      <c r="H260" s="32" t="n">
        <v>59320.6</v>
      </c>
      <c r="I260" s="32" t="n">
        <v>570</v>
      </c>
      <c r="J260" s="32" t="n">
        <v>-0.77</v>
      </c>
      <c r="K260" s="32" t="n">
        <v>22893886</v>
      </c>
      <c r="L260" s="31" t="n">
        <v>47</v>
      </c>
      <c r="M260" s="31" t="inlineStr">
        <is>
          <t>Underperforming</t>
        </is>
      </c>
      <c r="N260" s="32">
        <f>IF(M260="Underperforming",-5,IF(L260&gt;=95,15,IF(L260&gt;=90,10,IF(L260&gt;=80,5,0))))</f>
        <v/>
      </c>
      <c r="O260" s="32" t="n">
        <v>70.06999999999999</v>
      </c>
      <c r="P260" s="32" t="n">
        <v>22.63</v>
      </c>
      <c r="Q260" s="32" t="inlineStr"/>
      <c r="R260" s="31" t="inlineStr">
        <is>
          <t>Earnings / Momentum Support</t>
        </is>
      </c>
      <c r="S260" s="31" t="inlineStr">
        <is>
          <t>Nifty 500</t>
        </is>
      </c>
      <c r="T260" s="32" t="n">
        <v>0.26</v>
      </c>
      <c r="U260" s="32" t="n">
        <v>-2.38</v>
      </c>
      <c r="V260" s="32" t="n">
        <v>-2.64</v>
      </c>
      <c r="W260" s="32" t="n">
        <v>7.82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Headwind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3</t>
        </is>
      </c>
      <c r="BC260" s="31">
        <f>IF(BB260="Stage 2",20,IF(BB260="Stage 1",0,IF(BB260="Stage 3",5,IF(BB260="Stage 4",-5,0))))</f>
        <v/>
      </c>
      <c r="BD260" s="31" t="inlineStr">
        <is>
          <t>Negative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Between 50% to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Between 0.7 to 1.2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IF(B261=0,"",RANK(B261,$B$2:$B$340,0))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RELTD</t>
        </is>
      </c>
      <c r="D261" s="31" t="inlineStr">
        <is>
          <t>Ravindra Energy Ltd</t>
        </is>
      </c>
      <c r="E261" s="31" t="inlineStr">
        <is>
          <t>industrials</t>
        </is>
      </c>
      <c r="F261" s="31" t="inlineStr">
        <is>
          <t>electric equipment</t>
        </is>
      </c>
      <c r="G261" s="31" t="inlineStr">
        <is>
          <t>smallcap</t>
        </is>
      </c>
      <c r="H261" s="32" t="n">
        <v>3525.44</v>
      </c>
      <c r="I261" s="32" t="n">
        <v>175.86</v>
      </c>
      <c r="J261" s="32" t="n">
        <v>-0.96</v>
      </c>
      <c r="K261" s="32" t="n">
        <v>364047</v>
      </c>
      <c r="L261" s="31" t="n">
        <v>63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65.01000000000001</v>
      </c>
      <c r="P261" s="32" t="n">
        <v>20.85</v>
      </c>
      <c r="Q261" s="32" t="inlineStr"/>
      <c r="R261" s="31" t="inlineStr">
        <is>
          <t>Earnings / Momentum Support</t>
        </is>
      </c>
      <c r="S261" s="31" t="inlineStr">
        <is>
          <t>Nifty Infra</t>
        </is>
      </c>
      <c r="T261" s="32" t="n">
        <v>1.74</v>
      </c>
      <c r="U261" s="32" t="n">
        <v>30.58</v>
      </c>
      <c r="V261" s="32" t="n">
        <v>28.34</v>
      </c>
      <c r="W261" s="32" t="n">
        <v>11.67</v>
      </c>
      <c r="X261" s="31" t="inlineStr">
        <is>
          <t>Cyclical in an Upturn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Headwind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3</t>
        </is>
      </c>
      <c r="BC261" s="31">
        <f>IF(BB261="Stage 2",20,IF(BB261="Stage 1",0,IF(BB261="Stage 3",5,IF(BB261="Stage 4",-5,0))))</f>
        <v/>
      </c>
      <c r="BD261" s="31" t="inlineStr">
        <is>
          <t>Negative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More than 1.2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IF(B262=0,"",RANK(B262,$B$2:$B$340,0))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3" t="inlineStr">
        <is>
          <t>OMAXE</t>
        </is>
      </c>
      <c r="D262" s="33" t="inlineStr">
        <is>
          <t>Omaxe Limited</t>
        </is>
      </c>
      <c r="E262" s="31" t="inlineStr">
        <is>
          <t>realty</t>
        </is>
      </c>
      <c r="F262" s="31" t="inlineStr">
        <is>
          <t>construction</t>
        </is>
      </c>
      <c r="G262" s="31" t="inlineStr">
        <is>
          <t>smallcap</t>
        </is>
      </c>
      <c r="H262" s="32" t="n">
        <v>1710.12</v>
      </c>
      <c r="I262" s="32" t="n">
        <v>92.58</v>
      </c>
      <c r="J262" s="32" t="n">
        <v>-0.98</v>
      </c>
      <c r="K262" s="32" t="n">
        <v>339484</v>
      </c>
      <c r="L262" s="31" t="n">
        <v>18</v>
      </c>
      <c r="M262" s="31" t="inlineStr">
        <is>
          <t>Underperforming</t>
        </is>
      </c>
      <c r="N262" s="32">
        <f>IF(M262="Underperforming",-5,IF(L262&gt;=95,15,IF(L262&gt;=90,10,IF(L262&gt;=80,5,0))))</f>
        <v/>
      </c>
      <c r="O262" s="32" t="n">
        <v>65.13</v>
      </c>
      <c r="P262" s="32" t="n">
        <v>22.67</v>
      </c>
      <c r="Q262" s="32" t="inlineStr"/>
      <c r="R262" s="31" t="inlineStr">
        <is>
          <t>Earnings / Momentum Support</t>
        </is>
      </c>
      <c r="S262" s="31" t="inlineStr">
        <is>
          <t>Nifty Realty</t>
        </is>
      </c>
      <c r="T262" s="32" t="n">
        <v>-8.119999999999999</v>
      </c>
      <c r="U262" s="32" t="n">
        <v>-11.01</v>
      </c>
      <c r="V262" s="32" t="n">
        <v>-3.15</v>
      </c>
      <c r="W262" s="32" t="n">
        <v>2.25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Headwind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3</t>
        </is>
      </c>
      <c r="BC262" s="31">
        <f>IF(BB262="Stage 2",20,IF(BB262="Stage 1",0,IF(BB262="Stage 3",5,IF(BB262="Stage 4",-5,0))))</f>
        <v/>
      </c>
      <c r="BD262" s="31" t="inlineStr">
        <is>
          <t>Negative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Negative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IF(B263=0,"",RANK(B263,$B$2:$B$340,0))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RGL</t>
        </is>
      </c>
      <c r="D263" s="31" t="inlineStr">
        <is>
          <t>Renaissance Global Ltd</t>
        </is>
      </c>
      <c r="E263" s="31" t="inlineStr">
        <is>
          <t>consumer discretionary</t>
        </is>
      </c>
      <c r="F263" s="31" t="inlineStr">
        <is>
          <t>diamond cutting / jewellery</t>
        </is>
      </c>
      <c r="G263" s="31" t="inlineStr">
        <is>
          <t>smallcap</t>
        </is>
      </c>
      <c r="H263" s="32" t="n">
        <v>1293.27</v>
      </c>
      <c r="I263" s="32" t="n">
        <v>119.31</v>
      </c>
      <c r="J263" s="32" t="n">
        <v>-0.99</v>
      </c>
      <c r="K263" s="32" t="n">
        <v>126949</v>
      </c>
      <c r="L263" s="31" t="n">
        <v>23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56.76</v>
      </c>
      <c r="P263" s="32" t="n">
        <v>11.58</v>
      </c>
      <c r="Q263" s="32" t="inlineStr"/>
      <c r="R263" s="31" t="inlineStr">
        <is>
          <t>Earnings / Momentum Support</t>
        </is>
      </c>
      <c r="S263" s="31" t="inlineStr">
        <is>
          <t>Nifty 50</t>
        </is>
      </c>
      <c r="T263" s="32" t="n">
        <v>-2.54</v>
      </c>
      <c r="U263" s="32" t="n">
        <v>0.74</v>
      </c>
      <c r="V263" s="32" t="n">
        <v>3.36</v>
      </c>
      <c r="W263" s="32" t="n">
        <v>3.2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Headwind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3</t>
        </is>
      </c>
      <c r="BC263" s="31">
        <f>IF(BB263="Stage 2",20,IF(BB263="Stage 1",0,IF(BB263="Stage 3",5,IF(BB263="Stage 4",-5,0))))</f>
        <v/>
      </c>
      <c r="BD263" s="31" t="inlineStr">
        <is>
          <t>Negative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Between 1.5 to 2</t>
        </is>
      </c>
      <c r="BU263" s="31">
        <f>IF(BT263="Above 2",0,IF(BT263="Between 1.5 to 2",5,IF(BT263="Less than 1.5",10,0)))</f>
        <v/>
      </c>
      <c r="BV263" s="31" t="inlineStr">
        <is>
          <t>Less than 50%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IF(B264=0,"",RANK(B264,$B$2:$B$340,0))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3" t="inlineStr">
        <is>
          <t>UNICHEMLAB</t>
        </is>
      </c>
      <c r="D264" s="33" t="inlineStr">
        <is>
          <t>Unichem Laboratories Limited</t>
        </is>
      </c>
      <c r="E264" s="31" t="inlineStr">
        <is>
          <t>healthcare</t>
        </is>
      </c>
      <c r="F264" s="31" t="inlineStr">
        <is>
          <t>pharmaceuticals - indian - bulk drugs &amp; formln</t>
        </is>
      </c>
      <c r="G264" s="31" t="inlineStr">
        <is>
          <t>smallcap</t>
        </is>
      </c>
      <c r="H264" s="32" t="n">
        <v>4147.25</v>
      </c>
      <c r="I264" s="32" t="n">
        <v>595.6</v>
      </c>
      <c r="J264" s="32" t="n">
        <v>1.11</v>
      </c>
      <c r="K264" s="32" t="n">
        <v>104210</v>
      </c>
      <c r="L264" s="31" t="n">
        <v>77</v>
      </c>
      <c r="M264" s="31" t="inlineStr">
        <is>
          <t>Underperforming</t>
        </is>
      </c>
      <c r="N264" s="32">
        <f>IF(M264="Underperforming",-5,IF(L264&gt;=95,15,IF(L264&gt;=90,10,IF(L264&gt;=80,5,0))))</f>
        <v/>
      </c>
      <c r="O264" s="32" t="n">
        <v>69.20999999999999</v>
      </c>
      <c r="P264" s="32" t="n">
        <v>29.49</v>
      </c>
      <c r="Q264" s="32" t="inlineStr"/>
      <c r="R264" s="31" t="inlineStr">
        <is>
          <t>Earnings / Momentum Support</t>
        </is>
      </c>
      <c r="S264" s="31" t="inlineStr">
        <is>
          <t>Nifty Pharma</t>
        </is>
      </c>
      <c r="T264" s="32" t="n">
        <v>13.51</v>
      </c>
      <c r="U264" s="32" t="n">
        <v>-6.16</v>
      </c>
      <c r="V264" s="32" t="n">
        <v>-17.33</v>
      </c>
      <c r="W264" s="32" t="n">
        <v>16.67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Yes</t>
        </is>
      </c>
      <c r="AC264" s="31">
        <f>IF(AB264="No",5,0)</f>
        <v/>
      </c>
      <c r="AD264" s="31" t="inlineStr">
        <is>
          <t>Headwind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Annuity, Lower One Time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3</t>
        </is>
      </c>
      <c r="BC264" s="31">
        <f>IF(BB264="Stage 2",20,IF(BB264="Stage 1",0,IF(BB264="Stage 3",5,IF(BB264="Stage 4",-5,0))))</f>
        <v/>
      </c>
      <c r="BD264" s="31" t="inlineStr">
        <is>
          <t>Negative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Less than 12%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Less than 50%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IF(B265=0,"",RANK(B265,$B$2:$B$340,0))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3" t="inlineStr">
        <is>
          <t>BIOCON</t>
        </is>
      </c>
      <c r="D265" s="33" t="inlineStr">
        <is>
          <t>Biocon Limited</t>
        </is>
      </c>
      <c r="E265" s="31" t="inlineStr">
        <is>
          <t>healthcare</t>
        </is>
      </c>
      <c r="F265" s="31" t="inlineStr">
        <is>
          <t>pharmaceuticals - indian - bulk drugs &amp; formln</t>
        </is>
      </c>
      <c r="G265" s="31" t="inlineStr">
        <is>
          <t>largecap</t>
        </is>
      </c>
      <c r="H265" s="32" t="n">
        <v>71250.23</v>
      </c>
      <c r="I265" s="32" t="n">
        <v>436.5</v>
      </c>
      <c r="J265" s="32" t="n">
        <v>-0.16</v>
      </c>
      <c r="K265" s="32" t="n">
        <v>3615785</v>
      </c>
      <c r="L265" s="31" t="n">
        <v>44</v>
      </c>
      <c r="M265" s="31" t="inlineStr">
        <is>
          <t>Underperforming</t>
        </is>
      </c>
      <c r="N265" s="32">
        <f>IF(M265="Underperforming",-5,IF(L265&gt;=95,15,IF(L265&gt;=90,10,IF(L265&gt;=80,5,0))))</f>
        <v/>
      </c>
      <c r="O265" s="32" t="n">
        <v>64.77</v>
      </c>
      <c r="P265" s="32" t="n">
        <v>22.63</v>
      </c>
      <c r="Q265" s="32" t="inlineStr"/>
      <c r="R265" s="31" t="inlineStr">
        <is>
          <t>Earnings / Momentum Support</t>
        </is>
      </c>
      <c r="S265" s="31" t="inlineStr">
        <is>
          <t>Nifty Pharma</t>
        </is>
      </c>
      <c r="T265" s="32" t="n">
        <v>13.51</v>
      </c>
      <c r="U265" s="32" t="n">
        <v>9.77</v>
      </c>
      <c r="V265" s="32" t="n">
        <v>-3.29</v>
      </c>
      <c r="W265" s="32" t="n">
        <v>6.93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Yes</t>
        </is>
      </c>
      <c r="AC265" s="31">
        <f>IF(AB265="No",5,0)</f>
        <v/>
      </c>
      <c r="AD265" s="31" t="inlineStr">
        <is>
          <t>Headwind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Annuity, Lower One Time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20 to 40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3</t>
        </is>
      </c>
      <c r="BC265" s="31">
        <f>IF(BB265="Stage 2",20,IF(BB265="Stage 1",0,IF(BB265="Stage 3",5,IF(BB265="Stage 4",-5,0))))</f>
        <v/>
      </c>
      <c r="BD265" s="31" t="inlineStr">
        <is>
          <t>Negative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Less than 12%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Between 50% to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IF(B266=0,"",RANK(B266,$B$2:$B$340,0))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3" t="inlineStr">
        <is>
          <t>AGARWALEYE</t>
        </is>
      </c>
      <c r="D266" s="33" t="inlineStr">
        <is>
          <t>Dr Agarwals Health Care Ltd</t>
        </is>
      </c>
      <c r="E266" s="31" t="inlineStr">
        <is>
          <t>healthcare</t>
        </is>
      </c>
      <c r="F266" s="31" t="inlineStr">
        <is>
          <t>healthcare</t>
        </is>
      </c>
      <c r="G266" s="31" t="inlineStr">
        <is>
          <t>midcap</t>
        </is>
      </c>
      <c r="H266" s="32" t="n">
        <v>15402.21</v>
      </c>
      <c r="I266" s="32" t="n">
        <v>484.7</v>
      </c>
      <c r="J266" s="32" t="n">
        <v>-0.25</v>
      </c>
      <c r="K266" s="32" t="n">
        <v>24094</v>
      </c>
      <c r="L266" s="31" t="n">
        <v>29</v>
      </c>
      <c r="M266" s="31" t="inlineStr">
        <is>
          <t>Underperforming</t>
        </is>
      </c>
      <c r="N266" s="32">
        <f>IF(M266="Underperforming",-5,IF(L266&gt;=95,15,IF(L266&gt;=90,10,IF(L266&gt;=80,5,0))))</f>
        <v/>
      </c>
      <c r="O266" s="32" t="n">
        <v>57.49</v>
      </c>
      <c r="P266" s="32" t="n">
        <v>15.64</v>
      </c>
      <c r="Q266" s="32" t="inlineStr"/>
      <c r="R266" s="31" t="inlineStr">
        <is>
          <t>Earnings / Momentum Support</t>
        </is>
      </c>
      <c r="S266" s="31" t="inlineStr">
        <is>
          <t>Nifty Pharma</t>
        </is>
      </c>
      <c r="T266" s="32" t="n">
        <v>13.51</v>
      </c>
      <c r="U266" s="32" t="n">
        <v>10.94</v>
      </c>
      <c r="V266" s="32" t="n">
        <v>-2.27</v>
      </c>
      <c r="W266" s="32" t="n">
        <v>4.77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Yes</t>
        </is>
      </c>
      <c r="AC266" s="31">
        <f>IF(AB266="No",5,0)</f>
        <v/>
      </c>
      <c r="AD266" s="31" t="inlineStr">
        <is>
          <t>Headwind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Annuity, Lower One Time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3</t>
        </is>
      </c>
      <c r="BC266" s="31">
        <f>IF(BB266="Stage 2",20,IF(BB266="Stage 1",0,IF(BB266="Stage 3",5,IF(BB266="Stage 4",-5,0))))</f>
        <v/>
      </c>
      <c r="BD266" s="31" t="inlineStr">
        <is>
          <t>Negative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IF(B267=0,"",RANK(B267,$B$2:$B$340,0))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AVADHSUGAR</t>
        </is>
      </c>
      <c r="D267" s="31" t="inlineStr">
        <is>
          <t>Avadh Sugar &amp; Energy</t>
        </is>
      </c>
      <c r="E267" s="31" t="inlineStr">
        <is>
          <t>fmcg</t>
        </is>
      </c>
      <c r="F267" s="31" t="inlineStr">
        <is>
          <t>sugar</t>
        </is>
      </c>
      <c r="G267" s="31" t="inlineStr">
        <is>
          <t>smallcap</t>
        </is>
      </c>
      <c r="H267" s="32" t="n">
        <v>1068.78</v>
      </c>
      <c r="I267" s="32" t="n">
        <v>531.4</v>
      </c>
      <c r="J267" s="32" t="n">
        <v>-0.47</v>
      </c>
      <c r="K267" s="32" t="n">
        <v>20623</v>
      </c>
      <c r="L267" s="31" t="n">
        <v>46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70.06</v>
      </c>
      <c r="P267" s="32" t="n">
        <v>35.07</v>
      </c>
      <c r="Q267" s="32" t="inlineStr"/>
      <c r="R267" s="31" t="inlineStr">
        <is>
          <t>Earnings / Momentum Support</t>
        </is>
      </c>
      <c r="S267" s="31" t="inlineStr">
        <is>
          <t>Nifty FMCG</t>
        </is>
      </c>
      <c r="T267" s="32" t="n">
        <v>-13.73</v>
      </c>
      <c r="U267" s="32" t="n">
        <v>10.91</v>
      </c>
      <c r="V267" s="32" t="n">
        <v>28.56</v>
      </c>
      <c r="W267" s="32" t="n">
        <v>7.47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Headwind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B2C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Annuity, Lower One Time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3</t>
        </is>
      </c>
      <c r="BC267" s="31">
        <f>IF(BB267="Stage 2",20,IF(BB267="Stage 1",0,IF(BB267="Stage 3",5,IF(BB267="Stage 4",-5,0))))</f>
        <v/>
      </c>
      <c r="BD267" s="31" t="inlineStr">
        <is>
          <t>Negative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Less than 12%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Between 50% to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More than 1.2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IF(B268=0,"",RANK(B268,$B$2:$B$340,0))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3" t="inlineStr">
        <is>
          <t>VMART</t>
        </is>
      </c>
      <c r="D268" s="33" t="inlineStr">
        <is>
          <t>V-mart Retail Limited</t>
        </is>
      </c>
      <c r="E268" s="31" t="inlineStr">
        <is>
          <t>consumer discretionary</t>
        </is>
      </c>
      <c r="F268" s="31" t="inlineStr">
        <is>
          <t>trading</t>
        </is>
      </c>
      <c r="G268" s="31" t="inlineStr">
        <is>
          <t>midcap</t>
        </is>
      </c>
      <c r="H268" s="32" t="n">
        <v>5929.18</v>
      </c>
      <c r="I268" s="32" t="n">
        <v>785.1</v>
      </c>
      <c r="J268" s="32" t="n">
        <v>5.21</v>
      </c>
      <c r="K268" s="32" t="n">
        <v>185874</v>
      </c>
      <c r="L268" s="31" t="n">
        <v>30</v>
      </c>
      <c r="M268" s="31" t="inlineStr">
        <is>
          <t>Underperforming</t>
        </is>
      </c>
      <c r="N268" s="32">
        <f>IF(M268="Underperforming",-5,IF(L268&gt;=95,15,IF(L268&gt;=90,10,IF(L268&gt;=80,5,0))))</f>
        <v/>
      </c>
      <c r="O268" s="32" t="n">
        <v>57.63</v>
      </c>
      <c r="P268" s="32" t="n">
        <v>25.04</v>
      </c>
      <c r="Q268" s="32" t="inlineStr"/>
      <c r="R268" s="31" t="inlineStr">
        <is>
          <t>Earnings / Momentum Support</t>
        </is>
      </c>
      <c r="S268" s="31" t="inlineStr">
        <is>
          <t>Nifty 50</t>
        </is>
      </c>
      <c r="T268" s="32" t="n">
        <v>-2.54</v>
      </c>
      <c r="U268" s="32" t="n">
        <v>-5.1</v>
      </c>
      <c r="V268" s="32" t="n">
        <v>-2.63</v>
      </c>
      <c r="W268" s="32" t="n">
        <v>4.81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Headwind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20 to 40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3</t>
        </is>
      </c>
      <c r="BC268" s="31">
        <f>IF(BB268="Stage 2",20,IF(BB268="Stage 1",0,IF(BB268="Stage 3",5,IF(BB268="Stage 4",-5,0))))</f>
        <v/>
      </c>
      <c r="BD268" s="31" t="inlineStr">
        <is>
          <t>Negative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Less than 12%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Yes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Between 0.7 to 1.2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IF(B269=0,"",RANK(B269,$B$2:$B$340,0))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HUHTAMAKI</t>
        </is>
      </c>
      <c r="D269" s="31" t="inlineStr">
        <is>
          <t>Huhtamaki India Ltd</t>
        </is>
      </c>
      <c r="E269" s="31" t="inlineStr">
        <is>
          <t>industrials</t>
        </is>
      </c>
      <c r="F269" s="31" t="inlineStr">
        <is>
          <t>packaging</t>
        </is>
      </c>
      <c r="G269" s="31" t="inlineStr">
        <is>
          <t>smallcap</t>
        </is>
      </c>
      <c r="H269" s="32" t="n">
        <v>1793.19</v>
      </c>
      <c r="I269" s="32" t="n">
        <v>249.79</v>
      </c>
      <c r="J269" s="32" t="n">
        <v>5.2</v>
      </c>
      <c r="K269" s="32" t="n">
        <v>1476349</v>
      </c>
      <c r="L269" s="31" t="n">
        <v>49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69.23999999999999</v>
      </c>
      <c r="P269" s="32" t="n">
        <v>17.76</v>
      </c>
      <c r="Q269" s="32" t="inlineStr"/>
      <c r="R269" s="31" t="inlineStr">
        <is>
          <t>Earnings / Momentum Support</t>
        </is>
      </c>
      <c r="S269" s="31" t="inlineStr">
        <is>
          <t>Nifty Infra</t>
        </is>
      </c>
      <c r="T269" s="32" t="n">
        <v>1.74</v>
      </c>
      <c r="U269" s="32" t="n">
        <v>5.47</v>
      </c>
      <c r="V269" s="32" t="n">
        <v>3.66</v>
      </c>
      <c r="W269" s="32" t="n">
        <v>8.24</v>
      </c>
      <c r="X269" s="31" t="inlineStr">
        <is>
          <t>Cyclical in an Upturn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Headwind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3</t>
        </is>
      </c>
      <c r="BC269" s="31">
        <f>IF(BB269="Stage 2",20,IF(BB269="Stage 1",0,IF(BB269="Stage 3",5,IF(BB269="Stage 4",-5,0))))</f>
        <v/>
      </c>
      <c r="BD269" s="31" t="inlineStr">
        <is>
          <t>Negative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Less than 12%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IF(B270=0,"",RANK(B270,$B$2:$B$340,0))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3" t="inlineStr">
        <is>
          <t>SPECIALITY</t>
        </is>
      </c>
      <c r="D270" s="33" t="inlineStr">
        <is>
          <t>Speciality Restaurants Limited</t>
        </is>
      </c>
      <c r="E270" s="31" t="inlineStr">
        <is>
          <t>services</t>
        </is>
      </c>
      <c r="F270" s="31" t="inlineStr">
        <is>
          <t>hotels</t>
        </is>
      </c>
      <c r="G270" s="31" t="inlineStr">
        <is>
          <t>smallcap</t>
        </is>
      </c>
      <c r="H270" s="32" t="n">
        <v>622.53</v>
      </c>
      <c r="I270" s="32" t="n">
        <v>135.49</v>
      </c>
      <c r="J270" s="32" t="n">
        <v>4.98</v>
      </c>
      <c r="K270" s="32" t="n">
        <v>186812</v>
      </c>
      <c r="L270" s="31" t="n">
        <v>33</v>
      </c>
      <c r="M270" s="31" t="inlineStr">
        <is>
          <t>Underperforming</t>
        </is>
      </c>
      <c r="N270" s="32">
        <f>IF(M270="Underperforming",-5,IF(L270&gt;=95,15,IF(L270&gt;=90,10,IF(L270&gt;=80,5,0))))</f>
        <v/>
      </c>
      <c r="O270" s="32" t="n">
        <v>61.85</v>
      </c>
      <c r="P270" s="32" t="n">
        <v>19.34</v>
      </c>
      <c r="Q270" s="32" t="inlineStr"/>
      <c r="R270" s="31" t="inlineStr">
        <is>
          <t>Earnings / Momentum Support</t>
        </is>
      </c>
      <c r="S270" s="31" t="inlineStr">
        <is>
          <t>Nifty 50</t>
        </is>
      </c>
      <c r="T270" s="32" t="n">
        <v>-2.54</v>
      </c>
      <c r="U270" s="32" t="n">
        <v>-5.33</v>
      </c>
      <c r="V270" s="32" t="n">
        <v>-2.87</v>
      </c>
      <c r="W270" s="32" t="n">
        <v>5.18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Headwind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0 to 20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3</t>
        </is>
      </c>
      <c r="BC270" s="31">
        <f>IF(BB270="Stage 2",20,IF(BB270="Stage 1",0,IF(BB270="Stage 3",5,IF(BB270="Stage 4",-5,0))))</f>
        <v/>
      </c>
      <c r="BD270" s="31" t="inlineStr">
        <is>
          <t>Negative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Less than 12%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IF(B271=0,"",RANK(B271,$B$2:$B$340,0))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KAPSTON</t>
        </is>
      </c>
      <c r="D271" s="31" t="inlineStr">
        <is>
          <t>Kapston Services Ltd</t>
        </is>
      </c>
      <c r="E271" s="31" t="inlineStr">
        <is>
          <t>miscellaneous</t>
        </is>
      </c>
      <c r="F271" s="31" t="inlineStr">
        <is>
          <t>miscellaneous</t>
        </is>
      </c>
      <c r="G271" s="31" t="inlineStr">
        <is>
          <t>smallcap</t>
        </is>
      </c>
      <c r="H271" s="32" t="n">
        <v>1286.52</v>
      </c>
      <c r="I271" s="32" t="n">
        <v>434</v>
      </c>
      <c r="J271" s="32" t="n">
        <v>2.66</v>
      </c>
      <c r="K271" s="32" t="n">
        <v>49739</v>
      </c>
      <c r="L271" s="31" t="n">
        <v>83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69.66</v>
      </c>
      <c r="P271" s="32" t="n">
        <v>21.18</v>
      </c>
      <c r="Q271" s="32" t="inlineStr"/>
      <c r="R271" s="31" t="inlineStr">
        <is>
          <t>Earnings / Momentum Support</t>
        </is>
      </c>
      <c r="S271" s="31" t="inlineStr">
        <is>
          <t>Nifty 50</t>
        </is>
      </c>
      <c r="T271" s="32" t="n">
        <v>-2.54</v>
      </c>
      <c r="U271" s="32" t="n">
        <v>70.7</v>
      </c>
      <c r="V271" s="32" t="n">
        <v>75.15000000000001</v>
      </c>
      <c r="W271" s="32" t="n">
        <v>19.85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Headwind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3</t>
        </is>
      </c>
      <c r="BC271" s="31">
        <f>IF(BB271="Stage 2",20,IF(BB271="Stage 1",0,IF(BB271="Stage 3",5,IF(BB271="Stage 4",-5,0))))</f>
        <v/>
      </c>
      <c r="BD271" s="31" t="inlineStr">
        <is>
          <t>Negative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Between 1.5 to 2</t>
        </is>
      </c>
      <c r="BU271" s="31">
        <f>IF(BT271="Above 2",0,IF(BT271="Between 1.5 to 2",5,IF(BT271="Less than 1.5",10,0)))</f>
        <v/>
      </c>
      <c r="BV271" s="31" t="inlineStr">
        <is>
          <t>Less than 50% and Borrowings are increasing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More than 1.2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IF(B272=0,"",RANK(B272,$B$2:$B$340,0))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3" t="inlineStr">
        <is>
          <t>KECL</t>
        </is>
      </c>
      <c r="D272" s="33" t="inlineStr">
        <is>
          <t>Kirloskar Electric Company Limited</t>
        </is>
      </c>
      <c r="E272" s="31" t="inlineStr">
        <is>
          <t>industrials</t>
        </is>
      </c>
      <c r="F272" s="31" t="inlineStr">
        <is>
          <t>electric equipment</t>
        </is>
      </c>
      <c r="G272" s="31" t="inlineStr">
        <is>
          <t>smallcap</t>
        </is>
      </c>
      <c r="H272" s="32" t="n">
        <v>791.0599999999999</v>
      </c>
      <c r="I272" s="32" t="n">
        <v>121.63</v>
      </c>
      <c r="J272" s="32" t="n">
        <v>2.12</v>
      </c>
      <c r="K272" s="32" t="n">
        <v>125748</v>
      </c>
      <c r="L272" s="31" t="n">
        <v>3</v>
      </c>
      <c r="M272" s="31" t="inlineStr">
        <is>
          <t>Underperforming</t>
        </is>
      </c>
      <c r="N272" s="32">
        <f>IF(M272="Underperforming",-5,IF(L272&gt;=95,15,IF(L272&gt;=90,10,IF(L272&gt;=80,5,0))))</f>
        <v/>
      </c>
      <c r="O272" s="32" t="n">
        <v>55.41</v>
      </c>
      <c r="P272" s="32" t="n">
        <v>28.27</v>
      </c>
      <c r="Q272" s="32" t="inlineStr"/>
      <c r="R272" s="31" t="inlineStr">
        <is>
          <t>Earnings / Momentum Support</t>
        </is>
      </c>
      <c r="S272" s="31" t="inlineStr">
        <is>
          <t>Nifty 50</t>
        </is>
      </c>
      <c r="T272" s="32" t="n">
        <v>-2.54</v>
      </c>
      <c r="U272" s="32" t="n">
        <v>-13.35</v>
      </c>
      <c r="V272" s="32" t="n">
        <v>-11.09</v>
      </c>
      <c r="W272" s="32" t="n">
        <v>-2.6</v>
      </c>
      <c r="X272" s="31" t="inlineStr">
        <is>
          <t>Cyclical in an Upturn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Headwind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3</t>
        </is>
      </c>
      <c r="BC272" s="31">
        <f>IF(BB272="Stage 2",20,IF(BB272="Stage 1",0,IF(BB272="Stage 3",5,IF(BB272="Stage 4",-5,0))))</f>
        <v/>
      </c>
      <c r="BD272" s="31" t="inlineStr">
        <is>
          <t>Negative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Between 50% to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Between 0.7 to 1.2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IF(B273=0,"",RANK(B273,$B$2:$B$340,0))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ANANTRAJ</t>
        </is>
      </c>
      <c r="D273" s="31" t="inlineStr">
        <is>
          <t>Anant Raj Limited</t>
        </is>
      </c>
      <c r="E273" s="31" t="inlineStr">
        <is>
          <t>realty</t>
        </is>
      </c>
      <c r="F273" s="31" t="inlineStr">
        <is>
          <t>construction</t>
        </is>
      </c>
      <c r="G273" s="31" t="inlineStr">
        <is>
          <t>largecap</t>
        </is>
      </c>
      <c r="H273" s="32" t="n">
        <v>21308.31</v>
      </c>
      <c r="I273" s="32" t="n">
        <v>600.8</v>
      </c>
      <c r="J273" s="32" t="n">
        <v>1.47</v>
      </c>
      <c r="K273" s="32" t="n">
        <v>3798774</v>
      </c>
      <c r="L273" s="31" t="n">
        <v>25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58.01</v>
      </c>
      <c r="P273" s="32" t="n">
        <v>16.3</v>
      </c>
      <c r="Q273" s="32" t="inlineStr"/>
      <c r="R273" s="31" t="inlineStr">
        <is>
          <t>Earnings / Momentum Support</t>
        </is>
      </c>
      <c r="S273" s="31" t="inlineStr">
        <is>
          <t>Nifty Realty</t>
        </is>
      </c>
      <c r="T273" s="32" t="n">
        <v>-8.119999999999999</v>
      </c>
      <c r="U273" s="32" t="n">
        <v>0.49</v>
      </c>
      <c r="V273" s="32" t="n">
        <v>9.369999999999999</v>
      </c>
      <c r="W273" s="32" t="n">
        <v>3.59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Headwind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3</t>
        </is>
      </c>
      <c r="BC273" s="31">
        <f>IF(BB273="Stage 2",20,IF(BB273="Stage 1",0,IF(BB273="Stage 3",5,IF(BB273="Stage 4",-5,0))))</f>
        <v/>
      </c>
      <c r="BD273" s="31" t="inlineStr">
        <is>
          <t>Negative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Between 1.5 to 2</t>
        </is>
      </c>
      <c r="BU273" s="31">
        <f>IF(BT273="Above 2",0,IF(BT273="Between 1.5 to 2",5,IF(BT273="Less than 1.5",10,0)))</f>
        <v/>
      </c>
      <c r="BV273" s="31" t="inlineStr">
        <is>
          <t>Negative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IF(B274=0,"",RANK(B274,$B$2:$B$340,0))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3" t="inlineStr">
        <is>
          <t>INDIANHUME</t>
        </is>
      </c>
      <c r="D274" s="33" t="inlineStr">
        <is>
          <t>Indian Hume Pipe Company Limited</t>
        </is>
      </c>
      <c r="E274" s="31" t="inlineStr">
        <is>
          <t>realty</t>
        </is>
      </c>
      <c r="F274" s="31" t="inlineStr">
        <is>
          <t>construction</t>
        </is>
      </c>
      <c r="G274" s="31" t="inlineStr">
        <is>
          <t>smallcap</t>
        </is>
      </c>
      <c r="H274" s="32" t="n">
        <v>2097</v>
      </c>
      <c r="I274" s="32" t="n">
        <v>403.45</v>
      </c>
      <c r="J274" s="32" t="n">
        <v>1.36</v>
      </c>
      <c r="K274" s="32" t="n">
        <v>61722</v>
      </c>
      <c r="L274" s="31" t="n">
        <v>25</v>
      </c>
      <c r="M274" s="31" t="inlineStr">
        <is>
          <t>Underperforming</t>
        </is>
      </c>
      <c r="N274" s="32">
        <f>IF(M274="Underperforming",-5,IF(L274&gt;=95,15,IF(L274&gt;=90,10,IF(L274&gt;=80,5,0))))</f>
        <v/>
      </c>
      <c r="O274" s="32" t="n">
        <v>65.86</v>
      </c>
      <c r="P274" s="32" t="n">
        <v>13.91</v>
      </c>
      <c r="Q274" s="32" t="inlineStr"/>
      <c r="R274" s="31" t="inlineStr">
        <is>
          <t>Earnings / Momentum Support</t>
        </is>
      </c>
      <c r="S274" s="31" t="inlineStr">
        <is>
          <t>Nifty Realty</t>
        </is>
      </c>
      <c r="T274" s="32" t="n">
        <v>-8.119999999999999</v>
      </c>
      <c r="U274" s="32" t="n">
        <v>-9.41</v>
      </c>
      <c r="V274" s="32" t="n">
        <v>-1.4</v>
      </c>
      <c r="W274" s="32" t="n">
        <v>3.61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Headwind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0 to 20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3</t>
        </is>
      </c>
      <c r="BC274" s="31">
        <f>IF(BB274="Stage 2",20,IF(BB274="Stage 1",0,IF(BB274="Stage 3",5,IF(BB274="Stage 4",-5,0))))</f>
        <v/>
      </c>
      <c r="BD274" s="31" t="inlineStr">
        <is>
          <t>Negative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Less than 12%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IF(B275=0,"",RANK(B275,$B$2:$B$340,0))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3" t="inlineStr">
        <is>
          <t>RAYMOND</t>
        </is>
      </c>
      <c r="D275" s="33" t="inlineStr">
        <is>
          <t>Raymond Limited</t>
        </is>
      </c>
      <c r="E275" s="31" t="inlineStr">
        <is>
          <t>transportation</t>
        </is>
      </c>
      <c r="F275" s="31" t="inlineStr">
        <is>
          <t>transport - airlines</t>
        </is>
      </c>
      <c r="G275" s="31" t="inlineStr">
        <is>
          <t>smallcap</t>
        </is>
      </c>
      <c r="H275" s="32" t="n">
        <v>4026.05</v>
      </c>
      <c r="I275" s="32" t="n">
        <v>612.85</v>
      </c>
      <c r="J275" s="32" t="n">
        <v>1.34</v>
      </c>
      <c r="K275" s="32" t="n">
        <v>615151</v>
      </c>
      <c r="L275" s="31" t="n">
        <v>49</v>
      </c>
      <c r="M275" s="31" t="inlineStr">
        <is>
          <t>Underperforming</t>
        </is>
      </c>
      <c r="N275" s="32">
        <f>IF(M275="Underperforming",-5,IF(L275&gt;=95,15,IF(L275&gt;=90,10,IF(L275&gt;=80,5,0))))</f>
        <v/>
      </c>
      <c r="O275" s="32" t="n">
        <v>61.34</v>
      </c>
      <c r="P275" s="32" t="n">
        <v>34.1</v>
      </c>
      <c r="Q275" s="32" t="inlineStr"/>
      <c r="R275" s="31" t="inlineStr">
        <is>
          <t>Earnings / Momentum Support</t>
        </is>
      </c>
      <c r="S275" s="31" t="inlineStr">
        <is>
          <t>Nifty 50</t>
        </is>
      </c>
      <c r="T275" s="32" t="n">
        <v>-2.54</v>
      </c>
      <c r="U275" s="32" t="n">
        <v>-15.87</v>
      </c>
      <c r="V275" s="32" t="n">
        <v>-13.67</v>
      </c>
      <c r="W275" s="32" t="n">
        <v>8.380000000000001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Headwind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3</t>
        </is>
      </c>
      <c r="BC275" s="31">
        <f>IF(BB275="Stage 2",20,IF(BB275="Stage 1",0,IF(BB275="Stage 3",5,IF(BB275="Stage 4",-5,0))))</f>
        <v/>
      </c>
      <c r="BD275" s="31" t="inlineStr">
        <is>
          <t>Negative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Less than 12%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Less than 50%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IF(B276=0,"",RANK(B276,$B$2:$B$340,0))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MMFL</t>
        </is>
      </c>
      <c r="D276" s="31" t="inlineStr">
        <is>
          <t>Mm Forgings Limited</t>
        </is>
      </c>
      <c r="E276" s="31" t="inlineStr">
        <is>
          <t>industrials</t>
        </is>
      </c>
      <c r="F276" s="31" t="inlineStr">
        <is>
          <t>castings &amp; forgings</t>
        </is>
      </c>
      <c r="G276" s="31" t="inlineStr">
        <is>
          <t>smallcap</t>
        </is>
      </c>
      <c r="H276" s="32" t="n">
        <v>2547.34</v>
      </c>
      <c r="I276" s="32" t="n">
        <v>532.8</v>
      </c>
      <c r="J276" s="32" t="n">
        <v>0.99</v>
      </c>
      <c r="K276" s="32" t="n">
        <v>152286</v>
      </c>
      <c r="L276" s="31" t="n">
        <v>65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68.43000000000001</v>
      </c>
      <c r="P276" s="32" t="n">
        <v>17.45</v>
      </c>
      <c r="Q276" s="32" t="inlineStr"/>
      <c r="R276" s="31" t="inlineStr">
        <is>
          <t>Earnings / Momentum Support</t>
        </is>
      </c>
      <c r="S276" s="31" t="inlineStr">
        <is>
          <t>Nifty 50</t>
        </is>
      </c>
      <c r="T276" s="32" t="n">
        <v>-2.54</v>
      </c>
      <c r="U276" s="32" t="n">
        <v>43.27</v>
      </c>
      <c r="V276" s="32" t="n">
        <v>47.01</v>
      </c>
      <c r="W276" s="32" t="n">
        <v>12.24</v>
      </c>
      <c r="X276" s="31" t="inlineStr">
        <is>
          <t>Cyclical in an Upturn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Headwind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3</t>
        </is>
      </c>
      <c r="BC276" s="31">
        <f>IF(BB276="Stage 2",20,IF(BB276="Stage 1",0,IF(BB276="Stage 3",5,IF(BB276="Stage 4",-5,0))))</f>
        <v/>
      </c>
      <c r="BD276" s="31" t="inlineStr">
        <is>
          <t>Negative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Less than 1.5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More than 1.2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IF(B277=0,"",RANK(B277,$B$2:$B$340,0))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ADANIENSOL</t>
        </is>
      </c>
      <c r="D277" s="31" t="inlineStr">
        <is>
          <t>Adani Energy Solutions Ltd</t>
        </is>
      </c>
      <c r="E277" s="31" t="inlineStr">
        <is>
          <t>power &amp; utilities</t>
        </is>
      </c>
      <c r="F277" s="31" t="inlineStr">
        <is>
          <t>power generation and supply</t>
        </is>
      </c>
      <c r="G277" s="31" t="inlineStr">
        <is>
          <t>largecap</t>
        </is>
      </c>
      <c r="H277" s="32" t="n">
        <v>206932.95</v>
      </c>
      <c r="I277" s="32" t="n">
        <v>1729.5</v>
      </c>
      <c r="J277" s="32" t="n">
        <v>0.4</v>
      </c>
      <c r="K277" s="32" t="n">
        <v>1234788</v>
      </c>
      <c r="L277" s="31" t="n">
        <v>88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75.94</v>
      </c>
      <c r="P277" s="32" t="n">
        <v>50.43</v>
      </c>
      <c r="Q277" s="32" t="inlineStr"/>
      <c r="R277" s="31" t="inlineStr">
        <is>
          <t>Earnings / Momentum Support</t>
        </is>
      </c>
      <c r="S277" s="31" t="inlineStr">
        <is>
          <t>Nifty IT</t>
        </is>
      </c>
      <c r="T277" s="32" t="n">
        <v>-21.31</v>
      </c>
      <c r="U277" s="32" t="n">
        <v>97.93000000000001</v>
      </c>
      <c r="V277" s="32" t="n">
        <v>151.54</v>
      </c>
      <c r="W277" s="32" t="n">
        <v>23.36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Headwind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Above 40</t>
        </is>
      </c>
      <c r="AY277" s="31">
        <f>IF(AX277="Above 40",20,IF(AX277="20 to 40",10,IF(AX277="0 to 20",-5,0)))</f>
        <v/>
      </c>
      <c r="AZ277" s="31" t="inlineStr">
        <is>
          <t>Above 75</t>
        </is>
      </c>
      <c r="BA277" s="31">
        <f>IF(AZ277="Between 50 to 75",10,IF(AZ277="Above 75",0,0))</f>
        <v/>
      </c>
      <c r="BB277" s="31" t="inlineStr">
        <is>
          <t>Stage 3</t>
        </is>
      </c>
      <c r="BC277" s="31">
        <f>IF(BB277="Stage 2",20,IF(BB277="Stage 1",0,IF(BB277="Stage 3",5,IF(BB277="Stage 4",-5,0))))</f>
        <v/>
      </c>
      <c r="BD277" s="31" t="inlineStr">
        <is>
          <t>Negative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Less than 12%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More than 1.2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IF(B278=0,"",RANK(B278,$B$2:$B$340,0))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SENCO</t>
        </is>
      </c>
      <c r="D278" s="31" t="inlineStr">
        <is>
          <t>Senco Gold Ltd</t>
        </is>
      </c>
      <c r="E278" s="31" t="inlineStr">
        <is>
          <t>consumer discretionary</t>
        </is>
      </c>
      <c r="F278" s="31" t="inlineStr">
        <is>
          <t>diamond cutting / jewellery</t>
        </is>
      </c>
      <c r="G278" s="31" t="inlineStr">
        <is>
          <t>midcap</t>
        </is>
      </c>
      <c r="H278" s="32" t="n">
        <v>5971.57</v>
      </c>
      <c r="I278" s="32" t="n">
        <v>366</v>
      </c>
      <c r="J278" s="32" t="n">
        <v>0.4</v>
      </c>
      <c r="K278" s="32" t="n">
        <v>810561</v>
      </c>
      <c r="L278" s="31" t="n">
        <v>19</v>
      </c>
      <c r="M278" s="31" t="inlineStr">
        <is>
          <t>Outperforming</t>
        </is>
      </c>
      <c r="N278" s="32">
        <f>IF(M278="Underperforming",-5,IF(L278&gt;=95,15,IF(L278&gt;=90,10,IF(L278&gt;=80,5,0))))</f>
        <v/>
      </c>
      <c r="O278" s="32" t="n">
        <v>58.53</v>
      </c>
      <c r="P278" s="32" t="n">
        <v>26.06</v>
      </c>
      <c r="Q278" s="32" t="inlineStr"/>
      <c r="R278" s="31" t="inlineStr">
        <is>
          <t>Earnings / Momentum Support</t>
        </is>
      </c>
      <c r="S278" s="31" t="inlineStr">
        <is>
          <t>Nifty 50</t>
        </is>
      </c>
      <c r="T278" s="32" t="n">
        <v>-2.54</v>
      </c>
      <c r="U278" s="32" t="n">
        <v>-0.92</v>
      </c>
      <c r="V278" s="32" t="n">
        <v>1.66</v>
      </c>
      <c r="W278" s="32" t="n">
        <v>2.53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Headwind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20 to 40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3</t>
        </is>
      </c>
      <c r="BC278" s="31">
        <f>IF(BB278="Stage 2",20,IF(BB278="Stage 1",0,IF(BB278="Stage 3",5,IF(BB278="Stage 4",-5,0))))</f>
        <v/>
      </c>
      <c r="BD278" s="31" t="inlineStr">
        <is>
          <t>Negative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Negative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Between 0.7 to 1.2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IF(B279=0,"",RANK(B279,$B$2:$B$340,0))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3" t="inlineStr">
        <is>
          <t>ENDURANCE</t>
        </is>
      </c>
      <c r="D279" s="33" t="inlineStr">
        <is>
          <t>Endurance Technologies Limited</t>
        </is>
      </c>
      <c r="E279" s="31" t="inlineStr">
        <is>
          <t>auto</t>
        </is>
      </c>
      <c r="F279" s="31" t="inlineStr">
        <is>
          <t>auto ancillaries</t>
        </is>
      </c>
      <c r="G279" s="31" t="inlineStr">
        <is>
          <t>largecap</t>
        </is>
      </c>
      <c r="H279" s="32" t="n">
        <v>38443.16</v>
      </c>
      <c r="I279" s="32" t="n">
        <v>2741.5</v>
      </c>
      <c r="J279" s="32" t="n">
        <v>0.31</v>
      </c>
      <c r="K279" s="32" t="n">
        <v>61998</v>
      </c>
      <c r="L279" s="31" t="n">
        <v>27</v>
      </c>
      <c r="M279" s="31" t="inlineStr">
        <is>
          <t>Underperforming</t>
        </is>
      </c>
      <c r="N279" s="32">
        <f>IF(M279="Underperforming",-5,IF(L279&gt;=95,15,IF(L279&gt;=90,10,IF(L279&gt;=80,5,0))))</f>
        <v/>
      </c>
      <c r="O279" s="32" t="n">
        <v>58.26</v>
      </c>
      <c r="P279" s="32" t="n">
        <v>14.81</v>
      </c>
      <c r="Q279" s="32" t="inlineStr"/>
      <c r="R279" s="31" t="inlineStr">
        <is>
          <t>Earnings / Momentum Support</t>
        </is>
      </c>
      <c r="S279" s="31" t="inlineStr">
        <is>
          <t>Nifty Auto</t>
        </is>
      </c>
      <c r="T279" s="32" t="n">
        <v>13.41</v>
      </c>
      <c r="U279" s="32" t="n">
        <v>3.04</v>
      </c>
      <c r="V279" s="32" t="n">
        <v>-9.140000000000001</v>
      </c>
      <c r="W279" s="32" t="n">
        <v>4.03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Headwind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3</t>
        </is>
      </c>
      <c r="BC279" s="31">
        <f>IF(BB279="Stage 2",20,IF(BB279="Stage 1",0,IF(BB279="Stage 3",5,IF(BB279="Stage 4",-5,0))))</f>
        <v/>
      </c>
      <c r="BD279" s="31" t="inlineStr">
        <is>
          <t>Negative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Between 12 to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IF(B280=0,"",RANK(B280,$B$2:$B$340,0))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EPL</t>
        </is>
      </c>
      <c r="D280" s="31" t="inlineStr">
        <is>
          <t>EPL Ltd</t>
        </is>
      </c>
      <c r="E280" s="31" t="inlineStr">
        <is>
          <t>industrials</t>
        </is>
      </c>
      <c r="F280" s="31" t="inlineStr">
        <is>
          <t>packaging</t>
        </is>
      </c>
      <c r="G280" s="31" t="inlineStr">
        <is>
          <t>midcap</t>
        </is>
      </c>
      <c r="H280" s="32" t="n">
        <v>7670.58</v>
      </c>
      <c r="I280" s="32" t="n">
        <v>239.75</v>
      </c>
      <c r="J280" s="32" t="n">
        <v>0.1</v>
      </c>
      <c r="K280" s="32" t="n">
        <v>446989</v>
      </c>
      <c r="L280" s="31" t="n">
        <v>15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60.88</v>
      </c>
      <c r="P280" s="32" t="n">
        <v>9.880000000000001</v>
      </c>
      <c r="Q280" s="32" t="inlineStr"/>
      <c r="R280" s="31" t="inlineStr">
        <is>
          <t>Earnings / Momentum Support</t>
        </is>
      </c>
      <c r="S280" s="31" t="inlineStr">
        <is>
          <t>Nifty 50</t>
        </is>
      </c>
      <c r="T280" s="32" t="n">
        <v>-2.54</v>
      </c>
      <c r="U280" s="32" t="n">
        <v>4.54</v>
      </c>
      <c r="V280" s="32" t="n">
        <v>7.26</v>
      </c>
      <c r="W280" s="32" t="n">
        <v>1.68</v>
      </c>
      <c r="X280" s="31" t="inlineStr">
        <is>
          <t>Cyclical in an Upturn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Headwind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3</t>
        </is>
      </c>
      <c r="BC280" s="31">
        <f>IF(BB280="Stage 2",20,IF(BB280="Stage 1",0,IF(BB280="Stage 3",5,IF(BB280="Stage 4",-5,0))))</f>
        <v/>
      </c>
      <c r="BD280" s="31" t="inlineStr">
        <is>
          <t>Negative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Less than 12%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IF(B281=0,"",RANK(B281,$B$2:$B$340,0))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3" t="inlineStr">
        <is>
          <t>JUBLINGREA</t>
        </is>
      </c>
      <c r="D281" s="33" t="inlineStr">
        <is>
          <t>Jubilant Ingrevia Ltd</t>
        </is>
      </c>
      <c r="E281" s="31" t="inlineStr">
        <is>
          <t>chemicals</t>
        </is>
      </c>
      <c r="F281" s="31" t="inlineStr">
        <is>
          <t>chemicals</t>
        </is>
      </c>
      <c r="G281" s="31" t="inlineStr">
        <is>
          <t>midcap</t>
        </is>
      </c>
      <c r="H281" s="32" t="n">
        <v>11771.67</v>
      </c>
      <c r="I281" s="32" t="n">
        <v>737.1</v>
      </c>
      <c r="J281" s="32" t="n">
        <v>-0.26</v>
      </c>
      <c r="K281" s="32" t="n">
        <v>415377</v>
      </c>
      <c r="L281" s="31" t="n">
        <v>11</v>
      </c>
      <c r="M281" s="31" t="inlineStr">
        <is>
          <t>Underperforming</t>
        </is>
      </c>
      <c r="N281" s="32">
        <f>IF(M281="Underperforming",-5,IF(L281&gt;=95,15,IF(L281&gt;=90,10,IF(L281&gt;=80,5,0))))</f>
        <v/>
      </c>
      <c r="O281" s="32" t="n">
        <v>59.71</v>
      </c>
      <c r="P281" s="32" t="n">
        <v>17.85</v>
      </c>
      <c r="Q281" s="32" t="inlineStr"/>
      <c r="R281" s="31" t="inlineStr">
        <is>
          <t>Earnings / Momentum Support</t>
        </is>
      </c>
      <c r="S281" s="31" t="inlineStr">
        <is>
          <t>Nifty 50</t>
        </is>
      </c>
      <c r="T281" s="32" t="n">
        <v>-2.54</v>
      </c>
      <c r="U281" s="32" t="n">
        <v>-10.48</v>
      </c>
      <c r="V281" s="32" t="n">
        <v>-8.140000000000001</v>
      </c>
      <c r="W281" s="32" t="n">
        <v>0.42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Headwind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3</t>
        </is>
      </c>
      <c r="BC281" s="31">
        <f>IF(BB281="Stage 2",20,IF(BB281="Stage 1",0,IF(BB281="Stage 3",5,IF(BB281="Stage 4",-5,0))))</f>
        <v/>
      </c>
      <c r="BD281" s="31" t="inlineStr">
        <is>
          <t>Negative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Between 12 to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IF(B282=0,"",RANK(B282,$B$2:$B$340,0))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BALAMINES</t>
        </is>
      </c>
      <c r="D282" s="31" t="inlineStr">
        <is>
          <t>Balaji Amines Limited</t>
        </is>
      </c>
      <c r="E282" s="31" t="inlineStr">
        <is>
          <t>chemicals</t>
        </is>
      </c>
      <c r="F282" s="31" t="inlineStr">
        <is>
          <t>chemicals</t>
        </is>
      </c>
      <c r="G282" s="31" t="inlineStr">
        <is>
          <t>midcap</t>
        </is>
      </c>
      <c r="H282" s="32" t="n">
        <v>7416.91</v>
      </c>
      <c r="I282" s="32" t="n">
        <v>2275.8</v>
      </c>
      <c r="J282" s="32" t="n">
        <v>-0.58</v>
      </c>
      <c r="K282" s="32" t="n">
        <v>117378</v>
      </c>
      <c r="L282" s="31" t="n">
        <v>94</v>
      </c>
      <c r="M282" s="31" t="inlineStr">
        <is>
          <t>Outperforming</t>
        </is>
      </c>
      <c r="N282" s="32">
        <f>IF(M282="Underperforming",-5,IF(L282&gt;=95,15,IF(L282&gt;=90,10,IF(L282&gt;=80,5,0))))</f>
        <v/>
      </c>
      <c r="O282" s="32" t="n">
        <v>73.31</v>
      </c>
      <c r="P282" s="32" t="n">
        <v>62.13</v>
      </c>
      <c r="Q282" s="32" t="inlineStr"/>
      <c r="R282" s="31" t="inlineStr">
        <is>
          <t>Earnings / Momentum Support</t>
        </is>
      </c>
      <c r="S282" s="31" t="inlineStr">
        <is>
          <t>Nifty 50</t>
        </is>
      </c>
      <c r="T282" s="32" t="n">
        <v>-2.54</v>
      </c>
      <c r="U282" s="32" t="n">
        <v>31.4</v>
      </c>
      <c r="V282" s="32" t="n">
        <v>34.82</v>
      </c>
      <c r="W282" s="32" t="n">
        <v>32.91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Duopoly That Cooperate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Headwind</t>
        </is>
      </c>
      <c r="AE282" s="31">
        <f>IF(AD282="Tailwind",10,0)</f>
        <v/>
      </c>
      <c r="AF282" s="31" t="inlineStr">
        <is>
          <t>Shallow Cyclical (2 to 3 Years Growth)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20 to 40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4</t>
        </is>
      </c>
      <c r="BC282" s="31">
        <f>IF(BB282="Stage 2",20,IF(BB282="Stage 1",0,IF(BB282="Stage 3",5,IF(BB282="Stage 4",-5,0))))</f>
        <v/>
      </c>
      <c r="BD282" s="31" t="inlineStr">
        <is>
          <t>Negative Trend</t>
        </is>
      </c>
      <c r="BE282" s="31">
        <f>IF(BD282="Positive Trend",20,IF(BD282="Negative Trend",-10,0))</f>
        <v/>
      </c>
      <c r="BF282" s="31" t="inlineStr">
        <is>
          <t>Downtrend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Overhead supply in last 2 years in last 2 years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No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Yes</t>
        </is>
      </c>
      <c r="BS282" s="31">
        <f>IF(BR282="NO",5,0)</f>
        <v/>
      </c>
      <c r="BT282" s="31" t="inlineStr">
        <is>
          <t>Less than 1.5</t>
        </is>
      </c>
      <c r="BU282" s="31">
        <f>IF(BT282="Above 2",0,IF(BT282="Between 1.5 to 2",5,IF(BT282="Less than 1.5",10,0)))</f>
        <v/>
      </c>
      <c r="BV282" s="31" t="inlineStr">
        <is>
          <t>Between 50% to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IF(B283=0,"",RANK(B283,$B$2:$B$340,0))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PRESTIGE</t>
        </is>
      </c>
      <c r="D283" s="31" t="inlineStr">
        <is>
          <t>Prestige Estates Projects Limited</t>
        </is>
      </c>
      <c r="E283" s="31" t="inlineStr">
        <is>
          <t>realty</t>
        </is>
      </c>
      <c r="F283" s="31" t="inlineStr">
        <is>
          <t>construction</t>
        </is>
      </c>
      <c r="G283" s="31" t="inlineStr">
        <is>
          <t>largecap</t>
        </is>
      </c>
      <c r="H283" s="32" t="n">
        <v>72922.63</v>
      </c>
      <c r="I283" s="32" t="n">
        <v>1669.1</v>
      </c>
      <c r="J283" s="32" t="n">
        <v>-1.41</v>
      </c>
      <c r="K283" s="32" t="n">
        <v>371220</v>
      </c>
      <c r="L283" s="31" t="n">
        <v>29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63.07</v>
      </c>
      <c r="P283" s="32" t="n">
        <v>14.29</v>
      </c>
      <c r="Q283" s="32" t="inlineStr"/>
      <c r="R283" s="31" t="inlineStr">
        <is>
          <t>Earnings / Momentum Support</t>
        </is>
      </c>
      <c r="S283" s="31" t="inlineStr">
        <is>
          <t>Nifty Realty</t>
        </is>
      </c>
      <c r="T283" s="32" t="n">
        <v>-8.119999999999999</v>
      </c>
      <c r="U283" s="32" t="n">
        <v>-4.9</v>
      </c>
      <c r="V283" s="32" t="n">
        <v>3.51</v>
      </c>
      <c r="W283" s="32" t="n">
        <v>4.75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Headwind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3</t>
        </is>
      </c>
      <c r="BC283" s="31">
        <f>IF(BB283="Stage 2",20,IF(BB283="Stage 1",0,IF(BB283="Stage 3",5,IF(BB283="Stage 4",-5,0))))</f>
        <v/>
      </c>
      <c r="BD283" s="31" t="inlineStr">
        <is>
          <t>Negative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Between 0.7 to 1.2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IF(B284=0,"",RANK(B284,$B$2:$B$340,0))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TORNTPHARM</t>
        </is>
      </c>
      <c r="D284" s="31" t="inlineStr">
        <is>
          <t>Torrent Pharmaceuticals Limited</t>
        </is>
      </c>
      <c r="E284" s="31" t="inlineStr">
        <is>
          <t>healthcare</t>
        </is>
      </c>
      <c r="F284" s="31" t="inlineStr">
        <is>
          <t>pharmaceuticals - indian - formulations</t>
        </is>
      </c>
      <c r="G284" s="31" t="inlineStr">
        <is>
          <t>largecap</t>
        </is>
      </c>
      <c r="H284" s="32" t="n">
        <v>161201.56</v>
      </c>
      <c r="I284" s="32" t="n">
        <v>5005.4</v>
      </c>
      <c r="J284" s="32" t="n">
        <v>5.09</v>
      </c>
      <c r="K284" s="32" t="n">
        <v>959571</v>
      </c>
      <c r="L284" s="31" t="n">
        <v>52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66.23</v>
      </c>
      <c r="P284" s="32" t="n">
        <v>38.31</v>
      </c>
      <c r="Q284" s="32" t="inlineStr"/>
      <c r="R284" s="31" t="inlineStr">
        <is>
          <t>Earnings / Momentum Support</t>
        </is>
      </c>
      <c r="S284" s="31" t="inlineStr">
        <is>
          <t>Nifty Pharma</t>
        </is>
      </c>
      <c r="T284" s="32" t="n">
        <v>13.51</v>
      </c>
      <c r="U284" s="32" t="n">
        <v>36.46</v>
      </c>
      <c r="V284" s="32" t="n">
        <v>20.22</v>
      </c>
      <c r="W284" s="32" t="n">
        <v>9.4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Yes</t>
        </is>
      </c>
      <c r="AC284" s="31">
        <f>IF(AB284="No",5,0)</f>
        <v/>
      </c>
      <c r="AD284" s="31" t="inlineStr">
        <is>
          <t>Headwind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Annuity, Lower One Time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20 to 40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3</t>
        </is>
      </c>
      <c r="BC284" s="31">
        <f>IF(BB284="Stage 2",20,IF(BB284="Stage 1",0,IF(BB284="Stage 3",5,IF(BB284="Stage 4",-5,0))))</f>
        <v/>
      </c>
      <c r="BD284" s="31" t="inlineStr">
        <is>
          <t>Negative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Less than 12%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Between 50% to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Between 0.7 to 1.2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IF(B285=0,"",RANK(B285,$B$2:$B$340,0))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3" t="inlineStr">
        <is>
          <t>SILVERTUC</t>
        </is>
      </c>
      <c r="D285" s="33" t="inlineStr">
        <is>
          <t>Silver Touch Technologies Ltd</t>
        </is>
      </c>
      <c r="E285" s="31" t="inlineStr">
        <is>
          <t>i.t</t>
        </is>
      </c>
      <c r="F285" s="31" t="inlineStr">
        <is>
          <t>computers - software - medium / small</t>
        </is>
      </c>
      <c r="G285" s="31" t="inlineStr">
        <is>
          <t>smallcap</t>
        </is>
      </c>
      <c r="H285" s="32" t="n">
        <v>2507.29</v>
      </c>
      <c r="I285" s="32" t="n">
        <v>194.24</v>
      </c>
      <c r="J285" s="32" t="n">
        <v>-1.76</v>
      </c>
      <c r="K285" s="32" t="n">
        <v>361566</v>
      </c>
      <c r="L285" s="31" t="n">
        <v>21</v>
      </c>
      <c r="M285" s="31" t="inlineStr">
        <is>
          <t>Underperforming</t>
        </is>
      </c>
      <c r="N285" s="32">
        <f>IF(M285="Underperforming",-5,IF(L285&gt;=95,15,IF(L285&gt;=90,10,IF(L285&gt;=80,5,0))))</f>
        <v/>
      </c>
      <c r="O285" s="32" t="n">
        <v>43.21</v>
      </c>
      <c r="P285" s="32" t="n">
        <v>25.35</v>
      </c>
      <c r="Q285" s="32" t="inlineStr"/>
      <c r="R285" s="31" t="inlineStr">
        <is>
          <t>Earnings / Momentum Support</t>
        </is>
      </c>
      <c r="S285" s="31" t="inlineStr">
        <is>
          <t>Nifty IT</t>
        </is>
      </c>
      <c r="T285" s="32" t="n">
        <v>-21.31</v>
      </c>
      <c r="U285" s="32" t="n">
        <v>-72.22</v>
      </c>
      <c r="V285" s="32" t="n">
        <v>-64.7</v>
      </c>
      <c r="W285" s="32" t="n">
        <v>2.86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Headwind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Annuity, Lower One Time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20 to 40</t>
        </is>
      </c>
      <c r="AY285" s="31">
        <f>IF(AX285="Above 40",20,IF(AX285="20 to 40",10,IF(AX285="0 to 20",-5,0)))</f>
        <v/>
      </c>
      <c r="AZ285" s="31" t="inlineStr">
        <is>
          <t>Below 45</t>
        </is>
      </c>
      <c r="BA285" s="31">
        <f>IF(AZ285="Between 50 to 75",10,IF(AZ285="Above 75",0,0))</f>
        <v/>
      </c>
      <c r="BB285" s="31" t="inlineStr">
        <is>
          <t>Stage 4</t>
        </is>
      </c>
      <c r="BC285" s="31">
        <f>IF(BB285="Stage 2",20,IF(BB285="Stage 1",0,IF(BB285="Stage 3",5,IF(BB285="Stage 4",-5,0))))</f>
        <v/>
      </c>
      <c r="BD285" s="31" t="inlineStr">
        <is>
          <t>Negative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Between 1.5 to 2</t>
        </is>
      </c>
      <c r="BU285" s="31">
        <f>IF(BT285="Above 2",0,IF(BT285="Between 1.5 to 2",5,IF(BT285="Less than 1.5",10,0)))</f>
        <v/>
      </c>
      <c r="BV285" s="31" t="inlineStr">
        <is>
          <t>Less than 50%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IF(B286=0,"",RANK(B286,$B$2:$B$340,0))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3" t="inlineStr">
        <is>
          <t>DYCL</t>
        </is>
      </c>
      <c r="D286" s="33" t="inlineStr">
        <is>
          <t>Dynamic Cables Ltd</t>
        </is>
      </c>
      <c r="E286" s="31" t="inlineStr">
        <is>
          <t>industrials</t>
        </is>
      </c>
      <c r="F286" s="31" t="inlineStr">
        <is>
          <t>cables - power</t>
        </is>
      </c>
      <c r="G286" s="31" t="inlineStr">
        <is>
          <t>smallcap</t>
        </is>
      </c>
      <c r="H286" s="32" t="n">
        <v>1872.93</v>
      </c>
      <c r="I286" s="32" t="n">
        <v>445.65</v>
      </c>
      <c r="J286" s="32" t="n">
        <v>15.3</v>
      </c>
      <c r="K286" s="32" t="n">
        <v>19862249</v>
      </c>
      <c r="L286" s="31" t="n">
        <v>12</v>
      </c>
      <c r="M286" s="31" t="inlineStr">
        <is>
          <t>Underperforming</t>
        </is>
      </c>
      <c r="N286" s="32">
        <f>IF(M286="Underperforming",-5,IF(L286&gt;=95,15,IF(L286&gt;=90,10,IF(L286&gt;=80,5,0))))</f>
        <v/>
      </c>
      <c r="O286" s="32" t="n">
        <v>58.54</v>
      </c>
      <c r="P286" s="32" t="n">
        <v>18.45</v>
      </c>
      <c r="Q286" s="32" t="inlineStr"/>
      <c r="R286" s="31" t="inlineStr">
        <is>
          <t>Volume Spike / Accumulation</t>
        </is>
      </c>
      <c r="S286" s="31" t="inlineStr">
        <is>
          <t>Nifty Energy</t>
        </is>
      </c>
      <c r="T286" s="32" t="n">
        <v>8.41</v>
      </c>
      <c r="U286" s="32" t="n">
        <v>-17.15</v>
      </c>
      <c r="V286" s="32" t="n">
        <v>-23.57</v>
      </c>
      <c r="W286" s="32" t="n">
        <v>0.62</v>
      </c>
      <c r="X286" s="31" t="inlineStr">
        <is>
          <t>Cyclical in an Upturn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Headwind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Yes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3</t>
        </is>
      </c>
      <c r="BC286" s="31">
        <f>IF(BB286="Stage 2",20,IF(BB286="Stage 1",0,IF(BB286="Stage 3",5,IF(BB286="Stage 4",-5,0))))</f>
        <v/>
      </c>
      <c r="BD286" s="31" t="inlineStr">
        <is>
          <t>Negative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Less than 12%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Less than 50%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IF(B287=0,"",RANK(B287,$B$2:$B$340,0))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3" t="inlineStr">
        <is>
          <t>SVLL</t>
        </is>
      </c>
      <c r="D287" s="33" t="inlineStr">
        <is>
          <t>Shree Vasu Logistics Ltd</t>
        </is>
      </c>
      <c r="E287" s="31" t="inlineStr">
        <is>
          <t>transportation</t>
        </is>
      </c>
      <c r="F287" s="31" t="inlineStr">
        <is>
          <t>miscellaneous</t>
        </is>
      </c>
      <c r="G287" s="31" t="inlineStr">
        <is>
          <t>smallcap</t>
        </is>
      </c>
      <c r="H287" s="32" t="n">
        <v>856.63</v>
      </c>
      <c r="I287" s="32" t="n">
        <v>782.55</v>
      </c>
      <c r="J287" s="32" t="n">
        <v>5</v>
      </c>
      <c r="K287" s="32" t="n">
        <v>18294</v>
      </c>
      <c r="L287" s="31" t="n">
        <v>33</v>
      </c>
      <c r="M287" s="31" t="inlineStr">
        <is>
          <t>Underperforming</t>
        </is>
      </c>
      <c r="N287" s="32">
        <f>IF(M287="Underperforming",-5,IF(L287&gt;=95,15,IF(L287&gt;=90,10,IF(L287&gt;=80,5,0))))</f>
        <v/>
      </c>
      <c r="O287" s="32" t="n">
        <v>60.87</v>
      </c>
      <c r="P287" s="32" t="n">
        <v>29.26</v>
      </c>
      <c r="Q287" s="32" t="inlineStr"/>
      <c r="R287" s="31" t="inlineStr">
        <is>
          <t>Earnings / Momentum Support</t>
        </is>
      </c>
      <c r="S287" s="31" t="inlineStr">
        <is>
          <t>Nifty 50</t>
        </is>
      </c>
      <c r="T287" s="32" t="n">
        <v>-2.54</v>
      </c>
      <c r="U287" s="32" t="n">
        <v>-3.02</v>
      </c>
      <c r="V287" s="32" t="n">
        <v>-0.49</v>
      </c>
      <c r="W287" s="32" t="n">
        <v>5.18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Headwind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20 to 40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3</t>
        </is>
      </c>
      <c r="BC287" s="31">
        <f>IF(BB287="Stage 2",20,IF(BB287="Stage 1",0,IF(BB287="Stage 3",5,IF(BB287="Stage 4",-5,0))))</f>
        <v/>
      </c>
      <c r="BD287" s="31" t="inlineStr">
        <is>
          <t>Negative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Between 50% to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More than 1.2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IF(B288=0,"",RANK(B288,$B$2:$B$340,0))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ESABINDIA</t>
        </is>
      </c>
      <c r="D288" s="31" t="inlineStr">
        <is>
          <t>Esab India Limited</t>
        </is>
      </c>
      <c r="E288" s="31" t="inlineStr">
        <is>
          <t>industrials</t>
        </is>
      </c>
      <c r="F288" s="31" t="inlineStr">
        <is>
          <t>electrodes - welding equipment</t>
        </is>
      </c>
      <c r="G288" s="31" t="inlineStr">
        <is>
          <t>midcap</t>
        </is>
      </c>
      <c r="H288" s="32" t="n">
        <v>8701.67</v>
      </c>
      <c r="I288" s="32" t="n">
        <v>5910</v>
      </c>
      <c r="J288" s="32" t="n">
        <v>4.55</v>
      </c>
      <c r="K288" s="32" t="n">
        <v>11667</v>
      </c>
      <c r="L288" s="31" t="n">
        <v>12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47.03</v>
      </c>
      <c r="P288" s="32" t="n">
        <v>27.76</v>
      </c>
      <c r="Q288" s="32" t="inlineStr"/>
      <c r="R288" s="31" t="inlineStr">
        <is>
          <t>Earnings / Momentum Support</t>
        </is>
      </c>
      <c r="S288" s="31" t="inlineStr">
        <is>
          <t>Nifty 50</t>
        </is>
      </c>
      <c r="T288" s="32" t="n">
        <v>-2.54</v>
      </c>
      <c r="U288" s="32" t="n">
        <v>3.35</v>
      </c>
      <c r="V288" s="32" t="n">
        <v>6.05</v>
      </c>
      <c r="W288" s="32" t="n">
        <v>0.8</v>
      </c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Headwind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Below 45</t>
        </is>
      </c>
      <c r="BA288" s="31">
        <f>IF(AZ288="Between 50 to 75",10,IF(AZ288="Above 75",0,0))</f>
        <v/>
      </c>
      <c r="BB288" s="31" t="inlineStr">
        <is>
          <t>Stage 3</t>
        </is>
      </c>
      <c r="BC288" s="31">
        <f>IF(BB288="Stage 2",20,IF(BB288="Stage 1",0,IF(BB288="Stage 3",5,IF(BB288="Stage 4",-5,0))))</f>
        <v/>
      </c>
      <c r="BD288" s="31" t="inlineStr">
        <is>
          <t>Negative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Less than 12%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Between 50% to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IF(B289=0,"",RANK(B289,$B$2:$B$340,0))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3" t="inlineStr">
        <is>
          <t>SHYAMMETL</t>
        </is>
      </c>
      <c r="D289" s="33" t="inlineStr">
        <is>
          <t>Shyam Metalics &amp; Energy Ltd</t>
        </is>
      </c>
      <c r="E289" s="31" t="inlineStr">
        <is>
          <t>metals &amp; mining</t>
        </is>
      </c>
      <c r="F289" s="31" t="inlineStr">
        <is>
          <t>steel - large</t>
        </is>
      </c>
      <c r="G289" s="31" t="inlineStr">
        <is>
          <t>largecap</t>
        </is>
      </c>
      <c r="H289" s="32" t="n">
        <v>28541.23</v>
      </c>
      <c r="I289" s="32" t="n">
        <v>1055</v>
      </c>
      <c r="J289" s="32" t="n">
        <v>3.18</v>
      </c>
      <c r="K289" s="32" t="n">
        <v>2630860</v>
      </c>
      <c r="L289" s="31" t="n">
        <v>41</v>
      </c>
      <c r="M289" s="31" t="inlineStr">
        <is>
          <t>Underperforming</t>
        </is>
      </c>
      <c r="N289" s="32">
        <f>IF(M289="Underperforming",-5,IF(L289&gt;=95,15,IF(L289&gt;=90,10,IF(L289&gt;=80,5,0))))</f>
        <v/>
      </c>
      <c r="O289" s="32" t="n">
        <v>65.27</v>
      </c>
      <c r="P289" s="32" t="n">
        <v>17.48</v>
      </c>
      <c r="Q289" s="32" t="inlineStr"/>
      <c r="R289" s="31" t="inlineStr">
        <is>
          <t>Earnings / Momentum Support</t>
        </is>
      </c>
      <c r="S289" s="31" t="inlineStr">
        <is>
          <t>Nifty Metal</t>
        </is>
      </c>
      <c r="T289" s="32" t="n">
        <v>31.49</v>
      </c>
      <c r="U289" s="32" t="n">
        <v>12.72</v>
      </c>
      <c r="V289" s="32" t="n">
        <v>-14.28</v>
      </c>
      <c r="W289" s="32" t="n">
        <v>6.54</v>
      </c>
      <c r="X289" s="31" t="inlineStr">
        <is>
          <t>Cyclical in an Upturn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Headwind</t>
        </is>
      </c>
      <c r="AE289" s="31">
        <f>IF(AD289="Tailwind",10,0)</f>
        <v/>
      </c>
      <c r="AF289" s="31" t="inlineStr">
        <is>
          <t>Cyclical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Volatile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3</t>
        </is>
      </c>
      <c r="BC289" s="31">
        <f>IF(BB289="Stage 2",20,IF(BB289="Stage 1",0,IF(BB289="Stage 3",5,IF(BB289="Stage 4",-5,0))))</f>
        <v/>
      </c>
      <c r="BD289" s="31" t="inlineStr">
        <is>
          <t>Negative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Less than 1.5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IF(B290=0,"",RANK(B290,$B$2:$B$340,0))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3" t="inlineStr">
        <is>
          <t>KIRLFER</t>
        </is>
      </c>
      <c r="D290" s="33" t="inlineStr">
        <is>
          <t>Kirloskar Ferrous Industries Ltd</t>
        </is>
      </c>
      <c r="E290" s="31" t="inlineStr">
        <is>
          <t>metals &amp; mining</t>
        </is>
      </c>
      <c r="F290" s="31" t="inlineStr">
        <is>
          <t>steel - large</t>
        </is>
      </c>
      <c r="G290" s="31" t="inlineStr">
        <is>
          <t>midcap</t>
        </is>
      </c>
      <c r="H290" s="32" t="n">
        <v>7766.16</v>
      </c>
      <c r="I290" s="32" t="n">
        <v>483.35</v>
      </c>
      <c r="J290" s="32" t="n">
        <v>2.64</v>
      </c>
      <c r="K290" s="32" t="n">
        <v>111603</v>
      </c>
      <c r="L290" s="31" t="n">
        <v>4</v>
      </c>
      <c r="M290" s="31" t="inlineStr">
        <is>
          <t>Underperforming</t>
        </is>
      </c>
      <c r="N290" s="32">
        <f>IF(M290="Underperforming",-5,IF(L290&gt;=95,15,IF(L290&gt;=90,10,IF(L290&gt;=80,5,0))))</f>
        <v/>
      </c>
      <c r="O290" s="32" t="n">
        <v>56.44</v>
      </c>
      <c r="P290" s="32" t="n">
        <v>12.09</v>
      </c>
      <c r="Q290" s="32" t="inlineStr"/>
      <c r="R290" s="31" t="inlineStr">
        <is>
          <t>Earnings / Momentum Support</t>
        </is>
      </c>
      <c r="S290" s="31" t="inlineStr">
        <is>
          <t>Nifty Metal</t>
        </is>
      </c>
      <c r="T290" s="32" t="n">
        <v>31.49</v>
      </c>
      <c r="U290" s="32" t="n">
        <v>-16.84</v>
      </c>
      <c r="V290" s="32" t="n">
        <v>-36.76</v>
      </c>
      <c r="W290" s="32" t="n">
        <v>-2.22</v>
      </c>
      <c r="X290" s="31" t="inlineStr">
        <is>
          <t>Cyclical in an Upturn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Headwind</t>
        </is>
      </c>
      <c r="AE290" s="31">
        <f>IF(AD290="Tailwind",10,0)</f>
        <v/>
      </c>
      <c r="AF290" s="31" t="inlineStr">
        <is>
          <t>Cyclical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Volatile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0 to 20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3</t>
        </is>
      </c>
      <c r="BC290" s="31">
        <f>IF(BB290="Stage 2",20,IF(BB290="Stage 1",0,IF(BB290="Stage 3",5,IF(BB290="Stage 4",-5,0))))</f>
        <v/>
      </c>
      <c r="BD290" s="31" t="inlineStr">
        <is>
          <t>Negative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Less than 1.5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IF(B291=0,"",RANK(B291,$B$2:$B$340,0))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3" t="inlineStr">
        <is>
          <t>SHREECEM</t>
        </is>
      </c>
      <c r="D291" s="33" t="inlineStr">
        <is>
          <t>Shree Cements Limited</t>
        </is>
      </c>
      <c r="E291" s="31" t="inlineStr">
        <is>
          <t>building materials</t>
        </is>
      </c>
      <c r="F291" s="31" t="inlineStr">
        <is>
          <t>cement - north india</t>
        </is>
      </c>
      <c r="G291" s="31" t="inlineStr">
        <is>
          <t>largecap</t>
        </is>
      </c>
      <c r="H291" s="32" t="n">
        <v>95668.10000000001</v>
      </c>
      <c r="I291" s="32" t="n">
        <v>26905</v>
      </c>
      <c r="J291" s="32" t="n">
        <v>1.47</v>
      </c>
      <c r="K291" s="32" t="n">
        <v>7046</v>
      </c>
      <c r="L291" s="31" t="n">
        <v>5</v>
      </c>
      <c r="M291" s="31" t="inlineStr">
        <is>
          <t>Underperforming</t>
        </is>
      </c>
      <c r="N291" s="32">
        <f>IF(M291="Underperforming",-5,IF(L291&gt;=95,15,IF(L291&gt;=90,10,IF(L291&gt;=80,5,0))))</f>
        <v/>
      </c>
      <c r="O291" s="32" t="n">
        <v>55.63</v>
      </c>
      <c r="P291" s="32" t="n">
        <v>14.07</v>
      </c>
      <c r="Q291" s="32" t="inlineStr"/>
      <c r="R291" s="31" t="inlineStr">
        <is>
          <t>Earnings / Momentum Support</t>
        </is>
      </c>
      <c r="S291" s="31" t="inlineStr">
        <is>
          <t>Nifty Infra</t>
        </is>
      </c>
      <c r="T291" s="32" t="n">
        <v>1.74</v>
      </c>
      <c r="U291" s="32" t="n">
        <v>-13.25</v>
      </c>
      <c r="V291" s="32" t="n">
        <v>-14.73</v>
      </c>
      <c r="W291" s="32" t="n">
        <v>-1.66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Headwind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3</t>
        </is>
      </c>
      <c r="BC291" s="31">
        <f>IF(BB291="Stage 2",20,IF(BB291="Stage 1",0,IF(BB291="Stage 3",5,IF(BB291="Stage 4",-5,0))))</f>
        <v/>
      </c>
      <c r="BD291" s="31" t="inlineStr">
        <is>
          <t>Negative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Less than 12%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IF(B292=0,"",RANK(B292,$B$2:$B$340,0))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3" t="inlineStr">
        <is>
          <t>BHARTIHEXA</t>
        </is>
      </c>
      <c r="D292" s="33" t="inlineStr">
        <is>
          <t>Bharti Hexacom Ltd</t>
        </is>
      </c>
      <c r="E292" s="31" t="inlineStr">
        <is>
          <t>telecom-service</t>
        </is>
      </c>
      <c r="F292" s="31" t="inlineStr">
        <is>
          <t>telecommunications - service provider</t>
        </is>
      </c>
      <c r="G292" s="31" t="inlineStr">
        <is>
          <t>largecap</t>
        </is>
      </c>
      <c r="H292" s="32" t="n">
        <v>80275</v>
      </c>
      <c r="I292" s="32" t="n">
        <v>1621.8</v>
      </c>
      <c r="J292" s="32" t="n">
        <v>1.02</v>
      </c>
      <c r="K292" s="32" t="n">
        <v>225698</v>
      </c>
      <c r="L292" s="31" t="n">
        <v>7</v>
      </c>
      <c r="M292" s="31" t="inlineStr">
        <is>
          <t>Underperforming</t>
        </is>
      </c>
      <c r="N292" s="32">
        <f>IF(M292="Underperforming",-5,IF(L292&gt;=95,15,IF(L292&gt;=90,10,IF(L292&gt;=80,5,0))))</f>
        <v/>
      </c>
      <c r="O292" s="32" t="n">
        <v>53.92</v>
      </c>
      <c r="P292" s="32" t="n">
        <v>23.56</v>
      </c>
      <c r="Q292" s="32" t="inlineStr"/>
      <c r="R292" s="31" t="inlineStr">
        <is>
          <t>Earnings / Momentum Support</t>
        </is>
      </c>
      <c r="S292" s="31" t="inlineStr">
        <is>
          <t>Nifty 50</t>
        </is>
      </c>
      <c r="T292" s="32" t="n">
        <v>-2.54</v>
      </c>
      <c r="U292" s="32" t="n">
        <v>-9.93</v>
      </c>
      <c r="V292" s="32" t="n">
        <v>-7.59</v>
      </c>
      <c r="W292" s="32" t="n">
        <v>-1.04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Oligopoly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Yes</t>
        </is>
      </c>
      <c r="AC292" s="31">
        <f>IF(AB292="No",5,0)</f>
        <v/>
      </c>
      <c r="AD292" s="31" t="inlineStr">
        <is>
          <t>Headwind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3</t>
        </is>
      </c>
      <c r="BC292" s="31">
        <f>IF(BB292="Stage 2",20,IF(BB292="Stage 1",0,IF(BB292="Stage 3",5,IF(BB292="Stage 4",-5,0))))</f>
        <v/>
      </c>
      <c r="BD292" s="31" t="inlineStr">
        <is>
          <t>Negative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Less than 12%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Yes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Between 0.7 to 1.2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IF(B293=0,"",RANK(B293,$B$2:$B$340,0))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GOODLUCK</t>
        </is>
      </c>
      <c r="D293" s="31" t="inlineStr">
        <is>
          <t>Goodluck India Limited</t>
        </is>
      </c>
      <c r="E293" s="31" t="inlineStr">
        <is>
          <t>metals &amp; mining</t>
        </is>
      </c>
      <c r="F293" s="31" t="inlineStr">
        <is>
          <t>steel - medium / small</t>
        </is>
      </c>
      <c r="G293" s="31" t="inlineStr">
        <is>
          <t>midcap</t>
        </is>
      </c>
      <c r="H293" s="32" t="n">
        <v>5140.67</v>
      </c>
      <c r="I293" s="32" t="n">
        <v>1560.4</v>
      </c>
      <c r="J293" s="32" t="n">
        <v>0.89</v>
      </c>
      <c r="K293" s="32" t="n">
        <v>110956</v>
      </c>
      <c r="L293" s="31" t="n">
        <v>65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64.83</v>
      </c>
      <c r="P293" s="32" t="n">
        <v>38.45</v>
      </c>
      <c r="Q293" s="32" t="inlineStr"/>
      <c r="R293" s="31" t="inlineStr">
        <is>
          <t>Earnings / Momentum Support</t>
        </is>
      </c>
      <c r="S293" s="31" t="inlineStr">
        <is>
          <t>Nifty Metal</t>
        </is>
      </c>
      <c r="T293" s="32" t="n">
        <v>31.49</v>
      </c>
      <c r="U293" s="32" t="n">
        <v>36.57</v>
      </c>
      <c r="V293" s="32" t="n">
        <v>3.86</v>
      </c>
      <c r="W293" s="32" t="n">
        <v>12.28</v>
      </c>
      <c r="X293" s="31" t="inlineStr">
        <is>
          <t>Cyclical in an Upturn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Headwind</t>
        </is>
      </c>
      <c r="AE293" s="31">
        <f>IF(AD293="Tailwind",10,0)</f>
        <v/>
      </c>
      <c r="AF293" s="31" t="inlineStr">
        <is>
          <t>Cyclical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Volatile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3</t>
        </is>
      </c>
      <c r="BC293" s="31">
        <f>IF(BB293="Stage 2",20,IF(BB293="Stage 1",0,IF(BB293="Stage 3",5,IF(BB293="Stage 4",-5,0))))</f>
        <v/>
      </c>
      <c r="BD293" s="31" t="inlineStr">
        <is>
          <t>Negative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Less than 1.5</t>
        </is>
      </c>
      <c r="BU293" s="31">
        <f>IF(BT293="Above 2",0,IF(BT293="Between 1.5 to 2",5,IF(BT293="Less than 1.5",10,0)))</f>
        <v/>
      </c>
      <c r="BV293" s="31" t="inlineStr">
        <is>
          <t>Less than 50%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Between 0.7 to 1.2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IF(B294=0,"",RANK(B294,$B$2:$B$340,0))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NEOGEN</t>
        </is>
      </c>
      <c r="D294" s="31" t="inlineStr">
        <is>
          <t>Neogen Chemicals Ltd</t>
        </is>
      </c>
      <c r="E294" s="31" t="inlineStr">
        <is>
          <t>chemicals</t>
        </is>
      </c>
      <c r="F294" s="31" t="inlineStr">
        <is>
          <t>chemicals</t>
        </is>
      </c>
      <c r="G294" s="31" t="inlineStr">
        <is>
          <t>midcap</t>
        </is>
      </c>
      <c r="H294" s="32" t="n">
        <v>5957.16</v>
      </c>
      <c r="I294" s="32" t="n">
        <v>2182.6</v>
      </c>
      <c r="J294" s="32" t="n">
        <v>0.32</v>
      </c>
      <c r="K294" s="32" t="n">
        <v>124859</v>
      </c>
      <c r="L294" s="31" t="n">
        <v>78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70.95</v>
      </c>
      <c r="P294" s="32" t="n">
        <v>49.53</v>
      </c>
      <c r="Q294" s="32" t="inlineStr"/>
      <c r="R294" s="31" t="inlineStr">
        <is>
          <t>Earnings / Momentum Support</t>
        </is>
      </c>
      <c r="S294" s="31" t="inlineStr">
        <is>
          <t>Nifty 50</t>
        </is>
      </c>
      <c r="T294" s="32" t="n">
        <v>-2.54</v>
      </c>
      <c r="U294" s="32" t="n">
        <v>38.96</v>
      </c>
      <c r="V294" s="32" t="n">
        <v>42.58</v>
      </c>
      <c r="W294" s="32" t="n">
        <v>17.21</v>
      </c>
      <c r="X294" s="31" t="inlineStr">
        <is>
          <t>Growing Industry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Headwind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Above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3</t>
        </is>
      </c>
      <c r="BC294" s="31">
        <f>IF(BB294="Stage 2",20,IF(BB294="Stage 1",0,IF(BB294="Stage 3",5,IF(BB294="Stage 4",-5,0))))</f>
        <v/>
      </c>
      <c r="BD294" s="31" t="inlineStr">
        <is>
          <t>Negative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Yes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Negative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More than 1.2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IF(B295=0,"",RANK(B295,$B$2:$B$340,0))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3" t="inlineStr">
        <is>
          <t>GANESHHOU</t>
        </is>
      </c>
      <c r="D295" s="33" t="inlineStr">
        <is>
          <t>Ganesh Housing Ltd</t>
        </is>
      </c>
      <c r="E295" s="31" t="inlineStr">
        <is>
          <t>realty</t>
        </is>
      </c>
      <c r="F295" s="31" t="inlineStr">
        <is>
          <t>construction</t>
        </is>
      </c>
      <c r="G295" s="31" t="inlineStr">
        <is>
          <t>midcap</t>
        </is>
      </c>
      <c r="H295" s="32" t="n">
        <v>6860.26</v>
      </c>
      <c r="I295" s="32" t="n">
        <v>825</v>
      </c>
      <c r="J295" s="32" t="n">
        <v>0.28</v>
      </c>
      <c r="K295" s="32" t="n">
        <v>16230</v>
      </c>
      <c r="L295" s="31" t="n">
        <v>25</v>
      </c>
      <c r="M295" s="31" t="inlineStr">
        <is>
          <t>Underperforming</t>
        </is>
      </c>
      <c r="N295" s="32">
        <f>IF(M295="Underperforming",-5,IF(L295&gt;=95,15,IF(L295&gt;=90,10,IF(L295&gt;=80,5,0))))</f>
        <v/>
      </c>
      <c r="O295" s="32" t="n">
        <v>59.93</v>
      </c>
      <c r="P295" s="32" t="n">
        <v>18.12</v>
      </c>
      <c r="Q295" s="32" t="inlineStr"/>
      <c r="R295" s="31" t="inlineStr">
        <is>
          <t>Earnings / Momentum Support</t>
        </is>
      </c>
      <c r="S295" s="31" t="inlineStr">
        <is>
          <t>Nifty Realty</t>
        </is>
      </c>
      <c r="T295" s="32" t="n">
        <v>-8.119999999999999</v>
      </c>
      <c r="U295" s="32" t="n">
        <v>-15.61</v>
      </c>
      <c r="V295" s="32" t="n">
        <v>-8.15</v>
      </c>
      <c r="W295" s="32" t="n">
        <v>3.54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Headwind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0 to 20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3</t>
        </is>
      </c>
      <c r="BC295" s="31">
        <f>IF(BB295="Stage 2",20,IF(BB295="Stage 1",0,IF(BB295="Stage 3",5,IF(BB295="Stage 4",-5,0))))</f>
        <v/>
      </c>
      <c r="BD295" s="31" t="inlineStr">
        <is>
          <t>Negative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Less than 12%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No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Between 50% to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IF(B296=0,"",RANK(B296,$B$2:$B$340,0))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TEXINFRA</t>
        </is>
      </c>
      <c r="D296" s="31" t="inlineStr">
        <is>
          <t>Texmaco Infrastructure &amp; Holdings Limited</t>
        </is>
      </c>
      <c r="E296" s="31" t="inlineStr">
        <is>
          <t>realty</t>
        </is>
      </c>
      <c r="F296" s="31" t="inlineStr">
        <is>
          <t>construction</t>
        </is>
      </c>
      <c r="G296" s="31" t="inlineStr">
        <is>
          <t>smallcap</t>
        </is>
      </c>
      <c r="H296" s="32" t="n">
        <v>1447.06</v>
      </c>
      <c r="I296" s="32" t="n">
        <v>113.5</v>
      </c>
      <c r="J296" s="32" t="n">
        <v>-0.05</v>
      </c>
      <c r="K296" s="32" t="n">
        <v>85549</v>
      </c>
      <c r="L296" s="31" t="n">
        <v>29</v>
      </c>
      <c r="M296" s="31" t="inlineStr">
        <is>
          <t>Outperforming</t>
        </is>
      </c>
      <c r="N296" s="32">
        <f>IF(M296="Underperforming",-5,IF(L296&gt;=95,15,IF(L296&gt;=90,10,IF(L296&gt;=80,5,0))))</f>
        <v/>
      </c>
      <c r="O296" s="32" t="n">
        <v>66.56</v>
      </c>
      <c r="P296" s="32" t="n">
        <v>31.38</v>
      </c>
      <c r="Q296" s="32" t="inlineStr"/>
      <c r="R296" s="31" t="inlineStr">
        <is>
          <t>Earnings / Momentum Support</t>
        </is>
      </c>
      <c r="S296" s="31" t="inlineStr">
        <is>
          <t>Nifty Realty</t>
        </is>
      </c>
      <c r="T296" s="32" t="n">
        <v>-8.119999999999999</v>
      </c>
      <c r="U296" s="32" t="n">
        <v>10.81</v>
      </c>
      <c r="V296" s="32" t="n">
        <v>20.6</v>
      </c>
      <c r="W296" s="32" t="n">
        <v>4.74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Headwind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20 to 40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3</t>
        </is>
      </c>
      <c r="BC296" s="31">
        <f>IF(BB296="Stage 2",20,IF(BB296="Stage 1",0,IF(BB296="Stage 3",5,IF(BB296="Stage 4",-5,0))))</f>
        <v/>
      </c>
      <c r="BD296" s="31" t="inlineStr">
        <is>
          <t>Negative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Less than 12%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Yes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Negative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IF(B297=0,"",RANK(B297,$B$2:$B$340,0))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3" t="inlineStr">
        <is>
          <t>AJAXENGG</t>
        </is>
      </c>
      <c r="D297" s="33" t="inlineStr">
        <is>
          <t>Ajax Engineering Ltd</t>
        </is>
      </c>
      <c r="E297" s="31" t="inlineStr">
        <is>
          <t>industrials</t>
        </is>
      </c>
      <c r="F297" s="31" t="inlineStr">
        <is>
          <t>engineering</t>
        </is>
      </c>
      <c r="G297" s="31" t="inlineStr">
        <is>
          <t>midcap</t>
        </is>
      </c>
      <c r="H297" s="32" t="n">
        <v>6803.77</v>
      </c>
      <c r="I297" s="32" t="n">
        <v>593.85</v>
      </c>
      <c r="J297" s="32" t="n">
        <v>-0.14</v>
      </c>
      <c r="K297" s="32" t="n">
        <v>39720</v>
      </c>
      <c r="L297" s="31" t="n">
        <v>16</v>
      </c>
      <c r="M297" s="31" t="inlineStr">
        <is>
          <t>Underperforming</t>
        </is>
      </c>
      <c r="N297" s="32">
        <f>IF(M297="Underperforming",-5,IF(L297&gt;=95,15,IF(L297&gt;=90,10,IF(L297&gt;=80,5,0))))</f>
        <v/>
      </c>
      <c r="O297" s="32" t="n">
        <v>58.23</v>
      </c>
      <c r="P297" s="32" t="n">
        <v>10.03</v>
      </c>
      <c r="Q297" s="32" t="inlineStr"/>
      <c r="R297" s="31" t="inlineStr">
        <is>
          <t>Earnings / Momentum Support</t>
        </is>
      </c>
      <c r="S297" s="31" t="inlineStr">
        <is>
          <t>Nifty Infra</t>
        </is>
      </c>
      <c r="T297" s="32" t="n">
        <v>1.74</v>
      </c>
      <c r="U297" s="32" t="n">
        <v>-15.07</v>
      </c>
      <c r="V297" s="32" t="n">
        <v>-16.52</v>
      </c>
      <c r="W297" s="32" t="n">
        <v>1.86</v>
      </c>
      <c r="X297" s="31" t="inlineStr">
        <is>
          <t>Cyclical in an Upturn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Headwind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0 to 20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3</t>
        </is>
      </c>
      <c r="BC297" s="31">
        <f>IF(BB297="Stage 2",20,IF(BB297="Stage 1",0,IF(BB297="Stage 3",5,IF(BB297="Stage 4",-5,0))))</f>
        <v/>
      </c>
      <c r="BD297" s="31" t="inlineStr">
        <is>
          <t>Negative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Less than 12%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IF(B298=0,"",RANK(B298,$B$2:$B$340,0))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3" t="inlineStr">
        <is>
          <t>INDIGO</t>
        </is>
      </c>
      <c r="D298" s="33" t="inlineStr">
        <is>
          <t>Interglobe Aviation Limited</t>
        </is>
      </c>
      <c r="E298" s="31" t="inlineStr">
        <is>
          <t>transportation</t>
        </is>
      </c>
      <c r="F298" s="31" t="inlineStr">
        <is>
          <t>transport - airlines</t>
        </is>
      </c>
      <c r="G298" s="31" t="inlineStr">
        <is>
          <t>largecap</t>
        </is>
      </c>
      <c r="H298" s="32" t="n">
        <v>202913.83</v>
      </c>
      <c r="I298" s="32" t="n">
        <v>5229</v>
      </c>
      <c r="J298" s="32" t="n">
        <v>-0.37</v>
      </c>
      <c r="K298" s="32" t="n">
        <v>1230583</v>
      </c>
      <c r="L298" s="31" t="n">
        <v>13</v>
      </c>
      <c r="M298" s="31" t="inlineStr">
        <is>
          <t>Underperforming</t>
        </is>
      </c>
      <c r="N298" s="32">
        <f>IF(M298="Underperforming",-5,IF(L298&gt;=95,15,IF(L298&gt;=90,10,IF(L298&gt;=80,5,0))))</f>
        <v/>
      </c>
      <c r="O298" s="32" t="n">
        <v>59.14</v>
      </c>
      <c r="P298" s="32" t="n">
        <v>22.88</v>
      </c>
      <c r="Q298" s="32" t="inlineStr"/>
      <c r="R298" s="31" t="inlineStr">
        <is>
          <t>Earnings / Momentum Support</t>
        </is>
      </c>
      <c r="S298" s="31" t="inlineStr">
        <is>
          <t>Nifty 50</t>
        </is>
      </c>
      <c r="T298" s="32" t="n">
        <v>-2.54</v>
      </c>
      <c r="U298" s="32" t="n">
        <v>-10.3</v>
      </c>
      <c r="V298" s="32" t="n">
        <v>-7.96</v>
      </c>
      <c r="W298" s="32" t="n">
        <v>1.03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Headwind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No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20 to 40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3</t>
        </is>
      </c>
      <c r="BC298" s="31">
        <f>IF(BB298="Stage 2",20,IF(BB298="Stage 1",0,IF(BB298="Stage 3",5,IF(BB298="Stage 4",-5,0))))</f>
        <v/>
      </c>
      <c r="BD298" s="31" t="inlineStr">
        <is>
          <t>Negative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Less than 12%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More than 1.2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IF(B299=0,"",RANK(B299,$B$2:$B$340,0))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RPGLIFE</t>
        </is>
      </c>
      <c r="D299" s="31" t="inlineStr">
        <is>
          <t>Rpg Life Sciences Limited</t>
        </is>
      </c>
      <c r="E299" s="31" t="inlineStr">
        <is>
          <t>healthcare</t>
        </is>
      </c>
      <c r="F299" s="31" t="inlineStr">
        <is>
          <t>pharmaceuticals - indian - bulk drugs &amp; formln</t>
        </is>
      </c>
      <c r="G299" s="31" t="inlineStr">
        <is>
          <t>smallcap</t>
        </is>
      </c>
      <c r="H299" s="32" t="n">
        <v>4729.83</v>
      </c>
      <c r="I299" s="32" t="n">
        <v>3017.1</v>
      </c>
      <c r="J299" s="32" t="n">
        <v>5.5</v>
      </c>
      <c r="K299" s="32" t="n">
        <v>116123</v>
      </c>
      <c r="L299" s="31" t="n">
        <v>68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75.08</v>
      </c>
      <c r="P299" s="32" t="n">
        <v>26.5</v>
      </c>
      <c r="Q299" s="32" t="inlineStr"/>
      <c r="R299" s="31" t="inlineStr">
        <is>
          <t>Earnings / Momentum Support</t>
        </is>
      </c>
      <c r="S299" s="31" t="inlineStr">
        <is>
          <t>Nifty Pharma</t>
        </is>
      </c>
      <c r="T299" s="32" t="n">
        <v>13.51</v>
      </c>
      <c r="U299" s="32" t="n">
        <v>15.18</v>
      </c>
      <c r="V299" s="32" t="n">
        <v>1.47</v>
      </c>
      <c r="W299" s="32" t="n">
        <v>13.04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Yes</t>
        </is>
      </c>
      <c r="AC299" s="31">
        <f>IF(AB299="No",5,0)</f>
        <v/>
      </c>
      <c r="AD299" s="31" t="inlineStr">
        <is>
          <t>Headwind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Annuity, Lower One Time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20 to 40</t>
        </is>
      </c>
      <c r="AY299" s="31">
        <f>IF(AX299="Above 40",20,IF(AX299="20 to 40",10,IF(AX299="0 to 20",-5,0)))</f>
        <v/>
      </c>
      <c r="AZ299" s="31" t="inlineStr">
        <is>
          <t>Above 75</t>
        </is>
      </c>
      <c r="BA299" s="31">
        <f>IF(AZ299="Between 50 to 75",10,IF(AZ299="Above 75",0,0))</f>
        <v/>
      </c>
      <c r="BB299" s="31" t="inlineStr">
        <is>
          <t>Stage 3</t>
        </is>
      </c>
      <c r="BC299" s="31">
        <f>IF(BB299="Stage 2",20,IF(BB299="Stage 1",0,IF(BB299="Stage 3",5,IF(BB299="Stage 4",-5,0))))</f>
        <v/>
      </c>
      <c r="BD299" s="31" t="inlineStr">
        <is>
          <t>Negative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Less than 12%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Yes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Less than 50%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IF(B300=0,"",RANK(B300,$B$2:$B$340,0))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3" t="inlineStr">
        <is>
          <t>CIPLA</t>
        </is>
      </c>
      <c r="D300" s="33" t="inlineStr">
        <is>
          <t>Cipla Limited</t>
        </is>
      </c>
      <c r="E300" s="31" t="inlineStr">
        <is>
          <t>healthcare</t>
        </is>
      </c>
      <c r="F300" s="31" t="inlineStr">
        <is>
          <t>pharmaceuticals - indian - bulk drugs &amp; formln</t>
        </is>
      </c>
      <c r="G300" s="31" t="inlineStr">
        <is>
          <t>largecap</t>
        </is>
      </c>
      <c r="H300" s="32" t="n">
        <v>114600.12</v>
      </c>
      <c r="I300" s="32" t="n">
        <v>1441.6</v>
      </c>
      <c r="J300" s="32" t="n">
        <v>1.61</v>
      </c>
      <c r="K300" s="32" t="n">
        <v>1494197</v>
      </c>
      <c r="L300" s="31" t="n">
        <v>21</v>
      </c>
      <c r="M300" s="31" t="inlineStr">
        <is>
          <t>Underperforming</t>
        </is>
      </c>
      <c r="N300" s="32">
        <f>IF(M300="Underperforming",-5,IF(L300&gt;=95,15,IF(L300&gt;=90,10,IF(L300&gt;=80,5,0))))</f>
        <v/>
      </c>
      <c r="O300" s="32" t="n">
        <v>54.99</v>
      </c>
      <c r="P300" s="32" t="n">
        <v>11.94</v>
      </c>
      <c r="Q300" s="32" t="inlineStr"/>
      <c r="R300" s="31" t="inlineStr">
        <is>
          <t>Earnings / Momentum Support</t>
        </is>
      </c>
      <c r="S300" s="31" t="inlineStr">
        <is>
          <t>Nifty Pharma</t>
        </is>
      </c>
      <c r="T300" s="32" t="n">
        <v>13.51</v>
      </c>
      <c r="U300" s="32" t="n">
        <v>-3.39</v>
      </c>
      <c r="V300" s="32" t="n">
        <v>-14.89</v>
      </c>
      <c r="W300" s="32" t="n">
        <v>2.92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Yes</t>
        </is>
      </c>
      <c r="AC300" s="31">
        <f>IF(AB300="No",5,0)</f>
        <v/>
      </c>
      <c r="AD300" s="31" t="inlineStr">
        <is>
          <t>Headwind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Annuity, Lower One Time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0 to 20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3</t>
        </is>
      </c>
      <c r="BC300" s="31">
        <f>IF(BB300="Stage 2",20,IF(BB300="Stage 1",0,IF(BB300="Stage 3",5,IF(BB300="Stage 4",-5,0))))</f>
        <v/>
      </c>
      <c r="BD300" s="31" t="inlineStr">
        <is>
          <t>Negative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Less than 12%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Between 50% to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IF(B301=0,"",RANK(B301,$B$2:$B$340,0))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3" t="inlineStr">
        <is>
          <t>ALKEM</t>
        </is>
      </c>
      <c r="D301" s="33" t="inlineStr">
        <is>
          <t>Alkem Laboratories Limited</t>
        </is>
      </c>
      <c r="E301" s="31" t="inlineStr">
        <is>
          <t>healthcare</t>
        </is>
      </c>
      <c r="F301" s="31" t="inlineStr">
        <is>
          <t>pharmaceuticals - indian - bulk drugs &amp; formln</t>
        </is>
      </c>
      <c r="G301" s="31" t="inlineStr">
        <is>
          <t>largecap</t>
        </is>
      </c>
      <c r="H301" s="32" t="n">
        <v>66514.00999999999</v>
      </c>
      <c r="I301" s="32" t="n">
        <v>5652.5</v>
      </c>
      <c r="J301" s="32" t="n">
        <v>1.61</v>
      </c>
      <c r="K301" s="32" t="n">
        <v>108861</v>
      </c>
      <c r="L301" s="31" t="n">
        <v>19</v>
      </c>
      <c r="M301" s="31" t="inlineStr">
        <is>
          <t>Underperforming</t>
        </is>
      </c>
      <c r="N301" s="32">
        <f>IF(M301="Underperforming",-5,IF(L301&gt;=95,15,IF(L301&gt;=90,10,IF(L301&gt;=80,5,0))))</f>
        <v/>
      </c>
      <c r="O301" s="32" t="n">
        <v>53.44</v>
      </c>
      <c r="P301" s="32" t="n">
        <v>18.75</v>
      </c>
      <c r="Q301" s="32" t="inlineStr"/>
      <c r="R301" s="31" t="inlineStr">
        <is>
          <t>Earnings / Momentum Support</t>
        </is>
      </c>
      <c r="S301" s="31" t="inlineStr">
        <is>
          <t>Nifty Pharma</t>
        </is>
      </c>
      <c r="T301" s="32" t="n">
        <v>13.51</v>
      </c>
      <c r="U301" s="32" t="n">
        <v>12.38</v>
      </c>
      <c r="V301" s="32" t="n">
        <v>-1</v>
      </c>
      <c r="W301" s="32" t="n">
        <v>2.43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Yes</t>
        </is>
      </c>
      <c r="AC301" s="31">
        <f>IF(AB301="No",5,0)</f>
        <v/>
      </c>
      <c r="AD301" s="31" t="inlineStr">
        <is>
          <t>Headwind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No</t>
        </is>
      </c>
      <c r="AQ301" s="31">
        <f>IF(AP301="Yes",10,0)</f>
        <v/>
      </c>
      <c r="AR301" s="31" t="inlineStr">
        <is>
          <t>Higher Annuity, Lower One Time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3</t>
        </is>
      </c>
      <c r="BC301" s="31">
        <f>IF(BB301="Stage 2",20,IF(BB301="Stage 1",0,IF(BB301="Stage 3",5,IF(BB301="Stage 4",-5,0))))</f>
        <v/>
      </c>
      <c r="BD301" s="31" t="inlineStr">
        <is>
          <t>Negative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Less than 12%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Between 50% to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IF(B302=0,"",RANK(B302,$B$2:$B$340,0))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3" t="inlineStr">
        <is>
          <t>ABBOTINDIA</t>
        </is>
      </c>
      <c r="D302" s="33" t="inlineStr">
        <is>
          <t>Abbott India Limited</t>
        </is>
      </c>
      <c r="E302" s="31" t="inlineStr">
        <is>
          <t>healthcare</t>
        </is>
      </c>
      <c r="F302" s="31" t="inlineStr">
        <is>
          <t>pharmaceuticals - multinational</t>
        </is>
      </c>
      <c r="G302" s="31" t="inlineStr">
        <is>
          <t>largecap</t>
        </is>
      </c>
      <c r="H302" s="32" t="n">
        <v>59614.92</v>
      </c>
      <c r="I302" s="32" t="n">
        <v>28275</v>
      </c>
      <c r="J302" s="32" t="n">
        <v>0.78</v>
      </c>
      <c r="K302" s="32" t="n">
        <v>8865</v>
      </c>
      <c r="L302" s="31" t="n">
        <v>5</v>
      </c>
      <c r="M302" s="31" t="inlineStr">
        <is>
          <t>Underperforming</t>
        </is>
      </c>
      <c r="N302" s="32">
        <f>IF(M302="Underperforming",-5,IF(L302&gt;=95,15,IF(L302&gt;=90,10,IF(L302&gt;=80,5,0))))</f>
        <v/>
      </c>
      <c r="O302" s="32" t="n">
        <v>56.89</v>
      </c>
      <c r="P302" s="32" t="n">
        <v>12.84</v>
      </c>
      <c r="Q302" s="32" t="inlineStr"/>
      <c r="R302" s="31" t="inlineStr">
        <is>
          <t>Earnings / Momentum Support</t>
        </is>
      </c>
      <c r="S302" s="31" t="inlineStr">
        <is>
          <t>Nifty Pharma</t>
        </is>
      </c>
      <c r="T302" s="32" t="n">
        <v>13.51</v>
      </c>
      <c r="U302" s="32" t="n">
        <v>-16.64</v>
      </c>
      <c r="V302" s="32" t="n">
        <v>-26.56</v>
      </c>
      <c r="W302" s="32" t="n">
        <v>-1.56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Yes</t>
        </is>
      </c>
      <c r="AC302" s="31">
        <f>IF(AB302="No",5,0)</f>
        <v/>
      </c>
      <c r="AD302" s="31" t="inlineStr">
        <is>
          <t>Headwind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Annuity, Lower One Time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0 to 20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3</t>
        </is>
      </c>
      <c r="BC302" s="31">
        <f>IF(BB302="Stage 2",20,IF(BB302="Stage 1",0,IF(BB302="Stage 3",5,IF(BB302="Stage 4",-5,0))))</f>
        <v/>
      </c>
      <c r="BD302" s="31" t="inlineStr">
        <is>
          <t>Negative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Less than 12%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Between 50% to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IF(B303=0,"",RANK(B303,$B$2:$B$340,0))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3" t="inlineStr">
        <is>
          <t>JUBLPHARMA</t>
        </is>
      </c>
      <c r="D303" s="33" t="inlineStr">
        <is>
          <t>Jubilant Pharmova Ltd</t>
        </is>
      </c>
      <c r="E303" s="31" t="inlineStr">
        <is>
          <t>healthcare</t>
        </is>
      </c>
      <c r="F303" s="31" t="inlineStr">
        <is>
          <t>pharmaceuticals - indian - bulk drugs</t>
        </is>
      </c>
      <c r="G303" s="31" t="inlineStr">
        <is>
          <t>midcap</t>
        </is>
      </c>
      <c r="H303" s="32" t="n">
        <v>16288.09</v>
      </c>
      <c r="I303" s="32" t="n">
        <v>1023.85</v>
      </c>
      <c r="J303" s="32" t="n">
        <v>0.12</v>
      </c>
      <c r="K303" s="32" t="n">
        <v>78898</v>
      </c>
      <c r="L303" s="31" t="n">
        <v>8</v>
      </c>
      <c r="M303" s="31" t="inlineStr">
        <is>
          <t>Underperforming</t>
        </is>
      </c>
      <c r="N303" s="32">
        <f>IF(M303="Underperforming",-5,IF(L303&gt;=95,15,IF(L303&gt;=90,10,IF(L303&gt;=80,5,0))))</f>
        <v/>
      </c>
      <c r="O303" s="32" t="n">
        <v>58.82</v>
      </c>
      <c r="P303" s="32" t="n">
        <v>8.17</v>
      </c>
      <c r="Q303" s="32" t="inlineStr"/>
      <c r="R303" s="31" t="inlineStr">
        <is>
          <t>Earnings / Momentum Support</t>
        </is>
      </c>
      <c r="S303" s="31" t="inlineStr">
        <is>
          <t>Nifty Pharma</t>
        </is>
      </c>
      <c r="T303" s="32" t="n">
        <v>13.51</v>
      </c>
      <c r="U303" s="32" t="n">
        <v>-16.64</v>
      </c>
      <c r="V303" s="32" t="n">
        <v>-26.56</v>
      </c>
      <c r="W303" s="32" t="n">
        <v>-0.7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Yes</t>
        </is>
      </c>
      <c r="AC303" s="31">
        <f>IF(AB303="No",5,0)</f>
        <v/>
      </c>
      <c r="AD303" s="31" t="inlineStr">
        <is>
          <t>Headwind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Annuity, Lower One Time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3</t>
        </is>
      </c>
      <c r="BC303" s="31">
        <f>IF(BB303="Stage 2",20,IF(BB303="Stage 1",0,IF(BB303="Stage 3",5,IF(BB303="Stage 4",-5,0))))</f>
        <v/>
      </c>
      <c r="BD303" s="31" t="inlineStr">
        <is>
          <t>Negative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Less than 12%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Yes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IF(B304=0,"",RANK(B304,$B$2:$B$340,0))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PANAMAPET</t>
        </is>
      </c>
      <c r="D304" s="31" t="inlineStr">
        <is>
          <t>Panama Petrochem Limited</t>
        </is>
      </c>
      <c r="E304" s="31" t="inlineStr">
        <is>
          <t>energy</t>
        </is>
      </c>
      <c r="F304" s="31" t="inlineStr">
        <is>
          <t>petrochemicals</t>
        </is>
      </c>
      <c r="G304" s="31" t="inlineStr">
        <is>
          <t>smallcap</t>
        </is>
      </c>
      <c r="H304" s="32" t="n">
        <v>2528.93</v>
      </c>
      <c r="I304" s="32" t="n">
        <v>453.3</v>
      </c>
      <c r="J304" s="32" t="n">
        <v>8.43</v>
      </c>
      <c r="K304" s="32" t="n">
        <v>689844</v>
      </c>
      <c r="L304" s="31" t="n">
        <v>77</v>
      </c>
      <c r="M304" s="31" t="inlineStr">
        <is>
          <t>Outperforming</t>
        </is>
      </c>
      <c r="N304" s="32">
        <f>IF(M304="Underperforming",-5,IF(L304&gt;=95,15,IF(L304&gt;=90,10,IF(L304&gt;=80,5,0))))</f>
        <v/>
      </c>
      <c r="O304" s="32" t="n">
        <v>63.31</v>
      </c>
      <c r="P304" s="32" t="n">
        <v>38.82</v>
      </c>
      <c r="Q304" s="32" t="inlineStr"/>
      <c r="R304" s="31" t="inlineStr">
        <is>
          <t>Earnings / Momentum Support</t>
        </is>
      </c>
      <c r="S304" s="31" t="inlineStr">
        <is>
          <t>Nifty Energy</t>
        </is>
      </c>
      <c r="T304" s="32" t="n">
        <v>8.41</v>
      </c>
      <c r="U304" s="32" t="n">
        <v>17.3</v>
      </c>
      <c r="V304" s="32" t="n">
        <v>8.199999999999999</v>
      </c>
      <c r="W304" s="32" t="n">
        <v>16.41</v>
      </c>
      <c r="X304" s="31" t="inlineStr">
        <is>
          <t>Cyclical in an Upturn</t>
        </is>
      </c>
      <c r="Y304" s="31">
        <f>IF(X304="Growing Industry",10,IF(X304="Cyclical in an Upturn",5,0))</f>
        <v/>
      </c>
      <c r="Z304" s="31" t="inlineStr">
        <is>
          <t>Oligopoly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Yes</t>
        </is>
      </c>
      <c r="AC304" s="31">
        <f>IF(AB304="No",5,0)</f>
        <v/>
      </c>
      <c r="AD304" s="31" t="inlineStr">
        <is>
          <t>Headwind</t>
        </is>
      </c>
      <c r="AE304" s="31">
        <f>IF(AD304="Tailwind",10,0)</f>
        <v/>
      </c>
      <c r="AF304" s="31" t="inlineStr">
        <is>
          <t>Cyclical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Volatile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No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20 to 40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3</t>
        </is>
      </c>
      <c r="BC304" s="31">
        <f>IF(BB304="Stage 2",20,IF(BB304="Stage 1",0,IF(BB304="Stage 3",5,IF(BB304="Stage 4",-5,0))))</f>
        <v/>
      </c>
      <c r="BD304" s="31" t="inlineStr">
        <is>
          <t>Negative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Less than 1.5</t>
        </is>
      </c>
      <c r="BU304" s="31">
        <f>IF(BT304="Above 2",0,IF(BT304="Between 1.5 to 2",5,IF(BT304="Less than 1.5",10,0)))</f>
        <v/>
      </c>
      <c r="BV304" s="31" t="inlineStr">
        <is>
          <t>Negative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IF(B305=0,"",RANK(B305,$B$2:$B$340,0))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3" t="inlineStr">
        <is>
          <t>TIMETECHNO</t>
        </is>
      </c>
      <c r="D305" s="33" t="inlineStr">
        <is>
          <t>Time Technoplast Limited</t>
        </is>
      </c>
      <c r="E305" s="31" t="inlineStr">
        <is>
          <t>plastic products</t>
        </is>
      </c>
      <c r="F305" s="31" t="inlineStr">
        <is>
          <t>plastics products</t>
        </is>
      </c>
      <c r="G305" s="31" t="inlineStr">
        <is>
          <t>midcap</t>
        </is>
      </c>
      <c r="H305" s="32" t="n">
        <v>10071.64</v>
      </c>
      <c r="I305" s="32" t="n">
        <v>213.11</v>
      </c>
      <c r="J305" s="32" t="n">
        <v>4.45</v>
      </c>
      <c r="K305" s="32" t="n">
        <v>8170935</v>
      </c>
      <c r="L305" s="31" t="n">
        <v>7</v>
      </c>
      <c r="M305" s="31" t="inlineStr">
        <is>
          <t>Underperforming</t>
        </is>
      </c>
      <c r="N305" s="32">
        <f>IF(M305="Underperforming",-5,IF(L305&gt;=95,15,IF(L305&gt;=90,10,IF(L305&gt;=80,5,0))))</f>
        <v/>
      </c>
      <c r="O305" s="32" t="n">
        <v>60.63</v>
      </c>
      <c r="P305" s="32" t="n">
        <v>7.98</v>
      </c>
      <c r="Q305" s="32" t="inlineStr"/>
      <c r="R305" s="31" t="inlineStr">
        <is>
          <t>Earnings / Momentum Support</t>
        </is>
      </c>
      <c r="S305" s="31" t="inlineStr">
        <is>
          <t>Nifty 50</t>
        </is>
      </c>
      <c r="T305" s="32" t="n">
        <v>-2.54</v>
      </c>
      <c r="U305" s="32" t="n">
        <v>-12.12</v>
      </c>
      <c r="V305" s="32" t="n">
        <v>-9.83</v>
      </c>
      <c r="W305" s="32" t="n">
        <v>-1.13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Headwind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0 to 20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3</t>
        </is>
      </c>
      <c r="BC305" s="31">
        <f>IF(BB305="Stage 2",20,IF(BB305="Stage 1",0,IF(BB305="Stage 3",5,IF(BB305="Stage 4",-5,0))))</f>
        <v/>
      </c>
      <c r="BD305" s="31" t="inlineStr">
        <is>
          <t>Negative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Less than 12%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No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Less than 50%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IF(B306=0,"",RANK(B306,$B$2:$B$340,0))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3" t="inlineStr">
        <is>
          <t>VSSL</t>
        </is>
      </c>
      <c r="D306" s="33" t="inlineStr">
        <is>
          <t>Vardhman Special Steels Limited</t>
        </is>
      </c>
      <c r="E306" s="31" t="inlineStr">
        <is>
          <t>metals &amp; mining</t>
        </is>
      </c>
      <c r="F306" s="31" t="inlineStr">
        <is>
          <t>steel - medium / small</t>
        </is>
      </c>
      <c r="G306" s="31" t="inlineStr">
        <is>
          <t>smallcap</t>
        </is>
      </c>
      <c r="H306" s="32" t="n">
        <v>2884.62</v>
      </c>
      <c r="I306" s="32" t="n">
        <v>310.1</v>
      </c>
      <c r="J306" s="32" t="n">
        <v>3.94</v>
      </c>
      <c r="K306" s="32" t="n">
        <v>119759</v>
      </c>
      <c r="L306" s="31" t="n">
        <v>43</v>
      </c>
      <c r="M306" s="31" t="inlineStr">
        <is>
          <t>Underperforming</t>
        </is>
      </c>
      <c r="N306" s="32">
        <f>IF(M306="Underperforming",-5,IF(L306&gt;=95,15,IF(L306&gt;=90,10,IF(L306&gt;=80,5,0))))</f>
        <v/>
      </c>
      <c r="O306" s="32" t="n">
        <v>63.54</v>
      </c>
      <c r="P306" s="32" t="n">
        <v>18.38</v>
      </c>
      <c r="Q306" s="32" t="inlineStr"/>
      <c r="R306" s="31" t="inlineStr">
        <is>
          <t>Earnings / Momentum Support</t>
        </is>
      </c>
      <c r="S306" s="31" t="inlineStr">
        <is>
          <t>Nifty Metal</t>
        </is>
      </c>
      <c r="T306" s="32" t="n">
        <v>31.49</v>
      </c>
      <c r="U306" s="32" t="n">
        <v>17.35</v>
      </c>
      <c r="V306" s="32" t="n">
        <v>-10.76</v>
      </c>
      <c r="W306" s="32" t="n">
        <v>6.81</v>
      </c>
      <c r="X306" s="31" t="inlineStr">
        <is>
          <t>Cyclical in an Upturn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Headwind</t>
        </is>
      </c>
      <c r="AE306" s="31">
        <f>IF(AD306="Tailwind",10,0)</f>
        <v/>
      </c>
      <c r="AF306" s="31" t="inlineStr">
        <is>
          <t>Cyclical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Volatile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3</t>
        </is>
      </c>
      <c r="BC306" s="31">
        <f>IF(BB306="Stage 2",20,IF(BB306="Stage 1",0,IF(BB306="Stage 3",5,IF(BB306="Stage 4",-5,0))))</f>
        <v/>
      </c>
      <c r="BD306" s="31" t="inlineStr">
        <is>
          <t>Negative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Less than 1.5</t>
        </is>
      </c>
      <c r="BU306" s="31">
        <f>IF(BT306="Above 2",0,IF(BT306="Between 1.5 to 2",5,IF(BT306="Less than 1.5",10,0)))</f>
        <v/>
      </c>
      <c r="BV306" s="31" t="inlineStr">
        <is>
          <t>Between 50% to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IF(B307=0,"",RANK(B307,$B$2:$B$340,0))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3" t="inlineStr">
        <is>
          <t>RAMRAT</t>
        </is>
      </c>
      <c r="D307" s="33" t="inlineStr">
        <is>
          <t>Ram Ratna Wires Ltd</t>
        </is>
      </c>
      <c r="E307" s="31" t="inlineStr">
        <is>
          <t>metals &amp; mining</t>
        </is>
      </c>
      <c r="F307" s="31" t="inlineStr">
        <is>
          <t>mining / minerals / metals</t>
        </is>
      </c>
      <c r="G307" s="31" t="inlineStr">
        <is>
          <t>smallcap</t>
        </is>
      </c>
      <c r="H307" s="32" t="n">
        <v>3834.31</v>
      </c>
      <c r="I307" s="32" t="n">
        <v>425.7</v>
      </c>
      <c r="J307" s="32" t="n">
        <v>3.64</v>
      </c>
      <c r="K307" s="32" t="n">
        <v>193878</v>
      </c>
      <c r="L307" s="31" t="n">
        <v>34</v>
      </c>
      <c r="M307" s="31" t="inlineStr">
        <is>
          <t>Underperforming</t>
        </is>
      </c>
      <c r="N307" s="32">
        <f>IF(M307="Underperforming",-5,IF(L307&gt;=95,15,IF(L307&gt;=90,10,IF(L307&gt;=80,5,0))))</f>
        <v/>
      </c>
      <c r="O307" s="32" t="n">
        <v>58.56</v>
      </c>
      <c r="P307" s="32" t="n">
        <v>46.62</v>
      </c>
      <c r="Q307" s="32" t="inlineStr"/>
      <c r="R307" s="31" t="inlineStr">
        <is>
          <t>Earnings / Momentum Support</t>
        </is>
      </c>
      <c r="S307" s="31" t="inlineStr">
        <is>
          <t>Nifty Metal</t>
        </is>
      </c>
      <c r="T307" s="32" t="n">
        <v>31.49</v>
      </c>
      <c r="U307" s="32" t="n">
        <v>18.75</v>
      </c>
      <c r="V307" s="32" t="n">
        <v>-9.69</v>
      </c>
      <c r="W307" s="32" t="n">
        <v>5.5</v>
      </c>
      <c r="X307" s="31" t="inlineStr">
        <is>
          <t>Cyclical in an Upturn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Headwind</t>
        </is>
      </c>
      <c r="AE307" s="31">
        <f>IF(AD307="Tailwind",10,0)</f>
        <v/>
      </c>
      <c r="AF307" s="31" t="inlineStr">
        <is>
          <t>Cyclical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Volatile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Above 40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3</t>
        </is>
      </c>
      <c r="BC307" s="31">
        <f>IF(BB307="Stage 2",20,IF(BB307="Stage 1",0,IF(BB307="Stage 3",5,IF(BB307="Stage 4",-5,0))))</f>
        <v/>
      </c>
      <c r="BD307" s="31" t="inlineStr">
        <is>
          <t>Negative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More than 20%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No</t>
        </is>
      </c>
      <c r="BS307" s="31">
        <f>IF(BR307="NO",5,0)</f>
        <v/>
      </c>
      <c r="BT307" s="31" t="inlineStr">
        <is>
          <t>Less than 1.5</t>
        </is>
      </c>
      <c r="BU307" s="31">
        <f>IF(BT307="Above 2",0,IF(BT307="Between 1.5 to 2",5,IF(BT307="Less than 1.5",10,0)))</f>
        <v/>
      </c>
      <c r="BV307" s="31" t="inlineStr">
        <is>
          <t>Negative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Between 0.7 to 1.2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IF(B308=0,"",RANK(B308,$B$2:$B$340,0))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GODREJIND</t>
        </is>
      </c>
      <c r="D308" s="31" t="inlineStr">
        <is>
          <t>Godrej Industries Limited</t>
        </is>
      </c>
      <c r="E308" s="31" t="inlineStr">
        <is>
          <t>chemicals</t>
        </is>
      </c>
      <c r="F308" s="31" t="inlineStr">
        <is>
          <t>chemicals</t>
        </is>
      </c>
      <c r="G308" s="31" t="inlineStr">
        <is>
          <t>largecap</t>
        </is>
      </c>
      <c r="H308" s="32" t="n">
        <v>44953.34</v>
      </c>
      <c r="I308" s="32" t="n">
        <v>1364.8</v>
      </c>
      <c r="J308" s="32" t="n">
        <v>2.26</v>
      </c>
      <c r="K308" s="32" t="n">
        <v>233121</v>
      </c>
      <c r="L308" s="31" t="n">
        <v>69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64.66</v>
      </c>
      <c r="P308" s="32" t="n">
        <v>35.7</v>
      </c>
      <c r="Q308" s="32" t="inlineStr"/>
      <c r="R308" s="31" t="inlineStr">
        <is>
          <t>Earnings / Momentum Support</t>
        </is>
      </c>
      <c r="S308" s="31" t="inlineStr">
        <is>
          <t>Nifty 50</t>
        </is>
      </c>
      <c r="T308" s="32" t="n">
        <v>-2.54</v>
      </c>
      <c r="U308" s="32" t="n">
        <v>15.59</v>
      </c>
      <c r="V308" s="32" t="n">
        <v>18.6</v>
      </c>
      <c r="W308" s="32" t="n">
        <v>13.34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Headwind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20 to 40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3</t>
        </is>
      </c>
      <c r="BC308" s="31">
        <f>IF(BB308="Stage 2",20,IF(BB308="Stage 1",0,IF(BB308="Stage 3",5,IF(BB308="Stage 4",-5,0))))</f>
        <v/>
      </c>
      <c r="BD308" s="31" t="inlineStr">
        <is>
          <t>Negative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No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Negative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More than 1.2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IF(B309=0,"",RANK(B309,$B$2:$B$340,0))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3" t="inlineStr">
        <is>
          <t>ASAL</t>
        </is>
      </c>
      <c r="D309" s="33" t="inlineStr">
        <is>
          <t>Automotive Stampings And Assemblies Limited</t>
        </is>
      </c>
      <c r="E309" s="31" t="inlineStr">
        <is>
          <t>auto</t>
        </is>
      </c>
      <c r="F309" s="31" t="inlineStr">
        <is>
          <t>auto ancillaries</t>
        </is>
      </c>
      <c r="G309" s="31" t="inlineStr">
        <is>
          <t>smallcap</t>
        </is>
      </c>
      <c r="H309" s="32" t="n">
        <v>828.6</v>
      </c>
      <c r="I309" s="32" t="n">
        <v>533.7</v>
      </c>
      <c r="J309" s="32" t="n">
        <v>2.18</v>
      </c>
      <c r="K309" s="32" t="n">
        <v>22258</v>
      </c>
      <c r="L309" s="31" t="n">
        <v>10</v>
      </c>
      <c r="M309" s="31" t="inlineStr">
        <is>
          <t>Underperforming</t>
        </is>
      </c>
      <c r="N309" s="32">
        <f>IF(M309="Underperforming",-5,IF(L309&gt;=95,15,IF(L309&gt;=90,10,IF(L309&gt;=80,5,0))))</f>
        <v/>
      </c>
      <c r="O309" s="32" t="n">
        <v>56.75</v>
      </c>
      <c r="P309" s="32" t="n">
        <v>19.9</v>
      </c>
      <c r="Q309" s="32" t="inlineStr"/>
      <c r="R309" s="31" t="inlineStr">
        <is>
          <t>Earnings / Momentum Support</t>
        </is>
      </c>
      <c r="S309" s="31" t="inlineStr">
        <is>
          <t>Nifty Auto</t>
        </is>
      </c>
      <c r="T309" s="32" t="n">
        <v>13.41</v>
      </c>
      <c r="U309" s="32" t="n">
        <v>-10.58</v>
      </c>
      <c r="V309" s="32" t="n">
        <v>-21.16</v>
      </c>
      <c r="W309" s="32" t="n">
        <v>0.38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Headwind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3</t>
        </is>
      </c>
      <c r="BC309" s="31">
        <f>IF(BB309="Stage 2",20,IF(BB309="Stage 1",0,IF(BB309="Stage 3",5,IF(BB309="Stage 4",-5,0))))</f>
        <v/>
      </c>
      <c r="BD309" s="31" t="inlineStr">
        <is>
          <t>Negative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More than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More than 1.2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IF(B310=0,"",RANK(B310,$B$2:$B$340,0))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3" t="inlineStr">
        <is>
          <t>ARVINDFASN</t>
        </is>
      </c>
      <c r="D310" s="33" t="inlineStr">
        <is>
          <t>Arvind Fashions Ltd</t>
        </is>
      </c>
      <c r="E310" s="31" t="inlineStr">
        <is>
          <t>consumer discretionary</t>
        </is>
      </c>
      <c r="F310" s="31" t="inlineStr">
        <is>
          <t>trading</t>
        </is>
      </c>
      <c r="G310" s="31" t="inlineStr">
        <is>
          <t>midcap</t>
        </is>
      </c>
      <c r="H310" s="32" t="n">
        <v>6228.99</v>
      </c>
      <c r="I310" s="32" t="n">
        <v>474.75</v>
      </c>
      <c r="J310" s="32" t="n">
        <v>1.87</v>
      </c>
      <c r="K310" s="32" t="n">
        <v>273425</v>
      </c>
      <c r="L310" s="31" t="n">
        <v>6</v>
      </c>
      <c r="M310" s="31" t="inlineStr">
        <is>
          <t>Underperforming</t>
        </is>
      </c>
      <c r="N310" s="32">
        <f>IF(M310="Underperforming",-5,IF(L310&gt;=95,15,IF(L310&gt;=90,10,IF(L310&gt;=80,5,0))))</f>
        <v/>
      </c>
      <c r="O310" s="32" t="n">
        <v>50.99</v>
      </c>
      <c r="P310" s="32" t="n">
        <v>9.77</v>
      </c>
      <c r="Q310" s="32" t="inlineStr"/>
      <c r="R310" s="31" t="inlineStr">
        <is>
          <t>Earnings / Momentum Support</t>
        </is>
      </c>
      <c r="S310" s="31" t="inlineStr">
        <is>
          <t>Nifty 50</t>
        </is>
      </c>
      <c r="T310" s="32" t="n">
        <v>-2.54</v>
      </c>
      <c r="U310" s="32" t="n">
        <v>-5.24</v>
      </c>
      <c r="V310" s="32" t="n">
        <v>-2.77</v>
      </c>
      <c r="W310" s="32" t="n">
        <v>-1.25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Headwind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No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0 to 20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3</t>
        </is>
      </c>
      <c r="BC310" s="31">
        <f>IF(BB310="Stage 2",20,IF(BB310="Stage 1",0,IF(BB310="Stage 3",5,IF(BB310="Stage 4",-5,0))))</f>
        <v/>
      </c>
      <c r="BD310" s="31" t="inlineStr">
        <is>
          <t>Negative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More than 20%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Yes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Between 50% to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Between 0.7 to 1.2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IF(B311=0,"",RANK(B311,$B$2:$B$340,0))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1" t="inlineStr">
        <is>
          <t>LANDMARK</t>
        </is>
      </c>
      <c r="D311" s="31" t="inlineStr">
        <is>
          <t>Landmark Cars Ltd</t>
        </is>
      </c>
      <c r="E311" s="31" t="inlineStr">
        <is>
          <t>consumer discretionary</t>
        </is>
      </c>
      <c r="F311" s="31" t="inlineStr">
        <is>
          <t>trading</t>
        </is>
      </c>
      <c r="G311" s="31" t="inlineStr">
        <is>
          <t>smallcap</t>
        </is>
      </c>
      <c r="H311" s="32" t="n">
        <v>2182.09</v>
      </c>
      <c r="I311" s="32" t="n">
        <v>535.35</v>
      </c>
      <c r="J311" s="32" t="n">
        <v>1.73</v>
      </c>
      <c r="K311" s="32" t="n">
        <v>1612240</v>
      </c>
      <c r="L311" s="31" t="n">
        <v>41</v>
      </c>
      <c r="M311" s="31" t="inlineStr">
        <is>
          <t>Outperforming</t>
        </is>
      </c>
      <c r="N311" s="32">
        <f>IF(M311="Underperforming",-5,IF(L311&gt;=95,15,IF(L311&gt;=90,10,IF(L311&gt;=80,5,0))))</f>
        <v/>
      </c>
      <c r="O311" s="32" t="n">
        <v>65.44</v>
      </c>
      <c r="P311" s="32" t="n">
        <v>16.75</v>
      </c>
      <c r="Q311" s="32" t="inlineStr"/>
      <c r="R311" s="31" t="inlineStr">
        <is>
          <t>Earnings / Momentum Support</t>
        </is>
      </c>
      <c r="S311" s="31" t="inlineStr">
        <is>
          <t>Nifty 50</t>
        </is>
      </c>
      <c r="T311" s="32" t="n">
        <v>-2.54</v>
      </c>
      <c r="U311" s="32" t="n">
        <v>-2.11</v>
      </c>
      <c r="V311" s="32" t="n">
        <v>0.44</v>
      </c>
      <c r="W311" s="32" t="n">
        <v>6.59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Headwind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No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3</t>
        </is>
      </c>
      <c r="BC311" s="31">
        <f>IF(BB311="Stage 2",20,IF(BB311="Stage 1",0,IF(BB311="Stage 3",5,IF(BB311="Stage 4",-5,0))))</f>
        <v/>
      </c>
      <c r="BD311" s="31" t="inlineStr">
        <is>
          <t>Negative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More than 20%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Yes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More than 1.2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IF(B312=0,"",RANK(B312,$B$2:$B$340,0))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1" t="inlineStr">
        <is>
          <t>SIEMENS</t>
        </is>
      </c>
      <c r="D312" s="31" t="inlineStr">
        <is>
          <t>Siemens Limited</t>
        </is>
      </c>
      <c r="E312" s="31" t="inlineStr">
        <is>
          <t>industrials</t>
        </is>
      </c>
      <c r="F312" s="31" t="inlineStr">
        <is>
          <t>electric equipment</t>
        </is>
      </c>
      <c r="G312" s="31" t="inlineStr">
        <is>
          <t>largecap</t>
        </is>
      </c>
      <c r="H312" s="32" t="n">
        <v>130297.37</v>
      </c>
      <c r="I312" s="32" t="n">
        <v>3678.4</v>
      </c>
      <c r="J312" s="32" t="n">
        <v>0.54</v>
      </c>
      <c r="K312" s="32" t="n">
        <v>157367</v>
      </c>
      <c r="L312" s="31" t="n">
        <v>25</v>
      </c>
      <c r="M312" s="31" t="inlineStr">
        <is>
          <t>Outperforming</t>
        </is>
      </c>
      <c r="N312" s="32">
        <f>IF(M312="Underperforming",-5,IF(L312&gt;=95,15,IF(L312&gt;=90,10,IF(L312&gt;=80,5,0))))</f>
        <v/>
      </c>
      <c r="O312" s="32" t="n">
        <v>55.46</v>
      </c>
      <c r="P312" s="32" t="n">
        <v>25.17</v>
      </c>
      <c r="Q312" s="32" t="inlineStr"/>
      <c r="R312" s="31" t="inlineStr">
        <is>
          <t>Earnings / Momentum Support</t>
        </is>
      </c>
      <c r="S312" s="31" t="inlineStr">
        <is>
          <t>Nifty 50</t>
        </is>
      </c>
      <c r="T312" s="32" t="n">
        <v>-2.54</v>
      </c>
      <c r="U312" s="32" t="n">
        <v>16.95</v>
      </c>
      <c r="V312" s="32" t="n">
        <v>20</v>
      </c>
      <c r="W312" s="32" t="n">
        <v>3.53</v>
      </c>
      <c r="X312" s="31" t="inlineStr">
        <is>
          <t>Cyclical in an Upturn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Headwind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No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20 to 40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3</t>
        </is>
      </c>
      <c r="BC312" s="31">
        <f>IF(BB312="Stage 2",20,IF(BB312="Stage 1",0,IF(BB312="Stage 3",5,IF(BB312="Stage 4",-5,0))))</f>
        <v/>
      </c>
      <c r="BD312" s="31" t="inlineStr">
        <is>
          <t>Negative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Less than 12%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Yes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Negative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IF(B313=0,"",RANK(B313,$B$2:$B$340,0))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TITAN</t>
        </is>
      </c>
      <c r="D313" s="31" t="inlineStr">
        <is>
          <t>Titan Company Limited</t>
        </is>
      </c>
      <c r="E313" s="31" t="inlineStr">
        <is>
          <t>consumer discretionary</t>
        </is>
      </c>
      <c r="F313" s="31" t="inlineStr">
        <is>
          <t>diamond cutting / jewellery</t>
        </is>
      </c>
      <c r="G313" s="31" t="inlineStr">
        <is>
          <t>largecap</t>
        </is>
      </c>
      <c r="H313" s="32" t="n">
        <v>411764.1</v>
      </c>
      <c r="I313" s="32" t="n">
        <v>4643.4</v>
      </c>
      <c r="J313" s="32" t="n">
        <v>0.11</v>
      </c>
      <c r="K313" s="32" t="n">
        <v>274218</v>
      </c>
      <c r="L313" s="31" t="n">
        <v>44</v>
      </c>
      <c r="M313" s="31" t="inlineStr">
        <is>
          <t>Outperforming</t>
        </is>
      </c>
      <c r="N313" s="32">
        <f>IF(M313="Underperforming",-5,IF(L313&gt;=95,15,IF(L313&gt;=90,10,IF(L313&gt;=80,5,0))))</f>
        <v/>
      </c>
      <c r="O313" s="32" t="n">
        <v>63.06</v>
      </c>
      <c r="P313" s="32" t="n">
        <v>17.13</v>
      </c>
      <c r="Q313" s="32" t="inlineStr"/>
      <c r="R313" s="31" t="inlineStr">
        <is>
          <t>Earnings / Momentum Support</t>
        </is>
      </c>
      <c r="S313" s="31" t="inlineStr">
        <is>
          <t>Nifty 50</t>
        </is>
      </c>
      <c r="T313" s="32" t="n">
        <v>-2.54</v>
      </c>
      <c r="U313" s="32" t="n">
        <v>36.75</v>
      </c>
      <c r="V313" s="32" t="n">
        <v>40.31</v>
      </c>
      <c r="W313" s="32" t="n">
        <v>7.13</v>
      </c>
      <c r="X313" s="31" t="inlineStr">
        <is>
          <t>Growing Industry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Headwind</t>
        </is>
      </c>
      <c r="AE313" s="31">
        <f>IF(AD313="Tailwind",10,0)</f>
        <v/>
      </c>
      <c r="AF313" s="31" t="inlineStr">
        <is>
          <t>Structural (10 Years Consistency)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Stable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0 to 20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3</t>
        </is>
      </c>
      <c r="BC313" s="31">
        <f>IF(BB313="Stage 2",20,IF(BB313="Stage 1",0,IF(BB313="Stage 3",5,IF(BB313="Stage 4",-5,0))))</f>
        <v/>
      </c>
      <c r="BD313" s="31" t="inlineStr">
        <is>
          <t>Negative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Yes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More than 1.2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IF(B314=0,"",RANK(B314,$B$2:$B$340,0))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3" t="inlineStr">
        <is>
          <t>KSL</t>
        </is>
      </c>
      <c r="D314" s="33" t="inlineStr">
        <is>
          <t>Kalyani Steels Limited</t>
        </is>
      </c>
      <c r="E314" s="31" t="inlineStr">
        <is>
          <t>metals &amp; mining</t>
        </is>
      </c>
      <c r="F314" s="31" t="inlineStr">
        <is>
          <t>steel - medium / small</t>
        </is>
      </c>
      <c r="G314" s="31" t="inlineStr">
        <is>
          <t>smallcap</t>
        </is>
      </c>
      <c r="H314" s="32" t="n">
        <v>4042.49</v>
      </c>
      <c r="I314" s="32" t="n">
        <v>927</v>
      </c>
      <c r="J314" s="32" t="n">
        <v>0.1</v>
      </c>
      <c r="K314" s="32" t="n">
        <v>24716</v>
      </c>
      <c r="L314" s="31" t="n">
        <v>41</v>
      </c>
      <c r="M314" s="31" t="inlineStr">
        <is>
          <t>Underperforming</t>
        </is>
      </c>
      <c r="N314" s="32">
        <f>IF(M314="Underperforming",-5,IF(L314&gt;=95,15,IF(L314&gt;=90,10,IF(L314&gt;=80,5,0))))</f>
        <v/>
      </c>
      <c r="O314" s="32" t="n">
        <v>64.56</v>
      </c>
      <c r="P314" s="32" t="n">
        <v>23.11</v>
      </c>
      <c r="Q314" s="32" t="inlineStr"/>
      <c r="R314" s="31" t="inlineStr">
        <is>
          <t>Earnings / Momentum Support</t>
        </is>
      </c>
      <c r="S314" s="31" t="inlineStr">
        <is>
          <t>Nifty Metal</t>
        </is>
      </c>
      <c r="T314" s="32" t="n">
        <v>31.49</v>
      </c>
      <c r="U314" s="32" t="n">
        <v>3.86</v>
      </c>
      <c r="V314" s="32" t="n">
        <v>-21.02</v>
      </c>
      <c r="W314" s="32" t="n">
        <v>6.46</v>
      </c>
      <c r="X314" s="31" t="inlineStr">
        <is>
          <t>Cyclical in an Upturn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Headwind</t>
        </is>
      </c>
      <c r="AE314" s="31">
        <f>IF(AD314="Tailwind",10,0)</f>
        <v/>
      </c>
      <c r="AF314" s="31" t="inlineStr">
        <is>
          <t>Cyclical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Volatile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No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20 to 40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3</t>
        </is>
      </c>
      <c r="BC314" s="31">
        <f>IF(BB314="Stage 2",20,IF(BB314="Stage 1",0,IF(BB314="Stage 3",5,IF(BB314="Stage 4",-5,0))))</f>
        <v/>
      </c>
      <c r="BD314" s="31" t="inlineStr">
        <is>
          <t>Negative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Less than 12%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No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IF(B315=0,"",RANK(B315,$B$2:$B$340,0))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PAYTM</t>
        </is>
      </c>
      <c r="D315" s="31" t="inlineStr">
        <is>
          <t>One 97 Communications Ltd</t>
        </is>
      </c>
      <c r="E315" s="31" t="inlineStr">
        <is>
          <t>i.t</t>
        </is>
      </c>
      <c r="F315" s="31" t="inlineStr">
        <is>
          <t>miscellaneous</t>
        </is>
      </c>
      <c r="G315" s="31" t="inlineStr">
        <is>
          <t>largecap</t>
        </is>
      </c>
      <c r="H315" s="32" t="n">
        <v>86317.42999999999</v>
      </c>
      <c r="I315" s="32" t="n">
        <v>1347.5</v>
      </c>
      <c r="J315" s="32" t="n">
        <v>-0.04</v>
      </c>
      <c r="K315" s="32" t="n">
        <v>2401684</v>
      </c>
      <c r="L315" s="31" t="n">
        <v>58</v>
      </c>
      <c r="M315" s="31" t="inlineStr">
        <is>
          <t>Outperforming</t>
        </is>
      </c>
      <c r="N315" s="32">
        <f>IF(M315="Underperforming",-5,IF(L315&gt;=95,15,IF(L315&gt;=90,10,IF(L315&gt;=80,5,0))))</f>
        <v/>
      </c>
      <c r="O315" s="32" t="n">
        <v>65</v>
      </c>
      <c r="P315" s="32" t="n">
        <v>17.41</v>
      </c>
      <c r="Q315" s="32" t="inlineStr"/>
      <c r="R315" s="31" t="inlineStr">
        <is>
          <t>Earnings / Momentum Support</t>
        </is>
      </c>
      <c r="S315" s="31" t="inlineStr">
        <is>
          <t>Nifty IT</t>
        </is>
      </c>
      <c r="T315" s="32" t="n">
        <v>-21.31</v>
      </c>
      <c r="U315" s="32" t="n">
        <v>34.58</v>
      </c>
      <c r="V315" s="32" t="n">
        <v>71.03</v>
      </c>
      <c r="W315" s="32" t="n">
        <v>10.28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Headwind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0 to 20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3</t>
        </is>
      </c>
      <c r="BC315" s="31">
        <f>IF(BB315="Stage 2",20,IF(BB315="Stage 1",0,IF(BB315="Stage 3",5,IF(BB315="Stage 4",-5,0))))</f>
        <v/>
      </c>
      <c r="BD315" s="31" t="inlineStr">
        <is>
          <t>Negative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More than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Yes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Negative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IF(B316=0,"",RANK(B316,$B$2:$B$340,0))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3" t="inlineStr">
        <is>
          <t>LODHA</t>
        </is>
      </c>
      <c r="D316" s="33" t="inlineStr">
        <is>
          <t>Lodha Developers Ltd</t>
        </is>
      </c>
      <c r="E316" s="31" t="inlineStr">
        <is>
          <t>realty</t>
        </is>
      </c>
      <c r="F316" s="31" t="inlineStr">
        <is>
          <t>construction</t>
        </is>
      </c>
      <c r="G316" s="31" t="inlineStr">
        <is>
          <t>largecap</t>
        </is>
      </c>
      <c r="H316" s="32" t="n">
        <v>118746.03</v>
      </c>
      <c r="I316" s="32" t="n">
        <v>1187</v>
      </c>
      <c r="J316" s="32" t="n">
        <v>-0.15</v>
      </c>
      <c r="K316" s="32" t="n">
        <v>899790</v>
      </c>
      <c r="L316" s="31" t="n">
        <v>34</v>
      </c>
      <c r="M316" s="31" t="inlineStr">
        <is>
          <t>Underperforming</t>
        </is>
      </c>
      <c r="N316" s="32">
        <f>IF(M316="Underperforming",-5,IF(L316&gt;=95,15,IF(L316&gt;=90,10,IF(L316&gt;=80,5,0))))</f>
        <v/>
      </c>
      <c r="O316" s="32" t="n">
        <v>63.31</v>
      </c>
      <c r="P316" s="32" t="n">
        <v>14.58</v>
      </c>
      <c r="Q316" s="32" t="inlineStr"/>
      <c r="R316" s="31" t="inlineStr">
        <is>
          <t>Earnings / Momentum Support</t>
        </is>
      </c>
      <c r="S316" s="31" t="inlineStr">
        <is>
          <t>Nifty Realty</t>
        </is>
      </c>
      <c r="T316" s="32" t="n">
        <v>-8.119999999999999</v>
      </c>
      <c r="U316" s="32" t="n">
        <v>-17.46</v>
      </c>
      <c r="V316" s="32" t="n">
        <v>-10.16</v>
      </c>
      <c r="W316" s="32" t="n">
        <v>5.32</v>
      </c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Headwind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No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0 to 20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3</t>
        </is>
      </c>
      <c r="BC316" s="31">
        <f>IF(BB316="Stage 2",20,IF(BB316="Stage 1",0,IF(BB316="Stage 3",5,IF(BB316="Stage 4",-5,0))))</f>
        <v/>
      </c>
      <c r="BD316" s="31" t="inlineStr">
        <is>
          <t>Negative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Less than 12%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Less than 50%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Less than 0.7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IF(B317=0,"",RANK(B317,$B$2:$B$340,0))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3" t="inlineStr">
        <is>
          <t>PNGJL</t>
        </is>
      </c>
      <c r="D317" s="33" t="inlineStr">
        <is>
          <t>P N Gadgil Jewellers Ltd</t>
        </is>
      </c>
      <c r="E317" s="31" t="inlineStr">
        <is>
          <t>consumer discretionary</t>
        </is>
      </c>
      <c r="F317" s="31" t="inlineStr">
        <is>
          <t>diamond cutting / jewellery</t>
        </is>
      </c>
      <c r="G317" s="31" t="inlineStr">
        <is>
          <t>midcap</t>
        </is>
      </c>
      <c r="H317" s="32" t="n">
        <v>8030.54</v>
      </c>
      <c r="I317" s="32" t="n">
        <v>590.1</v>
      </c>
      <c r="J317" s="32" t="n">
        <v>-0.28</v>
      </c>
      <c r="K317" s="32" t="n">
        <v>93892</v>
      </c>
      <c r="L317" s="31" t="n">
        <v>3</v>
      </c>
      <c r="M317" s="31" t="inlineStr">
        <is>
          <t>Underperforming</t>
        </is>
      </c>
      <c r="N317" s="32">
        <f>IF(M317="Underperforming",-5,IF(L317&gt;=95,15,IF(L317&gt;=90,10,IF(L317&gt;=80,5,0))))</f>
        <v/>
      </c>
      <c r="O317" s="32" t="n">
        <v>51.06</v>
      </c>
      <c r="P317" s="32" t="n">
        <v>11</v>
      </c>
      <c r="Q317" s="32" t="inlineStr"/>
      <c r="R317" s="31" t="inlineStr">
        <is>
          <t>Earnings / Momentum Support</t>
        </is>
      </c>
      <c r="S317" s="31" t="inlineStr">
        <is>
          <t>Nifty 50</t>
        </is>
      </c>
      <c r="T317" s="32" t="n">
        <v>-2.54</v>
      </c>
      <c r="U317" s="32" t="n">
        <v>-3.21</v>
      </c>
      <c r="V317" s="32" t="n">
        <v>-0.68</v>
      </c>
      <c r="W317" s="32" t="n">
        <v>-2.46</v>
      </c>
      <c r="X317" s="31" t="inlineStr">
        <is>
          <t>Growing Industry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Headwind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0 to 20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3</t>
        </is>
      </c>
      <c r="BC317" s="31">
        <f>IF(BB317="Stage 2",20,IF(BB317="Stage 1",0,IF(BB317="Stage 3",5,IF(BB317="Stage 4",-5,0))))</f>
        <v/>
      </c>
      <c r="BD317" s="31" t="inlineStr">
        <is>
          <t>Negative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More than 20%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No</t>
        </is>
      </c>
      <c r="BS317" s="31">
        <f>IF(BR317="NO",5,0)</f>
        <v/>
      </c>
      <c r="BT317" s="31" t="inlineStr">
        <is>
          <t>Less than 1.5</t>
        </is>
      </c>
      <c r="BU317" s="31">
        <f>IF(BT317="Above 2",0,IF(BT317="Between 1.5 to 2",5,IF(BT317="Less than 1.5",10,0)))</f>
        <v/>
      </c>
      <c r="BV317" s="31" t="inlineStr">
        <is>
          <t>Negative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Between 0.7 to 1.2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IF(B318=0,"",RANK(B318,$B$2:$B$340,0))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ACMESOLAR</t>
        </is>
      </c>
      <c r="D318" s="31" t="inlineStr">
        <is>
          <t>ACME Solar Holdings Ltd</t>
        </is>
      </c>
      <c r="E318" s="31" t="inlineStr">
        <is>
          <t>realty</t>
        </is>
      </c>
      <c r="F318" s="31" t="inlineStr">
        <is>
          <t>engineering - turnkey services</t>
        </is>
      </c>
      <c r="G318" s="31" t="inlineStr">
        <is>
          <t>largecap</t>
        </is>
      </c>
      <c r="H318" s="32" t="n">
        <v>27204.46</v>
      </c>
      <c r="I318" s="32" t="n">
        <v>377.55</v>
      </c>
      <c r="J318" s="32" t="n">
        <v>-2</v>
      </c>
      <c r="K318" s="32" t="n">
        <v>1381083</v>
      </c>
      <c r="L318" s="31" t="n">
        <v>72</v>
      </c>
      <c r="M318" s="31" t="inlineStr">
        <is>
          <t>Outperforming</t>
        </is>
      </c>
      <c r="N318" s="32">
        <f>IF(M318="Underperforming",-5,IF(L318&gt;=95,15,IF(L318&gt;=90,10,IF(L318&gt;=80,5,0))))</f>
        <v/>
      </c>
      <c r="O318" s="32" t="n">
        <v>71.40000000000001</v>
      </c>
      <c r="P318" s="32" t="n">
        <v>35.27</v>
      </c>
      <c r="Q318" s="32" t="inlineStr"/>
      <c r="R318" s="31" t="inlineStr">
        <is>
          <t>Earnings / Momentum Support</t>
        </is>
      </c>
      <c r="S318" s="31" t="inlineStr">
        <is>
          <t>Nifty Realty</t>
        </is>
      </c>
      <c r="T318" s="32" t="n">
        <v>-8.119999999999999</v>
      </c>
      <c r="U318" s="32" t="n">
        <v>39.94</v>
      </c>
      <c r="V318" s="32" t="n">
        <v>52.31</v>
      </c>
      <c r="W318" s="32" t="n">
        <v>14.48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Headwind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No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20 to 40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3</t>
        </is>
      </c>
      <c r="BC318" s="31">
        <f>IF(BB318="Stage 2",20,IF(BB318="Stage 1",0,IF(BB318="Stage 3",5,IF(BB318="Stage 4",-5,0))))</f>
        <v/>
      </c>
      <c r="BD318" s="31" t="inlineStr">
        <is>
          <t>Negative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Less than 12%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Yes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Between 50% to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More than 1.2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IF(B319=0,"",RANK(B319,$B$2:$B$340,0))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3" t="inlineStr">
        <is>
          <t>ONESOURCE</t>
        </is>
      </c>
      <c r="D319" s="33" t="inlineStr">
        <is>
          <t>OneSource Specialty Pharma Ltd</t>
        </is>
      </c>
      <c r="E319" s="31" t="inlineStr">
        <is>
          <t>healthcare</t>
        </is>
      </c>
      <c r="F319" s="31" t="inlineStr">
        <is>
          <t>pharmaceuticals - indian - bulk drugs &amp; formln</t>
        </is>
      </c>
      <c r="G319" s="31" t="inlineStr">
        <is>
          <t>midcap</t>
        </is>
      </c>
      <c r="H319" s="32" t="n">
        <v>18949.18</v>
      </c>
      <c r="I319" s="32" t="n">
        <v>1693.9</v>
      </c>
      <c r="J319" s="32" t="n">
        <v>2.46</v>
      </c>
      <c r="K319" s="32" t="n">
        <v>372698</v>
      </c>
      <c r="L319" s="31" t="n">
        <v>4</v>
      </c>
      <c r="M319" s="31" t="inlineStr">
        <is>
          <t>Underperforming</t>
        </is>
      </c>
      <c r="N319" s="32">
        <f>IF(M319="Underperforming",-5,IF(L319&gt;=95,15,IF(L319&gt;=90,10,IF(L319&gt;=80,5,0))))</f>
        <v/>
      </c>
      <c r="O319" s="32" t="n">
        <v>50.29</v>
      </c>
      <c r="P319" s="32" t="n">
        <v>9.25</v>
      </c>
      <c r="Q319" s="32" t="inlineStr"/>
      <c r="R319" s="31" t="inlineStr">
        <is>
          <t>Earnings / Momentum Support</t>
        </is>
      </c>
      <c r="S319" s="31" t="inlineStr">
        <is>
          <t>Nifty Pharma</t>
        </is>
      </c>
      <c r="T319" s="32" t="n">
        <v>13.51</v>
      </c>
      <c r="U319" s="32" t="n">
        <v>-17.15</v>
      </c>
      <c r="V319" s="32" t="n">
        <v>-27.01</v>
      </c>
      <c r="W319" s="32" t="n">
        <v>-2.04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Yes</t>
        </is>
      </c>
      <c r="AC319" s="31">
        <f>IF(AB319="No",5,0)</f>
        <v/>
      </c>
      <c r="AD319" s="31" t="inlineStr">
        <is>
          <t>Headwind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No</t>
        </is>
      </c>
      <c r="AQ319" s="31">
        <f>IF(AP319="Yes",10,0)</f>
        <v/>
      </c>
      <c r="AR319" s="31" t="inlineStr">
        <is>
          <t>Higher Annuity, Lower One Time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0 to 20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3</t>
        </is>
      </c>
      <c r="BC319" s="31">
        <f>IF(BB319="Stage 2",20,IF(BB319="Stage 1",0,IF(BB319="Stage 3",5,IF(BB319="Stage 4",-5,0))))</f>
        <v/>
      </c>
      <c r="BD319" s="31" t="inlineStr">
        <is>
          <t>Negative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Less than 12%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Less than 50%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Less than 0.7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IF(B320=0,"",RANK(B320,$B$2:$B$340,0))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3" t="inlineStr">
        <is>
          <t>OIL</t>
        </is>
      </c>
      <c r="D320" s="33" t="inlineStr">
        <is>
          <t>Oil India Limited</t>
        </is>
      </c>
      <c r="E320" s="31" t="inlineStr">
        <is>
          <t>energy</t>
        </is>
      </c>
      <c r="F320" s="31" t="inlineStr">
        <is>
          <t>oil drilling / allied services</t>
        </is>
      </c>
      <c r="G320" s="31" t="inlineStr">
        <is>
          <t>largecap</t>
        </is>
      </c>
      <c r="H320" s="32" t="n">
        <v>70814.37</v>
      </c>
      <c r="I320" s="32" t="n">
        <v>453.55</v>
      </c>
      <c r="J320" s="32" t="n">
        <v>4.18</v>
      </c>
      <c r="K320" s="32" t="n">
        <v>9434807</v>
      </c>
      <c r="L320" s="31" t="n">
        <v>6</v>
      </c>
      <c r="M320" s="31" t="inlineStr">
        <is>
          <t>Underperforming</t>
        </is>
      </c>
      <c r="N320" s="32">
        <f>IF(M320="Underperforming",-5,IF(L320&gt;=95,15,IF(L320&gt;=90,10,IF(L320&gt;=80,5,0))))</f>
        <v/>
      </c>
      <c r="O320" s="32" t="n">
        <v>46.84</v>
      </c>
      <c r="P320" s="32" t="n">
        <v>21.38</v>
      </c>
      <c r="Q320" s="32" t="inlineStr"/>
      <c r="R320" s="31" t="inlineStr">
        <is>
          <t>Earnings / Momentum Support</t>
        </is>
      </c>
      <c r="S320" s="31" t="inlineStr">
        <is>
          <t>Nifty Energy</t>
        </is>
      </c>
      <c r="T320" s="32" t="n">
        <v>8.41</v>
      </c>
      <c r="U320" s="32" t="n">
        <v>-0.15</v>
      </c>
      <c r="V320" s="32" t="n">
        <v>-7.89</v>
      </c>
      <c r="W320" s="32" t="n">
        <v>-1.23</v>
      </c>
      <c r="X320" s="31" t="inlineStr">
        <is>
          <t>Cyclical in an Upturn</t>
        </is>
      </c>
      <c r="Y320" s="31">
        <f>IF(X320="Growing Industry",10,IF(X320="Cyclical in an Upturn",5,0))</f>
        <v/>
      </c>
      <c r="Z320" s="31" t="inlineStr">
        <is>
          <t>Oligopoly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Yes</t>
        </is>
      </c>
      <c r="AC320" s="31">
        <f>IF(AB320="No",5,0)</f>
        <v/>
      </c>
      <c r="AD320" s="31" t="inlineStr">
        <is>
          <t>Headwind</t>
        </is>
      </c>
      <c r="AE320" s="31">
        <f>IF(AD320="Tailwind",10,0)</f>
        <v/>
      </c>
      <c r="AF320" s="31" t="inlineStr">
        <is>
          <t>Cyclical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Volatile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No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20 to 40</t>
        </is>
      </c>
      <c r="AY320" s="31">
        <f>IF(AX320="Above 40",20,IF(AX320="20 to 40",10,IF(AX320="0 to 20",-5,0)))</f>
        <v/>
      </c>
      <c r="AZ320" s="31" t="inlineStr">
        <is>
          <t>Below 45</t>
        </is>
      </c>
      <c r="BA320" s="31">
        <f>IF(AZ320="Between 50 to 75",10,IF(AZ320="Above 75",0,0))</f>
        <v/>
      </c>
      <c r="BB320" s="31" t="inlineStr">
        <is>
          <t>Stage 4</t>
        </is>
      </c>
      <c r="BC320" s="31">
        <f>IF(BB320="Stage 2",20,IF(BB320="Stage 1",0,IF(BB320="Stage 3",5,IF(BB320="Stage 4",-5,0))))</f>
        <v/>
      </c>
      <c r="BD320" s="31" t="inlineStr">
        <is>
          <t>Negative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More than 20%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Less than 1.5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IF(B321=0,"",RANK(B321,$B$2:$B$340,0))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3" t="inlineStr">
        <is>
          <t>GOKEX</t>
        </is>
      </c>
      <c r="D321" s="33" t="inlineStr">
        <is>
          <t>Gokaldas Exports Limited</t>
        </is>
      </c>
      <c r="E321" s="31" t="inlineStr">
        <is>
          <t>consumer discretionary</t>
        </is>
      </c>
      <c r="F321" s="31" t="inlineStr">
        <is>
          <t>textiles - products</t>
        </is>
      </c>
      <c r="G321" s="31" t="inlineStr">
        <is>
          <t>midcap</t>
        </is>
      </c>
      <c r="H321" s="32" t="n">
        <v>6063.41</v>
      </c>
      <c r="I321" s="32" t="n">
        <v>845.35</v>
      </c>
      <c r="J321" s="32" t="n">
        <v>2.12</v>
      </c>
      <c r="K321" s="32" t="n">
        <v>186145</v>
      </c>
      <c r="L321" s="31" t="n">
        <v>16</v>
      </c>
      <c r="M321" s="31" t="inlineStr">
        <is>
          <t>Underperforming</t>
        </is>
      </c>
      <c r="N321" s="32">
        <f>IF(M321="Underperforming",-5,IF(L321&gt;=95,15,IF(L321&gt;=90,10,IF(L321&gt;=80,5,0))))</f>
        <v/>
      </c>
      <c r="O321" s="32" t="n">
        <v>58.66</v>
      </c>
      <c r="P321" s="32" t="n">
        <v>18.04</v>
      </c>
      <c r="Q321" s="32" t="inlineStr"/>
      <c r="R321" s="31" t="inlineStr">
        <is>
          <t>Earnings / Momentum Support</t>
        </is>
      </c>
      <c r="S321" s="31" t="inlineStr">
        <is>
          <t>Nifty 50</t>
        </is>
      </c>
      <c r="T321" s="32" t="n">
        <v>-2.54</v>
      </c>
      <c r="U321" s="32" t="n">
        <v>-11.53</v>
      </c>
      <c r="V321" s="32" t="n">
        <v>-9.23</v>
      </c>
      <c r="W321" s="32" t="n">
        <v>1.86</v>
      </c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Headwind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No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3</t>
        </is>
      </c>
      <c r="BC321" s="31">
        <f>IF(BB321="Stage 2",20,IF(BB321="Stage 1",0,IF(BB321="Stage 3",5,IF(BB321="Stage 4",-5,0))))</f>
        <v/>
      </c>
      <c r="BD321" s="31" t="inlineStr">
        <is>
          <t>Negative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Less than 12%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Yes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Less than 50%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IF(B322=0,"",RANK(B322,$B$2:$B$340,0))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BHARTIARTL</t>
        </is>
      </c>
      <c r="D322" s="31" t="inlineStr">
        <is>
          <t>Bharti Airtel Limited</t>
        </is>
      </c>
      <c r="E322" s="31" t="inlineStr">
        <is>
          <t>telecom-service</t>
        </is>
      </c>
      <c r="F322" s="31" t="inlineStr">
        <is>
          <t>telecommunications - service provider</t>
        </is>
      </c>
      <c r="G322" s="31" t="inlineStr">
        <is>
          <t>largecap</t>
        </is>
      </c>
      <c r="H322" s="32" t="n">
        <v>1191311.54</v>
      </c>
      <c r="I322" s="32" t="n">
        <v>1940.1</v>
      </c>
      <c r="J322" s="32" t="n">
        <v>1.64</v>
      </c>
      <c r="K322" s="32" t="n">
        <v>6437294</v>
      </c>
      <c r="L322" s="31" t="n">
        <v>13</v>
      </c>
      <c r="M322" s="31" t="inlineStr">
        <is>
          <t>Outperforming</t>
        </is>
      </c>
      <c r="N322" s="32">
        <f>IF(M322="Underperforming",-5,IF(L322&gt;=95,15,IF(L322&gt;=90,10,IF(L322&gt;=80,5,0))))</f>
        <v/>
      </c>
      <c r="O322" s="32" t="n">
        <v>51.38</v>
      </c>
      <c r="P322" s="32" t="n">
        <v>18.1</v>
      </c>
      <c r="Q322" s="32" t="inlineStr"/>
      <c r="R322" s="31" t="inlineStr">
        <is>
          <t>Earnings / Momentum Support</t>
        </is>
      </c>
      <c r="S322" s="31" t="inlineStr">
        <is>
          <t>Nifty 50</t>
        </is>
      </c>
      <c r="T322" s="32" t="n">
        <v>-2.54</v>
      </c>
      <c r="U322" s="32" t="n">
        <v>0.41</v>
      </c>
      <c r="V322" s="32" t="n">
        <v>3.03</v>
      </c>
      <c r="W322" s="32" t="n">
        <v>0.87</v>
      </c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Oligopoly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Yes</t>
        </is>
      </c>
      <c r="AC322" s="31">
        <f>IF(AB322="No",5,0)</f>
        <v/>
      </c>
      <c r="AD322" s="31" t="inlineStr">
        <is>
          <t>Headwind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No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0 to 20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3</t>
        </is>
      </c>
      <c r="BC322" s="31">
        <f>IF(BB322="Stage 2",20,IF(BB322="Stage 1",0,IF(BB322="Stage 3",5,IF(BB322="Stage 4",-5,0))))</f>
        <v/>
      </c>
      <c r="BD322" s="31" t="inlineStr">
        <is>
          <t>Negative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Less than 12%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Yes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Between 0.7 to 1.2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IF(B323=0,"",RANK(B323,$B$2:$B$340,0))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PTCIL</t>
        </is>
      </c>
      <c r="D323" s="31" t="inlineStr">
        <is>
          <t>PTC Industries Ltd</t>
        </is>
      </c>
      <c r="E323" s="31" t="inlineStr">
        <is>
          <t>industrials</t>
        </is>
      </c>
      <c r="F323" s="31" t="inlineStr">
        <is>
          <t>castings &amp; forgings</t>
        </is>
      </c>
      <c r="G323" s="31" t="inlineStr">
        <is>
          <t>largecap</t>
        </is>
      </c>
      <c r="H323" s="32" t="n">
        <v>26898.13</v>
      </c>
      <c r="I323" s="32" t="n">
        <v>18030</v>
      </c>
      <c r="J323" s="32" t="n">
        <v>0.5</v>
      </c>
      <c r="K323" s="32" t="n">
        <v>10343</v>
      </c>
      <c r="L323" s="31" t="n">
        <v>47</v>
      </c>
      <c r="M323" s="31" t="inlineStr">
        <is>
          <t>Outperforming</t>
        </is>
      </c>
      <c r="N323" s="32">
        <f>IF(M323="Underperforming",-5,IF(L323&gt;=95,15,IF(L323&gt;=90,10,IF(L323&gt;=80,5,0))))</f>
        <v/>
      </c>
      <c r="O323" s="32" t="n">
        <v>55.56</v>
      </c>
      <c r="P323" s="32" t="n">
        <v>14.76</v>
      </c>
      <c r="Q323" s="32" t="inlineStr"/>
      <c r="R323" s="31" t="inlineStr">
        <is>
          <t>Earnings / Momentum Support</t>
        </is>
      </c>
      <c r="S323" s="31" t="inlineStr">
        <is>
          <t>Nifty 50</t>
        </is>
      </c>
      <c r="T323" s="32" t="n">
        <v>-2.54</v>
      </c>
      <c r="U323" s="32" t="n">
        <v>23.75</v>
      </c>
      <c r="V323" s="32" t="n">
        <v>26.97</v>
      </c>
      <c r="W323" s="32" t="n">
        <v>7.74</v>
      </c>
      <c r="X323" s="31" t="inlineStr">
        <is>
          <t>Cyclical in an Upturn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Headwind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0 to 20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3</t>
        </is>
      </c>
      <c r="BC323" s="31">
        <f>IF(BB323="Stage 2",20,IF(BB323="Stage 1",0,IF(BB323="Stage 3",5,IF(BB323="Stage 4",-5,0))))</f>
        <v/>
      </c>
      <c r="BD323" s="31" t="inlineStr">
        <is>
          <t>Negative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Yes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Negative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IF(B324=0,"",RANK(B324,$B$2:$B$340,0))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3" t="inlineStr">
        <is>
          <t>KAMDHENU</t>
        </is>
      </c>
      <c r="D324" s="33" t="inlineStr">
        <is>
          <t>Kamdhenu Limited</t>
        </is>
      </c>
      <c r="E324" s="31" t="inlineStr">
        <is>
          <t>metals &amp; mining</t>
        </is>
      </c>
      <c r="F324" s="31" t="inlineStr">
        <is>
          <t>steel - medium / small</t>
        </is>
      </c>
      <c r="G324" s="31" t="inlineStr">
        <is>
          <t>smallcap</t>
        </is>
      </c>
      <c r="H324" s="32" t="n">
        <v>945.4400000000001</v>
      </c>
      <c r="I324" s="32" t="n">
        <v>33.66</v>
      </c>
      <c r="J324" s="32" t="n">
        <v>0.36</v>
      </c>
      <c r="K324" s="32" t="n">
        <v>714873</v>
      </c>
      <c r="L324" s="31" t="n">
        <v>69</v>
      </c>
      <c r="M324" s="31" t="inlineStr">
        <is>
          <t>Underperforming</t>
        </is>
      </c>
      <c r="N324" s="32">
        <f>IF(M324="Underperforming",-5,IF(L324&gt;=95,15,IF(L324&gt;=90,10,IF(L324&gt;=80,5,0))))</f>
        <v/>
      </c>
      <c r="O324" s="32" t="n">
        <v>69.91</v>
      </c>
      <c r="P324" s="32" t="n">
        <v>30.63</v>
      </c>
      <c r="Q324" s="32" t="inlineStr"/>
      <c r="R324" s="31" t="inlineStr">
        <is>
          <t>Earnings / Momentum Support</t>
        </is>
      </c>
      <c r="S324" s="31" t="inlineStr">
        <is>
          <t>Nifty Metal</t>
        </is>
      </c>
      <c r="T324" s="32" t="n">
        <v>31.49</v>
      </c>
      <c r="U324" s="32" t="n">
        <v>12.5</v>
      </c>
      <c r="V324" s="32" t="n">
        <v>-14.45</v>
      </c>
      <c r="W324" s="32" t="n">
        <v>13.64</v>
      </c>
      <c r="X324" s="31" t="inlineStr">
        <is>
          <t>Cyclical in an Upturn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Headwind</t>
        </is>
      </c>
      <c r="AE324" s="31">
        <f>IF(AD324="Tailwind",10,0)</f>
        <v/>
      </c>
      <c r="AF324" s="31" t="inlineStr">
        <is>
          <t>Cyclical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Volatile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20 to 40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3</t>
        </is>
      </c>
      <c r="BC324" s="31">
        <f>IF(BB324="Stage 2",20,IF(BB324="Stage 1",0,IF(BB324="Stage 3",5,IF(BB324="Stage 4",-5,0))))</f>
        <v/>
      </c>
      <c r="BD324" s="31" t="inlineStr">
        <is>
          <t>Negative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Less than 12%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No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Between 50% to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IF(B325=0,"",RANK(B325,$B$2:$B$340,0))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3" t="inlineStr">
        <is>
          <t>ETHOSLTD</t>
        </is>
      </c>
      <c r="D325" s="33" t="inlineStr">
        <is>
          <t>Ethos Ltd</t>
        </is>
      </c>
      <c r="E325" s="31" t="inlineStr">
        <is>
          <t>consumer discretionary</t>
        </is>
      </c>
      <c r="F325" s="31" t="inlineStr">
        <is>
          <t>trading</t>
        </is>
      </c>
      <c r="G325" s="31" t="inlineStr">
        <is>
          <t>midcap</t>
        </is>
      </c>
      <c r="H325" s="32" t="n">
        <v>7125.84</v>
      </c>
      <c r="I325" s="32" t="n">
        <v>2635</v>
      </c>
      <c r="J325" s="32" t="n">
        <v>-1.06</v>
      </c>
      <c r="K325" s="32" t="n">
        <v>17350</v>
      </c>
      <c r="L325" s="31" t="n">
        <v>14</v>
      </c>
      <c r="M325" s="31" t="inlineStr">
        <is>
          <t>Underperforming</t>
        </is>
      </c>
      <c r="N325" s="32">
        <f>IF(M325="Underperforming",-5,IF(L325&gt;=95,15,IF(L325&gt;=90,10,IF(L325&gt;=80,5,0))))</f>
        <v/>
      </c>
      <c r="O325" s="32" t="n">
        <v>57.86</v>
      </c>
      <c r="P325" s="32" t="n">
        <v>8.94</v>
      </c>
      <c r="Q325" s="32" t="inlineStr"/>
      <c r="R325" s="31" t="inlineStr">
        <is>
          <t>Earnings / Momentum Support</t>
        </is>
      </c>
      <c r="S325" s="31" t="inlineStr">
        <is>
          <t>Nifty 50</t>
        </is>
      </c>
      <c r="T325" s="32" t="n">
        <v>-2.54</v>
      </c>
      <c r="U325" s="32" t="n">
        <v>-5.88</v>
      </c>
      <c r="V325" s="32" t="n">
        <v>-3.42</v>
      </c>
      <c r="W325" s="32" t="n">
        <v>1.26</v>
      </c>
      <c r="X325" s="31" t="inlineStr">
        <is>
          <t>Growing Industry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Headwind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No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0 to 20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3</t>
        </is>
      </c>
      <c r="BC325" s="31">
        <f>IF(BB325="Stage 2",20,IF(BB325="Stage 1",0,IF(BB325="Stage 3",5,IF(BB325="Stage 4",-5,0))))</f>
        <v/>
      </c>
      <c r="BD325" s="31" t="inlineStr">
        <is>
          <t>Negative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Less than 12%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Yes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Less than 50%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IF(B326=0,"",RANK(B326,$B$2:$B$340,0))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3" t="inlineStr">
        <is>
          <t>TCPLPACK</t>
        </is>
      </c>
      <c r="D326" s="33" t="inlineStr">
        <is>
          <t>TCPL Packaging Ltd</t>
        </is>
      </c>
      <c r="E326" s="31" t="inlineStr">
        <is>
          <t>industrials</t>
        </is>
      </c>
      <c r="F326" s="31" t="inlineStr">
        <is>
          <t>packaging</t>
        </is>
      </c>
      <c r="G326" s="31" t="inlineStr">
        <is>
          <t>smallcap</t>
        </is>
      </c>
      <c r="H326" s="32" t="n">
        <v>2926.38</v>
      </c>
      <c r="I326" s="32" t="n">
        <v>3164</v>
      </c>
      <c r="J326" s="32" t="n">
        <v>-1.61</v>
      </c>
      <c r="K326" s="32" t="n">
        <v>3515</v>
      </c>
      <c r="L326" s="31" t="n">
        <v>17</v>
      </c>
      <c r="M326" s="31" t="inlineStr">
        <is>
          <t>Underperforming</t>
        </is>
      </c>
      <c r="N326" s="32">
        <f>IF(M326="Underperforming",-5,IF(L326&gt;=95,15,IF(L326&gt;=90,10,IF(L326&gt;=80,5,0))))</f>
        <v/>
      </c>
      <c r="O326" s="32" t="n">
        <v>62.77</v>
      </c>
      <c r="P326" s="32" t="n">
        <v>16.23</v>
      </c>
      <c r="Q326" s="32" t="inlineStr"/>
      <c r="R326" s="31" t="inlineStr">
        <is>
          <t>Earnings / Momentum Support</t>
        </is>
      </c>
      <c r="S326" s="31" t="inlineStr">
        <is>
          <t>Nifty 50</t>
        </is>
      </c>
      <c r="T326" s="32" t="n">
        <v>-2.54</v>
      </c>
      <c r="U326" s="32" t="n">
        <v>-14.32</v>
      </c>
      <c r="V326" s="32" t="n">
        <v>-12.09</v>
      </c>
      <c r="W326" s="32" t="n">
        <v>2.11</v>
      </c>
      <c r="X326" s="31" t="inlineStr">
        <is>
          <t>Cyclical in an Upturn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Headwind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No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3</t>
        </is>
      </c>
      <c r="BC326" s="31">
        <f>IF(BB326="Stage 2",20,IF(BB326="Stage 1",0,IF(BB326="Stage 3",5,IF(BB326="Stage 4",-5,0))))</f>
        <v/>
      </c>
      <c r="BD326" s="31" t="inlineStr">
        <is>
          <t>Negative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Less than 12%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No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Between 0.7 to 1.2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IF(B327=0,"",RANK(B327,$B$2:$B$340,0))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3" t="inlineStr">
        <is>
          <t>LLOYDSME</t>
        </is>
      </c>
      <c r="D327" s="33" t="inlineStr">
        <is>
          <t>Lloyds Metals &amp; Energy Ltd</t>
        </is>
      </c>
      <c r="E327" s="31" t="inlineStr">
        <is>
          <t>metals &amp; mining</t>
        </is>
      </c>
      <c r="F327" s="31" t="inlineStr">
        <is>
          <t>mining / minerals / metals</t>
        </is>
      </c>
      <c r="G327" s="31" t="inlineStr">
        <is>
          <t>largecap</t>
        </is>
      </c>
      <c r="H327" s="32" t="n">
        <v>105004.66</v>
      </c>
      <c r="I327" s="32" t="n">
        <v>1907.9</v>
      </c>
      <c r="J327" s="32" t="n">
        <v>2.28</v>
      </c>
      <c r="K327" s="32" t="n">
        <v>679437</v>
      </c>
      <c r="L327" s="31" t="n">
        <v>52</v>
      </c>
      <c r="M327" s="31" t="inlineStr">
        <is>
          <t>Underperforming</t>
        </is>
      </c>
      <c r="N327" s="32">
        <f>IF(M327="Underperforming",-5,IF(L327&gt;=95,15,IF(L327&gt;=90,10,IF(L327&gt;=80,5,0))))</f>
        <v/>
      </c>
      <c r="O327" s="32" t="n">
        <v>71.61</v>
      </c>
      <c r="P327" s="32" t="n">
        <v>44.27</v>
      </c>
      <c r="Q327" s="32" t="inlineStr"/>
      <c r="R327" s="31" t="inlineStr">
        <is>
          <t>Earnings / Momentum Support</t>
        </is>
      </c>
      <c r="S327" s="31" t="inlineStr">
        <is>
          <t>Nifty Metal</t>
        </is>
      </c>
      <c r="T327" s="32" t="n">
        <v>31.49</v>
      </c>
      <c r="U327" s="32" t="n">
        <v>26.75</v>
      </c>
      <c r="V327" s="32" t="n">
        <v>-3.61</v>
      </c>
      <c r="W327" s="32" t="n">
        <v>8.960000000000001</v>
      </c>
      <c r="X327" s="31" t="inlineStr">
        <is>
          <t>Cyclical in an Upturn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Headwind</t>
        </is>
      </c>
      <c r="AE327" s="31">
        <f>IF(AD327="Tailwind",10,0)</f>
        <v/>
      </c>
      <c r="AF327" s="31" t="inlineStr">
        <is>
          <t>Cyclical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Volatile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Above 40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3</t>
        </is>
      </c>
      <c r="BC327" s="31">
        <f>IF(BB327="Stage 2",20,IF(BB327="Stage 1",0,IF(BB327="Stage 3",5,IF(BB327="Stage 4",-5,0))))</f>
        <v/>
      </c>
      <c r="BD327" s="31" t="inlineStr">
        <is>
          <t>Negative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More than 20%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No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Less than 50% and Borrowings are increasing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More than 1.2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IF(B328=0,"",RANK(B328,$B$2:$B$340,0))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3" t="inlineStr">
        <is>
          <t>RITCO</t>
        </is>
      </c>
      <c r="D328" s="33" t="inlineStr">
        <is>
          <t>Ritco Logistics Ltd</t>
        </is>
      </c>
      <c r="E328" s="31" t="inlineStr">
        <is>
          <t>transportation</t>
        </is>
      </c>
      <c r="F328" s="31" t="inlineStr">
        <is>
          <t>miscellaneous</t>
        </is>
      </c>
      <c r="G328" s="31" t="inlineStr">
        <is>
          <t>smallcap</t>
        </is>
      </c>
      <c r="H328" s="32" t="n">
        <v>784.12</v>
      </c>
      <c r="I328" s="32" t="n">
        <v>278.9</v>
      </c>
      <c r="J328" s="32" t="n">
        <v>1.81</v>
      </c>
      <c r="K328" s="32" t="n">
        <v>31441</v>
      </c>
      <c r="L328" s="31" t="n">
        <v>37</v>
      </c>
      <c r="M328" s="31" t="inlineStr">
        <is>
          <t>Underperforming</t>
        </is>
      </c>
      <c r="N328" s="32">
        <f>IF(M328="Underperforming",-5,IF(L328&gt;=95,15,IF(L328&gt;=90,10,IF(L328&gt;=80,5,0))))</f>
        <v/>
      </c>
      <c r="O328" s="32" t="n">
        <v>58.73</v>
      </c>
      <c r="P328" s="32" t="n">
        <v>28.1</v>
      </c>
      <c r="Q328" s="32" t="inlineStr"/>
      <c r="R328" s="31" t="inlineStr">
        <is>
          <t>Earnings / Momentum Support</t>
        </is>
      </c>
      <c r="S328" s="31" t="inlineStr">
        <is>
          <t>Nifty 50</t>
        </is>
      </c>
      <c r="T328" s="32" t="n">
        <v>-2.54</v>
      </c>
      <c r="U328" s="32" t="n">
        <v>-11.87</v>
      </c>
      <c r="V328" s="32" t="n">
        <v>-9.57</v>
      </c>
      <c r="W328" s="32" t="n">
        <v>5.95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Headwind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20 to 40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3</t>
        </is>
      </c>
      <c r="BC328" s="31">
        <f>IF(BB328="Stage 2",20,IF(BB328="Stage 1",0,IF(BB328="Stage 3",5,IF(BB328="Stage 4",-5,0))))</f>
        <v/>
      </c>
      <c r="BD328" s="31" t="inlineStr">
        <is>
          <t>Negative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Less than 12%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No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Negative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More than 1.2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IF(B329=0,"",RANK(B329,$B$2:$B$340,0))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1" t="inlineStr">
        <is>
          <t>ORICONENT</t>
        </is>
      </c>
      <c r="D329" s="31" t="inlineStr">
        <is>
          <t>Oricon Enterprises Limited</t>
        </is>
      </c>
      <c r="E329" s="31" t="inlineStr">
        <is>
          <t>industrials</t>
        </is>
      </c>
      <c r="F329" s="31" t="inlineStr">
        <is>
          <t>packaging</t>
        </is>
      </c>
      <c r="G329" s="31" t="inlineStr">
        <is>
          <t>smallcap</t>
        </is>
      </c>
      <c r="H329" s="32" t="n">
        <v>941.5</v>
      </c>
      <c r="I329" s="32" t="n">
        <v>59</v>
      </c>
      <c r="J329" s="32" t="n">
        <v>-1.58</v>
      </c>
      <c r="K329" s="32" t="n">
        <v>26938</v>
      </c>
      <c r="L329" s="31" t="n">
        <v>28</v>
      </c>
      <c r="M329" s="31" t="inlineStr">
        <is>
          <t>Outperforming</t>
        </is>
      </c>
      <c r="N329" s="32">
        <f>IF(M329="Underperforming",-5,IF(L329&gt;=95,15,IF(L329&gt;=90,10,IF(L329&gt;=80,5,0))))</f>
        <v/>
      </c>
      <c r="O329" s="32" t="n">
        <v>48.68</v>
      </c>
      <c r="P329" s="32" t="n">
        <v>18.08</v>
      </c>
      <c r="Q329" s="32" t="inlineStr"/>
      <c r="R329" s="31" t="inlineStr">
        <is>
          <t>Earnings / Momentum Support</t>
        </is>
      </c>
      <c r="S329" s="31" t="inlineStr">
        <is>
          <t>Nifty 50</t>
        </is>
      </c>
      <c r="T329" s="32" t="n">
        <v>-2.54</v>
      </c>
      <c r="U329" s="32" t="n">
        <v>34.45</v>
      </c>
      <c r="V329" s="32" t="n">
        <v>37.95</v>
      </c>
      <c r="W329" s="32" t="n">
        <v>4.39</v>
      </c>
      <c r="X329" s="31" t="inlineStr">
        <is>
          <t>Cyclical in an Upturn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Headwind</t>
        </is>
      </c>
      <c r="AE329" s="31">
        <f>IF(AD329="Tailwind",10,0)</f>
        <v/>
      </c>
      <c r="AF329" s="31" t="inlineStr">
        <is>
          <t>Structural (10 Years Consistency)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Stable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0 to 20</t>
        </is>
      </c>
      <c r="AY329" s="31">
        <f>IF(AX329="Above 40",20,IF(AX329="20 to 40",10,IF(AX329="0 to 20",-5,0)))</f>
        <v/>
      </c>
      <c r="AZ329" s="31" t="inlineStr">
        <is>
          <t>Below 45</t>
        </is>
      </c>
      <c r="BA329" s="31">
        <f>IF(AZ329="Between 50 to 75",10,IF(AZ329="Above 75",0,0))</f>
        <v/>
      </c>
      <c r="BB329" s="31" t="inlineStr">
        <is>
          <t>Stage 4</t>
        </is>
      </c>
      <c r="BC329" s="31">
        <f>IF(BB329="Stage 2",20,IF(BB329="Stage 1",0,IF(BB329="Stage 3",5,IF(BB329="Stage 4",-5,0))))</f>
        <v/>
      </c>
      <c r="BD329" s="31" t="inlineStr">
        <is>
          <t>Negative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More than 20%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Yes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Less than 50%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IF(B330=0,"",RANK(B330,$B$2:$B$340,0))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1" t="inlineStr">
        <is>
          <t>MRPL</t>
        </is>
      </c>
      <c r="D330" s="31" t="inlineStr">
        <is>
          <t>Mangalore Refinery And Petrochemicals Limited</t>
        </is>
      </c>
      <c r="E330" s="31" t="inlineStr">
        <is>
          <t>energy</t>
        </is>
      </c>
      <c r="F330" s="31" t="inlineStr">
        <is>
          <t>refineries</t>
        </is>
      </c>
      <c r="G330" s="31" t="inlineStr">
        <is>
          <t>largecap</t>
        </is>
      </c>
      <c r="H330" s="32" t="n">
        <v>30581.1</v>
      </c>
      <c r="I330" s="32" t="n">
        <v>170.92</v>
      </c>
      <c r="J330" s="32" t="n">
        <v>-2.05</v>
      </c>
      <c r="K330" s="32" t="n">
        <v>14972840</v>
      </c>
      <c r="L330" s="31" t="n">
        <v>22</v>
      </c>
      <c r="M330" s="31" t="inlineStr">
        <is>
          <t>Outperforming</t>
        </is>
      </c>
      <c r="N330" s="32">
        <f>IF(M330="Underperforming",-5,IF(L330&gt;=95,15,IF(L330&gt;=90,10,IF(L330&gt;=80,5,0))))</f>
        <v/>
      </c>
      <c r="O330" s="32" t="n">
        <v>56</v>
      </c>
      <c r="P330" s="32" t="n">
        <v>14.79</v>
      </c>
      <c r="Q330" s="32" t="inlineStr"/>
      <c r="R330" s="31" t="inlineStr">
        <is>
          <t>Earnings / Momentum Support</t>
        </is>
      </c>
      <c r="S330" s="31" t="inlineStr">
        <is>
          <t>Nifty Energy</t>
        </is>
      </c>
      <c r="T330" s="32" t="n">
        <v>8.41</v>
      </c>
      <c r="U330" s="32" t="n">
        <v>19.41</v>
      </c>
      <c r="V330" s="32" t="n">
        <v>10.15</v>
      </c>
      <c r="W330" s="32" t="n">
        <v>3.19</v>
      </c>
      <c r="X330" s="31" t="inlineStr">
        <is>
          <t>Cyclical in an Upturn</t>
        </is>
      </c>
      <c r="Y330" s="31">
        <f>IF(X330="Growing Industry",10,IF(X330="Cyclical in an Upturn",5,0))</f>
        <v/>
      </c>
      <c r="Z330" s="31" t="inlineStr">
        <is>
          <t>Oligopoly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Yes</t>
        </is>
      </c>
      <c r="AC330" s="31">
        <f>IF(AB330="No",5,0)</f>
        <v/>
      </c>
      <c r="AD330" s="31" t="inlineStr">
        <is>
          <t>Headwind</t>
        </is>
      </c>
      <c r="AE330" s="31">
        <f>IF(AD330="Tailwind",10,0)</f>
        <v/>
      </c>
      <c r="AF330" s="31" t="inlineStr">
        <is>
          <t>Cyclical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Volatile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0 to 20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3</t>
        </is>
      </c>
      <c r="BC330" s="31">
        <f>IF(BB330="Stage 2",20,IF(BB330="Stage 1",0,IF(BB330="Stage 3",5,IF(BB330="Stage 4",-5,0))))</f>
        <v/>
      </c>
      <c r="BD330" s="31" t="inlineStr">
        <is>
          <t>Negative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More than 20%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No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Between 0.7 to 1.2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IF(B331=0,"",RANK(B331,$B$2:$B$340,0))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1" t="inlineStr">
        <is>
          <t>SUMEETINDS</t>
        </is>
      </c>
      <c r="D331" s="31" t="inlineStr">
        <is>
          <t>Sumeet Industries Limited</t>
        </is>
      </c>
      <c r="E331" s="31" t="inlineStr">
        <is>
          <t>textiles</t>
        </is>
      </c>
      <c r="F331" s="31" t="inlineStr">
        <is>
          <t>textiles - manmade</t>
        </is>
      </c>
      <c r="G331" s="31" t="inlineStr">
        <is>
          <t>smallcap</t>
        </is>
      </c>
      <c r="H331" s="32" t="n">
        <v>1788.45</v>
      </c>
      <c r="I331" s="32" t="n">
        <v>35.3</v>
      </c>
      <c r="J331" s="32" t="n">
        <v>3.88</v>
      </c>
      <c r="K331" s="32" t="n">
        <v>11787415</v>
      </c>
      <c r="L331" s="31" t="n">
        <v>57</v>
      </c>
      <c r="M331" s="31" t="inlineStr">
        <is>
          <t>Outperforming</t>
        </is>
      </c>
      <c r="N331" s="32">
        <f>IF(M331="Underperforming",-5,IF(L331&gt;=95,15,IF(L331&gt;=90,10,IF(L331&gt;=80,5,0))))</f>
        <v/>
      </c>
      <c r="O331" s="32" t="n">
        <v>62.13</v>
      </c>
      <c r="P331" s="32" t="n">
        <v>14.33</v>
      </c>
      <c r="Q331" s="32" t="inlineStr"/>
      <c r="R331" s="31" t="inlineStr">
        <is>
          <t>Earnings / Momentum Support</t>
        </is>
      </c>
      <c r="S331" s="31" t="inlineStr">
        <is>
          <t>Nifty 50</t>
        </is>
      </c>
      <c r="T331" s="32" t="n">
        <v>-2.54</v>
      </c>
      <c r="U331" s="32" t="n">
        <v>31.04</v>
      </c>
      <c r="V331" s="32" t="n">
        <v>34.45</v>
      </c>
      <c r="W331" s="32" t="n">
        <v>9.93</v>
      </c>
      <c r="X331" s="31" t="inlineStr">
        <is>
          <t>Growing Industry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Headwind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3</t>
        </is>
      </c>
      <c r="BC331" s="31">
        <f>IF(BB331="Stage 2",20,IF(BB331="Stage 1",0,IF(BB331="Stage 3",5,IF(BB331="Stage 4",-5,0))))</f>
        <v/>
      </c>
      <c r="BD331" s="31" t="inlineStr">
        <is>
          <t>Negative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Less than 12%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Yes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Negative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Between 0.7 to 1.2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IF(B332=0,"",RANK(B332,$B$2:$B$340,0))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3" t="inlineStr">
        <is>
          <t>OPTIEMUS</t>
        </is>
      </c>
      <c r="D332" s="33" t="inlineStr">
        <is>
          <t>Optiemus Infracom Ltd</t>
        </is>
      </c>
      <c r="E332" s="31" t="inlineStr">
        <is>
          <t>telecom</t>
        </is>
      </c>
      <c r="F332" s="31" t="inlineStr">
        <is>
          <t>trading</t>
        </is>
      </c>
      <c r="G332" s="31" t="inlineStr">
        <is>
          <t>midcap</t>
        </is>
      </c>
      <c r="H332" s="32" t="n">
        <v>5223.33</v>
      </c>
      <c r="I332" s="32" t="n">
        <v>607</v>
      </c>
      <c r="J332" s="32" t="n">
        <v>3.06</v>
      </c>
      <c r="K332" s="32" t="n">
        <v>465420</v>
      </c>
      <c r="L332" s="31" t="n">
        <v>58</v>
      </c>
      <c r="M332" s="31" t="inlineStr">
        <is>
          <t>Underperforming</t>
        </is>
      </c>
      <c r="N332" s="32">
        <f>IF(M332="Underperforming",-5,IF(L332&gt;=95,15,IF(L332&gt;=90,10,IF(L332&gt;=80,5,0))))</f>
        <v/>
      </c>
      <c r="O332" s="32" t="n">
        <v>67.61</v>
      </c>
      <c r="P332" s="32" t="n">
        <v>19.59</v>
      </c>
      <c r="Q332" s="32" t="inlineStr"/>
      <c r="R332" s="31" t="inlineStr">
        <is>
          <t>Earnings / Momentum Support</t>
        </is>
      </c>
      <c r="S332" s="31" t="inlineStr">
        <is>
          <t>Nifty 50</t>
        </is>
      </c>
      <c r="T332" s="32" t="n">
        <v>-2.54</v>
      </c>
      <c r="U332" s="32" t="n">
        <v>-3.05</v>
      </c>
      <c r="V332" s="32" t="n">
        <v>-0.52</v>
      </c>
      <c r="W332" s="32" t="n">
        <v>10.31</v>
      </c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Oligopoly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Yes</t>
        </is>
      </c>
      <c r="AC332" s="31">
        <f>IF(AB332="No",5,0)</f>
        <v/>
      </c>
      <c r="AD332" s="31" t="inlineStr">
        <is>
          <t>Headwind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0 to 20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3</t>
        </is>
      </c>
      <c r="BC332" s="31">
        <f>IF(BB332="Stage 2",20,IF(BB332="Stage 1",0,IF(BB332="Stage 3",5,IF(BB332="Stage 4",-5,0))))</f>
        <v/>
      </c>
      <c r="BD332" s="31" t="inlineStr">
        <is>
          <t>Negative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Less than 12%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Yes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Negative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Less than 0.7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IF(B333=0,"",RANK(B333,$B$2:$B$340,0))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3" t="inlineStr">
        <is>
          <t>RAJRATAN</t>
        </is>
      </c>
      <c r="D333" s="33" t="inlineStr">
        <is>
          <t>Rajratan Global Wire Ltd</t>
        </is>
      </c>
      <c r="E333" s="31" t="inlineStr">
        <is>
          <t>metals &amp; mining</t>
        </is>
      </c>
      <c r="F333" s="31" t="inlineStr">
        <is>
          <t>steel - medium / small</t>
        </is>
      </c>
      <c r="G333" s="31" t="inlineStr">
        <is>
          <t>smallcap</t>
        </is>
      </c>
      <c r="H333" s="32" t="n">
        <v>2466.71</v>
      </c>
      <c r="I333" s="32" t="n">
        <v>483.6</v>
      </c>
      <c r="J333" s="32" t="n">
        <v>-0.46</v>
      </c>
      <c r="K333" s="32" t="n">
        <v>96843</v>
      </c>
      <c r="L333" s="31" t="n">
        <v>55</v>
      </c>
      <c r="M333" s="31" t="inlineStr">
        <is>
          <t>Underperforming</t>
        </is>
      </c>
      <c r="N333" s="32">
        <f>IF(M333="Underperforming",-5,IF(L333&gt;=95,15,IF(L333&gt;=90,10,IF(L333&gt;=80,5,0))))</f>
        <v/>
      </c>
      <c r="O333" s="32" t="n">
        <v>61.25</v>
      </c>
      <c r="P333" s="32" t="n">
        <v>11.37</v>
      </c>
      <c r="Q333" s="32" t="inlineStr"/>
      <c r="R333" s="31" t="inlineStr">
        <is>
          <t>Earnings / Momentum Support</t>
        </is>
      </c>
      <c r="S333" s="31" t="inlineStr">
        <is>
          <t>Nifty Metal</t>
        </is>
      </c>
      <c r="T333" s="32" t="n">
        <v>31.49</v>
      </c>
      <c r="U333" s="32" t="n">
        <v>16.62</v>
      </c>
      <c r="V333" s="32" t="n">
        <v>-11.31</v>
      </c>
      <c r="W333" s="32" t="n">
        <v>9.619999999999999</v>
      </c>
      <c r="X333" s="31" t="inlineStr">
        <is>
          <t>Cyclical in an Upturn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Headwind</t>
        </is>
      </c>
      <c r="AE333" s="31">
        <f>IF(AD333="Tailwind",10,0)</f>
        <v/>
      </c>
      <c r="AF333" s="31" t="inlineStr">
        <is>
          <t>Cyclical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Volatile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3</t>
        </is>
      </c>
      <c r="BC333" s="31">
        <f>IF(BB333="Stage 2",20,IF(BB333="Stage 1",0,IF(BB333="Stage 3",5,IF(BB333="Stage 4",-5,0))))</f>
        <v/>
      </c>
      <c r="BD333" s="31" t="inlineStr">
        <is>
          <t>Negative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Less than 12%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No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Between 50% to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IF(B334=0,"",RANK(B334,$B$2:$B$340,0))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1" t="inlineStr">
        <is>
          <t>ICEMAKE</t>
        </is>
      </c>
      <c r="D334" s="31" t="inlineStr">
        <is>
          <t>ICE Make Refrigeration Ltd</t>
        </is>
      </c>
      <c r="E334" s="31" t="inlineStr">
        <is>
          <t>industrials</t>
        </is>
      </c>
      <c r="F334" s="31" t="inlineStr">
        <is>
          <t>engineering</t>
        </is>
      </c>
      <c r="G334" s="31" t="inlineStr">
        <is>
          <t>smallcap</t>
        </is>
      </c>
      <c r="H334" s="32" t="n">
        <v>1263.64</v>
      </c>
      <c r="I334" s="32" t="n">
        <v>831</v>
      </c>
      <c r="J334" s="32" t="n">
        <v>3.77</v>
      </c>
      <c r="K334" s="32" t="n">
        <v>89253</v>
      </c>
      <c r="L334" s="31" t="n">
        <v>9</v>
      </c>
      <c r="M334" s="31" t="inlineStr">
        <is>
          <t>Outperforming</t>
        </is>
      </c>
      <c r="N334" s="32">
        <f>IF(M334="Underperforming",-5,IF(L334&gt;=95,15,IF(L334&gt;=90,10,IF(L334&gt;=80,5,0))))</f>
        <v/>
      </c>
      <c r="O334" s="32" t="n">
        <v>53.33</v>
      </c>
      <c r="P334" s="32" t="n">
        <v>16.9</v>
      </c>
      <c r="Q334" s="32" t="inlineStr"/>
      <c r="R334" s="31" t="inlineStr">
        <is>
          <t>Earnings / Momentum Support</t>
        </is>
      </c>
      <c r="S334" s="31" t="inlineStr">
        <is>
          <t>Nifty 50</t>
        </is>
      </c>
      <c r="T334" s="32" t="n">
        <v>-2.54</v>
      </c>
      <c r="U334" s="32" t="n">
        <v>-0.12</v>
      </c>
      <c r="V334" s="32" t="n">
        <v>2.48</v>
      </c>
      <c r="W334" s="32" t="n">
        <v>-0.14</v>
      </c>
      <c r="X334" s="31" t="inlineStr">
        <is>
          <t>Cyclical in an Upturn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Headwind</t>
        </is>
      </c>
      <c r="AE334" s="31">
        <f>IF(AD334="Tailwind",10,0)</f>
        <v/>
      </c>
      <c r="AF334" s="31" t="inlineStr">
        <is>
          <t>Structural (10 Years Consistency)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Stable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0 to 20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3</t>
        </is>
      </c>
      <c r="BC334" s="31">
        <f>IF(BB334="Stage 2",20,IF(BB334="Stage 1",0,IF(BB334="Stage 3",5,IF(BB334="Stage 4",-5,0))))</f>
        <v/>
      </c>
      <c r="BD334" s="31" t="inlineStr">
        <is>
          <t>Negative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Less than 12%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Yes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Negative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Between 0.7 to 1.2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IF(B335=0,"",RANK(B335,$B$2:$B$340,0))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3" t="inlineStr">
        <is>
          <t>GRAVITA</t>
        </is>
      </c>
      <c r="D335" s="33" t="inlineStr">
        <is>
          <t>Gravita India Limited</t>
        </is>
      </c>
      <c r="E335" s="31" t="inlineStr">
        <is>
          <t>metals &amp; mining</t>
        </is>
      </c>
      <c r="F335" s="31" t="inlineStr">
        <is>
          <t>mining / minerals / metals</t>
        </is>
      </c>
      <c r="G335" s="31" t="inlineStr">
        <is>
          <t>midcap</t>
        </is>
      </c>
      <c r="H335" s="32" t="n">
        <v>13419.85</v>
      </c>
      <c r="I335" s="32" t="n">
        <v>1809.6</v>
      </c>
      <c r="J335" s="32" t="n">
        <v>-0.47</v>
      </c>
      <c r="K335" s="32" t="n">
        <v>116982</v>
      </c>
      <c r="L335" s="31" t="n">
        <v>24</v>
      </c>
      <c r="M335" s="31" t="inlineStr">
        <is>
          <t>Underperforming</t>
        </is>
      </c>
      <c r="N335" s="32">
        <f>IF(M335="Underperforming",-5,IF(L335&gt;=95,15,IF(L335&gt;=90,10,IF(L335&gt;=80,5,0))))</f>
        <v/>
      </c>
      <c r="O335" s="32" t="n">
        <v>58.5</v>
      </c>
      <c r="P335" s="32" t="n">
        <v>16.74</v>
      </c>
      <c r="Q335" s="32" t="inlineStr"/>
      <c r="R335" s="31" t="inlineStr">
        <is>
          <t>Earnings / Momentum Support</t>
        </is>
      </c>
      <c r="S335" s="31" t="inlineStr">
        <is>
          <t>Nifty Metal</t>
        </is>
      </c>
      <c r="T335" s="32" t="n">
        <v>31.49</v>
      </c>
      <c r="U335" s="32" t="n">
        <v>5.54</v>
      </c>
      <c r="V335" s="32" t="n">
        <v>-19.73</v>
      </c>
      <c r="W335" s="32" t="n">
        <v>3.44</v>
      </c>
      <c r="X335" s="31" t="inlineStr">
        <is>
          <t>Cyclical in an Upturn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Headwind</t>
        </is>
      </c>
      <c r="AE335" s="31">
        <f>IF(AD335="Tailwind",10,0)</f>
        <v/>
      </c>
      <c r="AF335" s="31" t="inlineStr">
        <is>
          <t>Cyclical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Volatile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0 to 20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3</t>
        </is>
      </c>
      <c r="BC335" s="31">
        <f>IF(BB335="Stage 2",20,IF(BB335="Stage 1",0,IF(BB335="Stage 3",5,IF(BB335="Stage 4",-5,0))))</f>
        <v/>
      </c>
      <c r="BD335" s="31" t="inlineStr">
        <is>
          <t>Negative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Less than 12%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No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Less than 50%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IF(B336=0,"",RANK(B336,$B$2:$B$340,0))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1" t="inlineStr">
        <is>
          <t>SGIL</t>
        </is>
      </c>
      <c r="D336" s="31" t="inlineStr">
        <is>
          <t>Synergy Green Industries Ltd</t>
        </is>
      </c>
      <c r="E336" s="31" t="inlineStr">
        <is>
          <t>industrials</t>
        </is>
      </c>
      <c r="F336" s="31" t="inlineStr">
        <is>
          <t>castings &amp; forgings</t>
        </is>
      </c>
      <c r="G336" s="31" t="inlineStr">
        <is>
          <t>smallcap</t>
        </is>
      </c>
      <c r="H336" s="32" t="n">
        <v>925.4299999999999</v>
      </c>
      <c r="I336" s="32" t="n">
        <v>609</v>
      </c>
      <c r="J336" s="32" t="n">
        <v>2.28</v>
      </c>
      <c r="K336" s="32" t="n">
        <v>6975</v>
      </c>
      <c r="L336" s="31" t="n">
        <v>35</v>
      </c>
      <c r="M336" s="31" t="inlineStr">
        <is>
          <t>Outperforming</t>
        </is>
      </c>
      <c r="N336" s="32">
        <f>IF(M336="Underperforming",-5,IF(L336&gt;=95,15,IF(L336&gt;=90,10,IF(L336&gt;=80,5,0))))</f>
        <v/>
      </c>
      <c r="O336" s="32" t="n">
        <v>58.95</v>
      </c>
      <c r="P336" s="32" t="n">
        <v>17.93</v>
      </c>
      <c r="Q336" s="32" t="inlineStr"/>
      <c r="R336" s="31" t="inlineStr">
        <is>
          <t>Earnings / Momentum Support</t>
        </is>
      </c>
      <c r="S336" s="31" t="inlineStr">
        <is>
          <t>Nifty Infra</t>
        </is>
      </c>
      <c r="T336" s="32" t="n">
        <v>1.74</v>
      </c>
      <c r="U336" s="32" t="n">
        <v>11.73</v>
      </c>
      <c r="V336" s="32" t="n">
        <v>9.81</v>
      </c>
      <c r="W336" s="32" t="n">
        <v>5.57</v>
      </c>
      <c r="X336" s="31" t="inlineStr">
        <is>
          <t>Cyclical in an Upturn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Headwind</t>
        </is>
      </c>
      <c r="AE336" s="31">
        <f>IF(AD336="Tailwind",10,0)</f>
        <v/>
      </c>
      <c r="AF336" s="31" t="inlineStr">
        <is>
          <t>Structural (10 Years Consistency)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Stable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0 to 20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3</t>
        </is>
      </c>
      <c r="BC336" s="31">
        <f>IF(BB336="Stage 2",20,IF(BB336="Stage 1",0,IF(BB336="Stage 3",5,IF(BB336="Stage 4",-5,0))))</f>
        <v/>
      </c>
      <c r="BD336" s="31" t="inlineStr">
        <is>
          <t>Negative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Less than 12%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Yes</t>
        </is>
      </c>
      <c r="BS336" s="31">
        <f>IF(BR336="NO",5,0)</f>
        <v/>
      </c>
      <c r="BT336" s="31" t="inlineStr">
        <is>
          <t>Above 2</t>
        </is>
      </c>
      <c r="BU336" s="31">
        <f>IF(BT336="Above 2",0,IF(BT336="Between 1.5 to 2",5,IF(BT336="Less than 1.5",10,0)))</f>
        <v/>
      </c>
      <c r="BV336" s="31" t="inlineStr">
        <is>
          <t>Less than 50% and Borrowings are increasing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More than 1.2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IF(B337=0,"",RANK(B337,$B$2:$B$340,0))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1" t="inlineStr">
        <is>
          <t>GABRIEL</t>
        </is>
      </c>
      <c r="D337" s="31" t="inlineStr">
        <is>
          <t>Gabriel India Limited</t>
        </is>
      </c>
      <c r="E337" s="31" t="inlineStr">
        <is>
          <t>auto</t>
        </is>
      </c>
      <c r="F337" s="31" t="inlineStr">
        <is>
          <t>auto ancillaries</t>
        </is>
      </c>
      <c r="G337" s="31" t="inlineStr">
        <is>
          <t>largecap</t>
        </is>
      </c>
      <c r="H337" s="32" t="n">
        <v>23688.56</v>
      </c>
      <c r="I337" s="32" t="n">
        <v>1398</v>
      </c>
      <c r="J337" s="32" t="n">
        <v>4.59</v>
      </c>
      <c r="K337" s="32" t="n">
        <v>3715082</v>
      </c>
      <c r="L337" s="31" t="inlineStr"/>
      <c r="M337" s="31" t="inlineStr"/>
      <c r="N337" s="32">
        <f>IF(M337="Underperforming",-5,IF(L337&gt;=95,15,IF(L337&gt;=90,10,IF(L337&gt;=80,5,0))))</f>
        <v/>
      </c>
      <c r="O337" s="32" t="inlineStr"/>
      <c r="P337" s="32" t="inlineStr"/>
      <c r="Q337" s="32" t="inlineStr"/>
      <c r="R337" s="31" t="inlineStr"/>
      <c r="S337" s="31" t="inlineStr"/>
      <c r="T337" s="32" t="inlineStr"/>
      <c r="U337" s="32" t="inlineStr"/>
      <c r="V337" s="32" t="inlineStr"/>
      <c r="W337" s="32" t="inlineStr"/>
      <c r="X337" s="31" t="n"/>
      <c r="Y337" s="31">
        <f>IF(X337="Growing Industry",10,IF(X337="Cyclical in an Upturn",5,0))</f>
        <v/>
      </c>
      <c r="Z337" s="31" t="n"/>
      <c r="AA337" s="31">
        <f>IF(Z337="Monopoly",10,IF(Z337="Oligopoly",5,IF(Z337="Duopoly that cooperate",10,IF(Z337="Duopoly that compete",5,IF(Z337="Too many players with High ROCE",5,0)))))</f>
        <v/>
      </c>
      <c r="AB337" s="31" t="n"/>
      <c r="AC337" s="31">
        <f>IF(AB337="No",5,0)</f>
        <v/>
      </c>
      <c r="AD337" s="31" t="n"/>
      <c r="AE337" s="31">
        <f>IF(AD337="Tailwind",10,0)</f>
        <v/>
      </c>
      <c r="AF337" s="31" t="n"/>
      <c r="AG337" s="31">
        <f>IF(AF337="Structural (10 Years Consistency)",10,IF(AF337="Shallow Cyclical (2 to 3 years growth)",5,0))</f>
        <v/>
      </c>
      <c r="AH337" s="31" t="n"/>
      <c r="AI337" s="31">
        <f>IF(AH337="Yes due to Product Mix change or Operating Leverage",10,IF(AH337="Yes, these are peak margins",-5,IF(AH337="No",5,0)))</f>
        <v/>
      </c>
      <c r="AJ337" s="31" t="n"/>
      <c r="AK337" s="31">
        <f>IF(AJ337="Stable",10,0)</f>
        <v/>
      </c>
      <c r="AL337" s="31" t="n"/>
      <c r="AM337" s="31">
        <f>IF(AL337="Yes",10,0)</f>
        <v/>
      </c>
      <c r="AN337" s="31" t="n"/>
      <c r="AO337" s="31">
        <f>IF(AN337="B2C",10,IF(AN337="B2B",5,0))</f>
        <v/>
      </c>
      <c r="AP337" s="31" t="n"/>
      <c r="AQ337" s="31">
        <f>IF(AP337="Yes",10,0)</f>
        <v/>
      </c>
      <c r="AR337" s="31" t="n"/>
      <c r="AS337" s="31">
        <f>IF(AR337="Fully Annuity",10,IF(AR337="Higher Annuity, Lower One Time",5,IF(AR337="Higher One Time, Lower Annuity",3,0)))</f>
        <v/>
      </c>
      <c r="AT337" s="31" t="n"/>
      <c r="AU337" s="31">
        <f>IF(AT337="Good",10,0)</f>
        <v/>
      </c>
      <c r="AV337" s="31" t="n"/>
      <c r="AW337" s="31">
        <f>IF(AV337="Yes for more than 2 years",10,IF(AV337="Yes only for next 1 to 2 years",5,0))</f>
        <v/>
      </c>
      <c r="AX337" s="31" t="n"/>
      <c r="AY337" s="31">
        <f>IF(AX337="Above 40",20,IF(AX337="20 to 40",10,IF(AX337="0 to 20",-5,0)))</f>
        <v/>
      </c>
      <c r="AZ337" s="31" t="n"/>
      <c r="BA337" s="31">
        <f>IF(AZ337="Between 50 to 75",10,IF(AZ337="Above 75",0,0))</f>
        <v/>
      </c>
      <c r="BB337" s="31" t="n"/>
      <c r="BC337" s="31">
        <f>IF(BB337="Stage 2",20,IF(BB337="Stage 1",0,IF(BB337="Stage 3",5,IF(BB337="Stage 4",-5,0))))</f>
        <v/>
      </c>
      <c r="BD337" s="31" t="n"/>
      <c r="BE337" s="31">
        <f>IF(BD337="Positive Trend",20,IF(BD337="Negative Trend",-10,0))</f>
        <v/>
      </c>
      <c r="BF337" s="31" t="n"/>
      <c r="BG337" s="31">
        <f>IF(BF337="Uptrend",10,IF(BF337="Sideways",5,0))</f>
        <v/>
      </c>
      <c r="BH337" s="31" t="n"/>
      <c r="BI337" s="31">
        <f>IF(BH337="Uptrend",10,IF(BH337="Sideways",5,0))</f>
        <v/>
      </c>
      <c r="BJ337" s="31" t="n"/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n"/>
      <c r="BM337" s="31">
        <f>IF(BL337="Yes",10,0)</f>
        <v/>
      </c>
      <c r="BN337" s="31" t="n"/>
      <c r="BO337" s="31">
        <f>IF(BN337="More than 20%",10,IF(BN337="Between 12 to 20%",5,IF(BN337="Less than 12%",0,0)))</f>
        <v/>
      </c>
      <c r="BP337" s="31" t="n"/>
      <c r="BQ337" s="31">
        <f>IF(BP337="No",10,0)</f>
        <v/>
      </c>
      <c r="BR337" s="31" t="n"/>
      <c r="BS337" s="31">
        <f>IF(BR337="NO",5,0)</f>
        <v/>
      </c>
      <c r="BT337" s="31" t="n"/>
      <c r="BU337" s="31">
        <f>IF(BT337="Above 2",0,IF(BT337="Between 1.5 to 2",5,IF(BT337="Less than 1.5",10,0)))</f>
        <v/>
      </c>
      <c r="BV337" s="31" t="n"/>
      <c r="BW337" s="31">
        <f>IF(BV337="Above 70%",10,IF(BV337="Between 50% to 70%",5,IF(BV337="Less than 50%",0,IF(BV337="Negative",-10,IF(BV337="Less than 50% and Borrowings are increasing",-5,0)))))</f>
        <v/>
      </c>
      <c r="BX337" s="31" t="n"/>
      <c r="BY337" s="31">
        <f>IF(BX337="More than 1.2",-10,IF(BX337="Between 0.7 to 1.2",0,IF(BX337="Less than 0.7",10,0)))</f>
        <v/>
      </c>
      <c r="BZ337" s="31" t="n"/>
      <c r="CA337" s="31">
        <f>IF(BZ337="Yes",-10,0)</f>
        <v/>
      </c>
      <c r="CB337" s="31" t="n"/>
      <c r="CC337" s="31">
        <f>IF(CB337="More than 15%",-10,IF(CB337="Less than 15%",10,0))</f>
        <v/>
      </c>
      <c r="CD337" s="31" t="n"/>
      <c r="CE337" s="31">
        <f>IF(CD337="Yes, more than 10%",-10,IF(CD337="No",10,0))</f>
        <v/>
      </c>
    </row>
    <row r="338">
      <c r="A338" s="31">
        <f>IF(B338=0,"",RANK(B338,$B$2:$B$340,0))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1" t="inlineStr">
        <is>
          <t>SAREGAMA</t>
        </is>
      </c>
      <c r="D338" s="31" t="inlineStr">
        <is>
          <t>Saregama India Limited</t>
        </is>
      </c>
      <c r="E338" s="31" t="inlineStr">
        <is>
          <t>media</t>
        </is>
      </c>
      <c r="F338" s="31" t="inlineStr">
        <is>
          <t>entertainment / electronic media software</t>
        </is>
      </c>
      <c r="G338" s="31" t="inlineStr">
        <is>
          <t>midcap</t>
        </is>
      </c>
      <c r="H338" s="32" t="n">
        <v>9541.18</v>
      </c>
      <c r="I338" s="32" t="n">
        <v>514.15</v>
      </c>
      <c r="J338" s="32" t="n">
        <v>3.9</v>
      </c>
      <c r="K338" s="32" t="n">
        <v>2403209</v>
      </c>
      <c r="L338" s="31" t="inlineStr"/>
      <c r="M338" s="31" t="inlineStr"/>
      <c r="N338" s="32">
        <f>IF(M338="Underperforming",-5,IF(L338&gt;=95,15,IF(L338&gt;=90,10,IF(L338&gt;=80,5,0))))</f>
        <v/>
      </c>
      <c r="O338" s="32" t="inlineStr"/>
      <c r="P338" s="32" t="inlineStr"/>
      <c r="Q338" s="32" t="inlineStr"/>
      <c r="R338" s="31" t="inlineStr"/>
      <c r="S338" s="31" t="inlineStr"/>
      <c r="T338" s="32" t="inlineStr"/>
      <c r="U338" s="32" t="inlineStr"/>
      <c r="V338" s="32" t="inlineStr"/>
      <c r="W338" s="32" t="inlineStr"/>
      <c r="X338" s="31" t="n"/>
      <c r="Y338" s="31">
        <f>IF(X338="Growing Industry",10,IF(X338="Cyclical in an Upturn",5,0))</f>
        <v/>
      </c>
      <c r="Z338" s="31" t="n"/>
      <c r="AA338" s="31">
        <f>IF(Z338="Monopoly",10,IF(Z338="Oligopoly",5,IF(Z338="Duopoly that cooperate",10,IF(Z338="Duopoly that compete",5,IF(Z338="Too many players with High ROCE",5,0)))))</f>
        <v/>
      </c>
      <c r="AB338" s="31" t="n"/>
      <c r="AC338" s="31">
        <f>IF(AB338="No",5,0)</f>
        <v/>
      </c>
      <c r="AD338" s="31" t="n"/>
      <c r="AE338" s="31">
        <f>IF(AD338="Tailwind",10,0)</f>
        <v/>
      </c>
      <c r="AF338" s="31" t="n"/>
      <c r="AG338" s="31">
        <f>IF(AF338="Structural (10 Years Consistency)",10,IF(AF338="Shallow Cyclical (2 to 3 years growth)",5,0))</f>
        <v/>
      </c>
      <c r="AH338" s="31" t="n"/>
      <c r="AI338" s="31">
        <f>IF(AH338="Yes due to Product Mix change or Operating Leverage",10,IF(AH338="Yes, these are peak margins",-5,IF(AH338="No",5,0)))</f>
        <v/>
      </c>
      <c r="AJ338" s="31" t="n"/>
      <c r="AK338" s="31">
        <f>IF(AJ338="Stable",10,0)</f>
        <v/>
      </c>
      <c r="AL338" s="31" t="n"/>
      <c r="AM338" s="31">
        <f>IF(AL338="Yes",10,0)</f>
        <v/>
      </c>
      <c r="AN338" s="31" t="n"/>
      <c r="AO338" s="31">
        <f>IF(AN338="B2C",10,IF(AN338="B2B",5,0))</f>
        <v/>
      </c>
      <c r="AP338" s="31" t="n"/>
      <c r="AQ338" s="31">
        <f>IF(AP338="Yes",10,0)</f>
        <v/>
      </c>
      <c r="AR338" s="31" t="n"/>
      <c r="AS338" s="31">
        <f>IF(AR338="Fully Annuity",10,IF(AR338="Higher Annuity, Lower One Time",5,IF(AR338="Higher One Time, Lower Annuity",3,0)))</f>
        <v/>
      </c>
      <c r="AT338" s="31" t="n"/>
      <c r="AU338" s="31">
        <f>IF(AT338="Good",10,0)</f>
        <v/>
      </c>
      <c r="AV338" s="31" t="n"/>
      <c r="AW338" s="31">
        <f>IF(AV338="Yes for more than 2 years",10,IF(AV338="Yes only for next 1 to 2 years",5,0))</f>
        <v/>
      </c>
      <c r="AX338" s="31" t="n"/>
      <c r="AY338" s="31">
        <f>IF(AX338="Above 40",20,IF(AX338="20 to 40",10,IF(AX338="0 to 20",-5,0)))</f>
        <v/>
      </c>
      <c r="AZ338" s="31" t="n"/>
      <c r="BA338" s="31">
        <f>IF(AZ338="Between 50 to 75",10,IF(AZ338="Above 75",0,0))</f>
        <v/>
      </c>
      <c r="BB338" s="31" t="n"/>
      <c r="BC338" s="31">
        <f>IF(BB338="Stage 2",20,IF(BB338="Stage 1",0,IF(BB338="Stage 3",5,IF(BB338="Stage 4",-5,0))))</f>
        <v/>
      </c>
      <c r="BD338" s="31" t="n"/>
      <c r="BE338" s="31">
        <f>IF(BD338="Positive Trend",20,IF(BD338="Negative Trend",-10,0))</f>
        <v/>
      </c>
      <c r="BF338" s="31" t="n"/>
      <c r="BG338" s="31">
        <f>IF(BF338="Uptrend",10,IF(BF338="Sideways",5,0))</f>
        <v/>
      </c>
      <c r="BH338" s="31" t="n"/>
      <c r="BI338" s="31">
        <f>IF(BH338="Uptrend",10,IF(BH338="Sideways",5,0))</f>
        <v/>
      </c>
      <c r="BJ338" s="31" t="n"/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n"/>
      <c r="BM338" s="31">
        <f>IF(BL338="Yes",10,0)</f>
        <v/>
      </c>
      <c r="BN338" s="31" t="n"/>
      <c r="BO338" s="31">
        <f>IF(BN338="More than 20%",10,IF(BN338="Between 12 to 20%",5,IF(BN338="Less than 12%",0,0)))</f>
        <v/>
      </c>
      <c r="BP338" s="31" t="n"/>
      <c r="BQ338" s="31">
        <f>IF(BP338="No",10,0)</f>
        <v/>
      </c>
      <c r="BR338" s="31" t="n"/>
      <c r="BS338" s="31">
        <f>IF(BR338="NO",5,0)</f>
        <v/>
      </c>
      <c r="BT338" s="31" t="n"/>
      <c r="BU338" s="31">
        <f>IF(BT338="Above 2",0,IF(BT338="Between 1.5 to 2",5,IF(BT338="Less than 1.5",10,0)))</f>
        <v/>
      </c>
      <c r="BV338" s="31" t="n"/>
      <c r="BW338" s="31">
        <f>IF(BV338="Above 70%",10,IF(BV338="Between 50% to 70%",5,IF(BV338="Less than 50%",0,IF(BV338="Negative",-10,IF(BV338="Less than 50% and Borrowings are increasing",-5,0)))))</f>
        <v/>
      </c>
      <c r="BX338" s="31" t="n"/>
      <c r="BY338" s="31">
        <f>IF(BX338="More than 1.2",-10,IF(BX338="Between 0.7 to 1.2",0,IF(BX338="Less than 0.7",10,0)))</f>
        <v/>
      </c>
      <c r="BZ338" s="31" t="n"/>
      <c r="CA338" s="31">
        <f>IF(BZ338="Yes",-10,0)</f>
        <v/>
      </c>
      <c r="CB338" s="31" t="n"/>
      <c r="CC338" s="31">
        <f>IF(CB338="More than 15%",-10,IF(CB338="Less than 15%",10,0))</f>
        <v/>
      </c>
      <c r="CD338" s="31" t="n"/>
      <c r="CE338" s="31">
        <f>IF(CD338="Yes, more than 10%",-10,IF(CD338="No",10,0))</f>
        <v/>
      </c>
    </row>
    <row r="339">
      <c r="A339" s="31">
        <f>IF(B339=0,"",RANK(B339,$B$2:$B$340,0))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1" t="inlineStr">
        <is>
          <t>CENTENKA</t>
        </is>
      </c>
      <c r="D339" s="31" t="inlineStr">
        <is>
          <t>Century Enka Limited</t>
        </is>
      </c>
      <c r="E339" s="31" t="inlineStr">
        <is>
          <t>textiles</t>
        </is>
      </c>
      <c r="F339" s="31" t="inlineStr">
        <is>
          <t>textiles - manmade</t>
        </is>
      </c>
      <c r="G339" s="31" t="inlineStr">
        <is>
          <t>smallcap</t>
        </is>
      </c>
      <c r="H339" s="32" t="n">
        <v>1182.99</v>
      </c>
      <c r="I339" s="32" t="n">
        <v>553</v>
      </c>
      <c r="J339" s="32" t="n">
        <v>2.14</v>
      </c>
      <c r="K339" s="32" t="n">
        <v>39243</v>
      </c>
      <c r="L339" s="31" t="inlineStr"/>
      <c r="M339" s="31" t="inlineStr"/>
      <c r="N339" s="32">
        <f>IF(M339="Underperforming",-5,IF(L339&gt;=95,15,IF(L339&gt;=90,10,IF(L339&gt;=80,5,0))))</f>
        <v/>
      </c>
      <c r="O339" s="32" t="inlineStr"/>
      <c r="P339" s="32" t="inlineStr"/>
      <c r="Q339" s="32" t="inlineStr"/>
      <c r="R339" s="31" t="inlineStr"/>
      <c r="S339" s="31" t="inlineStr"/>
      <c r="T339" s="32" t="inlineStr"/>
      <c r="U339" s="32" t="inlineStr"/>
      <c r="V339" s="32" t="inlineStr"/>
      <c r="W339" s="32" t="inlineStr"/>
      <c r="X339" s="31" t="n"/>
      <c r="Y339" s="31">
        <f>IF(X339="Growing Industry",10,IF(X339="Cyclical in an Upturn",5,0))</f>
        <v/>
      </c>
      <c r="Z339" s="31" t="n"/>
      <c r="AA339" s="31">
        <f>IF(Z339="Monopoly",10,IF(Z339="Oligopoly",5,IF(Z339="Duopoly that cooperate",10,IF(Z339="Duopoly that compete",5,IF(Z339="Too many players with High ROCE",5,0)))))</f>
        <v/>
      </c>
      <c r="AB339" s="31" t="n"/>
      <c r="AC339" s="31">
        <f>IF(AB339="No",5,0)</f>
        <v/>
      </c>
      <c r="AD339" s="31" t="n"/>
      <c r="AE339" s="31">
        <f>IF(AD339="Tailwind",10,0)</f>
        <v/>
      </c>
      <c r="AF339" s="31" t="n"/>
      <c r="AG339" s="31">
        <f>IF(AF339="Structural (10 Years Consistency)",10,IF(AF339="Shallow Cyclical (2 to 3 years growth)",5,0))</f>
        <v/>
      </c>
      <c r="AH339" s="31" t="n"/>
      <c r="AI339" s="31">
        <f>IF(AH339="Yes due to Product Mix change or Operating Leverage",10,IF(AH339="Yes, these are peak margins",-5,IF(AH339="No",5,0)))</f>
        <v/>
      </c>
      <c r="AJ339" s="31" t="n"/>
      <c r="AK339" s="31">
        <f>IF(AJ339="Stable",10,0)</f>
        <v/>
      </c>
      <c r="AL339" s="31" t="n"/>
      <c r="AM339" s="31">
        <f>IF(AL339="Yes",10,0)</f>
        <v/>
      </c>
      <c r="AN339" s="31" t="n"/>
      <c r="AO339" s="31">
        <f>IF(AN339="B2C",10,IF(AN339="B2B",5,0))</f>
        <v/>
      </c>
      <c r="AP339" s="31" t="n"/>
      <c r="AQ339" s="31">
        <f>IF(AP339="Yes",10,0)</f>
        <v/>
      </c>
      <c r="AR339" s="31" t="n"/>
      <c r="AS339" s="31">
        <f>IF(AR339="Fully Annuity",10,IF(AR339="Higher Annuity, Lower One Time",5,IF(AR339="Higher One Time, Lower Annuity",3,0)))</f>
        <v/>
      </c>
      <c r="AT339" s="31" t="n"/>
      <c r="AU339" s="31">
        <f>IF(AT339="Good",10,0)</f>
        <v/>
      </c>
      <c r="AV339" s="31" t="n"/>
      <c r="AW339" s="31">
        <f>IF(AV339="Yes for more than 2 years",10,IF(AV339="Yes only for next 1 to 2 years",5,0))</f>
        <v/>
      </c>
      <c r="AX339" s="31" t="n"/>
      <c r="AY339" s="31">
        <f>IF(AX339="Above 40",20,IF(AX339="20 to 40",10,IF(AX339="0 to 20",-5,0)))</f>
        <v/>
      </c>
      <c r="AZ339" s="31" t="n"/>
      <c r="BA339" s="31">
        <f>IF(AZ339="Between 50 to 75",10,IF(AZ339="Above 75",0,0))</f>
        <v/>
      </c>
      <c r="BB339" s="31" t="n"/>
      <c r="BC339" s="31">
        <f>IF(BB339="Stage 2",20,IF(BB339="Stage 1",0,IF(BB339="Stage 3",5,IF(BB339="Stage 4",-5,0))))</f>
        <v/>
      </c>
      <c r="BD339" s="31" t="n"/>
      <c r="BE339" s="31">
        <f>IF(BD339="Positive Trend",20,IF(BD339="Negative Trend",-10,0))</f>
        <v/>
      </c>
      <c r="BF339" s="31" t="n"/>
      <c r="BG339" s="31">
        <f>IF(BF339="Uptrend",10,IF(BF339="Sideways",5,0))</f>
        <v/>
      </c>
      <c r="BH339" s="31" t="n"/>
      <c r="BI339" s="31">
        <f>IF(BH339="Uptrend",10,IF(BH339="Sideways",5,0))</f>
        <v/>
      </c>
      <c r="BJ339" s="31" t="n"/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n"/>
      <c r="BM339" s="31">
        <f>IF(BL339="Yes",10,0)</f>
        <v/>
      </c>
      <c r="BN339" s="31" t="n"/>
      <c r="BO339" s="31">
        <f>IF(BN339="More than 20%",10,IF(BN339="Between 12 to 20%",5,IF(BN339="Less than 12%",0,0)))</f>
        <v/>
      </c>
      <c r="BP339" s="31" t="n"/>
      <c r="BQ339" s="31">
        <f>IF(BP339="No",10,0)</f>
        <v/>
      </c>
      <c r="BR339" s="31" t="n"/>
      <c r="BS339" s="31">
        <f>IF(BR339="NO",5,0)</f>
        <v/>
      </c>
      <c r="BT339" s="31" t="n"/>
      <c r="BU339" s="31">
        <f>IF(BT339="Above 2",0,IF(BT339="Between 1.5 to 2",5,IF(BT339="Less than 1.5",10,0)))</f>
        <v/>
      </c>
      <c r="BV339" s="31" t="n"/>
      <c r="BW339" s="31">
        <f>IF(BV339="Above 70%",10,IF(BV339="Between 50% to 70%",5,IF(BV339="Less than 50%",0,IF(BV339="Negative",-10,IF(BV339="Less than 50% and Borrowings are increasing",-5,0)))))</f>
        <v/>
      </c>
      <c r="BX339" s="31" t="n"/>
      <c r="BY339" s="31">
        <f>IF(BX339="More than 1.2",-10,IF(BX339="Between 0.7 to 1.2",0,IF(BX339="Less than 0.7",10,0)))</f>
        <v/>
      </c>
      <c r="BZ339" s="31" t="n"/>
      <c r="CA339" s="31">
        <f>IF(BZ339="Yes",-10,0)</f>
        <v/>
      </c>
      <c r="CB339" s="31" t="n"/>
      <c r="CC339" s="31">
        <f>IF(CB339="More than 15%",-10,IF(CB339="Less than 15%",10,0))</f>
        <v/>
      </c>
      <c r="CD339" s="31" t="n"/>
      <c r="CE339" s="31">
        <f>IF(CD339="Yes, more than 10%",-10,IF(CD339="No",10,0))</f>
        <v/>
      </c>
    </row>
    <row r="340">
      <c r="A340" s="31">
        <f>IF(B340=0,"",RANK(B340,$B$2:$B$340,0))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1" t="inlineStr">
        <is>
          <t>MUKANDLTD</t>
        </is>
      </c>
      <c r="D340" s="31" t="inlineStr">
        <is>
          <t>Mukand Limited</t>
        </is>
      </c>
      <c r="E340" s="31" t="inlineStr">
        <is>
          <t>metals &amp; mining</t>
        </is>
      </c>
      <c r="F340" s="31" t="inlineStr">
        <is>
          <t>steel - medium / small</t>
        </is>
      </c>
      <c r="G340" s="31" t="inlineStr">
        <is>
          <t>smallcap</t>
        </is>
      </c>
      <c r="H340" s="32" t="n">
        <v>2105.16</v>
      </c>
      <c r="I340" s="32" t="n">
        <v>143.86</v>
      </c>
      <c r="J340" s="32" t="n">
        <v>-1.26</v>
      </c>
      <c r="K340" s="32" t="n">
        <v>121315</v>
      </c>
      <c r="L340" s="31" t="inlineStr"/>
      <c r="M340" s="31" t="inlineStr"/>
      <c r="N340" s="32">
        <f>IF(M340="Underperforming",-5,IF(L340&gt;=95,15,IF(L340&gt;=90,10,IF(L340&gt;=80,5,0))))</f>
        <v/>
      </c>
      <c r="O340" s="32" t="inlineStr"/>
      <c r="P340" s="32" t="inlineStr"/>
      <c r="Q340" s="32" t="inlineStr"/>
      <c r="R340" s="31" t="inlineStr"/>
      <c r="S340" s="31" t="inlineStr"/>
      <c r="T340" s="32" t="inlineStr"/>
      <c r="U340" s="32" t="inlineStr"/>
      <c r="V340" s="32" t="inlineStr"/>
      <c r="W340" s="32" t="inlineStr"/>
      <c r="X340" s="31" t="n"/>
      <c r="Y340" s="31">
        <f>IF(X340="Growing Industry",10,IF(X340="Cyclical in an Upturn",5,0))</f>
        <v/>
      </c>
      <c r="Z340" s="31" t="n"/>
      <c r="AA340" s="31">
        <f>IF(Z340="Monopoly",10,IF(Z340="Oligopoly",5,IF(Z340="Duopoly that cooperate",10,IF(Z340="Duopoly that compete",5,IF(Z340="Too many players with High ROCE",5,0)))))</f>
        <v/>
      </c>
      <c r="AB340" s="31" t="n"/>
      <c r="AC340" s="31">
        <f>IF(AB340="No",5,0)</f>
        <v/>
      </c>
      <c r="AD340" s="31" t="n"/>
      <c r="AE340" s="31">
        <f>IF(AD340="Tailwind",10,0)</f>
        <v/>
      </c>
      <c r="AF340" s="31" t="n"/>
      <c r="AG340" s="31">
        <f>IF(AF340="Structural (10 Years Consistency)",10,IF(AF340="Shallow Cyclical (2 to 3 years growth)",5,0))</f>
        <v/>
      </c>
      <c r="AH340" s="31" t="n"/>
      <c r="AI340" s="31">
        <f>IF(AH340="Yes due to Product Mix change or Operating Leverage",10,IF(AH340="Yes, these are peak margins",-5,IF(AH340="No",5,0)))</f>
        <v/>
      </c>
      <c r="AJ340" s="31" t="n"/>
      <c r="AK340" s="31">
        <f>IF(AJ340="Stable",10,0)</f>
        <v/>
      </c>
      <c r="AL340" s="31" t="n"/>
      <c r="AM340" s="31">
        <f>IF(AL340="Yes",10,0)</f>
        <v/>
      </c>
      <c r="AN340" s="31" t="n"/>
      <c r="AO340" s="31">
        <f>IF(AN340="B2C",10,IF(AN340="B2B",5,0))</f>
        <v/>
      </c>
      <c r="AP340" s="31" t="n"/>
      <c r="AQ340" s="31">
        <f>IF(AP340="Yes",10,0)</f>
        <v/>
      </c>
      <c r="AR340" s="31" t="n"/>
      <c r="AS340" s="31">
        <f>IF(AR340="Fully Annuity",10,IF(AR340="Higher Annuity, Lower One Time",5,IF(AR340="Higher One Time, Lower Annuity",3,0)))</f>
        <v/>
      </c>
      <c r="AT340" s="31" t="n"/>
      <c r="AU340" s="31">
        <f>IF(AT340="Good",10,0)</f>
        <v/>
      </c>
      <c r="AV340" s="31" t="n"/>
      <c r="AW340" s="31">
        <f>IF(AV340="Yes for more than 2 years",10,IF(AV340="Yes only for next 1 to 2 years",5,0))</f>
        <v/>
      </c>
      <c r="AX340" s="31" t="n"/>
      <c r="AY340" s="31">
        <f>IF(AX340="Above 40",20,IF(AX340="20 to 40",10,IF(AX340="0 to 20",-5,0)))</f>
        <v/>
      </c>
      <c r="AZ340" s="31" t="n"/>
      <c r="BA340" s="31">
        <f>IF(AZ340="Between 50 to 75",10,IF(AZ340="Above 75",0,0))</f>
        <v/>
      </c>
      <c r="BB340" s="31" t="n"/>
      <c r="BC340" s="31">
        <f>IF(BB340="Stage 2",20,IF(BB340="Stage 1",0,IF(BB340="Stage 3",5,IF(BB340="Stage 4",-5,0))))</f>
        <v/>
      </c>
      <c r="BD340" s="31" t="n"/>
      <c r="BE340" s="31">
        <f>IF(BD340="Positive Trend",20,IF(BD340="Negative Trend",-10,0))</f>
        <v/>
      </c>
      <c r="BF340" s="31" t="n"/>
      <c r="BG340" s="31">
        <f>IF(BF340="Uptrend",10,IF(BF340="Sideways",5,0))</f>
        <v/>
      </c>
      <c r="BH340" s="31" t="n"/>
      <c r="BI340" s="31">
        <f>IF(BH340="Uptrend",10,IF(BH340="Sideways",5,0))</f>
        <v/>
      </c>
      <c r="BJ340" s="31" t="n"/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n"/>
      <c r="BM340" s="31">
        <f>IF(BL340="Yes",10,0)</f>
        <v/>
      </c>
      <c r="BN340" s="31" t="n"/>
      <c r="BO340" s="31">
        <f>IF(BN340="More than 20%",10,IF(BN340="Between 12 to 20%",5,IF(BN340="Less than 12%",0,0)))</f>
        <v/>
      </c>
      <c r="BP340" s="31" t="n"/>
      <c r="BQ340" s="31">
        <f>IF(BP340="No",10,0)</f>
        <v/>
      </c>
      <c r="BR340" s="31" t="n"/>
      <c r="BS340" s="31">
        <f>IF(BR340="NO",5,0)</f>
        <v/>
      </c>
      <c r="BT340" s="31" t="n"/>
      <c r="BU340" s="31">
        <f>IF(BT340="Above 2",0,IF(BT340="Between 1.5 to 2",5,IF(BT340="Less than 1.5",10,0)))</f>
        <v/>
      </c>
      <c r="BV340" s="31" t="n"/>
      <c r="BW340" s="31">
        <f>IF(BV340="Above 70%",10,IF(BV340="Between 50% to 70%",5,IF(BV340="Less than 50%",0,IF(BV340="Negative",-10,IF(BV340="Less than 50% and Borrowings are increasing",-5,0)))))</f>
        <v/>
      </c>
      <c r="BX340" s="31" t="n"/>
      <c r="BY340" s="31">
        <f>IF(BX340="More than 1.2",-10,IF(BX340="Between 0.7 to 1.2",0,IF(BX340="Less than 0.7",10,0)))</f>
        <v/>
      </c>
      <c r="BZ340" s="31" t="n"/>
      <c r="CA340" s="31">
        <f>IF(BZ340="Yes",-10,0)</f>
        <v/>
      </c>
      <c r="CB340" s="31" t="n"/>
      <c r="CC340" s="31">
        <f>IF(CB340="More than 15%",-10,IF(CB340="Less than 15%",10,0))</f>
        <v/>
      </c>
      <c r="CD340" s="31" t="n"/>
      <c r="CE340" s="31">
        <f>IF(CD340="Yes, more than 10%",-10,IF(CD340="No",10,0))</f>
        <v/>
      </c>
    </row>
  </sheetData>
  <autoFilter ref="A1:CE340"/>
  <conditionalFormatting sqref="B2:B34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4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4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4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4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4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4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4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4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4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4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4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4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4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4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4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4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4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4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4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4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4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4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4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4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4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4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4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4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4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40">
    <cfRule type="cellIs" priority="36" operator="equal" dxfId="3" stopIfTrue="1">
      <formula>"Underperforming"</formula>
    </cfRule>
  </conditionalFormatting>
  <conditionalFormatting sqref="N2:N340">
    <cfRule type="cellIs" priority="37" operator="equal" dxfId="3" stopIfTrue="1">
      <formula>-5</formula>
    </cfRule>
  </conditionalFormatting>
  <conditionalFormatting sqref="Q2:Q340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40" showDropDown="0" showInputMessage="0" showErrorMessage="0" allowBlank="1" type="list">
      <formula1>"Growing Industry,Stagnant Industry,Cyclical in an Upturn"</formula1>
    </dataValidation>
    <dataValidation sqref="Z2:Z34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40" showDropDown="0" showInputMessage="0" showErrorMessage="0" allowBlank="1" type="list">
      <formula1>"Yes,No"</formula1>
    </dataValidation>
    <dataValidation sqref="AD2:AD340" showDropDown="0" showInputMessage="0" showErrorMessage="0" allowBlank="1" type="list">
      <formula1>"Tailwind,Headwind"</formula1>
    </dataValidation>
    <dataValidation sqref="AF2:AF340" showDropDown="0" showInputMessage="0" showErrorMessage="0" allowBlank="1" type="list">
      <formula1>"Structural (10 Years Consistency),Shallow Cyclical (2 to 3 Years Growth),Cyclical"</formula1>
    </dataValidation>
    <dataValidation sqref="AH2:AH340" showDropDown="0" showInputMessage="0" showErrorMessage="0" allowBlank="1" type="list">
      <formula1>"Yes due to Product Mix change or Operating Leverage,Yes, these are peak margins,No"</formula1>
    </dataValidation>
    <dataValidation sqref="AJ2:AJ340" showDropDown="0" showInputMessage="0" showErrorMessage="0" allowBlank="1" type="list">
      <formula1>"Stable,Volatile"</formula1>
    </dataValidation>
    <dataValidation sqref="AL2:AL340" showDropDown="0" showInputMessage="0" showErrorMessage="0" allowBlank="1" type="list">
      <formula1>"Yes,No"</formula1>
    </dataValidation>
    <dataValidation sqref="AN2:AN340" showDropDown="0" showInputMessage="0" showErrorMessage="0" allowBlank="1" type="list">
      <formula1>"B2C,B2B,B2G"</formula1>
    </dataValidation>
    <dataValidation sqref="AP2:AP340" showDropDown="0" showInputMessage="0" showErrorMessage="0" allowBlank="1" type="list">
      <formula1>"Yes,No"</formula1>
    </dataValidation>
    <dataValidation sqref="AR2:AR340" showDropDown="0" showInputMessage="0" showErrorMessage="0" allowBlank="1" type="list">
      <formula1>"Fully Annuity,Higher Annuity, Lower One time,Higher One Time, Lower Annuity,Fully One Time"</formula1>
    </dataValidation>
    <dataValidation sqref="AT2:AT340" showDropDown="0" showInputMessage="0" showErrorMessage="0" allowBlank="1" type="list">
      <formula1>"Good,Allocated capital in Non-core Areas"</formula1>
    </dataValidation>
    <dataValidation sqref="AV2:AV340" showDropDown="0" showInputMessage="0" showErrorMessage="0" allowBlank="1" type="list">
      <formula1>"Yes for more than 2 years,Yes only for next 1 to 2 years,No"</formula1>
    </dataValidation>
    <dataValidation sqref="AX2:AX340" showDropDown="0" showInputMessage="0" showErrorMessage="0" allowBlank="1" type="list">
      <formula1>"Above 40,20 to 40,0 to 20"</formula1>
    </dataValidation>
    <dataValidation sqref="AZ2:AZ340" showDropDown="0" showInputMessage="0" showErrorMessage="0" allowBlank="1" type="list">
      <formula1>"Between 50 to 75,Above 75,Below 45"</formula1>
    </dataValidation>
    <dataValidation sqref="BB2:BB340" showDropDown="0" showInputMessage="0" showErrorMessage="0" allowBlank="1" type="list">
      <formula1>"Stage 1,Stage 2,Stage 3,Stage 4"</formula1>
    </dataValidation>
    <dataValidation sqref="BD2:BD340" showDropDown="0" showInputMessage="0" showErrorMessage="0" allowBlank="1" type="list">
      <formula1>"Positive Trend,Negative Trend"</formula1>
    </dataValidation>
    <dataValidation sqref="BF2:BF340" showDropDown="0" showInputMessage="0" showErrorMessage="0" allowBlank="1" type="list">
      <formula1>"Uptrend,Sideways,Downtrend"</formula1>
    </dataValidation>
    <dataValidation sqref="BH2:BH340" showDropDown="0" showInputMessage="0" showErrorMessage="0" allowBlank="1" type="list">
      <formula1>"Uptrend,Sideways,Downtrend"</formula1>
    </dataValidation>
    <dataValidation sqref="BJ2:BJ34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40" showDropDown="0" showInputMessage="0" showErrorMessage="0" allowBlank="1" type="list">
      <formula1>"Yes,No"</formula1>
    </dataValidation>
    <dataValidation sqref="BN2:BN340" showDropDown="0" showInputMessage="0" showErrorMessage="0" allowBlank="1" type="list">
      <formula1>"More than 20%,Between 12 to 20%,Less than 12%"</formula1>
    </dataValidation>
    <dataValidation sqref="BP2:BP340" showDropDown="0" showInputMessage="0" showErrorMessage="0" allowBlank="1" type="list">
      <formula1>"Yes,No"</formula1>
    </dataValidation>
    <dataValidation sqref="BR2:BR340" showDropDown="0" showInputMessage="0" showErrorMessage="0" allowBlank="1" type="list">
      <formula1>"Yes,No"</formula1>
    </dataValidation>
    <dataValidation sqref="BT2:BT340" showDropDown="0" showInputMessage="0" showErrorMessage="0" allowBlank="1" type="list">
      <formula1>"Above 2,Between 1.5 to 2,Less than 1.5"</formula1>
    </dataValidation>
    <dataValidation sqref="BV2:BV340" showDropDown="0" showInputMessage="0" showErrorMessage="0" allowBlank="1" type="list">
      <formula1>"Above 70%,Between 50% to 70%,Less than 50%,Less than 50% and Borrowings are increasing,Negative"</formula1>
    </dataValidation>
    <dataValidation sqref="BX2:BX340" showDropDown="0" showInputMessage="0" showErrorMessage="0" allowBlank="1" type="list">
      <formula1>"More than 1.2,Between 0.7 to 1.2,Less than 0.7"</formula1>
    </dataValidation>
    <dataValidation sqref="BZ2:BZ340" showDropDown="0" showInputMessage="0" showErrorMessage="0" allowBlank="1" type="list">
      <formula1>"Yes,No"</formula1>
    </dataValidation>
    <dataValidation sqref="CB2:CB340" showDropDown="0" showInputMessage="0" showErrorMessage="0" allowBlank="1" type="list">
      <formula1>"More than 15%,Less than 15%"</formula1>
    </dataValidation>
    <dataValidation sqref="CD2:CD34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5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IF(B2=0,"",RANK(B2,$B$2:$B$55,0))</f>
        <v/>
      </c>
      <c r="B2" s="32">
        <f>SUM(N2,Y2,AA2,AC2,AE2,AG2,AI2,AK2,AM2,AO2,AQ2,AS2,AU2,AW2,AY2,BA2,BC2,BE2,BG2,BI2,BK2,BM2,BO2,BQ2,BS2,BU2,BW2,BY2,CA2)</f>
        <v/>
      </c>
      <c r="C2" s="31" t="inlineStr">
        <is>
          <t>EQUITASBNK</t>
        </is>
      </c>
      <c r="D2" s="31" t="inlineStr">
        <is>
          <t>Equitas Small Finance Bank Ltd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8868.190000000001</v>
      </c>
      <c r="I2" s="32" t="n">
        <v>79.28</v>
      </c>
      <c r="J2" s="32" t="n">
        <v>2.01</v>
      </c>
      <c r="K2" s="32" t="n">
        <v>2706023</v>
      </c>
      <c r="L2" s="31" t="n">
        <v>50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60.98</v>
      </c>
      <c r="P2" s="32" t="n">
        <v>31.13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3.98</v>
      </c>
      <c r="U2" s="32" t="n">
        <v>22.8</v>
      </c>
      <c r="V2" s="32" t="n">
        <v>18.1</v>
      </c>
      <c r="W2" s="32" t="n">
        <v>8.720000000000001</v>
      </c>
      <c r="X2" s="31" t="inlineStr">
        <is>
          <t>Cyclical in an Upturn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Cyclical in an Uptick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inlineStr">
        <is>
          <t>Yes</t>
        </is>
      </c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No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No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IF(B3=0,"",RANK(B3,$B$2:$B$55,0))</f>
        <v/>
      </c>
      <c r="B3" s="32">
        <f>SUM(N3,Y3,AA3,AC3,AE3,AG3,AI3,AK3,AM3,AO3,AQ3,AS3,AU3,AW3,AY3,BA3,BC3,BE3,BG3,BI3,BK3,BM3,BO3,BQ3,BS3,BU3,BW3,BY3,CA3)</f>
        <v/>
      </c>
      <c r="C3" s="31" t="inlineStr">
        <is>
          <t>ARMANFIN</t>
        </is>
      </c>
      <c r="D3" s="31" t="inlineStr">
        <is>
          <t>Arman Financial Services Limited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2058.64</v>
      </c>
      <c r="I3" s="32" t="n">
        <v>1943.7</v>
      </c>
      <c r="J3" s="32" t="n">
        <v>-0.74</v>
      </c>
      <c r="K3" s="32" t="n">
        <v>19933</v>
      </c>
      <c r="L3" s="31" t="n">
        <v>55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65.48999999999999</v>
      </c>
      <c r="P3" s="32" t="n">
        <v>17.49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3.98</v>
      </c>
      <c r="U3" s="32" t="n">
        <v>20.77</v>
      </c>
      <c r="V3" s="32" t="n">
        <v>16.15</v>
      </c>
      <c r="W3" s="32" t="n">
        <v>9.73</v>
      </c>
      <c r="X3" s="31" t="inlineStr">
        <is>
          <t>Cyclical in an Upturn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Cyclical in an Uptick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Not Applicable</t>
        </is>
      </c>
      <c r="AK3" s="31">
        <f>IF(AJ3="Yes",10,0)</f>
        <v/>
      </c>
      <c r="AL3" s="31" t="inlineStr">
        <is>
          <t>Yes</t>
        </is>
      </c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Not Applicable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Sideways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IF(B4=0,"",RANK(B4,$B$2:$B$55,0))</f>
        <v/>
      </c>
      <c r="B4" s="32">
        <f>SUM(N4,Y4,AA4,AC4,AE4,AG4,AI4,AK4,AM4,AO4,AQ4,AS4,AU4,AW4,AY4,BA4,BC4,BE4,BG4,BI4,BK4,BM4,BO4,BQ4,BS4,BU4,BW4,BY4,CA4)</f>
        <v/>
      </c>
      <c r="C4" s="31" t="inlineStr">
        <is>
          <t>SATIN</t>
        </is>
      </c>
      <c r="D4" s="31" t="inlineStr">
        <is>
          <t>Satin Creditcare Network Limited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2817.78</v>
      </c>
      <c r="I4" s="32" t="n">
        <v>256.07</v>
      </c>
      <c r="J4" s="32" t="n">
        <v>0.39</v>
      </c>
      <c r="K4" s="32" t="n">
        <v>237426</v>
      </c>
      <c r="L4" s="31" t="n">
        <v>83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72.95</v>
      </c>
      <c r="P4" s="32" t="n">
        <v>68.13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3.98</v>
      </c>
      <c r="U4" s="32" t="n">
        <v>55.47</v>
      </c>
      <c r="V4" s="32" t="n">
        <v>49.53</v>
      </c>
      <c r="W4" s="32" t="n">
        <v>19.88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IF(B5=0,"",RANK(B5,$B$2:$B$55,0))</f>
        <v/>
      </c>
      <c r="B5" s="32">
        <f>SUM(N5,Y5,AA5,AC5,AE5,AG5,AI5,AK5,AM5,AO5,AQ5,AS5,AU5,AW5,AY5,BA5,BC5,BE5,BG5,BI5,BK5,BM5,BO5,BQ5,BS5,BU5,BW5,BY5,CA5)</f>
        <v/>
      </c>
      <c r="C5" s="31" t="inlineStr">
        <is>
          <t>SURYODAY</t>
        </is>
      </c>
      <c r="D5" s="31" t="inlineStr">
        <is>
          <t>Suryoday Small Finance Bank Ltd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smallcap</t>
        </is>
      </c>
      <c r="H5" s="32" t="n">
        <v>1910.98</v>
      </c>
      <c r="I5" s="32" t="n">
        <v>183.05</v>
      </c>
      <c r="J5" s="32" t="n">
        <v>1.81</v>
      </c>
      <c r="K5" s="32" t="n">
        <v>140930</v>
      </c>
      <c r="L5" s="31" t="n">
        <v>60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64.92</v>
      </c>
      <c r="P5" s="32" t="n">
        <v>43.03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3.98</v>
      </c>
      <c r="U5" s="32" t="n">
        <v>28.79</v>
      </c>
      <c r="V5" s="32" t="n">
        <v>23.86</v>
      </c>
      <c r="W5" s="32" t="n">
        <v>10.8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IF(B6=0,"",RANK(B6,$B$2:$B$55,0))</f>
        <v/>
      </c>
      <c r="B6" s="32">
        <f>SUM(N6,Y6,AA6,AC6,AE6,AG6,AI6,AK6,AM6,AO6,AQ6,AS6,AU6,AW6,AY6,BA6,BC6,BE6,BG6,BI6,BK6,BM6,BO6,BQ6,BS6,BU6,BW6,BY6,CA6)</f>
        <v/>
      </c>
      <c r="C6" s="31" t="inlineStr">
        <is>
          <t>KTKBANK</t>
        </is>
      </c>
      <c r="D6" s="31" t="inlineStr">
        <is>
          <t>The Karnataka Bank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midcap</t>
        </is>
      </c>
      <c r="H6" s="32" t="n">
        <v>10328.9</v>
      </c>
      <c r="I6" s="32" t="n">
        <v>275.25</v>
      </c>
      <c r="J6" s="32" t="n">
        <v>0.77</v>
      </c>
      <c r="K6" s="32" t="n">
        <v>978081</v>
      </c>
      <c r="L6" s="31" t="n">
        <v>60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64.3</v>
      </c>
      <c r="P6" s="32" t="n">
        <v>47.93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3.98</v>
      </c>
      <c r="U6" s="32" t="n">
        <v>46.63</v>
      </c>
      <c r="V6" s="32" t="n">
        <v>41.02</v>
      </c>
      <c r="W6" s="32" t="n">
        <v>10.83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IF(B7=0,"",RANK(B7,$B$2:$B$55,0))</f>
        <v/>
      </c>
      <c r="B7" s="32">
        <f>SUM(N7,Y7,AA7,AC7,AE7,AG7,AI7,AK7,AM7,AO7,AQ7,AS7,AU7,AW7,AY7,BA7,BC7,BE7,BG7,BI7,BK7,BM7,BO7,BQ7,BS7,BU7,BW7,BY7,CA7)</f>
        <v/>
      </c>
      <c r="C7" s="31" t="inlineStr">
        <is>
          <t>CREDITACC</t>
        </is>
      </c>
      <c r="D7" s="31" t="inlineStr">
        <is>
          <t>CreditAccess Grameen Ltd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largecap</t>
        </is>
      </c>
      <c r="H7" s="32" t="n">
        <v>23694.37</v>
      </c>
      <c r="I7" s="32" t="n">
        <v>1498</v>
      </c>
      <c r="J7" s="32" t="n">
        <v>1.32</v>
      </c>
      <c r="K7" s="32" t="n">
        <v>227297</v>
      </c>
      <c r="L7" s="31" t="n">
        <v>42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59.22</v>
      </c>
      <c r="P7" s="32" t="n">
        <v>43.38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3.98</v>
      </c>
      <c r="U7" s="32" t="n">
        <v>16.44</v>
      </c>
      <c r="V7" s="32" t="n">
        <v>11.99</v>
      </c>
      <c r="W7" s="32" t="n">
        <v>6.69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IF(B8=0,"",RANK(B8,$B$2:$B$55,0))</f>
        <v/>
      </c>
      <c r="B8" s="32">
        <f>SUM(N8,Y8,AA8,AC8,AE8,AG8,AI8,AK8,AM8,AO8,AQ8,AS8,AU8,AW8,AY8,BA8,BC8,BE8,BG8,BI8,BK8,BM8,BO8,BQ8,BS8,BU8,BW8,BY8,CA8)</f>
        <v/>
      </c>
      <c r="C8" s="31" t="inlineStr">
        <is>
          <t>UJJIVANSFB</t>
        </is>
      </c>
      <c r="D8" s="31" t="inlineStr">
        <is>
          <t>Ujjivan Small Finance Bank Ltd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midcap</t>
        </is>
      </c>
      <c r="H8" s="32" t="n">
        <v>12620.82</v>
      </c>
      <c r="I8" s="32" t="n">
        <v>65.61</v>
      </c>
      <c r="J8" s="32" t="n">
        <v>1.13</v>
      </c>
      <c r="K8" s="32" t="n">
        <v>6986097</v>
      </c>
      <c r="L8" s="31" t="n">
        <v>49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62.39</v>
      </c>
      <c r="P8" s="32" t="n">
        <v>27.92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3.98</v>
      </c>
      <c r="U8" s="32" t="n">
        <v>32.76</v>
      </c>
      <c r="V8" s="32" t="n">
        <v>27.68</v>
      </c>
      <c r="W8" s="32" t="n">
        <v>8.359999999999999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IF(B9=0,"",RANK(B9,$B$2:$B$55,0))</f>
        <v/>
      </c>
      <c r="B9" s="32">
        <f>SUM(N9,Y9,AA9,AC9,AE9,AG9,AI9,AK9,AM9,AO9,AQ9,AS9,AU9,AW9,AY9,BA9,BC9,BE9,BG9,BI9,BK9,BM9,BO9,BQ9,BS9,BU9,BW9,BY9,CA9)</f>
        <v/>
      </c>
      <c r="C9" s="31" t="inlineStr">
        <is>
          <t>TMB</t>
        </is>
      </c>
      <c r="D9" s="31" t="inlineStr">
        <is>
          <t>Tamilnad Mercantile Bank Ltd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midcap</t>
        </is>
      </c>
      <c r="H9" s="32" t="n">
        <v>12626.15</v>
      </c>
      <c r="I9" s="32" t="n">
        <v>806.05</v>
      </c>
      <c r="J9" s="32" t="n">
        <v>1.09</v>
      </c>
      <c r="K9" s="32" t="n">
        <v>116185</v>
      </c>
      <c r="L9" s="31" t="n">
        <v>78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67.09</v>
      </c>
      <c r="P9" s="32" t="n">
        <v>35.59</v>
      </c>
      <c r="Q9" s="32" t="inlineStr"/>
      <c r="R9" s="31" t="inlineStr">
        <is>
          <t>Earnings / Momentum Support</t>
        </is>
      </c>
      <c r="S9" s="31" t="inlineStr">
        <is>
          <t>Nifty Bank</t>
        </is>
      </c>
      <c r="T9" s="32" t="n">
        <v>3.98</v>
      </c>
      <c r="U9" s="32" t="n">
        <v>82.33</v>
      </c>
      <c r="V9" s="32" t="n">
        <v>75.36</v>
      </c>
      <c r="W9" s="32" t="n">
        <v>17.12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IF(B10=0,"",RANK(B10,$B$2:$B$55,0))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RANEHOLDIN</t>
        </is>
      </c>
      <c r="D10" s="31" t="inlineStr">
        <is>
          <t>Rane Holdings Limited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smallcap</t>
        </is>
      </c>
      <c r="H10" s="32" t="n">
        <v>2468.92</v>
      </c>
      <c r="I10" s="32" t="n">
        <v>1741.5</v>
      </c>
      <c r="J10" s="32" t="n">
        <v>0.71</v>
      </c>
      <c r="K10" s="32" t="n">
        <v>7029</v>
      </c>
      <c r="L10" s="31" t="n">
        <v>78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67.59</v>
      </c>
      <c r="P10" s="32" t="n">
        <v>36.23</v>
      </c>
      <c r="Q10" s="32" t="inlineStr"/>
      <c r="R10" s="31" t="inlineStr">
        <is>
          <t>Earnings / Momentum Support</t>
        </is>
      </c>
      <c r="S10" s="31" t="inlineStr">
        <is>
          <t>Nifty Bank</t>
        </is>
      </c>
      <c r="T10" s="32" t="n">
        <v>3.98</v>
      </c>
      <c r="U10" s="32" t="n">
        <v>9.56</v>
      </c>
      <c r="V10" s="32" t="n">
        <v>5.37</v>
      </c>
      <c r="W10" s="32" t="n">
        <v>16.97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3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IF(B11=0,"",RANK(B11,$B$2:$B$55,0))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ESAFSFB</t>
        </is>
      </c>
      <c r="D11" s="31" t="inlineStr">
        <is>
          <t>ESAF Small Finance Bank Ltd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smallcap</t>
        </is>
      </c>
      <c r="H11" s="32" t="n">
        <v>1815.13</v>
      </c>
      <c r="I11" s="32" t="n">
        <v>35.41</v>
      </c>
      <c r="J11" s="32" t="n">
        <v>0.6</v>
      </c>
      <c r="K11" s="32" t="n">
        <v>520614</v>
      </c>
      <c r="L11" s="31" t="n">
        <v>66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63.9</v>
      </c>
      <c r="P11" s="32" t="n">
        <v>25.28</v>
      </c>
      <c r="Q11" s="32" t="inlineStr"/>
      <c r="R11" s="31" t="inlineStr">
        <is>
          <t>Earnings / Momentum Support</t>
        </is>
      </c>
      <c r="S11" s="31" t="inlineStr">
        <is>
          <t>Nifty Bank</t>
        </is>
      </c>
      <c r="T11" s="32" t="n">
        <v>3.98</v>
      </c>
      <c r="U11" s="32" t="n">
        <v>5.55</v>
      </c>
      <c r="V11" s="32" t="n">
        <v>1.51</v>
      </c>
      <c r="W11" s="32" t="n">
        <v>12.65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3</t>
        </is>
      </c>
      <c r="BQ11" s="31">
        <f>IF(BP11="Stage 2",20,IF(BP11="Stage 1",0,IF(BP11="Stage 3",5,IF(BP11="Stage 4",-5,0))))</f>
        <v/>
      </c>
      <c r="BR11" s="31" t="inlineStr">
        <is>
          <t>Negative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IF(B12=0,"",RANK(B12,$B$2:$B$55,0))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INDUSINDBK</t>
        </is>
      </c>
      <c r="D12" s="31" t="inlineStr">
        <is>
          <t>Indusind Bank Limited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largecap</t>
        </is>
      </c>
      <c r="H12" s="32" t="n">
        <v>80032.52</v>
      </c>
      <c r="I12" s="32" t="n">
        <v>1032.85</v>
      </c>
      <c r="J12" s="32" t="n">
        <v>0.55</v>
      </c>
      <c r="K12" s="32" t="n">
        <v>1686018</v>
      </c>
      <c r="L12" s="31" t="n">
        <v>51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65.90000000000001</v>
      </c>
      <c r="P12" s="32" t="n">
        <v>21.83</v>
      </c>
      <c r="Q12" s="32" t="inlineStr"/>
      <c r="R12" s="31" t="inlineStr">
        <is>
          <t>Earnings / Momentum Support</t>
        </is>
      </c>
      <c r="S12" s="31" t="inlineStr">
        <is>
          <t>Nifty Bank</t>
        </is>
      </c>
      <c r="T12" s="32" t="n">
        <v>3.98</v>
      </c>
      <c r="U12" s="32" t="n">
        <v>18.25</v>
      </c>
      <c r="V12" s="32" t="n">
        <v>13.73</v>
      </c>
      <c r="W12" s="32" t="n">
        <v>8.77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3</t>
        </is>
      </c>
      <c r="BQ12" s="31">
        <f>IF(BP12="Stage 2",20,IF(BP12="Stage 1",0,IF(BP12="Stage 3",5,IF(BP12="Stage 4",-5,0))))</f>
        <v/>
      </c>
      <c r="BR12" s="31" t="inlineStr">
        <is>
          <t>Negative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IF(B13=0,"",RANK(B13,$B$2:$B$55,0))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CUB</t>
        </is>
      </c>
      <c r="D13" s="31" t="inlineStr">
        <is>
          <t>City Union Bank Limited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midcap</t>
        </is>
      </c>
      <c r="H13" s="32" t="n">
        <v>16691.07</v>
      </c>
      <c r="I13" s="32" t="n">
        <v>224.98</v>
      </c>
      <c r="J13" s="32" t="n">
        <v>0.16</v>
      </c>
      <c r="K13" s="32" t="n">
        <v>1092046</v>
      </c>
      <c r="L13" s="31" t="n">
        <v>61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62.89</v>
      </c>
      <c r="P13" s="32" t="n">
        <v>21.4</v>
      </c>
      <c r="Q13" s="32" t="inlineStr"/>
      <c r="R13" s="31" t="inlineStr">
        <is>
          <t>Earnings / Momentum Support</t>
        </is>
      </c>
      <c r="S13" s="31" t="inlineStr">
        <is>
          <t>Nifty Bank</t>
        </is>
      </c>
      <c r="T13" s="32" t="n">
        <v>3.98</v>
      </c>
      <c r="U13" s="32" t="n">
        <v>42.28</v>
      </c>
      <c r="V13" s="32" t="n">
        <v>36.84</v>
      </c>
      <c r="W13" s="32" t="n">
        <v>11.09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3</t>
        </is>
      </c>
      <c r="BQ13" s="31">
        <f>IF(BP13="Stage 2",20,IF(BP13="Stage 1",0,IF(BP13="Stage 3",5,IF(BP13="Stage 4",-5,0))))</f>
        <v/>
      </c>
      <c r="BR13" s="31" t="inlineStr">
        <is>
          <t>Negative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IF(B14=0,"",RANK(B14,$B$2:$B$55,0))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FUSION</t>
        </is>
      </c>
      <c r="D14" s="31" t="inlineStr">
        <is>
          <t>Fusion Micro Finance Ltd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smallcap</t>
        </is>
      </c>
      <c r="H14" s="32" t="n">
        <v>3661.28</v>
      </c>
      <c r="I14" s="32" t="n">
        <v>225.98</v>
      </c>
      <c r="J14" s="32" t="n">
        <v>0.04</v>
      </c>
      <c r="K14" s="32" t="n">
        <v>390640</v>
      </c>
      <c r="L14" s="31" t="n">
        <v>59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63.8</v>
      </c>
      <c r="P14" s="32" t="n">
        <v>29.31</v>
      </c>
      <c r="Q14" s="32" t="inlineStr"/>
      <c r="R14" s="31" t="inlineStr">
        <is>
          <t>Earnings / Momentum Support</t>
        </is>
      </c>
      <c r="S14" s="31" t="inlineStr">
        <is>
          <t>Nifty Bank</t>
        </is>
      </c>
      <c r="T14" s="32" t="n">
        <v>3.98</v>
      </c>
      <c r="U14" s="32" t="n">
        <v>18.18</v>
      </c>
      <c r="V14" s="32" t="n">
        <v>13.66</v>
      </c>
      <c r="W14" s="32" t="n">
        <v>10.59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3</t>
        </is>
      </c>
      <c r="BQ14" s="31">
        <f>IF(BP14="Stage 2",20,IF(BP14="Stage 1",0,IF(BP14="Stage 3",5,IF(BP14="Stage 4",-5,0))))</f>
        <v/>
      </c>
      <c r="BR14" s="31" t="inlineStr">
        <is>
          <t>Negative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IF(B15=0,"",RANK(B15,$B$2:$B$55,0))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J&amp;KBANK</t>
        </is>
      </c>
      <c r="D15" s="31" t="inlineStr">
        <is>
          <t>The Jammu &amp; Kashmir Bank Limited</t>
        </is>
      </c>
      <c r="E15" s="31" t="inlineStr">
        <is>
          <t>bank</t>
        </is>
      </c>
      <c r="F15" s="31" t="inlineStr">
        <is>
          <t>banks - private sector</t>
        </is>
      </c>
      <c r="G15" s="31" t="inlineStr">
        <is>
          <t>largecap</t>
        </is>
      </c>
      <c r="H15" s="32" t="n">
        <v>20117.5</v>
      </c>
      <c r="I15" s="32" t="n">
        <v>182.25</v>
      </c>
      <c r="J15" s="32" t="n">
        <v>-0.24</v>
      </c>
      <c r="K15" s="32" t="n">
        <v>4483018</v>
      </c>
      <c r="L15" s="31" t="n">
        <v>82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72.67</v>
      </c>
      <c r="P15" s="32" t="n">
        <v>59.44</v>
      </c>
      <c r="Q15" s="32" t="inlineStr"/>
      <c r="R15" s="31" t="inlineStr">
        <is>
          <t>Earnings / Momentum Support</t>
        </is>
      </c>
      <c r="S15" s="31" t="inlineStr">
        <is>
          <t>Nifty Bank</t>
        </is>
      </c>
      <c r="T15" s="32" t="n">
        <v>3.98</v>
      </c>
      <c r="U15" s="32" t="n">
        <v>63.76</v>
      </c>
      <c r="V15" s="32" t="n">
        <v>57.5</v>
      </c>
      <c r="W15" s="32" t="n">
        <v>19.62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less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Above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3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IF(B16=0,"",RANK(B16,$B$2:$B$55,0))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PAISALO</t>
        </is>
      </c>
      <c r="D16" s="31" t="inlineStr">
        <is>
          <t>Paisalo Digital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midcap</t>
        </is>
      </c>
      <c r="H16" s="32" t="n">
        <v>6525.82</v>
      </c>
      <c r="I16" s="32" t="n">
        <v>71.41</v>
      </c>
      <c r="J16" s="32" t="n">
        <v>-0.47</v>
      </c>
      <c r="K16" s="32" t="n">
        <v>27003541</v>
      </c>
      <c r="L16" s="31" t="n">
        <v>94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81.84999999999999</v>
      </c>
      <c r="P16" s="32" t="n">
        <v>56.47</v>
      </c>
      <c r="Q16" s="32" t="inlineStr"/>
      <c r="R16" s="31" t="inlineStr">
        <is>
          <t>Earnings / Momentum Support</t>
        </is>
      </c>
      <c r="S16" s="31" t="inlineStr">
        <is>
          <t>Nifty Bank</t>
        </is>
      </c>
      <c r="T16" s="32" t="n">
        <v>3.98</v>
      </c>
      <c r="U16" s="32" t="n">
        <v>130.81</v>
      </c>
      <c r="V16" s="32" t="n">
        <v>121.98</v>
      </c>
      <c r="W16" s="32" t="n">
        <v>33.83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Above 40</t>
        </is>
      </c>
      <c r="BM16" s="31">
        <f>IF(BL16="Above 40",20,IF(BL16="20 to 40",10,IF(BL16="0 to 20",-5,0)))</f>
        <v/>
      </c>
      <c r="BN16" s="31" t="inlineStr">
        <is>
          <t>Above 75</t>
        </is>
      </c>
      <c r="BO16" s="31">
        <f>IF(BN16="Between 50 to 75",10,IF(BN16="Above 75",0,0))</f>
        <v/>
      </c>
      <c r="BP16" s="31" t="inlineStr">
        <is>
          <t>Stage 3</t>
        </is>
      </c>
      <c r="BQ16" s="31">
        <f>IF(BP16="Stage 2",20,IF(BP16="Stage 1",0,IF(BP16="Stage 3",5,IF(BP16="Stage 4",-5,0))))</f>
        <v/>
      </c>
      <c r="BR16" s="31" t="inlineStr">
        <is>
          <t>Negative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IF(B17=0,"",RANK(B17,$B$2:$B$55,0))</f>
        <v/>
      </c>
      <c r="B17" s="32">
        <f>SUM(N17,Y17,AA17,AC17,AE17,AG17,AI17,AK17,AM17,AO17,AQ17,AS17,AU17,AW17,AY17,BA17,BC17,BE17,BG17,BI17,BK17,BM17,BO17,BQ17,BS17,BU17,BW17,BY17,CA17)</f>
        <v/>
      </c>
      <c r="C17" s="33" t="inlineStr">
        <is>
          <t>JSFB</t>
        </is>
      </c>
      <c r="D17" s="33" t="inlineStr">
        <is>
          <t>Jana Small Finance Bank Ltd</t>
        </is>
      </c>
      <c r="E17" s="31" t="inlineStr">
        <is>
          <t>bank</t>
        </is>
      </c>
      <c r="F17" s="31" t="inlineStr">
        <is>
          <t>banks - private sector</t>
        </is>
      </c>
      <c r="G17" s="31" t="inlineStr">
        <is>
          <t>midcap</t>
        </is>
      </c>
      <c r="H17" s="32" t="n">
        <v>5193.31</v>
      </c>
      <c r="I17" s="32" t="n">
        <v>531.6</v>
      </c>
      <c r="J17" s="32" t="n">
        <v>7.83</v>
      </c>
      <c r="K17" s="32" t="n">
        <v>4230716</v>
      </c>
      <c r="L17" s="31" t="n">
        <v>38</v>
      </c>
      <c r="M17" s="31" t="inlineStr">
        <is>
          <t>Underperforming</t>
        </is>
      </c>
      <c r="N17" s="32">
        <f>IF(M17="Underperforming",-5,IF(L17&gt;=95,15,IF(L17&gt;=90,10,IF(L17&gt;=80,5,0))))</f>
        <v/>
      </c>
      <c r="O17" s="32" t="n">
        <v>60.94</v>
      </c>
      <c r="P17" s="32" t="n">
        <v>32.43</v>
      </c>
      <c r="Q17" s="32" t="inlineStr"/>
      <c r="R17" s="31" t="inlineStr">
        <is>
          <t>Earnings / Momentum Support</t>
        </is>
      </c>
      <c r="S17" s="31" t="inlineStr">
        <is>
          <t>Nifty Bank</t>
        </is>
      </c>
      <c r="T17" s="32" t="n">
        <v>3.98</v>
      </c>
      <c r="U17" s="32" t="n">
        <v>0.59</v>
      </c>
      <c r="V17" s="32" t="n">
        <v>-3.26</v>
      </c>
      <c r="W17" s="32" t="n">
        <v>6.13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3</t>
        </is>
      </c>
      <c r="BQ17" s="31">
        <f>IF(BP17="Stage 2",20,IF(BP17="Stage 1",0,IF(BP17="Stage 3",5,IF(BP17="Stage 4",-5,0))))</f>
        <v/>
      </c>
      <c r="BR17" s="31" t="inlineStr">
        <is>
          <t>Negative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IF(B18=0,"",RANK(B18,$B$2:$B$55,0))</f>
        <v/>
      </c>
      <c r="B18" s="32">
        <f>SUM(N18,Y18,AA18,AC18,AE18,AG18,AI18,AK18,AM18,AO18,AQ18,AS18,AU18,AW18,AY18,BA18,BC18,BE18,BG18,BI18,BK18,BM18,BO18,BQ18,BS18,BU18,BW18,BY18,CA18)</f>
        <v/>
      </c>
      <c r="C18" s="33" t="inlineStr">
        <is>
          <t>GEECEE</t>
        </is>
      </c>
      <c r="D18" s="33" t="inlineStr">
        <is>
          <t>Geecee Ventures Limited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smallcap</t>
        </is>
      </c>
      <c r="H18" s="32" t="n">
        <v>715.8099999999999</v>
      </c>
      <c r="I18" s="32" t="n">
        <v>352</v>
      </c>
      <c r="J18" s="32" t="n">
        <v>2.83</v>
      </c>
      <c r="K18" s="32" t="n">
        <v>3160</v>
      </c>
      <c r="L18" s="31" t="n">
        <v>13</v>
      </c>
      <c r="M18" s="31" t="inlineStr">
        <is>
          <t>Underperforming</t>
        </is>
      </c>
      <c r="N18" s="32">
        <f>IF(M18="Underperforming",-5,IF(L18&gt;=95,15,IF(L18&gt;=90,10,IF(L18&gt;=80,5,0))))</f>
        <v/>
      </c>
      <c r="O18" s="32" t="n">
        <v>56.16</v>
      </c>
      <c r="P18" s="32" t="n">
        <v>25.35</v>
      </c>
      <c r="Q18" s="32" t="inlineStr"/>
      <c r="R18" s="31" t="inlineStr">
        <is>
          <t>Earnings / Momentum Support</t>
        </is>
      </c>
      <c r="S18" s="31" t="inlineStr">
        <is>
          <t>Nifty Bank</t>
        </is>
      </c>
      <c r="T18" s="32" t="n">
        <v>3.98</v>
      </c>
      <c r="U18" s="32" t="n">
        <v>-8.57</v>
      </c>
      <c r="V18" s="32" t="n">
        <v>-12.06</v>
      </c>
      <c r="W18" s="32" t="n">
        <v>1.08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3</t>
        </is>
      </c>
      <c r="BQ18" s="31">
        <f>IF(BP18="Stage 2",20,IF(BP18="Stage 1",0,IF(BP18="Stage 3",5,IF(BP18="Stage 4",-5,0))))</f>
        <v/>
      </c>
      <c r="BR18" s="31" t="inlineStr">
        <is>
          <t>Negative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IF(B19=0,"",RANK(B19,$B$2:$B$55,0))</f>
        <v/>
      </c>
      <c r="B19" s="32">
        <f>SUM(N19,Y19,AA19,AC19,AE19,AG19,AI19,AK19,AM19,AO19,AQ19,AS19,AU19,AW19,AY19,BA19,BC19,BE19,BG19,BI19,BK19,BM19,BO19,BQ19,BS19,BU19,BW19,BY19,CA19)</f>
        <v/>
      </c>
      <c r="C19" s="33" t="inlineStr">
        <is>
          <t>MANBA</t>
        </is>
      </c>
      <c r="D19" s="33" t="inlineStr">
        <is>
          <t>Manba Finance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smallcap</t>
        </is>
      </c>
      <c r="H19" s="32" t="n">
        <v>687.22</v>
      </c>
      <c r="I19" s="32" t="n">
        <v>137.76</v>
      </c>
      <c r="J19" s="32" t="n">
        <v>0.71</v>
      </c>
      <c r="K19" s="32" t="n">
        <v>127197</v>
      </c>
      <c r="L19" s="31" t="n">
        <v>30</v>
      </c>
      <c r="M19" s="31" t="inlineStr">
        <is>
          <t>Underperforming</t>
        </is>
      </c>
      <c r="N19" s="32">
        <f>IF(M19="Underperforming",-5,IF(L19&gt;=95,15,IF(L19&gt;=90,10,IF(L19&gt;=80,5,0))))</f>
        <v/>
      </c>
      <c r="O19" s="32" t="n">
        <v>61.64</v>
      </c>
      <c r="P19" s="32" t="n">
        <v>24.57</v>
      </c>
      <c r="Q19" s="32" t="inlineStr"/>
      <c r="R19" s="31" t="inlineStr">
        <is>
          <t>Earnings / Momentum Support</t>
        </is>
      </c>
      <c r="S19" s="31" t="inlineStr">
        <is>
          <t>Nifty Bank</t>
        </is>
      </c>
      <c r="T19" s="32" t="n">
        <v>3.98</v>
      </c>
      <c r="U19" s="32" t="n">
        <v>-2.38</v>
      </c>
      <c r="V19" s="32" t="n">
        <v>-6.11</v>
      </c>
      <c r="W19" s="32" t="n">
        <v>4.85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No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3</t>
        </is>
      </c>
      <c r="BQ19" s="31">
        <f>IF(BP19="Stage 2",20,IF(BP19="Stage 1",0,IF(BP19="Stage 3",5,IF(BP19="Stage 4",-5,0))))</f>
        <v/>
      </c>
      <c r="BR19" s="31" t="inlineStr">
        <is>
          <t>Negative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IF(B20=0,"",RANK(B20,$B$2:$B$55,0))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FEDERALBNK</t>
        </is>
      </c>
      <c r="D20" s="31" t="inlineStr">
        <is>
          <t>The Federal Bank  Limited</t>
        </is>
      </c>
      <c r="E20" s="31" t="inlineStr">
        <is>
          <t>bank</t>
        </is>
      </c>
      <c r="F20" s="31" t="inlineStr">
        <is>
          <t>banks - private sector</t>
        </is>
      </c>
      <c r="G20" s="31" t="inlineStr">
        <is>
          <t>largecap</t>
        </is>
      </c>
      <c r="H20" s="32" t="n">
        <v>86003.45</v>
      </c>
      <c r="I20" s="32" t="n">
        <v>350.75</v>
      </c>
      <c r="J20" s="32" t="n">
        <v>0.5</v>
      </c>
      <c r="K20" s="32" t="n">
        <v>10483345</v>
      </c>
      <c r="L20" s="31" t="n">
        <v>72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76.70999999999999</v>
      </c>
      <c r="P20" s="32" t="n">
        <v>29.26</v>
      </c>
      <c r="Q20" s="32" t="inlineStr"/>
      <c r="R20" s="31" t="inlineStr">
        <is>
          <t>Earnings / Momentum Support</t>
        </is>
      </c>
      <c r="S20" s="31" t="inlineStr">
        <is>
          <t>Nifty Bank</t>
        </is>
      </c>
      <c r="T20" s="32" t="n">
        <v>3.98</v>
      </c>
      <c r="U20" s="32" t="n">
        <v>65.25</v>
      </c>
      <c r="V20" s="32" t="n">
        <v>58.93</v>
      </c>
      <c r="W20" s="32" t="n">
        <v>14.82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Above 75</t>
        </is>
      </c>
      <c r="BO20" s="31">
        <f>IF(BN20="Between 50 to 75",10,IF(BN20="Above 75",0,0))</f>
        <v/>
      </c>
      <c r="BP20" s="31" t="inlineStr">
        <is>
          <t>Stage 3</t>
        </is>
      </c>
      <c r="BQ20" s="31">
        <f>IF(BP20="Stage 2",20,IF(BP20="Stage 1",0,IF(BP20="Stage 3",5,IF(BP20="Stage 4",-5,0))))</f>
        <v/>
      </c>
      <c r="BR20" s="31" t="inlineStr">
        <is>
          <t>Negative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IF(B21=0,"",RANK(B21,$B$2:$B$55,0))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ABCAPITAL</t>
        </is>
      </c>
      <c r="D21" s="31" t="inlineStr">
        <is>
          <t>Aditya Birla Capital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largecap</t>
        </is>
      </c>
      <c r="H21" s="32" t="n">
        <v>109792.05</v>
      </c>
      <c r="I21" s="32" t="n">
        <v>401.15</v>
      </c>
      <c r="J21" s="32" t="n">
        <v>-0.1</v>
      </c>
      <c r="K21" s="32" t="n">
        <v>2089008</v>
      </c>
      <c r="L21" s="31" t="n">
        <v>67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68.91</v>
      </c>
      <c r="P21" s="32" t="n">
        <v>24.81</v>
      </c>
      <c r="Q21" s="32" t="inlineStr"/>
      <c r="R21" s="31" t="inlineStr">
        <is>
          <t>Earnings / Momentum Support</t>
        </is>
      </c>
      <c r="S21" s="31" t="inlineStr">
        <is>
          <t>Nifty Bank</t>
        </is>
      </c>
      <c r="T21" s="32" t="n">
        <v>3.98</v>
      </c>
      <c r="U21" s="32" t="n">
        <v>51.9</v>
      </c>
      <c r="V21" s="32" t="n">
        <v>46.09</v>
      </c>
      <c r="W21" s="32" t="n">
        <v>12.83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No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between 2.5x to 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3</t>
        </is>
      </c>
      <c r="BQ21" s="31">
        <f>IF(BP21="Stage 2",20,IF(BP21="Stage 1",0,IF(BP21="Stage 3",5,IF(BP21="Stage 4",-5,0))))</f>
        <v/>
      </c>
      <c r="BR21" s="31" t="inlineStr">
        <is>
          <t>Negative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IF(B22=0,"",RANK(B22,$B$2:$B$55,0))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MUTHOOTMF</t>
        </is>
      </c>
      <c r="D22" s="31" t="inlineStr">
        <is>
          <t>Muthoot Microfin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smallcap</t>
        </is>
      </c>
      <c r="H22" s="32" t="n">
        <v>4092.84</v>
      </c>
      <c r="I22" s="32" t="n">
        <v>253.29</v>
      </c>
      <c r="J22" s="32" t="n">
        <v>5.51</v>
      </c>
      <c r="K22" s="32" t="n">
        <v>1239974</v>
      </c>
      <c r="L22" s="31" t="n">
        <v>75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73.97</v>
      </c>
      <c r="P22" s="32" t="n">
        <v>39.34</v>
      </c>
      <c r="Q22" s="32" t="inlineStr"/>
      <c r="R22" s="31" t="inlineStr">
        <is>
          <t>Earnings / Momentum Support</t>
        </is>
      </c>
      <c r="S22" s="31" t="inlineStr">
        <is>
          <t>Nifty Bank</t>
        </is>
      </c>
      <c r="T22" s="32" t="n">
        <v>3.98</v>
      </c>
      <c r="U22" s="32" t="n">
        <v>44.52</v>
      </c>
      <c r="V22" s="32" t="n">
        <v>38.99</v>
      </c>
      <c r="W22" s="32" t="n">
        <v>15.78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less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3</t>
        </is>
      </c>
      <c r="BQ22" s="31">
        <f>IF(BP22="Stage 2",20,IF(BP22="Stage 1",0,IF(BP22="Stage 3",5,IF(BP22="Stage 4",-5,0))))</f>
        <v/>
      </c>
      <c r="BR22" s="31" t="inlineStr">
        <is>
          <t>Negative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IF(B23=0,"",RANK(B23,$B$2:$B$55,0))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MANAPPURAM</t>
        </is>
      </c>
      <c r="D23" s="31" t="inlineStr">
        <is>
          <t>Manappuram Finance Limited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largecap</t>
        </is>
      </c>
      <c r="H23" s="32" t="n">
        <v>30570.69</v>
      </c>
      <c r="I23" s="32" t="n">
        <v>337.1</v>
      </c>
      <c r="J23" s="32" t="n">
        <v>3.58</v>
      </c>
      <c r="K23" s="32" t="n">
        <v>5049835</v>
      </c>
      <c r="L23" s="31" t="n">
        <v>51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58.63</v>
      </c>
      <c r="P23" s="32" t="n">
        <v>14.05</v>
      </c>
      <c r="Q23" s="32" t="inlineStr"/>
      <c r="R23" s="31" t="inlineStr">
        <is>
          <t>Earnings / Momentum Support</t>
        </is>
      </c>
      <c r="S23" s="31" t="inlineStr">
        <is>
          <t>Nifty Bank</t>
        </is>
      </c>
      <c r="T23" s="32" t="n">
        <v>3.98</v>
      </c>
      <c r="U23" s="32" t="n">
        <v>20.81</v>
      </c>
      <c r="V23" s="32" t="n">
        <v>16.19</v>
      </c>
      <c r="W23" s="32" t="n">
        <v>8.779999999999999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3</t>
        </is>
      </c>
      <c r="BQ23" s="31">
        <f>IF(BP23="Stage 2",20,IF(BP23="Stage 1",0,IF(BP23="Stage 3",5,IF(BP23="Stage 4",-5,0))))</f>
        <v/>
      </c>
      <c r="BR23" s="31" t="inlineStr">
        <is>
          <t>Negative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IF(B24=0,"",RANK(B24,$B$2:$B$55,0))</f>
        <v/>
      </c>
      <c r="B24" s="32">
        <f>SUM(N24,Y24,AA24,AC24,AE24,AG24,AI24,AK24,AM24,AO24,AQ24,AS24,AU24,AW24,AY24,BA24,BC24,BE24,BG24,BI24,BK24,BM24,BO24,BQ24,BS24,BU24,BW24,BY24,CA24)</f>
        <v/>
      </c>
      <c r="C24" s="33" t="inlineStr">
        <is>
          <t>HOMEFIRST</t>
        </is>
      </c>
      <c r="D24" s="33" t="inlineStr">
        <is>
          <t>Home First Finance Company India Ltd</t>
        </is>
      </c>
      <c r="E24" s="31" t="inlineStr">
        <is>
          <t>financials</t>
        </is>
      </c>
      <c r="F24" s="31" t="inlineStr">
        <is>
          <t>finance - housing</t>
        </is>
      </c>
      <c r="G24" s="31" t="inlineStr">
        <is>
          <t>midcap</t>
        </is>
      </c>
      <c r="H24" s="32" t="n">
        <v>12955.45</v>
      </c>
      <c r="I24" s="32" t="n">
        <v>1273.2</v>
      </c>
      <c r="J24" s="32" t="n">
        <v>2.53</v>
      </c>
      <c r="K24" s="32" t="n">
        <v>226599</v>
      </c>
      <c r="L24" s="31" t="n">
        <v>12</v>
      </c>
      <c r="M24" s="31" t="inlineStr">
        <is>
          <t>Underperforming</t>
        </is>
      </c>
      <c r="N24" s="32">
        <f>IF(M24="Underperforming",-5,IF(L24&gt;=95,15,IF(L24&gt;=90,10,IF(L24&gt;=80,5,0))))</f>
        <v/>
      </c>
      <c r="O24" s="32" t="n">
        <v>61.86</v>
      </c>
      <c r="P24" s="32" t="n">
        <v>28.43</v>
      </c>
      <c r="Q24" s="32" t="inlineStr"/>
      <c r="R24" s="31" t="inlineStr">
        <is>
          <t>Earnings / Momentum Support</t>
        </is>
      </c>
      <c r="S24" s="31" t="inlineStr">
        <is>
          <t>Nifty Bank</t>
        </is>
      </c>
      <c r="T24" s="32" t="n">
        <v>3.98</v>
      </c>
      <c r="U24" s="32" t="n">
        <v>-8.630000000000001</v>
      </c>
      <c r="V24" s="32" t="n">
        <v>-12.13</v>
      </c>
      <c r="W24" s="32" t="n">
        <v>0.7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between 2.5x to 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3</t>
        </is>
      </c>
      <c r="BQ24" s="31">
        <f>IF(BP24="Stage 2",20,IF(BP24="Stage 1",0,IF(BP24="Stage 3",5,IF(BP24="Stage 4",-5,0))))</f>
        <v/>
      </c>
      <c r="BR24" s="31" t="inlineStr">
        <is>
          <t>Negative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IF(B25=0,"",RANK(B25,$B$2:$B$55,0))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CONSOFINVT</t>
        </is>
      </c>
      <c r="D25" s="31" t="inlineStr">
        <is>
          <t>Consolidated Finvest &amp; Holdings Limited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smallcap</t>
        </is>
      </c>
      <c r="H25" s="32" t="n">
        <v>901.9400000000001</v>
      </c>
      <c r="I25" s="32" t="n">
        <v>284.3</v>
      </c>
      <c r="J25" s="32" t="n">
        <v>1.9</v>
      </c>
      <c r="K25" s="32" t="n">
        <v>18137</v>
      </c>
      <c r="L25" s="31" t="n">
        <v>68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74.34999999999999</v>
      </c>
      <c r="P25" s="32" t="n">
        <v>27</v>
      </c>
      <c r="Q25" s="32" t="inlineStr"/>
      <c r="R25" s="31" t="inlineStr">
        <is>
          <t>Earnings / Momentum Support</t>
        </is>
      </c>
      <c r="S25" s="31" t="inlineStr">
        <is>
          <t>Nifty Bank</t>
        </is>
      </c>
      <c r="T25" s="32" t="n">
        <v>3.98</v>
      </c>
      <c r="U25" s="32" t="n">
        <v>37.04</v>
      </c>
      <c r="V25" s="32" t="n">
        <v>31.8</v>
      </c>
      <c r="W25" s="32" t="n">
        <v>13.06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No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less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3</t>
        </is>
      </c>
      <c r="BQ25" s="31">
        <f>IF(BP25="Stage 2",20,IF(BP25="Stage 1",0,IF(BP25="Stage 3",5,IF(BP25="Stage 4",-5,0))))</f>
        <v/>
      </c>
      <c r="BR25" s="31" t="inlineStr">
        <is>
          <t>Negative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IF(B26=0,"",RANK(B26,$B$2:$B$55,0))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ANANDRATHI</t>
        </is>
      </c>
      <c r="D26" s="31" t="inlineStr">
        <is>
          <t>Anand Rathi Wealth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largecap</t>
        </is>
      </c>
      <c r="H26" s="32" t="n">
        <v>34415.37</v>
      </c>
      <c r="I26" s="32" t="n">
        <v>2082.7</v>
      </c>
      <c r="J26" s="32" t="n">
        <v>0.48</v>
      </c>
      <c r="K26" s="32" t="n">
        <v>122508</v>
      </c>
      <c r="L26" s="31" t="n">
        <v>66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72.75</v>
      </c>
      <c r="P26" s="32" t="n">
        <v>49.99</v>
      </c>
      <c r="Q26" s="32" t="inlineStr"/>
      <c r="R26" s="31" t="inlineStr">
        <is>
          <t>Earnings / Momentum Support</t>
        </is>
      </c>
      <c r="S26" s="31" t="inlineStr">
        <is>
          <t>Nifty Bank</t>
        </is>
      </c>
      <c r="T26" s="32" t="n">
        <v>3.98</v>
      </c>
      <c r="U26" s="32" t="n">
        <v>58.77</v>
      </c>
      <c r="V26" s="32" t="n">
        <v>52.69</v>
      </c>
      <c r="W26" s="32" t="n">
        <v>12.57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above 5x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Above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3</t>
        </is>
      </c>
      <c r="BQ26" s="31">
        <f>IF(BP26="Stage 2",20,IF(BP26="Stage 1",0,IF(BP26="Stage 3",5,IF(BP26="Stage 4",-5,0))))</f>
        <v/>
      </c>
      <c r="BR26" s="31" t="inlineStr">
        <is>
          <t>Negative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IF(B27=0,"",RANK(B27,$B$2:$B$55,0))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IIFL</t>
        </is>
      </c>
      <c r="D27" s="31" t="inlineStr">
        <is>
          <t>IIFL Finance Ltd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largecap</t>
        </is>
      </c>
      <c r="H27" s="32" t="n">
        <v>23614.04</v>
      </c>
      <c r="I27" s="32" t="n">
        <v>557.7</v>
      </c>
      <c r="J27" s="32" t="n">
        <v>0.45</v>
      </c>
      <c r="K27" s="32" t="n">
        <v>1501569</v>
      </c>
      <c r="L27" s="31" t="n">
        <v>38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61.06</v>
      </c>
      <c r="P27" s="32" t="n">
        <v>17.68</v>
      </c>
      <c r="Q27" s="32" t="inlineStr"/>
      <c r="R27" s="31" t="inlineStr">
        <is>
          <t>Earnings / Momentum Support</t>
        </is>
      </c>
      <c r="S27" s="31" t="inlineStr">
        <is>
          <t>Nifty Bank</t>
        </is>
      </c>
      <c r="T27" s="32" t="n">
        <v>3.98</v>
      </c>
      <c r="U27" s="32" t="n">
        <v>4.95</v>
      </c>
      <c r="V27" s="32" t="n">
        <v>0.93</v>
      </c>
      <c r="W27" s="32" t="n">
        <v>6.1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more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3</t>
        </is>
      </c>
      <c r="BQ27" s="31">
        <f>IF(BP27="Stage 2",20,IF(BP27="Stage 1",0,IF(BP27="Stage 3",5,IF(BP27="Stage 4",-5,0))))</f>
        <v/>
      </c>
      <c r="BR27" s="31" t="inlineStr">
        <is>
          <t>Negative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IF(B28=0,"",RANK(B28,$B$2:$B$55,0))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KICL</t>
        </is>
      </c>
      <c r="D28" s="31" t="inlineStr">
        <is>
          <t>Kalyani Investment Company Limited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smallcap</t>
        </is>
      </c>
      <c r="H28" s="32" t="n">
        <v>2408.99</v>
      </c>
      <c r="I28" s="32" t="n">
        <v>5529</v>
      </c>
      <c r="J28" s="32" t="n">
        <v>0.19</v>
      </c>
      <c r="K28" s="32" t="n">
        <v>2571</v>
      </c>
      <c r="L28" s="31" t="n">
        <v>32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63.99</v>
      </c>
      <c r="P28" s="32" t="n">
        <v>28.78</v>
      </c>
      <c r="Q28" s="32" t="inlineStr"/>
      <c r="R28" s="31" t="inlineStr">
        <is>
          <t>Earnings / Momentum Support</t>
        </is>
      </c>
      <c r="S28" s="31" t="inlineStr">
        <is>
          <t>Nifty Bank</t>
        </is>
      </c>
      <c r="T28" s="32" t="n">
        <v>3.98</v>
      </c>
      <c r="U28" s="32" t="n">
        <v>8.27</v>
      </c>
      <c r="V28" s="32" t="n">
        <v>4.13</v>
      </c>
      <c r="W28" s="32" t="n">
        <v>5.02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less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3</t>
        </is>
      </c>
      <c r="BQ28" s="31">
        <f>IF(BP28="Stage 2",20,IF(BP28="Stage 1",0,IF(BP28="Stage 3",5,IF(BP28="Stage 4",-5,0))))</f>
        <v/>
      </c>
      <c r="BR28" s="31" t="inlineStr">
        <is>
          <t>Negative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IF(B29=0,"",RANK(B29,$B$2:$B$55,0))</f>
        <v/>
      </c>
      <c r="B29" s="32">
        <f>SUM(N29,Y29,AA29,AC29,AE29,AG29,AI29,AK29,AM29,AO29,AQ29,AS29,AU29,AW29,AY29,BA29,BC29,BE29,BG29,BI29,BK29,BM29,BO29,BQ29,BS29,BU29,BW29,BY29,CA29)</f>
        <v/>
      </c>
      <c r="C29" s="33" t="inlineStr">
        <is>
          <t>APTUS</t>
        </is>
      </c>
      <c r="D29" s="33" t="inlineStr">
        <is>
          <t>Aptus Value Housing Finance India Ltd</t>
        </is>
      </c>
      <c r="E29" s="31" t="inlineStr">
        <is>
          <t>financials</t>
        </is>
      </c>
      <c r="F29" s="31" t="inlineStr">
        <is>
          <t>finance - housing</t>
        </is>
      </c>
      <c r="G29" s="31" t="inlineStr">
        <is>
          <t>midcap</t>
        </is>
      </c>
      <c r="H29" s="32" t="n">
        <v>15366.83</v>
      </c>
      <c r="I29" s="32" t="n">
        <v>305.45</v>
      </c>
      <c r="J29" s="32" t="n">
        <v>-0.46</v>
      </c>
      <c r="K29" s="32" t="n">
        <v>837876</v>
      </c>
      <c r="L29" s="31" t="n">
        <v>26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65.23</v>
      </c>
      <c r="P29" s="32" t="n">
        <v>20.52</v>
      </c>
      <c r="Q29" s="32" t="inlineStr"/>
      <c r="R29" s="31" t="inlineStr">
        <is>
          <t>Earnings / Momentum Support</t>
        </is>
      </c>
      <c r="S29" s="31" t="inlineStr">
        <is>
          <t>Nifty Bank</t>
        </is>
      </c>
      <c r="T29" s="32" t="n">
        <v>3.98</v>
      </c>
      <c r="U29" s="32" t="n">
        <v>-11.09</v>
      </c>
      <c r="V29" s="32" t="n">
        <v>-14.5</v>
      </c>
      <c r="W29" s="32" t="n">
        <v>3.75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between 2.5x to 5x and Growth more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3</t>
        </is>
      </c>
      <c r="BQ29" s="31">
        <f>IF(BP29="Stage 2",20,IF(BP29="Stage 1",0,IF(BP29="Stage 3",5,IF(BP29="Stage 4",-5,0))))</f>
        <v/>
      </c>
      <c r="BR29" s="31" t="inlineStr">
        <is>
          <t>Negative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IF(B30=0,"",RANK(B30,$B$2:$B$55,0))</f>
        <v/>
      </c>
      <c r="B30" s="32">
        <f>SUM(N30,Y30,AA30,AC30,AE30,AG30,AI30,AK30,AM30,AO30,AQ30,AS30,AU30,AW30,AY30,BA30,BC30,BE30,BG30,BI30,BK30,BM30,BO30,BQ30,BS30,BU30,BW30,BY30,CA30)</f>
        <v/>
      </c>
      <c r="C30" s="33" t="inlineStr">
        <is>
          <t>MONARCH</t>
        </is>
      </c>
      <c r="D30" s="33" t="inlineStr">
        <is>
          <t>Monarch Networth Capital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smallcap</t>
        </is>
      </c>
      <c r="H30" s="32" t="n">
        <v>2859.46</v>
      </c>
      <c r="I30" s="32" t="n">
        <v>357.85</v>
      </c>
      <c r="J30" s="32" t="n">
        <v>-0.75</v>
      </c>
      <c r="K30" s="32" t="n">
        <v>82131</v>
      </c>
      <c r="L30" s="31" t="n">
        <v>28</v>
      </c>
      <c r="M30" s="31" t="inlineStr">
        <is>
          <t>Underperforming</t>
        </is>
      </c>
      <c r="N30" s="32">
        <f>IF(M30="Underperforming",-5,IF(L30&gt;=95,15,IF(L30&gt;=90,10,IF(L30&gt;=80,5,0))))</f>
        <v/>
      </c>
      <c r="O30" s="32" t="n">
        <v>66.19</v>
      </c>
      <c r="P30" s="32" t="n">
        <v>23.18</v>
      </c>
      <c r="Q30" s="32" t="inlineStr"/>
      <c r="R30" s="31" t="inlineStr">
        <is>
          <t>Earnings / Momentum Support</t>
        </is>
      </c>
      <c r="S30" s="31" t="inlineStr">
        <is>
          <t>Nifty Bank</t>
        </is>
      </c>
      <c r="T30" s="32" t="n">
        <v>3.98</v>
      </c>
      <c r="U30" s="32" t="n">
        <v>-1.81</v>
      </c>
      <c r="V30" s="32" t="n">
        <v>-5.56</v>
      </c>
      <c r="W30" s="32" t="n">
        <v>4.28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between 2.5x to 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20 to 40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3</t>
        </is>
      </c>
      <c r="BQ30" s="31">
        <f>IF(BP30="Stage 2",20,IF(BP30="Stage 1",0,IF(BP30="Stage 3",5,IF(BP30="Stage 4",-5,0))))</f>
        <v/>
      </c>
      <c r="BR30" s="31" t="inlineStr">
        <is>
          <t>Negative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IF(B31=0,"",RANK(B31,$B$2:$B$55,0))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SMCGLOBAL</t>
        </is>
      </c>
      <c r="D31" s="31" t="inlineStr">
        <is>
          <t>SMC Global Securities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smallcap</t>
        </is>
      </c>
      <c r="H31" s="32" t="n">
        <v>1710.17</v>
      </c>
      <c r="I31" s="32" t="n">
        <v>80.54000000000001</v>
      </c>
      <c r="J31" s="32" t="n">
        <v>-1.38</v>
      </c>
      <c r="K31" s="32" t="n">
        <v>428047</v>
      </c>
      <c r="L31" s="31" t="n">
        <v>50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62.96</v>
      </c>
      <c r="P31" s="32" t="n">
        <v>16.14</v>
      </c>
      <c r="Q31" s="32" t="inlineStr"/>
      <c r="R31" s="31" t="inlineStr">
        <is>
          <t>Earnings / Momentum Support</t>
        </is>
      </c>
      <c r="S31" s="31" t="inlineStr">
        <is>
          <t>Nifty Bank</t>
        </is>
      </c>
      <c r="T31" s="32" t="n">
        <v>3.98</v>
      </c>
      <c r="U31" s="32" t="n">
        <v>10.66</v>
      </c>
      <c r="V31" s="32" t="n">
        <v>6.42</v>
      </c>
      <c r="W31" s="32" t="n">
        <v>8.6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3</t>
        </is>
      </c>
      <c r="BQ31" s="31">
        <f>IF(BP31="Stage 2",20,IF(BP31="Stage 1",0,IF(BP31="Stage 3",5,IF(BP31="Stage 4",-5,0))))</f>
        <v/>
      </c>
      <c r="BR31" s="31" t="inlineStr">
        <is>
          <t>Negative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IF(B32=0,"",RANK(B32,$B$2:$B$55,0))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TFCILTD</t>
        </is>
      </c>
      <c r="D32" s="31" t="inlineStr">
        <is>
          <t>Tourism Finance Corporation Of India Limited</t>
        </is>
      </c>
      <c r="E32" s="31" t="inlineStr">
        <is>
          <t>financials</t>
        </is>
      </c>
      <c r="F32" s="31" t="inlineStr">
        <is>
          <t>finance - term-lending institutions</t>
        </is>
      </c>
      <c r="G32" s="31" t="inlineStr">
        <is>
          <t>smallcap</t>
        </is>
      </c>
      <c r="H32" s="32" t="n">
        <v>3936.7</v>
      </c>
      <c r="I32" s="32" t="n">
        <v>82.73999999999999</v>
      </c>
      <c r="J32" s="32" t="n">
        <v>-2.69</v>
      </c>
      <c r="K32" s="32" t="n">
        <v>10344839</v>
      </c>
      <c r="L32" s="31" t="n">
        <v>66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63.6</v>
      </c>
      <c r="P32" s="32" t="n">
        <v>41.32</v>
      </c>
      <c r="Q32" s="32" t="inlineStr"/>
      <c r="R32" s="31" t="inlineStr">
        <is>
          <t>Earnings / Momentum Support</t>
        </is>
      </c>
      <c r="S32" s="31" t="inlineStr">
        <is>
          <t>Nifty Bank</t>
        </is>
      </c>
      <c r="T32" s="32" t="n">
        <v>3.98</v>
      </c>
      <c r="U32" s="32" t="n">
        <v>49.16</v>
      </c>
      <c r="V32" s="32" t="n">
        <v>43.46</v>
      </c>
      <c r="W32" s="32" t="n">
        <v>12.31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between 2.5x to 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Above 40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3</t>
        </is>
      </c>
      <c r="BQ32" s="31">
        <f>IF(BP32="Stage 2",20,IF(BP32="Stage 1",0,IF(BP32="Stage 3",5,IF(BP32="Stage 4",-5,0))))</f>
        <v/>
      </c>
      <c r="BR32" s="31" t="inlineStr">
        <is>
          <t>Negative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IF(B33=0,"",RANK(B33,$B$2:$B$55,0))</f>
        <v/>
      </c>
      <c r="B33" s="32">
        <f>SUM(N33,Y33,AA33,AC33,AE33,AG33,AI33,AK33,AM33,AO33,AQ33,AS33,AU33,AW33,AY33,BA33,BC33,BE33,BG33,BI33,BK33,BM33,BO33,BQ33,BS33,BU33,BW33,BY33,CA33)</f>
        <v/>
      </c>
      <c r="C33" s="33" t="inlineStr">
        <is>
          <t>RECLTD</t>
        </is>
      </c>
      <c r="D33" s="33" t="inlineStr">
        <is>
          <t>REC Ltd</t>
        </is>
      </c>
      <c r="E33" s="31" t="inlineStr">
        <is>
          <t>financials</t>
        </is>
      </c>
      <c r="F33" s="31" t="inlineStr">
        <is>
          <t>finance - term-lending institutions</t>
        </is>
      </c>
      <c r="G33" s="31" t="inlineStr">
        <is>
          <t>largecap</t>
        </is>
      </c>
      <c r="H33" s="32" t="n">
        <v>93505.78</v>
      </c>
      <c r="I33" s="32" t="n">
        <v>363.5</v>
      </c>
      <c r="J33" s="32" t="n">
        <v>2.37</v>
      </c>
      <c r="K33" s="32" t="n">
        <v>6788062</v>
      </c>
      <c r="L33" s="31" t="n">
        <v>4</v>
      </c>
      <c r="M33" s="31" t="inlineStr">
        <is>
          <t>Underperforming</t>
        </is>
      </c>
      <c r="N33" s="32">
        <f>IF(M33="Underperforming",-5,IF(L33&gt;=95,15,IF(L33&gt;=90,10,IF(L33&gt;=80,5,0))))</f>
        <v/>
      </c>
      <c r="O33" s="32" t="n">
        <v>51.15</v>
      </c>
      <c r="P33" s="32" t="n">
        <v>9.140000000000001</v>
      </c>
      <c r="Q33" s="32" t="inlineStr"/>
      <c r="R33" s="31" t="inlineStr">
        <is>
          <t>Earnings / Momentum Support</t>
        </is>
      </c>
      <c r="S33" s="31" t="inlineStr">
        <is>
          <t>Nifty Bank</t>
        </is>
      </c>
      <c r="T33" s="32" t="n">
        <v>3.98</v>
      </c>
      <c r="U33" s="32" t="n">
        <v>-6.64</v>
      </c>
      <c r="V33" s="32" t="n">
        <v>-10.21</v>
      </c>
      <c r="W33" s="32" t="n">
        <v>-2.29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3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IF(B34=0,"",RANK(B34,$B$2:$B$55,0))</f>
        <v/>
      </c>
      <c r="B34" s="32">
        <f>SUM(N34,Y34,AA34,AC34,AE34,AG34,AI34,AK34,AM34,AO34,AQ34,AS34,AU34,AW34,AY34,BA34,BC34,BE34,BG34,BI34,BK34,BM34,BO34,BQ34,BS34,BU34,BW34,BY34,CA34)</f>
        <v/>
      </c>
      <c r="C34" s="33" t="inlineStr">
        <is>
          <t>SHAREINDIA</t>
        </is>
      </c>
      <c r="D34" s="33" t="inlineStr">
        <is>
          <t>Share India Securities Ltd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smallcap</t>
        </is>
      </c>
      <c r="H34" s="32" t="n">
        <v>3878.46</v>
      </c>
      <c r="I34" s="32" t="n">
        <v>181.13</v>
      </c>
      <c r="J34" s="32" t="n">
        <v>2.19</v>
      </c>
      <c r="K34" s="32" t="n">
        <v>1094127</v>
      </c>
      <c r="L34" s="31" t="n">
        <v>35</v>
      </c>
      <c r="M34" s="31" t="inlineStr">
        <is>
          <t>Underperforming</t>
        </is>
      </c>
      <c r="N34" s="32">
        <f>IF(M34="Underperforming",-5,IF(L34&gt;=95,15,IF(L34&gt;=90,10,IF(L34&gt;=80,5,0))))</f>
        <v/>
      </c>
      <c r="O34" s="32" t="n">
        <v>65.27</v>
      </c>
      <c r="P34" s="32" t="n">
        <v>15.18</v>
      </c>
      <c r="Q34" s="32" t="inlineStr"/>
      <c r="R34" s="31" t="inlineStr">
        <is>
          <t>Earnings / Momentum Support</t>
        </is>
      </c>
      <c r="S34" s="31" t="inlineStr">
        <is>
          <t>Nifty Bank</t>
        </is>
      </c>
      <c r="T34" s="32" t="n">
        <v>3.98</v>
      </c>
      <c r="U34" s="32" t="n">
        <v>0.86</v>
      </c>
      <c r="V34" s="32" t="n">
        <v>-3</v>
      </c>
      <c r="W34" s="32" t="n">
        <v>5.64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less than 2.5x and Growth more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3</t>
        </is>
      </c>
      <c r="BQ34" s="31">
        <f>IF(BP34="Stage 2",20,IF(BP34="Stage 1",0,IF(BP34="Stage 3",5,IF(BP34="Stage 4",-5,0))))</f>
        <v/>
      </c>
      <c r="BR34" s="31" t="inlineStr">
        <is>
          <t>Negative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IF(B35=0,"",RANK(B35,$B$2:$B$55,0))</f>
        <v/>
      </c>
      <c r="B35" s="32">
        <f>SUM(N35,Y35,AA35,AC35,AE35,AG35,AI35,AK35,AM35,AO35,AQ35,AS35,AU35,AW35,AY35,BA35,BC35,BE35,BG35,BI35,BK35,BM35,BO35,BQ35,BS35,BU35,BW35,BY35,CA35)</f>
        <v/>
      </c>
      <c r="C35" s="33" t="inlineStr">
        <is>
          <t>CAPITALSFB</t>
        </is>
      </c>
      <c r="D35" s="33" t="inlineStr">
        <is>
          <t>Capital Small Finance Bank Ltd</t>
        </is>
      </c>
      <c r="E35" s="31" t="inlineStr">
        <is>
          <t>bank</t>
        </is>
      </c>
      <c r="F35" s="31" t="inlineStr">
        <is>
          <t>banks - private sector</t>
        </is>
      </c>
      <c r="G35" s="31" t="inlineStr">
        <is>
          <t>smallcap</t>
        </is>
      </c>
      <c r="H35" s="32" t="n">
        <v>1381.91</v>
      </c>
      <c r="I35" s="32" t="n">
        <v>305</v>
      </c>
      <c r="J35" s="32" t="n">
        <v>0.35</v>
      </c>
      <c r="K35" s="32" t="n">
        <v>63210</v>
      </c>
      <c r="L35" s="31" t="n">
        <v>28</v>
      </c>
      <c r="M35" s="31" t="inlineStr">
        <is>
          <t>Underperforming</t>
        </is>
      </c>
      <c r="N35" s="32">
        <f>IF(M35="Underperforming",-5,IF(L35&gt;=95,15,IF(L35&gt;=90,10,IF(L35&gt;=80,5,0))))</f>
        <v/>
      </c>
      <c r="O35" s="32" t="n">
        <v>63.92</v>
      </c>
      <c r="P35" s="32" t="n">
        <v>27.63</v>
      </c>
      <c r="Q35" s="32" t="inlineStr"/>
      <c r="R35" s="31" t="inlineStr">
        <is>
          <t>Earnings / Momentum Support</t>
        </is>
      </c>
      <c r="S35" s="31" t="inlineStr">
        <is>
          <t>Nifty Bank</t>
        </is>
      </c>
      <c r="T35" s="32" t="n">
        <v>3.98</v>
      </c>
      <c r="U35" s="32" t="n">
        <v>1.29</v>
      </c>
      <c r="V35" s="32" t="n">
        <v>-2.58</v>
      </c>
      <c r="W35" s="32" t="n">
        <v>4.43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less than 2.5x and Growth less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20 to 40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3</t>
        </is>
      </c>
      <c r="BQ35" s="31">
        <f>IF(BP35="Stage 2",20,IF(BP35="Stage 1",0,IF(BP35="Stage 3",5,IF(BP35="Stage 4",-5,0))))</f>
        <v/>
      </c>
      <c r="BR35" s="31" t="inlineStr">
        <is>
          <t>Negative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IF(B36=0,"",RANK(B36,$B$2:$B$55,0))</f>
        <v/>
      </c>
      <c r="B36" s="32">
        <f>SUM(N36,Y36,AA36,AC36,AE36,AG36,AI36,AK36,AM36,AO36,AQ36,AS36,AU36,AW36,AY36,BA36,BC36,BE36,BG36,BI36,BK36,BM36,BO36,BQ36,BS36,BU36,BW36,BY36,CA36)</f>
        <v/>
      </c>
      <c r="C36" s="33" t="inlineStr">
        <is>
          <t>PNBHOUSING</t>
        </is>
      </c>
      <c r="D36" s="33" t="inlineStr">
        <is>
          <t>Pnb Housing Finance Limited</t>
        </is>
      </c>
      <c r="E36" s="31" t="inlineStr">
        <is>
          <t>financials</t>
        </is>
      </c>
      <c r="F36" s="31" t="inlineStr">
        <is>
          <t>finance - housing</t>
        </is>
      </c>
      <c r="G36" s="31" t="inlineStr">
        <is>
          <t>largecap</t>
        </is>
      </c>
      <c r="H36" s="32" t="n">
        <v>28650.73</v>
      </c>
      <c r="I36" s="32" t="n">
        <v>1098.4</v>
      </c>
      <c r="J36" s="32" t="n">
        <v>-0.13</v>
      </c>
      <c r="K36" s="32" t="n">
        <v>653245</v>
      </c>
      <c r="L36" s="31" t="n">
        <v>34</v>
      </c>
      <c r="M36" s="31" t="inlineStr">
        <is>
          <t>Underperforming</t>
        </is>
      </c>
      <c r="N36" s="32">
        <f>IF(M36="Underperforming",-5,IF(L36&gt;=95,15,IF(L36&gt;=90,10,IF(L36&gt;=80,5,0))))</f>
        <v/>
      </c>
      <c r="O36" s="32" t="n">
        <v>65.20999999999999</v>
      </c>
      <c r="P36" s="32" t="n">
        <v>32.98</v>
      </c>
      <c r="Q36" s="32" t="inlineStr"/>
      <c r="R36" s="31" t="inlineStr">
        <is>
          <t>Earnings / Momentum Support</t>
        </is>
      </c>
      <c r="S36" s="31" t="inlineStr">
        <is>
          <t>Nifty Bank</t>
        </is>
      </c>
      <c r="T36" s="32" t="n">
        <v>3.98</v>
      </c>
      <c r="U36" s="32" t="n">
        <v>2.14</v>
      </c>
      <c r="V36" s="32" t="n">
        <v>-1.76</v>
      </c>
      <c r="W36" s="32" t="n">
        <v>5.35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less than 2.5x and Growth less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20 to 40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3</t>
        </is>
      </c>
      <c r="BQ36" s="31">
        <f>IF(BP36="Stage 2",20,IF(BP36="Stage 1",0,IF(BP36="Stage 3",5,IF(BP36="Stage 4",-5,0))))</f>
        <v/>
      </c>
      <c r="BR36" s="31" t="inlineStr">
        <is>
          <t>Negative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IF(B37=0,"",RANK(B37,$B$2:$B$55,0))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CGCL</t>
        </is>
      </c>
      <c r="D37" s="31" t="inlineStr">
        <is>
          <t>Capri Global Capital Limited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largecap</t>
        </is>
      </c>
      <c r="H37" s="32" t="n">
        <v>24667.7</v>
      </c>
      <c r="I37" s="32" t="n">
        <v>250.02</v>
      </c>
      <c r="J37" s="32" t="n">
        <v>-2.48</v>
      </c>
      <c r="K37" s="32" t="n">
        <v>2118442</v>
      </c>
      <c r="L37" s="31" t="n">
        <v>76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78.64</v>
      </c>
      <c r="P37" s="32" t="n">
        <v>36.28</v>
      </c>
      <c r="Q37" s="32" t="inlineStr"/>
      <c r="R37" s="31" t="inlineStr">
        <is>
          <t>Earnings / Momentum Support</t>
        </is>
      </c>
      <c r="S37" s="31" t="inlineStr">
        <is>
          <t>Nifty Bank</t>
        </is>
      </c>
      <c r="T37" s="32" t="n">
        <v>3.98</v>
      </c>
      <c r="U37" s="32" t="n">
        <v>39.67</v>
      </c>
      <c r="V37" s="32" t="n">
        <v>34.33</v>
      </c>
      <c r="W37" s="32" t="n">
        <v>16.22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between 2.5x to 5x and Growth more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20 to 40</t>
        </is>
      </c>
      <c r="BM37" s="31">
        <f>IF(BL37="Above 40",20,IF(BL37="20 to 40",10,IF(BL37="0 to 20",-5,0)))</f>
        <v/>
      </c>
      <c r="BN37" s="31" t="inlineStr">
        <is>
          <t>Above 75</t>
        </is>
      </c>
      <c r="BO37" s="31">
        <f>IF(BN37="Between 50 to 75",10,IF(BN37="Above 75",0,0))</f>
        <v/>
      </c>
      <c r="BP37" s="31" t="inlineStr">
        <is>
          <t>Stage 3</t>
        </is>
      </c>
      <c r="BQ37" s="31">
        <f>IF(BP37="Stage 2",20,IF(BP37="Stage 1",0,IF(BP37="Stage 3",5,IF(BP37="Stage 4",-5,0))))</f>
        <v/>
      </c>
      <c r="BR37" s="31" t="inlineStr">
        <is>
          <t>Negative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IF(B38=0,"",RANK(B38,$B$2:$B$55,0))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INDIANB</t>
        </is>
      </c>
      <c r="D38" s="31" t="inlineStr">
        <is>
          <t>Indian Bank Ltd</t>
        </is>
      </c>
      <c r="E38" s="31" t="inlineStr">
        <is>
          <t>bank</t>
        </is>
      </c>
      <c r="F38" s="31" t="inlineStr">
        <is>
          <t>banks - public sector</t>
        </is>
      </c>
      <c r="G38" s="31" t="inlineStr">
        <is>
          <t>largecap</t>
        </is>
      </c>
      <c r="H38" s="32" t="n">
        <v>112121.28</v>
      </c>
      <c r="I38" s="32" t="n">
        <v>858.5</v>
      </c>
      <c r="J38" s="32" t="n">
        <v>3.14</v>
      </c>
      <c r="K38" s="32" t="n">
        <v>4753989</v>
      </c>
      <c r="L38" s="31" t="n">
        <v>30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49.6</v>
      </c>
      <c r="P38" s="32" t="n">
        <v>7.29</v>
      </c>
      <c r="Q38" s="32" t="inlineStr"/>
      <c r="R38" s="31" t="inlineStr">
        <is>
          <t>Earnings / Momentum Support</t>
        </is>
      </c>
      <c r="S38" s="31" t="inlineStr">
        <is>
          <t>Nifty Bank</t>
        </is>
      </c>
      <c r="T38" s="32" t="n">
        <v>3.98</v>
      </c>
      <c r="U38" s="32" t="n">
        <v>34.59</v>
      </c>
      <c r="V38" s="32" t="n">
        <v>29.44</v>
      </c>
      <c r="W38" s="32" t="n">
        <v>4.8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less than 2.5x and Growth more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Below 45</t>
        </is>
      </c>
      <c r="BO38" s="31">
        <f>IF(BN38="Between 50 to 75",10,IF(BN38="Above 75",0,0))</f>
        <v/>
      </c>
      <c r="BP38" s="31" t="inlineStr">
        <is>
          <t>Stage 3</t>
        </is>
      </c>
      <c r="BQ38" s="31">
        <f>IF(BP38="Stage 2",20,IF(BP38="Stage 1",0,IF(BP38="Stage 3",5,IF(BP38="Stage 4",-5,0))))</f>
        <v/>
      </c>
      <c r="BR38" s="31" t="inlineStr">
        <is>
          <t>Negative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IF(B39=0,"",RANK(B39,$B$2:$B$55,0))</f>
        <v/>
      </c>
      <c r="B39" s="32">
        <f>SUM(N39,Y39,AA39,AC39,AE39,AG39,AI39,AK39,AM39,AO39,AQ39,AS39,AU39,AW39,AY39,BA39,BC39,BE39,BG39,BI39,BK39,BM39,BO39,BQ39,BS39,BU39,BW39,BY39,CA39)</f>
        <v/>
      </c>
      <c r="C39" s="31" t="inlineStr">
        <is>
          <t>CHOICEIN</t>
        </is>
      </c>
      <c r="D39" s="31" t="inlineStr">
        <is>
          <t>Choice International Ltd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midcap</t>
        </is>
      </c>
      <c r="H39" s="32" t="n">
        <v>18018.16</v>
      </c>
      <c r="I39" s="32" t="n">
        <v>815.05</v>
      </c>
      <c r="J39" s="32" t="n">
        <v>0.77</v>
      </c>
      <c r="K39" s="32" t="n">
        <v>642633</v>
      </c>
      <c r="L39" s="31" t="n">
        <v>27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60.9</v>
      </c>
      <c r="P39" s="32" t="n">
        <v>20.83</v>
      </c>
      <c r="Q39" s="32" t="inlineStr"/>
      <c r="R39" s="31" t="inlineStr">
        <is>
          <t>Earnings / Momentum Support</t>
        </is>
      </c>
      <c r="S39" s="31" t="inlineStr">
        <is>
          <t>Nifty Bank</t>
        </is>
      </c>
      <c r="T39" s="32" t="n">
        <v>3.98</v>
      </c>
      <c r="U39" s="32" t="n">
        <v>7.4</v>
      </c>
      <c r="V39" s="32" t="n">
        <v>3.3</v>
      </c>
      <c r="W39" s="32" t="n">
        <v>4.1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above 5x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20 to 40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3</t>
        </is>
      </c>
      <c r="BQ39" s="31">
        <f>IF(BP39="Stage 2",20,IF(BP39="Stage 1",0,IF(BP39="Stage 3",5,IF(BP39="Stage 4",-5,0))))</f>
        <v/>
      </c>
      <c r="BR39" s="31" t="inlineStr">
        <is>
          <t>Negative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IF(B40=0,"",RANK(B40,$B$2:$B$55,0))</f>
        <v/>
      </c>
      <c r="B40" s="32">
        <f>SUM(N40,Y40,AA40,AC40,AE40,AG40,AI40,AK40,AM40,AO40,AQ40,AS40,AU40,AW40,AY40,BA40,BC40,BE40,BG40,BI40,BK40,BM40,BO40,BQ40,BS40,BU40,BW40,BY40,CA40)</f>
        <v/>
      </c>
      <c r="C40" s="31" t="inlineStr">
        <is>
          <t>MOTILALOFS</t>
        </is>
      </c>
      <c r="D40" s="31" t="inlineStr">
        <is>
          <t>Motilal Oswal Financial Services Limited</t>
        </is>
      </c>
      <c r="E40" s="31" t="inlineStr">
        <is>
          <t>financials</t>
        </is>
      </c>
      <c r="F40" s="31" t="inlineStr">
        <is>
          <t>finance &amp; investments</t>
        </is>
      </c>
      <c r="G40" s="31" t="inlineStr">
        <is>
          <t>largecap</t>
        </is>
      </c>
      <c r="H40" s="32" t="n">
        <v>58233.61</v>
      </c>
      <c r="I40" s="32" t="n">
        <v>973.15</v>
      </c>
      <c r="J40" s="32" t="n">
        <v>0.63</v>
      </c>
      <c r="K40" s="32" t="n">
        <v>545634</v>
      </c>
      <c r="L40" s="31" t="n">
        <v>37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63.46</v>
      </c>
      <c r="P40" s="32" t="n">
        <v>15.77</v>
      </c>
      <c r="Q40" s="32" t="inlineStr"/>
      <c r="R40" s="31" t="inlineStr">
        <is>
          <t>Earnings / Momentum Support</t>
        </is>
      </c>
      <c r="S40" s="31" t="inlineStr">
        <is>
          <t>Nifty Bank</t>
        </is>
      </c>
      <c r="T40" s="32" t="n">
        <v>3.98</v>
      </c>
      <c r="U40" s="32" t="n">
        <v>6.99</v>
      </c>
      <c r="V40" s="32" t="n">
        <v>2.9</v>
      </c>
      <c r="W40" s="32" t="n">
        <v>5.73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No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between 2.5x to 5x and Growth more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3</t>
        </is>
      </c>
      <c r="BQ40" s="31">
        <f>IF(BP40="Stage 2",20,IF(BP40="Stage 1",0,IF(BP40="Stage 3",5,IF(BP40="Stage 4",-5,0))))</f>
        <v/>
      </c>
      <c r="BR40" s="31" t="inlineStr">
        <is>
          <t>Negative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IF(B41=0,"",RANK(B41,$B$2:$B$55,0))</f>
        <v/>
      </c>
      <c r="B41" s="32">
        <f>SUM(N41,Y41,AA41,AC41,AE41,AG41,AI41,AK41,AM41,AO41,AQ41,AS41,AU41,AW41,AY41,BA41,BC41,BE41,BG41,BI41,BK41,BM41,BO41,BQ41,BS41,BU41,BW41,BY41,CA41)</f>
        <v/>
      </c>
      <c r="C41" s="31" t="inlineStr">
        <is>
          <t>NUVAMA</t>
        </is>
      </c>
      <c r="D41" s="31" t="inlineStr">
        <is>
          <t>Nuvama Wealth Management Ltd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largecap</t>
        </is>
      </c>
      <c r="H41" s="32" t="n">
        <v>34006.94</v>
      </c>
      <c r="I41" s="32" t="n">
        <v>1854</v>
      </c>
      <c r="J41" s="32" t="n">
        <v>-0.49</v>
      </c>
      <c r="K41" s="32" t="n">
        <v>169432</v>
      </c>
      <c r="L41" s="31" t="n">
        <v>64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66.19</v>
      </c>
      <c r="P41" s="32" t="n">
        <v>37.78</v>
      </c>
      <c r="Q41" s="32" t="inlineStr"/>
      <c r="R41" s="31" t="inlineStr">
        <is>
          <t>Earnings / Momentum Support</t>
        </is>
      </c>
      <c r="S41" s="31" t="inlineStr">
        <is>
          <t>Nifty Bank</t>
        </is>
      </c>
      <c r="T41" s="32" t="n">
        <v>3.98</v>
      </c>
      <c r="U41" s="32" t="n">
        <v>22.84</v>
      </c>
      <c r="V41" s="32" t="n">
        <v>18.14</v>
      </c>
      <c r="W41" s="32" t="n">
        <v>12.08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above 5x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20 to 40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3</t>
        </is>
      </c>
      <c r="BQ41" s="31">
        <f>IF(BP41="Stage 2",20,IF(BP41="Stage 1",0,IF(BP41="Stage 3",5,IF(BP41="Stage 4",-5,0))))</f>
        <v/>
      </c>
      <c r="BR41" s="31" t="inlineStr">
        <is>
          <t>Negative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IF(B42=0,"",RANK(B42,$B$2:$B$55,0))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OFSS</t>
        </is>
      </c>
      <c r="D42" s="31" t="inlineStr">
        <is>
          <t>Oracle Financial Services Software Limited</t>
        </is>
      </c>
      <c r="E42" s="31" t="inlineStr">
        <is>
          <t>i.t</t>
        </is>
      </c>
      <c r="F42" s="31" t="inlineStr">
        <is>
          <t>computers - software - large</t>
        </is>
      </c>
      <c r="G42" s="31" t="inlineStr">
        <is>
          <t>largecap</t>
        </is>
      </c>
      <c r="H42" s="32" t="n">
        <v>102492.61</v>
      </c>
      <c r="I42" s="32" t="n">
        <v>11620</v>
      </c>
      <c r="J42" s="32" t="n">
        <v>-1.28</v>
      </c>
      <c r="K42" s="32" t="n">
        <v>395465</v>
      </c>
      <c r="L42" s="31" t="n">
        <v>82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76.64</v>
      </c>
      <c r="P42" s="32" t="n">
        <v>36.7</v>
      </c>
      <c r="Q42" s="32" t="inlineStr"/>
      <c r="R42" s="31" t="inlineStr">
        <is>
          <t>Earnings / Momentum Support</t>
        </is>
      </c>
      <c r="S42" s="31" t="inlineStr">
        <is>
          <t>Nifty IT</t>
        </is>
      </c>
      <c r="T42" s="32" t="n">
        <v>-21.31</v>
      </c>
      <c r="U42" s="32" t="n">
        <v>39.88</v>
      </c>
      <c r="V42" s="32" t="n">
        <v>77.76000000000001</v>
      </c>
      <c r="W42" s="32" t="n">
        <v>19.07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above 5x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20 to 40</t>
        </is>
      </c>
      <c r="BM42" s="31">
        <f>IF(BL42="Above 40",20,IF(BL42="20 to 40",10,IF(BL42="0 to 20",-5,0)))</f>
        <v/>
      </c>
      <c r="BN42" s="31" t="inlineStr">
        <is>
          <t>Above 75</t>
        </is>
      </c>
      <c r="BO42" s="31">
        <f>IF(BN42="Between 50 to 75",10,IF(BN42="Above 75",0,0))</f>
        <v/>
      </c>
      <c r="BP42" s="31" t="inlineStr">
        <is>
          <t>Stage 3</t>
        </is>
      </c>
      <c r="BQ42" s="31">
        <f>IF(BP42="Stage 2",20,IF(BP42="Stage 1",0,IF(BP42="Stage 3",5,IF(BP42="Stage 4",-5,0))))</f>
        <v/>
      </c>
      <c r="BR42" s="31" t="inlineStr">
        <is>
          <t>Negative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IF(B43=0,"",RANK(B43,$B$2:$B$55,0))</f>
        <v/>
      </c>
      <c r="B43" s="32">
        <f>SUM(N43,Y43,AA43,AC43,AE43,AG43,AI43,AK43,AM43,AO43,AQ43,AS43,AU43,AW43,AY43,BA43,BC43,BE43,BG43,BI43,BK43,BM43,BO43,BQ43,BS43,BU43,BW43,BY43,CA43)</f>
        <v/>
      </c>
      <c r="C43" s="31" t="inlineStr">
        <is>
          <t>CHOLAFIN</t>
        </is>
      </c>
      <c r="D43" s="31" t="inlineStr">
        <is>
          <t>Cholamandalam Investment And Finance Company Limited</t>
        </is>
      </c>
      <c r="E43" s="31" t="inlineStr">
        <is>
          <t>financials</t>
        </is>
      </c>
      <c r="F43" s="31" t="inlineStr">
        <is>
          <t>finance &amp; investments</t>
        </is>
      </c>
      <c r="G43" s="31" t="inlineStr">
        <is>
          <t>largecap</t>
        </is>
      </c>
      <c r="H43" s="32" t="n">
        <v>153784.19</v>
      </c>
      <c r="I43" s="32" t="n">
        <v>1780</v>
      </c>
      <c r="J43" s="32" t="n">
        <v>-1.38</v>
      </c>
      <c r="K43" s="32" t="n">
        <v>884308</v>
      </c>
      <c r="L43" s="31" t="n">
        <v>39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61.63</v>
      </c>
      <c r="P43" s="32" t="n">
        <v>13.8</v>
      </c>
      <c r="Q43" s="32" t="inlineStr"/>
      <c r="R43" s="31" t="inlineStr">
        <is>
          <t>Earnings / Momentum Support</t>
        </is>
      </c>
      <c r="S43" s="31" t="inlineStr">
        <is>
          <t>Nifty Bank</t>
        </is>
      </c>
      <c r="T43" s="32" t="n">
        <v>3.98</v>
      </c>
      <c r="U43" s="32" t="n">
        <v>16.24</v>
      </c>
      <c r="V43" s="32" t="n">
        <v>11.79</v>
      </c>
      <c r="W43" s="32" t="n">
        <v>6.16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No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between 2.5x to 5x and Growth more than 20%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0 to 20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3</t>
        </is>
      </c>
      <c r="BQ43" s="31">
        <f>IF(BP43="Stage 2",20,IF(BP43="Stage 1",0,IF(BP43="Stage 3",5,IF(BP43="Stage 4",-5,0))))</f>
        <v/>
      </c>
      <c r="BR43" s="31" t="inlineStr">
        <is>
          <t>Negative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IF(B44=0,"",RANK(B44,$B$2:$B$55,0))</f>
        <v/>
      </c>
      <c r="B44" s="32">
        <f>SUM(N44,Y44,AA44,AC44,AE44,AG44,AI44,AK44,AM44,AO44,AQ44,AS44,AU44,AW44,AY44,BA44,BC44,BE44,BG44,BI44,BK44,BM44,BO44,BQ44,BS44,BU44,BW44,BY44,CA44)</f>
        <v/>
      </c>
      <c r="C44" s="31" t="inlineStr">
        <is>
          <t>POONAWALLA</t>
        </is>
      </c>
      <c r="D44" s="31" t="inlineStr">
        <is>
          <t>Poonawalla Fincorp Ltd</t>
        </is>
      </c>
      <c r="E44" s="31" t="inlineStr">
        <is>
          <t>financials</t>
        </is>
      </c>
      <c r="F44" s="31" t="inlineStr">
        <is>
          <t>finance &amp; investments</t>
        </is>
      </c>
      <c r="G44" s="31" t="inlineStr">
        <is>
          <t>largecap</t>
        </is>
      </c>
      <c r="H44" s="32" t="n">
        <v>42026.2</v>
      </c>
      <c r="I44" s="32" t="n">
        <v>467.25</v>
      </c>
      <c r="J44" s="32" t="n">
        <v>-2.11</v>
      </c>
      <c r="K44" s="32" t="n">
        <v>5963064</v>
      </c>
      <c r="L44" s="31" t="n">
        <v>31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60.54</v>
      </c>
      <c r="P44" s="32" t="n">
        <v>12.7</v>
      </c>
      <c r="Q44" s="32" t="inlineStr"/>
      <c r="R44" s="31" t="inlineStr">
        <is>
          <t>Earnings / Momentum Support</t>
        </is>
      </c>
      <c r="S44" s="31" t="inlineStr">
        <is>
          <t>Nifty Bank</t>
        </is>
      </c>
      <c r="T44" s="32" t="n">
        <v>3.98</v>
      </c>
      <c r="U44" s="32" t="n">
        <v>5.55</v>
      </c>
      <c r="V44" s="32" t="n">
        <v>1.51</v>
      </c>
      <c r="W44" s="32" t="n">
        <v>4.89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No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between 2.5x to 5x and Growth more than 20%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0 to 20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3</t>
        </is>
      </c>
      <c r="BQ44" s="31">
        <f>IF(BP44="Stage 2",20,IF(BP44="Stage 1",0,IF(BP44="Stage 3",5,IF(BP44="Stage 4",-5,0))))</f>
        <v/>
      </c>
      <c r="BR44" s="31" t="inlineStr">
        <is>
          <t>Negative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IF(B45=0,"",RANK(B45,$B$2:$B$55,0))</f>
        <v/>
      </c>
      <c r="B45" s="32">
        <f>SUM(N45,Y45,AA45,AC45,AE45,AG45,AI45,AK45,AM45,AO45,AQ45,AS45,AU45,AW45,AY45,BA45,BC45,BE45,BG45,BI45,BK45,BM45,BO45,BQ45,BS45,BU45,BW45,BY45,CA45)</f>
        <v/>
      </c>
      <c r="C45" s="31" t="inlineStr">
        <is>
          <t>UNIONBANK</t>
        </is>
      </c>
      <c r="D45" s="31" t="inlineStr">
        <is>
          <t>Union Bank Of India Ltd</t>
        </is>
      </c>
      <c r="E45" s="31" t="inlineStr">
        <is>
          <t>bank</t>
        </is>
      </c>
      <c r="F45" s="31" t="inlineStr">
        <is>
          <t>banks - public sector</t>
        </is>
      </c>
      <c r="G45" s="31" t="inlineStr">
        <is>
          <t>largecap</t>
        </is>
      </c>
      <c r="H45" s="32" t="n">
        <v>128595.72</v>
      </c>
      <c r="I45" s="32" t="n">
        <v>175.93</v>
      </c>
      <c r="J45" s="32" t="n">
        <v>4.43</v>
      </c>
      <c r="K45" s="32" t="n">
        <v>36352077</v>
      </c>
      <c r="L45" s="31" t="n">
        <v>23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53.26</v>
      </c>
      <c r="P45" s="32" t="n">
        <v>15.97</v>
      </c>
      <c r="Q45" s="32" t="inlineStr"/>
      <c r="R45" s="31" t="inlineStr">
        <is>
          <t>Earnings / Momentum Support</t>
        </is>
      </c>
      <c r="S45" s="31" t="inlineStr">
        <is>
          <t>Nifty Bank</t>
        </is>
      </c>
      <c r="T45" s="32" t="n">
        <v>3.98</v>
      </c>
      <c r="U45" s="32" t="n">
        <v>22.43</v>
      </c>
      <c r="V45" s="32" t="n">
        <v>17.75</v>
      </c>
      <c r="W45" s="32" t="n">
        <v>3.24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n"/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No</t>
        </is>
      </c>
      <c r="AQ45" s="31">
        <f>IF(AP45="Yes",10,0)</f>
        <v/>
      </c>
      <c r="AR45" s="31" t="inlineStr">
        <is>
          <t>Yes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Yes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less than 2.5x and Growth less than 20%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0 to 20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3</t>
        </is>
      </c>
      <c r="BQ45" s="31">
        <f>IF(BP45="Stage 2",20,IF(BP45="Stage 1",0,IF(BP45="Stage 3",5,IF(BP45="Stage 4",-5,0))))</f>
        <v/>
      </c>
      <c r="BR45" s="31" t="inlineStr">
        <is>
          <t>Negative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Close to 52 week high or retracement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IF(B46=0,"",RANK(B46,$B$2:$B$55,0))</f>
        <v/>
      </c>
      <c r="B46" s="32">
        <f>SUM(N46,Y46,AA46,AC46,AE46,AG46,AI46,AK46,AM46,AO46,AQ46,AS46,AU46,AW46,AY46,BA46,BC46,BE46,BG46,BI46,BK46,BM46,BO46,BQ46,BS46,BU46,BW46,BY46,CA46)</f>
        <v/>
      </c>
      <c r="C46" s="31" t="inlineStr">
        <is>
          <t>BANKINDIA</t>
        </is>
      </c>
      <c r="D46" s="31" t="inlineStr">
        <is>
          <t>Bank Of India Ltd</t>
        </is>
      </c>
      <c r="E46" s="31" t="inlineStr">
        <is>
          <t>bank</t>
        </is>
      </c>
      <c r="F46" s="31" t="inlineStr">
        <is>
          <t>banks - public sector</t>
        </is>
      </c>
      <c r="G46" s="31" t="inlineStr">
        <is>
          <t>largecap</t>
        </is>
      </c>
      <c r="H46" s="32" t="n">
        <v>65180.55</v>
      </c>
      <c r="I46" s="32" t="n">
        <v>146.95</v>
      </c>
      <c r="J46" s="32" t="n">
        <v>2.64</v>
      </c>
      <c r="K46" s="32" t="n">
        <v>13068497</v>
      </c>
      <c r="L46" s="31" t="n">
        <v>36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51.52</v>
      </c>
      <c r="P46" s="32" t="n">
        <v>7.7</v>
      </c>
      <c r="Q46" s="32" t="inlineStr"/>
      <c r="R46" s="31" t="inlineStr">
        <is>
          <t>Earnings / Momentum Support</t>
        </is>
      </c>
      <c r="S46" s="31" t="inlineStr">
        <is>
          <t>Nifty Bank</t>
        </is>
      </c>
      <c r="T46" s="32" t="n">
        <v>3.98</v>
      </c>
      <c r="U46" s="32" t="n">
        <v>28.54</v>
      </c>
      <c r="V46" s="32" t="n">
        <v>23.62</v>
      </c>
      <c r="W46" s="32" t="n">
        <v>5.72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No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less than 2.5x and Growth less than 20%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0 to 20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3</t>
        </is>
      </c>
      <c r="BQ46" s="31">
        <f>IF(BP46="Stage 2",20,IF(BP46="Stage 1",0,IF(BP46="Stage 3",5,IF(BP46="Stage 4",-5,0))))</f>
        <v/>
      </c>
      <c r="BR46" s="31" t="inlineStr">
        <is>
          <t>Negative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Close to 52 week high or retracement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  <row r="47">
      <c r="A47" s="31">
        <f>IF(B47=0,"",RANK(B47,$B$2:$B$55,0))</f>
        <v/>
      </c>
      <c r="B47" s="32">
        <f>SUM(N47,Y47,AA47,AC47,AE47,AG47,AI47,AK47,AM47,AO47,AQ47,AS47,AU47,AW47,AY47,BA47,BC47,BE47,BG47,BI47,BK47,BM47,BO47,BQ47,BS47,BU47,BW47,BY47,CA47)</f>
        <v/>
      </c>
      <c r="C47" s="31" t="inlineStr">
        <is>
          <t>GEOJITFSL</t>
        </is>
      </c>
      <c r="D47" s="31" t="inlineStr">
        <is>
          <t>Geojit Financial Services Ltd</t>
        </is>
      </c>
      <c r="E47" s="31" t="inlineStr">
        <is>
          <t>financials</t>
        </is>
      </c>
      <c r="F47" s="31" t="inlineStr">
        <is>
          <t>finance &amp; investments</t>
        </is>
      </c>
      <c r="G47" s="31" t="inlineStr">
        <is>
          <t>smallcap</t>
        </is>
      </c>
      <c r="H47" s="32" t="n">
        <v>2263.12</v>
      </c>
      <c r="I47" s="32" t="n">
        <v>82.92</v>
      </c>
      <c r="J47" s="32" t="n">
        <v>2.27</v>
      </c>
      <c r="K47" s="32" t="n">
        <v>491287</v>
      </c>
      <c r="L47" s="31" t="n">
        <v>43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66.01000000000001</v>
      </c>
      <c r="P47" s="32" t="n">
        <v>14.35</v>
      </c>
      <c r="Q47" s="32" t="inlineStr"/>
      <c r="R47" s="31" t="inlineStr">
        <is>
          <t>Earnings / Momentum Support</t>
        </is>
      </c>
      <c r="S47" s="31" t="inlineStr">
        <is>
          <t>Nifty Bank</t>
        </is>
      </c>
      <c r="T47" s="32" t="n">
        <v>3.98</v>
      </c>
      <c r="U47" s="32" t="n">
        <v>9.42</v>
      </c>
      <c r="V47" s="32" t="n">
        <v>5.24</v>
      </c>
      <c r="W47" s="32" t="n">
        <v>6.78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Fragmented with High ROE</t>
        </is>
      </c>
      <c r="AA47" s="31">
        <f>IF(Z47="Fragmented with Low ROE",-5,IF(Z47="Fragmented with High ROE",10,IF(Z47= "highly cyclical",5,0)))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Consistency)",15,IF(AF47="Shallow Cyclical (2 to 3 years growth)",10,IF(AF47 = "Cyclical in an Uptick",5,IF(AF47 = "Cyclical in an Downtick",-10,0))))</f>
        <v/>
      </c>
      <c r="AH47" s="31" t="inlineStr">
        <is>
          <t>Yes</t>
        </is>
      </c>
      <c r="AI47" s="31">
        <f>IF(AH47="Yes",10,0)</f>
        <v/>
      </c>
      <c r="AJ47" s="31" t="inlineStr">
        <is>
          <t>Yes</t>
        </is>
      </c>
      <c r="AK47" s="31">
        <f>IF(AJ47="Yes",10,0)</f>
        <v/>
      </c>
      <c r="AL47" s="31" t="n"/>
      <c r="AM47" s="31">
        <f>IF(AL47="No",10,0)</f>
        <v/>
      </c>
      <c r="AN47" s="31" t="inlineStr">
        <is>
          <t>Yes</t>
        </is>
      </c>
      <c r="AO47" s="31">
        <f>IF(AN47="Yes",10,0)</f>
        <v/>
      </c>
      <c r="AP47" s="31" t="inlineStr">
        <is>
          <t>No</t>
        </is>
      </c>
      <c r="AQ47" s="31">
        <f>IF(AP47="Yes",10,0)</f>
        <v/>
      </c>
      <c r="AR47" s="31" t="inlineStr">
        <is>
          <t>Yes</t>
        </is>
      </c>
      <c r="AS47" s="31">
        <f>IF(AR47="Yes",5,0)</f>
        <v/>
      </c>
      <c r="AT47" s="31" t="inlineStr">
        <is>
          <t>No</t>
        </is>
      </c>
      <c r="AU47" s="31">
        <f>IF(AT47="No",10,IF(AT47="Yes",-10,0))</f>
        <v/>
      </c>
      <c r="AV47" s="31" t="inlineStr">
        <is>
          <t>No</t>
        </is>
      </c>
      <c r="AW47" s="31">
        <f>IF(AV47="No",10,0)</f>
        <v/>
      </c>
      <c r="AX47" s="31" t="inlineStr">
        <is>
          <t>No</t>
        </is>
      </c>
      <c r="AY47" s="31">
        <f>IF(AX47="No",10,IF(AX47= "Yes CEO Resignation",-5,0))</f>
        <v/>
      </c>
      <c r="AZ47" s="31" t="inlineStr">
        <is>
          <t>No</t>
        </is>
      </c>
      <c r="BA47" s="31">
        <f>IF(AZ47="No",10,IF(AZ47="Yes",-5,0))</f>
        <v/>
      </c>
      <c r="BB47" s="31" t="inlineStr">
        <is>
          <t>No</t>
        </is>
      </c>
      <c r="BC47" s="31">
        <f>IF(BB47="No",5,IF(BB47="Yes",-5,0))</f>
        <v/>
      </c>
      <c r="BD47" s="31" t="inlineStr">
        <is>
          <t>Yes</t>
        </is>
      </c>
      <c r="BE47" s="31">
        <f>IF(BD47="Yes",10,0)</f>
        <v/>
      </c>
      <c r="BF47" s="31" t="inlineStr">
        <is>
          <t>Yes</t>
        </is>
      </c>
      <c r="BG47" s="31">
        <f>IF(BF47="Yes",10,0)</f>
        <v/>
      </c>
      <c r="BH47" s="31" t="inlineStr">
        <is>
          <t>Yes</t>
        </is>
      </c>
      <c r="BI47" s="31">
        <f>IF(BH47="Yes",10,0)</f>
        <v/>
      </c>
      <c r="BJ47" s="31" t="inlineStr">
        <is>
          <t>P/BV less than 2.5x and Growth less than 20%</t>
        </is>
      </c>
      <c r="BK47" s="31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1" t="inlineStr">
        <is>
          <t>0 to 20</t>
        </is>
      </c>
      <c r="BM47" s="31">
        <f>IF(BL47="Above 40",20,IF(BL47="20 to 40",10,IF(BL47="0 to 20",-5,0)))</f>
        <v/>
      </c>
      <c r="BN47" s="31" t="inlineStr">
        <is>
          <t>Between 50 to 75</t>
        </is>
      </c>
      <c r="BO47" s="31">
        <f>IF(BN47="Between 50 to 75",10,IF(BN47="Above 75",0,0))</f>
        <v/>
      </c>
      <c r="BP47" s="31" t="inlineStr">
        <is>
          <t>Stage 3</t>
        </is>
      </c>
      <c r="BQ47" s="31">
        <f>IF(BP47="Stage 2",20,IF(BP47="Stage 1",0,IF(BP47="Stage 3",5,IF(BP47="Stage 4",-5,0))))</f>
        <v/>
      </c>
      <c r="BR47" s="31" t="inlineStr">
        <is>
          <t>Negative Trend</t>
        </is>
      </c>
      <c r="BS47" s="31">
        <f>IF(BR47="Positive Trend",20,IF(BR47="Negative Trend",-10,0))</f>
        <v/>
      </c>
      <c r="BT47" s="31" t="inlineStr">
        <is>
          <t>Uptrend</t>
        </is>
      </c>
      <c r="BU47" s="31">
        <f>IF(BT47="Uptrend",10,IF(BT47="Sideways",5,0))</f>
        <v/>
      </c>
      <c r="BV47" s="31" t="inlineStr">
        <is>
          <t>Uptrend</t>
        </is>
      </c>
      <c r="BW47" s="31">
        <f>IF(BV47="Uptrend",10,IF(BV47="Sideways",5,0))</f>
        <v/>
      </c>
      <c r="BX47" s="31" t="inlineStr">
        <is>
          <t>Close to 52 week high or retracement</t>
        </is>
      </c>
      <c r="BY47" s="31">
        <f>IF(BX47="Overhead supply in last 2 years in last 2 years",-5,IF(BX47="Close to 52 week high or retracement",5,IF(BX47="Blue sky scenario",10,IF(BX47="Long term Downtrend",-10,0))))</f>
        <v/>
      </c>
      <c r="BZ47" s="31" t="inlineStr">
        <is>
          <t>Yes</t>
        </is>
      </c>
      <c r="CA47" s="31">
        <f>IF(BZ47="Yes",10,0)</f>
        <v/>
      </c>
    </row>
    <row r="48">
      <c r="A48" s="31">
        <f>IF(B48=0,"",RANK(B48,$B$2:$B$55,0))</f>
        <v/>
      </c>
      <c r="B48" s="32">
        <f>SUM(N48,Y48,AA48,AC48,AE48,AG48,AI48,AK48,AM48,AO48,AQ48,AS48,AU48,AW48,AY48,BA48,BC48,BE48,BG48,BI48,BK48,BM48,BO48,BQ48,BS48,BU48,BW48,BY48,CA48)</f>
        <v/>
      </c>
      <c r="C48" s="31" t="inlineStr">
        <is>
          <t>IDFCFIRSTB</t>
        </is>
      </c>
      <c r="D48" s="31" t="inlineStr">
        <is>
          <t>IDFC First Bank Ltd</t>
        </is>
      </c>
      <c r="E48" s="31" t="inlineStr">
        <is>
          <t>bank</t>
        </is>
      </c>
      <c r="F48" s="31" t="inlineStr">
        <is>
          <t>banks - private sector</t>
        </is>
      </c>
      <c r="G48" s="31" t="inlineStr">
        <is>
          <t>largecap</t>
        </is>
      </c>
      <c r="H48" s="32" t="n">
        <v>69114.64999999999</v>
      </c>
      <c r="I48" s="32" t="n">
        <v>81.78</v>
      </c>
      <c r="J48" s="32" t="n">
        <v>1.78</v>
      </c>
      <c r="K48" s="32" t="n">
        <v>24353514</v>
      </c>
      <c r="L48" s="31" t="n">
        <v>39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60.86</v>
      </c>
      <c r="P48" s="32" t="n">
        <v>17.82</v>
      </c>
      <c r="Q48" s="32" t="inlineStr"/>
      <c r="R48" s="31" t="inlineStr">
        <is>
          <t>Earnings / Momentum Support</t>
        </is>
      </c>
      <c r="S48" s="31" t="inlineStr">
        <is>
          <t>Nifty Bank</t>
        </is>
      </c>
      <c r="T48" s="32" t="n">
        <v>3.98</v>
      </c>
      <c r="U48" s="32" t="n">
        <v>9.93</v>
      </c>
      <c r="V48" s="32" t="n">
        <v>5.73</v>
      </c>
      <c r="W48" s="32" t="n">
        <v>6.24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Fragmented with High ROE</t>
        </is>
      </c>
      <c r="AA48" s="31">
        <f>IF(Z48="Fragmented with Low ROE",-5,IF(Z48="Fragmented with High ROE",10,IF(Z48= "highly cyclical",5,0)))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Consistency)",15,IF(AF48="Shallow Cyclical (2 to 3 years growth)",10,IF(AF48 = "Cyclical in an Uptick",5,IF(AF48 = "Cyclical in an Downtick",-10,0))))</f>
        <v/>
      </c>
      <c r="AH48" s="31" t="inlineStr">
        <is>
          <t>Yes</t>
        </is>
      </c>
      <c r="AI48" s="31">
        <f>IF(AH48="Yes",10,0)</f>
        <v/>
      </c>
      <c r="AJ48" s="31" t="inlineStr">
        <is>
          <t>Yes</t>
        </is>
      </c>
      <c r="AK48" s="31">
        <f>IF(AJ48="Yes",10,0)</f>
        <v/>
      </c>
      <c r="AL48" s="31" t="n"/>
      <c r="AM48" s="31">
        <f>IF(AL48="No",10,0)</f>
        <v/>
      </c>
      <c r="AN48" s="31" t="inlineStr">
        <is>
          <t>Yes</t>
        </is>
      </c>
      <c r="AO48" s="31">
        <f>IF(AN48="Yes",10,0)</f>
        <v/>
      </c>
      <c r="AP48" s="31" t="inlineStr">
        <is>
          <t>No</t>
        </is>
      </c>
      <c r="AQ48" s="31">
        <f>IF(AP48="Yes",10,0)</f>
        <v/>
      </c>
      <c r="AR48" s="31" t="inlineStr">
        <is>
          <t>Yes</t>
        </is>
      </c>
      <c r="AS48" s="31">
        <f>IF(AR48="Yes",5,0)</f>
        <v/>
      </c>
      <c r="AT48" s="31" t="inlineStr">
        <is>
          <t>No</t>
        </is>
      </c>
      <c r="AU48" s="31">
        <f>IF(AT48="No",10,IF(AT48="Yes",-10,0))</f>
        <v/>
      </c>
      <c r="AV48" s="31" t="inlineStr">
        <is>
          <t>No</t>
        </is>
      </c>
      <c r="AW48" s="31">
        <f>IF(AV48="No",10,0)</f>
        <v/>
      </c>
      <c r="AX48" s="31" t="inlineStr">
        <is>
          <t>No</t>
        </is>
      </c>
      <c r="AY48" s="31">
        <f>IF(AX48="No",10,IF(AX48= "Yes CEO Resignation",-5,0))</f>
        <v/>
      </c>
      <c r="AZ48" s="31" t="inlineStr">
        <is>
          <t>No</t>
        </is>
      </c>
      <c r="BA48" s="31">
        <f>IF(AZ48="No",10,IF(AZ48="Yes",-5,0))</f>
        <v/>
      </c>
      <c r="BB48" s="31" t="inlineStr">
        <is>
          <t>No</t>
        </is>
      </c>
      <c r="BC48" s="31">
        <f>IF(BB48="No",5,IF(BB48="Yes",-5,0))</f>
        <v/>
      </c>
      <c r="BD48" s="31" t="inlineStr">
        <is>
          <t>Yes</t>
        </is>
      </c>
      <c r="BE48" s="31">
        <f>IF(BD48="Yes",10,0)</f>
        <v/>
      </c>
      <c r="BF48" s="31" t="inlineStr">
        <is>
          <t>Yes</t>
        </is>
      </c>
      <c r="BG48" s="31">
        <f>IF(BF48="Yes",10,0)</f>
        <v/>
      </c>
      <c r="BH48" s="31" t="inlineStr">
        <is>
          <t>Yes</t>
        </is>
      </c>
      <c r="BI48" s="31">
        <f>IF(BH48="Yes",10,0)</f>
        <v/>
      </c>
      <c r="BJ48" s="31" t="inlineStr">
        <is>
          <t>P/BV less than 2.5x and Growth less than 20%</t>
        </is>
      </c>
      <c r="BK48" s="31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1" t="inlineStr">
        <is>
          <t>0 to 20</t>
        </is>
      </c>
      <c r="BM48" s="31">
        <f>IF(BL48="Above 40",20,IF(BL48="20 to 40",10,IF(BL48="0 to 20",-5,0)))</f>
        <v/>
      </c>
      <c r="BN48" s="31" t="inlineStr">
        <is>
          <t>Between 50 to 75</t>
        </is>
      </c>
      <c r="BO48" s="31">
        <f>IF(BN48="Between 50 to 75",10,IF(BN48="Above 75",0,0))</f>
        <v/>
      </c>
      <c r="BP48" s="31" t="inlineStr">
        <is>
          <t>Stage 3</t>
        </is>
      </c>
      <c r="BQ48" s="31">
        <f>IF(BP48="Stage 2",20,IF(BP48="Stage 1",0,IF(BP48="Stage 3",5,IF(BP48="Stage 4",-5,0))))</f>
        <v/>
      </c>
      <c r="BR48" s="31" t="inlineStr">
        <is>
          <t>Negative Trend</t>
        </is>
      </c>
      <c r="BS48" s="31">
        <f>IF(BR48="Positive Trend",20,IF(BR48="Negative Trend",-10,0))</f>
        <v/>
      </c>
      <c r="BT48" s="31" t="inlineStr">
        <is>
          <t>Uptrend</t>
        </is>
      </c>
      <c r="BU48" s="31">
        <f>IF(BT48="Uptrend",10,IF(BT48="Sideways",5,0))</f>
        <v/>
      </c>
      <c r="BV48" s="31" t="inlineStr">
        <is>
          <t>Uptrend</t>
        </is>
      </c>
      <c r="BW48" s="31">
        <f>IF(BV48="Uptrend",10,IF(BV48="Sideways",5,0))</f>
        <v/>
      </c>
      <c r="BX48" s="31" t="inlineStr">
        <is>
          <t>Close to 52 week high or retracement</t>
        </is>
      </c>
      <c r="BY48" s="31">
        <f>IF(BX48="Overhead supply in last 2 years in last 2 years",-5,IF(BX48="Close to 52 week high or retracement",5,IF(BX48="Blue sky scenario",10,IF(BX48="Long term Downtrend",-10,0))))</f>
        <v/>
      </c>
      <c r="BZ48" s="31" t="inlineStr">
        <is>
          <t>Yes</t>
        </is>
      </c>
      <c r="CA48" s="31">
        <f>IF(BZ48="Yes",10,0)</f>
        <v/>
      </c>
    </row>
    <row r="49">
      <c r="A49" s="31">
        <f>IF(B49=0,"",RANK(B49,$B$2:$B$55,0))</f>
        <v/>
      </c>
      <c r="B49" s="32">
        <f>SUM(N49,Y49,AA49,AC49,AE49,AG49,AI49,AK49,AM49,AO49,AQ49,AS49,AU49,AW49,AY49,BA49,BC49,BE49,BG49,BI49,BK49,BM49,BO49,BQ49,BS49,BU49,BW49,BY49,CA49)</f>
        <v/>
      </c>
      <c r="C49" s="31" t="inlineStr">
        <is>
          <t>SBIN</t>
        </is>
      </c>
      <c r="D49" s="31" t="inlineStr">
        <is>
          <t>State Bank Of India Ltd</t>
        </is>
      </c>
      <c r="E49" s="31" t="inlineStr">
        <is>
          <t>bank</t>
        </is>
      </c>
      <c r="F49" s="31" t="inlineStr">
        <is>
          <t>banks - public sector</t>
        </is>
      </c>
      <c r="G49" s="31" t="inlineStr">
        <is>
          <t>largecap</t>
        </is>
      </c>
      <c r="H49" s="32" t="n">
        <v>963953.39</v>
      </c>
      <c r="I49" s="32" t="n">
        <v>1060</v>
      </c>
      <c r="J49" s="32" t="n">
        <v>1.5</v>
      </c>
      <c r="K49" s="32" t="n">
        <v>16540411</v>
      </c>
      <c r="L49" s="31" t="n">
        <v>33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55.5</v>
      </c>
      <c r="P49" s="32" t="n">
        <v>8.039999999999999</v>
      </c>
      <c r="Q49" s="32" t="inlineStr"/>
      <c r="R49" s="31" t="inlineStr">
        <is>
          <t>Earnings / Momentum Support</t>
        </is>
      </c>
      <c r="S49" s="31" t="inlineStr">
        <is>
          <t>Nifty Bank</t>
        </is>
      </c>
      <c r="T49" s="32" t="n">
        <v>3.98</v>
      </c>
      <c r="U49" s="32" t="n">
        <v>29.12</v>
      </c>
      <c r="V49" s="32" t="n">
        <v>24.18</v>
      </c>
      <c r="W49" s="32" t="n">
        <v>5.14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Fragmented with High ROE</t>
        </is>
      </c>
      <c r="AA49" s="31">
        <f>IF(Z49="Fragmented with Low ROE",-5,IF(Z49="Fragmented with High ROE",10,IF(Z49= "highly cyclical",5,0)))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Consistency)",15,IF(AF49="Shallow Cyclical (2 to 3 years growth)",10,IF(AF49 = "Cyclical in an Uptick",5,IF(AF49 = "Cyclical in an Downtick",-10,0))))</f>
        <v/>
      </c>
      <c r="AH49" s="31" t="inlineStr">
        <is>
          <t>Yes</t>
        </is>
      </c>
      <c r="AI49" s="31">
        <f>IF(AH49="Yes",10,0)</f>
        <v/>
      </c>
      <c r="AJ49" s="31" t="inlineStr">
        <is>
          <t>Yes</t>
        </is>
      </c>
      <c r="AK49" s="31">
        <f>IF(AJ49="Yes",10,0)</f>
        <v/>
      </c>
      <c r="AL49" s="31" t="n"/>
      <c r="AM49" s="31">
        <f>IF(AL49="No",10,0)</f>
        <v/>
      </c>
      <c r="AN49" s="31" t="inlineStr">
        <is>
          <t>Yes</t>
        </is>
      </c>
      <c r="AO49" s="31">
        <f>IF(AN49="Yes",10,0)</f>
        <v/>
      </c>
      <c r="AP49" s="31" t="inlineStr">
        <is>
          <t>No</t>
        </is>
      </c>
      <c r="AQ49" s="31">
        <f>IF(AP49="Yes",10,0)</f>
        <v/>
      </c>
      <c r="AR49" s="31" t="inlineStr">
        <is>
          <t>Yes</t>
        </is>
      </c>
      <c r="AS49" s="31">
        <f>IF(AR49="Yes",5,0)</f>
        <v/>
      </c>
      <c r="AT49" s="31" t="inlineStr">
        <is>
          <t>No</t>
        </is>
      </c>
      <c r="AU49" s="31">
        <f>IF(AT49="No",10,IF(AT49="Yes",-10,0))</f>
        <v/>
      </c>
      <c r="AV49" s="31" t="inlineStr">
        <is>
          <t>No</t>
        </is>
      </c>
      <c r="AW49" s="31">
        <f>IF(AV49="No",10,0)</f>
        <v/>
      </c>
      <c r="AX49" s="31" t="inlineStr">
        <is>
          <t>No</t>
        </is>
      </c>
      <c r="AY49" s="31">
        <f>IF(AX49="No",10,IF(AX49= "Yes CEO Resignation",-5,0))</f>
        <v/>
      </c>
      <c r="AZ49" s="31" t="inlineStr">
        <is>
          <t>No</t>
        </is>
      </c>
      <c r="BA49" s="31">
        <f>IF(AZ49="No",10,IF(AZ49="Yes",-5,0))</f>
        <v/>
      </c>
      <c r="BB49" s="31" t="inlineStr">
        <is>
          <t>No</t>
        </is>
      </c>
      <c r="BC49" s="31">
        <f>IF(BB49="No",5,IF(BB49="Yes",-5,0))</f>
        <v/>
      </c>
      <c r="BD49" s="31" t="inlineStr">
        <is>
          <t>Yes</t>
        </is>
      </c>
      <c r="BE49" s="31">
        <f>IF(BD49="Yes",10,0)</f>
        <v/>
      </c>
      <c r="BF49" s="31" t="inlineStr">
        <is>
          <t>Yes</t>
        </is>
      </c>
      <c r="BG49" s="31">
        <f>IF(BF49="Yes",10,0)</f>
        <v/>
      </c>
      <c r="BH49" s="31" t="inlineStr">
        <is>
          <t>Yes</t>
        </is>
      </c>
      <c r="BI49" s="31">
        <f>IF(BH49="Yes",10,0)</f>
        <v/>
      </c>
      <c r="BJ49" s="31" t="inlineStr">
        <is>
          <t>P/BV less than 2.5x and Growth less than 20%</t>
        </is>
      </c>
      <c r="BK49" s="31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1" t="inlineStr">
        <is>
          <t>0 to 20</t>
        </is>
      </c>
      <c r="BM49" s="31">
        <f>IF(BL49="Above 40",20,IF(BL49="20 to 40",10,IF(BL49="0 to 20",-5,0)))</f>
        <v/>
      </c>
      <c r="BN49" s="31" t="inlineStr">
        <is>
          <t>Between 50 to 75</t>
        </is>
      </c>
      <c r="BO49" s="31">
        <f>IF(BN49="Between 50 to 75",10,IF(BN49="Above 75",0,0))</f>
        <v/>
      </c>
      <c r="BP49" s="31" t="inlineStr">
        <is>
          <t>Stage 3</t>
        </is>
      </c>
      <c r="BQ49" s="31">
        <f>IF(BP49="Stage 2",20,IF(BP49="Stage 1",0,IF(BP49="Stage 3",5,IF(BP49="Stage 4",-5,0))))</f>
        <v/>
      </c>
      <c r="BR49" s="31" t="inlineStr">
        <is>
          <t>Negative Trend</t>
        </is>
      </c>
      <c r="BS49" s="31">
        <f>IF(BR49="Positive Trend",20,IF(BR49="Negative Trend",-10,0))</f>
        <v/>
      </c>
      <c r="BT49" s="31" t="inlineStr">
        <is>
          <t>Uptrend</t>
        </is>
      </c>
      <c r="BU49" s="31">
        <f>IF(BT49="Uptrend",10,IF(BT49="Sideways",5,0))</f>
        <v/>
      </c>
      <c r="BV49" s="31" t="inlineStr">
        <is>
          <t>Uptrend</t>
        </is>
      </c>
      <c r="BW49" s="31">
        <f>IF(BV49="Uptrend",10,IF(BV49="Sideways",5,0))</f>
        <v/>
      </c>
      <c r="BX49" s="31" t="inlineStr">
        <is>
          <t>Close to 52 week high or retracement</t>
        </is>
      </c>
      <c r="BY49" s="31">
        <f>IF(BX49="Overhead supply in last 2 years in last 2 years",-5,IF(BX49="Close to 52 week high or retracement",5,IF(BX49="Blue sky scenario",10,IF(BX49="Long term Downtrend",-10,0))))</f>
        <v/>
      </c>
      <c r="BZ49" s="31" t="inlineStr">
        <is>
          <t>Yes</t>
        </is>
      </c>
      <c r="CA49" s="31">
        <f>IF(BZ49="Yes",10,0)</f>
        <v/>
      </c>
    </row>
    <row r="50">
      <c r="A50" s="31">
        <f>IF(B50=0,"",RANK(B50,$B$2:$B$55,0))</f>
        <v/>
      </c>
      <c r="B50" s="32">
        <f>SUM(N50,Y50,AA50,AC50,AE50,AG50,AI50,AK50,AM50,AO50,AQ50,AS50,AU50,AW50,AY50,BA50,BC50,BE50,BG50,BI50,BK50,BM50,BO50,BQ50,BS50,BU50,BW50,BY50,CA50)</f>
        <v/>
      </c>
      <c r="C50" s="33" t="inlineStr">
        <is>
          <t>INDIASHLTR</t>
        </is>
      </c>
      <c r="D50" s="33" t="inlineStr">
        <is>
          <t>India Shelter Finance Corporation Ltd</t>
        </is>
      </c>
      <c r="E50" s="31" t="inlineStr">
        <is>
          <t>financials</t>
        </is>
      </c>
      <c r="F50" s="31" t="inlineStr">
        <is>
          <t>finance - housing</t>
        </is>
      </c>
      <c r="G50" s="31" t="inlineStr">
        <is>
          <t>midcap</t>
        </is>
      </c>
      <c r="H50" s="32" t="n">
        <v>8867.620000000001</v>
      </c>
      <c r="I50" s="32" t="n">
        <v>815.15</v>
      </c>
      <c r="J50" s="32" t="n">
        <v>-0.02</v>
      </c>
      <c r="K50" s="32" t="n">
        <v>153480</v>
      </c>
      <c r="L50" s="31" t="n">
        <v>3</v>
      </c>
      <c r="M50" s="31" t="inlineStr">
        <is>
          <t>Underperforming</t>
        </is>
      </c>
      <c r="N50" s="32">
        <f>IF(M50="Underperforming",-5,IF(L50&gt;=95,15,IF(L50&gt;=90,10,IF(L50&gt;=80,5,0))))</f>
        <v/>
      </c>
      <c r="O50" s="32" t="n">
        <v>56.74</v>
      </c>
      <c r="P50" s="32" t="n">
        <v>10.64</v>
      </c>
      <c r="Q50" s="32" t="inlineStr"/>
      <c r="R50" s="31" t="inlineStr">
        <is>
          <t>Earnings / Momentum Support</t>
        </is>
      </c>
      <c r="S50" s="31" t="inlineStr">
        <is>
          <t>Nifty Bank</t>
        </is>
      </c>
      <c r="T50" s="32" t="n">
        <v>3.98</v>
      </c>
      <c r="U50" s="32" t="n">
        <v>-15.33</v>
      </c>
      <c r="V50" s="32" t="n">
        <v>-18.56</v>
      </c>
      <c r="W50" s="32" t="n">
        <v>-2.45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Fragmented with High ROE</t>
        </is>
      </c>
      <c r="AA50" s="31">
        <f>IF(Z50="Fragmented with Low ROE",-5,IF(Z50="Fragmented with High ROE",10,IF(Z50= "highly cyclical",5,0)))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Consistency)",15,IF(AF50="Shallow Cyclical (2 to 3 years growth)",10,IF(AF50 = "Cyclical in an Uptick",5,IF(AF50 = "Cyclical in an Downtick",-10,0))))</f>
        <v/>
      </c>
      <c r="AH50" s="31" t="inlineStr">
        <is>
          <t>Yes</t>
        </is>
      </c>
      <c r="AI50" s="31">
        <f>IF(AH50="Yes",10,0)</f>
        <v/>
      </c>
      <c r="AJ50" s="31" t="inlineStr">
        <is>
          <t>Yes</t>
        </is>
      </c>
      <c r="AK50" s="31">
        <f>IF(AJ50="Yes",10,0)</f>
        <v/>
      </c>
      <c r="AL50" s="31" t="n"/>
      <c r="AM50" s="31">
        <f>IF(AL50="No",10,0)</f>
        <v/>
      </c>
      <c r="AN50" s="31" t="inlineStr">
        <is>
          <t>Yes</t>
        </is>
      </c>
      <c r="AO50" s="31">
        <f>IF(AN50="Yes",10,0)</f>
        <v/>
      </c>
      <c r="AP50" s="31" t="inlineStr">
        <is>
          <t>No</t>
        </is>
      </c>
      <c r="AQ50" s="31">
        <f>IF(AP50="Yes",10,0)</f>
        <v/>
      </c>
      <c r="AR50" s="31" t="inlineStr">
        <is>
          <t>Yes</t>
        </is>
      </c>
      <c r="AS50" s="31">
        <f>IF(AR50="Yes",5,0)</f>
        <v/>
      </c>
      <c r="AT50" s="31" t="inlineStr">
        <is>
          <t>No</t>
        </is>
      </c>
      <c r="AU50" s="31">
        <f>IF(AT50="No",10,IF(AT50="Yes",-10,0))</f>
        <v/>
      </c>
      <c r="AV50" s="31" t="inlineStr">
        <is>
          <t>No</t>
        </is>
      </c>
      <c r="AW50" s="31">
        <f>IF(AV50="No",10,0)</f>
        <v/>
      </c>
      <c r="AX50" s="31" t="inlineStr">
        <is>
          <t>No</t>
        </is>
      </c>
      <c r="AY50" s="31">
        <f>IF(AX50="No",10,IF(AX50= "Yes CEO Resignation",-5,0))</f>
        <v/>
      </c>
      <c r="AZ50" s="31" t="inlineStr">
        <is>
          <t>No</t>
        </is>
      </c>
      <c r="BA50" s="31">
        <f>IF(AZ50="No",10,IF(AZ50="Yes",-5,0))</f>
        <v/>
      </c>
      <c r="BB50" s="31" t="inlineStr">
        <is>
          <t>No</t>
        </is>
      </c>
      <c r="BC50" s="31">
        <f>IF(BB50="No",5,IF(BB50="Yes",-5,0))</f>
        <v/>
      </c>
      <c r="BD50" s="31" t="inlineStr">
        <is>
          <t>Yes</t>
        </is>
      </c>
      <c r="BE50" s="31">
        <f>IF(BD50="Yes",10,0)</f>
        <v/>
      </c>
      <c r="BF50" s="31" t="inlineStr">
        <is>
          <t>Yes</t>
        </is>
      </c>
      <c r="BG50" s="31">
        <f>IF(BF50="Yes",10,0)</f>
        <v/>
      </c>
      <c r="BH50" s="31" t="inlineStr">
        <is>
          <t>Yes</t>
        </is>
      </c>
      <c r="BI50" s="31">
        <f>IF(BH50="Yes",10,0)</f>
        <v/>
      </c>
      <c r="BJ50" s="31" t="inlineStr">
        <is>
          <t>P/BV between 2.5x to 5x and Growth more than 20%</t>
        </is>
      </c>
      <c r="BK50" s="31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1" t="inlineStr">
        <is>
          <t>0 to 20</t>
        </is>
      </c>
      <c r="BM50" s="31">
        <f>IF(BL50="Above 40",20,IF(BL50="20 to 40",10,IF(BL50="0 to 20",-5,0)))</f>
        <v/>
      </c>
      <c r="BN50" s="31" t="inlineStr">
        <is>
          <t>Between 50 to 75</t>
        </is>
      </c>
      <c r="BO50" s="31">
        <f>IF(BN50="Between 50 to 75",10,IF(BN50="Above 75",0,0))</f>
        <v/>
      </c>
      <c r="BP50" s="31" t="inlineStr">
        <is>
          <t>Stage 3</t>
        </is>
      </c>
      <c r="BQ50" s="31">
        <f>IF(BP50="Stage 2",20,IF(BP50="Stage 1",0,IF(BP50="Stage 3",5,IF(BP50="Stage 4",-5,0))))</f>
        <v/>
      </c>
      <c r="BR50" s="31" t="inlineStr">
        <is>
          <t>Negative Trend</t>
        </is>
      </c>
      <c r="BS50" s="31">
        <f>IF(BR50="Positive Trend",20,IF(BR50="Negative Trend",-10,0))</f>
        <v/>
      </c>
      <c r="BT50" s="31" t="inlineStr">
        <is>
          <t>Uptrend</t>
        </is>
      </c>
      <c r="BU50" s="31">
        <f>IF(BT50="Uptrend",10,IF(BT50="Sideways",5,0))</f>
        <v/>
      </c>
      <c r="BV50" s="31" t="inlineStr">
        <is>
          <t>Uptrend</t>
        </is>
      </c>
      <c r="BW50" s="31">
        <f>IF(BV50="Uptrend",10,IF(BV50="Sideways",5,0))</f>
        <v/>
      </c>
      <c r="BX50" s="31" t="inlineStr">
        <is>
          <t>Close to 52 week high or retracement</t>
        </is>
      </c>
      <c r="BY50" s="31">
        <f>IF(BX50="Overhead supply in last 2 years in last 2 years",-5,IF(BX50="Close to 52 week high or retracement",5,IF(BX50="Blue sky scenario",10,IF(BX50="Long term Downtrend",-10,0))))</f>
        <v/>
      </c>
      <c r="BZ50" s="31" t="inlineStr">
        <is>
          <t>Yes</t>
        </is>
      </c>
      <c r="CA50" s="31">
        <f>IF(BZ50="Yes",10,0)</f>
        <v/>
      </c>
    </row>
    <row r="51">
      <c r="A51" s="31">
        <f>IF(B51=0,"",RANK(B51,$B$2:$B$55,0))</f>
        <v/>
      </c>
      <c r="B51" s="32">
        <f>SUM(N51,Y51,AA51,AC51,AE51,AG51,AI51,AK51,AM51,AO51,AQ51,AS51,AU51,AW51,AY51,BA51,BC51,BE51,BG51,BI51,BK51,BM51,BO51,BQ51,BS51,BU51,BW51,BY51,CA51)</f>
        <v/>
      </c>
      <c r="C51" s="33" t="inlineStr">
        <is>
          <t>5PAISA</t>
        </is>
      </c>
      <c r="D51" s="33" t="inlineStr">
        <is>
          <t>5Paisa Capital Ltd</t>
        </is>
      </c>
      <c r="E51" s="31" t="inlineStr">
        <is>
          <t>financials</t>
        </is>
      </c>
      <c r="F51" s="31" t="inlineStr">
        <is>
          <t>finance &amp; investments</t>
        </is>
      </c>
      <c r="G51" s="31" t="inlineStr">
        <is>
          <t>smallcap</t>
        </is>
      </c>
      <c r="H51" s="32" t="n">
        <v>1714.02</v>
      </c>
      <c r="I51" s="32" t="n">
        <v>374.05</v>
      </c>
      <c r="J51" s="32" t="n">
        <v>2.31</v>
      </c>
      <c r="K51" s="32" t="n">
        <v>53977</v>
      </c>
      <c r="L51" s="31" t="n">
        <v>18</v>
      </c>
      <c r="M51" s="31" t="inlineStr">
        <is>
          <t>Underperforming</t>
        </is>
      </c>
      <c r="N51" s="32">
        <f>IF(M51="Underperforming",-5,IF(L51&gt;=95,15,IF(L51&gt;=90,10,IF(L51&gt;=80,5,0))))</f>
        <v/>
      </c>
      <c r="O51" s="32" t="n">
        <v>58.3</v>
      </c>
      <c r="P51" s="32" t="n">
        <v>13.24</v>
      </c>
      <c r="Q51" s="32" t="inlineStr"/>
      <c r="R51" s="31" t="inlineStr">
        <is>
          <t>Earnings / Momentum Support</t>
        </is>
      </c>
      <c r="S51" s="31" t="inlineStr">
        <is>
          <t>Nifty Bank</t>
        </is>
      </c>
      <c r="T51" s="32" t="n">
        <v>3.98</v>
      </c>
      <c r="U51" s="32" t="n">
        <v>-7.64</v>
      </c>
      <c r="V51" s="32" t="n">
        <v>-11.17</v>
      </c>
      <c r="W51" s="32" t="n">
        <v>2.26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Fragmented with High ROE</t>
        </is>
      </c>
      <c r="AA51" s="31">
        <f>IF(Z51="Fragmented with Low ROE",-5,IF(Z51="Fragmented with High ROE",10,IF(Z51= "highly cyclical",5,0)))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Consistency)",15,IF(AF51="Shallow Cyclical (2 to 3 years growth)",10,IF(AF51 = "Cyclical in an Uptick",5,IF(AF51 = "Cyclical in an Downtick",-10,0))))</f>
        <v/>
      </c>
      <c r="AH51" s="31" t="inlineStr">
        <is>
          <t>Yes</t>
        </is>
      </c>
      <c r="AI51" s="31">
        <f>IF(AH51="Yes",10,0)</f>
        <v/>
      </c>
      <c r="AJ51" s="31" t="inlineStr">
        <is>
          <t>Yes</t>
        </is>
      </c>
      <c r="AK51" s="31">
        <f>IF(AJ51="Yes",10,0)</f>
        <v/>
      </c>
      <c r="AL51" s="31" t="n"/>
      <c r="AM51" s="31">
        <f>IF(AL51="No",10,0)</f>
        <v/>
      </c>
      <c r="AN51" s="31" t="inlineStr">
        <is>
          <t>Yes</t>
        </is>
      </c>
      <c r="AO51" s="31">
        <f>IF(AN51="Yes",10,0)</f>
        <v/>
      </c>
      <c r="AP51" s="31" t="inlineStr">
        <is>
          <t>No</t>
        </is>
      </c>
      <c r="AQ51" s="31">
        <f>IF(AP51="Yes",10,0)</f>
        <v/>
      </c>
      <c r="AR51" s="31" t="inlineStr">
        <is>
          <t>Yes</t>
        </is>
      </c>
      <c r="AS51" s="31">
        <f>IF(AR51="Yes",5,0)</f>
        <v/>
      </c>
      <c r="AT51" s="31" t="inlineStr">
        <is>
          <t>No</t>
        </is>
      </c>
      <c r="AU51" s="31">
        <f>IF(AT51="No",10,IF(AT51="Yes",-10,0))</f>
        <v/>
      </c>
      <c r="AV51" s="31" t="inlineStr">
        <is>
          <t>No</t>
        </is>
      </c>
      <c r="AW51" s="31">
        <f>IF(AV51="No",10,0)</f>
        <v/>
      </c>
      <c r="AX51" s="31" t="inlineStr">
        <is>
          <t>No</t>
        </is>
      </c>
      <c r="AY51" s="31">
        <f>IF(AX51="No",10,IF(AX51= "Yes CEO Resignation",-5,0))</f>
        <v/>
      </c>
      <c r="AZ51" s="31" t="inlineStr">
        <is>
          <t>No</t>
        </is>
      </c>
      <c r="BA51" s="31">
        <f>IF(AZ51="No",10,IF(AZ51="Yes",-5,0))</f>
        <v/>
      </c>
      <c r="BB51" s="31" t="inlineStr">
        <is>
          <t>No</t>
        </is>
      </c>
      <c r="BC51" s="31">
        <f>IF(BB51="No",5,IF(BB51="Yes",-5,0))</f>
        <v/>
      </c>
      <c r="BD51" s="31" t="inlineStr">
        <is>
          <t>Yes</t>
        </is>
      </c>
      <c r="BE51" s="31">
        <f>IF(BD51="Yes",10,0)</f>
        <v/>
      </c>
      <c r="BF51" s="31" t="inlineStr">
        <is>
          <t>Yes</t>
        </is>
      </c>
      <c r="BG51" s="31">
        <f>IF(BF51="Yes",10,0)</f>
        <v/>
      </c>
      <c r="BH51" s="31" t="inlineStr">
        <is>
          <t>Yes</t>
        </is>
      </c>
      <c r="BI51" s="31">
        <f>IF(BH51="Yes",10,0)</f>
        <v/>
      </c>
      <c r="BJ51" s="31" t="inlineStr">
        <is>
          <t>P/BV less than 2.5x and Growth less than 20%</t>
        </is>
      </c>
      <c r="BK51" s="31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1" t="inlineStr">
        <is>
          <t>0 to 20</t>
        </is>
      </c>
      <c r="BM51" s="31">
        <f>IF(BL51="Above 40",20,IF(BL51="20 to 40",10,IF(BL51="0 to 20",-5,0)))</f>
        <v/>
      </c>
      <c r="BN51" s="31" t="inlineStr">
        <is>
          <t>Between 50 to 75</t>
        </is>
      </c>
      <c r="BO51" s="31">
        <f>IF(BN51="Between 50 to 75",10,IF(BN51="Above 75",0,0))</f>
        <v/>
      </c>
      <c r="BP51" s="31" t="inlineStr">
        <is>
          <t>Stage 3</t>
        </is>
      </c>
      <c r="BQ51" s="31">
        <f>IF(BP51="Stage 2",20,IF(BP51="Stage 1",0,IF(BP51="Stage 3",5,IF(BP51="Stage 4",-5,0))))</f>
        <v/>
      </c>
      <c r="BR51" s="31" t="inlineStr">
        <is>
          <t>Negative Trend</t>
        </is>
      </c>
      <c r="BS51" s="31">
        <f>IF(BR51="Positive Trend",20,IF(BR51="Negative Trend",-10,0))</f>
        <v/>
      </c>
      <c r="BT51" s="31" t="inlineStr">
        <is>
          <t>Uptrend</t>
        </is>
      </c>
      <c r="BU51" s="31">
        <f>IF(BT51="Uptrend",10,IF(BT51="Sideways",5,0))</f>
        <v/>
      </c>
      <c r="BV51" s="31" t="inlineStr">
        <is>
          <t>Uptrend</t>
        </is>
      </c>
      <c r="BW51" s="31">
        <f>IF(BV51="Uptrend",10,IF(BV51="Sideways",5,0))</f>
        <v/>
      </c>
      <c r="BX51" s="31" t="inlineStr">
        <is>
          <t>Close to 52 week high or retracement</t>
        </is>
      </c>
      <c r="BY51" s="31">
        <f>IF(BX51="Overhead supply in last 2 years in last 2 years",-5,IF(BX51="Close to 52 week high or retracement",5,IF(BX51="Blue sky scenario",10,IF(BX51="Long term Downtrend",-10,0))))</f>
        <v/>
      </c>
      <c r="BZ51" s="31" t="inlineStr">
        <is>
          <t>Yes</t>
        </is>
      </c>
      <c r="CA51" s="31">
        <f>IF(BZ51="Yes",10,0)</f>
        <v/>
      </c>
    </row>
    <row r="52">
      <c r="A52" s="31">
        <f>IF(B52=0,"",RANK(B52,$B$2:$B$55,0))</f>
        <v/>
      </c>
      <c r="B52" s="32">
        <f>SUM(N52,Y52,AA52,AC52,AE52,AG52,AI52,AK52,AM52,AO52,AQ52,AS52,AU52,AW52,AY52,BA52,BC52,BE52,BG52,BI52,BK52,BM52,BO52,BQ52,BS52,BU52,BW52,BY52,CA52)</f>
        <v/>
      </c>
      <c r="C52" s="31" t="inlineStr">
        <is>
          <t>BAJFINANCE</t>
        </is>
      </c>
      <c r="D52" s="31" t="inlineStr">
        <is>
          <t>Bajaj Finance Limited</t>
        </is>
      </c>
      <c r="E52" s="31" t="inlineStr">
        <is>
          <t>financials</t>
        </is>
      </c>
      <c r="F52" s="31" t="inlineStr">
        <is>
          <t>finance &amp; investments</t>
        </is>
      </c>
      <c r="G52" s="31" t="inlineStr">
        <is>
          <t>largecap</t>
        </is>
      </c>
      <c r="H52" s="32" t="n">
        <v>657280.76</v>
      </c>
      <c r="I52" s="32" t="n">
        <v>1064</v>
      </c>
      <c r="J52" s="32" t="n">
        <v>0.73</v>
      </c>
      <c r="K52" s="32" t="n">
        <v>9348760</v>
      </c>
      <c r="L52" s="31" t="n">
        <v>40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64.09999999999999</v>
      </c>
      <c r="P52" s="32" t="n">
        <v>11.94</v>
      </c>
      <c r="Q52" s="32" t="inlineStr"/>
      <c r="R52" s="31" t="inlineStr">
        <is>
          <t>Earnings / Momentum Support</t>
        </is>
      </c>
      <c r="S52" s="31" t="inlineStr">
        <is>
          <t>Nifty Bank</t>
        </is>
      </c>
      <c r="T52" s="32" t="n">
        <v>3.98</v>
      </c>
      <c r="U52" s="32" t="n">
        <v>12.82</v>
      </c>
      <c r="V52" s="32" t="n">
        <v>8.51</v>
      </c>
      <c r="W52" s="32" t="n">
        <v>6.4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Fragmented with High ROE</t>
        </is>
      </c>
      <c r="AA52" s="31">
        <f>IF(Z52="Fragmented with Low ROE",-5,IF(Z52="Fragmented with High ROE",10,IF(Z52= "highly cyclical",5,0)))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Consistency)",15,IF(AF52="Shallow Cyclical (2 to 3 years growth)",10,IF(AF52 = "Cyclical in an Uptick",5,IF(AF52 = "Cyclical in an Downtick",-10,0))))</f>
        <v/>
      </c>
      <c r="AH52" s="31" t="inlineStr">
        <is>
          <t>Yes</t>
        </is>
      </c>
      <c r="AI52" s="31">
        <f>IF(AH52="Yes",10,0)</f>
        <v/>
      </c>
      <c r="AJ52" s="31" t="inlineStr">
        <is>
          <t>Yes</t>
        </is>
      </c>
      <c r="AK52" s="31">
        <f>IF(AJ52="Yes",10,0)</f>
        <v/>
      </c>
      <c r="AL52" s="31" t="n"/>
      <c r="AM52" s="31">
        <f>IF(AL52="No",10,0)</f>
        <v/>
      </c>
      <c r="AN52" s="31" t="inlineStr">
        <is>
          <t>Yes</t>
        </is>
      </c>
      <c r="AO52" s="31">
        <f>IF(AN52="Yes",10,0)</f>
        <v/>
      </c>
      <c r="AP52" s="31" t="inlineStr">
        <is>
          <t>No</t>
        </is>
      </c>
      <c r="AQ52" s="31">
        <f>IF(AP52="Yes",10,0)</f>
        <v/>
      </c>
      <c r="AR52" s="31" t="inlineStr">
        <is>
          <t>Yes</t>
        </is>
      </c>
      <c r="AS52" s="31">
        <f>IF(AR52="Yes",5,0)</f>
        <v/>
      </c>
      <c r="AT52" s="31" t="inlineStr">
        <is>
          <t>No</t>
        </is>
      </c>
      <c r="AU52" s="31">
        <f>IF(AT52="No",10,IF(AT52="Yes",-10,0))</f>
        <v/>
      </c>
      <c r="AV52" s="31" t="inlineStr">
        <is>
          <t>No</t>
        </is>
      </c>
      <c r="AW52" s="31">
        <f>IF(AV52="No",10,0)</f>
        <v/>
      </c>
      <c r="AX52" s="31" t="inlineStr">
        <is>
          <t>No</t>
        </is>
      </c>
      <c r="AY52" s="31">
        <f>IF(AX52="No",10,IF(AX52= "Yes CEO Resignation",-5,0))</f>
        <v/>
      </c>
      <c r="AZ52" s="31" t="inlineStr">
        <is>
          <t>No</t>
        </is>
      </c>
      <c r="BA52" s="31">
        <f>IF(AZ52="No",10,IF(AZ52="Yes",-5,0))</f>
        <v/>
      </c>
      <c r="BB52" s="31" t="inlineStr">
        <is>
          <t>No</t>
        </is>
      </c>
      <c r="BC52" s="31">
        <f>IF(BB52="No",5,IF(BB52="Yes",-5,0))</f>
        <v/>
      </c>
      <c r="BD52" s="31" t="inlineStr">
        <is>
          <t>Yes</t>
        </is>
      </c>
      <c r="BE52" s="31">
        <f>IF(BD52="Yes",10,0)</f>
        <v/>
      </c>
      <c r="BF52" s="31" t="inlineStr">
        <is>
          <t>Yes</t>
        </is>
      </c>
      <c r="BG52" s="31">
        <f>IF(BF52="Yes",10,0)</f>
        <v/>
      </c>
      <c r="BH52" s="31" t="inlineStr">
        <is>
          <t>Yes</t>
        </is>
      </c>
      <c r="BI52" s="31">
        <f>IF(BH52="Yes",10,0)</f>
        <v/>
      </c>
      <c r="BJ52" s="31" t="inlineStr">
        <is>
          <t>P/BV above 5x</t>
        </is>
      </c>
      <c r="BK52" s="31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1" t="inlineStr">
        <is>
          <t>0 to 20</t>
        </is>
      </c>
      <c r="BM52" s="31">
        <f>IF(BL52="Above 40",20,IF(BL52="20 to 40",10,IF(BL52="0 to 20",-5,0)))</f>
        <v/>
      </c>
      <c r="BN52" s="31" t="inlineStr">
        <is>
          <t>Between 50 to 75</t>
        </is>
      </c>
      <c r="BO52" s="31">
        <f>IF(BN52="Between 50 to 75",10,IF(BN52="Above 75",0,0))</f>
        <v/>
      </c>
      <c r="BP52" s="31" t="inlineStr">
        <is>
          <t>Stage 3</t>
        </is>
      </c>
      <c r="BQ52" s="31">
        <f>IF(BP52="Stage 2",20,IF(BP52="Stage 1",0,IF(BP52="Stage 3",5,IF(BP52="Stage 4",-5,0))))</f>
        <v/>
      </c>
      <c r="BR52" s="31" t="inlineStr">
        <is>
          <t>Negative Trend</t>
        </is>
      </c>
      <c r="BS52" s="31">
        <f>IF(BR52="Positive Trend",20,IF(BR52="Negative Trend",-10,0))</f>
        <v/>
      </c>
      <c r="BT52" s="31" t="inlineStr">
        <is>
          <t>Uptrend</t>
        </is>
      </c>
      <c r="BU52" s="31">
        <f>IF(BT52="Uptrend",10,IF(BT52="Sideways",5,0))</f>
        <v/>
      </c>
      <c r="BV52" s="31" t="inlineStr">
        <is>
          <t>Uptrend</t>
        </is>
      </c>
      <c r="BW52" s="31">
        <f>IF(BV52="Uptrend",10,IF(BV52="Sideways",5,0))</f>
        <v/>
      </c>
      <c r="BX52" s="31" t="inlineStr">
        <is>
          <t>Close to 52 week high or retracement</t>
        </is>
      </c>
      <c r="BY52" s="31">
        <f>IF(BX52="Overhead supply in last 2 years in last 2 years",-5,IF(BX52="Close to 52 week high or retracement",5,IF(BX52="Blue sky scenario",10,IF(BX52="Long term Downtrend",-10,0))))</f>
        <v/>
      </c>
      <c r="BZ52" s="31" t="inlineStr">
        <is>
          <t>Yes</t>
        </is>
      </c>
      <c r="CA52" s="31">
        <f>IF(BZ52="Yes",10,0)</f>
        <v/>
      </c>
    </row>
    <row r="53">
      <c r="A53" s="31">
        <f>IF(B53=0,"",RANK(B53,$B$2:$B$55,0))</f>
        <v/>
      </c>
      <c r="B53" s="32">
        <f>SUM(N53,Y53,AA53,AC53,AE53,AG53,AI53,AK53,AM53,AO53,AQ53,AS53,AU53,AW53,AY53,BA53,BC53,BE53,BG53,BI53,BK53,BM53,BO53,BQ53,BS53,BU53,BW53,BY53,CA53)</f>
        <v/>
      </c>
      <c r="C53" s="33" t="inlineStr">
        <is>
          <t>ICICIBANK</t>
        </is>
      </c>
      <c r="D53" s="33" t="inlineStr">
        <is>
          <t>Icici Bank Limited</t>
        </is>
      </c>
      <c r="E53" s="31" t="inlineStr">
        <is>
          <t>bank</t>
        </is>
      </c>
      <c r="F53" s="31" t="inlineStr">
        <is>
          <t>banks - private sector</t>
        </is>
      </c>
      <c r="G53" s="31" t="inlineStr">
        <is>
          <t>largecap</t>
        </is>
      </c>
      <c r="H53" s="32" t="n">
        <v>1036085.32</v>
      </c>
      <c r="I53" s="32" t="n">
        <v>1460.2</v>
      </c>
      <c r="J53" s="32" t="n">
        <v>1.1</v>
      </c>
      <c r="K53" s="32" t="n">
        <v>22236415</v>
      </c>
      <c r="L53" s="31" t="n">
        <v>17</v>
      </c>
      <c r="M53" s="31" t="inlineStr">
        <is>
          <t>Underperforming</t>
        </is>
      </c>
      <c r="N53" s="32">
        <f>IF(M53="Underperforming",-5,IF(L53&gt;=95,15,IF(L53&gt;=90,10,IF(L53&gt;=80,5,0))))</f>
        <v/>
      </c>
      <c r="O53" s="32" t="n">
        <v>64.13</v>
      </c>
      <c r="P53" s="32" t="n">
        <v>14.97</v>
      </c>
      <c r="Q53" s="32" t="inlineStr"/>
      <c r="R53" s="31" t="inlineStr">
        <is>
          <t>Earnings / Momentum Support</t>
        </is>
      </c>
      <c r="S53" s="31" t="inlineStr">
        <is>
          <t>Nifty Bank</t>
        </is>
      </c>
      <c r="T53" s="32" t="n">
        <v>3.98</v>
      </c>
      <c r="U53" s="32" t="n">
        <v>2.08</v>
      </c>
      <c r="V53" s="32" t="n">
        <v>-1.83</v>
      </c>
      <c r="W53" s="32" t="n">
        <v>1.94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Fragmented with High ROE</t>
        </is>
      </c>
      <c r="AA53" s="31">
        <f>IF(Z53="Fragmented with Low ROE",-5,IF(Z53="Fragmented with High ROE",10,IF(Z53= "highly cyclical",5,0)))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Consistency)",15,IF(AF53="Shallow Cyclical (2 to 3 years growth)",10,IF(AF53 = "Cyclical in an Uptick",5,IF(AF53 = "Cyclical in an Downtick",-10,0))))</f>
        <v/>
      </c>
      <c r="AH53" s="31" t="inlineStr">
        <is>
          <t>Yes</t>
        </is>
      </c>
      <c r="AI53" s="31">
        <f>IF(AH53="Yes",10,0)</f>
        <v/>
      </c>
      <c r="AJ53" s="31" t="inlineStr">
        <is>
          <t>Yes</t>
        </is>
      </c>
      <c r="AK53" s="31">
        <f>IF(AJ53="Yes",10,0)</f>
        <v/>
      </c>
      <c r="AL53" s="31" t="n"/>
      <c r="AM53" s="31">
        <f>IF(AL53="No",10,0)</f>
        <v/>
      </c>
      <c r="AN53" s="31" t="inlineStr">
        <is>
          <t>Yes</t>
        </is>
      </c>
      <c r="AO53" s="31">
        <f>IF(AN53="Yes",10,0)</f>
        <v/>
      </c>
      <c r="AP53" s="31" t="inlineStr">
        <is>
          <t>No</t>
        </is>
      </c>
      <c r="AQ53" s="31">
        <f>IF(AP53="Yes",10,0)</f>
        <v/>
      </c>
      <c r="AR53" s="31" t="inlineStr">
        <is>
          <t>Yes</t>
        </is>
      </c>
      <c r="AS53" s="31">
        <f>IF(AR53="Yes",5,0)</f>
        <v/>
      </c>
      <c r="AT53" s="31" t="inlineStr">
        <is>
          <t>No</t>
        </is>
      </c>
      <c r="AU53" s="31">
        <f>IF(AT53="No",10,IF(AT53="Yes",-10,0))</f>
        <v/>
      </c>
      <c r="AV53" s="31" t="inlineStr">
        <is>
          <t>No</t>
        </is>
      </c>
      <c r="AW53" s="31">
        <f>IF(AV53="No",10,0)</f>
        <v/>
      </c>
      <c r="AX53" s="31" t="inlineStr">
        <is>
          <t>No</t>
        </is>
      </c>
      <c r="AY53" s="31">
        <f>IF(AX53="No",10,IF(AX53= "Yes CEO Resignation",-5,0))</f>
        <v/>
      </c>
      <c r="AZ53" s="31" t="inlineStr">
        <is>
          <t>No</t>
        </is>
      </c>
      <c r="BA53" s="31">
        <f>IF(AZ53="No",10,IF(AZ53="Yes",-5,0))</f>
        <v/>
      </c>
      <c r="BB53" s="31" t="inlineStr">
        <is>
          <t>No</t>
        </is>
      </c>
      <c r="BC53" s="31">
        <f>IF(BB53="No",5,IF(BB53="Yes",-5,0))</f>
        <v/>
      </c>
      <c r="BD53" s="31" t="inlineStr">
        <is>
          <t>Yes</t>
        </is>
      </c>
      <c r="BE53" s="31">
        <f>IF(BD53="Yes",10,0)</f>
        <v/>
      </c>
      <c r="BF53" s="31" t="inlineStr">
        <is>
          <t>Yes</t>
        </is>
      </c>
      <c r="BG53" s="31">
        <f>IF(BF53="Yes",10,0)</f>
        <v/>
      </c>
      <c r="BH53" s="31" t="inlineStr">
        <is>
          <t>Yes</t>
        </is>
      </c>
      <c r="BI53" s="31">
        <f>IF(BH53="Yes",10,0)</f>
        <v/>
      </c>
      <c r="BJ53" s="31" t="inlineStr">
        <is>
          <t>P/BV between 2.5x to 5x and Growth less than 20%</t>
        </is>
      </c>
      <c r="BK53" s="31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1" t="inlineStr">
        <is>
          <t>0 to 20</t>
        </is>
      </c>
      <c r="BM53" s="31">
        <f>IF(BL53="Above 40",20,IF(BL53="20 to 40",10,IF(BL53="0 to 20",-5,0)))</f>
        <v/>
      </c>
      <c r="BN53" s="31" t="inlineStr">
        <is>
          <t>Between 50 to 75</t>
        </is>
      </c>
      <c r="BO53" s="31">
        <f>IF(BN53="Between 50 to 75",10,IF(BN53="Above 75",0,0))</f>
        <v/>
      </c>
      <c r="BP53" s="31" t="inlineStr">
        <is>
          <t>Stage 3</t>
        </is>
      </c>
      <c r="BQ53" s="31">
        <f>IF(BP53="Stage 2",20,IF(BP53="Stage 1",0,IF(BP53="Stage 3",5,IF(BP53="Stage 4",-5,0))))</f>
        <v/>
      </c>
      <c r="BR53" s="31" t="inlineStr">
        <is>
          <t>Negative Trend</t>
        </is>
      </c>
      <c r="BS53" s="31">
        <f>IF(BR53="Positive Trend",20,IF(BR53="Negative Trend",-10,0))</f>
        <v/>
      </c>
      <c r="BT53" s="31" t="inlineStr">
        <is>
          <t>Uptrend</t>
        </is>
      </c>
      <c r="BU53" s="31">
        <f>IF(BT53="Uptrend",10,IF(BT53="Sideways",5,0))</f>
        <v/>
      </c>
      <c r="BV53" s="31" t="inlineStr">
        <is>
          <t>Uptrend</t>
        </is>
      </c>
      <c r="BW53" s="31">
        <f>IF(BV53="Uptrend",10,IF(BV53="Sideways",5,0))</f>
        <v/>
      </c>
      <c r="BX53" s="31" t="inlineStr">
        <is>
          <t>Close to 52 week high or retracement</t>
        </is>
      </c>
      <c r="BY53" s="31">
        <f>IF(BX53="Overhead supply in last 2 years in last 2 years",-5,IF(BX53="Close to 52 week high or retracement",5,IF(BX53="Blue sky scenario",10,IF(BX53="Long term Downtrend",-10,0))))</f>
        <v/>
      </c>
      <c r="BZ53" s="31" t="inlineStr">
        <is>
          <t>Yes</t>
        </is>
      </c>
      <c r="CA53" s="31">
        <f>IF(BZ53="Yes",10,0)</f>
        <v/>
      </c>
    </row>
    <row r="54">
      <c r="A54" s="31">
        <f>IF(B54=0,"",RANK(B54,$B$2:$B$55,0))</f>
        <v/>
      </c>
      <c r="B54" s="32">
        <f>SUM(N54,Y54,AA54,AC54,AE54,AG54,AI54,AK54,AM54,AO54,AQ54,AS54,AU54,AW54,AY54,BA54,BC54,BE54,BG54,BI54,BK54,BM54,BO54,BQ54,BS54,BU54,BW54,BY54,CA54)</f>
        <v/>
      </c>
      <c r="C54" s="33" t="inlineStr">
        <is>
          <t>AIIL</t>
        </is>
      </c>
      <c r="D54" s="33" t="inlineStr">
        <is>
          <t>Authum Investment &amp; Infrastructure Ltd</t>
        </is>
      </c>
      <c r="E54" s="31" t="inlineStr">
        <is>
          <t>financials</t>
        </is>
      </c>
      <c r="F54" s="31" t="inlineStr">
        <is>
          <t>finance &amp; investments</t>
        </is>
      </c>
      <c r="G54" s="31" t="inlineStr">
        <is>
          <t>largecap</t>
        </is>
      </c>
      <c r="H54" s="32" t="n">
        <v>48490.78</v>
      </c>
      <c r="I54" s="32" t="n">
        <v>551.95</v>
      </c>
      <c r="J54" s="32" t="n">
        <v>-3.34</v>
      </c>
      <c r="K54" s="32" t="n">
        <v>505499</v>
      </c>
      <c r="L54" s="31" t="n">
        <v>42</v>
      </c>
      <c r="M54" s="31" t="inlineStr">
        <is>
          <t>Underperforming</t>
        </is>
      </c>
      <c r="N54" s="32">
        <f>IF(M54="Underperforming",-5,IF(L54&gt;=95,15,IF(L54&gt;=90,10,IF(L54&gt;=80,5,0))))</f>
        <v/>
      </c>
      <c r="O54" s="32" t="n">
        <v>58.88</v>
      </c>
      <c r="P54" s="32" t="n">
        <v>9.85</v>
      </c>
      <c r="Q54" s="32" t="inlineStr"/>
      <c r="R54" s="31" t="inlineStr">
        <is>
          <t>Earnings / Momentum Support</t>
        </is>
      </c>
      <c r="S54" s="31" t="inlineStr">
        <is>
          <t>Nifty Bank</t>
        </is>
      </c>
      <c r="T54" s="32" t="n">
        <v>3.98</v>
      </c>
      <c r="U54" s="32" t="n">
        <v>1.79</v>
      </c>
      <c r="V54" s="32" t="n">
        <v>-2.1</v>
      </c>
      <c r="W54" s="32" t="n">
        <v>6.73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Fragmented with High ROE</t>
        </is>
      </c>
      <c r="AA54" s="31">
        <f>IF(Z54="Fragmented with Low ROE",-5,IF(Z54="Fragmented with High ROE",10,IF(Z54= "highly cyclical",5,0)))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Consistency)",15,IF(AF54="Shallow Cyclical (2 to 3 years growth)",10,IF(AF54 = "Cyclical in an Uptick",5,IF(AF54 = "Cyclical in an Downtick",-10,0))))</f>
        <v/>
      </c>
      <c r="AH54" s="31" t="inlineStr">
        <is>
          <t>Yes</t>
        </is>
      </c>
      <c r="AI54" s="31">
        <f>IF(AH54="Yes",10,0)</f>
        <v/>
      </c>
      <c r="AJ54" s="31" t="inlineStr">
        <is>
          <t>Yes</t>
        </is>
      </c>
      <c r="AK54" s="31">
        <f>IF(AJ54="Yes",10,0)</f>
        <v/>
      </c>
      <c r="AL54" s="31" t="n"/>
      <c r="AM54" s="31">
        <f>IF(AL54="No",10,0)</f>
        <v/>
      </c>
      <c r="AN54" s="31" t="inlineStr">
        <is>
          <t>Yes</t>
        </is>
      </c>
      <c r="AO54" s="31">
        <f>IF(AN54="Yes",10,0)</f>
        <v/>
      </c>
      <c r="AP54" s="31" t="inlineStr">
        <is>
          <t>No</t>
        </is>
      </c>
      <c r="AQ54" s="31">
        <f>IF(AP54="Yes",10,0)</f>
        <v/>
      </c>
      <c r="AR54" s="31" t="inlineStr">
        <is>
          <t>Yes</t>
        </is>
      </c>
      <c r="AS54" s="31">
        <f>IF(AR54="Yes",5,0)</f>
        <v/>
      </c>
      <c r="AT54" s="31" t="inlineStr">
        <is>
          <t>No</t>
        </is>
      </c>
      <c r="AU54" s="31">
        <f>IF(AT54="No",10,IF(AT54="Yes",-10,0))</f>
        <v/>
      </c>
      <c r="AV54" s="31" t="inlineStr">
        <is>
          <t>No</t>
        </is>
      </c>
      <c r="AW54" s="31">
        <f>IF(AV54="No",10,0)</f>
        <v/>
      </c>
      <c r="AX54" s="31" t="inlineStr">
        <is>
          <t>No</t>
        </is>
      </c>
      <c r="AY54" s="31">
        <f>IF(AX54="No",10,IF(AX54= "Yes CEO Resignation",-5,0))</f>
        <v/>
      </c>
      <c r="AZ54" s="31" t="inlineStr">
        <is>
          <t>No</t>
        </is>
      </c>
      <c r="BA54" s="31">
        <f>IF(AZ54="No",10,IF(AZ54="Yes",-5,0))</f>
        <v/>
      </c>
      <c r="BB54" s="31" t="inlineStr">
        <is>
          <t>No</t>
        </is>
      </c>
      <c r="BC54" s="31">
        <f>IF(BB54="No",5,IF(BB54="Yes",-5,0))</f>
        <v/>
      </c>
      <c r="BD54" s="31" t="inlineStr">
        <is>
          <t>Yes</t>
        </is>
      </c>
      <c r="BE54" s="31">
        <f>IF(BD54="Yes",10,0)</f>
        <v/>
      </c>
      <c r="BF54" s="31" t="inlineStr">
        <is>
          <t>Yes</t>
        </is>
      </c>
      <c r="BG54" s="31">
        <f>IF(BF54="Yes",10,0)</f>
        <v/>
      </c>
      <c r="BH54" s="31" t="inlineStr">
        <is>
          <t>Yes</t>
        </is>
      </c>
      <c r="BI54" s="31">
        <f>IF(BH54="Yes",10,0)</f>
        <v/>
      </c>
      <c r="BJ54" s="31" t="inlineStr">
        <is>
          <t>P/BV between 2.5x to 5x and Growth less than 20%</t>
        </is>
      </c>
      <c r="BK54" s="31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1" t="inlineStr">
        <is>
          <t>0 to 20</t>
        </is>
      </c>
      <c r="BM54" s="31">
        <f>IF(BL54="Above 40",20,IF(BL54="20 to 40",10,IF(BL54="0 to 20",-5,0)))</f>
        <v/>
      </c>
      <c r="BN54" s="31" t="inlineStr">
        <is>
          <t>Between 50 to 75</t>
        </is>
      </c>
      <c r="BO54" s="31">
        <f>IF(BN54="Between 50 to 75",10,IF(BN54="Above 75",0,0))</f>
        <v/>
      </c>
      <c r="BP54" s="31" t="inlineStr">
        <is>
          <t>Stage 3</t>
        </is>
      </c>
      <c r="BQ54" s="31">
        <f>IF(BP54="Stage 2",20,IF(BP54="Stage 1",0,IF(BP54="Stage 3",5,IF(BP54="Stage 4",-5,0))))</f>
        <v/>
      </c>
      <c r="BR54" s="31" t="inlineStr">
        <is>
          <t>Negative Trend</t>
        </is>
      </c>
      <c r="BS54" s="31">
        <f>IF(BR54="Positive Trend",20,IF(BR54="Negative Trend",-10,0))</f>
        <v/>
      </c>
      <c r="BT54" s="31" t="inlineStr">
        <is>
          <t>Uptrend</t>
        </is>
      </c>
      <c r="BU54" s="31">
        <f>IF(BT54="Uptrend",10,IF(BT54="Sideways",5,0))</f>
        <v/>
      </c>
      <c r="BV54" s="31" t="inlineStr">
        <is>
          <t>Uptrend</t>
        </is>
      </c>
      <c r="BW54" s="31">
        <f>IF(BV54="Uptrend",10,IF(BV54="Sideways",5,0))</f>
        <v/>
      </c>
      <c r="BX54" s="31" t="inlineStr">
        <is>
          <t>Close to 52 week high or retracement</t>
        </is>
      </c>
      <c r="BY54" s="31">
        <f>IF(BX54="Overhead supply in last 2 years in last 2 years",-5,IF(BX54="Close to 52 week high or retracement",5,IF(BX54="Blue sky scenario",10,IF(BX54="Long term Downtrend",-10,0))))</f>
        <v/>
      </c>
      <c r="BZ54" s="31" t="inlineStr">
        <is>
          <t>Yes</t>
        </is>
      </c>
      <c r="CA54" s="31">
        <f>IF(BZ54="Yes",10,0)</f>
        <v/>
      </c>
    </row>
    <row r="55">
      <c r="A55" s="31">
        <f>IF(B55=0,"",RANK(B55,$B$2:$B$55,0))</f>
        <v/>
      </c>
      <c r="B55" s="32">
        <f>SUM(N55,Y55,AA55,AC55,AE55,AG55,AI55,AK55,AM55,AO55,AQ55,AS55,AU55,AW55,AY55,BA55,BC55,BE55,BG55,BI55,BK55,BM55,BO55,BQ55,BS55,BU55,BW55,BY55,CA55)</f>
        <v/>
      </c>
      <c r="C55" s="33" t="inlineStr">
        <is>
          <t>PNB</t>
        </is>
      </c>
      <c r="D55" s="33" t="inlineStr">
        <is>
          <t>Punjab National Bank Ltd</t>
        </is>
      </c>
      <c r="E55" s="31" t="inlineStr">
        <is>
          <t>bank</t>
        </is>
      </c>
      <c r="F55" s="31" t="inlineStr">
        <is>
          <t>banks - public sector</t>
        </is>
      </c>
      <c r="G55" s="31" t="inlineStr">
        <is>
          <t>largecap</t>
        </is>
      </c>
      <c r="H55" s="32" t="n">
        <v>121560.86</v>
      </c>
      <c r="I55" s="32" t="n">
        <v>111.76</v>
      </c>
      <c r="J55" s="32" t="n">
        <v>5.66</v>
      </c>
      <c r="K55" s="32" t="n">
        <v>118992976</v>
      </c>
      <c r="L55" s="31" t="n">
        <v>5</v>
      </c>
      <c r="M55" s="31" t="inlineStr">
        <is>
          <t>Underperforming</t>
        </is>
      </c>
      <c r="N55" s="32">
        <f>IF(M55="Underperforming",-5,IF(L55&gt;=95,15,IF(L55&gt;=90,10,IF(L55&gt;=80,5,0))))</f>
        <v/>
      </c>
      <c r="O55" s="32" t="n">
        <v>46.67</v>
      </c>
      <c r="P55" s="32" t="n">
        <v>10.51</v>
      </c>
      <c r="Q55" s="32" t="inlineStr"/>
      <c r="R55" s="31" t="inlineStr">
        <is>
          <t>Earnings / Momentum Support</t>
        </is>
      </c>
      <c r="S55" s="31" t="inlineStr">
        <is>
          <t>Nifty Bank</t>
        </is>
      </c>
      <c r="T55" s="32" t="n">
        <v>3.98</v>
      </c>
      <c r="U55" s="32" t="n">
        <v>-3.97</v>
      </c>
      <c r="V55" s="32" t="n">
        <v>-7.65</v>
      </c>
      <c r="W55" s="32" t="n">
        <v>-1.33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Fragmented with High ROE</t>
        </is>
      </c>
      <c r="AA55" s="31">
        <f>IF(Z55="Fragmented with Low ROE",-5,IF(Z55="Fragmented with High ROE",10,IF(Z55= "highly cyclical",5,0)))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Consistency)",15,IF(AF55="Shallow Cyclical (2 to 3 years growth)",10,IF(AF55 = "Cyclical in an Uptick",5,IF(AF55 = "Cyclical in an Downtick",-10,0))))</f>
        <v/>
      </c>
      <c r="AH55" s="31" t="inlineStr">
        <is>
          <t>Yes</t>
        </is>
      </c>
      <c r="AI55" s="31">
        <f>IF(AH55="Yes",10,0)</f>
        <v/>
      </c>
      <c r="AJ55" s="31" t="inlineStr">
        <is>
          <t>Yes</t>
        </is>
      </c>
      <c r="AK55" s="31">
        <f>IF(AJ55="Yes",10,0)</f>
        <v/>
      </c>
      <c r="AL55" s="31" t="n"/>
      <c r="AM55" s="31">
        <f>IF(AL55="No",10,0)</f>
        <v/>
      </c>
      <c r="AN55" s="31" t="inlineStr">
        <is>
          <t>Yes</t>
        </is>
      </c>
      <c r="AO55" s="31">
        <f>IF(AN55="Yes",10,0)</f>
        <v/>
      </c>
      <c r="AP55" s="31" t="inlineStr">
        <is>
          <t>No</t>
        </is>
      </c>
      <c r="AQ55" s="31">
        <f>IF(AP55="Yes",10,0)</f>
        <v/>
      </c>
      <c r="AR55" s="31" t="inlineStr">
        <is>
          <t>Yes</t>
        </is>
      </c>
      <c r="AS55" s="31">
        <f>IF(AR55="Yes",5,0)</f>
        <v/>
      </c>
      <c r="AT55" s="31" t="inlineStr">
        <is>
          <t>No</t>
        </is>
      </c>
      <c r="AU55" s="31">
        <f>IF(AT55="No",10,IF(AT55="Yes",-10,0))</f>
        <v/>
      </c>
      <c r="AV55" s="31" t="inlineStr">
        <is>
          <t>No</t>
        </is>
      </c>
      <c r="AW55" s="31">
        <f>IF(AV55="No",10,0)</f>
        <v/>
      </c>
      <c r="AX55" s="31" t="inlineStr">
        <is>
          <t>No</t>
        </is>
      </c>
      <c r="AY55" s="31">
        <f>IF(AX55="No",10,IF(AX55= "Yes CEO Resignation",-5,0))</f>
        <v/>
      </c>
      <c r="AZ55" s="31" t="inlineStr">
        <is>
          <t>No</t>
        </is>
      </c>
      <c r="BA55" s="31">
        <f>IF(AZ55="No",10,IF(AZ55="Yes",-5,0))</f>
        <v/>
      </c>
      <c r="BB55" s="31" t="inlineStr">
        <is>
          <t>No</t>
        </is>
      </c>
      <c r="BC55" s="31">
        <f>IF(BB55="No",5,IF(BB55="Yes",-5,0))</f>
        <v/>
      </c>
      <c r="BD55" s="31" t="inlineStr">
        <is>
          <t>Yes</t>
        </is>
      </c>
      <c r="BE55" s="31">
        <f>IF(BD55="Yes",10,0)</f>
        <v/>
      </c>
      <c r="BF55" s="31" t="inlineStr">
        <is>
          <t>Yes</t>
        </is>
      </c>
      <c r="BG55" s="31">
        <f>IF(BF55="Yes",10,0)</f>
        <v/>
      </c>
      <c r="BH55" s="31" t="inlineStr">
        <is>
          <t>Yes</t>
        </is>
      </c>
      <c r="BI55" s="31">
        <f>IF(BH55="Yes",10,0)</f>
        <v/>
      </c>
      <c r="BJ55" s="31" t="inlineStr">
        <is>
          <t>P/BV less than 2.5x and Growth less than 20%</t>
        </is>
      </c>
      <c r="BK55" s="31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1" t="inlineStr">
        <is>
          <t>0 to 20</t>
        </is>
      </c>
      <c r="BM55" s="31">
        <f>IF(BL55="Above 40",20,IF(BL55="20 to 40",10,IF(BL55="0 to 20",-5,0)))</f>
        <v/>
      </c>
      <c r="BN55" s="31" t="inlineStr">
        <is>
          <t>Below 45</t>
        </is>
      </c>
      <c r="BO55" s="31">
        <f>IF(BN55="Between 50 to 75",10,IF(BN55="Above 75",0,0))</f>
        <v/>
      </c>
      <c r="BP55" s="31" t="inlineStr">
        <is>
          <t>Stage 4</t>
        </is>
      </c>
      <c r="BQ55" s="31">
        <f>IF(BP55="Stage 2",20,IF(BP55="Stage 1",0,IF(BP55="Stage 3",5,IF(BP55="Stage 4",-5,0))))</f>
        <v/>
      </c>
      <c r="BR55" s="31" t="inlineStr">
        <is>
          <t>Negative Trend</t>
        </is>
      </c>
      <c r="BS55" s="31">
        <f>IF(BR55="Positive Trend",20,IF(BR55="Negative Trend",-10,0))</f>
        <v/>
      </c>
      <c r="BT55" s="31" t="inlineStr">
        <is>
          <t>Uptrend</t>
        </is>
      </c>
      <c r="BU55" s="31">
        <f>IF(BT55="Uptrend",10,IF(BT55="Sideways",5,0))</f>
        <v/>
      </c>
      <c r="BV55" s="31" t="inlineStr">
        <is>
          <t>Uptrend</t>
        </is>
      </c>
      <c r="BW55" s="31">
        <f>IF(BV55="Uptrend",10,IF(BV55="Sideways",5,0))</f>
        <v/>
      </c>
      <c r="BX55" s="31" t="inlineStr">
        <is>
          <t>Close to 52 week high or retracement</t>
        </is>
      </c>
      <c r="BY55" s="31">
        <f>IF(BX55="Overhead supply in last 2 years in last 2 years",-5,IF(BX55="Close to 52 week high or retracement",5,IF(BX55="Blue sky scenario",10,IF(BX55="Long term Downtrend",-10,0))))</f>
        <v/>
      </c>
      <c r="BZ55" s="31" t="inlineStr">
        <is>
          <t>Yes</t>
        </is>
      </c>
      <c r="CA55" s="31">
        <f>IF(BZ55="Yes",10,0)</f>
        <v/>
      </c>
    </row>
  </sheetData>
  <autoFilter ref="A1:CA55"/>
  <conditionalFormatting sqref="B2:B5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5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55">
    <cfRule type="cellIs" priority="34" operator="equal" dxfId="3" stopIfTrue="1">
      <formula>"Underperforming"</formula>
    </cfRule>
  </conditionalFormatting>
  <conditionalFormatting sqref="N2:N55">
    <cfRule type="cellIs" priority="35" operator="equal" dxfId="3" stopIfTrue="1">
      <formula>-5</formula>
    </cfRule>
  </conditionalFormatting>
  <conditionalFormatting sqref="Q2:Q55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55" showDropDown="0" showInputMessage="0" showErrorMessage="0" allowBlank="1" type="list">
      <formula1>"Growing Industry,Stagnant Industry,Cyclical in an Upturn"</formula1>
    </dataValidation>
    <dataValidation sqref="Z2:Z55" showDropDown="0" showInputMessage="0" showErrorMessage="0" allowBlank="1" type="list">
      <formula1>"Fragmented with Low ROE,Fragmented with High ROE,Highly Cyclical"</formula1>
    </dataValidation>
    <dataValidation sqref="AB2:AB55" showDropDown="0" showInputMessage="0" showErrorMessage="0" allowBlank="1" type="list">
      <formula1>"Yes,No"</formula1>
    </dataValidation>
    <dataValidation sqref="AD2:AD55" showDropDown="0" showInputMessage="0" showErrorMessage="0" allowBlank="1" type="list">
      <formula1>"Tailwind,Headwind"</formula1>
    </dataValidation>
    <dataValidation sqref="AF2:AF5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5" showDropDown="0" showInputMessage="0" showErrorMessage="0" allowBlank="1" type="list">
      <formula1>"Yes,No"</formula1>
    </dataValidation>
    <dataValidation sqref="AJ2:AJ55" showDropDown="0" showInputMessage="0" showErrorMessage="0" allowBlank="1" type="list">
      <formula1>"Yes,No,Not Applicable"</formula1>
    </dataValidation>
    <dataValidation sqref="AL2:AL55" showDropDown="0" showInputMessage="0" showErrorMessage="0" allowBlank="1" type="list">
      <formula1>"Yes,No"</formula1>
    </dataValidation>
    <dataValidation sqref="AN2:AN55" showDropDown="0" showInputMessage="0" showErrorMessage="0" allowBlank="1" type="list">
      <formula1>"Yes,No"</formula1>
    </dataValidation>
    <dataValidation sqref="AP2:AP55" showDropDown="0" showInputMessage="0" showErrorMessage="0" allowBlank="1" type="list">
      <formula1>"Yes,No"</formula1>
    </dataValidation>
    <dataValidation sqref="AR2:AR55" showDropDown="0" showInputMessage="0" showErrorMessage="0" allowBlank="1" type="list">
      <formula1>"Yes,No"</formula1>
    </dataValidation>
    <dataValidation sqref="AT2:AT55" showDropDown="0" showInputMessage="0" showErrorMessage="0" allowBlank="1" type="list">
      <formula1>"No,Yes"</formula1>
    </dataValidation>
    <dataValidation sqref="AV2:AV55" showDropDown="0" showInputMessage="0" showErrorMessage="0" allowBlank="1" type="list">
      <formula1>"No,Yes"</formula1>
    </dataValidation>
    <dataValidation sqref="AX2:AX55" showDropDown="0" showInputMessage="0" showErrorMessage="0" allowBlank="1" type="list">
      <formula1>"No,Yes CEO Resignation,Yes CEO Retirement"</formula1>
    </dataValidation>
    <dataValidation sqref="AZ2:AZ55" showDropDown="0" showInputMessage="0" showErrorMessage="0" allowBlank="1" type="list">
      <formula1>"No,Yes"</formula1>
    </dataValidation>
    <dataValidation sqref="BB2:BB55" showDropDown="0" showInputMessage="0" showErrorMessage="0" allowBlank="1" type="list">
      <formula1>"No,Yes"</formula1>
    </dataValidation>
    <dataValidation sqref="BD2:BD55" showDropDown="0" showInputMessage="0" showErrorMessage="0" allowBlank="1" type="list">
      <formula1>"Yes,No"</formula1>
    </dataValidation>
    <dataValidation sqref="BF2:BF55" showDropDown="0" showInputMessage="0" showErrorMessage="0" allowBlank="1" type="list">
      <formula1>"Yes,No"</formula1>
    </dataValidation>
    <dataValidation sqref="BH2:BH55" showDropDown="0" showInputMessage="0" showErrorMessage="0" allowBlank="1" type="list">
      <formula1>"Yes,No"</formula1>
    </dataValidation>
    <dataValidation sqref="BJ2:BJ5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5" showDropDown="0" showInputMessage="0" showErrorMessage="0" allowBlank="1" type="list">
      <formula1>"Above 40,20 to 40,0 to 20"</formula1>
    </dataValidation>
    <dataValidation sqref="BN2:BN55" showDropDown="0" showInputMessage="0" showErrorMessage="0" allowBlank="1" type="list">
      <formula1>"Between 50 to 75,Above 75,Below 45"</formula1>
    </dataValidation>
    <dataValidation sqref="BP2:BP55" showDropDown="0" showInputMessage="0" showErrorMessage="0" allowBlank="1" type="list">
      <formula1>"Stage 1,Stage 2,Stage 3,Stage 4"</formula1>
    </dataValidation>
    <dataValidation sqref="BR2:BR55" showDropDown="0" showInputMessage="0" showErrorMessage="0" allowBlank="1" type="list">
      <formula1>"Positive Trend,Negative Trend"</formula1>
    </dataValidation>
    <dataValidation sqref="BT2:BT55" showDropDown="0" showInputMessage="0" showErrorMessage="0" allowBlank="1" type="list">
      <formula1>"Uptrend,Sideways,Downtrend"</formula1>
    </dataValidation>
    <dataValidation sqref="BV2:BV55" showDropDown="0" showInputMessage="0" showErrorMessage="0" allowBlank="1" type="list">
      <formula1>"Uptrend,Sideways,Downtrend"</formula1>
    </dataValidation>
    <dataValidation sqref="BX2:BX5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9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IF(B2=0,"",RANK(B2,$B$2:$B$19,0))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140</v>
      </c>
      <c r="E2" s="32" t="inlineStr">
        <is>
          <t>5%</t>
        </is>
      </c>
      <c r="F2" s="32" t="n">
        <v>50000</v>
      </c>
      <c r="G2" s="32" t="n">
        <v>238</v>
      </c>
      <c r="H2" s="31" t="inlineStr">
        <is>
          <t>MENONBE</t>
        </is>
      </c>
      <c r="I2" s="31" t="inlineStr">
        <is>
          <t>Menon Bearings Limited</t>
        </is>
      </c>
      <c r="J2" s="31" t="inlineStr">
        <is>
          <t>auto</t>
        </is>
      </c>
      <c r="K2" s="31" t="inlineStr">
        <is>
          <t>auto ancillaries</t>
        </is>
      </c>
      <c r="L2" s="31" t="inlineStr">
        <is>
          <t>smallcap</t>
        </is>
      </c>
      <c r="M2" s="32" t="n">
        <v>1118.95</v>
      </c>
      <c r="N2" s="32" t="n">
        <v>209.65</v>
      </c>
      <c r="O2" s="32" t="n">
        <v>5</v>
      </c>
      <c r="P2" s="32" t="n">
        <v>249414</v>
      </c>
      <c r="Q2" s="31" t="n">
        <v>88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73.84</v>
      </c>
      <c r="U2" s="32" t="n">
        <v>44.92</v>
      </c>
      <c r="V2" s="32" t="inlineStr"/>
      <c r="W2" s="31" t="inlineStr">
        <is>
          <t>Earnings / Momentum Support</t>
        </is>
      </c>
      <c r="X2" s="31" t="inlineStr">
        <is>
          <t>Nifty Auto</t>
        </is>
      </c>
      <c r="Y2" s="32" t="n">
        <v>13.41</v>
      </c>
      <c r="Z2" s="32" t="n">
        <v>59.56</v>
      </c>
      <c r="AA2" s="32" t="n">
        <v>40.68</v>
      </c>
      <c r="AB2" s="32" t="n">
        <v>23.69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Headwind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No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3</t>
        </is>
      </c>
      <c r="BH2" s="31">
        <f>IF(BG2="Stage 2",20,IF(BG2="Stage 1",0,IF(BG2="Stage 3",5,IF(BG2="Stage 4",-5,0))))</f>
        <v/>
      </c>
      <c r="BI2" s="31" t="inlineStr">
        <is>
          <t>Negative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Close to 52 week high or retracement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IF(B3=0,"",RANK(B3,$B$2:$B$19,0))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140</v>
      </c>
      <c r="E3" s="32" t="inlineStr">
        <is>
          <t>5%</t>
        </is>
      </c>
      <c r="F3" s="32" t="n">
        <v>50000</v>
      </c>
      <c r="G3" s="32" t="n">
        <v>42</v>
      </c>
      <c r="H3" s="31" t="inlineStr">
        <is>
          <t>TINNARUBR</t>
        </is>
      </c>
      <c r="I3" s="31" t="inlineStr">
        <is>
          <t>Tinna Rubber &amp; Infrastructure Ltd</t>
        </is>
      </c>
      <c r="J3" s="31" t="inlineStr">
        <is>
          <t>fmcg</t>
        </is>
      </c>
      <c r="K3" s="31" t="inlineStr">
        <is>
          <t>miscellaneous</t>
        </is>
      </c>
      <c r="L3" s="31" t="inlineStr">
        <is>
          <t>smallcap</t>
        </is>
      </c>
      <c r="M3" s="32" t="n">
        <v>1786.44</v>
      </c>
      <c r="N3" s="32" t="n">
        <v>1189.9</v>
      </c>
      <c r="O3" s="32" t="n">
        <v>20</v>
      </c>
      <c r="P3" s="32" t="n">
        <v>1222578</v>
      </c>
      <c r="Q3" s="31" t="n">
        <v>54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66.08</v>
      </c>
      <c r="U3" s="32" t="n">
        <v>30.02</v>
      </c>
      <c r="V3" s="32" t="inlineStr"/>
      <c r="W3" s="31" t="inlineStr">
        <is>
          <t>Volume Spike / Accumulation</t>
        </is>
      </c>
      <c r="X3" s="31" t="inlineStr">
        <is>
          <t>Nifty FMCG</t>
        </is>
      </c>
      <c r="Y3" s="32" t="n">
        <v>-13.73</v>
      </c>
      <c r="Z3" s="32" t="n">
        <v>0.8</v>
      </c>
      <c r="AA3" s="32" t="n">
        <v>16.84</v>
      </c>
      <c r="AB3" s="32" t="n">
        <v>9.539999999999999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Headwind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B2C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20 to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3</t>
        </is>
      </c>
      <c r="BH3" s="31">
        <f>IF(BG3="Stage 2",20,IF(BG3="Stage 1",0,IF(BG3="Stage 3",5,IF(BG3="Stage 4",-5,0))))</f>
        <v/>
      </c>
      <c r="BI3" s="31" t="inlineStr">
        <is>
          <t>Negative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Close to 52 week high or retracement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Between 50% to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IF(B4=0,"",RANK(B4,$B$2:$B$19,0))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138.6</v>
      </c>
      <c r="E4" s="32" t="inlineStr">
        <is>
          <t>5%</t>
        </is>
      </c>
      <c r="F4" s="32" t="n">
        <v>50000</v>
      </c>
      <c r="G4" s="32" t="n">
        <v>12</v>
      </c>
      <c r="H4" s="31" t="inlineStr">
        <is>
          <t>RADICO</t>
        </is>
      </c>
      <c r="I4" s="31" t="inlineStr">
        <is>
          <t>Radico Khaitan Limited</t>
        </is>
      </c>
      <c r="J4" s="31" t="inlineStr">
        <is>
          <t>fmcg</t>
        </is>
      </c>
      <c r="K4" s="31" t="inlineStr">
        <is>
          <t>breweries &amp; distilleries</t>
        </is>
      </c>
      <c r="L4" s="31" t="inlineStr">
        <is>
          <t>largecap</t>
        </is>
      </c>
      <c r="M4" s="32" t="n">
        <v>54870.03</v>
      </c>
      <c r="N4" s="32" t="n">
        <v>4132.4</v>
      </c>
      <c r="O4" s="32" t="n">
        <v>0.84</v>
      </c>
      <c r="P4" s="32" t="n">
        <v>574803</v>
      </c>
      <c r="Q4" s="31" t="n">
        <v>73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79.92</v>
      </c>
      <c r="U4" s="32" t="n">
        <v>55.09</v>
      </c>
      <c r="V4" s="32" t="inlineStr"/>
      <c r="W4" s="31" t="inlineStr">
        <is>
          <t>Earnings / Momentum Support</t>
        </is>
      </c>
      <c r="X4" s="31" t="inlineStr">
        <is>
          <t>Nifty FMCG</t>
        </is>
      </c>
      <c r="Y4" s="32" t="n">
        <v>-13.73</v>
      </c>
      <c r="Z4" s="32" t="n">
        <v>50.97</v>
      </c>
      <c r="AA4" s="32" t="n">
        <v>75</v>
      </c>
      <c r="AB4" s="32" t="n">
        <v>14.99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Headwind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B2C</t>
        </is>
      </c>
      <c r="AT4" s="31">
        <f>IF(AS4="B2C",10,IF(AS4="B2B",5,0))</f>
        <v/>
      </c>
      <c r="AU4" s="31" t="inlineStr">
        <is>
          <t>No</t>
        </is>
      </c>
      <c r="AV4" s="31">
        <f>IF(AU4="Yes",10,0)</f>
        <v/>
      </c>
      <c r="AW4" s="31" t="inlineStr">
        <is>
          <t>Higher Annuity, Lower One Time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3</t>
        </is>
      </c>
      <c r="BH4" s="31">
        <f>IF(BG4="Stage 2",20,IF(BG4="Stage 1",0,IF(BG4="Stage 3",5,IF(BG4="Stage 4",-5,0))))</f>
        <v/>
      </c>
      <c r="BI4" s="31" t="inlineStr">
        <is>
          <t>Negative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Close to 52 week high or retracement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IF(B5=0,"",RANK(B5,$B$2:$B$19,0))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138.8</v>
      </c>
      <c r="E5" s="32" t="inlineStr">
        <is>
          <t>5%</t>
        </is>
      </c>
      <c r="F5" s="32" t="n">
        <v>50000</v>
      </c>
      <c r="G5" s="32" t="n">
        <v>30</v>
      </c>
      <c r="H5" s="31" t="inlineStr">
        <is>
          <t>CEMPRO</t>
        </is>
      </c>
      <c r="I5" s="31" t="inlineStr">
        <is>
          <t>Cemindia Projects Ltd</t>
        </is>
      </c>
      <c r="J5" s="31" t="inlineStr">
        <is>
          <t>realty</t>
        </is>
      </c>
      <c r="K5" s="31" t="inlineStr">
        <is>
          <t>construction</t>
        </is>
      </c>
      <c r="L5" s="31" t="inlineStr">
        <is>
          <t>largecap</t>
        </is>
      </c>
      <c r="M5" s="32" t="n">
        <v>27743.69</v>
      </c>
      <c r="N5" s="32" t="n">
        <v>1627</v>
      </c>
      <c r="O5" s="32" t="n">
        <v>0.74</v>
      </c>
      <c r="P5" s="32" t="n">
        <v>986966</v>
      </c>
      <c r="Q5" s="31" t="n">
        <v>98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84.45</v>
      </c>
      <c r="U5" s="32" t="n">
        <v>56.92</v>
      </c>
      <c r="V5" s="32" t="inlineStr"/>
      <c r="W5" s="31" t="inlineStr">
        <is>
          <t>Earnings / Momentum Support</t>
        </is>
      </c>
      <c r="X5" s="31" t="inlineStr">
        <is>
          <t>Nifty Realty</t>
        </is>
      </c>
      <c r="Y5" s="32" t="n">
        <v>-8.119999999999999</v>
      </c>
      <c r="Z5" s="32" t="n">
        <v>100.87</v>
      </c>
      <c r="AA5" s="32" t="n">
        <v>118.63</v>
      </c>
      <c r="AB5" s="32" t="n">
        <v>55.75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Headwind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No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3</t>
        </is>
      </c>
      <c r="BH5" s="31">
        <f>IF(BG5="Stage 2",20,IF(BG5="Stage 1",0,IF(BG5="Stage 3",5,IF(BG5="Stage 4",-5,0))))</f>
        <v/>
      </c>
      <c r="BI5" s="31" t="inlineStr">
        <is>
          <t>Negative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Close to 52 week high or retracement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Less than 50%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IF(B6=0,"",RANK(B6,$B$2:$B$19,0))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139.7</v>
      </c>
      <c r="E6" s="32" t="inlineStr">
        <is>
          <t>5%</t>
        </is>
      </c>
      <c r="F6" s="32" t="n">
        <v>50000</v>
      </c>
      <c r="G6" s="32" t="n">
        <v>25</v>
      </c>
      <c r="H6" s="31" t="inlineStr">
        <is>
          <t>SUNPHARMA</t>
        </is>
      </c>
      <c r="I6" s="31" t="inlineStr">
        <is>
          <t>Sun Pharmaceuticals Industries Limited</t>
        </is>
      </c>
      <c r="J6" s="31" t="inlineStr">
        <is>
          <t>healthcare</t>
        </is>
      </c>
      <c r="K6" s="31" t="inlineStr">
        <is>
          <t>pharmaceuticals - indian - bulk drugs &amp; formln</t>
        </is>
      </c>
      <c r="L6" s="31" t="inlineStr">
        <is>
          <t>largecap</t>
        </is>
      </c>
      <c r="M6" s="32" t="n">
        <v>463695.48</v>
      </c>
      <c r="N6" s="32" t="n">
        <v>1956.4</v>
      </c>
      <c r="O6" s="32" t="n">
        <v>1.23</v>
      </c>
      <c r="P6" s="32" t="n">
        <v>1676157</v>
      </c>
      <c r="Q6" s="31" t="n">
        <v>39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64.87</v>
      </c>
      <c r="U6" s="32" t="n">
        <v>20.5</v>
      </c>
      <c r="V6" s="32" t="inlineStr"/>
      <c r="W6" s="31" t="inlineStr">
        <is>
          <t>Earnings / Momentum Support</t>
        </is>
      </c>
      <c r="X6" s="31" t="inlineStr">
        <is>
          <t>Nifty Pharma</t>
        </is>
      </c>
      <c r="Y6" s="32" t="n">
        <v>13.51</v>
      </c>
      <c r="Z6" s="32" t="n">
        <v>15.15</v>
      </c>
      <c r="AA6" s="32" t="n">
        <v>1.45</v>
      </c>
      <c r="AB6" s="32" t="n">
        <v>6.18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Yes</t>
        </is>
      </c>
      <c r="AH6" s="31">
        <f>IF(AG6="No",5,0)</f>
        <v/>
      </c>
      <c r="AI6" s="31" t="inlineStr">
        <is>
          <t>Headwind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No</t>
        </is>
      </c>
      <c r="AV6" s="31">
        <f>IF(AU6="Yes",10,0)</f>
        <v/>
      </c>
      <c r="AW6" s="31" t="inlineStr">
        <is>
          <t>Higher Annuity, Lower One Time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20 to 40</t>
        </is>
      </c>
      <c r="BD6" s="31">
        <f>IF(BC6="Above 40",20,IF(BC6="20 to 40",10,IF(BC6="0 to 20",-5,0)))</f>
        <v/>
      </c>
      <c r="BE6" s="31" t="inlineStr">
        <is>
          <t>Between 50 to 75</t>
        </is>
      </c>
      <c r="BF6" s="31">
        <f>IF(BE6="Between 50 to 75",10,IF(BE6="Above 75",0,0))</f>
        <v/>
      </c>
      <c r="BG6" s="31" t="inlineStr">
        <is>
          <t>Stage 3</t>
        </is>
      </c>
      <c r="BH6" s="31">
        <f>IF(BG6="Stage 2",20,IF(BG6="Stage 1",0,IF(BG6="Stage 3",5,IF(BG6="Stage 4",-5,0))))</f>
        <v/>
      </c>
      <c r="BI6" s="31" t="inlineStr">
        <is>
          <t>Negative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Close to 52 week high or retracement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Between 1.5 to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IF(B7=0,"",RANK(B7,$B$2:$B$19,0))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139.7</v>
      </c>
      <c r="E7" s="32" t="inlineStr">
        <is>
          <t>5%</t>
        </is>
      </c>
      <c r="F7" s="32" t="n">
        <v>50000</v>
      </c>
      <c r="G7" s="32" t="n">
        <v>34</v>
      </c>
      <c r="H7" s="31" t="inlineStr">
        <is>
          <t>ADOR</t>
        </is>
      </c>
      <c r="I7" s="31" t="inlineStr">
        <is>
          <t>Ador Welding Ltd</t>
        </is>
      </c>
      <c r="J7" s="31" t="inlineStr">
        <is>
          <t>industrials</t>
        </is>
      </c>
      <c r="K7" s="31" t="inlineStr">
        <is>
          <t>electrodes - welding equipment</t>
        </is>
      </c>
      <c r="L7" s="31" t="inlineStr">
        <is>
          <t>smallcap</t>
        </is>
      </c>
      <c r="M7" s="32" t="n">
        <v>2408.72</v>
      </c>
      <c r="N7" s="32" t="n">
        <v>1455.3</v>
      </c>
      <c r="O7" s="32" t="n">
        <v>5.14</v>
      </c>
      <c r="P7" s="32" t="n">
        <v>111339</v>
      </c>
      <c r="Q7" s="31" t="n">
        <v>71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77.83</v>
      </c>
      <c r="U7" s="32" t="n">
        <v>38.24</v>
      </c>
      <c r="V7" s="32" t="inlineStr"/>
      <c r="W7" s="31" t="inlineStr">
        <is>
          <t>Earnings / Momentum Support</t>
        </is>
      </c>
      <c r="X7" s="31" t="inlineStr">
        <is>
          <t>Nifty 50</t>
        </is>
      </c>
      <c r="Y7" s="32" t="n">
        <v>-2.54</v>
      </c>
      <c r="Z7" s="32" t="n">
        <v>26.64</v>
      </c>
      <c r="AA7" s="32" t="n">
        <v>29.94</v>
      </c>
      <c r="AB7" s="32" t="n">
        <v>14.24</v>
      </c>
      <c r="AC7" s="31" t="inlineStr">
        <is>
          <t>Cyclical in an Upturn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Headwind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No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3</t>
        </is>
      </c>
      <c r="BH7" s="31">
        <f>IF(BG7="Stage 2",20,IF(BG7="Stage 1",0,IF(BG7="Stage 3",5,IF(BG7="Stage 4",-5,0))))</f>
        <v/>
      </c>
      <c r="BI7" s="31" t="inlineStr">
        <is>
          <t>Negative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Close to 52 week high or retracement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IF(B8=0,"",RANK(B8,$B$2:$B$19,0))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140</v>
      </c>
      <c r="E8" s="32" t="inlineStr">
        <is>
          <t>5%</t>
        </is>
      </c>
      <c r="F8" s="32" t="n">
        <v>50000</v>
      </c>
      <c r="G8" s="32" t="n">
        <v>29</v>
      </c>
      <c r="H8" s="31" t="inlineStr">
        <is>
          <t>TATVA</t>
        </is>
      </c>
      <c r="I8" s="31" t="inlineStr">
        <is>
          <t>Tatva Chintan Pharma Chem Ltd</t>
        </is>
      </c>
      <c r="J8" s="31" t="inlineStr">
        <is>
          <t>chemicals</t>
        </is>
      </c>
      <c r="K8" s="31" t="inlineStr">
        <is>
          <t>chemicals</t>
        </is>
      </c>
      <c r="L8" s="31" t="inlineStr">
        <is>
          <t>smallcap</t>
        </is>
      </c>
      <c r="M8" s="32" t="n">
        <v>3340.62</v>
      </c>
      <c r="N8" s="32" t="n">
        <v>1713.7</v>
      </c>
      <c r="O8" s="32" t="n">
        <v>20</v>
      </c>
      <c r="P8" s="32" t="n">
        <v>3293812</v>
      </c>
      <c r="Q8" s="31" t="n">
        <v>58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63.33</v>
      </c>
      <c r="U8" s="32" t="n">
        <v>18.79</v>
      </c>
      <c r="V8" s="32" t="inlineStr"/>
      <c r="W8" s="31" t="inlineStr">
        <is>
          <t>Volume Spike / Accumulation</t>
        </is>
      </c>
      <c r="X8" s="31" t="inlineStr">
        <is>
          <t>Nifty 50</t>
        </is>
      </c>
      <c r="Y8" s="32" t="n">
        <v>-2.54</v>
      </c>
      <c r="Z8" s="32" t="n">
        <v>42.9</v>
      </c>
      <c r="AA8" s="32" t="n">
        <v>46.63</v>
      </c>
      <c r="AB8" s="32" t="n">
        <v>10.58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Headwind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0 to 20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3</t>
        </is>
      </c>
      <c r="BH8" s="31">
        <f>IF(BG8="Stage 2",20,IF(BG8="Stage 1",0,IF(BG8="Stage 3",5,IF(BG8="Stage 4",-5,0))))</f>
        <v/>
      </c>
      <c r="BI8" s="31" t="inlineStr">
        <is>
          <t>Negative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Close to 52 week high or retracement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IF(B9=0,"",RANK(B9,$B$2:$B$19,0))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138.9</v>
      </c>
      <c r="E9" s="32" t="inlineStr">
        <is>
          <t>5%</t>
        </is>
      </c>
      <c r="F9" s="32" t="n">
        <v>50000</v>
      </c>
      <c r="G9" s="32" t="n">
        <v>75</v>
      </c>
      <c r="H9" s="31" t="inlineStr">
        <is>
          <t>SKYGOLD</t>
        </is>
      </c>
      <c r="I9" s="31" t="inlineStr">
        <is>
          <t>Sky Gold Ltd</t>
        </is>
      </c>
      <c r="J9" s="31" t="inlineStr">
        <is>
          <t>consumer discretionary</t>
        </is>
      </c>
      <c r="K9" s="31" t="inlineStr">
        <is>
          <t>diamond cutting / jewellery</t>
        </is>
      </c>
      <c r="L9" s="31" t="inlineStr">
        <is>
          <t>midcap</t>
        </is>
      </c>
      <c r="M9" s="32" t="n">
        <v>9622.309999999999</v>
      </c>
      <c r="N9" s="32" t="n">
        <v>658.35</v>
      </c>
      <c r="O9" s="32" t="n">
        <v>5.96</v>
      </c>
      <c r="P9" s="32" t="n">
        <v>1579631</v>
      </c>
      <c r="Q9" s="31" t="n">
        <v>89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72.27</v>
      </c>
      <c r="U9" s="32" t="n">
        <v>55.4</v>
      </c>
      <c r="V9" s="32" t="inlineStr"/>
      <c r="W9" s="31" t="inlineStr">
        <is>
          <t>Earnings / Momentum Support</t>
        </is>
      </c>
      <c r="X9" s="31" t="inlineStr">
        <is>
          <t>Nifty 50</t>
        </is>
      </c>
      <c r="Y9" s="32" t="n">
        <v>-2.54</v>
      </c>
      <c r="Z9" s="32" t="n">
        <v>90.06</v>
      </c>
      <c r="AA9" s="32" t="n">
        <v>95.01000000000001</v>
      </c>
      <c r="AB9" s="32" t="n">
        <v>24.64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Headwind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No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3</t>
        </is>
      </c>
      <c r="BH9" s="31">
        <f>IF(BG9="Stage 2",20,IF(BG9="Stage 1",0,IF(BG9="Stage 3",5,IF(BG9="Stage 4",-5,0))))</f>
        <v/>
      </c>
      <c r="BI9" s="31" t="inlineStr">
        <is>
          <t>Negative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Close to 52 week high or retracement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Negative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Between 0.7 to 1.2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IF(B10=0,"",RANK(B10,$B$2:$B$19,0))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138.4</v>
      </c>
      <c r="E10" s="32" t="inlineStr">
        <is>
          <t>5%</t>
        </is>
      </c>
      <c r="F10" s="32" t="n">
        <v>50000</v>
      </c>
      <c r="G10" s="32" t="n">
        <v>6</v>
      </c>
      <c r="H10" s="33" t="inlineStr">
        <is>
          <t>DIVISLAB</t>
        </is>
      </c>
      <c r="I10" s="33" t="inlineStr">
        <is>
          <t>Divi's Laboratories Limited</t>
        </is>
      </c>
      <c r="J10" s="31" t="inlineStr">
        <is>
          <t>healthcare</t>
        </is>
      </c>
      <c r="K10" s="31" t="inlineStr">
        <is>
          <t>pharmaceuticals - indian - bulk drugs</t>
        </is>
      </c>
      <c r="L10" s="31" t="inlineStr">
        <is>
          <t>largecap</t>
        </is>
      </c>
      <c r="M10" s="32" t="n">
        <v>192398.35</v>
      </c>
      <c r="N10" s="32" t="n">
        <v>7318</v>
      </c>
      <c r="O10" s="32" t="n">
        <v>0.97</v>
      </c>
      <c r="P10" s="32" t="n">
        <v>434480</v>
      </c>
      <c r="Q10" s="31" t="n">
        <v>32</v>
      </c>
      <c r="R10" s="31" t="inlineStr">
        <is>
          <t>Underperforming</t>
        </is>
      </c>
      <c r="S10" s="32">
        <f>IF(R10="Underperforming",-5,IF(Q10&gt;=95,15,IF(Q10&gt;=90,10,IF(Q10&gt;=80,5,0))))</f>
        <v/>
      </c>
      <c r="T10" s="32" t="n">
        <v>70.19</v>
      </c>
      <c r="U10" s="32" t="n">
        <v>20.53</v>
      </c>
      <c r="V10" s="32" t="inlineStr"/>
      <c r="W10" s="31" t="inlineStr">
        <is>
          <t>Earnings / Momentum Support</t>
        </is>
      </c>
      <c r="X10" s="31" t="inlineStr">
        <is>
          <t>Nifty Pharma</t>
        </is>
      </c>
      <c r="Y10" s="32" t="n">
        <v>13.51</v>
      </c>
      <c r="Z10" s="32" t="n">
        <v>8.16</v>
      </c>
      <c r="AA10" s="32" t="n">
        <v>-4.72</v>
      </c>
      <c r="AB10" s="32" t="n">
        <v>5.12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Yes</t>
        </is>
      </c>
      <c r="AH10" s="31">
        <f>IF(AG10="No",5,0)</f>
        <v/>
      </c>
      <c r="AI10" s="31" t="inlineStr">
        <is>
          <t>Headwind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No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3</t>
        </is>
      </c>
      <c r="BH10" s="31">
        <f>IF(BG10="Stage 2",20,IF(BG10="Stage 1",0,IF(BG10="Stage 3",5,IF(BG10="Stage 4",-5,0))))</f>
        <v/>
      </c>
      <c r="BI10" s="31" t="inlineStr">
        <is>
          <t>Negative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Close to 52 week high or retracement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Between 12 to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IF(B11=0,"",RANK(B11,$B$2:$B$19,0))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139.8</v>
      </c>
      <c r="E11" s="32" t="inlineStr">
        <is>
          <t>5%</t>
        </is>
      </c>
      <c r="F11" s="32" t="n">
        <v>50000</v>
      </c>
      <c r="G11" s="32" t="n">
        <v>38</v>
      </c>
      <c r="H11" s="31" t="inlineStr">
        <is>
          <t>SAILIFE</t>
        </is>
      </c>
      <c r="I11" s="31" t="inlineStr">
        <is>
          <t>Sai Life Sciences Ltd</t>
        </is>
      </c>
      <c r="J11" s="31" t="inlineStr">
        <is>
          <t>healthcare</t>
        </is>
      </c>
      <c r="K11" s="31" t="inlineStr">
        <is>
          <t>pharmaceuticals - indian - bulk drugs &amp; formln</t>
        </is>
      </c>
      <c r="L11" s="31" t="inlineStr">
        <is>
          <t>largecap</t>
        </is>
      </c>
      <c r="M11" s="32" t="n">
        <v>26938.32</v>
      </c>
      <c r="N11" s="32" t="n">
        <v>1297</v>
      </c>
      <c r="O11" s="32" t="n">
        <v>1.97</v>
      </c>
      <c r="P11" s="32" t="n">
        <v>311355</v>
      </c>
      <c r="Q11" s="31" t="n">
        <v>76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75.27</v>
      </c>
      <c r="U11" s="32" t="n">
        <v>31.46</v>
      </c>
      <c r="V11" s="32" t="inlineStr"/>
      <c r="W11" s="31" t="inlineStr">
        <is>
          <t>Earnings / Momentum Support</t>
        </is>
      </c>
      <c r="X11" s="31" t="inlineStr">
        <is>
          <t>Nifty Pharma</t>
        </is>
      </c>
      <c r="Y11" s="32" t="n">
        <v>13.51</v>
      </c>
      <c r="Z11" s="32" t="n">
        <v>56.04</v>
      </c>
      <c r="AA11" s="32" t="n">
        <v>37.46</v>
      </c>
      <c r="AB11" s="32" t="n">
        <v>16.06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Yes</t>
        </is>
      </c>
      <c r="AH11" s="31">
        <f>IF(AG11="No",5,0)</f>
        <v/>
      </c>
      <c r="AI11" s="31" t="inlineStr">
        <is>
          <t>Headwind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No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3</t>
        </is>
      </c>
      <c r="BH11" s="31">
        <f>IF(BG11="Stage 2",20,IF(BG11="Stage 1",0,IF(BG11="Stage 3",5,IF(BG11="Stage 4",-5,0))))</f>
        <v/>
      </c>
      <c r="BI11" s="31" t="inlineStr">
        <is>
          <t>Negative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Close to 52 week high or retracement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Between 12 to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IF(B12=0,"",RANK(B12,$B$2:$B$19,0))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</v>
      </c>
      <c r="E12" s="32" t="inlineStr">
        <is>
          <t>5%</t>
        </is>
      </c>
      <c r="F12" s="32" t="n">
        <v>50000</v>
      </c>
      <c r="G12" s="32" t="n">
        <v>22</v>
      </c>
      <c r="H12" s="31" t="inlineStr">
        <is>
          <t>BHARATFORG</t>
        </is>
      </c>
      <c r="I12" s="31" t="inlineStr">
        <is>
          <t>Bharat Forge Limited</t>
        </is>
      </c>
      <c r="J12" s="31" t="inlineStr">
        <is>
          <t>industrials</t>
        </is>
      </c>
      <c r="K12" s="31" t="inlineStr">
        <is>
          <t>castings &amp; forgings</t>
        </is>
      </c>
      <c r="L12" s="31" t="inlineStr">
        <is>
          <t>largecap</t>
        </is>
      </c>
      <c r="M12" s="32" t="n">
        <v>104725.31</v>
      </c>
      <c r="N12" s="32" t="n">
        <v>2209</v>
      </c>
      <c r="O12" s="32" t="n">
        <v>0.84</v>
      </c>
      <c r="P12" s="32" t="n">
        <v>864503</v>
      </c>
      <c r="Q12" s="31" t="n">
        <v>77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73</v>
      </c>
      <c r="U12" s="32" t="n">
        <v>44.27</v>
      </c>
      <c r="V12" s="32" t="inlineStr"/>
      <c r="W12" s="31" t="inlineStr">
        <is>
          <t>Earnings / Momentum Support</t>
        </is>
      </c>
      <c r="X12" s="31" t="inlineStr">
        <is>
          <t>Nifty 500</t>
        </is>
      </c>
      <c r="Y12" s="32" t="n">
        <v>0.26</v>
      </c>
      <c r="Z12" s="32" t="n">
        <v>80.8</v>
      </c>
      <c r="AA12" s="32" t="n">
        <v>80.33</v>
      </c>
      <c r="AB12" s="32" t="n">
        <v>16.69</v>
      </c>
      <c r="AC12" s="31" t="inlineStr">
        <is>
          <t>Cyclical in an Upturn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Headwind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No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3</t>
        </is>
      </c>
      <c r="BH12" s="31">
        <f>IF(BG12="Stage 2",20,IF(BG12="Stage 1",0,IF(BG12="Stage 3",5,IF(BG12="Stage 4",-5,0))))</f>
        <v/>
      </c>
      <c r="BI12" s="31" t="inlineStr">
        <is>
          <t>Negative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Close to 52 week high or retracement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Less than 12%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Between 50% to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Between 0.7 to 1.2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IF(B13=0,"",RANK(B13,$B$2:$B$19,0))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138.5</v>
      </c>
      <c r="E13" s="32" t="inlineStr">
        <is>
          <t>5%</t>
        </is>
      </c>
      <c r="F13" s="32" t="n">
        <v>50000</v>
      </c>
      <c r="G13" s="32" t="n">
        <v>343</v>
      </c>
      <c r="H13" s="31" t="inlineStr">
        <is>
          <t>MBAPL</t>
        </is>
      </c>
      <c r="I13" s="31" t="inlineStr">
        <is>
          <t>Madhya Bharat Agro Products Ltd</t>
        </is>
      </c>
      <c r="J13" s="31" t="inlineStr">
        <is>
          <t>chemicals</t>
        </is>
      </c>
      <c r="K13" s="31" t="inlineStr">
        <is>
          <t>fertilizers</t>
        </is>
      </c>
      <c r="L13" s="31" t="inlineStr">
        <is>
          <t>smallcap</t>
        </is>
      </c>
      <c r="M13" s="32" t="n">
        <v>1193.48</v>
      </c>
      <c r="N13" s="32" t="n">
        <v>145.55</v>
      </c>
      <c r="O13" s="32" t="n">
        <v>6.86</v>
      </c>
      <c r="P13" s="32" t="n">
        <v>3421257</v>
      </c>
      <c r="Q13" s="31" t="n">
        <v>80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80.39</v>
      </c>
      <c r="U13" s="32" t="n">
        <v>57.4</v>
      </c>
      <c r="V13" s="32" t="inlineStr"/>
      <c r="W13" s="31" t="inlineStr">
        <is>
          <t>Earnings / Momentum Support</t>
        </is>
      </c>
      <c r="X13" s="31" t="inlineStr">
        <is>
          <t>Nifty 50</t>
        </is>
      </c>
      <c r="Y13" s="32" t="n">
        <v>-2.54</v>
      </c>
      <c r="Z13" s="32" t="n">
        <v>61.02</v>
      </c>
      <c r="AA13" s="32" t="n">
        <v>65.20999999999999</v>
      </c>
      <c r="AB13" s="32" t="n">
        <v>18.11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Headwind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No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3</t>
        </is>
      </c>
      <c r="BH13" s="31">
        <f>IF(BG13="Stage 2",20,IF(BG13="Stage 1",0,IF(BG13="Stage 3",5,IF(BG13="Stage 4",-5,0))))</f>
        <v/>
      </c>
      <c r="BI13" s="31" t="inlineStr">
        <is>
          <t>Negative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Close to 52 week high or retracement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Between 12 to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More than 1.2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IF(B14=0,"",RANK(B14,$B$2:$B$19,0))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138.5</v>
      </c>
      <c r="E14" s="32" t="inlineStr">
        <is>
          <t>5%</t>
        </is>
      </c>
      <c r="F14" s="32" t="n">
        <v>50000</v>
      </c>
      <c r="G14" s="32" t="n">
        <v>115</v>
      </c>
      <c r="H14" s="31" t="inlineStr">
        <is>
          <t>KAPSTON</t>
        </is>
      </c>
      <c r="I14" s="31" t="inlineStr">
        <is>
          <t>Kapston Services Ltd</t>
        </is>
      </c>
      <c r="J14" s="31" t="inlineStr">
        <is>
          <t>miscellaneous</t>
        </is>
      </c>
      <c r="K14" s="31" t="inlineStr">
        <is>
          <t>miscellaneous</t>
        </is>
      </c>
      <c r="L14" s="31" t="inlineStr">
        <is>
          <t>smallcap</t>
        </is>
      </c>
      <c r="M14" s="32" t="n">
        <v>1286.52</v>
      </c>
      <c r="N14" s="32" t="n">
        <v>434</v>
      </c>
      <c r="O14" s="32" t="n">
        <v>2.66</v>
      </c>
      <c r="P14" s="32" t="n">
        <v>49739</v>
      </c>
      <c r="Q14" s="31" t="n">
        <v>83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69.66</v>
      </c>
      <c r="U14" s="32" t="n">
        <v>21.18</v>
      </c>
      <c r="V14" s="32" t="inlineStr"/>
      <c r="W14" s="31" t="inlineStr">
        <is>
          <t>Earnings / Momentum Support</t>
        </is>
      </c>
      <c r="X14" s="31" t="inlineStr">
        <is>
          <t>Nifty 50</t>
        </is>
      </c>
      <c r="Y14" s="32" t="n">
        <v>-2.54</v>
      </c>
      <c r="Z14" s="32" t="n">
        <v>70.7</v>
      </c>
      <c r="AA14" s="32" t="n">
        <v>75.15000000000001</v>
      </c>
      <c r="AB14" s="32" t="n">
        <v>19.85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Headwind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No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3</t>
        </is>
      </c>
      <c r="BH14" s="31">
        <f>IF(BG14="Stage 2",20,IF(BG14="Stage 1",0,IF(BG14="Stage 3",5,IF(BG14="Stage 4",-5,0))))</f>
        <v/>
      </c>
      <c r="BI14" s="31" t="inlineStr">
        <is>
          <t>Negative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Close to 52 week high or retracement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Between 1.5 to 2</t>
        </is>
      </c>
      <c r="BZ14" s="31">
        <f>IF(BY14="Above 2",0,IF(BY14="Between 1.5 to 2",5,IF(BY14="Less than 1.5",10,0)))</f>
        <v/>
      </c>
      <c r="CA14" s="31" t="inlineStr">
        <is>
          <t>Less than 50% and Borrowings are increasing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More than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IF(B15=0,"",RANK(B15,$B$2:$B$19,0))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138.4</v>
      </c>
      <c r="E15" s="32" t="inlineStr">
        <is>
          <t>5%</t>
        </is>
      </c>
      <c r="F15" s="32" t="n">
        <v>50000</v>
      </c>
      <c r="G15" s="32" t="n">
        <v>28</v>
      </c>
      <c r="H15" s="31" t="inlineStr">
        <is>
          <t>ADANIENSOL</t>
        </is>
      </c>
      <c r="I15" s="31" t="inlineStr">
        <is>
          <t>Adani Energy Solutions Ltd</t>
        </is>
      </c>
      <c r="J15" s="31" t="inlineStr">
        <is>
          <t>power &amp; utilities</t>
        </is>
      </c>
      <c r="K15" s="31" t="inlineStr">
        <is>
          <t>power generation and supply</t>
        </is>
      </c>
      <c r="L15" s="31" t="inlineStr">
        <is>
          <t>largecap</t>
        </is>
      </c>
      <c r="M15" s="32" t="n">
        <v>206932.95</v>
      </c>
      <c r="N15" s="32" t="n">
        <v>1729.5</v>
      </c>
      <c r="O15" s="32" t="n">
        <v>0.4</v>
      </c>
      <c r="P15" s="32" t="n">
        <v>1234788</v>
      </c>
      <c r="Q15" s="31" t="n">
        <v>88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75.94</v>
      </c>
      <c r="U15" s="32" t="n">
        <v>50.43</v>
      </c>
      <c r="V15" s="32" t="inlineStr"/>
      <c r="W15" s="31" t="inlineStr">
        <is>
          <t>Earnings / Momentum Support</t>
        </is>
      </c>
      <c r="X15" s="31" t="inlineStr">
        <is>
          <t>Nifty IT</t>
        </is>
      </c>
      <c r="Y15" s="32" t="n">
        <v>-21.31</v>
      </c>
      <c r="Z15" s="32" t="n">
        <v>97.93000000000001</v>
      </c>
      <c r="AA15" s="32" t="n">
        <v>151.54</v>
      </c>
      <c r="AB15" s="32" t="n">
        <v>23.36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Headwind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No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3</t>
        </is>
      </c>
      <c r="BH15" s="31">
        <f>IF(BG15="Stage 2",20,IF(BG15="Stage 1",0,IF(BG15="Stage 3",5,IF(BG15="Stage 4",-5,0))))</f>
        <v/>
      </c>
      <c r="BI15" s="31" t="inlineStr">
        <is>
          <t>Negative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Close to 52 week high or retracement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More than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IF(B16=0,"",RANK(B16,$B$2:$B$19,0))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EMA Crossover</t>
        </is>
      </c>
      <c r="D16" s="32" t="n">
        <v>140.5</v>
      </c>
      <c r="E16" s="32" t="inlineStr">
        <is>
          <t>7%</t>
        </is>
      </c>
      <c r="F16" s="32" t="n">
        <v>70000</v>
      </c>
      <c r="G16" s="32" t="n">
        <v>11</v>
      </c>
      <c r="H16" s="31" t="inlineStr">
        <is>
          <t>ESABINDIA</t>
        </is>
      </c>
      <c r="I16" s="31" t="inlineStr">
        <is>
          <t>Esab India Limited</t>
        </is>
      </c>
      <c r="J16" s="31" t="inlineStr">
        <is>
          <t>industrials</t>
        </is>
      </c>
      <c r="K16" s="31" t="inlineStr">
        <is>
          <t>electrodes - welding equipment</t>
        </is>
      </c>
      <c r="L16" s="31" t="inlineStr">
        <is>
          <t>midcap</t>
        </is>
      </c>
      <c r="M16" s="32" t="n">
        <v>8701.67</v>
      </c>
      <c r="N16" s="32" t="n">
        <v>5910</v>
      </c>
      <c r="O16" s="32" t="n">
        <v>4.55</v>
      </c>
      <c r="P16" s="32" t="n">
        <v>11667</v>
      </c>
      <c r="Q16" s="31" t="n">
        <v>12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47.03</v>
      </c>
      <c r="U16" s="32" t="n">
        <v>27.76</v>
      </c>
      <c r="V16" s="32" t="inlineStr"/>
      <c r="W16" s="31" t="inlineStr">
        <is>
          <t>Earnings / Momentum Support</t>
        </is>
      </c>
      <c r="X16" s="31" t="inlineStr">
        <is>
          <t>Nifty 50</t>
        </is>
      </c>
      <c r="Y16" s="32" t="n">
        <v>-2.54</v>
      </c>
      <c r="Z16" s="32" t="n">
        <v>3.35</v>
      </c>
      <c r="AA16" s="32" t="n">
        <v>6.05</v>
      </c>
      <c r="AB16" s="32" t="n">
        <v>0.8</v>
      </c>
      <c r="AC16" s="31" t="inlineStr">
        <is>
          <t>Cyclical in an Upturn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Headwind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No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Below 45</t>
        </is>
      </c>
      <c r="BF16" s="31">
        <f>IF(BE16="Between 50 to 75",10,IF(BE16="Above 75",0,0))</f>
        <v/>
      </c>
      <c r="BG16" s="31" t="inlineStr">
        <is>
          <t>Stage 3</t>
        </is>
      </c>
      <c r="BH16" s="31">
        <f>IF(BG16="Stage 2",20,IF(BG16="Stage 1",0,IF(BG16="Stage 3",5,IF(BG16="Stage 4",-5,0))))</f>
        <v/>
      </c>
      <c r="BI16" s="31" t="inlineStr">
        <is>
          <t>Negative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Close to 52 week high or retracement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Less than 12%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Between 50% to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IF(B17=0,"",RANK(B17,$B$2:$B$19,0))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138.5</v>
      </c>
      <c r="E17" s="32" t="inlineStr">
        <is>
          <t>5%</t>
        </is>
      </c>
      <c r="F17" s="32" t="n">
        <v>50000</v>
      </c>
      <c r="G17" s="32" t="n">
        <v>16</v>
      </c>
      <c r="H17" s="31" t="inlineStr">
        <is>
          <t>RPGLIFE</t>
        </is>
      </c>
      <c r="I17" s="31" t="inlineStr">
        <is>
          <t>Rpg Life Sciences Limited</t>
        </is>
      </c>
      <c r="J17" s="31" t="inlineStr">
        <is>
          <t>healthcare</t>
        </is>
      </c>
      <c r="K17" s="31" t="inlineStr">
        <is>
          <t>pharmaceuticals - indian - bulk drugs &amp; formln</t>
        </is>
      </c>
      <c r="L17" s="31" t="inlineStr">
        <is>
          <t>smallcap</t>
        </is>
      </c>
      <c r="M17" s="32" t="n">
        <v>4729.83</v>
      </c>
      <c r="N17" s="32" t="n">
        <v>3017.1</v>
      </c>
      <c r="O17" s="32" t="n">
        <v>5.5</v>
      </c>
      <c r="P17" s="32" t="n">
        <v>116123</v>
      </c>
      <c r="Q17" s="31" t="n">
        <v>68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75.08</v>
      </c>
      <c r="U17" s="32" t="n">
        <v>26.5</v>
      </c>
      <c r="V17" s="32" t="inlineStr"/>
      <c r="W17" s="31" t="inlineStr">
        <is>
          <t>Earnings / Momentum Support</t>
        </is>
      </c>
      <c r="X17" s="31" t="inlineStr">
        <is>
          <t>Nifty Pharma</t>
        </is>
      </c>
      <c r="Y17" s="32" t="n">
        <v>13.51</v>
      </c>
      <c r="Z17" s="32" t="n">
        <v>15.18</v>
      </c>
      <c r="AA17" s="32" t="n">
        <v>1.47</v>
      </c>
      <c r="AB17" s="32" t="n">
        <v>13.04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Yes</t>
        </is>
      </c>
      <c r="AH17" s="31">
        <f>IF(AG17="No",5,0)</f>
        <v/>
      </c>
      <c r="AI17" s="31" t="inlineStr">
        <is>
          <t>Headwind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No</t>
        </is>
      </c>
      <c r="AV17" s="31">
        <f>IF(AU17="Yes",10,0)</f>
        <v/>
      </c>
      <c r="AW17" s="31" t="inlineStr">
        <is>
          <t>Higher Annuity, Lower One Time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3</t>
        </is>
      </c>
      <c r="BH17" s="31">
        <f>IF(BG17="Stage 2",20,IF(BG17="Stage 1",0,IF(BG17="Stage 3",5,IF(BG17="Stage 4",-5,0))))</f>
        <v/>
      </c>
      <c r="BI17" s="31" t="inlineStr">
        <is>
          <t>Negative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Close to 52 week high or retracement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Less than 50%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IF(B18=0,"",RANK(B18,$B$2:$B$19,0))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139.2</v>
      </c>
      <c r="E18" s="32" t="inlineStr">
        <is>
          <t>5%</t>
        </is>
      </c>
      <c r="F18" s="32" t="n">
        <v>50000</v>
      </c>
      <c r="G18" s="32" t="n">
        <v>10</v>
      </c>
      <c r="H18" s="31" t="inlineStr">
        <is>
          <t>TITAN</t>
        </is>
      </c>
      <c r="I18" s="31" t="inlineStr">
        <is>
          <t>Titan Company Limited</t>
        </is>
      </c>
      <c r="J18" s="31" t="inlineStr">
        <is>
          <t>consumer discretionary</t>
        </is>
      </c>
      <c r="K18" s="31" t="inlineStr">
        <is>
          <t>diamond cutting / jewellery</t>
        </is>
      </c>
      <c r="L18" s="31" t="inlineStr">
        <is>
          <t>largecap</t>
        </is>
      </c>
      <c r="M18" s="32" t="n">
        <v>411764.1</v>
      </c>
      <c r="N18" s="32" t="n">
        <v>4643.4</v>
      </c>
      <c r="O18" s="32" t="n">
        <v>0.11</v>
      </c>
      <c r="P18" s="32" t="n">
        <v>274218</v>
      </c>
      <c r="Q18" s="31" t="n">
        <v>44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63.06</v>
      </c>
      <c r="U18" s="32" t="n">
        <v>17.13</v>
      </c>
      <c r="V18" s="32" t="inlineStr"/>
      <c r="W18" s="31" t="inlineStr">
        <is>
          <t>Earnings / Momentum Support</t>
        </is>
      </c>
      <c r="X18" s="31" t="inlineStr">
        <is>
          <t>Nifty 50</t>
        </is>
      </c>
      <c r="Y18" s="32" t="n">
        <v>-2.54</v>
      </c>
      <c r="Z18" s="32" t="n">
        <v>36.75</v>
      </c>
      <c r="AA18" s="32" t="n">
        <v>40.31</v>
      </c>
      <c r="AB18" s="32" t="n">
        <v>7.13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Headwind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No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0 to 20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3</t>
        </is>
      </c>
      <c r="BH18" s="31">
        <f>IF(BG18="Stage 2",20,IF(BG18="Stage 1",0,IF(BG18="Stage 3",5,IF(BG18="Stage 4",-5,0))))</f>
        <v/>
      </c>
      <c r="BI18" s="31" t="inlineStr">
        <is>
          <t>Negative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Close to 52 week high or retracement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More than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IF(B19=0,"",RANK(B19,$B$2:$B$19,0))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139.6</v>
      </c>
      <c r="E19" s="32" t="inlineStr">
        <is>
          <t>5%</t>
        </is>
      </c>
      <c r="F19" s="32" t="n">
        <v>50000</v>
      </c>
      <c r="G19" s="32" t="n">
        <v>26</v>
      </c>
      <c r="H19" s="33" t="inlineStr">
        <is>
          <t>LLOYDSME</t>
        </is>
      </c>
      <c r="I19" s="33" t="inlineStr">
        <is>
          <t>Lloyds Metals &amp; Energy Ltd</t>
        </is>
      </c>
      <c r="J19" s="31" t="inlineStr">
        <is>
          <t>metals &amp; mining</t>
        </is>
      </c>
      <c r="K19" s="31" t="inlineStr">
        <is>
          <t>mining / minerals / metals</t>
        </is>
      </c>
      <c r="L19" s="31" t="inlineStr">
        <is>
          <t>largecap</t>
        </is>
      </c>
      <c r="M19" s="32" t="n">
        <v>105004.66</v>
      </c>
      <c r="N19" s="32" t="n">
        <v>1907.9</v>
      </c>
      <c r="O19" s="32" t="n">
        <v>2.28</v>
      </c>
      <c r="P19" s="32" t="n">
        <v>679437</v>
      </c>
      <c r="Q19" s="31" t="n">
        <v>52</v>
      </c>
      <c r="R19" s="31" t="inlineStr">
        <is>
          <t>Underperforming</t>
        </is>
      </c>
      <c r="S19" s="32">
        <f>IF(R19="Underperforming",-5,IF(Q19&gt;=95,15,IF(Q19&gt;=90,10,IF(Q19&gt;=80,5,0))))</f>
        <v/>
      </c>
      <c r="T19" s="32" t="n">
        <v>71.61</v>
      </c>
      <c r="U19" s="32" t="n">
        <v>44.27</v>
      </c>
      <c r="V19" s="32" t="inlineStr"/>
      <c r="W19" s="31" t="inlineStr">
        <is>
          <t>Earnings / Momentum Support</t>
        </is>
      </c>
      <c r="X19" s="31" t="inlineStr">
        <is>
          <t>Nifty Metal</t>
        </is>
      </c>
      <c r="Y19" s="32" t="n">
        <v>31.49</v>
      </c>
      <c r="Z19" s="32" t="n">
        <v>26.75</v>
      </c>
      <c r="AA19" s="32" t="n">
        <v>-3.61</v>
      </c>
      <c r="AB19" s="32" t="n">
        <v>8.960000000000001</v>
      </c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Headwind</t>
        </is>
      </c>
      <c r="AJ19" s="31">
        <f>IF(AI19="Tailwind",10,0)</f>
        <v/>
      </c>
      <c r="AK19" s="31" t="inlineStr">
        <is>
          <t>Cyclical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Volatile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No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Above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3</t>
        </is>
      </c>
      <c r="BH19" s="31">
        <f>IF(BG19="Stage 2",20,IF(BG19="Stage 1",0,IF(BG19="Stage 3",5,IF(BG19="Stage 4",-5,0))))</f>
        <v/>
      </c>
      <c r="BI19" s="31" t="inlineStr">
        <is>
          <t>Negative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Close to 52 week high or retracement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Less than 50% and Borrowings are increasing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More than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</sheetData>
  <autoFilter ref="A1:CJ19"/>
  <conditionalFormatting sqref="B2:B1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9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9">
    <cfRule type="cellIs" priority="36" operator="equal" dxfId="3" stopIfTrue="1">
      <formula>"Underperforming"</formula>
    </cfRule>
  </conditionalFormatting>
  <conditionalFormatting sqref="S2:S19">
    <cfRule type="cellIs" priority="37" operator="equal" dxfId="3" stopIfTrue="1">
      <formula>-5</formula>
    </cfRule>
  </conditionalFormatting>
  <conditionalFormatting sqref="V2:V19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9" showDropDown="0" showInputMessage="0" showErrorMessage="0" allowBlank="1" type="list">
      <formula1>"Growing Industry,Stagnant Industry,Cyclical in an Upturn"</formula1>
    </dataValidation>
    <dataValidation sqref="AE2:AE1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9" showDropDown="0" showInputMessage="0" showErrorMessage="0" allowBlank="1" type="list">
      <formula1>"Yes,No"</formula1>
    </dataValidation>
    <dataValidation sqref="AI2:AI19" showDropDown="0" showInputMessage="0" showErrorMessage="0" allowBlank="1" type="list">
      <formula1>"Tailwind,Headwind"</formula1>
    </dataValidation>
    <dataValidation sqref="AK2:AK19" showDropDown="0" showInputMessage="0" showErrorMessage="0" allowBlank="1" type="list">
      <formula1>"Structural (10 Years Consistency),Shallow Cyclical (2 to 3 Years Growth),Cyclical"</formula1>
    </dataValidation>
    <dataValidation sqref="AM2:AM19" showDropDown="0" showInputMessage="0" showErrorMessage="0" allowBlank="1" type="list">
      <formula1>"Yes due to Product Mix change or Operating Leverage,Yes, these are peak margins,No"</formula1>
    </dataValidation>
    <dataValidation sqref="AO2:AO19" showDropDown="0" showInputMessage="0" showErrorMessage="0" allowBlank="1" type="list">
      <formula1>"Stable,Volatile"</formula1>
    </dataValidation>
    <dataValidation sqref="AQ2:AQ19" showDropDown="0" showInputMessage="0" showErrorMessage="0" allowBlank="1" type="list">
      <formula1>"Yes,No"</formula1>
    </dataValidation>
    <dataValidation sqref="AS2:AS19" showDropDown="0" showInputMessage="0" showErrorMessage="0" allowBlank="1" type="list">
      <formula1>"B2C,B2B,B2G"</formula1>
    </dataValidation>
    <dataValidation sqref="AU2:AU19" showDropDown="0" showInputMessage="0" showErrorMessage="0" allowBlank="1" type="list">
      <formula1>"Yes,No"</formula1>
    </dataValidation>
    <dataValidation sqref="AW2:AW19" showDropDown="0" showInputMessage="0" showErrorMessage="0" allowBlank="1" type="list">
      <formula1>"Fully Annuity,Higher Annuity, Lower One time,Higher One Time, Lower Annuity,Fully One Time"</formula1>
    </dataValidation>
    <dataValidation sqref="AY2:AY19" showDropDown="0" showInputMessage="0" showErrorMessage="0" allowBlank="1" type="list">
      <formula1>"Good,Allocated capital in Non-core Areas"</formula1>
    </dataValidation>
    <dataValidation sqref="BA2:BA19" showDropDown="0" showInputMessage="0" showErrorMessage="0" allowBlank="1" type="list">
      <formula1>"Yes for more than 2 years,Yes only for next 1 to 2 years,No"</formula1>
    </dataValidation>
    <dataValidation sqref="BC2:BC19" showDropDown="0" showInputMessage="0" showErrorMessage="0" allowBlank="1" type="list">
      <formula1>"Above 40,20 to 40,0 to 20"</formula1>
    </dataValidation>
    <dataValidation sqref="BE2:BE19" showDropDown="0" showInputMessage="0" showErrorMessage="0" allowBlank="1" type="list">
      <formula1>"Between 50 to 75,Above 75,Below 45"</formula1>
    </dataValidation>
    <dataValidation sqref="BG2:BG19" showDropDown="0" showInputMessage="0" showErrorMessage="0" allowBlank="1" type="list">
      <formula1>"Stage 1,Stage 2,Stage 3,Stage 4"</formula1>
    </dataValidation>
    <dataValidation sqref="BI2:BI19" showDropDown="0" showInputMessage="0" showErrorMessage="0" allowBlank="1" type="list">
      <formula1>"Positive Trend,Negative Trend"</formula1>
    </dataValidation>
    <dataValidation sqref="BK2:BK19" showDropDown="0" showInputMessage="0" showErrorMessage="0" allowBlank="1" type="list">
      <formula1>"Uptrend,Sideways,Downtrend"</formula1>
    </dataValidation>
    <dataValidation sqref="BM2:BM19" showDropDown="0" showInputMessage="0" showErrorMessage="0" allowBlank="1" type="list">
      <formula1>"Uptrend,Sideways,Downtrend"</formula1>
    </dataValidation>
    <dataValidation sqref="BO2:BO1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9" showDropDown="0" showInputMessage="0" showErrorMessage="0" allowBlank="1" type="list">
      <formula1>"Yes,No"</formula1>
    </dataValidation>
    <dataValidation sqref="BS2:BS19" showDropDown="0" showInputMessage="0" showErrorMessage="0" allowBlank="1" type="list">
      <formula1>"More than 20%,Between 12 to 20%,Less than 12%"</formula1>
    </dataValidation>
    <dataValidation sqref="BU2:BU19" showDropDown="0" showInputMessage="0" showErrorMessage="0" allowBlank="1" type="list">
      <formula1>"Yes,No"</formula1>
    </dataValidation>
    <dataValidation sqref="BW2:BW19" showDropDown="0" showInputMessage="0" showErrorMessage="0" allowBlank="1" type="list">
      <formula1>"Yes,No"</formula1>
    </dataValidation>
    <dataValidation sqref="BY2:BY19" showDropDown="0" showInputMessage="0" showErrorMessage="0" allowBlank="1" type="list">
      <formula1>"Above 2,Between 1.5 to 2,Less than 1.5"</formula1>
    </dataValidation>
    <dataValidation sqref="CA2:CA19" showDropDown="0" showInputMessage="0" showErrorMessage="0" allowBlank="1" type="list">
      <formula1>"Above 70%,Between 50% to 70%,Less than 50%,Less than 50% and Borrowings are increasing,Negative"</formula1>
    </dataValidation>
    <dataValidation sqref="CC2:CC19" showDropDown="0" showInputMessage="0" showErrorMessage="0" allowBlank="1" type="list">
      <formula1>"More than 1.2,Between 0.7 to 1.2,Less than 0.7"</formula1>
    </dataValidation>
    <dataValidation sqref="CE2:CE19" showDropDown="0" showInputMessage="0" showErrorMessage="0" allowBlank="1" type="list">
      <formula1>"Yes,No"</formula1>
    </dataValidation>
    <dataValidation sqref="CG2:CG19" showDropDown="0" showInputMessage="0" showErrorMessage="0" allowBlank="1" type="list">
      <formula1>"More than 15%,Less than 15%"</formula1>
    </dataValidation>
    <dataValidation sqref="CI2:CI1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5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IF(B2=0,"",RANK(B2,$B$2:$B$5,0))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139.6</v>
      </c>
      <c r="E2" s="32" t="inlineStr">
        <is>
          <t>5%</t>
        </is>
      </c>
      <c r="F2" s="32" t="n">
        <v>50000</v>
      </c>
      <c r="G2" s="32" t="n">
        <v>142</v>
      </c>
      <c r="H2" s="31" t="inlineStr">
        <is>
          <t>FEDERALBNK</t>
        </is>
      </c>
      <c r="I2" s="31" t="inlineStr">
        <is>
          <t>The Federal Bank  Limited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largecap</t>
        </is>
      </c>
      <c r="M2" s="32" t="n">
        <v>86003.45</v>
      </c>
      <c r="N2" s="32" t="n">
        <v>350.75</v>
      </c>
      <c r="O2" s="32" t="n">
        <v>0.5</v>
      </c>
      <c r="P2" s="32" t="n">
        <v>10483345</v>
      </c>
      <c r="Q2" s="31" t="n">
        <v>72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76.70999999999999</v>
      </c>
      <c r="U2" s="32" t="n">
        <v>29.26</v>
      </c>
      <c r="V2" s="32" t="inlineStr"/>
      <c r="W2" s="31" t="inlineStr">
        <is>
          <t>Earnings / Momentum Support</t>
        </is>
      </c>
      <c r="X2" s="31" t="inlineStr">
        <is>
          <t>Nifty Bank</t>
        </is>
      </c>
      <c r="Y2" s="32" t="n">
        <v>3.98</v>
      </c>
      <c r="Z2" s="32" t="n">
        <v>65.25</v>
      </c>
      <c r="AA2" s="32" t="n">
        <v>58.93</v>
      </c>
      <c r="AB2" s="32" t="n">
        <v>14.82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Headwind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No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3</t>
        </is>
      </c>
      <c r="BV2" s="31">
        <f>IF(BU2="Stage 2",20,IF(BU2="Stage 1",0,IF(BU2="Stage 3",5,IF(BU2="Stage 4",-5,0))))</f>
        <v/>
      </c>
      <c r="BW2" s="31" t="inlineStr">
        <is>
          <t>Negative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Close to 52 week high or retracement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IF(B3=0,"",RANK(B3,$B$2:$B$5,0))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139.3</v>
      </c>
      <c r="E3" s="32" t="inlineStr">
        <is>
          <t>5%</t>
        </is>
      </c>
      <c r="F3" s="32" t="n">
        <v>50000</v>
      </c>
      <c r="G3" s="32" t="n">
        <v>197</v>
      </c>
      <c r="H3" s="31" t="inlineStr">
        <is>
          <t>MUTHOOTMF</t>
        </is>
      </c>
      <c r="I3" s="31" t="inlineStr">
        <is>
          <t>Muthoot Microfin Ltd</t>
        </is>
      </c>
      <c r="J3" s="31" t="inlineStr">
        <is>
          <t>financials</t>
        </is>
      </c>
      <c r="K3" s="31" t="inlineStr">
        <is>
          <t>finance &amp; investments</t>
        </is>
      </c>
      <c r="L3" s="31" t="inlineStr">
        <is>
          <t>smallcap</t>
        </is>
      </c>
      <c r="M3" s="32" t="n">
        <v>4092.84</v>
      </c>
      <c r="N3" s="32" t="n">
        <v>253.29</v>
      </c>
      <c r="O3" s="32" t="n">
        <v>5.51</v>
      </c>
      <c r="P3" s="32" t="n">
        <v>1239974</v>
      </c>
      <c r="Q3" s="31" t="n">
        <v>75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73.97</v>
      </c>
      <c r="U3" s="32" t="n">
        <v>39.34</v>
      </c>
      <c r="V3" s="32" t="inlineStr"/>
      <c r="W3" s="31" t="inlineStr">
        <is>
          <t>Earnings / Momentum Support</t>
        </is>
      </c>
      <c r="X3" s="31" t="inlineStr">
        <is>
          <t>Nifty Bank</t>
        </is>
      </c>
      <c r="Y3" s="32" t="n">
        <v>3.98</v>
      </c>
      <c r="Z3" s="32" t="n">
        <v>44.52</v>
      </c>
      <c r="AA3" s="32" t="n">
        <v>38.99</v>
      </c>
      <c r="AB3" s="32" t="n">
        <v>15.78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Headwind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No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less than 2.5x and Growth less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20 to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3</t>
        </is>
      </c>
      <c r="BV3" s="31">
        <f>IF(BU3="Stage 2",20,IF(BU3="Stage 1",0,IF(BU3="Stage 3",5,IF(BU3="Stage 4",-5,0))))</f>
        <v/>
      </c>
      <c r="BW3" s="31" t="inlineStr">
        <is>
          <t>Negative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Close to 52 week high or retracement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IF(B4=0,"",RANK(B4,$B$2:$B$5,0))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138.6</v>
      </c>
      <c r="E4" s="32" t="inlineStr">
        <is>
          <t>5%</t>
        </is>
      </c>
      <c r="F4" s="32" t="n">
        <v>50000</v>
      </c>
      <c r="G4" s="32" t="n">
        <v>176</v>
      </c>
      <c r="H4" s="31" t="inlineStr">
        <is>
          <t>CONSOFINVT</t>
        </is>
      </c>
      <c r="I4" s="31" t="inlineStr">
        <is>
          <t>Consolidated Finvest &amp; Holdings Limited</t>
        </is>
      </c>
      <c r="J4" s="31" t="inlineStr">
        <is>
          <t>financials</t>
        </is>
      </c>
      <c r="K4" s="31" t="inlineStr">
        <is>
          <t>finance &amp; investments</t>
        </is>
      </c>
      <c r="L4" s="31" t="inlineStr">
        <is>
          <t>smallcap</t>
        </is>
      </c>
      <c r="M4" s="32" t="n">
        <v>901.9400000000001</v>
      </c>
      <c r="N4" s="32" t="n">
        <v>284.3</v>
      </c>
      <c r="O4" s="32" t="n">
        <v>1.9</v>
      </c>
      <c r="P4" s="32" t="n">
        <v>18137</v>
      </c>
      <c r="Q4" s="31" t="n">
        <v>68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74.34999999999999</v>
      </c>
      <c r="U4" s="32" t="n">
        <v>27</v>
      </c>
      <c r="V4" s="32" t="inlineStr"/>
      <c r="W4" s="31" t="inlineStr">
        <is>
          <t>Earnings / Momentum Support</t>
        </is>
      </c>
      <c r="X4" s="31" t="inlineStr">
        <is>
          <t>Nifty Bank</t>
        </is>
      </c>
      <c r="Y4" s="32" t="n">
        <v>3.98</v>
      </c>
      <c r="Z4" s="32" t="n">
        <v>37.04</v>
      </c>
      <c r="AA4" s="32" t="n">
        <v>31.8</v>
      </c>
      <c r="AB4" s="32" t="n">
        <v>13.06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Headwind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No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less than 2.5x and Growth less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20 to 40</t>
        </is>
      </c>
      <c r="BR4" s="31">
        <f>IF(BQ4="Above 40",20,IF(BQ4="20 to 40",10,IF(BQ4="0 to 20",-5,0)))</f>
        <v/>
      </c>
      <c r="BS4" s="31" t="inlineStr">
        <is>
          <t>Between 50 to 75</t>
        </is>
      </c>
      <c r="BT4" s="31">
        <f>IF(BS4="Between 50 to 75",10,IF(BS4="Above 75",0,0))</f>
        <v/>
      </c>
      <c r="BU4" s="31" t="inlineStr">
        <is>
          <t>Stage 3</t>
        </is>
      </c>
      <c r="BV4" s="31">
        <f>IF(BU4="Stage 2",20,IF(BU4="Stage 1",0,IF(BU4="Stage 3",5,IF(BU4="Stage 4",-5,0))))</f>
        <v/>
      </c>
      <c r="BW4" s="31" t="inlineStr">
        <is>
          <t>Negative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Close to 52 week high or retracement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  <row r="5">
      <c r="A5" s="31">
        <f>IF(B5=0,"",RANK(B5,$B$2:$B$5,0))</f>
        <v/>
      </c>
      <c r="B5" s="32">
        <f>SUM(S5,AD5,AF5,AH5,AJ5,AL5,AN5,AP5,AR5,AT5,AV5,AX5,AZ5,BB5,BD5,BF5,BH5,BJ5,BL5,BN5,BP5,BR5,BT5,BV5,BX5,BZ5,CB5,CD5,CF5)</f>
        <v/>
      </c>
      <c r="C5" s="31" t="inlineStr">
        <is>
          <t>EMA Crossover</t>
        </is>
      </c>
      <c r="D5" s="32" t="n">
        <v>145.1</v>
      </c>
      <c r="E5" s="32" t="inlineStr">
        <is>
          <t>7%</t>
        </is>
      </c>
      <c r="F5" s="32" t="n">
        <v>70000</v>
      </c>
      <c r="G5" s="32" t="n">
        <v>626</v>
      </c>
      <c r="H5" s="33" t="inlineStr">
        <is>
          <t>PNB</t>
        </is>
      </c>
      <c r="I5" s="33" t="inlineStr">
        <is>
          <t>Punjab National Bank Ltd</t>
        </is>
      </c>
      <c r="J5" s="31" t="inlineStr">
        <is>
          <t>bank</t>
        </is>
      </c>
      <c r="K5" s="31" t="inlineStr">
        <is>
          <t>banks - public sector</t>
        </is>
      </c>
      <c r="L5" s="31" t="inlineStr">
        <is>
          <t>largecap</t>
        </is>
      </c>
      <c r="M5" s="32" t="n">
        <v>121560.86</v>
      </c>
      <c r="N5" s="32" t="n">
        <v>111.76</v>
      </c>
      <c r="O5" s="32" t="n">
        <v>5.66</v>
      </c>
      <c r="P5" s="32" t="n">
        <v>118992976</v>
      </c>
      <c r="Q5" s="31" t="n">
        <v>5</v>
      </c>
      <c r="R5" s="31" t="inlineStr">
        <is>
          <t>Underperforming</t>
        </is>
      </c>
      <c r="S5" s="32">
        <f>IF(R5="Underperforming",-5,IF(Q5&gt;=95,15,IF(Q5&gt;=90,10,IF(Q5&gt;=80,5,0))))</f>
        <v/>
      </c>
      <c r="T5" s="32" t="n">
        <v>46.67</v>
      </c>
      <c r="U5" s="32" t="n">
        <v>10.51</v>
      </c>
      <c r="V5" s="32" t="inlineStr"/>
      <c r="W5" s="31" t="inlineStr">
        <is>
          <t>Earnings / Momentum Support</t>
        </is>
      </c>
      <c r="X5" s="31" t="inlineStr">
        <is>
          <t>Nifty Bank</t>
        </is>
      </c>
      <c r="Y5" s="32" t="n">
        <v>3.98</v>
      </c>
      <c r="Z5" s="32" t="n">
        <v>-3.97</v>
      </c>
      <c r="AA5" s="32" t="n">
        <v>-7.65</v>
      </c>
      <c r="AB5" s="32" t="n">
        <v>-1.33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Fragmented with High ROE</t>
        </is>
      </c>
      <c r="AF5" s="31">
        <f>IF(AE5="Fragmented with Low ROE",-5,IF(AE5="Fragmented with High ROE",10,IF(AE5= "highly cyclical",5,0)))</f>
        <v/>
      </c>
      <c r="AG5" s="31" t="inlineStr">
        <is>
          <t>Yes</t>
        </is>
      </c>
      <c r="AH5" s="31">
        <f>IF(AG5="No",5,0)</f>
        <v/>
      </c>
      <c r="AI5" s="31" t="inlineStr">
        <is>
          <t>Headwind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Consistency)",15,IF(AK5="Shallow Cyclical (2 to 3 years growth)",10,IF(AK5 = "Cyclical in an Uptick",5,IF(AK5 = "Cyclical in an Downtick",-10,0))))</f>
        <v/>
      </c>
      <c r="AM5" s="31" t="inlineStr">
        <is>
          <t>Yes</t>
        </is>
      </c>
      <c r="AN5" s="31">
        <f>IF(AM5="Yes",10,0)</f>
        <v/>
      </c>
      <c r="AO5" s="31" t="inlineStr">
        <is>
          <t>Yes</t>
        </is>
      </c>
      <c r="AP5" s="31">
        <f>IF(AO5="Yes",10,0)</f>
        <v/>
      </c>
      <c r="AQ5" s="31" t="n"/>
      <c r="AR5" s="31">
        <f>IF(AQ5="No",10,0)</f>
        <v/>
      </c>
      <c r="AS5" s="31" t="inlineStr">
        <is>
          <t>Yes</t>
        </is>
      </c>
      <c r="AT5" s="31">
        <f>IF(AS5="Yes",10,0)</f>
        <v/>
      </c>
      <c r="AU5" s="31" t="inlineStr">
        <is>
          <t>No</t>
        </is>
      </c>
      <c r="AV5" s="31">
        <f>IF(AU5="Yes",10,0)</f>
        <v/>
      </c>
      <c r="AW5" s="31" t="inlineStr">
        <is>
          <t>Yes</t>
        </is>
      </c>
      <c r="AX5" s="31">
        <f>IF(AW5="Yes",5,0)</f>
        <v/>
      </c>
      <c r="AY5" s="31" t="inlineStr">
        <is>
          <t>No</t>
        </is>
      </c>
      <c r="AZ5" s="31">
        <f>IF(AY5="No",10,IF(AY5="Yes",-10,0))</f>
        <v/>
      </c>
      <c r="BA5" s="31" t="inlineStr">
        <is>
          <t>No</t>
        </is>
      </c>
      <c r="BB5" s="31">
        <f>IF(BA5="No",10,0)</f>
        <v/>
      </c>
      <c r="BC5" s="31" t="inlineStr">
        <is>
          <t>No</t>
        </is>
      </c>
      <c r="BD5" s="31">
        <f>IF(BC5="No",10,IF(BC5= "Yes CEO Resignation",-5,0))</f>
        <v/>
      </c>
      <c r="BE5" s="31" t="inlineStr">
        <is>
          <t>No</t>
        </is>
      </c>
      <c r="BF5" s="31">
        <f>IF(BE5="No",10,IF(BE5="Yes",-5,0))</f>
        <v/>
      </c>
      <c r="BG5" s="31" t="inlineStr">
        <is>
          <t>No</t>
        </is>
      </c>
      <c r="BH5" s="31">
        <f>IF(BG5="No",5,IF(BG5="Yes",-5,0))</f>
        <v/>
      </c>
      <c r="BI5" s="31" t="inlineStr">
        <is>
          <t>Yes</t>
        </is>
      </c>
      <c r="BJ5" s="31">
        <f>IF(BI5="Yes",10,0)</f>
        <v/>
      </c>
      <c r="BK5" s="31" t="inlineStr">
        <is>
          <t>Yes</t>
        </is>
      </c>
      <c r="BL5" s="31">
        <f>IF(BK5="Yes",10,0)</f>
        <v/>
      </c>
      <c r="BM5" s="31" t="inlineStr">
        <is>
          <t>Yes</t>
        </is>
      </c>
      <c r="BN5" s="31">
        <f>IF(BM5="Yes",10,0)</f>
        <v/>
      </c>
      <c r="BO5" s="31" t="inlineStr">
        <is>
          <t>P/BV less than 2.5x and Growth less than 20%</t>
        </is>
      </c>
      <c r="BP5" s="31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1" t="inlineStr">
        <is>
          <t>0 to 20</t>
        </is>
      </c>
      <c r="BR5" s="31">
        <f>IF(BQ5="Above 40",20,IF(BQ5="20 to 40",10,IF(BQ5="0 to 20",-5,0)))</f>
        <v/>
      </c>
      <c r="BS5" s="31" t="inlineStr">
        <is>
          <t>Below 45</t>
        </is>
      </c>
      <c r="BT5" s="31">
        <f>IF(BS5="Between 50 to 75",10,IF(BS5="Above 75",0,0))</f>
        <v/>
      </c>
      <c r="BU5" s="31" t="inlineStr">
        <is>
          <t>Stage 4</t>
        </is>
      </c>
      <c r="BV5" s="31">
        <f>IF(BU5="Stage 2",20,IF(BU5="Stage 1",0,IF(BU5="Stage 3",5,IF(BU5="Stage 4",-5,0))))</f>
        <v/>
      </c>
      <c r="BW5" s="31" t="inlineStr">
        <is>
          <t>Negative Trend</t>
        </is>
      </c>
      <c r="BX5" s="31">
        <f>IF(BW5="Positive Trend",20,IF(BW5="Negative Trend",-10,0))</f>
        <v/>
      </c>
      <c r="BY5" s="31" t="inlineStr">
        <is>
          <t>Uptrend</t>
        </is>
      </c>
      <c r="BZ5" s="31">
        <f>IF(BY5="Uptrend",10,IF(BY5="Sideways",5,0))</f>
        <v/>
      </c>
      <c r="CA5" s="31" t="inlineStr">
        <is>
          <t>Uptrend</t>
        </is>
      </c>
      <c r="CB5" s="31">
        <f>IF(CA5="Uptrend",10,IF(CA5="Sideways",5,0))</f>
        <v/>
      </c>
      <c r="CC5" s="31" t="inlineStr">
        <is>
          <t>Close to 52 week high or retracement</t>
        </is>
      </c>
      <c r="CD5" s="31">
        <f>IF(CC5="Overhead supply in last 2 years in last 2 years",-5,IF(CC5="Close to 52 week high or retracement",5,IF(CC5="Blue sky scenario",10,IF(CC5="Long term Downtrend",-10,0))))</f>
        <v/>
      </c>
      <c r="CE5" s="31" t="inlineStr">
        <is>
          <t>Yes</t>
        </is>
      </c>
      <c r="CF5" s="31">
        <f>IF(CE5="Yes",10,0)</f>
        <v/>
      </c>
    </row>
  </sheetData>
  <autoFilter ref="A1:CF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5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5">
    <cfRule type="cellIs" priority="34" operator="equal" dxfId="3" stopIfTrue="1">
      <formula>"Underperforming"</formula>
    </cfRule>
  </conditionalFormatting>
  <conditionalFormatting sqref="S2:S5">
    <cfRule type="cellIs" priority="35" operator="equal" dxfId="3" stopIfTrue="1">
      <formula>-5</formula>
    </cfRule>
  </conditionalFormatting>
  <conditionalFormatting sqref="V2:V5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5" showDropDown="0" showInputMessage="0" showErrorMessage="0" allowBlank="1" type="list">
      <formula1>"Growing Industry,Stagnant Industry,Cyclical in an Upturn"</formula1>
    </dataValidation>
    <dataValidation sqref="AE2:AE5" showDropDown="0" showInputMessage="0" showErrorMessage="0" allowBlank="1" type="list">
      <formula1>"Fragmented with Low ROE,Fragmented with High ROE,Highly Cyclical"</formula1>
    </dataValidation>
    <dataValidation sqref="AG2:AG5" showDropDown="0" showInputMessage="0" showErrorMessage="0" allowBlank="1" type="list">
      <formula1>"Yes,No"</formula1>
    </dataValidation>
    <dataValidation sqref="AI2:AI5" showDropDown="0" showInputMessage="0" showErrorMessage="0" allowBlank="1" type="list">
      <formula1>"Tailwind,Headwind"</formula1>
    </dataValidation>
    <dataValidation sqref="AK2:AK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5" showDropDown="0" showInputMessage="0" showErrorMessage="0" allowBlank="1" type="list">
      <formula1>"Yes,No"</formula1>
    </dataValidation>
    <dataValidation sqref="AO2:AO5" showDropDown="0" showInputMessage="0" showErrorMessage="0" allowBlank="1" type="list">
      <formula1>"Yes,No,Not Applicable"</formula1>
    </dataValidation>
    <dataValidation sqref="AQ2:AQ5" showDropDown="0" showInputMessage="0" showErrorMessage="0" allowBlank="1" type="list">
      <formula1>"Yes,No"</formula1>
    </dataValidation>
    <dataValidation sqref="AS2:AS5" showDropDown="0" showInputMessage="0" showErrorMessage="0" allowBlank="1" type="list">
      <formula1>"Yes,No"</formula1>
    </dataValidation>
    <dataValidation sqref="AU2:AU5" showDropDown="0" showInputMessage="0" showErrorMessage="0" allowBlank="1" type="list">
      <formula1>"Yes,No"</formula1>
    </dataValidation>
    <dataValidation sqref="AW2:AW5" showDropDown="0" showInputMessage="0" showErrorMessage="0" allowBlank="1" type="list">
      <formula1>"Yes,No"</formula1>
    </dataValidation>
    <dataValidation sqref="AY2:AY5" showDropDown="0" showInputMessage="0" showErrorMessage="0" allowBlank="1" type="list">
      <formula1>"No,Yes"</formula1>
    </dataValidation>
    <dataValidation sqref="BA2:BA5" showDropDown="0" showInputMessage="0" showErrorMessage="0" allowBlank="1" type="list">
      <formula1>"No,Yes"</formula1>
    </dataValidation>
    <dataValidation sqref="BC2:BC5" showDropDown="0" showInputMessage="0" showErrorMessage="0" allowBlank="1" type="list">
      <formula1>"No,Yes CEO Resignation,Yes CEO Retirement"</formula1>
    </dataValidation>
    <dataValidation sqref="BE2:BE5" showDropDown="0" showInputMessage="0" showErrorMessage="0" allowBlank="1" type="list">
      <formula1>"No,Yes"</formula1>
    </dataValidation>
    <dataValidation sqref="BG2:BG5" showDropDown="0" showInputMessage="0" showErrorMessage="0" allowBlank="1" type="list">
      <formula1>"No,Yes"</formula1>
    </dataValidation>
    <dataValidation sqref="BI2:BI5" showDropDown="0" showInputMessage="0" showErrorMessage="0" allowBlank="1" type="list">
      <formula1>"Yes,No"</formula1>
    </dataValidation>
    <dataValidation sqref="BK2:BK5" showDropDown="0" showInputMessage="0" showErrorMessage="0" allowBlank="1" type="list">
      <formula1>"Yes,No"</formula1>
    </dataValidation>
    <dataValidation sqref="BM2:BM5" showDropDown="0" showInputMessage="0" showErrorMessage="0" allowBlank="1" type="list">
      <formula1>"Yes,No"</formula1>
    </dataValidation>
    <dataValidation sqref="BO2:BO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5" showDropDown="0" showInputMessage="0" showErrorMessage="0" allowBlank="1" type="list">
      <formula1>"Above 40,20 to 40,0 to 20"</formula1>
    </dataValidation>
    <dataValidation sqref="BS2:BS5" showDropDown="0" showInputMessage="0" showErrorMessage="0" allowBlank="1" type="list">
      <formula1>"Between 50 to 75,Above 75,Below 45"</formula1>
    </dataValidation>
    <dataValidation sqref="BU2:BU5" showDropDown="0" showInputMessage="0" showErrorMessage="0" allowBlank="1" type="list">
      <formula1>"Stage 1,Stage 2,Stage 3,Stage 4"</formula1>
    </dataValidation>
    <dataValidation sqref="BW2:BW5" showDropDown="0" showInputMessage="0" showErrorMessage="0" allowBlank="1" type="list">
      <formula1>"Positive Trend,Negative Trend"</formula1>
    </dataValidation>
    <dataValidation sqref="BY2:BY5" showDropDown="0" showInputMessage="0" showErrorMessage="0" allowBlank="1" type="list">
      <formula1>"Uptrend,Sideways,Downtrend"</formula1>
    </dataValidation>
    <dataValidation sqref="CA2:CA5" showDropDown="0" showInputMessage="0" showErrorMessage="0" allowBlank="1" type="list">
      <formula1>"Uptrend,Sideways,Downtrend"</formula1>
    </dataValidation>
    <dataValidation sqref="CC2:CC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8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IF(B2=0,"",RANK(B2,$B$2:$B$86,0))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ACCENTMIC</t>
        </is>
      </c>
      <c r="D2" s="31" t="inlineStr">
        <is>
          <t>Accent Microcell Ltd</t>
        </is>
      </c>
      <c r="E2" s="31" t="inlineStr">
        <is>
          <t>unknown</t>
        </is>
      </c>
      <c r="F2" s="31" t="inlineStr">
        <is>
          <t>Pharma - Formulators</t>
        </is>
      </c>
      <c r="G2" s="31" t="inlineStr">
        <is>
          <t>smallcap</t>
        </is>
      </c>
      <c r="H2" s="32" t="n">
        <v>1271.42</v>
      </c>
      <c r="I2" s="32" t="n">
        <v>530</v>
      </c>
      <c r="J2" s="32" t="n">
        <v>3.23</v>
      </c>
      <c r="K2" s="32" t="n">
        <v>0</v>
      </c>
      <c r="L2" s="31" t="n">
        <v>78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73.7</v>
      </c>
      <c r="P2" s="32" t="n">
        <v>62.65</v>
      </c>
      <c r="Q2" s="32" t="n">
        <v>404.7</v>
      </c>
      <c r="R2" s="31" t="inlineStr">
        <is>
          <t>Near 52W High Breakout</t>
        </is>
      </c>
      <c r="S2" s="31" t="inlineStr">
        <is>
          <t>Nifty 50</t>
        </is>
      </c>
      <c r="T2" s="32" t="n">
        <v>-2.54</v>
      </c>
      <c r="U2" s="32" t="n">
        <v>87.09999999999999</v>
      </c>
      <c r="V2" s="32" t="n">
        <v>91.98</v>
      </c>
      <c r="W2" s="32" t="n">
        <v>17.55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24</t>
        </is>
      </c>
      <c r="CG2" s="31">
        <f>IF(CF2&gt;20,10,IF(CF2&gt;=10,5,2))</f>
        <v/>
      </c>
    </row>
    <row r="3">
      <c r="A3" s="31">
        <f>IF(B3=0,"",RANK(B3,$B$2:$B$86,0))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IOLCP</t>
        </is>
      </c>
      <c r="D3" s="31" t="inlineStr">
        <is>
          <t>IOL Chemicals &amp; Pharmaceuticals Ltd</t>
        </is>
      </c>
      <c r="E3" s="31" t="inlineStr">
        <is>
          <t>Healthcare</t>
        </is>
      </c>
      <c r="F3" s="31" t="inlineStr">
        <is>
          <t>Pharma - API &amp; CRAMS</t>
        </is>
      </c>
      <c r="G3" s="31" t="inlineStr">
        <is>
          <t>smallcap</t>
        </is>
      </c>
      <c r="H3" s="32" t="n">
        <v>4562</v>
      </c>
      <c r="I3" s="32" t="n">
        <v>155.42</v>
      </c>
      <c r="J3" s="32" t="n">
        <v>4.78</v>
      </c>
      <c r="K3" s="32" t="n">
        <v>0</v>
      </c>
      <c r="L3" s="31" t="n">
        <v>90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68.28</v>
      </c>
      <c r="P3" s="32" t="n">
        <v>67.53</v>
      </c>
      <c r="Q3" s="32" t="inlineStr"/>
      <c r="R3" s="31" t="inlineStr">
        <is>
          <t>Earnings / Momentum Support</t>
        </is>
      </c>
      <c r="S3" s="31" t="inlineStr">
        <is>
          <t>Nifty Pharma</t>
        </is>
      </c>
      <c r="T3" s="32" t="n">
        <v>13.51</v>
      </c>
      <c r="U3" s="32" t="n">
        <v>63.77</v>
      </c>
      <c r="V3" s="32" t="n">
        <v>44.28</v>
      </c>
      <c r="W3" s="32" t="n">
        <v>26.42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No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3</t>
        </is>
      </c>
      <c r="BC3" s="31">
        <f>IF(BB3="Stage 2",20,IF(BB3="Stage 1",0,IF(BB3="Stage 3",5,IF(BB3="Stage 4",-5,0))))</f>
        <v/>
      </c>
      <c r="BD3" s="31" t="inlineStr">
        <is>
          <t>Negative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19</t>
        </is>
      </c>
      <c r="CG3" s="31">
        <f>IF(CF3&gt;20,10,IF(CF3&gt;=10,5,2))</f>
        <v/>
      </c>
    </row>
    <row r="4">
      <c r="A4" s="31">
        <f>IF(B4=0,"",RANK(B4,$B$2:$B$86,0))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TIPSMUSIC</t>
        </is>
      </c>
      <c r="D4" s="31" t="inlineStr">
        <is>
          <t>Tips Music Ltd</t>
        </is>
      </c>
      <c r="E4" s="31" t="inlineStr">
        <is>
          <t>media</t>
        </is>
      </c>
      <c r="F4" s="31" t="inlineStr">
        <is>
          <t>Music Licensing</t>
        </is>
      </c>
      <c r="G4" s="31" t="inlineStr">
        <is>
          <t>midcap</t>
        </is>
      </c>
      <c r="H4" s="32" t="n">
        <v>9108</v>
      </c>
      <c r="I4" s="32" t="n">
        <v>712.5</v>
      </c>
      <c r="J4" s="32" t="n">
        <v>6.5</v>
      </c>
      <c r="K4" s="32" t="n">
        <v>0</v>
      </c>
      <c r="L4" s="31" t="n">
        <v>32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57.44</v>
      </c>
      <c r="P4" s="32" t="n">
        <v>42.52</v>
      </c>
      <c r="Q4" s="32" t="inlineStr"/>
      <c r="R4" s="31" t="inlineStr">
        <is>
          <t>Volume Spike / Accumulation</t>
        </is>
      </c>
      <c r="S4" s="31" t="inlineStr">
        <is>
          <t>Nifty IT</t>
        </is>
      </c>
      <c r="T4" s="32" t="n">
        <v>-21.31</v>
      </c>
      <c r="U4" s="32" t="n">
        <v>7.7</v>
      </c>
      <c r="V4" s="32" t="n">
        <v>36.87</v>
      </c>
      <c r="W4" s="32" t="n">
        <v>5.08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3</t>
        </is>
      </c>
      <c r="BC4" s="31">
        <f>IF(BB4="Stage 2",20,IF(BB4="Stage 1",0,IF(BB4="Stage 3",5,IF(BB4="Stage 4",-5,0))))</f>
        <v/>
      </c>
      <c r="BD4" s="31" t="inlineStr">
        <is>
          <t>Negative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23</t>
        </is>
      </c>
      <c r="CG4" s="31">
        <f>IF(CF4&gt;20,10,IF(CF4&gt;=10,5,2))</f>
        <v/>
      </c>
    </row>
    <row r="5">
      <c r="A5" s="31">
        <f>IF(B5=0,"",RANK(B5,$B$2:$B$86,0))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MENONBE</t>
        </is>
      </c>
      <c r="D5" s="31" t="inlineStr">
        <is>
          <t>Menon Bearings Ltd</t>
        </is>
      </c>
      <c r="E5" s="31" t="inlineStr">
        <is>
          <t>auto</t>
        </is>
      </c>
      <c r="F5" s="31" t="inlineStr">
        <is>
          <t>Auto Ancillaries - Bearings</t>
        </is>
      </c>
      <c r="G5" s="31" t="inlineStr">
        <is>
          <t>smallcap</t>
        </is>
      </c>
      <c r="H5" s="32" t="n">
        <v>1174.88</v>
      </c>
      <c r="I5" s="32" t="n">
        <v>209.65</v>
      </c>
      <c r="J5" s="32" t="n">
        <v>5</v>
      </c>
      <c r="K5" s="32" t="n">
        <v>0</v>
      </c>
      <c r="L5" s="31" t="n">
        <v>88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73.84</v>
      </c>
      <c r="P5" s="32" t="n">
        <v>44.92</v>
      </c>
      <c r="Q5" s="32" t="inlineStr"/>
      <c r="R5" s="31" t="inlineStr">
        <is>
          <t>Earnings / Momentum Support</t>
        </is>
      </c>
      <c r="S5" s="31" t="inlineStr">
        <is>
          <t>Nifty Auto</t>
        </is>
      </c>
      <c r="T5" s="32" t="n">
        <v>13.41</v>
      </c>
      <c r="U5" s="32" t="n">
        <v>59.56</v>
      </c>
      <c r="V5" s="32" t="n">
        <v>40.68</v>
      </c>
      <c r="W5" s="32" t="n">
        <v>23.69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No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3</t>
        </is>
      </c>
      <c r="BC5" s="31">
        <f>IF(BB5="Stage 2",20,IF(BB5="Stage 1",0,IF(BB5="Stage 3",5,IF(BB5="Stage 4",-5,0))))</f>
        <v/>
      </c>
      <c r="BD5" s="31" t="inlineStr">
        <is>
          <t>Negative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22</t>
        </is>
      </c>
      <c r="CG5" s="31">
        <f>IF(CF5&gt;20,10,IF(CF5&gt;=10,5,2))</f>
        <v/>
      </c>
    </row>
    <row r="6">
      <c r="A6" s="31">
        <f>IF(B6=0,"",RANK(B6,$B$2:$B$86,0))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TIMEX</t>
        </is>
      </c>
      <c r="D6" s="31" t="inlineStr">
        <is>
          <t>Timex Group India Ltd</t>
        </is>
      </c>
      <c r="E6" s="31" t="inlineStr">
        <is>
          <t>Consumer Cyclical</t>
        </is>
      </c>
      <c r="F6" s="31" t="inlineStr">
        <is>
          <t>Watches</t>
        </is>
      </c>
      <c r="G6" s="31" t="inlineStr">
        <is>
          <t>midcap</t>
        </is>
      </c>
      <c r="H6" s="32" t="n">
        <v>5745.57</v>
      </c>
      <c r="I6" s="32" t="n">
        <v>569.15</v>
      </c>
      <c r="J6" s="32" t="n">
        <v>6.65</v>
      </c>
      <c r="K6" s="32" t="n">
        <v>0</v>
      </c>
      <c r="L6" s="31" t="n">
        <v>97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70.59999999999999</v>
      </c>
      <c r="P6" s="32" t="n">
        <v>44.88</v>
      </c>
      <c r="Q6" s="32" t="inlineStr"/>
      <c r="R6" s="31" t="inlineStr">
        <is>
          <t>Earnings / Momentum Support</t>
        </is>
      </c>
      <c r="S6" s="31" t="inlineStr">
        <is>
          <t>Nifty 50</t>
        </is>
      </c>
      <c r="T6" s="32" t="n">
        <v>-2.54</v>
      </c>
      <c r="U6" s="32" t="n">
        <v>138.56</v>
      </c>
      <c r="V6" s="32" t="n">
        <v>144.77</v>
      </c>
      <c r="W6" s="32" t="n">
        <v>38.18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No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Negative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19</t>
        </is>
      </c>
      <c r="CG6" s="31">
        <f>IF(CF6&gt;20,10,IF(CF6&gt;=10,5,2))</f>
        <v/>
      </c>
    </row>
    <row r="7">
      <c r="A7" s="31">
        <f>IF(B7=0,"",RANK(B7,$B$2:$B$86,0))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SAKAR</t>
        </is>
      </c>
      <c r="D7" s="31" t="inlineStr">
        <is>
          <t>Sakar Healthcare Ltd</t>
        </is>
      </c>
      <c r="E7" s="31" t="inlineStr">
        <is>
          <t>healthcare</t>
        </is>
      </c>
      <c r="F7" s="31" t="inlineStr">
        <is>
          <t>Hospitals</t>
        </is>
      </c>
      <c r="G7" s="31" t="inlineStr">
        <is>
          <t>smallcap</t>
        </is>
      </c>
      <c r="H7" s="32" t="n">
        <v>2011.39</v>
      </c>
      <c r="I7" s="32" t="n">
        <v>904</v>
      </c>
      <c r="J7" s="32" t="n">
        <v>3</v>
      </c>
      <c r="K7" s="32" t="n">
        <v>0</v>
      </c>
      <c r="L7" s="31" t="n">
        <v>93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75</v>
      </c>
      <c r="P7" s="32" t="n">
        <v>56.59</v>
      </c>
      <c r="Q7" s="32" t="inlineStr"/>
      <c r="R7" s="31" t="inlineStr">
        <is>
          <t>Earnings / Momentum Support</t>
        </is>
      </c>
      <c r="S7" s="31" t="inlineStr">
        <is>
          <t>Nifty Pharma</t>
        </is>
      </c>
      <c r="T7" s="32" t="n">
        <v>13.51</v>
      </c>
      <c r="U7" s="32" t="n">
        <v>148.36</v>
      </c>
      <c r="V7" s="32" t="n">
        <v>118.8</v>
      </c>
      <c r="W7" s="32" t="n">
        <v>31.38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No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16</t>
        </is>
      </c>
      <c r="CG7" s="31">
        <f>IF(CF7&gt;20,10,IF(CF7&gt;=10,5,2))</f>
        <v/>
      </c>
    </row>
    <row r="8">
      <c r="A8" s="31">
        <f>IF(B8=0,"",RANK(B8,$B$2:$B$86,0))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EMMVEE</t>
        </is>
      </c>
      <c r="D8" s="31" t="inlineStr">
        <is>
          <t>Emmvee Photovoltaic Power Ltd</t>
        </is>
      </c>
      <c r="E8" s="31" t="inlineStr">
        <is>
          <t>Technology</t>
        </is>
      </c>
      <c r="F8" s="31" t="inlineStr">
        <is>
          <t>Electric Equipment - General</t>
        </is>
      </c>
      <c r="G8" s="31" t="inlineStr">
        <is>
          <t>largecap</t>
        </is>
      </c>
      <c r="H8" s="32" t="n">
        <v>23297.41</v>
      </c>
      <c r="I8" s="32" t="n">
        <v>336.5</v>
      </c>
      <c r="J8" s="32" t="n">
        <v>-2.48</v>
      </c>
      <c r="K8" s="32" t="n">
        <v>0</v>
      </c>
      <c r="L8" s="31" t="n">
        <v>74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62.91</v>
      </c>
      <c r="P8" s="32" t="n">
        <v>58.38</v>
      </c>
      <c r="Q8" s="32" t="inlineStr"/>
      <c r="R8" s="31" t="inlineStr">
        <is>
          <t>Earnings / Momentum Support</t>
        </is>
      </c>
      <c r="S8" s="31" t="inlineStr">
        <is>
          <t>Nifty 50</t>
        </is>
      </c>
      <c r="T8" s="32" t="n">
        <v>-6.65</v>
      </c>
      <c r="U8" s="32" t="n">
        <v>48.13</v>
      </c>
      <c r="V8" s="32" t="n">
        <v>58.69</v>
      </c>
      <c r="W8" s="32" t="n">
        <v>15.32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16</t>
        </is>
      </c>
      <c r="CG8" s="31">
        <f>IF(CF8&gt;20,10,IF(CF8&gt;=10,5,2))</f>
        <v/>
      </c>
    </row>
    <row r="9">
      <c r="A9" s="31">
        <f>IF(B9=0,"",RANK(B9,$B$2:$B$86,0))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RPEL</t>
        </is>
      </c>
      <c r="D9" s="31" t="inlineStr">
        <is>
          <t>Raghav Productivity Enhancers Ltd</t>
        </is>
      </c>
      <c r="E9" s="31" t="inlineStr">
        <is>
          <t>building materials</t>
        </is>
      </c>
      <c r="F9" s="31" t="inlineStr">
        <is>
          <t>Steel Products</t>
        </is>
      </c>
      <c r="G9" s="31" t="inlineStr">
        <is>
          <t>midcap</t>
        </is>
      </c>
      <c r="H9" s="32" t="n">
        <v>5929.67</v>
      </c>
      <c r="I9" s="32" t="n">
        <v>1291.25</v>
      </c>
      <c r="J9" s="32" t="n">
        <v>-1.51</v>
      </c>
      <c r="K9" s="32" t="n">
        <v>0</v>
      </c>
      <c r="L9" s="31" t="n">
        <v>95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79.06</v>
      </c>
      <c r="P9" s="32" t="n">
        <v>44.04</v>
      </c>
      <c r="Q9" s="32" t="inlineStr"/>
      <c r="R9" s="31" t="inlineStr">
        <is>
          <t>Earnings / Momentum Support</t>
        </is>
      </c>
      <c r="S9" s="31" t="inlineStr">
        <is>
          <t>Nifty Infra</t>
        </is>
      </c>
      <c r="T9" s="32" t="n">
        <v>1.74</v>
      </c>
      <c r="U9" s="32" t="n">
        <v>89.39</v>
      </c>
      <c r="V9" s="32" t="n">
        <v>86.15000000000001</v>
      </c>
      <c r="W9" s="32" t="n">
        <v>34.86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18</t>
        </is>
      </c>
      <c r="CG9" s="31">
        <f>IF(CF9&gt;20,10,IF(CF9&gt;=10,5,2))</f>
        <v/>
      </c>
    </row>
    <row r="10">
      <c r="A10" s="31">
        <f>IF(B10=0,"",RANK(B10,$B$2:$B$86,0))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INDOBORAX</t>
        </is>
      </c>
      <c r="D10" s="31" t="inlineStr">
        <is>
          <t>Indo Borax &amp; Chemicals Ltd</t>
        </is>
      </c>
      <c r="E10" s="31" t="inlineStr">
        <is>
          <t>chemicals</t>
        </is>
      </c>
      <c r="F10" s="31" t="inlineStr">
        <is>
          <t>Chemicals - Inorganic</t>
        </is>
      </c>
      <c r="G10" s="31" t="inlineStr">
        <is>
          <t>smallcap</t>
        </is>
      </c>
      <c r="H10" s="32" t="n">
        <v>1553.16</v>
      </c>
      <c r="I10" s="32" t="n">
        <v>484</v>
      </c>
      <c r="J10" s="32" t="n">
        <v>3.93</v>
      </c>
      <c r="K10" s="32" t="n">
        <v>0</v>
      </c>
      <c r="L10" s="31" t="n">
        <v>94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87.45</v>
      </c>
      <c r="P10" s="32" t="n">
        <v>70.48</v>
      </c>
      <c r="Q10" s="32" t="inlineStr"/>
      <c r="R10" s="31" t="inlineStr">
        <is>
          <t>Earnings / Momentum Support</t>
        </is>
      </c>
      <c r="S10" s="31" t="inlineStr">
        <is>
          <t>Nifty 50</t>
        </is>
      </c>
      <c r="T10" s="32" t="n">
        <v>-2.54</v>
      </c>
      <c r="U10" s="32" t="n">
        <v>89.66</v>
      </c>
      <c r="V10" s="32" t="n">
        <v>94.59999999999999</v>
      </c>
      <c r="W10" s="32" t="n">
        <v>34.04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18</t>
        </is>
      </c>
      <c r="CG10" s="31">
        <f>IF(CF10&gt;20,10,IF(CF10&gt;=10,5,2))</f>
        <v/>
      </c>
    </row>
    <row r="11">
      <c r="A11" s="31">
        <f>IF(B11=0,"",RANK(B11,$B$2:$B$86,0))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AEGISLOG</t>
        </is>
      </c>
      <c r="D11" s="31" t="inlineStr">
        <is>
          <t>Aegis Logistics Ltd</t>
        </is>
      </c>
      <c r="E11" s="31" t="inlineStr">
        <is>
          <t>services</t>
        </is>
      </c>
      <c r="F11" s="31" t="inlineStr">
        <is>
          <t>Logistics</t>
        </is>
      </c>
      <c r="G11" s="31" t="inlineStr">
        <is>
          <t>largecap</t>
        </is>
      </c>
      <c r="H11" s="32" t="n">
        <v>48543.3</v>
      </c>
      <c r="I11" s="32" t="n">
        <v>1383</v>
      </c>
      <c r="J11" s="32" t="n">
        <v>2.51</v>
      </c>
      <c r="K11" s="32" t="n">
        <v>0</v>
      </c>
      <c r="L11" s="31" t="n">
        <v>96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80.02</v>
      </c>
      <c r="P11" s="32" t="n">
        <v>43.78</v>
      </c>
      <c r="Q11" s="32" t="inlineStr"/>
      <c r="R11" s="31" t="inlineStr">
        <is>
          <t>Earnings / Momentum Support</t>
        </is>
      </c>
      <c r="S11" s="31" t="inlineStr">
        <is>
          <t>Nifty 50</t>
        </is>
      </c>
      <c r="T11" s="32" t="n">
        <v>-2.54</v>
      </c>
      <c r="U11" s="32" t="n">
        <v>83</v>
      </c>
      <c r="V11" s="32" t="n">
        <v>87.77</v>
      </c>
      <c r="W11" s="32" t="n">
        <v>35.84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17</t>
        </is>
      </c>
      <c r="CG11" s="31">
        <f>IF(CF11&gt;20,10,IF(CF11&gt;=10,5,2))</f>
        <v/>
      </c>
    </row>
    <row r="12">
      <c r="A12" s="31">
        <f>IF(B12=0,"",RANK(B12,$B$2:$B$86,0))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TINNARUBR</t>
        </is>
      </c>
      <c r="D12" s="31" t="inlineStr">
        <is>
          <t>Tinna Rubber &amp; Infrastructure Ltd</t>
        </is>
      </c>
      <c r="E12" s="31" t="inlineStr">
        <is>
          <t>fmcg</t>
        </is>
      </c>
      <c r="F12" s="31" t="inlineStr">
        <is>
          <t>Rubber Processing/Rubber Products</t>
        </is>
      </c>
      <c r="G12" s="31" t="inlineStr">
        <is>
          <t>smallcap</t>
        </is>
      </c>
      <c r="H12" s="32" t="n">
        <v>2136.49</v>
      </c>
      <c r="I12" s="32" t="n">
        <v>1185.9</v>
      </c>
      <c r="J12" s="32" t="n">
        <v>20</v>
      </c>
      <c r="K12" s="32" t="n">
        <v>0</v>
      </c>
      <c r="L12" s="31" t="n">
        <v>54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66.08</v>
      </c>
      <c r="P12" s="32" t="n">
        <v>30.02</v>
      </c>
      <c r="Q12" s="32" t="inlineStr"/>
      <c r="R12" s="31" t="inlineStr">
        <is>
          <t>Volume Spike / Accumulation</t>
        </is>
      </c>
      <c r="S12" s="31" t="inlineStr">
        <is>
          <t>Nifty FMCG</t>
        </is>
      </c>
      <c r="T12" s="32" t="n">
        <v>-13.73</v>
      </c>
      <c r="U12" s="32" t="n">
        <v>0.8</v>
      </c>
      <c r="V12" s="32" t="n">
        <v>16.84</v>
      </c>
      <c r="W12" s="32" t="n">
        <v>9.539999999999999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20 to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Between 50% to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20</t>
        </is>
      </c>
      <c r="CG12" s="31">
        <f>IF(CF12&gt;20,10,IF(CF12&gt;=10,5,2))</f>
        <v/>
      </c>
    </row>
    <row r="13">
      <c r="A13" s="31">
        <f>IF(B13=0,"",RANK(B13,$B$2:$B$86,0))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BHEL</t>
        </is>
      </c>
      <c r="D13" s="31" t="inlineStr">
        <is>
          <t>Bharat Heavy Electricals Ltd</t>
        </is>
      </c>
      <c r="E13" s="31" t="inlineStr">
        <is>
          <t>industrials</t>
        </is>
      </c>
      <c r="F13" s="31" t="inlineStr">
        <is>
          <t>Capital Goods - Engineering Heavy</t>
        </is>
      </c>
      <c r="G13" s="31" t="inlineStr">
        <is>
          <t>largecap</t>
        </is>
      </c>
      <c r="H13" s="32" t="n">
        <v>145358.73</v>
      </c>
      <c r="I13" s="32" t="n">
        <v>417.45</v>
      </c>
      <c r="J13" s="32" t="n">
        <v>-1.08</v>
      </c>
      <c r="K13" s="32" t="n">
        <v>0</v>
      </c>
      <c r="L13" s="31" t="n">
        <v>81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67.77</v>
      </c>
      <c r="P13" s="32" t="n">
        <v>46.77</v>
      </c>
      <c r="Q13" s="32" t="inlineStr"/>
      <c r="R13" s="31" t="inlineStr">
        <is>
          <t>Earnings / Momentum Support</t>
        </is>
      </c>
      <c r="S13" s="31" t="inlineStr">
        <is>
          <t>Nifty 50</t>
        </is>
      </c>
      <c r="T13" s="32" t="n">
        <v>-2.54</v>
      </c>
      <c r="U13" s="32" t="n">
        <v>69.36</v>
      </c>
      <c r="V13" s="32" t="n">
        <v>73.77</v>
      </c>
      <c r="W13" s="32" t="n">
        <v>18.76</v>
      </c>
      <c r="X13" s="31" t="inlineStr">
        <is>
          <t>Cyclical in an Upturn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18</t>
        </is>
      </c>
      <c r="CG13" s="31">
        <f>IF(CF13&gt;20,10,IF(CF13&gt;=10,5,2))</f>
        <v/>
      </c>
    </row>
    <row r="14">
      <c r="A14" s="31">
        <f>IF(B14=0,"",RANK(B14,$B$2:$B$86,0))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HSCL</t>
        </is>
      </c>
      <c r="D14" s="31" t="inlineStr">
        <is>
          <t>Himadri Speciality Chemical Ltd</t>
        </is>
      </c>
      <c r="E14" s="31" t="inlineStr">
        <is>
          <t>chemicals</t>
        </is>
      </c>
      <c r="F14" s="31" t="inlineStr">
        <is>
          <t>Carbon Black</t>
        </is>
      </c>
      <c r="G14" s="31" t="inlineStr">
        <is>
          <t>largecap</t>
        </is>
      </c>
      <c r="H14" s="32" t="n">
        <v>38900.16</v>
      </c>
      <c r="I14" s="32" t="n">
        <v>771</v>
      </c>
      <c r="J14" s="32" t="n">
        <v>3.97</v>
      </c>
      <c r="K14" s="32" t="n">
        <v>0</v>
      </c>
      <c r="L14" s="31" t="n">
        <v>82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74.56</v>
      </c>
      <c r="P14" s="32" t="n">
        <v>42.11</v>
      </c>
      <c r="Q14" s="32" t="inlineStr"/>
      <c r="R14" s="31" t="inlineStr">
        <is>
          <t>Earnings / Momentum Support</t>
        </is>
      </c>
      <c r="S14" s="31" t="inlineStr">
        <is>
          <t>Nifty 50</t>
        </is>
      </c>
      <c r="T14" s="32" t="n">
        <v>-2.54</v>
      </c>
      <c r="U14" s="32" t="n">
        <v>44.48</v>
      </c>
      <c r="V14" s="32" t="n">
        <v>48.25</v>
      </c>
      <c r="W14" s="32" t="n">
        <v>19.54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Between 1.5 to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18</t>
        </is>
      </c>
      <c r="CG14" s="31">
        <f>IF(CF14&gt;20,10,IF(CF14&gt;=10,5,2))</f>
        <v/>
      </c>
    </row>
    <row r="15">
      <c r="A15" s="31">
        <f>IF(B15=0,"",RANK(B15,$B$2:$B$86,0))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IBULLSLTD</t>
        </is>
      </c>
      <c r="D15" s="31" t="inlineStr">
        <is>
          <t>Indiabulls Limited</t>
        </is>
      </c>
      <c r="E15" s="31" t="inlineStr">
        <is>
          <t>miscellaneous</t>
        </is>
      </c>
      <c r="F15" s="31" t="inlineStr">
        <is>
          <t>Diversified</t>
        </is>
      </c>
      <c r="G15" s="31" t="inlineStr">
        <is>
          <t>midcap</t>
        </is>
      </c>
      <c r="H15" s="32" t="n">
        <v>6767.32</v>
      </c>
      <c r="I15" s="32" t="n">
        <v>29.05</v>
      </c>
      <c r="J15" s="32" t="n">
        <v>0.21</v>
      </c>
      <c r="K15" s="32" t="n">
        <v>0</v>
      </c>
      <c r="L15" s="31" t="n">
        <v>92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75.70999999999999</v>
      </c>
      <c r="P15" s="32" t="n">
        <v>46.52</v>
      </c>
      <c r="Q15" s="32" t="inlineStr"/>
      <c r="R15" s="31" t="inlineStr">
        <is>
          <t>Earnings / Momentum Support</t>
        </is>
      </c>
      <c r="S15" s="31" t="inlineStr">
        <is>
          <t>Nifty 50</t>
        </is>
      </c>
      <c r="T15" s="32" t="n">
        <v>-2.54</v>
      </c>
      <c r="U15" s="32" t="n">
        <v>85.95</v>
      </c>
      <c r="V15" s="32" t="n">
        <v>90.8</v>
      </c>
      <c r="W15" s="32" t="n">
        <v>30.45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Between 50% to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15</t>
        </is>
      </c>
      <c r="CG15" s="31">
        <f>IF(CF15&gt;20,10,IF(CF15&gt;=10,5,2))</f>
        <v/>
      </c>
    </row>
    <row r="16">
      <c r="A16" s="31">
        <f>IF(B16=0,"",RANK(B16,$B$2:$B$86,0))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E2E</t>
        </is>
      </c>
      <c r="D16" s="31" t="inlineStr">
        <is>
          <t>E2E Networks Ltd</t>
        </is>
      </c>
      <c r="E16" s="31" t="inlineStr">
        <is>
          <t>i.t</t>
        </is>
      </c>
      <c r="F16" s="31" t="inlineStr">
        <is>
          <t>Data Centre</t>
        </is>
      </c>
      <c r="G16" s="31" t="inlineStr">
        <is>
          <t>midcap</t>
        </is>
      </c>
      <c r="H16" s="32" t="n">
        <v>8739.59</v>
      </c>
      <c r="I16" s="32" t="n">
        <v>425.15</v>
      </c>
      <c r="J16" s="32" t="n">
        <v>4.99</v>
      </c>
      <c r="K16" s="32" t="n">
        <v>0</v>
      </c>
      <c r="L16" s="31" t="n">
        <v>88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61.39</v>
      </c>
      <c r="P16" s="32" t="n">
        <v>42.62</v>
      </c>
      <c r="Q16" s="32" t="inlineStr"/>
      <c r="R16" s="31" t="inlineStr">
        <is>
          <t>Earnings / Momentum Support</t>
        </is>
      </c>
      <c r="S16" s="31" t="inlineStr">
        <is>
          <t>Nifty IT</t>
        </is>
      </c>
      <c r="T16" s="32" t="n">
        <v>-21.31</v>
      </c>
      <c r="U16" s="32" t="n">
        <v>67.65000000000001</v>
      </c>
      <c r="V16" s="32" t="n">
        <v>113.05</v>
      </c>
      <c r="W16" s="32" t="n">
        <v>23.51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Less than 12%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15</t>
        </is>
      </c>
      <c r="CG16" s="31">
        <f>IF(CF16&gt;20,10,IF(CF16&gt;=10,5,2))</f>
        <v/>
      </c>
    </row>
    <row r="17">
      <c r="A17" s="31">
        <f>IF(B17=0,"",RANK(B17,$B$2:$B$86,0))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ACUTAAS</t>
        </is>
      </c>
      <c r="D17" s="31" t="inlineStr">
        <is>
          <t>Acutaas Chemicals Ltd</t>
        </is>
      </c>
      <c r="E17" s="31" t="inlineStr">
        <is>
          <t>healthcare</t>
        </is>
      </c>
      <c r="F17" s="31" t="inlineStr">
        <is>
          <t>Pharma - API &amp; CRAMS</t>
        </is>
      </c>
      <c r="G17" s="31" t="inlineStr">
        <is>
          <t>largecap</t>
        </is>
      </c>
      <c r="H17" s="32" t="n">
        <v>29969.74</v>
      </c>
      <c r="I17" s="32" t="n">
        <v>3660.6</v>
      </c>
      <c r="J17" s="32" t="n">
        <v>1.14</v>
      </c>
      <c r="K17" s="32" t="n">
        <v>0</v>
      </c>
      <c r="L17" s="31" t="n">
        <v>96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71.54000000000001</v>
      </c>
      <c r="P17" s="32" t="n">
        <v>70.2</v>
      </c>
      <c r="Q17" s="32" t="inlineStr"/>
      <c r="R17" s="31" t="inlineStr">
        <is>
          <t>Earnings / Momentum Support</t>
        </is>
      </c>
      <c r="S17" s="31" t="inlineStr">
        <is>
          <t>Nifty Pharma</t>
        </is>
      </c>
      <c r="T17" s="32" t="n">
        <v>13.51</v>
      </c>
      <c r="U17" s="32" t="n">
        <v>201.12</v>
      </c>
      <c r="V17" s="32" t="n">
        <v>165.28</v>
      </c>
      <c r="W17" s="32" t="n">
        <v>37.14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22</t>
        </is>
      </c>
      <c r="CG17" s="31">
        <f>IF(CF17&gt;20,10,IF(CF17&gt;=10,5,2))</f>
        <v/>
      </c>
    </row>
    <row r="18">
      <c r="A18" s="31">
        <f>IF(B18=0,"",RANK(B18,$B$2:$B$86,0))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SKMEGGPROD</t>
        </is>
      </c>
      <c r="D18" s="31" t="inlineStr">
        <is>
          <t>SKM Egg Products Export (India) Ltd</t>
        </is>
      </c>
      <c r="E18" s="31" t="inlineStr">
        <is>
          <t>fmcg</t>
        </is>
      </c>
      <c r="F18" s="31" t="inlineStr">
        <is>
          <t>FMCG - Animal/Polutry</t>
        </is>
      </c>
      <c r="G18" s="31" t="inlineStr">
        <is>
          <t>smallcap</t>
        </is>
      </c>
      <c r="H18" s="32" t="n">
        <v>1679.59</v>
      </c>
      <c r="I18" s="32" t="n">
        <v>318.95</v>
      </c>
      <c r="J18" s="32" t="n">
        <v>0</v>
      </c>
      <c r="K18" s="32" t="n">
        <v>0</v>
      </c>
      <c r="L18" s="31" t="n">
        <v>96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79.11</v>
      </c>
      <c r="P18" s="32" t="n">
        <v>45.07</v>
      </c>
      <c r="Q18" s="32" t="inlineStr"/>
      <c r="R18" s="31" t="inlineStr">
        <is>
          <t>Earnings / Momentum Support</t>
        </is>
      </c>
      <c r="S18" s="31" t="inlineStr">
        <is>
          <t>Nifty FMCG</t>
        </is>
      </c>
      <c r="T18" s="32" t="n">
        <v>-13.73</v>
      </c>
      <c r="U18" s="32" t="n">
        <v>118.17</v>
      </c>
      <c r="V18" s="32" t="n">
        <v>152.89</v>
      </c>
      <c r="W18" s="32" t="n">
        <v>35.71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B2C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Less than 50%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17</t>
        </is>
      </c>
      <c r="CG18" s="31">
        <f>IF(CF18&gt;20,10,IF(CF18&gt;=10,5,2))</f>
        <v/>
      </c>
    </row>
    <row r="19">
      <c r="A19" s="31">
        <f>IF(B19=0,"",RANK(B19,$B$2:$B$86,0))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RADICO</t>
        </is>
      </c>
      <c r="D19" s="31" t="inlineStr">
        <is>
          <t>Radico Khaitan Ltd</t>
        </is>
      </c>
      <c r="E19" s="31" t="inlineStr">
        <is>
          <t>fmcg</t>
        </is>
      </c>
      <c r="F19" s="31" t="inlineStr">
        <is>
          <t>Alcoholic Beverages</t>
        </is>
      </c>
      <c r="G19" s="31" t="inlineStr">
        <is>
          <t>largecap</t>
        </is>
      </c>
      <c r="H19" s="32" t="n">
        <v>55334.73</v>
      </c>
      <c r="I19" s="32" t="n">
        <v>4130</v>
      </c>
      <c r="J19" s="32" t="n">
        <v>0.78</v>
      </c>
      <c r="K19" s="32" t="n">
        <v>0</v>
      </c>
      <c r="L19" s="31" t="n">
        <v>73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79.92</v>
      </c>
      <c r="P19" s="32" t="n">
        <v>55.09</v>
      </c>
      <c r="Q19" s="32" t="inlineStr"/>
      <c r="R19" s="31" t="inlineStr">
        <is>
          <t>Earnings / Momentum Support</t>
        </is>
      </c>
      <c r="S19" s="31" t="inlineStr">
        <is>
          <t>Nifty FMCG</t>
        </is>
      </c>
      <c r="T19" s="32" t="n">
        <v>-13.73</v>
      </c>
      <c r="U19" s="32" t="n">
        <v>50.97</v>
      </c>
      <c r="V19" s="32" t="n">
        <v>75</v>
      </c>
      <c r="W19" s="32" t="n">
        <v>14.99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B2C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16</t>
        </is>
      </c>
      <c r="CG19" s="31">
        <f>IF(CF19&gt;20,10,IF(CF19&gt;=10,5,2))</f>
        <v/>
      </c>
    </row>
    <row r="20">
      <c r="A20" s="31">
        <f>IF(B20=0,"",RANK(B20,$B$2:$B$86,0))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BORORENEW</t>
        </is>
      </c>
      <c r="D20" s="31" t="inlineStr">
        <is>
          <t>Borosil Renewables Ltd</t>
        </is>
      </c>
      <c r="E20" s="31" t="inlineStr">
        <is>
          <t>Technology</t>
        </is>
      </c>
      <c r="F20" s="31" t="inlineStr">
        <is>
          <t>Glass &amp; Glass Products</t>
        </is>
      </c>
      <c r="G20" s="31" t="inlineStr">
        <is>
          <t>midcap</t>
        </is>
      </c>
      <c r="H20" s="32" t="n">
        <v>8365.940000000001</v>
      </c>
      <c r="I20" s="32" t="n">
        <v>595.05</v>
      </c>
      <c r="J20" s="32" t="n">
        <v>-1.57</v>
      </c>
      <c r="K20" s="32" t="n">
        <v>0</v>
      </c>
      <c r="L20" s="31" t="n">
        <v>37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59.7</v>
      </c>
      <c r="P20" s="32" t="n">
        <v>29.45</v>
      </c>
      <c r="Q20" s="32" t="inlineStr"/>
      <c r="R20" s="31" t="inlineStr">
        <is>
          <t>Earnings / Momentum Support</t>
        </is>
      </c>
      <c r="S20" s="31" t="inlineStr">
        <is>
          <t>Nifty 50</t>
        </is>
      </c>
      <c r="T20" s="32" t="n">
        <v>-2.54</v>
      </c>
      <c r="U20" s="32" t="n">
        <v>3.17</v>
      </c>
      <c r="V20" s="32" t="n">
        <v>5.85</v>
      </c>
      <c r="W20" s="32" t="n">
        <v>5.73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15</t>
        </is>
      </c>
      <c r="CG20" s="31">
        <f>IF(CF20&gt;20,10,IF(CF20&gt;=10,5,2))</f>
        <v/>
      </c>
    </row>
    <row r="21">
      <c r="A21" s="31">
        <f>IF(B21=0,"",RANK(B21,$B$2:$B$86,0))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RPTECH</t>
        </is>
      </c>
      <c r="D21" s="31" t="inlineStr">
        <is>
          <t>Rashi Peripherals Ltd</t>
        </is>
      </c>
      <c r="E21" s="31" t="inlineStr">
        <is>
          <t>services</t>
        </is>
      </c>
      <c r="F21" s="31" t="inlineStr">
        <is>
          <t>Trading</t>
        </is>
      </c>
      <c r="G21" s="31" t="inlineStr">
        <is>
          <t>smallcap</t>
        </is>
      </c>
      <c r="H21" s="32" t="n">
        <v>4974.11</v>
      </c>
      <c r="I21" s="32" t="n">
        <v>754.8</v>
      </c>
      <c r="J21" s="32" t="n">
        <v>2.77</v>
      </c>
      <c r="K21" s="32" t="n">
        <v>0</v>
      </c>
      <c r="L21" s="31" t="n">
        <v>93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75.44</v>
      </c>
      <c r="P21" s="32" t="n">
        <v>73.65000000000001</v>
      </c>
      <c r="Q21" s="32" t="inlineStr"/>
      <c r="R21" s="31" t="inlineStr">
        <is>
          <t>Earnings / Momentum Support</t>
        </is>
      </c>
      <c r="S21" s="31" t="inlineStr">
        <is>
          <t>Nifty 50</t>
        </is>
      </c>
      <c r="T21" s="32" t="n">
        <v>-2.54</v>
      </c>
      <c r="U21" s="32" t="n">
        <v>132.88</v>
      </c>
      <c r="V21" s="32" t="n">
        <v>138.94</v>
      </c>
      <c r="W21" s="32" t="n">
        <v>32.46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Less than 50%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18</t>
        </is>
      </c>
      <c r="CG21" s="31">
        <f>IF(CF21&gt;20,10,IF(CF21&gt;=10,5,2))</f>
        <v/>
      </c>
    </row>
    <row r="22">
      <c r="A22" s="31">
        <f>IF(B22=0,"",RANK(B22,$B$2:$B$86,0))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UNIPARTS</t>
        </is>
      </c>
      <c r="D22" s="31" t="inlineStr">
        <is>
          <t>Uniparts India Ltd</t>
        </is>
      </c>
      <c r="E22" s="31" t="inlineStr">
        <is>
          <t>industrials</t>
        </is>
      </c>
      <c r="F22" s="31" t="inlineStr">
        <is>
          <t>Castings, Forgings &amp; Fastners</t>
        </is>
      </c>
      <c r="G22" s="31" t="inlineStr">
        <is>
          <t>smallcap</t>
        </is>
      </c>
      <c r="H22" s="32" t="n">
        <v>3146.48</v>
      </c>
      <c r="I22" s="32" t="n">
        <v>697</v>
      </c>
      <c r="J22" s="32" t="n">
        <v>3.11</v>
      </c>
      <c r="K22" s="32" t="n">
        <v>0</v>
      </c>
      <c r="L22" s="31" t="n">
        <v>86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68.3</v>
      </c>
      <c r="P22" s="32" t="n">
        <v>55.41</v>
      </c>
      <c r="Q22" s="32" t="inlineStr"/>
      <c r="R22" s="31" t="inlineStr">
        <is>
          <t>Earnings / Momentum Support</t>
        </is>
      </c>
      <c r="S22" s="31" t="inlineStr">
        <is>
          <t>Nifty 50</t>
        </is>
      </c>
      <c r="T22" s="32" t="n">
        <v>-2.54</v>
      </c>
      <c r="U22" s="32" t="n">
        <v>89.98999999999999</v>
      </c>
      <c r="V22" s="32" t="n">
        <v>94.94</v>
      </c>
      <c r="W22" s="32" t="n">
        <v>21.55</v>
      </c>
      <c r="X22" s="31" t="inlineStr">
        <is>
          <t>Cyclical in an Upturn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17</t>
        </is>
      </c>
      <c r="CG22" s="31">
        <f>IF(CF22&gt;20,10,IF(CF22&gt;=10,5,2))</f>
        <v/>
      </c>
    </row>
    <row r="23">
      <c r="A23" s="31">
        <f>IF(B23=0,"",RANK(B23,$B$2:$B$86,0))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NITTAGELA</t>
        </is>
      </c>
      <c r="D23" s="31" t="inlineStr">
        <is>
          <t>Nitta Gelatin India Ltd</t>
        </is>
      </c>
      <c r="E23" s="31" t="inlineStr">
        <is>
          <t>Basic Materials</t>
        </is>
      </c>
      <c r="F23" s="31" t="inlineStr">
        <is>
          <t>Chemicals - Organic</t>
        </is>
      </c>
      <c r="G23" s="31" t="inlineStr">
        <is>
          <t>smallcap</t>
        </is>
      </c>
      <c r="H23" s="32" t="n">
        <v>1707.79</v>
      </c>
      <c r="I23" s="32" t="n">
        <v>1881</v>
      </c>
      <c r="J23" s="32" t="n">
        <v>-0.12</v>
      </c>
      <c r="K23" s="32" t="n">
        <v>0</v>
      </c>
      <c r="L23" s="31" t="n">
        <v>98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71.31</v>
      </c>
      <c r="P23" s="32" t="n">
        <v>60.29</v>
      </c>
      <c r="Q23" s="32" t="inlineStr"/>
      <c r="R23" s="31" t="inlineStr">
        <is>
          <t>Earnings / Momentum Support</t>
        </is>
      </c>
      <c r="S23" s="31" t="inlineStr">
        <is>
          <t>Nifty 50</t>
        </is>
      </c>
      <c r="T23" s="32" t="n">
        <v>-2.54</v>
      </c>
      <c r="U23" s="32" t="n">
        <v>98.22</v>
      </c>
      <c r="V23" s="32" t="n">
        <v>103.39</v>
      </c>
      <c r="W23" s="32" t="n">
        <v>46.01</v>
      </c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Cyclical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Volatile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17</t>
        </is>
      </c>
      <c r="CG23" s="31">
        <f>IF(CF23&gt;20,10,IF(CF23&gt;=10,5,2))</f>
        <v/>
      </c>
    </row>
    <row r="24">
      <c r="A24" s="31">
        <f>IF(B24=0,"",RANK(B24,$B$2:$B$86,0))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RAMCOSYS</t>
        </is>
      </c>
      <c r="D24" s="31" t="inlineStr">
        <is>
          <t>Ramco Systems Ltd</t>
        </is>
      </c>
      <c r="E24" s="31" t="inlineStr">
        <is>
          <t>i.t</t>
        </is>
      </c>
      <c r="F24" s="31" t="inlineStr">
        <is>
          <t>IT Product Companies</t>
        </is>
      </c>
      <c r="G24" s="31" t="inlineStr">
        <is>
          <t>smallcap</t>
        </is>
      </c>
      <c r="H24" s="32" t="n">
        <v>3036.79</v>
      </c>
      <c r="I24" s="32" t="n">
        <v>808</v>
      </c>
      <c r="J24" s="32" t="n">
        <v>2.4</v>
      </c>
      <c r="K24" s="32" t="n">
        <v>0</v>
      </c>
      <c r="L24" s="31" t="n">
        <v>96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73.68000000000001</v>
      </c>
      <c r="P24" s="32" t="n">
        <v>30.71</v>
      </c>
      <c r="Q24" s="32" t="inlineStr"/>
      <c r="R24" s="31" t="inlineStr">
        <is>
          <t>Earnings / Momentum Support</t>
        </is>
      </c>
      <c r="S24" s="31" t="inlineStr">
        <is>
          <t>Nifty IT</t>
        </is>
      </c>
      <c r="T24" s="32" t="n">
        <v>-21.31</v>
      </c>
      <c r="U24" s="32" t="n">
        <v>99.33</v>
      </c>
      <c r="V24" s="32" t="n">
        <v>153.31</v>
      </c>
      <c r="W24" s="32" t="n">
        <v>36.14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15</t>
        </is>
      </c>
      <c r="CG24" s="31">
        <f>IF(CF24&gt;20,10,IF(CF24&gt;=10,5,2))</f>
        <v/>
      </c>
    </row>
    <row r="25">
      <c r="A25" s="31">
        <f>IF(B25=0,"",RANK(B25,$B$2:$B$86,0))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SEKURITIND</t>
        </is>
      </c>
      <c r="D25" s="31" t="inlineStr">
        <is>
          <t>Saint-Gobain Sekurit India Ltd</t>
        </is>
      </c>
      <c r="E25" s="31" t="inlineStr">
        <is>
          <t>Consumer Cyclical</t>
        </is>
      </c>
      <c r="F25" s="31" t="inlineStr">
        <is>
          <t>Glass &amp; Glass Products</t>
        </is>
      </c>
      <c r="G25" s="31" t="inlineStr">
        <is>
          <t>smallcap</t>
        </is>
      </c>
      <c r="H25" s="32" t="n">
        <v>1213.53</v>
      </c>
      <c r="I25" s="32" t="n">
        <v>133.2</v>
      </c>
      <c r="J25" s="32" t="n">
        <v>0.3</v>
      </c>
      <c r="K25" s="32" t="n">
        <v>0</v>
      </c>
      <c r="L25" s="31" t="n">
        <v>63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69.98999999999999</v>
      </c>
      <c r="P25" s="32" t="n">
        <v>36.83</v>
      </c>
      <c r="Q25" s="32" t="inlineStr"/>
      <c r="R25" s="31" t="inlineStr">
        <is>
          <t>Earnings / Momentum Support</t>
        </is>
      </c>
      <c r="S25" s="31" t="inlineStr">
        <is>
          <t>Nifty Auto</t>
        </is>
      </c>
      <c r="T25" s="32" t="n">
        <v>13.41</v>
      </c>
      <c r="U25" s="32" t="n">
        <v>21.51</v>
      </c>
      <c r="V25" s="32" t="n">
        <v>7.14</v>
      </c>
      <c r="W25" s="32" t="n">
        <v>11.52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B2C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Between 50% to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15</t>
        </is>
      </c>
      <c r="CG25" s="31">
        <f>IF(CF25&gt;20,10,IF(CF25&gt;=10,5,2))</f>
        <v/>
      </c>
    </row>
    <row r="26">
      <c r="A26" s="31">
        <f>IF(B26=0,"",RANK(B26,$B$2:$B$86,0))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CUPID</t>
        </is>
      </c>
      <c r="D26" s="31" t="inlineStr">
        <is>
          <t>Cupid Ltd</t>
        </is>
      </c>
      <c r="E26" s="31" t="inlineStr">
        <is>
          <t>fmcg</t>
        </is>
      </c>
      <c r="F26" s="31" t="inlineStr">
        <is>
          <t>Contraceptives/Protectives</t>
        </is>
      </c>
      <c r="G26" s="31" t="inlineStr">
        <is>
          <t>largecap</t>
        </is>
      </c>
      <c r="H26" s="32" t="n">
        <v>28069.79</v>
      </c>
      <c r="I26" s="32" t="n">
        <v>208.75</v>
      </c>
      <c r="J26" s="32" t="n">
        <v>-2.81</v>
      </c>
      <c r="K26" s="32" t="n">
        <v>0</v>
      </c>
      <c r="L26" s="31" t="n">
        <v>99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88.88</v>
      </c>
      <c r="P26" s="32" t="n">
        <v>66.06</v>
      </c>
      <c r="Q26" s="32" t="inlineStr"/>
      <c r="R26" s="31" t="inlineStr">
        <is>
          <t>Earnings / Momentum Support</t>
        </is>
      </c>
      <c r="S26" s="31" t="inlineStr">
        <is>
          <t>Nifty FMCG</t>
        </is>
      </c>
      <c r="T26" s="32" t="n">
        <v>-13.73</v>
      </c>
      <c r="U26" s="32" t="n">
        <v>631.6900000000001</v>
      </c>
      <c r="V26" s="32" t="n">
        <v>748.13</v>
      </c>
      <c r="W26" s="32" t="n">
        <v>76.51000000000001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Less than 50%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20</t>
        </is>
      </c>
      <c r="CG26" s="31">
        <f>IF(CF26&gt;20,10,IF(CF26&gt;=10,5,2))</f>
        <v/>
      </c>
    </row>
    <row r="27">
      <c r="A27" s="31">
        <f>IF(B27=0,"",RANK(B27,$B$2:$B$86,0))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GRANULES</t>
        </is>
      </c>
      <c r="D27" s="31" t="inlineStr">
        <is>
          <t>Granules India Ltd</t>
        </is>
      </c>
      <c r="E27" s="31" t="inlineStr">
        <is>
          <t>healthcare</t>
        </is>
      </c>
      <c r="F27" s="31" t="inlineStr">
        <is>
          <t>Pharma - API &amp; CRAMS</t>
        </is>
      </c>
      <c r="G27" s="31" t="inlineStr">
        <is>
          <t>largecap</t>
        </is>
      </c>
      <c r="H27" s="32" t="n">
        <v>21772.68</v>
      </c>
      <c r="I27" s="32" t="n">
        <v>878.65</v>
      </c>
      <c r="J27" s="32" t="n">
        <v>-0.24</v>
      </c>
      <c r="K27" s="32" t="n">
        <v>0</v>
      </c>
      <c r="L27" s="31" t="n">
        <v>83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76.31999999999999</v>
      </c>
      <c r="P27" s="32" t="n">
        <v>50.62</v>
      </c>
      <c r="Q27" s="32" t="inlineStr"/>
      <c r="R27" s="31" t="inlineStr">
        <is>
          <t>Earnings / Momentum Support</t>
        </is>
      </c>
      <c r="S27" s="31" t="inlineStr">
        <is>
          <t>Nifty Pharma</t>
        </is>
      </c>
      <c r="T27" s="32" t="n">
        <v>13.51</v>
      </c>
      <c r="U27" s="32" t="n">
        <v>78.06999999999999</v>
      </c>
      <c r="V27" s="32" t="n">
        <v>56.88</v>
      </c>
      <c r="W27" s="32" t="n">
        <v>19.73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Between 50% to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17</t>
        </is>
      </c>
      <c r="CG27" s="31">
        <f>IF(CF27&gt;20,10,IF(CF27&gt;=10,5,2))</f>
        <v/>
      </c>
    </row>
    <row r="28">
      <c r="A28" s="31">
        <f>IF(B28=0,"",RANK(B28,$B$2:$B$86,0))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THANGAMAYL</t>
        </is>
      </c>
      <c r="D28" s="31" t="inlineStr">
        <is>
          <t>Thangamayil Jewellery Ltd</t>
        </is>
      </c>
      <c r="E28" s="31" t="inlineStr">
        <is>
          <t>consumer discretionary</t>
        </is>
      </c>
      <c r="F28" s="31" t="inlineStr">
        <is>
          <t>Diamond, Gems &amp; Jewellery</t>
        </is>
      </c>
      <c r="G28" s="31" t="inlineStr">
        <is>
          <t>midcap</t>
        </is>
      </c>
      <c r="H28" s="32" t="n">
        <v>19892.49</v>
      </c>
      <c r="I28" s="32" t="n">
        <v>6400</v>
      </c>
      <c r="J28" s="32" t="n">
        <v>-0.5600000000000001</v>
      </c>
      <c r="K28" s="32" t="n">
        <v>0</v>
      </c>
      <c r="L28" s="31" t="n">
        <v>97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75.84999999999999</v>
      </c>
      <c r="P28" s="32" t="n">
        <v>49.01</v>
      </c>
      <c r="Q28" s="32" t="inlineStr"/>
      <c r="R28" s="31" t="inlineStr">
        <is>
          <t>Earnings / Momentum Support</t>
        </is>
      </c>
      <c r="S28" s="31" t="inlineStr">
        <is>
          <t>Nifty 50</t>
        </is>
      </c>
      <c r="T28" s="32" t="n">
        <v>-2.54</v>
      </c>
      <c r="U28" s="32" t="n">
        <v>242.67</v>
      </c>
      <c r="V28" s="32" t="n">
        <v>251.6</v>
      </c>
      <c r="W28" s="32" t="n">
        <v>42.77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Between 50% to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18</t>
        </is>
      </c>
      <c r="CG28" s="31">
        <f>IF(CF28&gt;20,10,IF(CF28&gt;=10,5,2))</f>
        <v/>
      </c>
    </row>
    <row r="29">
      <c r="A29" s="31">
        <f>IF(B29=0,"",RANK(B29,$B$2:$B$86,0))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SGMART</t>
        </is>
      </c>
      <c r="D29" s="31" t="inlineStr">
        <is>
          <t>SG Mart Ltd</t>
        </is>
      </c>
      <c r="E29" s="31" t="inlineStr">
        <is>
          <t>Industrials</t>
        </is>
      </c>
      <c r="F29" s="31" t="inlineStr">
        <is>
          <t>Trading</t>
        </is>
      </c>
      <c r="G29" s="31" t="inlineStr">
        <is>
          <t>midcap</t>
        </is>
      </c>
      <c r="H29" s="32" t="n">
        <v>8356.129999999999</v>
      </c>
      <c r="I29" s="32" t="n">
        <v>663</v>
      </c>
      <c r="J29" s="32" t="n">
        <v>4.27</v>
      </c>
      <c r="K29" s="32" t="n">
        <v>0</v>
      </c>
      <c r="L29" s="31" t="n">
        <v>74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72.18000000000001</v>
      </c>
      <c r="P29" s="32" t="n">
        <v>67.13</v>
      </c>
      <c r="Q29" s="32" t="inlineStr"/>
      <c r="R29" s="31" t="inlineStr">
        <is>
          <t>Volume Spike / Accumulation</t>
        </is>
      </c>
      <c r="S29" s="31" t="inlineStr">
        <is>
          <t>Nifty 50</t>
        </is>
      </c>
      <c r="T29" s="32" t="n">
        <v>-3.1</v>
      </c>
      <c r="U29" s="32" t="n">
        <v>77.56</v>
      </c>
      <c r="V29" s="32" t="n">
        <v>83.25</v>
      </c>
      <c r="W29" s="32" t="n">
        <v>15.28</v>
      </c>
      <c r="X29" s="31" t="inlineStr">
        <is>
          <t>Cyclical in an Upturn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Between 12 to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18</t>
        </is>
      </c>
      <c r="CG29" s="31">
        <f>IF(CF29&gt;20,10,IF(CF29&gt;=10,5,2))</f>
        <v/>
      </c>
    </row>
    <row r="30">
      <c r="A30" s="31">
        <f>IF(B30=0,"",RANK(B30,$B$2:$B$86,0))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KABRAEXTRU</t>
        </is>
      </c>
      <c r="D30" s="31" t="inlineStr">
        <is>
          <t>Kabra Extrusion Technik Ltd</t>
        </is>
      </c>
      <c r="E30" s="31" t="inlineStr">
        <is>
          <t>industrials</t>
        </is>
      </c>
      <c r="F30" s="31" t="inlineStr">
        <is>
          <t>Capital Goods - Engineering Heavy</t>
        </is>
      </c>
      <c r="G30" s="31" t="inlineStr">
        <is>
          <t>smallcap</t>
        </is>
      </c>
      <c r="H30" s="32" t="n">
        <v>1238.04</v>
      </c>
      <c r="I30" s="32" t="n">
        <v>354</v>
      </c>
      <c r="J30" s="32" t="n">
        <v>7.05</v>
      </c>
      <c r="K30" s="32" t="n">
        <v>0</v>
      </c>
      <c r="L30" s="31" t="n">
        <v>61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71.84999999999999</v>
      </c>
      <c r="P30" s="32" t="n">
        <v>20.22</v>
      </c>
      <c r="Q30" s="32" t="inlineStr"/>
      <c r="R30" s="31" t="inlineStr">
        <is>
          <t>Earnings / Momentum Support</t>
        </is>
      </c>
      <c r="S30" s="31" t="inlineStr">
        <is>
          <t>Nifty 50</t>
        </is>
      </c>
      <c r="T30" s="32" t="n">
        <v>-2.54</v>
      </c>
      <c r="U30" s="32" t="n">
        <v>6.76</v>
      </c>
      <c r="V30" s="32" t="n">
        <v>9.550000000000001</v>
      </c>
      <c r="W30" s="32" t="n">
        <v>11.12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18</t>
        </is>
      </c>
      <c r="CG30" s="31">
        <f>IF(CF30&gt;20,10,IF(CF30&gt;=10,5,2))</f>
        <v/>
      </c>
    </row>
    <row r="31">
      <c r="A31" s="31">
        <f>IF(B31=0,"",RANK(B31,$B$2:$B$86,0))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ATHERENERG</t>
        </is>
      </c>
      <c r="D31" s="31" t="inlineStr">
        <is>
          <t>Ather Energy Ltd</t>
        </is>
      </c>
      <c r="E31" s="31" t="inlineStr">
        <is>
          <t>auto</t>
        </is>
      </c>
      <c r="F31" s="31" t="inlineStr">
        <is>
          <t>Auto - 2 &amp; 3 Wheelers</t>
        </is>
      </c>
      <c r="G31" s="31" t="inlineStr">
        <is>
          <t>largecap</t>
        </is>
      </c>
      <c r="H31" s="32" t="n">
        <v>49696.14</v>
      </c>
      <c r="I31" s="32" t="n">
        <v>1296.5</v>
      </c>
      <c r="J31" s="32" t="n">
        <v>1.12</v>
      </c>
      <c r="K31" s="32" t="n">
        <v>0</v>
      </c>
      <c r="L31" s="31" t="n">
        <v>98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79.54000000000001</v>
      </c>
      <c r="P31" s="32" t="n">
        <v>55.67</v>
      </c>
      <c r="Q31" s="32" t="inlineStr"/>
      <c r="R31" s="31" t="inlineStr">
        <is>
          <t>Earnings / Momentum Support</t>
        </is>
      </c>
      <c r="S31" s="31" t="inlineStr">
        <is>
          <t>Nifty Auto</t>
        </is>
      </c>
      <c r="T31" s="32" t="n">
        <v>13.41</v>
      </c>
      <c r="U31" s="32" t="n">
        <v>275.68</v>
      </c>
      <c r="V31" s="32" t="n">
        <v>231.25</v>
      </c>
      <c r="W31" s="32" t="n">
        <v>46.25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Negative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17</t>
        </is>
      </c>
      <c r="CG31" s="31">
        <f>IF(CF31&gt;20,10,IF(CF31&gt;=10,5,2))</f>
        <v/>
      </c>
    </row>
    <row r="32">
      <c r="A32" s="31">
        <f>IF(B32=0,"",RANK(B32,$B$2:$B$86,0))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GNA</t>
        </is>
      </c>
      <c r="D32" s="31" t="inlineStr">
        <is>
          <t>GNA Axles Ltd</t>
        </is>
      </c>
      <c r="E32" s="31" t="inlineStr">
        <is>
          <t>auto</t>
        </is>
      </c>
      <c r="F32" s="31" t="inlineStr">
        <is>
          <t>Auto &amp; Auto Ancl - CV</t>
        </is>
      </c>
      <c r="G32" s="31" t="inlineStr">
        <is>
          <t>smallcap</t>
        </is>
      </c>
      <c r="H32" s="32" t="n">
        <v>2202.35</v>
      </c>
      <c r="I32" s="32" t="n">
        <v>513</v>
      </c>
      <c r="J32" s="32" t="n">
        <v>-9.529999999999999</v>
      </c>
      <c r="K32" s="32" t="n">
        <v>0</v>
      </c>
      <c r="L32" s="31" t="n">
        <v>80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76.94</v>
      </c>
      <c r="P32" s="32" t="n">
        <v>24.94</v>
      </c>
      <c r="Q32" s="32" t="inlineStr"/>
      <c r="R32" s="31" t="inlineStr">
        <is>
          <t>Earnings / Momentum Support</t>
        </is>
      </c>
      <c r="S32" s="31" t="inlineStr">
        <is>
          <t>Nifty Auto</t>
        </is>
      </c>
      <c r="T32" s="32" t="n">
        <v>13.41</v>
      </c>
      <c r="U32" s="32" t="n">
        <v>68.69</v>
      </c>
      <c r="V32" s="32" t="n">
        <v>48.74</v>
      </c>
      <c r="W32" s="32" t="n">
        <v>18.24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17</t>
        </is>
      </c>
      <c r="CG32" s="31">
        <f>IF(CF32&gt;20,10,IF(CF32&gt;=10,5,2))</f>
        <v/>
      </c>
    </row>
    <row r="33">
      <c r="A33" s="31">
        <f>IF(B33=0,"",RANK(B33,$B$2:$B$86,0))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SUNRAKSHAK</t>
        </is>
      </c>
      <c r="D33" s="31" t="inlineStr">
        <is>
          <t>Sunrakshakk Industries India Ltd</t>
        </is>
      </c>
      <c r="E33" s="31" t="inlineStr">
        <is>
          <t>Consumer Cyclical</t>
        </is>
      </c>
      <c r="F33" s="31" t="inlineStr">
        <is>
          <t>Textiles - Processing/Texturising</t>
        </is>
      </c>
      <c r="G33" s="31" t="inlineStr">
        <is>
          <t>smallcap</t>
        </is>
      </c>
      <c r="H33" s="32" t="n">
        <v>1104.93</v>
      </c>
      <c r="I33" s="32" t="n">
        <v>356.35</v>
      </c>
      <c r="J33" s="32" t="n">
        <v>8.33</v>
      </c>
      <c r="K33" s="32" t="n">
        <v>0</v>
      </c>
      <c r="L33" s="31" t="n">
        <v>54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62.87</v>
      </c>
      <c r="P33" s="32" t="n">
        <v>45.31</v>
      </c>
      <c r="Q33" s="32" t="inlineStr"/>
      <c r="R33" s="31" t="inlineStr">
        <is>
          <t>Earnings / Momentum Support</t>
        </is>
      </c>
      <c r="S33" s="31" t="inlineStr">
        <is>
          <t>Nifty 50</t>
        </is>
      </c>
      <c r="T33" s="32" t="n">
        <v>-2.54</v>
      </c>
      <c r="U33" s="32" t="n">
        <v>24.23</v>
      </c>
      <c r="V33" s="32" t="n">
        <v>27.46</v>
      </c>
      <c r="W33" s="32" t="n">
        <v>9.5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B2C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Negative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17</t>
        </is>
      </c>
      <c r="CG33" s="31">
        <f>IF(CF33&gt;20,10,IF(CF33&gt;=10,5,2))</f>
        <v/>
      </c>
    </row>
    <row r="34">
      <c r="A34" s="31">
        <f>IF(B34=0,"",RANK(B34,$B$2:$B$86,0))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RAIN</t>
        </is>
      </c>
      <c r="D34" s="31" t="inlineStr">
        <is>
          <t>Rain Industries Ltd</t>
        </is>
      </c>
      <c r="E34" s="31" t="inlineStr">
        <is>
          <t>miscellaneous</t>
        </is>
      </c>
      <c r="F34" s="31" t="inlineStr">
        <is>
          <t>Cement</t>
        </is>
      </c>
      <c r="G34" s="31" t="inlineStr">
        <is>
          <t>midcap</t>
        </is>
      </c>
      <c r="H34" s="32" t="n">
        <v>7130.53</v>
      </c>
      <c r="I34" s="32" t="n">
        <v>212</v>
      </c>
      <c r="J34" s="32" t="n">
        <v>2.53</v>
      </c>
      <c r="K34" s="32" t="n">
        <v>0</v>
      </c>
      <c r="L34" s="31" t="n">
        <v>83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71.44</v>
      </c>
      <c r="P34" s="32" t="n">
        <v>40.31</v>
      </c>
      <c r="Q34" s="32" t="inlineStr"/>
      <c r="R34" s="31" t="inlineStr">
        <is>
          <t>Earnings / Momentum Support</t>
        </is>
      </c>
      <c r="S34" s="31" t="inlineStr">
        <is>
          <t>Nifty 50</t>
        </is>
      </c>
      <c r="T34" s="32" t="n">
        <v>-2.54</v>
      </c>
      <c r="U34" s="32" t="n">
        <v>38.69</v>
      </c>
      <c r="V34" s="32" t="n">
        <v>42.31</v>
      </c>
      <c r="W34" s="32" t="n">
        <v>20.51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More than 1.2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15</t>
        </is>
      </c>
      <c r="CG34" s="31">
        <f>IF(CF34&gt;20,10,IF(CF34&gt;=10,5,2))</f>
        <v/>
      </c>
    </row>
    <row r="35">
      <c r="A35" s="31">
        <f>IF(B35=0,"",RANK(B35,$B$2:$B$86,0))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KPL</t>
        </is>
      </c>
      <c r="D35" s="31" t="inlineStr">
        <is>
          <t>Kwality Pharmaceuticals Ltd</t>
        </is>
      </c>
      <c r="E35" s="31" t="inlineStr">
        <is>
          <t>Healthcare</t>
        </is>
      </c>
      <c r="F35" s="31" t="inlineStr">
        <is>
          <t>Pharma - Formulators</t>
        </is>
      </c>
      <c r="G35" s="31" t="inlineStr">
        <is>
          <t>smallcap</t>
        </is>
      </c>
      <c r="H35" s="32" t="n">
        <v>2860.1</v>
      </c>
      <c r="I35" s="32" t="n">
        <v>2756.4</v>
      </c>
      <c r="J35" s="32" t="n">
        <v>2.12</v>
      </c>
      <c r="K35" s="32" t="n">
        <v>0</v>
      </c>
      <c r="L35" s="31" t="n">
        <v>94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77.48999999999999</v>
      </c>
      <c r="P35" s="32" t="n">
        <v>63.44</v>
      </c>
      <c r="Q35" s="32" t="inlineStr"/>
      <c r="R35" s="31" t="inlineStr">
        <is>
          <t>Earnings / Momentum Support</t>
        </is>
      </c>
      <c r="S35" s="31" t="inlineStr">
        <is>
          <t>Nifty Pharma</t>
        </is>
      </c>
      <c r="T35" s="32" t="n">
        <v>13.51</v>
      </c>
      <c r="U35" s="32" t="n">
        <v>131.8</v>
      </c>
      <c r="V35" s="32" t="n">
        <v>104.21</v>
      </c>
      <c r="W35" s="32" t="n">
        <v>33.86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Less than 50%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22</t>
        </is>
      </c>
      <c r="CG35" s="31">
        <f>IF(CF35&gt;20,10,IF(CF35&gt;=10,5,2))</f>
        <v/>
      </c>
    </row>
    <row r="36">
      <c r="A36" s="31">
        <f>IF(B36=0,"",RANK(B36,$B$2:$B$86,0))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KMCSHIL</t>
        </is>
      </c>
      <c r="D36" s="31" t="inlineStr">
        <is>
          <t>KMC Speciality Hospitals (India) Ltd</t>
        </is>
      </c>
      <c r="E36" s="31" t="inlineStr">
        <is>
          <t>Healthcare</t>
        </is>
      </c>
      <c r="F36" s="31" t="inlineStr">
        <is>
          <t>Hospitals</t>
        </is>
      </c>
      <c r="G36" s="31" t="inlineStr">
        <is>
          <t>smallcap</t>
        </is>
      </c>
      <c r="H36" s="32" t="n">
        <v>2177.18</v>
      </c>
      <c r="I36" s="32" t="n">
        <v>133.5</v>
      </c>
      <c r="J36" s="32" t="n">
        <v>-0.85</v>
      </c>
      <c r="K36" s="32" t="n">
        <v>0</v>
      </c>
      <c r="L36" s="31" t="n">
        <v>91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84.09999999999999</v>
      </c>
      <c r="P36" s="32" t="n">
        <v>66.92</v>
      </c>
      <c r="Q36" s="32" t="inlineStr"/>
      <c r="R36" s="31" t="inlineStr">
        <is>
          <t>Earnings / Momentum Support</t>
        </is>
      </c>
      <c r="S36" s="31" t="inlineStr">
        <is>
          <t>Nifty Pharma</t>
        </is>
      </c>
      <c r="T36" s="32" t="n">
        <v>13.51</v>
      </c>
      <c r="U36" s="32" t="n">
        <v>106.46</v>
      </c>
      <c r="V36" s="32" t="n">
        <v>81.88</v>
      </c>
      <c r="W36" s="32" t="n">
        <v>27.2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19</t>
        </is>
      </c>
      <c r="CG36" s="31">
        <f>IF(CF36&gt;20,10,IF(CF36&gt;=10,5,2))</f>
        <v/>
      </c>
    </row>
    <row r="37">
      <c r="A37" s="31">
        <f>IF(B37=0,"",RANK(B37,$B$2:$B$86,0))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VADILALIND</t>
        </is>
      </c>
      <c r="D37" s="31" t="inlineStr">
        <is>
          <t>Vadilal Industries Ltd</t>
        </is>
      </c>
      <c r="E37" s="31" t="inlineStr">
        <is>
          <t>fmcg</t>
        </is>
      </c>
      <c r="F37" s="31" t="inlineStr">
        <is>
          <t>FMCG - Dairy Products</t>
        </is>
      </c>
      <c r="G37" s="31" t="inlineStr">
        <is>
          <t>smallcap</t>
        </is>
      </c>
      <c r="H37" s="32" t="n">
        <v>4869.75</v>
      </c>
      <c r="I37" s="32" t="n">
        <v>6775</v>
      </c>
      <c r="J37" s="32" t="n">
        <v>0.88</v>
      </c>
      <c r="K37" s="32" t="n">
        <v>0</v>
      </c>
      <c r="L37" s="31" t="n">
        <v>76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72.67</v>
      </c>
      <c r="P37" s="32" t="n">
        <v>29.2</v>
      </c>
      <c r="Q37" s="32" t="inlineStr"/>
      <c r="R37" s="31" t="inlineStr">
        <is>
          <t>Earnings / Momentum Support</t>
        </is>
      </c>
      <c r="S37" s="31" t="inlineStr">
        <is>
          <t>Nifty FMCG</t>
        </is>
      </c>
      <c r="T37" s="32" t="n">
        <v>-13.73</v>
      </c>
      <c r="U37" s="32" t="n">
        <v>26.81</v>
      </c>
      <c r="V37" s="32" t="n">
        <v>46.99</v>
      </c>
      <c r="W37" s="32" t="n">
        <v>15.98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B2C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Between 50% to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18</t>
        </is>
      </c>
      <c r="CG37" s="31">
        <f>IF(CF37&gt;20,10,IF(CF37&gt;=10,5,2))</f>
        <v/>
      </c>
    </row>
    <row r="38">
      <c r="A38" s="31">
        <f>IF(B38=0,"",RANK(B38,$B$2:$B$86,0))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HESTERBIO</t>
        </is>
      </c>
      <c r="D38" s="31" t="inlineStr">
        <is>
          <t>Hester Biosciences Ltd</t>
        </is>
      </c>
      <c r="E38" s="31" t="inlineStr">
        <is>
          <t>healthcare</t>
        </is>
      </c>
      <c r="F38" s="31" t="inlineStr">
        <is>
          <t>Pharma - Animal</t>
        </is>
      </c>
      <c r="G38" s="31" t="inlineStr">
        <is>
          <t>smallcap</t>
        </is>
      </c>
      <c r="H38" s="32" t="n">
        <v>2119.06</v>
      </c>
      <c r="I38" s="32" t="n">
        <v>2491</v>
      </c>
      <c r="J38" s="32" t="n">
        <v>1.76</v>
      </c>
      <c r="K38" s="32" t="n">
        <v>0</v>
      </c>
      <c r="L38" s="31" t="n">
        <v>84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76.11</v>
      </c>
      <c r="P38" s="32" t="n">
        <v>49.25</v>
      </c>
      <c r="Q38" s="32" t="inlineStr"/>
      <c r="R38" s="31" t="inlineStr">
        <is>
          <t>Earnings / Momentum Support</t>
        </is>
      </c>
      <c r="S38" s="31" t="inlineStr">
        <is>
          <t>Nifty Pharma</t>
        </is>
      </c>
      <c r="T38" s="32" t="n">
        <v>13.51</v>
      </c>
      <c r="U38" s="32" t="n">
        <v>27.96</v>
      </c>
      <c r="V38" s="32" t="n">
        <v>12.73</v>
      </c>
      <c r="W38" s="32" t="n">
        <v>21.16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16</t>
        </is>
      </c>
      <c r="CG38" s="31">
        <f>IF(CF38&gt;20,10,IF(CF38&gt;=10,5,2))</f>
        <v/>
      </c>
    </row>
    <row r="39">
      <c r="A39" s="31">
        <f>IF(B39=0,"",RANK(B39,$B$2:$B$86,0))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CEMPRO</t>
        </is>
      </c>
      <c r="D39" s="31" t="inlineStr">
        <is>
          <t>Cemindia Projects Ltd</t>
        </is>
      </c>
      <c r="E39" s="31" t="inlineStr">
        <is>
          <t>realty</t>
        </is>
      </c>
      <c r="F39" s="31" t="inlineStr">
        <is>
          <t>Infra - Construction &amp; Contracting</t>
        </is>
      </c>
      <c r="G39" s="31" t="inlineStr">
        <is>
          <t>largecap</t>
        </is>
      </c>
      <c r="H39" s="32" t="n">
        <v>27743.69</v>
      </c>
      <c r="I39" s="32" t="n">
        <v>1615</v>
      </c>
      <c r="J39" s="32" t="n">
        <v>0</v>
      </c>
      <c r="K39" s="32" t="n">
        <v>0</v>
      </c>
      <c r="L39" s="31" t="n">
        <v>98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84.45</v>
      </c>
      <c r="P39" s="32" t="n">
        <v>56.92</v>
      </c>
      <c r="Q39" s="32" t="inlineStr"/>
      <c r="R39" s="31" t="inlineStr">
        <is>
          <t>Earnings / Momentum Support</t>
        </is>
      </c>
      <c r="S39" s="31" t="inlineStr">
        <is>
          <t>Nifty Realty</t>
        </is>
      </c>
      <c r="T39" s="32" t="n">
        <v>-8.119999999999999</v>
      </c>
      <c r="U39" s="32" t="n">
        <v>100.87</v>
      </c>
      <c r="V39" s="32" t="n">
        <v>118.63</v>
      </c>
      <c r="W39" s="32" t="n">
        <v>55.75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Less than 50%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20</t>
        </is>
      </c>
      <c r="CG39" s="31">
        <f>IF(CF39&gt;20,10,IF(CF39&gt;=10,5,2))</f>
        <v/>
      </c>
    </row>
    <row r="40">
      <c r="A40" s="31">
        <f>IF(B40=0,"",RANK(B40,$B$2:$B$86,0))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FILATEX</t>
        </is>
      </c>
      <c r="D40" s="31" t="inlineStr">
        <is>
          <t>Filatex India Ltd</t>
        </is>
      </c>
      <c r="E40" s="31" t="inlineStr">
        <is>
          <t>textiles</t>
        </is>
      </c>
      <c r="F40" s="31" t="inlineStr">
        <is>
          <t>Textiles - Manmade Fibre - PFY/PSF</t>
        </is>
      </c>
      <c r="G40" s="31" t="inlineStr">
        <is>
          <t>smallcap</t>
        </is>
      </c>
      <c r="H40" s="32" t="n">
        <v>3206.1</v>
      </c>
      <c r="I40" s="32" t="n">
        <v>72.2</v>
      </c>
      <c r="J40" s="32" t="n">
        <v>0.88</v>
      </c>
      <c r="K40" s="32" t="n">
        <v>0</v>
      </c>
      <c r="L40" s="31" t="n">
        <v>81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75.66</v>
      </c>
      <c r="P40" s="32" t="n">
        <v>24.3</v>
      </c>
      <c r="Q40" s="32" t="inlineStr"/>
      <c r="R40" s="31" t="inlineStr">
        <is>
          <t>Earnings / Momentum Support</t>
        </is>
      </c>
      <c r="S40" s="31" t="inlineStr">
        <is>
          <t>Nifty 50</t>
        </is>
      </c>
      <c r="T40" s="32" t="n">
        <v>-2.54</v>
      </c>
      <c r="U40" s="32" t="n">
        <v>22.17</v>
      </c>
      <c r="V40" s="32" t="n">
        <v>25.35</v>
      </c>
      <c r="W40" s="32" t="n">
        <v>18.8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Between 12 to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20</t>
        </is>
      </c>
      <c r="CG40" s="31">
        <f>IF(CF40&gt;20,10,IF(CF40&gt;=10,5,2))</f>
        <v/>
      </c>
    </row>
    <row r="41">
      <c r="A41" s="31">
        <f>IF(B41=0,"",RANK(B41,$B$2:$B$86,0))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KRISHANA</t>
        </is>
      </c>
      <c r="D41" s="31" t="inlineStr">
        <is>
          <t>Krishana Phoschem Ltd</t>
        </is>
      </c>
      <c r="E41" s="31" t="inlineStr">
        <is>
          <t>chemicals</t>
        </is>
      </c>
      <c r="F41" s="31" t="inlineStr">
        <is>
          <t>Fertilisers</t>
        </is>
      </c>
      <c r="G41" s="31" t="inlineStr">
        <is>
          <t>smallcap</t>
        </is>
      </c>
      <c r="H41" s="32" t="n">
        <v>4484.05</v>
      </c>
      <c r="I41" s="32" t="n">
        <v>145.05</v>
      </c>
      <c r="J41" s="32" t="n">
        <v>3.28</v>
      </c>
      <c r="K41" s="32" t="n">
        <v>0</v>
      </c>
      <c r="L41" s="31" t="n">
        <v>62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63.14</v>
      </c>
      <c r="P41" s="32" t="n">
        <v>42.45</v>
      </c>
      <c r="Q41" s="32" t="inlineStr"/>
      <c r="R41" s="31" t="inlineStr">
        <is>
          <t>Earnings / Momentum Support</t>
        </is>
      </c>
      <c r="S41" s="31" t="inlineStr">
        <is>
          <t>Nifty 50</t>
        </is>
      </c>
      <c r="T41" s="32" t="n">
        <v>-2.54</v>
      </c>
      <c r="U41" s="32" t="n">
        <v>44.62</v>
      </c>
      <c r="V41" s="32" t="n">
        <v>48.39</v>
      </c>
      <c r="W41" s="32" t="n">
        <v>11.23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More than 1.2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18</t>
        </is>
      </c>
      <c r="CG41" s="31">
        <f>IF(CF41&gt;20,10,IF(CF41&gt;=10,5,2))</f>
        <v/>
      </c>
    </row>
    <row r="42">
      <c r="A42" s="31">
        <f>IF(B42=0,"",RANK(B42,$B$2:$B$86,0))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KERNEX</t>
        </is>
      </c>
      <c r="D42" s="31" t="inlineStr">
        <is>
          <t>Kernex Microsystems (India) Ltd</t>
        </is>
      </c>
      <c r="E42" s="31" t="inlineStr">
        <is>
          <t>Technology</t>
        </is>
      </c>
      <c r="F42" s="31" t="inlineStr">
        <is>
          <t>Railways - Kavach/Springs</t>
        </is>
      </c>
      <c r="G42" s="31" t="inlineStr">
        <is>
          <t>smallcap</t>
        </is>
      </c>
      <c r="H42" s="32" t="n">
        <v>3567.41</v>
      </c>
      <c r="I42" s="32" t="n">
        <v>2123</v>
      </c>
      <c r="J42" s="32" t="n">
        <v>4.1</v>
      </c>
      <c r="K42" s="32" t="n">
        <v>0</v>
      </c>
      <c r="L42" s="31" t="n">
        <v>92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64.61</v>
      </c>
      <c r="P42" s="32" t="n">
        <v>52.65</v>
      </c>
      <c r="Q42" s="32" t="inlineStr"/>
      <c r="R42" s="31" t="inlineStr">
        <is>
          <t>Earnings / Momentum Support</t>
        </is>
      </c>
      <c r="S42" s="31" t="inlineStr">
        <is>
          <t>Nifty IT</t>
        </is>
      </c>
      <c r="T42" s="32" t="n">
        <v>-21.31</v>
      </c>
      <c r="U42" s="32" t="n">
        <v>80.56</v>
      </c>
      <c r="V42" s="32" t="n">
        <v>129.47</v>
      </c>
      <c r="W42" s="32" t="n">
        <v>30.73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Negative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17</t>
        </is>
      </c>
      <c r="CG42" s="31">
        <f>IF(CF42&gt;20,10,IF(CF42&gt;=10,5,2))</f>
        <v/>
      </c>
    </row>
    <row r="43">
      <c r="A43" s="31">
        <f>IF(B43=0,"",RANK(B43,$B$2:$B$86,0))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INDNIPPON</t>
        </is>
      </c>
      <c r="D43" s="31" t="inlineStr">
        <is>
          <t>India Nippon Electricals Ltd</t>
        </is>
      </c>
      <c r="E43" s="31" t="inlineStr">
        <is>
          <t>auto</t>
        </is>
      </c>
      <c r="F43" s="31" t="inlineStr">
        <is>
          <t>Auto Ancillaries - Engine Parts</t>
        </is>
      </c>
      <c r="G43" s="31" t="inlineStr">
        <is>
          <t>smallcap</t>
        </is>
      </c>
      <c r="H43" s="32" t="n">
        <v>2782.44</v>
      </c>
      <c r="I43" s="32" t="n">
        <v>1230</v>
      </c>
      <c r="J43" s="32" t="n">
        <v>1.37</v>
      </c>
      <c r="K43" s="32" t="n">
        <v>0</v>
      </c>
      <c r="L43" s="31" t="n">
        <v>89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77.8</v>
      </c>
      <c r="P43" s="32" t="n">
        <v>31.88</v>
      </c>
      <c r="Q43" s="32" t="inlineStr"/>
      <c r="R43" s="31" t="inlineStr">
        <is>
          <t>Earnings / Momentum Support</t>
        </is>
      </c>
      <c r="S43" s="31" t="inlineStr">
        <is>
          <t>Nifty Auto</t>
        </is>
      </c>
      <c r="T43" s="32" t="n">
        <v>13.41</v>
      </c>
      <c r="U43" s="32" t="n">
        <v>58.64</v>
      </c>
      <c r="V43" s="32" t="n">
        <v>39.88</v>
      </c>
      <c r="W43" s="32" t="n">
        <v>23.7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Less than 50%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24</t>
        </is>
      </c>
      <c r="CG43" s="31">
        <f>IF(CF43&gt;20,10,IF(CF43&gt;=10,5,2))</f>
        <v/>
      </c>
    </row>
    <row r="44">
      <c r="A44" s="31">
        <f>IF(B44=0,"",RANK(B44,$B$2:$B$86,0))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AFCOM</t>
        </is>
      </c>
      <c r="D44" s="31" t="inlineStr">
        <is>
          <t>Afcom Holdings Ltd</t>
        </is>
      </c>
      <c r="E44" s="31" t="inlineStr">
        <is>
          <t>Industrials</t>
        </is>
      </c>
      <c r="F44" s="31" t="inlineStr">
        <is>
          <t>Air Transport Service</t>
        </is>
      </c>
      <c r="G44" s="31" t="inlineStr">
        <is>
          <t>smallcap</t>
        </is>
      </c>
      <c r="H44" s="32" t="n">
        <v>4175.65</v>
      </c>
      <c r="I44" s="32" t="n">
        <v>1455</v>
      </c>
      <c r="J44" s="32" t="n">
        <v>2.2</v>
      </c>
      <c r="K44" s="32" t="n">
        <v>0</v>
      </c>
      <c r="L44" s="31" t="n">
        <v>91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72.14</v>
      </c>
      <c r="P44" s="32" t="n">
        <v>32.61</v>
      </c>
      <c r="Q44" s="32" t="inlineStr"/>
      <c r="R44" s="31" t="inlineStr">
        <is>
          <t>Earnings / Momentum Support</t>
        </is>
      </c>
      <c r="S44" s="31" t="inlineStr">
        <is>
          <t>Nifty 50</t>
        </is>
      </c>
      <c r="T44" s="32" t="n">
        <v>-2.54</v>
      </c>
      <c r="U44" s="32" t="n">
        <v>58.75</v>
      </c>
      <c r="V44" s="32" t="n">
        <v>62.89</v>
      </c>
      <c r="W44" s="32" t="n">
        <v>27.79</v>
      </c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Less than 50%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Between 0.7 to 1.2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19</t>
        </is>
      </c>
      <c r="CG44" s="31">
        <f>IF(CF44&gt;20,10,IF(CF44&gt;=10,5,2))</f>
        <v/>
      </c>
    </row>
    <row r="45">
      <c r="A45" s="31">
        <f>IF(B45=0,"",RANK(B45,$B$2:$B$86,0))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INDOTECH</t>
        </is>
      </c>
      <c r="D45" s="31" t="inlineStr">
        <is>
          <t>Indo Tech Transformers Ltd</t>
        </is>
      </c>
      <c r="E45" s="31" t="inlineStr">
        <is>
          <t>industrials</t>
        </is>
      </c>
      <c r="F45" s="31" t="inlineStr">
        <is>
          <t>Capital Goods - Transformers</t>
        </is>
      </c>
      <c r="G45" s="31" t="inlineStr">
        <is>
          <t>smallcap</t>
        </is>
      </c>
      <c r="H45" s="32" t="n">
        <v>3621.42</v>
      </c>
      <c r="I45" s="32" t="n">
        <v>3410</v>
      </c>
      <c r="J45" s="32" t="n">
        <v>0.27</v>
      </c>
      <c r="K45" s="32" t="n">
        <v>0</v>
      </c>
      <c r="L45" s="31" t="n">
        <v>95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75.34999999999999</v>
      </c>
      <c r="P45" s="32" t="n">
        <v>48.96</v>
      </c>
      <c r="Q45" s="32" t="inlineStr"/>
      <c r="R45" s="31" t="inlineStr">
        <is>
          <t>Earnings / Momentum Support</t>
        </is>
      </c>
      <c r="S45" s="31" t="inlineStr">
        <is>
          <t>Nifty 50</t>
        </is>
      </c>
      <c r="T45" s="32" t="n">
        <v>-2.54</v>
      </c>
      <c r="U45" s="32" t="n">
        <v>80.76000000000001</v>
      </c>
      <c r="V45" s="32" t="n">
        <v>85.47</v>
      </c>
      <c r="W45" s="32" t="n">
        <v>34.4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Between 12 to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Less than 50%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18</t>
        </is>
      </c>
      <c r="CG45" s="31">
        <f>IF(CF45&gt;20,10,IF(CF45&gt;=10,5,2))</f>
        <v/>
      </c>
    </row>
    <row r="46">
      <c r="A46" s="31">
        <f>IF(B46=0,"",RANK(B46,$B$2:$B$86,0))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KMEW</t>
        </is>
      </c>
      <c r="D46" s="31" t="inlineStr">
        <is>
          <t>Knowledge Marine &amp; Engineering Works Ltd</t>
        </is>
      </c>
      <c r="E46" s="31" t="inlineStr">
        <is>
          <t>transportation</t>
        </is>
      </c>
      <c r="F46" s="31" t="inlineStr">
        <is>
          <t>Shipping</t>
        </is>
      </c>
      <c r="G46" s="31" t="inlineStr">
        <is>
          <t>midcap</t>
        </is>
      </c>
      <c r="H46" s="32" t="n">
        <v>5971.28</v>
      </c>
      <c r="I46" s="32" t="n">
        <v>2427.35</v>
      </c>
      <c r="J46" s="32" t="n">
        <v>1.04</v>
      </c>
      <c r="K46" s="32" t="n">
        <v>0</v>
      </c>
      <c r="L46" s="31" t="n">
        <v>93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70.31999999999999</v>
      </c>
      <c r="P46" s="32" t="n">
        <v>45.6</v>
      </c>
      <c r="Q46" s="32" t="inlineStr"/>
      <c r="R46" s="31" t="inlineStr">
        <is>
          <t>Earnings / Momentum Support</t>
        </is>
      </c>
      <c r="S46" s="31" t="inlineStr">
        <is>
          <t>Nifty 50</t>
        </is>
      </c>
      <c r="T46" s="32" t="n">
        <v>-2.54</v>
      </c>
      <c r="U46" s="32" t="n">
        <v>163.45</v>
      </c>
      <c r="V46" s="32" t="n">
        <v>170.31</v>
      </c>
      <c r="W46" s="32" t="n">
        <v>31.41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Negative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18</t>
        </is>
      </c>
      <c r="CG46" s="31">
        <f>IF(CF46&gt;20,10,IF(CF46&gt;=10,5,2))</f>
        <v/>
      </c>
    </row>
    <row r="47">
      <c r="A47" s="31">
        <f>IF(B47=0,"",RANK(B47,$B$2:$B$86,0))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OBEROIRLTY</t>
        </is>
      </c>
      <c r="D47" s="31" t="inlineStr">
        <is>
          <t>Oberoi Realty Ltd</t>
        </is>
      </c>
      <c r="E47" s="31" t="inlineStr">
        <is>
          <t>realty</t>
        </is>
      </c>
      <c r="F47" s="31" t="inlineStr">
        <is>
          <t>Realty - Regional</t>
        </is>
      </c>
      <c r="G47" s="31" t="inlineStr">
        <is>
          <t>largecap</t>
        </is>
      </c>
      <c r="H47" s="32" t="n">
        <v>68702.64</v>
      </c>
      <c r="I47" s="32" t="n">
        <v>1889.5</v>
      </c>
      <c r="J47" s="32" t="n">
        <v>-0.28</v>
      </c>
      <c r="K47" s="32" t="n">
        <v>0</v>
      </c>
      <c r="L47" s="31" t="n">
        <v>22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65.18000000000001</v>
      </c>
      <c r="P47" s="32" t="n">
        <v>17.59</v>
      </c>
      <c r="Q47" s="32" t="inlineStr"/>
      <c r="R47" s="31" t="inlineStr">
        <is>
          <t>Earnings / Momentum Support</t>
        </is>
      </c>
      <c r="S47" s="31" t="inlineStr">
        <is>
          <t>Nifty Realty</t>
        </is>
      </c>
      <c r="T47" s="32" t="n">
        <v>-8.119999999999999</v>
      </c>
      <c r="U47" s="32" t="n">
        <v>3.77</v>
      </c>
      <c r="V47" s="32" t="n">
        <v>12.94</v>
      </c>
      <c r="W47" s="32" t="n">
        <v>3.1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0 to 20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18</t>
        </is>
      </c>
      <c r="CG47" s="31">
        <f>IF(CF47&gt;20,10,IF(CF47&gt;=10,5,2))</f>
        <v/>
      </c>
    </row>
    <row r="48">
      <c r="A48" s="31">
        <f>IF(B48=0,"",RANK(B48,$B$2:$B$86,0))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ADOR</t>
        </is>
      </c>
      <c r="D48" s="31" t="inlineStr">
        <is>
          <t>Ador Welding Ltd</t>
        </is>
      </c>
      <c r="E48" s="31" t="inlineStr">
        <is>
          <t>industrials</t>
        </is>
      </c>
      <c r="F48" s="31" t="inlineStr">
        <is>
          <t>Welding Equipments</t>
        </is>
      </c>
      <c r="G48" s="31" t="inlineStr">
        <is>
          <t>smallcap</t>
        </is>
      </c>
      <c r="H48" s="32" t="n">
        <v>2537.33</v>
      </c>
      <c r="I48" s="32" t="n">
        <v>1458</v>
      </c>
      <c r="J48" s="32" t="n">
        <v>5.34</v>
      </c>
      <c r="K48" s="32" t="n">
        <v>0</v>
      </c>
      <c r="L48" s="31" t="n">
        <v>71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77.83</v>
      </c>
      <c r="P48" s="32" t="n">
        <v>38.24</v>
      </c>
      <c r="Q48" s="32" t="inlineStr"/>
      <c r="R48" s="31" t="inlineStr">
        <is>
          <t>Earnings / Momentum Support</t>
        </is>
      </c>
      <c r="S48" s="31" t="inlineStr">
        <is>
          <t>Nifty 50</t>
        </is>
      </c>
      <c r="T48" s="32" t="n">
        <v>-2.54</v>
      </c>
      <c r="U48" s="32" t="n">
        <v>26.64</v>
      </c>
      <c r="V48" s="32" t="n">
        <v>29.94</v>
      </c>
      <c r="W48" s="32" t="n">
        <v>14.24</v>
      </c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16</t>
        </is>
      </c>
      <c r="CG48" s="31">
        <f>IF(CF48&gt;20,10,IF(CF48&gt;=10,5,2))</f>
        <v/>
      </c>
    </row>
    <row r="49">
      <c r="A49" s="31">
        <f>IF(B49=0,"",RANK(B49,$B$2:$B$86,0))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IKIO</t>
        </is>
      </c>
      <c r="D49" s="31" t="inlineStr">
        <is>
          <t>IKIO Technologies Ltd</t>
        </is>
      </c>
      <c r="E49" s="31" t="inlineStr">
        <is>
          <t>consumer discretionary</t>
        </is>
      </c>
      <c r="F49" s="31" t="inlineStr">
        <is>
          <t>Capital Goods - Electric General</t>
        </is>
      </c>
      <c r="G49" s="31" t="inlineStr">
        <is>
          <t>smallcap</t>
        </is>
      </c>
      <c r="H49" s="32" t="n">
        <v>1657.59</v>
      </c>
      <c r="I49" s="32" t="n">
        <v>214.49</v>
      </c>
      <c r="J49" s="32" t="n">
        <v>-2.22</v>
      </c>
      <c r="K49" s="32" t="n">
        <v>0</v>
      </c>
      <c r="L49" s="31" t="n">
        <v>70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69.41</v>
      </c>
      <c r="P49" s="32" t="n">
        <v>24.97</v>
      </c>
      <c r="Q49" s="32" t="inlineStr"/>
      <c r="R49" s="31" t="inlineStr">
        <is>
          <t>Earnings / Momentum Support</t>
        </is>
      </c>
      <c r="S49" s="31" t="inlineStr">
        <is>
          <t>Nifty 50</t>
        </is>
      </c>
      <c r="T49" s="32" t="n">
        <v>-2.54</v>
      </c>
      <c r="U49" s="32" t="n">
        <v>4.67</v>
      </c>
      <c r="V49" s="32" t="n">
        <v>7.4</v>
      </c>
      <c r="W49" s="32" t="n">
        <v>13.91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Less than 50%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16</t>
        </is>
      </c>
      <c r="CG49" s="31">
        <f>IF(CF49&gt;20,10,IF(CF49&gt;=10,5,2))</f>
        <v/>
      </c>
    </row>
    <row r="50">
      <c r="A50" s="31">
        <f>IF(B50=0,"",RANK(B50,$B$2:$B$86,0))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3" t="inlineStr">
        <is>
          <t>SSWL</t>
        </is>
      </c>
      <c r="D50" s="33" t="inlineStr">
        <is>
          <t>Steel Strips Wheels Ltd</t>
        </is>
      </c>
      <c r="E50" s="31" t="inlineStr">
        <is>
          <t>auto</t>
        </is>
      </c>
      <c r="F50" s="31" t="inlineStr">
        <is>
          <t>Auto Ancillaries - Wheels</t>
        </is>
      </c>
      <c r="G50" s="31" t="inlineStr">
        <is>
          <t>smallcap</t>
        </is>
      </c>
      <c r="H50" s="32" t="n">
        <v>4345.41</v>
      </c>
      <c r="I50" s="32" t="n">
        <v>276.46</v>
      </c>
      <c r="J50" s="32" t="n">
        <v>3.85</v>
      </c>
      <c r="K50" s="32" t="n">
        <v>0</v>
      </c>
      <c r="L50" s="31" t="n">
        <v>37</v>
      </c>
      <c r="M50" s="31" t="inlineStr">
        <is>
          <t>Underperforming</t>
        </is>
      </c>
      <c r="N50" s="32">
        <f>IF(M50="Underperforming",-5,IF(L50&gt;=95,15,IF(L50&gt;=90,10,IF(L50&gt;=80,5,0))))</f>
        <v/>
      </c>
      <c r="O50" s="32" t="n">
        <v>67.91</v>
      </c>
      <c r="P50" s="32" t="n">
        <v>16.49</v>
      </c>
      <c r="Q50" s="32" t="inlineStr"/>
      <c r="R50" s="31" t="inlineStr">
        <is>
          <t>Earnings / Momentum Support</t>
        </is>
      </c>
      <c r="S50" s="31" t="inlineStr">
        <is>
          <t>Nifty Auto</t>
        </is>
      </c>
      <c r="T50" s="32" t="n">
        <v>13.41</v>
      </c>
      <c r="U50" s="32" t="n">
        <v>4.51</v>
      </c>
      <c r="V50" s="32" t="n">
        <v>-7.85</v>
      </c>
      <c r="W50" s="32" t="n">
        <v>5.81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0 to 20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26</t>
        </is>
      </c>
      <c r="CG50" s="31">
        <f>IF(CF50&gt;20,10,IF(CF50&gt;=10,5,2))</f>
        <v/>
      </c>
    </row>
    <row r="51">
      <c r="A51" s="31">
        <f>IF(B51=0,"",RANK(B51,$B$2:$B$86,0))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TATVA</t>
        </is>
      </c>
      <c r="D51" s="31" t="inlineStr">
        <is>
          <t>Tatva Chintan Pharma Chem Ltd</t>
        </is>
      </c>
      <c r="E51" s="31" t="inlineStr">
        <is>
          <t>chemicals</t>
        </is>
      </c>
      <c r="F51" s="31" t="inlineStr">
        <is>
          <t>Speciality Chemicals</t>
        </is>
      </c>
      <c r="G51" s="31" t="inlineStr">
        <is>
          <t>smallcap</t>
        </is>
      </c>
      <c r="H51" s="32" t="n">
        <v>4008.7</v>
      </c>
      <c r="I51" s="32" t="n">
        <v>1713.7</v>
      </c>
      <c r="J51" s="32" t="n">
        <v>20</v>
      </c>
      <c r="K51" s="32" t="n">
        <v>0</v>
      </c>
      <c r="L51" s="31" t="n">
        <v>58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63.33</v>
      </c>
      <c r="P51" s="32" t="n">
        <v>18.79</v>
      </c>
      <c r="Q51" s="32" t="inlineStr"/>
      <c r="R51" s="31" t="inlineStr">
        <is>
          <t>Volume Spike / Accumulation</t>
        </is>
      </c>
      <c r="S51" s="31" t="inlineStr">
        <is>
          <t>Nifty 50</t>
        </is>
      </c>
      <c r="T51" s="32" t="n">
        <v>-2.54</v>
      </c>
      <c r="U51" s="32" t="n">
        <v>42.9</v>
      </c>
      <c r="V51" s="32" t="n">
        <v>46.63</v>
      </c>
      <c r="W51" s="32" t="n">
        <v>10.58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0 to 20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25</t>
        </is>
      </c>
      <c r="CG51" s="31">
        <f>IF(CF51&gt;20,10,IF(CF51&gt;=10,5,2))</f>
        <v/>
      </c>
    </row>
    <row r="52">
      <c r="A52" s="31">
        <f>IF(B52=0,"",RANK(B52,$B$2:$B$86,0))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AURUM</t>
        </is>
      </c>
      <c r="D52" s="31" t="inlineStr">
        <is>
          <t>Aurum Proptech Ltd</t>
        </is>
      </c>
      <c r="E52" s="31" t="inlineStr">
        <is>
          <t>i.t</t>
        </is>
      </c>
      <c r="F52" s="31" t="inlineStr">
        <is>
          <t>IT Enabled Services</t>
        </is>
      </c>
      <c r="G52" s="31" t="inlineStr">
        <is>
          <t>smallcap</t>
        </is>
      </c>
      <c r="H52" s="32" t="n">
        <v>1691.23</v>
      </c>
      <c r="I52" s="32" t="n">
        <v>234.75</v>
      </c>
      <c r="J52" s="32" t="n">
        <v>-1.89</v>
      </c>
      <c r="K52" s="32" t="n">
        <v>0</v>
      </c>
      <c r="L52" s="31" t="n">
        <v>63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73.41</v>
      </c>
      <c r="P52" s="32" t="n">
        <v>38.84</v>
      </c>
      <c r="Q52" s="32" t="inlineStr"/>
      <c r="R52" s="31" t="inlineStr">
        <is>
          <t>Earnings / Momentum Support</t>
        </is>
      </c>
      <c r="S52" s="31" t="inlineStr">
        <is>
          <t>Nifty IT</t>
        </is>
      </c>
      <c r="T52" s="32" t="n">
        <v>-21.31</v>
      </c>
      <c r="U52" s="32" t="n">
        <v>20.01</v>
      </c>
      <c r="V52" s="32" t="n">
        <v>52.51</v>
      </c>
      <c r="W52" s="32" t="n">
        <v>11.74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Between 50% to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25</t>
        </is>
      </c>
      <c r="CG52" s="31">
        <f>IF(CF52&gt;20,10,IF(CF52&gt;=10,5,2))</f>
        <v/>
      </c>
    </row>
    <row r="53">
      <c r="A53" s="31">
        <f>IF(B53=0,"",RANK(B53,$B$2:$B$86,0))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WELCORP</t>
        </is>
      </c>
      <c r="D53" s="31" t="inlineStr">
        <is>
          <t>Welspun Corp Ltd</t>
        </is>
      </c>
      <c r="E53" s="31" t="inlineStr">
        <is>
          <t>industrials</t>
        </is>
      </c>
      <c r="F53" s="31" t="inlineStr">
        <is>
          <t>DI Pipes/Saw Pipes</t>
        </is>
      </c>
      <c r="G53" s="31" t="inlineStr">
        <is>
          <t>largecap</t>
        </is>
      </c>
      <c r="H53" s="32" t="n">
        <v>42971.5</v>
      </c>
      <c r="I53" s="32" t="n">
        <v>1629</v>
      </c>
      <c r="J53" s="32" t="n">
        <v>3</v>
      </c>
      <c r="K53" s="32" t="n">
        <v>0</v>
      </c>
      <c r="L53" s="31" t="n">
        <v>89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82.56</v>
      </c>
      <c r="P53" s="32" t="n">
        <v>68.5</v>
      </c>
      <c r="Q53" s="32" t="inlineStr"/>
      <c r="R53" s="31" t="inlineStr">
        <is>
          <t>Earnings / Momentum Support</t>
        </is>
      </c>
      <c r="S53" s="31" t="inlineStr">
        <is>
          <t>Nifty Metal</t>
        </is>
      </c>
      <c r="T53" s="32" t="n">
        <v>31.49</v>
      </c>
      <c r="U53" s="32" t="n">
        <v>71.81999999999999</v>
      </c>
      <c r="V53" s="32" t="n">
        <v>30.67</v>
      </c>
      <c r="W53" s="32" t="n">
        <v>23.89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Less than 12%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20</t>
        </is>
      </c>
      <c r="CG53" s="31">
        <f>IF(CF53&gt;20,10,IF(CF53&gt;=10,5,2))</f>
        <v/>
      </c>
    </row>
    <row r="54">
      <c r="A54" s="31">
        <f>IF(B54=0,"",RANK(B54,$B$2:$B$86,0))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NYKAA</t>
        </is>
      </c>
      <c r="D54" s="31" t="inlineStr">
        <is>
          <t>FSN E-Commerce Ventures Ltd</t>
        </is>
      </c>
      <c r="E54" s="31" t="inlineStr">
        <is>
          <t>i.t</t>
        </is>
      </c>
      <c r="F54" s="31" t="inlineStr">
        <is>
          <t>New age - Platform - E-Retail</t>
        </is>
      </c>
      <c r="G54" s="31" t="inlineStr">
        <is>
          <t>largecap</t>
        </is>
      </c>
      <c r="H54" s="32" t="n">
        <v>92532.21000000001</v>
      </c>
      <c r="I54" s="32" t="n">
        <v>323.1</v>
      </c>
      <c r="J54" s="32" t="n">
        <v>0.02</v>
      </c>
      <c r="K54" s="32" t="n">
        <v>0</v>
      </c>
      <c r="L54" s="31" t="n">
        <v>68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69.97</v>
      </c>
      <c r="P54" s="32" t="n">
        <v>36.23</v>
      </c>
      <c r="Q54" s="32" t="inlineStr"/>
      <c r="R54" s="31" t="inlineStr">
        <is>
          <t>Earnings / Momentum Support</t>
        </is>
      </c>
      <c r="S54" s="31" t="inlineStr">
        <is>
          <t>Nifty IT</t>
        </is>
      </c>
      <c r="T54" s="32" t="n">
        <v>-21.31</v>
      </c>
      <c r="U54" s="32" t="n">
        <v>51.77</v>
      </c>
      <c r="V54" s="32" t="n">
        <v>92.87</v>
      </c>
      <c r="W54" s="32" t="n">
        <v>13.15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B2C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Between 0.7 to 1.2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16</t>
        </is>
      </c>
      <c r="CG54" s="31">
        <f>IF(CF54&gt;20,10,IF(CF54&gt;=10,5,2))</f>
        <v/>
      </c>
    </row>
    <row r="55">
      <c r="A55" s="31">
        <f>IF(B55=0,"",RANK(B55,$B$2:$B$86,0))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NOVARTIND</t>
        </is>
      </c>
      <c r="D55" s="31" t="inlineStr">
        <is>
          <t>Novartis India Ltd</t>
        </is>
      </c>
      <c r="E55" s="31" t="inlineStr">
        <is>
          <t>healthcare</t>
        </is>
      </c>
      <c r="F55" s="31" t="inlineStr">
        <is>
          <t>Pharma - MNC bulk Drugs</t>
        </is>
      </c>
      <c r="G55" s="31" t="inlineStr">
        <is>
          <t>smallcap</t>
        </is>
      </c>
      <c r="H55" s="32" t="n">
        <v>4125.83</v>
      </c>
      <c r="I55" s="32" t="n">
        <v>1671</v>
      </c>
      <c r="J55" s="32" t="n">
        <v>6.43</v>
      </c>
      <c r="K55" s="32" t="n">
        <v>0</v>
      </c>
      <c r="L55" s="31" t="n">
        <v>87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72.58</v>
      </c>
      <c r="P55" s="32" t="n">
        <v>69.83</v>
      </c>
      <c r="Q55" s="32" t="inlineStr"/>
      <c r="R55" s="31" t="inlineStr">
        <is>
          <t>Earnings / Momentum Support</t>
        </is>
      </c>
      <c r="S55" s="31" t="inlineStr">
        <is>
          <t>Nifty Pharma</t>
        </is>
      </c>
      <c r="T55" s="32" t="n">
        <v>13.51</v>
      </c>
      <c r="U55" s="32" t="n">
        <v>50.81</v>
      </c>
      <c r="V55" s="32" t="n">
        <v>32.86</v>
      </c>
      <c r="W55" s="32" t="n">
        <v>23.1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Less than 12%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Less than 50%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21</t>
        </is>
      </c>
      <c r="CG55" s="31">
        <f>IF(CF55&gt;20,10,IF(CF55&gt;=10,5,2))</f>
        <v/>
      </c>
    </row>
    <row r="56">
      <c r="A56" s="31">
        <f>IF(B56=0,"",RANK(B56,$B$2:$B$86,0))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HFCL</t>
        </is>
      </c>
      <c r="D56" s="31" t="inlineStr">
        <is>
          <t>HFCL Ltd</t>
        </is>
      </c>
      <c r="E56" s="31" t="inlineStr">
        <is>
          <t>Technology</t>
        </is>
      </c>
      <c r="F56" s="31" t="inlineStr">
        <is>
          <t>Telecom Services</t>
        </is>
      </c>
      <c r="G56" s="31" t="inlineStr">
        <is>
          <t>largecap</t>
        </is>
      </c>
      <c r="H56" s="32" t="n">
        <v>31867.14</v>
      </c>
      <c r="I56" s="32" t="n">
        <v>208.2</v>
      </c>
      <c r="J56" s="32" t="n">
        <v>-2.33</v>
      </c>
      <c r="K56" s="32" t="n">
        <v>0</v>
      </c>
      <c r="L56" s="31" t="n">
        <v>98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82.43000000000001</v>
      </c>
      <c r="P56" s="32" t="n">
        <v>71.12</v>
      </c>
      <c r="Q56" s="32" t="inlineStr"/>
      <c r="R56" s="31" t="inlineStr">
        <is>
          <t>Earnings / Momentum Support</t>
        </is>
      </c>
      <c r="S56" s="31" t="inlineStr">
        <is>
          <t>Nifty 50</t>
        </is>
      </c>
      <c r="T56" s="32" t="n">
        <v>-2.54</v>
      </c>
      <c r="U56" s="32" t="n">
        <v>161.74</v>
      </c>
      <c r="V56" s="32" t="n">
        <v>168.56</v>
      </c>
      <c r="W56" s="32" t="n">
        <v>53.93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Oligopoly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Negative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18</t>
        </is>
      </c>
      <c r="CG56" s="31">
        <f>IF(CF56&gt;20,10,IF(CF56&gt;=10,5,2))</f>
        <v/>
      </c>
    </row>
    <row r="57">
      <c r="A57" s="31">
        <f>IF(B57=0,"",RANK(B57,$B$2:$B$86,0))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BETA</t>
        </is>
      </c>
      <c r="D57" s="31" t="inlineStr">
        <is>
          <t>Beta Drugs Ltd</t>
        </is>
      </c>
      <c r="E57" s="31" t="inlineStr">
        <is>
          <t>Healthcare</t>
        </is>
      </c>
      <c r="F57" s="31" t="inlineStr">
        <is>
          <t>Pharma - API</t>
        </is>
      </c>
      <c r="G57" s="31" t="inlineStr">
        <is>
          <t>smallcap</t>
        </is>
      </c>
      <c r="H57" s="32" t="n">
        <v>2463.26</v>
      </c>
      <c r="I57" s="32" t="n">
        <v>2430</v>
      </c>
      <c r="J57" s="32" t="n">
        <v>9.01</v>
      </c>
      <c r="K57" s="32" t="n">
        <v>0</v>
      </c>
      <c r="L57" s="31" t="n">
        <v>85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73.02</v>
      </c>
      <c r="P57" s="32" t="n">
        <v>27.04</v>
      </c>
      <c r="Q57" s="32" t="inlineStr"/>
      <c r="R57" s="31" t="inlineStr">
        <is>
          <t>Volume Spike / Accumulation</t>
        </is>
      </c>
      <c r="S57" s="31" t="inlineStr">
        <is>
          <t>Nifty Pharma</t>
        </is>
      </c>
      <c r="T57" s="32" t="n">
        <v>13.51</v>
      </c>
      <c r="U57" s="32" t="n">
        <v>32.53</v>
      </c>
      <c r="V57" s="32" t="n">
        <v>16.75</v>
      </c>
      <c r="W57" s="32" t="n">
        <v>21.17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Less than 12%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Less than 50%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18</t>
        </is>
      </c>
      <c r="CG57" s="31">
        <f>IF(CF57&gt;20,10,IF(CF57&gt;=10,5,2))</f>
        <v/>
      </c>
    </row>
    <row r="58">
      <c r="A58" s="31">
        <f>IF(B58=0,"",RANK(B58,$B$2:$B$86,0))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TRIVENI</t>
        </is>
      </c>
      <c r="D58" s="31" t="inlineStr">
        <is>
          <t>Triveni Engineering and Industries Ltd</t>
        </is>
      </c>
      <c r="E58" s="31" t="inlineStr">
        <is>
          <t>fmcg</t>
        </is>
      </c>
      <c r="F58" s="31" t="inlineStr">
        <is>
          <t>Sugar</t>
        </is>
      </c>
      <c r="G58" s="31" t="inlineStr">
        <is>
          <t>midcap</t>
        </is>
      </c>
      <c r="H58" s="32" t="n">
        <v>10349.35</v>
      </c>
      <c r="I58" s="32" t="n">
        <v>469.65</v>
      </c>
      <c r="J58" s="32" t="n">
        <v>-0.53</v>
      </c>
      <c r="K58" s="32" t="n">
        <v>0</v>
      </c>
      <c r="L58" s="31" t="n">
        <v>57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70.26000000000001</v>
      </c>
      <c r="P58" s="32" t="n">
        <v>24.68</v>
      </c>
      <c r="Q58" s="32" t="inlineStr"/>
      <c r="R58" s="31" t="inlineStr">
        <is>
          <t>Earnings / Momentum Support</t>
        </is>
      </c>
      <c r="S58" s="31" t="inlineStr">
        <is>
          <t>Nifty FMCG</t>
        </is>
      </c>
      <c r="T58" s="32" t="n">
        <v>-13.73</v>
      </c>
      <c r="U58" s="32" t="n">
        <v>31.56</v>
      </c>
      <c r="V58" s="32" t="n">
        <v>52.5</v>
      </c>
      <c r="W58" s="32" t="n">
        <v>10.21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B2C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Less than 12%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Less than 50%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15</t>
        </is>
      </c>
      <c r="CG58" s="31">
        <f>IF(CF58&gt;20,10,IF(CF58&gt;=10,5,2))</f>
        <v/>
      </c>
    </row>
    <row r="59">
      <c r="A59" s="31">
        <f>IF(B59=0,"",RANK(B59,$B$2:$B$86,0))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SKYGOLD</t>
        </is>
      </c>
      <c r="D59" s="31" t="inlineStr">
        <is>
          <t>Sky Gold &amp; Diamonds Ltd</t>
        </is>
      </c>
      <c r="E59" s="31" t="inlineStr">
        <is>
          <t>consumer discretionary</t>
        </is>
      </c>
      <c r="F59" s="31" t="inlineStr">
        <is>
          <t>Diamond, Gems &amp; Jewellery</t>
        </is>
      </c>
      <c r="G59" s="31" t="inlineStr">
        <is>
          <t>midcap</t>
        </is>
      </c>
      <c r="H59" s="32" t="n">
        <v>10231.74</v>
      </c>
      <c r="I59" s="32" t="n">
        <v>660.65</v>
      </c>
      <c r="J59" s="32" t="n">
        <v>6.33</v>
      </c>
      <c r="K59" s="32" t="n">
        <v>0</v>
      </c>
      <c r="L59" s="31" t="n">
        <v>89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72.27</v>
      </c>
      <c r="P59" s="32" t="n">
        <v>55.4</v>
      </c>
      <c r="Q59" s="32" t="inlineStr"/>
      <c r="R59" s="31" t="inlineStr">
        <is>
          <t>Earnings / Momentum Support</t>
        </is>
      </c>
      <c r="S59" s="31" t="inlineStr">
        <is>
          <t>Nifty 50</t>
        </is>
      </c>
      <c r="T59" s="32" t="n">
        <v>-2.54</v>
      </c>
      <c r="U59" s="32" t="n">
        <v>90.06</v>
      </c>
      <c r="V59" s="32" t="n">
        <v>95.01000000000001</v>
      </c>
      <c r="W59" s="32" t="n">
        <v>24.64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Negative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Between 0.7 to 1.2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25</t>
        </is>
      </c>
      <c r="CG59" s="31">
        <f>IF(CF59&gt;20,10,IF(CF59&gt;=10,5,2))</f>
        <v/>
      </c>
    </row>
    <row r="60">
      <c r="A60" s="31">
        <f>IF(B60=0,"",RANK(B60,$B$2:$B$86,0))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3" t="inlineStr">
        <is>
          <t>BEPL</t>
        </is>
      </c>
      <c r="D60" s="33" t="inlineStr">
        <is>
          <t>Bhansali Engineering Polymers Ltd</t>
        </is>
      </c>
      <c r="E60" s="31" t="inlineStr">
        <is>
          <t>energy</t>
        </is>
      </c>
      <c r="F60" s="31" t="inlineStr">
        <is>
          <t>Petrochem - Polymers</t>
        </is>
      </c>
      <c r="G60" s="31" t="inlineStr">
        <is>
          <t>smallcap</t>
        </is>
      </c>
      <c r="H60" s="32" t="n">
        <v>3154.28</v>
      </c>
      <c r="I60" s="32" t="n">
        <v>126.75</v>
      </c>
      <c r="J60" s="32" t="n">
        <v>12.07</v>
      </c>
      <c r="K60" s="32" t="n">
        <v>0</v>
      </c>
      <c r="L60" s="31" t="n">
        <v>31</v>
      </c>
      <c r="M60" s="31" t="inlineStr">
        <is>
          <t>Underperforming</t>
        </is>
      </c>
      <c r="N60" s="32">
        <f>IF(M60="Underperforming",-5,IF(L60&gt;=95,15,IF(L60&gt;=90,10,IF(L60&gt;=80,5,0))))</f>
        <v/>
      </c>
      <c r="O60" s="32" t="n">
        <v>69.31999999999999</v>
      </c>
      <c r="P60" s="32" t="n">
        <v>38.97</v>
      </c>
      <c r="Q60" s="32" t="inlineStr"/>
      <c r="R60" s="31" t="inlineStr">
        <is>
          <t>Volume Spike / Accumulation</t>
        </is>
      </c>
      <c r="S60" s="31" t="inlineStr">
        <is>
          <t>Nifty Energy</t>
        </is>
      </c>
      <c r="T60" s="32" t="n">
        <v>8.41</v>
      </c>
      <c r="U60" s="32" t="n">
        <v>2.5</v>
      </c>
      <c r="V60" s="32" t="n">
        <v>-5.44</v>
      </c>
      <c r="W60" s="32" t="n">
        <v>4.89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Oligopoly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Cyclical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Volatile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22</t>
        </is>
      </c>
      <c r="CG60" s="31">
        <f>IF(CF60&gt;20,10,IF(CF60&gt;=10,5,2))</f>
        <v/>
      </c>
    </row>
    <row r="61">
      <c r="A61" s="31">
        <f>IF(B61=0,"",RANK(B61,$B$2:$B$86,0))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3" t="inlineStr">
        <is>
          <t>DPABHUSHAN</t>
        </is>
      </c>
      <c r="D61" s="33" t="inlineStr">
        <is>
          <t>DP Abhushan Ltd</t>
        </is>
      </c>
      <c r="E61" s="31" t="inlineStr">
        <is>
          <t>consumer discretionary</t>
        </is>
      </c>
      <c r="F61" s="31" t="inlineStr">
        <is>
          <t>Diamond, Gems &amp; Jewellery</t>
        </is>
      </c>
      <c r="G61" s="31" t="inlineStr">
        <is>
          <t>smallcap</t>
        </is>
      </c>
      <c r="H61" s="32" t="n">
        <v>3317.92</v>
      </c>
      <c r="I61" s="32" t="n">
        <v>1453.45</v>
      </c>
      <c r="J61" s="32" t="n">
        <v>8.789999999999999</v>
      </c>
      <c r="K61" s="32" t="n">
        <v>0</v>
      </c>
      <c r="L61" s="31" t="n">
        <v>18</v>
      </c>
      <c r="M61" s="31" t="inlineStr">
        <is>
          <t>Underperforming</t>
        </is>
      </c>
      <c r="N61" s="32">
        <f>IF(M61="Underperforming",-5,IF(L61&gt;=95,15,IF(L61&gt;=90,10,IF(L61&gt;=80,5,0))))</f>
        <v/>
      </c>
      <c r="O61" s="32" t="n">
        <v>62.37</v>
      </c>
      <c r="P61" s="32" t="n">
        <v>25.87</v>
      </c>
      <c r="Q61" s="32" t="inlineStr"/>
      <c r="R61" s="31" t="inlineStr">
        <is>
          <t>Volume Spike / Accumulation</t>
        </is>
      </c>
      <c r="S61" s="31" t="inlineStr">
        <is>
          <t>Nifty 50</t>
        </is>
      </c>
      <c r="T61" s="32" t="n">
        <v>-2.54</v>
      </c>
      <c r="U61" s="32" t="n">
        <v>-17.55</v>
      </c>
      <c r="V61" s="32" t="n">
        <v>-15.4</v>
      </c>
      <c r="W61" s="32" t="n">
        <v>2.4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Negative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21</t>
        </is>
      </c>
      <c r="CG61" s="31">
        <f>IF(CF61&gt;20,10,IF(CF61&gt;=10,5,2))</f>
        <v/>
      </c>
    </row>
    <row r="62">
      <c r="A62" s="31">
        <f>IF(B62=0,"",RANK(B62,$B$2:$B$86,0))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ITDC</t>
        </is>
      </c>
      <c r="D62" s="31" t="inlineStr">
        <is>
          <t>India Tourism Development Corporation Ltd</t>
        </is>
      </c>
      <c r="E62" s="31" t="inlineStr">
        <is>
          <t>services</t>
        </is>
      </c>
      <c r="F62" s="31" t="inlineStr">
        <is>
          <t>Resorts</t>
        </is>
      </c>
      <c r="G62" s="31" t="inlineStr">
        <is>
          <t>midcap</t>
        </is>
      </c>
      <c r="H62" s="32" t="n">
        <v>6595.24</v>
      </c>
      <c r="I62" s="32" t="n">
        <v>768.95</v>
      </c>
      <c r="J62" s="32" t="n">
        <v>3.36</v>
      </c>
      <c r="K62" s="32" t="n">
        <v>0</v>
      </c>
      <c r="L62" s="31" t="n">
        <v>51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64.94</v>
      </c>
      <c r="P62" s="32" t="n">
        <v>36.16</v>
      </c>
      <c r="Q62" s="32" t="inlineStr"/>
      <c r="R62" s="31" t="inlineStr">
        <is>
          <t>Earnings / Momentum Support</t>
        </is>
      </c>
      <c r="S62" s="31" t="inlineStr">
        <is>
          <t>Nifty 50</t>
        </is>
      </c>
      <c r="T62" s="32" t="n">
        <v>-2.54</v>
      </c>
      <c r="U62" s="32" t="n">
        <v>23.53</v>
      </c>
      <c r="V62" s="32" t="n">
        <v>26.75</v>
      </c>
      <c r="W62" s="32" t="n">
        <v>8.9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Less than 12%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16</t>
        </is>
      </c>
      <c r="CG62" s="31">
        <f>IF(CF62&gt;20,10,IF(CF62&gt;=10,5,2))</f>
        <v/>
      </c>
    </row>
    <row r="63">
      <c r="A63" s="31">
        <f>IF(B63=0,"",RANK(B63,$B$2:$B$86,0))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IKS</t>
        </is>
      </c>
      <c r="D63" s="31" t="inlineStr">
        <is>
          <t>Inventurus Knowledge Solutions Ltd</t>
        </is>
      </c>
      <c r="E63" s="31" t="inlineStr">
        <is>
          <t>i.t</t>
        </is>
      </c>
      <c r="F63" s="31" t="inlineStr">
        <is>
          <t>IT Enabled Services/Business Process Outsourcing</t>
        </is>
      </c>
      <c r="G63" s="31" t="inlineStr">
        <is>
          <t>largecap</t>
        </is>
      </c>
      <c r="H63" s="32" t="n">
        <v>32547.33</v>
      </c>
      <c r="I63" s="32" t="n">
        <v>1896</v>
      </c>
      <c r="J63" s="32" t="n">
        <v>-0.06</v>
      </c>
      <c r="K63" s="32" t="n">
        <v>0</v>
      </c>
      <c r="L63" s="31" t="n">
        <v>56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66.15000000000001</v>
      </c>
      <c r="P63" s="32" t="n">
        <v>13.53</v>
      </c>
      <c r="Q63" s="32" t="inlineStr"/>
      <c r="R63" s="31" t="inlineStr">
        <is>
          <t>Earnings / Momentum Support</t>
        </is>
      </c>
      <c r="S63" s="31" t="inlineStr">
        <is>
          <t>Nifty IT</t>
        </is>
      </c>
      <c r="T63" s="32" t="n">
        <v>-21.31</v>
      </c>
      <c r="U63" s="32" t="n">
        <v>19.44</v>
      </c>
      <c r="V63" s="32" t="n">
        <v>51.79</v>
      </c>
      <c r="W63" s="32" t="n">
        <v>9.800000000000001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0 to 20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16</t>
        </is>
      </c>
      <c r="CG63" s="31">
        <f>IF(CF63&gt;20,10,IF(CF63&gt;=10,5,2))</f>
        <v/>
      </c>
    </row>
    <row r="64">
      <c r="A64" s="31">
        <f>IF(B64=0,"",RANK(B64,$B$2:$B$86,0))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HUHTAMAKI</t>
        </is>
      </c>
      <c r="D64" s="31" t="inlineStr">
        <is>
          <t>Huhtamaki India Ltd</t>
        </is>
      </c>
      <c r="E64" s="31" t="inlineStr">
        <is>
          <t>industrials</t>
        </is>
      </c>
      <c r="F64" s="31" t="inlineStr">
        <is>
          <t>Packaging - FMCG/Consumers</t>
        </is>
      </c>
      <c r="G64" s="31" t="inlineStr">
        <is>
          <t>smallcap</t>
        </is>
      </c>
      <c r="H64" s="32" t="n">
        <v>1899.38</v>
      </c>
      <c r="I64" s="32" t="n">
        <v>251.5</v>
      </c>
      <c r="J64" s="32" t="n">
        <v>5.92</v>
      </c>
      <c r="K64" s="32" t="n">
        <v>0</v>
      </c>
      <c r="L64" s="31" t="n">
        <v>49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69.23999999999999</v>
      </c>
      <c r="P64" s="32" t="n">
        <v>17.76</v>
      </c>
      <c r="Q64" s="32" t="inlineStr"/>
      <c r="R64" s="31" t="inlineStr">
        <is>
          <t>Earnings / Momentum Support</t>
        </is>
      </c>
      <c r="S64" s="31" t="inlineStr">
        <is>
          <t>Nifty Infra</t>
        </is>
      </c>
      <c r="T64" s="32" t="n">
        <v>1.74</v>
      </c>
      <c r="U64" s="32" t="n">
        <v>5.47</v>
      </c>
      <c r="V64" s="32" t="n">
        <v>3.66</v>
      </c>
      <c r="W64" s="32" t="n">
        <v>8.24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B2C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0 to 20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Less than 12%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16</t>
        </is>
      </c>
      <c r="CG64" s="31">
        <f>IF(CF64&gt;20,10,IF(CF64&gt;=10,5,2))</f>
        <v/>
      </c>
    </row>
    <row r="65">
      <c r="A65" s="31">
        <f>IF(B65=0,"",RANK(B65,$B$2:$B$86,0))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3" t="inlineStr">
        <is>
          <t>JLHL</t>
        </is>
      </c>
      <c r="D65" s="33" t="inlineStr">
        <is>
          <t>Jupiter Life Line Hospitals Ltd</t>
        </is>
      </c>
      <c r="E65" s="31" t="inlineStr">
        <is>
          <t>healthcare</t>
        </is>
      </c>
      <c r="F65" s="31" t="inlineStr">
        <is>
          <t>Hospitals</t>
        </is>
      </c>
      <c r="G65" s="31" t="inlineStr">
        <is>
          <t>midcap</t>
        </is>
      </c>
      <c r="H65" s="32" t="n">
        <v>10215.19</v>
      </c>
      <c r="I65" s="32" t="n">
        <v>1558</v>
      </c>
      <c r="J65" s="32" t="n">
        <v>0.32</v>
      </c>
      <c r="K65" s="32" t="n">
        <v>0</v>
      </c>
      <c r="L65" s="31" t="n">
        <v>36</v>
      </c>
      <c r="M65" s="31" t="inlineStr">
        <is>
          <t>Underperforming</t>
        </is>
      </c>
      <c r="N65" s="32">
        <f>IF(M65="Underperforming",-5,IF(L65&gt;=95,15,IF(L65&gt;=90,10,IF(L65&gt;=80,5,0))))</f>
        <v/>
      </c>
      <c r="O65" s="32" t="n">
        <v>71.52</v>
      </c>
      <c r="P65" s="32" t="n">
        <v>24.4</v>
      </c>
      <c r="Q65" s="32" t="inlineStr"/>
      <c r="R65" s="31" t="inlineStr">
        <is>
          <t>Earnings / Momentum Support</t>
        </is>
      </c>
      <c r="S65" s="31" t="inlineStr">
        <is>
          <t>Nifty Pharma</t>
        </is>
      </c>
      <c r="T65" s="32" t="n">
        <v>13.51</v>
      </c>
      <c r="U65" s="32" t="n">
        <v>4.3</v>
      </c>
      <c r="V65" s="32" t="n">
        <v>-8.109999999999999</v>
      </c>
      <c r="W65" s="32" t="n">
        <v>5.7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Between 12 to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15</t>
        </is>
      </c>
      <c r="CG65" s="31">
        <f>IF(CF65&gt;20,10,IF(CF65&gt;=10,5,2))</f>
        <v/>
      </c>
    </row>
    <row r="66">
      <c r="A66" s="31">
        <f>IF(B66=0,"",RANK(B66,$B$2:$B$86,0))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TBZ</t>
        </is>
      </c>
      <c r="D66" s="31" t="inlineStr">
        <is>
          <t>Tribhovandas Bhimji Zaveri Ltd</t>
        </is>
      </c>
      <c r="E66" s="31" t="inlineStr">
        <is>
          <t>consumer discretionary</t>
        </is>
      </c>
      <c r="F66" s="31" t="inlineStr">
        <is>
          <t>Diamond, Gems &amp; Jewellery</t>
        </is>
      </c>
      <c r="G66" s="31" t="inlineStr">
        <is>
          <t>smallcap</t>
        </is>
      </c>
      <c r="H66" s="32" t="n">
        <v>1708.3</v>
      </c>
      <c r="I66" s="32" t="n">
        <v>256</v>
      </c>
      <c r="J66" s="32" t="n">
        <v>-0.83</v>
      </c>
      <c r="K66" s="32" t="n">
        <v>0</v>
      </c>
      <c r="L66" s="31" t="n">
        <v>88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78.12</v>
      </c>
      <c r="P66" s="32" t="n">
        <v>28.61</v>
      </c>
      <c r="Q66" s="32" t="inlineStr"/>
      <c r="R66" s="31" t="inlineStr">
        <is>
          <t>Earnings / Momentum Support</t>
        </is>
      </c>
      <c r="S66" s="31" t="inlineStr">
        <is>
          <t>Nifty 50</t>
        </is>
      </c>
      <c r="T66" s="32" t="n">
        <v>-2.54</v>
      </c>
      <c r="U66" s="32" t="n">
        <v>29.92</v>
      </c>
      <c r="V66" s="32" t="n">
        <v>33.3</v>
      </c>
      <c r="W66" s="32" t="n">
        <v>23.52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Less than 50% and Borrowings are increasing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Between 0.7 to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20</t>
        </is>
      </c>
      <c r="CG66" s="31">
        <f>IF(CF66&gt;20,10,IF(CF66&gt;=10,5,2))</f>
        <v/>
      </c>
    </row>
    <row r="67">
      <c r="A67" s="31">
        <f>IF(B67=0,"",RANK(B67,$B$2:$B$86,0))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DIACABS</t>
        </is>
      </c>
      <c r="D67" s="31" t="inlineStr">
        <is>
          <t>Diamond Power Infrastructure Ltd</t>
        </is>
      </c>
      <c r="E67" s="31" t="inlineStr">
        <is>
          <t>industrials</t>
        </is>
      </c>
      <c r="F67" s="31" t="inlineStr">
        <is>
          <t>Cables - Power</t>
        </is>
      </c>
      <c r="G67" s="31" t="inlineStr">
        <is>
          <t>midcap</t>
        </is>
      </c>
      <c r="H67" s="32" t="n">
        <v>12890.24</v>
      </c>
      <c r="I67" s="32" t="n">
        <v>244.61</v>
      </c>
      <c r="J67" s="32" t="n">
        <v>10</v>
      </c>
      <c r="K67" s="32" t="n">
        <v>0</v>
      </c>
      <c r="L67" s="31" t="n">
        <v>79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72.31</v>
      </c>
      <c r="P67" s="32" t="n">
        <v>52.59</v>
      </c>
      <c r="Q67" s="32" t="inlineStr"/>
      <c r="R67" s="31" t="inlineStr">
        <is>
          <t>Earnings / Momentum Support</t>
        </is>
      </c>
      <c r="S67" s="31" t="inlineStr">
        <is>
          <t>Nifty Energy</t>
        </is>
      </c>
      <c r="T67" s="32" t="n">
        <v>8.41</v>
      </c>
      <c r="U67" s="32" t="n">
        <v>31.69</v>
      </c>
      <c r="V67" s="32" t="n">
        <v>21.48</v>
      </c>
      <c r="W67" s="32" t="n">
        <v>17.59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Negative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20</t>
        </is>
      </c>
      <c r="CG67" s="31">
        <f>IF(CF67&gt;20,10,IF(CF67&gt;=10,5,2))</f>
        <v/>
      </c>
    </row>
    <row r="68">
      <c r="A68" s="31">
        <f>IF(B68=0,"",RANK(B68,$B$2:$B$86,0))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3" t="inlineStr">
        <is>
          <t>LLOYDSENT</t>
        </is>
      </c>
      <c r="D68" s="33" t="inlineStr">
        <is>
          <t>Lloyds Enterprises Ltd</t>
        </is>
      </c>
      <c r="E68" s="31" t="inlineStr">
        <is>
          <t>services</t>
        </is>
      </c>
      <c r="F68" s="31" t="inlineStr">
        <is>
          <t>Trading</t>
        </is>
      </c>
      <c r="G68" s="31" t="inlineStr">
        <is>
          <t>midcap</t>
        </is>
      </c>
      <c r="H68" s="32" t="n">
        <v>12575.41</v>
      </c>
      <c r="I68" s="32" t="n">
        <v>82.51000000000001</v>
      </c>
      <c r="J68" s="32" t="n">
        <v>5.99</v>
      </c>
      <c r="K68" s="32" t="n">
        <v>0</v>
      </c>
      <c r="L68" s="31" t="n">
        <v>31</v>
      </c>
      <c r="M68" s="31" t="inlineStr">
        <is>
          <t>Underperforming</t>
        </is>
      </c>
      <c r="N68" s="32">
        <f>IF(M68="Underperforming",-5,IF(L68&gt;=95,15,IF(L68&gt;=90,10,IF(L68&gt;=80,5,0))))</f>
        <v/>
      </c>
      <c r="O68" s="32" t="n">
        <v>62.36</v>
      </c>
      <c r="P68" s="32" t="n">
        <v>33.4</v>
      </c>
      <c r="Q68" s="32" t="inlineStr"/>
      <c r="R68" s="31" t="inlineStr">
        <is>
          <t>Earnings / Momentum Support</t>
        </is>
      </c>
      <c r="S68" s="31" t="inlineStr">
        <is>
          <t>Nifty 50</t>
        </is>
      </c>
      <c r="T68" s="32" t="n">
        <v>-2.54</v>
      </c>
      <c r="U68" s="32" t="n">
        <v>-3.14</v>
      </c>
      <c r="V68" s="32" t="n">
        <v>-0.61</v>
      </c>
      <c r="W68" s="32" t="n">
        <v>4.95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Negative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20</t>
        </is>
      </c>
      <c r="CG68" s="31">
        <f>IF(CF68&gt;20,10,IF(CF68&gt;=10,5,2))</f>
        <v/>
      </c>
    </row>
    <row r="69">
      <c r="A69" s="31">
        <f>IF(B69=0,"",RANK(B69,$B$2:$B$86,0))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CFF</t>
        </is>
      </c>
      <c r="D69" s="31" t="inlineStr">
        <is>
          <t>CFF Fluid Control Ltd</t>
        </is>
      </c>
      <c r="E69" s="31" t="inlineStr">
        <is>
          <t>Industrials</t>
        </is>
      </c>
      <c r="F69" s="31" t="inlineStr">
        <is>
          <t>Shipping - Proxy</t>
        </is>
      </c>
      <c r="G69" s="31" t="inlineStr">
        <is>
          <t>smallcap</t>
        </is>
      </c>
      <c r="H69" s="32" t="n">
        <v>1999.88</v>
      </c>
      <c r="I69" s="32" t="n">
        <v>953.5</v>
      </c>
      <c r="J69" s="32" t="n">
        <v>3.91</v>
      </c>
      <c r="K69" s="32" t="n">
        <v>0</v>
      </c>
      <c r="L69" s="31" t="n">
        <v>64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69.23999999999999</v>
      </c>
      <c r="P69" s="32" t="n">
        <v>31.88</v>
      </c>
      <c r="Q69" s="32" t="inlineStr"/>
      <c r="R69" s="31" t="inlineStr">
        <is>
          <t>Earnings / Momentum Support</t>
        </is>
      </c>
      <c r="S69" s="31" t="inlineStr">
        <is>
          <t>Nifty 50</t>
        </is>
      </c>
      <c r="T69" s="32" t="n">
        <v>-2.54</v>
      </c>
      <c r="U69" s="32" t="n">
        <v>40.38</v>
      </c>
      <c r="V69" s="32" t="n">
        <v>44.03</v>
      </c>
      <c r="W69" s="32" t="n">
        <v>11.9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Negative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15</t>
        </is>
      </c>
      <c r="CG69" s="31">
        <f>IF(CF69&gt;20,10,IF(CF69&gt;=10,5,2))</f>
        <v/>
      </c>
    </row>
    <row r="70">
      <c r="A70" s="31">
        <f>IF(B70=0,"",RANK(B70,$B$2:$B$86,0))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3" t="inlineStr">
        <is>
          <t>KALYANKJIL</t>
        </is>
      </c>
      <c r="D70" s="33" t="inlineStr">
        <is>
          <t>Kalyan Jewellers India Ltd</t>
        </is>
      </c>
      <c r="E70" s="31" t="inlineStr">
        <is>
          <t>consumer discretionary</t>
        </is>
      </c>
      <c r="F70" s="31" t="inlineStr">
        <is>
          <t>Diamond, Gems &amp; Jewellery</t>
        </is>
      </c>
      <c r="G70" s="31" t="inlineStr">
        <is>
          <t>largecap</t>
        </is>
      </c>
      <c r="H70" s="32" t="n">
        <v>58861.03</v>
      </c>
      <c r="I70" s="32" t="n">
        <v>569.95</v>
      </c>
      <c r="J70" s="32" t="n">
        <v>-0.77</v>
      </c>
      <c r="K70" s="32" t="n">
        <v>0</v>
      </c>
      <c r="L70" s="31" t="n">
        <v>47</v>
      </c>
      <c r="M70" s="31" t="inlineStr">
        <is>
          <t>Underperforming</t>
        </is>
      </c>
      <c r="N70" s="32">
        <f>IF(M70="Underperforming",-5,IF(L70&gt;=95,15,IF(L70&gt;=90,10,IF(L70&gt;=80,5,0))))</f>
        <v/>
      </c>
      <c r="O70" s="32" t="n">
        <v>70.06999999999999</v>
      </c>
      <c r="P70" s="32" t="n">
        <v>22.63</v>
      </c>
      <c r="Q70" s="32" t="inlineStr"/>
      <c r="R70" s="31" t="inlineStr">
        <is>
          <t>Earnings / Momentum Support</t>
        </is>
      </c>
      <c r="S70" s="31" t="inlineStr">
        <is>
          <t>Nifty 500</t>
        </is>
      </c>
      <c r="T70" s="32" t="n">
        <v>0.26</v>
      </c>
      <c r="U70" s="32" t="n">
        <v>-2.38</v>
      </c>
      <c r="V70" s="32" t="n">
        <v>-2.64</v>
      </c>
      <c r="W70" s="32" t="n">
        <v>7.82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Between 50% to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20</t>
        </is>
      </c>
      <c r="CG70" s="31">
        <f>IF(CF70&gt;20,10,IF(CF70&gt;=10,5,2))</f>
        <v/>
      </c>
    </row>
    <row r="71">
      <c r="A71" s="31">
        <f>IF(B71=0,"",RANK(B71,$B$2:$B$86,0))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GALAPREC</t>
        </is>
      </c>
      <c r="D71" s="31" t="inlineStr">
        <is>
          <t>Gala Precision Engineering Ltd</t>
        </is>
      </c>
      <c r="E71" s="31" t="inlineStr">
        <is>
          <t>industrials</t>
        </is>
      </c>
      <c r="F71" s="31" t="inlineStr">
        <is>
          <t>Castings, Forgings &amp; Fastners</t>
        </is>
      </c>
      <c r="G71" s="31" t="inlineStr">
        <is>
          <t>smallcap</t>
        </is>
      </c>
      <c r="H71" s="32" t="n">
        <v>1552.04</v>
      </c>
      <c r="I71" s="32" t="n">
        <v>1211</v>
      </c>
      <c r="J71" s="32" t="n">
        <v>2.45</v>
      </c>
      <c r="K71" s="32" t="n">
        <v>0</v>
      </c>
      <c r="L71" s="31" t="n">
        <v>81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79.09999999999999</v>
      </c>
      <c r="P71" s="32" t="n">
        <v>46.1</v>
      </c>
      <c r="Q71" s="32" t="inlineStr"/>
      <c r="R71" s="31" t="inlineStr">
        <is>
          <t>Earnings / Momentum Support</t>
        </is>
      </c>
      <c r="S71" s="31" t="inlineStr">
        <is>
          <t>Nifty 50</t>
        </is>
      </c>
      <c r="T71" s="32" t="n">
        <v>-2.54</v>
      </c>
      <c r="U71" s="32" t="n">
        <v>35.65</v>
      </c>
      <c r="V71" s="32" t="n">
        <v>39.19</v>
      </c>
      <c r="W71" s="32" t="n">
        <v>18.27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Less than 12%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Less than 50%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17</t>
        </is>
      </c>
      <c r="CG71" s="31">
        <f>IF(CF71&gt;20,10,IF(CF71&gt;=10,5,2))</f>
        <v/>
      </c>
    </row>
    <row r="72">
      <c r="A72" s="31">
        <f>IF(B72=0,"",RANK(B72,$B$2:$B$86,0))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GANDHAR</t>
        </is>
      </c>
      <c r="D72" s="31" t="inlineStr">
        <is>
          <t>Gandhar Oil Refinery (India) Ltd</t>
        </is>
      </c>
      <c r="E72" s="31" t="inlineStr">
        <is>
          <t>energy</t>
        </is>
      </c>
      <c r="F72" s="31" t="inlineStr">
        <is>
          <t>Refineries</t>
        </is>
      </c>
      <c r="G72" s="31" t="inlineStr">
        <is>
          <t>smallcap</t>
        </is>
      </c>
      <c r="H72" s="32" t="n">
        <v>2251.23</v>
      </c>
      <c r="I72" s="32" t="n">
        <v>230</v>
      </c>
      <c r="J72" s="32" t="n">
        <v>10.61</v>
      </c>
      <c r="K72" s="32" t="n">
        <v>0</v>
      </c>
      <c r="L72" s="31" t="n">
        <v>71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72.77</v>
      </c>
      <c r="P72" s="32" t="n">
        <v>47.15</v>
      </c>
      <c r="Q72" s="32" t="inlineStr"/>
      <c r="R72" s="31" t="inlineStr">
        <is>
          <t>Earnings / Momentum Support</t>
        </is>
      </c>
      <c r="S72" s="31" t="inlineStr">
        <is>
          <t>Nifty Energy</t>
        </is>
      </c>
      <c r="T72" s="32" t="n">
        <v>8.41</v>
      </c>
      <c r="U72" s="32" t="n">
        <v>24.11</v>
      </c>
      <c r="V72" s="32" t="n">
        <v>14.48</v>
      </c>
      <c r="W72" s="32" t="n">
        <v>14.4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Oligopoly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Cyclical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Between 50% to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17</t>
        </is>
      </c>
      <c r="CG72" s="31">
        <f>IF(CF72&gt;20,10,IF(CF72&gt;=10,5,2))</f>
        <v/>
      </c>
    </row>
    <row r="73">
      <c r="A73" s="31">
        <f>IF(B73=0,"",RANK(B73,$B$2:$B$86,0))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MBAPL</t>
        </is>
      </c>
      <c r="D73" s="31" t="inlineStr">
        <is>
          <t>Madhya Bharat Agro Products Ltd</t>
        </is>
      </c>
      <c r="E73" s="31" t="inlineStr">
        <is>
          <t>chemicals</t>
        </is>
      </c>
      <c r="F73" s="31" t="inlineStr">
        <is>
          <t>Fertilisers</t>
        </is>
      </c>
      <c r="G73" s="31" t="inlineStr">
        <is>
          <t>midcap</t>
        </is>
      </c>
      <c r="H73" s="32" t="n">
        <v>6392.39</v>
      </c>
      <c r="I73" s="32" t="n">
        <v>145.9</v>
      </c>
      <c r="J73" s="32" t="n">
        <v>7.12</v>
      </c>
      <c r="K73" s="32" t="n">
        <v>0</v>
      </c>
      <c r="L73" s="31" t="n">
        <v>80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80.39</v>
      </c>
      <c r="P73" s="32" t="n">
        <v>57.4</v>
      </c>
      <c r="Q73" s="32" t="inlineStr"/>
      <c r="R73" s="31" t="inlineStr">
        <is>
          <t>Earnings / Momentum Support</t>
        </is>
      </c>
      <c r="S73" s="31" t="inlineStr">
        <is>
          <t>Nifty 50</t>
        </is>
      </c>
      <c r="T73" s="32" t="n">
        <v>-2.54</v>
      </c>
      <c r="U73" s="32" t="n">
        <v>61.02</v>
      </c>
      <c r="V73" s="32" t="n">
        <v>65.20999999999999</v>
      </c>
      <c r="W73" s="32" t="n">
        <v>18.11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Between 12 to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More than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16</t>
        </is>
      </c>
      <c r="CG73" s="31">
        <f>IF(CF73&gt;20,10,IF(CF73&gt;=10,5,2))</f>
        <v/>
      </c>
    </row>
    <row r="74">
      <c r="A74" s="31">
        <f>IF(B74=0,"",RANK(B74,$B$2:$B$86,0))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AZAD</t>
        </is>
      </c>
      <c r="D74" s="31" t="inlineStr">
        <is>
          <t>Azad Engineering Ltd</t>
        </is>
      </c>
      <c r="E74" s="31" t="inlineStr">
        <is>
          <t>aerospace &amp; defence</t>
        </is>
      </c>
      <c r="F74" s="31" t="inlineStr">
        <is>
          <t>Aerospace &amp; Defence - Equipments</t>
        </is>
      </c>
      <c r="G74" s="31" t="inlineStr">
        <is>
          <t>midcap</t>
        </is>
      </c>
      <c r="H74" s="32" t="n">
        <v>15189.63</v>
      </c>
      <c r="I74" s="32" t="n">
        <v>2352</v>
      </c>
      <c r="J74" s="32" t="n">
        <v>0.96</v>
      </c>
      <c r="K74" s="32" t="n">
        <v>0</v>
      </c>
      <c r="L74" s="31" t="n">
        <v>66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62.56</v>
      </c>
      <c r="P74" s="32" t="n">
        <v>31.33</v>
      </c>
      <c r="Q74" s="32" t="inlineStr"/>
      <c r="R74" s="31" t="inlineStr">
        <is>
          <t>Earnings / Momentum Support</t>
        </is>
      </c>
      <c r="S74" s="31" t="inlineStr">
        <is>
          <t>Nifty 50</t>
        </is>
      </c>
      <c r="T74" s="32" t="n">
        <v>-2.54</v>
      </c>
      <c r="U74" s="32" t="n">
        <v>42.52</v>
      </c>
      <c r="V74" s="32" t="n">
        <v>46.23</v>
      </c>
      <c r="W74" s="32" t="n">
        <v>12.52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Negative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16</t>
        </is>
      </c>
      <c r="CG74" s="31">
        <f>IF(CF74&gt;20,10,IF(CF74&gt;=10,5,2))</f>
        <v/>
      </c>
    </row>
    <row r="75">
      <c r="A75" s="31">
        <f>IF(B75=0,"",RANK(B75,$B$2:$B$86,0))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KAPSTON</t>
        </is>
      </c>
      <c r="D75" s="31" t="inlineStr">
        <is>
          <t>Kapston Services Ltd</t>
        </is>
      </c>
      <c r="E75" s="31" t="inlineStr">
        <is>
          <t>miscellaneous</t>
        </is>
      </c>
      <c r="F75" s="31" t="inlineStr">
        <is>
          <t>Services - Others</t>
        </is>
      </c>
      <c r="G75" s="31" t="inlineStr">
        <is>
          <t>smallcap</t>
        </is>
      </c>
      <c r="H75" s="32" t="n">
        <v>1321.97</v>
      </c>
      <c r="I75" s="32" t="n">
        <v>434.4</v>
      </c>
      <c r="J75" s="32" t="n">
        <v>2.76</v>
      </c>
      <c r="K75" s="32" t="n">
        <v>0</v>
      </c>
      <c r="L75" s="31" t="n">
        <v>83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69.66</v>
      </c>
      <c r="P75" s="32" t="n">
        <v>21.18</v>
      </c>
      <c r="Q75" s="32" t="inlineStr"/>
      <c r="R75" s="31" t="inlineStr">
        <is>
          <t>Earnings / Momentum Support</t>
        </is>
      </c>
      <c r="S75" s="31" t="inlineStr">
        <is>
          <t>Nifty 50</t>
        </is>
      </c>
      <c r="T75" s="32" t="n">
        <v>-2.54</v>
      </c>
      <c r="U75" s="32" t="n">
        <v>70.7</v>
      </c>
      <c r="V75" s="32" t="n">
        <v>75.15000000000001</v>
      </c>
      <c r="W75" s="32" t="n">
        <v>19.85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Between 1.5 to 2</t>
        </is>
      </c>
      <c r="BU75" s="31">
        <f>IF(BT75="Above 2",0,IF(BT75="Between 1.5 to 2",5,IF(BT75="Less than 1.5",10,0)))</f>
        <v/>
      </c>
      <c r="BV75" s="31" t="inlineStr">
        <is>
          <t>Less than 50% and Borrowings are increasing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More than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18</t>
        </is>
      </c>
      <c r="CG75" s="31">
        <f>IF(CF75&gt;20,10,IF(CF75&gt;=10,5,2))</f>
        <v/>
      </c>
    </row>
    <row r="76">
      <c r="A76" s="31">
        <f>IF(B76=0,"",RANK(B76,$B$2:$B$86,0))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3" t="inlineStr">
        <is>
          <t>DYCL</t>
        </is>
      </c>
      <c r="D76" s="33" t="inlineStr">
        <is>
          <t>Dynamic Cables Ltd</t>
        </is>
      </c>
      <c r="E76" s="31" t="inlineStr">
        <is>
          <t>industrials</t>
        </is>
      </c>
      <c r="F76" s="31" t="inlineStr">
        <is>
          <t>Cables - Power</t>
        </is>
      </c>
      <c r="G76" s="31" t="inlineStr">
        <is>
          <t>smallcap</t>
        </is>
      </c>
      <c r="H76" s="32" t="n">
        <v>2169.01</v>
      </c>
      <c r="I76" s="32" t="n">
        <v>447.6</v>
      </c>
      <c r="J76" s="32" t="n">
        <v>15.81</v>
      </c>
      <c r="K76" s="32" t="n">
        <v>0</v>
      </c>
      <c r="L76" s="31" t="n">
        <v>12</v>
      </c>
      <c r="M76" s="31" t="inlineStr">
        <is>
          <t>Underperforming</t>
        </is>
      </c>
      <c r="N76" s="32">
        <f>IF(M76="Underperforming",-5,IF(L76&gt;=95,15,IF(L76&gt;=90,10,IF(L76&gt;=80,5,0))))</f>
        <v/>
      </c>
      <c r="O76" s="32" t="n">
        <v>58.54</v>
      </c>
      <c r="P76" s="32" t="n">
        <v>18.45</v>
      </c>
      <c r="Q76" s="32" t="inlineStr"/>
      <c r="R76" s="31" t="inlineStr">
        <is>
          <t>Volume Spike / Accumulation</t>
        </is>
      </c>
      <c r="S76" s="31" t="inlineStr">
        <is>
          <t>Nifty Energy</t>
        </is>
      </c>
      <c r="T76" s="32" t="n">
        <v>8.41</v>
      </c>
      <c r="U76" s="32" t="n">
        <v>-17.15</v>
      </c>
      <c r="V76" s="32" t="n">
        <v>-23.57</v>
      </c>
      <c r="W76" s="32" t="n">
        <v>0.62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0 to 20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Less than 12%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Less than 50%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26</t>
        </is>
      </c>
      <c r="CG76" s="31">
        <f>IF(CF76&gt;20,10,IF(CF76&gt;=10,5,2))</f>
        <v/>
      </c>
    </row>
    <row r="77">
      <c r="A77" s="31">
        <f>IF(B77=0,"",RANK(B77,$B$2:$B$86,0))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3" t="inlineStr">
        <is>
          <t>SHYAMMETL</t>
        </is>
      </c>
      <c r="D77" s="33" t="inlineStr">
        <is>
          <t>Shyam Metalics &amp; Energy Ltd</t>
        </is>
      </c>
      <c r="E77" s="31" t="inlineStr">
        <is>
          <t>metals &amp; mining</t>
        </is>
      </c>
      <c r="F77" s="31" t="inlineStr">
        <is>
          <t>Steel Products</t>
        </is>
      </c>
      <c r="G77" s="31" t="inlineStr">
        <is>
          <t>largecap</t>
        </is>
      </c>
      <c r="H77" s="32" t="n">
        <v>29667.53</v>
      </c>
      <c r="I77" s="32" t="n">
        <v>1062.85</v>
      </c>
      <c r="J77" s="32" t="n">
        <v>3.95</v>
      </c>
      <c r="K77" s="32" t="n">
        <v>0</v>
      </c>
      <c r="L77" s="31" t="n">
        <v>41</v>
      </c>
      <c r="M77" s="31" t="inlineStr">
        <is>
          <t>Underperforming</t>
        </is>
      </c>
      <c r="N77" s="32">
        <f>IF(M77="Underperforming",-5,IF(L77&gt;=95,15,IF(L77&gt;=90,10,IF(L77&gt;=80,5,0))))</f>
        <v/>
      </c>
      <c r="O77" s="32" t="n">
        <v>65.27</v>
      </c>
      <c r="P77" s="32" t="n">
        <v>17.48</v>
      </c>
      <c r="Q77" s="32" t="inlineStr"/>
      <c r="R77" s="31" t="inlineStr">
        <is>
          <t>Earnings / Momentum Support</t>
        </is>
      </c>
      <c r="S77" s="31" t="inlineStr">
        <is>
          <t>Nifty Metal</t>
        </is>
      </c>
      <c r="T77" s="32" t="n">
        <v>31.49</v>
      </c>
      <c r="U77" s="32" t="n">
        <v>12.72</v>
      </c>
      <c r="V77" s="32" t="n">
        <v>-14.28</v>
      </c>
      <c r="W77" s="32" t="n">
        <v>6.54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Cyclical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Volatile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0 to 20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22</t>
        </is>
      </c>
      <c r="CG77" s="31">
        <f>IF(CF77&gt;20,10,IF(CF77&gt;=10,5,2))</f>
        <v/>
      </c>
    </row>
    <row r="78">
      <c r="A78" s="31">
        <f>IF(B78=0,"",RANK(B78,$B$2:$B$86,0))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3" t="inlineStr">
        <is>
          <t>JUSTDIAL</t>
        </is>
      </c>
      <c r="D78" s="33" t="inlineStr">
        <is>
          <t>Just Dial Ltd</t>
        </is>
      </c>
      <c r="E78" s="31" t="inlineStr">
        <is>
          <t>Communication Services</t>
        </is>
      </c>
      <c r="F78" s="31" t="inlineStr">
        <is>
          <t>E-Commerce - Platform - Utility</t>
        </is>
      </c>
      <c r="G78" s="31" t="inlineStr">
        <is>
          <t>midcap</t>
        </is>
      </c>
      <c r="H78" s="32" t="n">
        <v>6456.07</v>
      </c>
      <c r="I78" s="32" t="n">
        <v>759.1</v>
      </c>
      <c r="J78" s="32" t="n">
        <v>-1.07</v>
      </c>
      <c r="K78" s="32" t="n">
        <v>0</v>
      </c>
      <c r="L78" s="31" t="n">
        <v>45</v>
      </c>
      <c r="M78" s="31" t="inlineStr">
        <is>
          <t>Underperforming</t>
        </is>
      </c>
      <c r="N78" s="32">
        <f>IF(M78="Underperforming",-5,IF(L78&gt;=95,15,IF(L78&gt;=90,10,IF(L78&gt;=80,5,0))))</f>
        <v/>
      </c>
      <c r="O78" s="32" t="n">
        <v>72.64</v>
      </c>
      <c r="P78" s="32" t="n">
        <v>18.35</v>
      </c>
      <c r="Q78" s="32" t="inlineStr"/>
      <c r="R78" s="31" t="inlineStr">
        <is>
          <t>Earnings / Momentum Support</t>
        </is>
      </c>
      <c r="S78" s="31" t="inlineStr">
        <is>
          <t>Nifty 50</t>
        </is>
      </c>
      <c r="T78" s="32" t="n">
        <v>-2.54</v>
      </c>
      <c r="U78" s="32" t="n">
        <v>-13.34</v>
      </c>
      <c r="V78" s="32" t="n">
        <v>-11.08</v>
      </c>
      <c r="W78" s="32" t="n">
        <v>7.16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Oligopoly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Less than 12%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15</t>
        </is>
      </c>
      <c r="CG78" s="31">
        <f>IF(CF78&gt;20,10,IF(CF78&gt;=10,5,2))</f>
        <v/>
      </c>
    </row>
    <row r="79">
      <c r="A79" s="31">
        <f>IF(B79=0,"",RANK(B79,$B$2:$B$86,0))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CNL</t>
        </is>
      </c>
      <c r="D79" s="31" t="inlineStr">
        <is>
          <t>Creative Newtech Ltd</t>
        </is>
      </c>
      <c r="E79" s="31" t="inlineStr">
        <is>
          <t>Technology</t>
        </is>
      </c>
      <c r="F79" s="31" t="inlineStr">
        <is>
          <t>E-Commerce - Platform - Utility</t>
        </is>
      </c>
      <c r="G79" s="31" t="inlineStr">
        <is>
          <t>smallcap</t>
        </is>
      </c>
      <c r="H79" s="32" t="n">
        <v>1404.06</v>
      </c>
      <c r="I79" s="32" t="n">
        <v>935</v>
      </c>
      <c r="J79" s="32" t="n">
        <v>2.01</v>
      </c>
      <c r="K79" s="32" t="n">
        <v>0</v>
      </c>
      <c r="L79" s="31" t="n">
        <v>82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77.75</v>
      </c>
      <c r="P79" s="32" t="n">
        <v>34.1</v>
      </c>
      <c r="Q79" s="32" t="inlineStr"/>
      <c r="R79" s="31" t="inlineStr">
        <is>
          <t>Earnings / Momentum Support</t>
        </is>
      </c>
      <c r="S79" s="31" t="inlineStr">
        <is>
          <t>Nifty 50</t>
        </is>
      </c>
      <c r="T79" s="32" t="n">
        <v>-2.54</v>
      </c>
      <c r="U79" s="32" t="n">
        <v>38.11</v>
      </c>
      <c r="V79" s="32" t="n">
        <v>41.71</v>
      </c>
      <c r="W79" s="32" t="n">
        <v>19.19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Oligopoly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Negative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21</t>
        </is>
      </c>
      <c r="CG79" s="31">
        <f>IF(CF79&gt;20,10,IF(CF79&gt;=10,5,2))</f>
        <v/>
      </c>
    </row>
    <row r="80">
      <c r="A80" s="31">
        <f>IF(B80=0,"",RANK(B80,$B$2:$B$86,0))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RPGLIFE</t>
        </is>
      </c>
      <c r="D80" s="31" t="inlineStr">
        <is>
          <t>RPG Life Sciences Ltd</t>
        </is>
      </c>
      <c r="E80" s="31" t="inlineStr">
        <is>
          <t>healthcare</t>
        </is>
      </c>
      <c r="F80" s="31" t="inlineStr">
        <is>
          <t>Pharma - Formulators</t>
        </is>
      </c>
      <c r="G80" s="31" t="inlineStr">
        <is>
          <t>midcap</t>
        </is>
      </c>
      <c r="H80" s="32" t="n">
        <v>5011.32</v>
      </c>
      <c r="I80" s="32" t="n">
        <v>3030</v>
      </c>
      <c r="J80" s="32" t="n">
        <v>5.95</v>
      </c>
      <c r="K80" s="32" t="n">
        <v>0</v>
      </c>
      <c r="L80" s="31" t="n">
        <v>68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75.08</v>
      </c>
      <c r="P80" s="32" t="n">
        <v>26.5</v>
      </c>
      <c r="Q80" s="32" t="inlineStr"/>
      <c r="R80" s="31" t="inlineStr">
        <is>
          <t>Earnings / Momentum Support</t>
        </is>
      </c>
      <c r="S80" s="31" t="inlineStr">
        <is>
          <t>Nifty Pharma</t>
        </is>
      </c>
      <c r="T80" s="32" t="n">
        <v>13.51</v>
      </c>
      <c r="U80" s="32" t="n">
        <v>15.18</v>
      </c>
      <c r="V80" s="32" t="n">
        <v>1.47</v>
      </c>
      <c r="W80" s="32" t="n">
        <v>13.04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Less than 12%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Less than 50%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16</t>
        </is>
      </c>
      <c r="CG80" s="31">
        <f>IF(CF80&gt;20,10,IF(CF80&gt;=10,5,2))</f>
        <v/>
      </c>
    </row>
    <row r="81">
      <c r="A81" s="31">
        <f>IF(B81=0,"",RANK(B81,$B$2:$B$86,0))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3" t="inlineStr">
        <is>
          <t>LLOYDSME</t>
        </is>
      </c>
      <c r="D81" s="33" t="inlineStr">
        <is>
          <t>Lloyds Metals &amp; Energy Ltd</t>
        </is>
      </c>
      <c r="E81" s="31" t="inlineStr">
        <is>
          <t>metals &amp; mining</t>
        </is>
      </c>
      <c r="F81" s="31" t="inlineStr">
        <is>
          <t>Mining/Minerals - Iron Ore</t>
        </is>
      </c>
      <c r="G81" s="31" t="inlineStr">
        <is>
          <t>largecap</t>
        </is>
      </c>
      <c r="H81" s="32" t="n">
        <v>107515.23</v>
      </c>
      <c r="I81" s="32" t="n">
        <v>1910</v>
      </c>
      <c r="J81" s="32" t="n">
        <v>2.39</v>
      </c>
      <c r="K81" s="32" t="n">
        <v>0</v>
      </c>
      <c r="L81" s="31" t="n">
        <v>52</v>
      </c>
      <c r="M81" s="31" t="inlineStr">
        <is>
          <t>Underperforming</t>
        </is>
      </c>
      <c r="N81" s="32">
        <f>IF(M81="Underperforming",-5,IF(L81&gt;=95,15,IF(L81&gt;=90,10,IF(L81&gt;=80,5,0))))</f>
        <v/>
      </c>
      <c r="O81" s="32" t="n">
        <v>71.61</v>
      </c>
      <c r="P81" s="32" t="n">
        <v>44.27</v>
      </c>
      <c r="Q81" s="32" t="inlineStr"/>
      <c r="R81" s="31" t="inlineStr">
        <is>
          <t>Earnings / Momentum Support</t>
        </is>
      </c>
      <c r="S81" s="31" t="inlineStr">
        <is>
          <t>Nifty Metal</t>
        </is>
      </c>
      <c r="T81" s="32" t="n">
        <v>31.49</v>
      </c>
      <c r="U81" s="32" t="n">
        <v>26.75</v>
      </c>
      <c r="V81" s="32" t="n">
        <v>-3.61</v>
      </c>
      <c r="W81" s="32" t="n">
        <v>8.960000000000001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Less than 50% and Borrowings are increasing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More than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19</t>
        </is>
      </c>
      <c r="CG81" s="31">
        <f>IF(CF81&gt;20,10,IF(CF81&gt;=10,5,2))</f>
        <v/>
      </c>
    </row>
    <row r="82">
      <c r="A82" s="31">
        <f>IF(B82=0,"",RANK(B82,$B$2:$B$86,0))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UTSSAV</t>
        </is>
      </c>
      <c r="D82" s="31" t="inlineStr">
        <is>
          <t>Utssav CZ Gold Jewels Ltd</t>
        </is>
      </c>
      <c r="E82" s="31" t="inlineStr">
        <is>
          <t>unknown</t>
        </is>
      </c>
      <c r="F82" s="31" t="inlineStr">
        <is>
          <t>Diamond, Gems &amp; Jewellery</t>
        </is>
      </c>
      <c r="G82" s="31" t="inlineStr">
        <is>
          <t>smallcap</t>
        </is>
      </c>
      <c r="H82" s="32" t="n">
        <v>1299.16</v>
      </c>
      <c r="I82" s="32" t="n">
        <v>538</v>
      </c>
      <c r="J82" s="32" t="n">
        <v>-1.2</v>
      </c>
      <c r="K82" s="32" t="n">
        <v>0</v>
      </c>
      <c r="L82" s="31" t="inlineStr"/>
      <c r="M82" s="31" t="inlineStr"/>
      <c r="N82" s="32">
        <f>IF(M82="Underperforming",-5,IF(L82&gt;=95,15,IF(L82&gt;=90,10,IF(L82&gt;=80,5,0))))</f>
        <v/>
      </c>
      <c r="O82" s="32" t="inlineStr"/>
      <c r="P82" s="32" t="inlineStr"/>
      <c r="Q82" s="32" t="inlineStr"/>
      <c r="R82" s="31" t="inlineStr"/>
      <c r="S82" s="31" t="inlineStr"/>
      <c r="T82" s="32" t="inlineStr"/>
      <c r="U82" s="32" t="inlineStr"/>
      <c r="V82" s="32" t="inlineStr"/>
      <c r="W82" s="32" t="inlineStr"/>
      <c r="X82" s="31" t="n"/>
      <c r="Y82" s="31">
        <f>IF(X82="Growing Industry",10,IF(X82="Cyclical in an Upturn",5,0))</f>
        <v/>
      </c>
      <c r="Z82" s="31" t="n"/>
      <c r="AA82" s="31">
        <f>IF(Z82="Monopoly",10,IF(Z82="Oligopoly",5,IF(Z82="Duopoly that cooperate",10,IF(Z82="Duopoly that compete",5,IF(Z82="Too many players with High ROCE",5,0)))))</f>
        <v/>
      </c>
      <c r="AB82" s="31" t="n"/>
      <c r="AC82" s="31">
        <f>IF(AB82="No",5,0)</f>
        <v/>
      </c>
      <c r="AD82" s="31" t="n"/>
      <c r="AE82" s="31">
        <f>IF(AD82="Tailwind",10,0)</f>
        <v/>
      </c>
      <c r="AF82" s="31" t="n"/>
      <c r="AG82" s="31">
        <f>IF(AF82="Structural (10 Years Consistency)",10,IF(AF82="Shallow Cyclical (2 to 3 years growth)",5,0))</f>
        <v/>
      </c>
      <c r="AH82" s="31" t="n"/>
      <c r="AI82" s="31">
        <f>IF(AH82="Yes due to Product Mix change or Operating Leverage",10,IF(AH82="Yes, these are peak margins",-5,IF(AH82="No",5,0)))</f>
        <v/>
      </c>
      <c r="AJ82" s="31" t="n"/>
      <c r="AK82" s="31">
        <f>IF(AJ82="Stable",10,0)</f>
        <v/>
      </c>
      <c r="AL82" s="31" t="n"/>
      <c r="AM82" s="31">
        <f>IF(AL82="Yes",10,0)</f>
        <v/>
      </c>
      <c r="AN82" s="31" t="n"/>
      <c r="AO82" s="31">
        <f>IF(AN82="B2C",10,IF(AN82="B2B",5,0))</f>
        <v/>
      </c>
      <c r="AP82" s="31" t="n"/>
      <c r="AQ82" s="31">
        <f>IF(AP82="Yes",10,0)</f>
        <v/>
      </c>
      <c r="AR82" s="31" t="n"/>
      <c r="AS82" s="31">
        <f>IF(AR82="Fully Annuity",10,IF(AR82="Higher Annuity, Lower One Time",5,IF(AR82="Higher One Time, Lower Annuity",3,0)))</f>
        <v/>
      </c>
      <c r="AT82" s="31" t="n"/>
      <c r="AU82" s="31">
        <f>IF(AT82="Good",10,0)</f>
        <v/>
      </c>
      <c r="AV82" s="31" t="n"/>
      <c r="AW82" s="31">
        <f>IF(AV82="Yes for more than 2 years",10,IF(AV82="Yes only for next 1 to 2 years",5,0))</f>
        <v/>
      </c>
      <c r="AX82" s="31" t="n"/>
      <c r="AY82" s="31">
        <f>IF(AX82="Above 40",20,IF(AX82="20 to 40",10,IF(AX82="0 to 20",-5,0)))</f>
        <v/>
      </c>
      <c r="AZ82" s="31" t="n"/>
      <c r="BA82" s="31">
        <f>IF(AZ82="Between 50 to 75",10,IF(AZ82="Above 75",0,0))</f>
        <v/>
      </c>
      <c r="BB82" s="31" t="n"/>
      <c r="BC82" s="31">
        <f>IF(BB82="Stage 2",20,IF(BB82="Stage 1",0,IF(BB82="Stage 3",5,IF(BB82="Stage 4",-5,0))))</f>
        <v/>
      </c>
      <c r="BD82" s="31" t="n"/>
      <c r="BE82" s="31">
        <f>IF(BD82="Positive Trend",20,IF(BD82="Negative Trend",-10,0))</f>
        <v/>
      </c>
      <c r="BF82" s="31" t="n"/>
      <c r="BG82" s="31">
        <f>IF(BF82="Uptrend",10,IF(BF82="Sideways",5,0))</f>
        <v/>
      </c>
      <c r="BH82" s="31" t="n"/>
      <c r="BI82" s="31">
        <f>IF(BH82="Uptrend",10,IF(BH82="Sideways",5,0))</f>
        <v/>
      </c>
      <c r="BJ82" s="31" t="n"/>
      <c r="BK82" s="31">
        <f>IF(BJ82="Overhead supply in last 2 years in last 2 years",-5,IF(BJ82="Close to 52 week high or retracement",5,IF(BJ82="Blue sky scenario",10,IF(BJ82="Long term Downtrend",-10,0))))</f>
        <v/>
      </c>
      <c r="BL82" s="31" t="n"/>
      <c r="BM82" s="31">
        <f>IF(BL82="Yes",10,0)</f>
        <v/>
      </c>
      <c r="BN82" s="31" t="n"/>
      <c r="BO82" s="31">
        <f>IF(BN82="More than 20%",10,IF(BN82="Between 12 to 20%",5,IF(BN82="Less than 12%",0,0)))</f>
        <v/>
      </c>
      <c r="BP82" s="31" t="n"/>
      <c r="BQ82" s="31">
        <f>IF(BP82="No",10,0)</f>
        <v/>
      </c>
      <c r="BR82" s="31" t="n"/>
      <c r="BS82" s="31">
        <f>IF(BR82="NO",5,0)</f>
        <v/>
      </c>
      <c r="BT82" s="31" t="n"/>
      <c r="BU82" s="31">
        <f>IF(BT82="Above 2",0,IF(BT82="Between 1.5 to 2",5,IF(BT82="Less than 1.5",10,0)))</f>
        <v/>
      </c>
      <c r="BV82" s="31" t="n"/>
      <c r="BW82" s="31">
        <f>IF(BV82="Above 70%",10,IF(BV82="Between 50% to 70%",5,IF(BV82="Less than 50%",0,IF(BV82="Negative",-10,IF(BV82="Less than 50% and Borrowings are increasing",-5,0)))))</f>
        <v/>
      </c>
      <c r="BX82" s="31" t="n"/>
      <c r="BY82" s="31">
        <f>IF(BX82="More than 1.2",-10,IF(BX82="Between 0.7 to 1.2",0,IF(BX82="Less than 0.7",10,0)))</f>
        <v/>
      </c>
      <c r="BZ82" s="31" t="n"/>
      <c r="CA82" s="31">
        <f>IF(BZ82="Yes",-10,0)</f>
        <v/>
      </c>
      <c r="CB82" s="31" t="n"/>
      <c r="CC82" s="31">
        <f>IF(CB82="More than 15%",-10,IF(CB82="Less than 15%",10,0))</f>
        <v/>
      </c>
      <c r="CD82" s="31" t="n"/>
      <c r="CE82" s="31">
        <f>IF(CD82="Yes, more than 10%",-10,IF(CD82="No",10,0))</f>
        <v/>
      </c>
      <c r="CF82" s="31" t="n"/>
      <c r="CG82" s="31">
        <f>IF(CF82&gt;20,10,IF(CF82&gt;=10,5,2))</f>
        <v/>
      </c>
    </row>
    <row r="83">
      <c r="A83" s="31">
        <f>IF(B83=0,"",RANK(B83,$B$2:$B$86,0))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SACHEEROME</t>
        </is>
      </c>
      <c r="D83" s="31" t="inlineStr">
        <is>
          <t>Sacheerome Ltd</t>
        </is>
      </c>
      <c r="E83" s="31" t="inlineStr">
        <is>
          <t>unknown</t>
        </is>
      </c>
      <c r="F83" s="31" t="inlineStr">
        <is>
          <t>Chemicals - Organic</t>
        </is>
      </c>
      <c r="G83" s="31" t="inlineStr">
        <is>
          <t>smallcap</t>
        </is>
      </c>
      <c r="H83" s="32" t="n">
        <v>1049.51</v>
      </c>
      <c r="I83" s="32" t="n">
        <v>469.1</v>
      </c>
      <c r="J83" s="32" t="n">
        <v>3.28</v>
      </c>
      <c r="K83" s="32" t="n">
        <v>0</v>
      </c>
      <c r="L83" s="31" t="inlineStr"/>
      <c r="M83" s="31" t="inlineStr"/>
      <c r="N83" s="32">
        <f>IF(M83="Underperforming",-5,IF(L83&gt;=95,15,IF(L83&gt;=90,10,IF(L83&gt;=80,5,0))))</f>
        <v/>
      </c>
      <c r="O83" s="32" t="inlineStr"/>
      <c r="P83" s="32" t="inlineStr"/>
      <c r="Q83" s="32" t="inlineStr"/>
      <c r="R83" s="31" t="inlineStr"/>
      <c r="S83" s="31" t="inlineStr"/>
      <c r="T83" s="32" t="inlineStr"/>
      <c r="U83" s="32" t="inlineStr"/>
      <c r="V83" s="32" t="inlineStr"/>
      <c r="W83" s="32" t="inlineStr"/>
      <c r="X83" s="31" t="n"/>
      <c r="Y83" s="31">
        <f>IF(X83="Growing Industry",10,IF(X83="Cyclical in an Upturn",5,0))</f>
        <v/>
      </c>
      <c r="Z83" s="31" t="n"/>
      <c r="AA83" s="31">
        <f>IF(Z83="Monopoly",10,IF(Z83="Oligopoly",5,IF(Z83="Duopoly that cooperate",10,IF(Z83="Duopoly that compete",5,IF(Z83="Too many players with High ROCE",5,0)))))</f>
        <v/>
      </c>
      <c r="AB83" s="31" t="n"/>
      <c r="AC83" s="31">
        <f>IF(AB83="No",5,0)</f>
        <v/>
      </c>
      <c r="AD83" s="31" t="n"/>
      <c r="AE83" s="31">
        <f>IF(AD83="Tailwind",10,0)</f>
        <v/>
      </c>
      <c r="AF83" s="31" t="n"/>
      <c r="AG83" s="31">
        <f>IF(AF83="Structural (10 Years Consistency)",10,IF(AF83="Shallow Cyclical (2 to 3 years growth)",5,0))</f>
        <v/>
      </c>
      <c r="AH83" s="31" t="n"/>
      <c r="AI83" s="31">
        <f>IF(AH83="Yes due to Product Mix change or Operating Leverage",10,IF(AH83="Yes, these are peak margins",-5,IF(AH83="No",5,0)))</f>
        <v/>
      </c>
      <c r="AJ83" s="31" t="n"/>
      <c r="AK83" s="31">
        <f>IF(AJ83="Stable",10,0)</f>
        <v/>
      </c>
      <c r="AL83" s="31" t="n"/>
      <c r="AM83" s="31">
        <f>IF(AL83="Yes",10,0)</f>
        <v/>
      </c>
      <c r="AN83" s="31" t="n"/>
      <c r="AO83" s="31">
        <f>IF(AN83="B2C",10,IF(AN83="B2B",5,0))</f>
        <v/>
      </c>
      <c r="AP83" s="31" t="n"/>
      <c r="AQ83" s="31">
        <f>IF(AP83="Yes",10,0)</f>
        <v/>
      </c>
      <c r="AR83" s="31" t="n"/>
      <c r="AS83" s="31">
        <f>IF(AR83="Fully Annuity",10,IF(AR83="Higher Annuity, Lower One Time",5,IF(AR83="Higher One Time, Lower Annuity",3,0)))</f>
        <v/>
      </c>
      <c r="AT83" s="31" t="n"/>
      <c r="AU83" s="31">
        <f>IF(AT83="Good",10,0)</f>
        <v/>
      </c>
      <c r="AV83" s="31" t="n"/>
      <c r="AW83" s="31">
        <f>IF(AV83="Yes for more than 2 years",10,IF(AV83="Yes only for next 1 to 2 years",5,0))</f>
        <v/>
      </c>
      <c r="AX83" s="31" t="n"/>
      <c r="AY83" s="31">
        <f>IF(AX83="Above 40",20,IF(AX83="20 to 40",10,IF(AX83="0 to 20",-5,0)))</f>
        <v/>
      </c>
      <c r="AZ83" s="31" t="n"/>
      <c r="BA83" s="31">
        <f>IF(AZ83="Between 50 to 75",10,IF(AZ83="Above 75",0,0))</f>
        <v/>
      </c>
      <c r="BB83" s="31" t="n"/>
      <c r="BC83" s="31">
        <f>IF(BB83="Stage 2",20,IF(BB83="Stage 1",0,IF(BB83="Stage 3",5,IF(BB83="Stage 4",-5,0))))</f>
        <v/>
      </c>
      <c r="BD83" s="31" t="n"/>
      <c r="BE83" s="31">
        <f>IF(BD83="Positive Trend",20,IF(BD83="Negative Trend",-10,0))</f>
        <v/>
      </c>
      <c r="BF83" s="31" t="n"/>
      <c r="BG83" s="31">
        <f>IF(BF83="Uptrend",10,IF(BF83="Sideways",5,0))</f>
        <v/>
      </c>
      <c r="BH83" s="31" t="n"/>
      <c r="BI83" s="31">
        <f>IF(BH83="Uptrend",10,IF(BH83="Sideways",5,0))</f>
        <v/>
      </c>
      <c r="BJ83" s="31" t="n"/>
      <c r="BK83" s="31">
        <f>IF(BJ83="Overhead supply in last 2 years in last 2 years",-5,IF(BJ83="Close to 52 week high or retracement",5,IF(BJ83="Blue sky scenario",10,IF(BJ83="Long term Downtrend",-10,0))))</f>
        <v/>
      </c>
      <c r="BL83" s="31" t="n"/>
      <c r="BM83" s="31">
        <f>IF(BL83="Yes",10,0)</f>
        <v/>
      </c>
      <c r="BN83" s="31" t="n"/>
      <c r="BO83" s="31">
        <f>IF(BN83="More than 20%",10,IF(BN83="Between 12 to 20%",5,IF(BN83="Less than 12%",0,0)))</f>
        <v/>
      </c>
      <c r="BP83" s="31" t="n"/>
      <c r="BQ83" s="31">
        <f>IF(BP83="No",10,0)</f>
        <v/>
      </c>
      <c r="BR83" s="31" t="n"/>
      <c r="BS83" s="31">
        <f>IF(BR83="NO",5,0)</f>
        <v/>
      </c>
      <c r="BT83" s="31" t="n"/>
      <c r="BU83" s="31">
        <f>IF(BT83="Above 2",0,IF(BT83="Between 1.5 to 2",5,IF(BT83="Less than 1.5",10,0)))</f>
        <v/>
      </c>
      <c r="BV83" s="31" t="n"/>
      <c r="BW83" s="31">
        <f>IF(BV83="Above 70%",10,IF(BV83="Between 50% to 70%",5,IF(BV83="Less than 50%",0,IF(BV83="Negative",-10,IF(BV83="Less than 50% and Borrowings are increasing",-5,0)))))</f>
        <v/>
      </c>
      <c r="BX83" s="31" t="n"/>
      <c r="BY83" s="31">
        <f>IF(BX83="More than 1.2",-10,IF(BX83="Between 0.7 to 1.2",0,IF(BX83="Less than 0.7",10,0)))</f>
        <v/>
      </c>
      <c r="BZ83" s="31" t="n"/>
      <c r="CA83" s="31">
        <f>IF(BZ83="Yes",-10,0)</f>
        <v/>
      </c>
      <c r="CB83" s="31" t="n"/>
      <c r="CC83" s="31">
        <f>IF(CB83="More than 15%",-10,IF(CB83="Less than 15%",10,0))</f>
        <v/>
      </c>
      <c r="CD83" s="31" t="n"/>
      <c r="CE83" s="31">
        <f>IF(CD83="Yes, more than 10%",-10,IF(CD83="No",10,0))</f>
        <v/>
      </c>
      <c r="CF83" s="31" t="n"/>
      <c r="CG83" s="31">
        <f>IF(CF83&gt;20,10,IF(CF83&gt;=10,5,2))</f>
        <v/>
      </c>
    </row>
    <row r="84">
      <c r="A84" s="31">
        <f>IF(B84=0,"",RANK(B84,$B$2:$B$86,0))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GABRIEL</t>
        </is>
      </c>
      <c r="D84" s="31" t="inlineStr">
        <is>
          <t>Gabriel India Ltd</t>
        </is>
      </c>
      <c r="E84" s="31" t="inlineStr">
        <is>
          <t>auto</t>
        </is>
      </c>
      <c r="F84" s="31" t="inlineStr">
        <is>
          <t>Auto Ancillaries - Shock Absorber</t>
        </is>
      </c>
      <c r="G84" s="31" t="inlineStr">
        <is>
          <t>largecap</t>
        </is>
      </c>
      <c r="H84" s="32" t="n">
        <v>20052.69</v>
      </c>
      <c r="I84" s="32" t="n">
        <v>1396</v>
      </c>
      <c r="J84" s="32" t="n">
        <v>4.44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inlineStr"/>
      <c r="P84" s="32" t="inlineStr"/>
      <c r="Q84" s="32" t="inlineStr"/>
      <c r="R84" s="31" t="inlineStr"/>
      <c r="S84" s="31" t="inlineStr"/>
      <c r="T84" s="32" t="inlineStr"/>
      <c r="U84" s="32" t="inlineStr"/>
      <c r="V84" s="32" t="inlineStr"/>
      <c r="W84" s="32" t="inlineStr"/>
      <c r="X84" s="31" t="n"/>
      <c r="Y84" s="31">
        <f>IF(X84="Growing Industry",10,IF(X84="Cyclical in an Upturn",5,0))</f>
        <v/>
      </c>
      <c r="Z84" s="31" t="n"/>
      <c r="AA84" s="31">
        <f>IF(Z84="Monopoly",10,IF(Z84="Oligopoly",5,IF(Z84="Duopoly that cooperate",10,IF(Z84="Duopoly that compete",5,IF(Z84="Too many players with High ROCE",5,0)))))</f>
        <v/>
      </c>
      <c r="AB84" s="31" t="n"/>
      <c r="AC84" s="31">
        <f>IF(AB84="No",5,0)</f>
        <v/>
      </c>
      <c r="AD84" s="31" t="n"/>
      <c r="AE84" s="31">
        <f>IF(AD84="Tailwind",10,0)</f>
        <v/>
      </c>
      <c r="AF84" s="31" t="n"/>
      <c r="AG84" s="31">
        <f>IF(AF84="Structural (10 Years Consistency)",10,IF(AF84="Shallow Cyclical (2 to 3 years growth)",5,0))</f>
        <v/>
      </c>
      <c r="AH84" s="31" t="n"/>
      <c r="AI84" s="31">
        <f>IF(AH84="Yes due to Product Mix change or Operating Leverage",10,IF(AH84="Yes, these are peak margins",-5,IF(AH84="No",5,0)))</f>
        <v/>
      </c>
      <c r="AJ84" s="31" t="n"/>
      <c r="AK84" s="31">
        <f>IF(AJ84="Stable",10,0)</f>
        <v/>
      </c>
      <c r="AL84" s="31" t="n"/>
      <c r="AM84" s="31">
        <f>IF(AL84="Yes",10,0)</f>
        <v/>
      </c>
      <c r="AN84" s="31" t="n"/>
      <c r="AO84" s="31">
        <f>IF(AN84="B2C",10,IF(AN84="B2B",5,0))</f>
        <v/>
      </c>
      <c r="AP84" s="31" t="n"/>
      <c r="AQ84" s="31">
        <f>IF(AP84="Yes",10,0)</f>
        <v/>
      </c>
      <c r="AR84" s="31" t="n"/>
      <c r="AS84" s="31">
        <f>IF(AR84="Fully Annuity",10,IF(AR84="Higher Annuity, Lower One Time",5,IF(AR84="Higher One Time, Lower Annuity",3,0)))</f>
        <v/>
      </c>
      <c r="AT84" s="31" t="n"/>
      <c r="AU84" s="31">
        <f>IF(AT84="Good",10,0)</f>
        <v/>
      </c>
      <c r="AV84" s="31" t="n"/>
      <c r="AW84" s="31">
        <f>IF(AV84="Yes for more than 2 years",10,IF(AV84="Yes only for next 1 to 2 years",5,0))</f>
        <v/>
      </c>
      <c r="AX84" s="31" t="n"/>
      <c r="AY84" s="31">
        <f>IF(AX84="Above 40",20,IF(AX84="20 to 40",10,IF(AX84="0 to 20",-5,0)))</f>
        <v/>
      </c>
      <c r="AZ84" s="31" t="n"/>
      <c r="BA84" s="31">
        <f>IF(AZ84="Between 50 to 75",10,IF(AZ84="Above 75",0,0))</f>
        <v/>
      </c>
      <c r="BB84" s="31" t="n"/>
      <c r="BC84" s="31">
        <f>IF(BB84="Stage 2",20,IF(BB84="Stage 1",0,IF(BB84="Stage 3",5,IF(BB84="Stage 4",-5,0))))</f>
        <v/>
      </c>
      <c r="BD84" s="31" t="n"/>
      <c r="BE84" s="31">
        <f>IF(BD84="Positive Trend",20,IF(BD84="Negative Trend",-10,0))</f>
        <v/>
      </c>
      <c r="BF84" s="31" t="n"/>
      <c r="BG84" s="31">
        <f>IF(BF84="Uptrend",10,IF(BF84="Sideways",5,0))</f>
        <v/>
      </c>
      <c r="BH84" s="31" t="n"/>
      <c r="BI84" s="31">
        <f>IF(BH84="Uptrend",10,IF(BH84="Sideways",5,0))</f>
        <v/>
      </c>
      <c r="BJ84" s="31" t="n"/>
      <c r="BK84" s="31">
        <f>IF(BJ84="Overhead supply in last 2 years in last 2 years",-5,IF(BJ84="Close to 52 week high or retracement",5,IF(BJ84="Blue sky scenario",10,IF(BJ84="Long term Downtrend",-10,0))))</f>
        <v/>
      </c>
      <c r="BL84" s="31" t="n"/>
      <c r="BM84" s="31">
        <f>IF(BL84="Yes",10,0)</f>
        <v/>
      </c>
      <c r="BN84" s="31" t="n"/>
      <c r="BO84" s="31">
        <f>IF(BN84="More than 20%",10,IF(BN84="Between 12 to 20%",5,IF(BN84="Less than 12%",0,0)))</f>
        <v/>
      </c>
      <c r="BP84" s="31" t="n"/>
      <c r="BQ84" s="31">
        <f>IF(BP84="No",10,0)</f>
        <v/>
      </c>
      <c r="BR84" s="31" t="n"/>
      <c r="BS84" s="31">
        <f>IF(BR84="NO",5,0)</f>
        <v/>
      </c>
      <c r="BT84" s="31" t="n"/>
      <c r="BU84" s="31">
        <f>IF(BT84="Above 2",0,IF(BT84="Between 1.5 to 2",5,IF(BT84="Less than 1.5",10,0)))</f>
        <v/>
      </c>
      <c r="BV84" s="31" t="n"/>
      <c r="BW84" s="31">
        <f>IF(BV84="Above 70%",10,IF(BV84="Between 50% to 70%",5,IF(BV84="Less than 50%",0,IF(BV84="Negative",-10,IF(BV84="Less than 50% and Borrowings are increasing",-5,0)))))</f>
        <v/>
      </c>
      <c r="BX84" s="31" t="n"/>
      <c r="BY84" s="31">
        <f>IF(BX84="More than 1.2",-10,IF(BX84="Between 0.7 to 1.2",0,IF(BX84="Less than 0.7",10,0)))</f>
        <v/>
      </c>
      <c r="BZ84" s="31" t="n"/>
      <c r="CA84" s="31">
        <f>IF(BZ84="Yes",-10,0)</f>
        <v/>
      </c>
      <c r="CB84" s="31" t="n"/>
      <c r="CC84" s="31">
        <f>IF(CB84="More than 15%",-10,IF(CB84="Less than 15%",10,0))</f>
        <v/>
      </c>
      <c r="CD84" s="31" t="n"/>
      <c r="CE84" s="31">
        <f>IF(CD84="Yes, more than 10%",-10,IF(CD84="No",10,0))</f>
        <v/>
      </c>
      <c r="CF84" s="31" t="n"/>
      <c r="CG84" s="31">
        <f>IF(CF84&gt;20,10,IF(CF84&gt;=10,5,2))</f>
        <v/>
      </c>
    </row>
    <row r="85">
      <c r="A85" s="31">
        <f>IF(B85=0,"",RANK(B85,$B$2:$B$86,0))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SUDARSHAN</t>
        </is>
      </c>
      <c r="D85" s="31" t="inlineStr">
        <is>
          <t>Sudarshan Pharma Industries Ltd</t>
        </is>
      </c>
      <c r="E85" s="31" t="inlineStr">
        <is>
          <t>unknown</t>
        </is>
      </c>
      <c r="F85" s="31" t="inlineStr">
        <is>
          <t>Trading</t>
        </is>
      </c>
      <c r="G85" s="31" t="inlineStr">
        <is>
          <t>smallcap</t>
        </is>
      </c>
      <c r="H85" s="32" t="n">
        <v>1010.53</v>
      </c>
      <c r="I85" s="32" t="n">
        <v>41.99</v>
      </c>
      <c r="J85" s="32" t="n">
        <v>4.98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inlineStr"/>
      <c r="P85" s="32" t="inlineStr"/>
      <c r="Q85" s="32" t="inlineStr"/>
      <c r="R85" s="31" t="inlineStr"/>
      <c r="S85" s="31" t="inlineStr"/>
      <c r="T85" s="32" t="inlineStr"/>
      <c r="U85" s="32" t="inlineStr"/>
      <c r="V85" s="32" t="inlineStr"/>
      <c r="W85" s="32" t="inlineStr"/>
      <c r="X85" s="31" t="n"/>
      <c r="Y85" s="31">
        <f>IF(X85="Growing Industry",10,IF(X85="Cyclical in an Upturn",5,0))</f>
        <v/>
      </c>
      <c r="Z85" s="31" t="n"/>
      <c r="AA85" s="31">
        <f>IF(Z85="Monopoly",10,IF(Z85="Oligopoly",5,IF(Z85="Duopoly that cooperate",10,IF(Z85="Duopoly that compete",5,IF(Z85="Too many players with High ROCE",5,0)))))</f>
        <v/>
      </c>
      <c r="AB85" s="31" t="n"/>
      <c r="AC85" s="31">
        <f>IF(AB85="No",5,0)</f>
        <v/>
      </c>
      <c r="AD85" s="31" t="n"/>
      <c r="AE85" s="31">
        <f>IF(AD85="Tailwind",10,0)</f>
        <v/>
      </c>
      <c r="AF85" s="31" t="n"/>
      <c r="AG85" s="31">
        <f>IF(AF85="Structural (10 Years Consistency)",10,IF(AF85="Shallow Cyclical (2 to 3 years growth)",5,0))</f>
        <v/>
      </c>
      <c r="AH85" s="31" t="n"/>
      <c r="AI85" s="31">
        <f>IF(AH85="Yes due to Product Mix change or Operating Leverage",10,IF(AH85="Yes, these are peak margins",-5,IF(AH85="No",5,0)))</f>
        <v/>
      </c>
      <c r="AJ85" s="31" t="n"/>
      <c r="AK85" s="31">
        <f>IF(AJ85="Stable",10,0)</f>
        <v/>
      </c>
      <c r="AL85" s="31" t="n"/>
      <c r="AM85" s="31">
        <f>IF(AL85="Yes",10,0)</f>
        <v/>
      </c>
      <c r="AN85" s="31" t="n"/>
      <c r="AO85" s="31">
        <f>IF(AN85="B2C",10,IF(AN85="B2B",5,0))</f>
        <v/>
      </c>
      <c r="AP85" s="31" t="n"/>
      <c r="AQ85" s="31">
        <f>IF(AP85="Yes",10,0)</f>
        <v/>
      </c>
      <c r="AR85" s="31" t="n"/>
      <c r="AS85" s="31">
        <f>IF(AR85="Fully Annuity",10,IF(AR85="Higher Annuity, Lower One Time",5,IF(AR85="Higher One Time, Lower Annuity",3,0)))</f>
        <v/>
      </c>
      <c r="AT85" s="31" t="n"/>
      <c r="AU85" s="31">
        <f>IF(AT85="Good",10,0)</f>
        <v/>
      </c>
      <c r="AV85" s="31" t="n"/>
      <c r="AW85" s="31">
        <f>IF(AV85="Yes for more than 2 years",10,IF(AV85="Yes only for next 1 to 2 years",5,0))</f>
        <v/>
      </c>
      <c r="AX85" s="31" t="n"/>
      <c r="AY85" s="31">
        <f>IF(AX85="Above 40",20,IF(AX85="20 to 40",10,IF(AX85="0 to 20",-5,0)))</f>
        <v/>
      </c>
      <c r="AZ85" s="31" t="n"/>
      <c r="BA85" s="31">
        <f>IF(AZ85="Between 50 to 75",10,IF(AZ85="Above 75",0,0))</f>
        <v/>
      </c>
      <c r="BB85" s="31" t="n"/>
      <c r="BC85" s="31">
        <f>IF(BB85="Stage 2",20,IF(BB85="Stage 1",0,IF(BB85="Stage 3",5,IF(BB85="Stage 4",-5,0))))</f>
        <v/>
      </c>
      <c r="BD85" s="31" t="n"/>
      <c r="BE85" s="31">
        <f>IF(BD85="Positive Trend",20,IF(BD85="Negative Trend",-10,0))</f>
        <v/>
      </c>
      <c r="BF85" s="31" t="n"/>
      <c r="BG85" s="31">
        <f>IF(BF85="Uptrend",10,IF(BF85="Sideways",5,0))</f>
        <v/>
      </c>
      <c r="BH85" s="31" t="n"/>
      <c r="BI85" s="31">
        <f>IF(BH85="Uptrend",10,IF(BH85="Sideways",5,0))</f>
        <v/>
      </c>
      <c r="BJ85" s="31" t="n"/>
      <c r="BK85" s="31">
        <f>IF(BJ85="Overhead supply in last 2 years in last 2 years",-5,IF(BJ85="Close to 52 week high or retracement",5,IF(BJ85="Blue sky scenario",10,IF(BJ85="Long term Downtrend",-10,0))))</f>
        <v/>
      </c>
      <c r="BL85" s="31" t="n"/>
      <c r="BM85" s="31">
        <f>IF(BL85="Yes",10,0)</f>
        <v/>
      </c>
      <c r="BN85" s="31" t="n"/>
      <c r="BO85" s="31">
        <f>IF(BN85="More than 20%",10,IF(BN85="Between 12 to 20%",5,IF(BN85="Less than 12%",0,0)))</f>
        <v/>
      </c>
      <c r="BP85" s="31" t="n"/>
      <c r="BQ85" s="31">
        <f>IF(BP85="No",10,0)</f>
        <v/>
      </c>
      <c r="BR85" s="31" t="n"/>
      <c r="BS85" s="31">
        <f>IF(BR85="NO",5,0)</f>
        <v/>
      </c>
      <c r="BT85" s="31" t="n"/>
      <c r="BU85" s="31">
        <f>IF(BT85="Above 2",0,IF(BT85="Between 1.5 to 2",5,IF(BT85="Less than 1.5",10,0)))</f>
        <v/>
      </c>
      <c r="BV85" s="31" t="n"/>
      <c r="BW85" s="31">
        <f>IF(BV85="Above 70%",10,IF(BV85="Between 50% to 70%",5,IF(BV85="Less than 50%",0,IF(BV85="Negative",-10,IF(BV85="Less than 50% and Borrowings are increasing",-5,0)))))</f>
        <v/>
      </c>
      <c r="BX85" s="31" t="n"/>
      <c r="BY85" s="31">
        <f>IF(BX85="More than 1.2",-10,IF(BX85="Between 0.7 to 1.2",0,IF(BX85="Less than 0.7",10,0)))</f>
        <v/>
      </c>
      <c r="BZ85" s="31" t="n"/>
      <c r="CA85" s="31">
        <f>IF(BZ85="Yes",-10,0)</f>
        <v/>
      </c>
      <c r="CB85" s="31" t="n"/>
      <c r="CC85" s="31">
        <f>IF(CB85="More than 15%",-10,IF(CB85="Less than 15%",10,0))</f>
        <v/>
      </c>
      <c r="CD85" s="31" t="n"/>
      <c r="CE85" s="31">
        <f>IF(CD85="Yes, more than 10%",-10,IF(CD85="No",10,0))</f>
        <v/>
      </c>
      <c r="CF85" s="31" t="n"/>
      <c r="CG85" s="31">
        <f>IF(CF85&gt;20,10,IF(CF85&gt;=10,5,2))</f>
        <v/>
      </c>
    </row>
    <row r="86">
      <c r="A86" s="31">
        <f>IF(B86=0,"",RANK(B86,$B$2:$B$86,0))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SIGMAADV</t>
        </is>
      </c>
      <c r="D86" s="31" t="inlineStr">
        <is>
          <t>Sigma Advanced System Ltd</t>
        </is>
      </c>
      <c r="E86" s="31" t="inlineStr">
        <is>
          <t>unknown</t>
        </is>
      </c>
      <c r="F86" s="31" t="inlineStr">
        <is>
          <t>Aerospace &amp; Defence - Equipments</t>
        </is>
      </c>
      <c r="G86" s="31" t="inlineStr">
        <is>
          <t>midcap</t>
        </is>
      </c>
      <c r="H86" s="32" t="n">
        <v>9425.299999999999</v>
      </c>
      <c r="I86" s="32" t="n">
        <v>534.8</v>
      </c>
      <c r="J86" s="32" t="n">
        <v>-4.12</v>
      </c>
      <c r="K86" s="32" t="n">
        <v>0</v>
      </c>
      <c r="L86" s="31" t="inlineStr"/>
      <c r="M86" s="31" t="inlineStr"/>
      <c r="N86" s="32">
        <f>IF(M86="Underperforming",-5,IF(L86&gt;=95,15,IF(L86&gt;=90,10,IF(L86&gt;=80,5,0))))</f>
        <v/>
      </c>
      <c r="O86" s="32" t="inlineStr"/>
      <c r="P86" s="32" t="inlineStr"/>
      <c r="Q86" s="32" t="inlineStr"/>
      <c r="R86" s="31" t="inlineStr"/>
      <c r="S86" s="31" t="inlineStr"/>
      <c r="T86" s="32" t="inlineStr"/>
      <c r="U86" s="32" t="inlineStr"/>
      <c r="V86" s="32" t="inlineStr"/>
      <c r="W86" s="32" t="inlineStr"/>
      <c r="X86" s="31" t="n"/>
      <c r="Y86" s="31">
        <f>IF(X86="Growing Industry",10,IF(X86="Cyclical in an Upturn",5,0))</f>
        <v/>
      </c>
      <c r="Z86" s="31" t="n"/>
      <c r="AA86" s="31">
        <f>IF(Z86="Monopoly",10,IF(Z86="Oligopoly",5,IF(Z86="Duopoly that cooperate",10,IF(Z86="Duopoly that compete",5,IF(Z86="Too many players with High ROCE",5,0)))))</f>
        <v/>
      </c>
      <c r="AB86" s="31" t="n"/>
      <c r="AC86" s="31">
        <f>IF(AB86="No",5,0)</f>
        <v/>
      </c>
      <c r="AD86" s="31" t="n"/>
      <c r="AE86" s="31">
        <f>IF(AD86="Tailwind",10,0)</f>
        <v/>
      </c>
      <c r="AF86" s="31" t="n"/>
      <c r="AG86" s="31">
        <f>IF(AF86="Structural (10 Years Consistency)",10,IF(AF86="Shallow Cyclical (2 to 3 years growth)",5,0))</f>
        <v/>
      </c>
      <c r="AH86" s="31" t="n"/>
      <c r="AI86" s="31">
        <f>IF(AH86="Yes due to Product Mix change or Operating Leverage",10,IF(AH86="Yes, these are peak margins",-5,IF(AH86="No",5,0)))</f>
        <v/>
      </c>
      <c r="AJ86" s="31" t="n"/>
      <c r="AK86" s="31">
        <f>IF(AJ86="Stable",10,0)</f>
        <v/>
      </c>
      <c r="AL86" s="31" t="n"/>
      <c r="AM86" s="31">
        <f>IF(AL86="Yes",10,0)</f>
        <v/>
      </c>
      <c r="AN86" s="31" t="n"/>
      <c r="AO86" s="31">
        <f>IF(AN86="B2C",10,IF(AN86="B2B",5,0))</f>
        <v/>
      </c>
      <c r="AP86" s="31" t="n"/>
      <c r="AQ86" s="31">
        <f>IF(AP86="Yes",10,0)</f>
        <v/>
      </c>
      <c r="AR86" s="31" t="n"/>
      <c r="AS86" s="31">
        <f>IF(AR86="Fully Annuity",10,IF(AR86="Higher Annuity, Lower One Time",5,IF(AR86="Higher One Time, Lower Annuity",3,0)))</f>
        <v/>
      </c>
      <c r="AT86" s="31" t="n"/>
      <c r="AU86" s="31">
        <f>IF(AT86="Good",10,0)</f>
        <v/>
      </c>
      <c r="AV86" s="31" t="n"/>
      <c r="AW86" s="31">
        <f>IF(AV86="Yes for more than 2 years",10,IF(AV86="Yes only for next 1 to 2 years",5,0))</f>
        <v/>
      </c>
      <c r="AX86" s="31" t="n"/>
      <c r="AY86" s="31">
        <f>IF(AX86="Above 40",20,IF(AX86="20 to 40",10,IF(AX86="0 to 20",-5,0)))</f>
        <v/>
      </c>
      <c r="AZ86" s="31" t="n"/>
      <c r="BA86" s="31">
        <f>IF(AZ86="Between 50 to 75",10,IF(AZ86="Above 75",0,0))</f>
        <v/>
      </c>
      <c r="BB86" s="31" t="n"/>
      <c r="BC86" s="31">
        <f>IF(BB86="Stage 2",20,IF(BB86="Stage 1",0,IF(BB86="Stage 3",5,IF(BB86="Stage 4",-5,0))))</f>
        <v/>
      </c>
      <c r="BD86" s="31" t="n"/>
      <c r="BE86" s="31">
        <f>IF(BD86="Positive Trend",20,IF(BD86="Negative Trend",-10,0))</f>
        <v/>
      </c>
      <c r="BF86" s="31" t="n"/>
      <c r="BG86" s="31">
        <f>IF(BF86="Uptrend",10,IF(BF86="Sideways",5,0))</f>
        <v/>
      </c>
      <c r="BH86" s="31" t="n"/>
      <c r="BI86" s="31">
        <f>IF(BH86="Uptrend",10,IF(BH86="Sideways",5,0))</f>
        <v/>
      </c>
      <c r="BJ86" s="31" t="n"/>
      <c r="BK86" s="31">
        <f>IF(BJ86="Overhead supply in last 2 years in last 2 years",-5,IF(BJ86="Close to 52 week high or retracement",5,IF(BJ86="Blue sky scenario",10,IF(BJ86="Long term Downtrend",-10,0))))</f>
        <v/>
      </c>
      <c r="BL86" s="31" t="n"/>
      <c r="BM86" s="31">
        <f>IF(BL86="Yes",10,0)</f>
        <v/>
      </c>
      <c r="BN86" s="31" t="n"/>
      <c r="BO86" s="31">
        <f>IF(BN86="More than 20%",10,IF(BN86="Between 12 to 20%",5,IF(BN86="Less than 12%",0,0)))</f>
        <v/>
      </c>
      <c r="BP86" s="31" t="n"/>
      <c r="BQ86" s="31">
        <f>IF(BP86="No",10,0)</f>
        <v/>
      </c>
      <c r="BR86" s="31" t="n"/>
      <c r="BS86" s="31">
        <f>IF(BR86="NO",5,0)</f>
        <v/>
      </c>
      <c r="BT86" s="31" t="n"/>
      <c r="BU86" s="31">
        <f>IF(BT86="Above 2",0,IF(BT86="Between 1.5 to 2",5,IF(BT86="Less than 1.5",10,0)))</f>
        <v/>
      </c>
      <c r="BV86" s="31" t="n"/>
      <c r="BW86" s="31">
        <f>IF(BV86="Above 70%",10,IF(BV86="Between 50% to 70%",5,IF(BV86="Less than 50%",0,IF(BV86="Negative",-10,IF(BV86="Less than 50% and Borrowings are increasing",-5,0)))))</f>
        <v/>
      </c>
      <c r="BX86" s="31" t="n"/>
      <c r="BY86" s="31">
        <f>IF(BX86="More than 1.2",-10,IF(BX86="Between 0.7 to 1.2",0,IF(BX86="Less than 0.7",10,0)))</f>
        <v/>
      </c>
      <c r="BZ86" s="31" t="n"/>
      <c r="CA86" s="31">
        <f>IF(BZ86="Yes",-10,0)</f>
        <v/>
      </c>
      <c r="CB86" s="31" t="n"/>
      <c r="CC86" s="31">
        <f>IF(CB86="More than 15%",-10,IF(CB86="Less than 15%",10,0))</f>
        <v/>
      </c>
      <c r="CD86" s="31" t="n"/>
      <c r="CE86" s="31">
        <f>IF(CD86="Yes, more than 10%",-10,IF(CD86="No",10,0))</f>
        <v/>
      </c>
      <c r="CF86" s="31" t="n"/>
      <c r="CG86" s="31">
        <f>IF(CF86&gt;20,10,IF(CF86&gt;=10,5,2))</f>
        <v/>
      </c>
    </row>
  </sheetData>
  <autoFilter ref="A1:CG86"/>
  <conditionalFormatting sqref="B2:B8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6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6">
    <cfRule type="cellIs" priority="37" operator="equal" dxfId="3" stopIfTrue="1">
      <formula>"Underperforming"</formula>
    </cfRule>
  </conditionalFormatting>
  <conditionalFormatting sqref="N2:N86">
    <cfRule type="cellIs" priority="38" operator="equal" dxfId="3" stopIfTrue="1">
      <formula>-5</formula>
    </cfRule>
  </conditionalFormatting>
  <conditionalFormatting sqref="Q2:Q86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6" showDropDown="0" showInputMessage="0" showErrorMessage="0" allowBlank="1" type="list">
      <formula1>"Growing Industry,Stagnant Industry,Cyclical in an Upturn"</formula1>
    </dataValidation>
    <dataValidation sqref="Z2:Z8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6" showDropDown="0" showInputMessage="0" showErrorMessage="0" allowBlank="1" type="list">
      <formula1>"Yes,No"</formula1>
    </dataValidation>
    <dataValidation sqref="AD2:AD86" showDropDown="0" showInputMessage="0" showErrorMessage="0" allowBlank="1" type="list">
      <formula1>"Tailwind,Headwind"</formula1>
    </dataValidation>
    <dataValidation sqref="AF2:AF86" showDropDown="0" showInputMessage="0" showErrorMessage="0" allowBlank="1" type="list">
      <formula1>"Structural (10 Years Consistency),Shallow Cyclical (2 to 3 Years Growth),Cyclical"</formula1>
    </dataValidation>
    <dataValidation sqref="AH2:AH86" showDropDown="0" showInputMessage="0" showErrorMessage="0" allowBlank="1" type="list">
      <formula1>"Yes due to Product Mix change or Operating Leverage,Yes, these are peak margins,No"</formula1>
    </dataValidation>
    <dataValidation sqref="AJ2:AJ86" showDropDown="0" showInputMessage="0" showErrorMessage="0" allowBlank="1" type="list">
      <formula1>"Stable,Volatile"</formula1>
    </dataValidation>
    <dataValidation sqref="AL2:AL86" showDropDown="0" showInputMessage="0" showErrorMessage="0" allowBlank="1" type="list">
      <formula1>"Yes,No"</formula1>
    </dataValidation>
    <dataValidation sqref="AN2:AN86" showDropDown="0" showInputMessage="0" showErrorMessage="0" allowBlank="1" type="list">
      <formula1>"B2C,B2B,B2G"</formula1>
    </dataValidation>
    <dataValidation sqref="AP2:AP86" showDropDown="0" showInputMessage="0" showErrorMessage="0" allowBlank="1" type="list">
      <formula1>"Yes,No"</formula1>
    </dataValidation>
    <dataValidation sqref="AR2:AR86" showDropDown="0" showInputMessage="0" showErrorMessage="0" allowBlank="1" type="list">
      <formula1>"Fully Annuity,Higher Annuity, Lower One time,Higher One Time, Lower Annuity,Fully One Time"</formula1>
    </dataValidation>
    <dataValidation sqref="AT2:AT86" showDropDown="0" showInputMessage="0" showErrorMessage="0" allowBlank="1" type="list">
      <formula1>"Good,Allocated capital in Non-core Areas"</formula1>
    </dataValidation>
    <dataValidation sqref="AV2:AV86" showDropDown="0" showInputMessage="0" showErrorMessage="0" allowBlank="1" type="list">
      <formula1>"Yes for more than 2 years,Yes only for next 1 to 2 years,No"</formula1>
    </dataValidation>
    <dataValidation sqref="AX2:AX86" showDropDown="0" showInputMessage="0" showErrorMessage="0" allowBlank="1" type="list">
      <formula1>"Above 40,20 to 40,0 to 20"</formula1>
    </dataValidation>
    <dataValidation sqref="AZ2:AZ86" showDropDown="0" showInputMessage="0" showErrorMessage="0" allowBlank="1" type="list">
      <formula1>"Between 50 to 75,Above 75,Below 45"</formula1>
    </dataValidation>
    <dataValidation sqref="BB2:BB86" showDropDown="0" showInputMessage="0" showErrorMessage="0" allowBlank="1" type="list">
      <formula1>"Stage 1,Stage 2,Stage 3,Stage 4"</formula1>
    </dataValidation>
    <dataValidation sqref="BD2:BD86" showDropDown="0" showInputMessage="0" showErrorMessage="0" allowBlank="1" type="list">
      <formula1>"Positive Trend,Negative Trend"</formula1>
    </dataValidation>
    <dataValidation sqref="BF2:BF86" showDropDown="0" showInputMessage="0" showErrorMessage="0" allowBlank="1" type="list">
      <formula1>"Uptrend,Sideways,Downtrend"</formula1>
    </dataValidation>
    <dataValidation sqref="BH2:BH86" showDropDown="0" showInputMessage="0" showErrorMessage="0" allowBlank="1" type="list">
      <formula1>"Uptrend,Sideways,Downtrend"</formula1>
    </dataValidation>
    <dataValidation sqref="BJ2:BJ8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6" showDropDown="0" showInputMessage="0" showErrorMessage="0" allowBlank="1" type="list">
      <formula1>"Yes,No"</formula1>
    </dataValidation>
    <dataValidation sqref="BN2:BN86" showDropDown="0" showInputMessage="0" showErrorMessage="0" allowBlank="1" type="list">
      <formula1>"More than 20%,Between 12 to 20%,Less than 12%"</formula1>
    </dataValidation>
    <dataValidation sqref="BP2:BP86" showDropDown="0" showInputMessage="0" showErrorMessage="0" allowBlank="1" type="list">
      <formula1>"Yes,No"</formula1>
    </dataValidation>
    <dataValidation sqref="BR2:BR86" showDropDown="0" showInputMessage="0" showErrorMessage="0" allowBlank="1" type="list">
      <formula1>"Yes,No"</formula1>
    </dataValidation>
    <dataValidation sqref="BT2:BT86" showDropDown="0" showInputMessage="0" showErrorMessage="0" allowBlank="1" type="list">
      <formula1>"Above 2,Between 1.5 to 2,Less than 1.5"</formula1>
    </dataValidation>
    <dataValidation sqref="BV2:BV86" showDropDown="0" showInputMessage="0" showErrorMessage="0" allowBlank="1" type="list">
      <formula1>"Above 70%,Between 50% to 70%,Less than 50%,Less than 50% and Borrowings are increasing,Negative"</formula1>
    </dataValidation>
    <dataValidation sqref="BX2:BX86" showDropDown="0" showInputMessage="0" showErrorMessage="0" allowBlank="1" type="list">
      <formula1>"More than 1.2,Between 0.7 to 1.2,Less than 0.7"</formula1>
    </dataValidation>
    <dataValidation sqref="BZ2:BZ86" showDropDown="0" showInputMessage="0" showErrorMessage="0" allowBlank="1" type="list">
      <formula1>"Yes,No"</formula1>
    </dataValidation>
    <dataValidation sqref="CB2:CB86" showDropDown="0" showInputMessage="0" showErrorMessage="0" allowBlank="1" type="list">
      <formula1>"More than 15%,Less than 15%"</formula1>
    </dataValidation>
    <dataValidation sqref="CD2:CD8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IF(B2=0,"",RANK(B2,$B$2:$B$16,0))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2839.1</v>
      </c>
      <c r="I2" s="32" t="n">
        <v>257</v>
      </c>
      <c r="J2" s="32" t="n">
        <v>0.76</v>
      </c>
      <c r="K2" s="32" t="n">
        <v>0</v>
      </c>
      <c r="L2" s="31" t="n">
        <v>83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72.95</v>
      </c>
      <c r="P2" s="32" t="n">
        <v>68.13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3.98</v>
      </c>
      <c r="U2" s="32" t="n">
        <v>55.47</v>
      </c>
      <c r="V2" s="32" t="n">
        <v>49.53</v>
      </c>
      <c r="W2" s="32" t="n">
        <v>19.88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No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17</t>
        </is>
      </c>
      <c r="CC2" s="31">
        <f>IF(CB2&gt;20,10,IF(CB2&gt;=10,5,2))</f>
        <v/>
      </c>
    </row>
    <row r="3">
      <c r="A3" s="31">
        <f>IF(B3=0,"",RANK(B3,$B$2:$B$16,0))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SURYODAY</t>
        </is>
      </c>
      <c r="D3" s="31" t="inlineStr">
        <is>
          <t>Suryoday Small Finance Bank Ltd</t>
        </is>
      </c>
      <c r="E3" s="31" t="inlineStr">
        <is>
          <t>bank</t>
        </is>
      </c>
      <c r="F3" s="31" t="inlineStr">
        <is>
          <t>Banks - Small Finance</t>
        </is>
      </c>
      <c r="G3" s="31" t="inlineStr">
        <is>
          <t>smallcap</t>
        </is>
      </c>
      <c r="H3" s="32" t="n">
        <v>1954.67</v>
      </c>
      <c r="I3" s="32" t="n">
        <v>183.9</v>
      </c>
      <c r="J3" s="32" t="n">
        <v>2.29</v>
      </c>
      <c r="K3" s="32" t="n">
        <v>0</v>
      </c>
      <c r="L3" s="31" t="n">
        <v>60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64.92</v>
      </c>
      <c r="P3" s="32" t="n">
        <v>43.03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3.98</v>
      </c>
      <c r="U3" s="32" t="n">
        <v>28.79</v>
      </c>
      <c r="V3" s="32" t="n">
        <v>23.86</v>
      </c>
      <c r="W3" s="32" t="n">
        <v>10.8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17</t>
        </is>
      </c>
      <c r="CC3" s="31">
        <f>IF(CB3&gt;20,10,IF(CB3&gt;=10,5,2))</f>
        <v/>
      </c>
    </row>
    <row r="4">
      <c r="A4" s="31">
        <f>IF(B4=0,"",RANK(B4,$B$2:$B$16,0))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PIRAMALFIN</t>
        </is>
      </c>
      <c r="D4" s="31" t="inlineStr">
        <is>
          <t>Piramal Finance Ltd</t>
        </is>
      </c>
      <c r="E4" s="31" t="inlineStr">
        <is>
          <t>Financial Services</t>
        </is>
      </c>
      <c r="F4" s="31" t="inlineStr">
        <is>
          <t>Conglomerate Backed NBFC</t>
        </is>
      </c>
      <c r="G4" s="31" t="inlineStr">
        <is>
          <t>largecap</t>
        </is>
      </c>
      <c r="H4" s="32" t="n">
        <v>48917.05</v>
      </c>
      <c r="I4" s="32" t="n">
        <v>2158</v>
      </c>
      <c r="J4" s="32" t="n">
        <v>0.64</v>
      </c>
      <c r="K4" s="32" t="n">
        <v>0</v>
      </c>
      <c r="L4" s="31" t="n">
        <v>71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72.78</v>
      </c>
      <c r="P4" s="32" t="n">
        <v>59.46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1.11</v>
      </c>
      <c r="U4" s="32" t="n">
        <v>63</v>
      </c>
      <c r="V4" s="32" t="n">
        <v>61.2</v>
      </c>
      <c r="W4" s="32" t="n">
        <v>14.24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16</t>
        </is>
      </c>
      <c r="CC4" s="31">
        <f>IF(CB4&gt;20,10,IF(CB4&gt;=10,5,2))</f>
        <v/>
      </c>
    </row>
    <row r="5">
      <c r="A5" s="31">
        <f>IF(B5=0,"",RANK(B5,$B$2:$B$16,0))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SGFIN</t>
        </is>
      </c>
      <c r="D5" s="31" t="inlineStr">
        <is>
          <t>SG Finserve Ltd</t>
        </is>
      </c>
      <c r="E5" s="31" t="inlineStr">
        <is>
          <t>Financial Services</t>
        </is>
      </c>
      <c r="F5" s="31" t="inlineStr">
        <is>
          <t>Finance &amp; Investments - MSME Lending</t>
        </is>
      </c>
      <c r="G5" s="31" t="inlineStr">
        <is>
          <t>smallcap</t>
        </is>
      </c>
      <c r="H5" s="32" t="n">
        <v>4424.52</v>
      </c>
      <c r="I5" s="32" t="n">
        <v>671.45</v>
      </c>
      <c r="J5" s="32" t="n">
        <v>6.64</v>
      </c>
      <c r="K5" s="32" t="n">
        <v>0</v>
      </c>
      <c r="L5" s="31" t="n">
        <v>75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66.61</v>
      </c>
      <c r="P5" s="32" t="n">
        <v>58.66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6.39</v>
      </c>
      <c r="U5" s="32" t="n">
        <v>61.13</v>
      </c>
      <c r="V5" s="32" t="n">
        <v>51.45</v>
      </c>
      <c r="W5" s="32" t="n">
        <v>15.67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26</t>
        </is>
      </c>
      <c r="CC5" s="31">
        <f>IF(CB5&gt;20,10,IF(CB5&gt;=10,5,2))</f>
        <v/>
      </c>
    </row>
    <row r="6">
      <c r="A6" s="31">
        <f>IF(B6=0,"",RANK(B6,$B$2:$B$16,0))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PAISALO</t>
        </is>
      </c>
      <c r="D6" s="31" t="inlineStr">
        <is>
          <t>Paisalo Digital Ltd</t>
        </is>
      </c>
      <c r="E6" s="31" t="inlineStr">
        <is>
          <t>financials</t>
        </is>
      </c>
      <c r="F6" s="31" t="inlineStr">
        <is>
          <t>Finance - Capital Markets - Brokers</t>
        </is>
      </c>
      <c r="G6" s="31" t="inlineStr">
        <is>
          <t>midcap</t>
        </is>
      </c>
      <c r="H6" s="32" t="n">
        <v>6444.87</v>
      </c>
      <c r="I6" s="32" t="n">
        <v>70.86</v>
      </c>
      <c r="J6" s="32" t="n">
        <v>-1.24</v>
      </c>
      <c r="K6" s="32" t="n">
        <v>0</v>
      </c>
      <c r="L6" s="31" t="n">
        <v>94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81.84999999999999</v>
      </c>
      <c r="P6" s="32" t="n">
        <v>56.47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3.98</v>
      </c>
      <c r="U6" s="32" t="n">
        <v>130.81</v>
      </c>
      <c r="V6" s="32" t="n">
        <v>121.98</v>
      </c>
      <c r="W6" s="32" t="n">
        <v>33.83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Above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19</t>
        </is>
      </c>
      <c r="CC6" s="31">
        <f>IF(CB6&gt;20,10,IF(CB6&gt;=10,5,2))</f>
        <v/>
      </c>
    </row>
    <row r="7">
      <c r="A7" s="31">
        <f>IF(B7=0,"",RANK(B7,$B$2:$B$16,0))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UJJIVANSFB</t>
        </is>
      </c>
      <c r="D7" s="31" t="inlineStr">
        <is>
          <t>Ujjivan Small Finance Bank Ltd</t>
        </is>
      </c>
      <c r="E7" s="31" t="inlineStr">
        <is>
          <t>bank</t>
        </is>
      </c>
      <c r="F7" s="31" t="inlineStr">
        <is>
          <t>Banks - Small Finance</t>
        </is>
      </c>
      <c r="G7" s="31" t="inlineStr">
        <is>
          <t>midcap</t>
        </is>
      </c>
      <c r="H7" s="32" t="n">
        <v>12789.93</v>
      </c>
      <c r="I7" s="32" t="n">
        <v>65.73</v>
      </c>
      <c r="J7" s="32" t="n">
        <v>1.31</v>
      </c>
      <c r="K7" s="32" t="n">
        <v>0</v>
      </c>
      <c r="L7" s="31" t="n">
        <v>49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62.39</v>
      </c>
      <c r="P7" s="32" t="n">
        <v>27.92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3.98</v>
      </c>
      <c r="U7" s="32" t="n">
        <v>32.76</v>
      </c>
      <c r="V7" s="32" t="n">
        <v>27.68</v>
      </c>
      <c r="W7" s="32" t="n">
        <v>8.359999999999999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17</t>
        </is>
      </c>
      <c r="CC7" s="31">
        <f>IF(CB7&gt;20,10,IF(CB7&gt;=10,5,2))</f>
        <v/>
      </c>
    </row>
    <row r="8">
      <c r="A8" s="31">
        <f>IF(B8=0,"",RANK(B8,$B$2:$B$16,0))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RANEHOLDIN</t>
        </is>
      </c>
      <c r="D8" s="31" t="inlineStr">
        <is>
          <t>Rane Holdings Ltd</t>
        </is>
      </c>
      <c r="E8" s="31" t="inlineStr">
        <is>
          <t>financials</t>
        </is>
      </c>
      <c r="F8" s="31" t="inlineStr">
        <is>
          <t>Finance - Holding Company</t>
        </is>
      </c>
      <c r="G8" s="31" t="inlineStr">
        <is>
          <t>smallcap</t>
        </is>
      </c>
      <c r="H8" s="32" t="n">
        <v>2499.19</v>
      </c>
      <c r="I8" s="32" t="n">
        <v>1750.4</v>
      </c>
      <c r="J8" s="32" t="n">
        <v>1.23</v>
      </c>
      <c r="K8" s="32" t="n">
        <v>0</v>
      </c>
      <c r="L8" s="31" t="n">
        <v>78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67.59</v>
      </c>
      <c r="P8" s="32" t="n">
        <v>36.23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3.98</v>
      </c>
      <c r="U8" s="32" t="n">
        <v>9.56</v>
      </c>
      <c r="V8" s="32" t="n">
        <v>5.37</v>
      </c>
      <c r="W8" s="32" t="n">
        <v>16.97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15</t>
        </is>
      </c>
      <c r="CC8" s="31">
        <f>IF(CB8&gt;20,10,IF(CB8&gt;=10,5,2))</f>
        <v/>
      </c>
    </row>
    <row r="9">
      <c r="A9" s="31">
        <f>IF(B9=0,"",RANK(B9,$B$2:$B$16,0))</f>
        <v/>
      </c>
      <c r="B9" s="32">
        <f>SUM(N9,Y9,AA9,AC9,AE9,AG9,AI9,AK9,AM9,AO9,AQ9,AS9,AU9,AW9,AY9,BA9,BC9,BE9,BG9,BI9,BK9,BM9,BO9,BQ9,BS9,BU9,BW9,BY9,CA9,CC9)</f>
        <v/>
      </c>
      <c r="C9" s="33" t="inlineStr">
        <is>
          <t>JSFB</t>
        </is>
      </c>
      <c r="D9" s="33" t="inlineStr">
        <is>
          <t>Jana Small Finance Bank Ltd</t>
        </is>
      </c>
      <c r="E9" s="31" t="inlineStr">
        <is>
          <t>bank</t>
        </is>
      </c>
      <c r="F9" s="31" t="inlineStr">
        <is>
          <t>Banks - Small Finance</t>
        </is>
      </c>
      <c r="G9" s="31" t="inlineStr">
        <is>
          <t>midcap</t>
        </is>
      </c>
      <c r="H9" s="32" t="n">
        <v>5592.3</v>
      </c>
      <c r="I9" s="32" t="n">
        <v>529</v>
      </c>
      <c r="J9" s="32" t="n">
        <v>7.3</v>
      </c>
      <c r="K9" s="32" t="n">
        <v>0</v>
      </c>
      <c r="L9" s="31" t="n">
        <v>38</v>
      </c>
      <c r="M9" s="31" t="inlineStr">
        <is>
          <t>Underperforming</t>
        </is>
      </c>
      <c r="N9" s="32">
        <f>IF(M9="Underperforming",-5,IF(L9&gt;=95,15,IF(L9&gt;=90,10,IF(L9&gt;=80,5,0))))</f>
        <v/>
      </c>
      <c r="O9" s="32" t="n">
        <v>60.94</v>
      </c>
      <c r="P9" s="32" t="n">
        <v>32.43</v>
      </c>
      <c r="Q9" s="32" t="inlineStr"/>
      <c r="R9" s="31" t="inlineStr">
        <is>
          <t>Earnings / Momentum Support</t>
        </is>
      </c>
      <c r="S9" s="31" t="inlineStr">
        <is>
          <t>Nifty Bank</t>
        </is>
      </c>
      <c r="T9" s="32" t="n">
        <v>3.98</v>
      </c>
      <c r="U9" s="32" t="n">
        <v>0.59</v>
      </c>
      <c r="V9" s="32" t="n">
        <v>-3.26</v>
      </c>
      <c r="W9" s="32" t="n">
        <v>6.13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22</t>
        </is>
      </c>
      <c r="CC9" s="31">
        <f>IF(CB9&gt;20,10,IF(CB9&gt;=10,5,2))</f>
        <v/>
      </c>
    </row>
    <row r="10">
      <c r="A10" s="31">
        <f>IF(B10=0,"",RANK(B10,$B$2:$B$16,0))</f>
        <v/>
      </c>
      <c r="B10" s="32">
        <f>SUM(N10,Y10,AA10,AC10,AE10,AG10,AI10,AK10,AM10,AO10,AQ10,AS10,AU10,AW10,AY10,BA10,BC10,BE10,BG10,BI10,BK10,BM10,BO10,BQ10,BS10,BU10,BW10,BY10,CA10,CC10)</f>
        <v/>
      </c>
      <c r="C10" s="31" t="inlineStr">
        <is>
          <t>GODREJIND</t>
        </is>
      </c>
      <c r="D10" s="31" t="inlineStr">
        <is>
          <t>Godrej Industries Ltd</t>
        </is>
      </c>
      <c r="E10" s="31" t="inlineStr">
        <is>
          <t>chemicals</t>
        </is>
      </c>
      <c r="F10" s="31" t="inlineStr">
        <is>
          <t>Finance - Holding Company</t>
        </is>
      </c>
      <c r="G10" s="31" t="inlineStr">
        <is>
          <t>largecap</t>
        </is>
      </c>
      <c r="H10" s="32" t="n">
        <v>46074.49</v>
      </c>
      <c r="I10" s="32" t="n">
        <v>1367.8</v>
      </c>
      <c r="J10" s="32" t="n">
        <v>2.48</v>
      </c>
      <c r="K10" s="32" t="n">
        <v>0</v>
      </c>
      <c r="L10" s="31" t="n">
        <v>69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64.66</v>
      </c>
      <c r="P10" s="32" t="n">
        <v>35.7</v>
      </c>
      <c r="Q10" s="32" t="inlineStr"/>
      <c r="R10" s="31" t="inlineStr">
        <is>
          <t>Earnings / Momentum Support</t>
        </is>
      </c>
      <c r="S10" s="31" t="inlineStr">
        <is>
          <t>Nifty 50</t>
        </is>
      </c>
      <c r="T10" s="32" t="n">
        <v>-2.54</v>
      </c>
      <c r="U10" s="32" t="n">
        <v>15.59</v>
      </c>
      <c r="V10" s="32" t="n">
        <v>18.6</v>
      </c>
      <c r="W10" s="32" t="n">
        <v>13.34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3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15</t>
        </is>
      </c>
      <c r="CC10" s="31">
        <f>IF(CB10&gt;20,10,IF(CB10&gt;=10,5,2))</f>
        <v/>
      </c>
    </row>
    <row r="11">
      <c r="A11" s="31">
        <f>IF(B11=0,"",RANK(B11,$B$2:$B$16,0))</f>
        <v/>
      </c>
      <c r="B11" s="32">
        <f>SUM(N11,Y11,AA11,AC11,AE11,AG11,AI11,AK11,AM11,AO11,AQ11,AS11,AU11,AW11,AY11,BA11,BC11,BE11,BG11,BI11,BK11,BM11,BO11,BQ11,BS11,BU11,BW11,BY11,CA11,CC11)</f>
        <v/>
      </c>
      <c r="C11" s="31" t="inlineStr">
        <is>
          <t>TFCILTD</t>
        </is>
      </c>
      <c r="D11" s="31" t="inlineStr">
        <is>
          <t>Tourism Finance Corporation of India Ltd</t>
        </is>
      </c>
      <c r="E11" s="31" t="inlineStr">
        <is>
          <t>financials</t>
        </is>
      </c>
      <c r="F11" s="31" t="inlineStr">
        <is>
          <t>Finance - PSU Lending</t>
        </is>
      </c>
      <c r="G11" s="31" t="inlineStr">
        <is>
          <t>smallcap</t>
        </is>
      </c>
      <c r="H11" s="32" t="n">
        <v>3854.29</v>
      </c>
      <c r="I11" s="32" t="n">
        <v>83.25</v>
      </c>
      <c r="J11" s="32" t="n">
        <v>-2.09</v>
      </c>
      <c r="K11" s="32" t="n">
        <v>0</v>
      </c>
      <c r="L11" s="31" t="n">
        <v>66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63.6</v>
      </c>
      <c r="P11" s="32" t="n">
        <v>41.32</v>
      </c>
      <c r="Q11" s="32" t="inlineStr"/>
      <c r="R11" s="31" t="inlineStr">
        <is>
          <t>Earnings / Momentum Support</t>
        </is>
      </c>
      <c r="S11" s="31" t="inlineStr">
        <is>
          <t>Nifty Bank</t>
        </is>
      </c>
      <c r="T11" s="32" t="n">
        <v>3.98</v>
      </c>
      <c r="U11" s="32" t="n">
        <v>49.16</v>
      </c>
      <c r="V11" s="32" t="n">
        <v>43.46</v>
      </c>
      <c r="W11" s="32" t="n">
        <v>12.31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less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3</t>
        </is>
      </c>
      <c r="BQ11" s="31">
        <f>IF(BP11="Stage 2",20,IF(BP11="Stage 1",0,IF(BP11="Stage 3",5,IF(BP11="Stage 4",-5,0))))</f>
        <v/>
      </c>
      <c r="BR11" s="31" t="inlineStr">
        <is>
          <t>Negative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  <c r="CB11" s="31" t="inlineStr">
        <is>
          <t>17</t>
        </is>
      </c>
      <c r="CC11" s="31">
        <f>IF(CB11&gt;20,10,IF(CB11&gt;=10,5,2))</f>
        <v/>
      </c>
    </row>
    <row r="12">
      <c r="A12" s="31">
        <f>IF(B12=0,"",RANK(B12,$B$2:$B$16,0))</f>
        <v/>
      </c>
      <c r="B12" s="32">
        <f>SUM(N12,Y12,AA12,AC12,AE12,AG12,AI12,AK12,AM12,AO12,AQ12,AS12,AU12,AW12,AY12,BA12,BC12,BE12,BG12,BI12,BK12,BM12,BO12,BQ12,BS12,BU12,BW12,BY12,CA12,CC12)</f>
        <v/>
      </c>
      <c r="C12" s="31" t="inlineStr">
        <is>
          <t>MUTHOOTMF</t>
        </is>
      </c>
      <c r="D12" s="31" t="inlineStr">
        <is>
          <t>Muthoot Microfin Ltd</t>
        </is>
      </c>
      <c r="E12" s="31" t="inlineStr">
        <is>
          <t>financials</t>
        </is>
      </c>
      <c r="F12" s="31" t="inlineStr">
        <is>
          <t>Finance &amp; Investments - Microfinance</t>
        </is>
      </c>
      <c r="G12" s="31" t="inlineStr">
        <is>
          <t>smallcap</t>
        </is>
      </c>
      <c r="H12" s="32" t="n">
        <v>4306.63</v>
      </c>
      <c r="I12" s="32" t="n">
        <v>252.6</v>
      </c>
      <c r="J12" s="32" t="n">
        <v>5.22</v>
      </c>
      <c r="K12" s="32" t="n">
        <v>0</v>
      </c>
      <c r="L12" s="31" t="n">
        <v>75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73.97</v>
      </c>
      <c r="P12" s="32" t="n">
        <v>39.34</v>
      </c>
      <c r="Q12" s="32" t="inlineStr"/>
      <c r="R12" s="31" t="inlineStr">
        <is>
          <t>Earnings / Momentum Support</t>
        </is>
      </c>
      <c r="S12" s="31" t="inlineStr">
        <is>
          <t>Nifty Bank</t>
        </is>
      </c>
      <c r="T12" s="32" t="n">
        <v>3.98</v>
      </c>
      <c r="U12" s="32" t="n">
        <v>44.52</v>
      </c>
      <c r="V12" s="32" t="n">
        <v>38.99</v>
      </c>
      <c r="W12" s="32" t="n">
        <v>15.78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less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3</t>
        </is>
      </c>
      <c r="BQ12" s="31">
        <f>IF(BP12="Stage 2",20,IF(BP12="Stage 1",0,IF(BP12="Stage 3",5,IF(BP12="Stage 4",-5,0))))</f>
        <v/>
      </c>
      <c r="BR12" s="31" t="inlineStr">
        <is>
          <t>Negative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  <c r="CB12" s="31" t="inlineStr">
        <is>
          <t>16</t>
        </is>
      </c>
      <c r="CC12" s="31">
        <f>IF(CB12&gt;20,10,IF(CB12&gt;=10,5,2))</f>
        <v/>
      </c>
    </row>
    <row r="13">
      <c r="A13" s="31">
        <f>IF(B13=0,"",RANK(B13,$B$2:$B$16,0))</f>
        <v/>
      </c>
      <c r="B13" s="32">
        <f>SUM(N13,Y13,AA13,AC13,AE13,AG13,AI13,AK13,AM13,AO13,AQ13,AS13,AU13,AW13,AY13,BA13,BC13,BE13,BG13,BI13,BK13,BM13,BO13,BQ13,BS13,BU13,BW13,BY13,CA13,CC13)</f>
        <v/>
      </c>
      <c r="C13" s="31" t="inlineStr">
        <is>
          <t>CGCL</t>
        </is>
      </c>
      <c r="D13" s="31" t="inlineStr">
        <is>
          <t>Capri Global Capital Ltd</t>
        </is>
      </c>
      <c r="E13" s="31" t="inlineStr">
        <is>
          <t>financials</t>
        </is>
      </c>
      <c r="F13" s="31" t="inlineStr">
        <is>
          <t>Finance &amp; Investments - Gold Loan</t>
        </is>
      </c>
      <c r="G13" s="31" t="inlineStr">
        <is>
          <t>largecap</t>
        </is>
      </c>
      <c r="H13" s="32" t="n">
        <v>23967.26</v>
      </c>
      <c r="I13" s="32" t="n">
        <v>249.1</v>
      </c>
      <c r="J13" s="32" t="n">
        <v>-2.84</v>
      </c>
      <c r="K13" s="32" t="n">
        <v>0</v>
      </c>
      <c r="L13" s="31" t="n">
        <v>76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78.64</v>
      </c>
      <c r="P13" s="32" t="n">
        <v>36.28</v>
      </c>
      <c r="Q13" s="32" t="inlineStr"/>
      <c r="R13" s="31" t="inlineStr">
        <is>
          <t>Earnings / Momentum Support</t>
        </is>
      </c>
      <c r="S13" s="31" t="inlineStr">
        <is>
          <t>Nifty Bank</t>
        </is>
      </c>
      <c r="T13" s="32" t="n">
        <v>3.98</v>
      </c>
      <c r="U13" s="32" t="n">
        <v>39.67</v>
      </c>
      <c r="V13" s="32" t="n">
        <v>34.33</v>
      </c>
      <c r="W13" s="32" t="n">
        <v>16.22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Above 75</t>
        </is>
      </c>
      <c r="BO13" s="31">
        <f>IF(BN13="Between 50 to 75",10,IF(BN13="Above 75",0,0))</f>
        <v/>
      </c>
      <c r="BP13" s="31" t="inlineStr">
        <is>
          <t>Stage 3</t>
        </is>
      </c>
      <c r="BQ13" s="31">
        <f>IF(BP13="Stage 2",20,IF(BP13="Stage 1",0,IF(BP13="Stage 3",5,IF(BP13="Stage 4",-5,0))))</f>
        <v/>
      </c>
      <c r="BR13" s="31" t="inlineStr">
        <is>
          <t>Negative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  <c r="CB13" s="31" t="inlineStr">
        <is>
          <t>21</t>
        </is>
      </c>
      <c r="CC13" s="31">
        <f>IF(CB13&gt;20,10,IF(CB13&gt;=10,5,2))</f>
        <v/>
      </c>
    </row>
    <row r="14">
      <c r="A14" s="31">
        <f>IF(B14=0,"",RANK(B14,$B$2:$B$16,0))</f>
        <v/>
      </c>
      <c r="B14" s="32">
        <f>SUM(N14,Y14,AA14,AC14,AE14,AG14,AI14,AK14,AM14,AO14,AQ14,AS14,AU14,AW14,AY14,BA14,BC14,BE14,BG14,BI14,BK14,BM14,BO14,BQ14,BS14,BU14,BW14,BY14,CA14,CC14)</f>
        <v/>
      </c>
      <c r="C14" s="33" t="inlineStr">
        <is>
          <t>SHAREINDIA</t>
        </is>
      </c>
      <c r="D14" s="33" t="inlineStr">
        <is>
          <t>Share India Securities Ltd</t>
        </is>
      </c>
      <c r="E14" s="31" t="inlineStr">
        <is>
          <t>financials</t>
        </is>
      </c>
      <c r="F14" s="31" t="inlineStr">
        <is>
          <t>Finance - Capital Markets - Brokers</t>
        </is>
      </c>
      <c r="G14" s="31" t="inlineStr">
        <is>
          <t>smallcap</t>
        </is>
      </c>
      <c r="H14" s="32" t="n">
        <v>3982.62</v>
      </c>
      <c r="I14" s="32" t="n">
        <v>182</v>
      </c>
      <c r="J14" s="32" t="n">
        <v>2.69</v>
      </c>
      <c r="K14" s="32" t="n">
        <v>0</v>
      </c>
      <c r="L14" s="31" t="n">
        <v>35</v>
      </c>
      <c r="M14" s="31" t="inlineStr">
        <is>
          <t>Underperforming</t>
        </is>
      </c>
      <c r="N14" s="32">
        <f>IF(M14="Underperforming",-5,IF(L14&gt;=95,15,IF(L14&gt;=90,10,IF(L14&gt;=80,5,0))))</f>
        <v/>
      </c>
      <c r="O14" s="32" t="n">
        <v>65.27</v>
      </c>
      <c r="P14" s="32" t="n">
        <v>15.18</v>
      </c>
      <c r="Q14" s="32" t="inlineStr"/>
      <c r="R14" s="31" t="inlineStr">
        <is>
          <t>Earnings / Momentum Support</t>
        </is>
      </c>
      <c r="S14" s="31" t="inlineStr">
        <is>
          <t>Nifty Bank</t>
        </is>
      </c>
      <c r="T14" s="32" t="n">
        <v>3.98</v>
      </c>
      <c r="U14" s="32" t="n">
        <v>0.86</v>
      </c>
      <c r="V14" s="32" t="n">
        <v>-3</v>
      </c>
      <c r="W14" s="32" t="n">
        <v>5.64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0 to 20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3</t>
        </is>
      </c>
      <c r="BQ14" s="31">
        <f>IF(BP14="Stage 2",20,IF(BP14="Stage 1",0,IF(BP14="Stage 3",5,IF(BP14="Stage 4",-5,0))))</f>
        <v/>
      </c>
      <c r="BR14" s="31" t="inlineStr">
        <is>
          <t>Negative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  <c r="CB14" s="31" t="inlineStr">
        <is>
          <t>17</t>
        </is>
      </c>
      <c r="CC14" s="31">
        <f>IF(CB14&gt;20,10,IF(CB14&gt;=10,5,2))</f>
        <v/>
      </c>
    </row>
    <row r="15">
      <c r="A15" s="31">
        <f>IF(B15=0,"",RANK(B15,$B$2:$B$16,0))</f>
        <v/>
      </c>
      <c r="B15" s="32">
        <f>SUM(N15,Y15,AA15,AC15,AE15,AG15,AI15,AK15,AM15,AO15,AQ15,AS15,AU15,AW15,AY15,BA15,BC15,BE15,BG15,BI15,BK15,BM15,BO15,BQ15,BS15,BU15,BW15,BY15,CA15,CC15)</f>
        <v/>
      </c>
      <c r="C15" s="31" t="inlineStr">
        <is>
          <t>POONAWALLA</t>
        </is>
      </c>
      <c r="D15" s="31" t="inlineStr">
        <is>
          <t>Poonawalla Fincorp Ltd</t>
        </is>
      </c>
      <c r="E15" s="31" t="inlineStr">
        <is>
          <t>financials</t>
        </is>
      </c>
      <c r="F15" s="31" t="inlineStr">
        <is>
          <t>Conglomerate Backed NBFC</t>
        </is>
      </c>
      <c r="G15" s="31" t="inlineStr">
        <is>
          <t>largecap</t>
        </is>
      </c>
      <c r="H15" s="32" t="n">
        <v>41119.92</v>
      </c>
      <c r="I15" s="32" t="n">
        <v>467</v>
      </c>
      <c r="J15" s="32" t="n">
        <v>-2.16</v>
      </c>
      <c r="K15" s="32" t="n">
        <v>0</v>
      </c>
      <c r="L15" s="31" t="n">
        <v>31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60.54</v>
      </c>
      <c r="P15" s="32" t="n">
        <v>12.7</v>
      </c>
      <c r="Q15" s="32" t="inlineStr"/>
      <c r="R15" s="31" t="inlineStr">
        <is>
          <t>Earnings / Momentum Support</t>
        </is>
      </c>
      <c r="S15" s="31" t="inlineStr">
        <is>
          <t>Nifty Bank</t>
        </is>
      </c>
      <c r="T15" s="32" t="n">
        <v>3.98</v>
      </c>
      <c r="U15" s="32" t="n">
        <v>5.55</v>
      </c>
      <c r="V15" s="32" t="n">
        <v>1.51</v>
      </c>
      <c r="W15" s="32" t="n">
        <v>4.89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0 to 20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3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  <c r="CB15" s="31" t="inlineStr">
        <is>
          <t>20</t>
        </is>
      </c>
      <c r="CC15" s="31">
        <f>IF(CB15&gt;20,10,IF(CB15&gt;=10,5,2))</f>
        <v/>
      </c>
    </row>
    <row r="16">
      <c r="A16" s="31">
        <f>IF(B16=0,"",RANK(B16,$B$2:$B$16,0))</f>
        <v/>
      </c>
      <c r="B16" s="32">
        <f>SUM(N16,Y16,AA16,AC16,AE16,AG16,AI16,AK16,AM16,AO16,AQ16,AS16,AU16,AW16,AY16,BA16,BC16,BE16,BG16,BI16,BK16,BM16,BO16,BQ16,BS16,BU16,BW16,BY16,CA16,CC16)</f>
        <v/>
      </c>
      <c r="C16" s="31" t="inlineStr">
        <is>
          <t>CHOICEIN</t>
        </is>
      </c>
      <c r="D16" s="31" t="inlineStr">
        <is>
          <t>Choice International Ltd</t>
        </is>
      </c>
      <c r="E16" s="31" t="inlineStr">
        <is>
          <t>financials</t>
        </is>
      </c>
      <c r="F16" s="31" t="inlineStr">
        <is>
          <t>Finance - Capital Markets - Brokers</t>
        </is>
      </c>
      <c r="G16" s="31" t="inlineStr">
        <is>
          <t>midcap</t>
        </is>
      </c>
      <c r="H16" s="32" t="n">
        <v>18134.01</v>
      </c>
      <c r="I16" s="32" t="n">
        <v>814</v>
      </c>
      <c r="J16" s="32" t="n">
        <v>0.64</v>
      </c>
      <c r="K16" s="32" t="n">
        <v>0</v>
      </c>
      <c r="L16" s="31" t="n">
        <v>27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60.9</v>
      </c>
      <c r="P16" s="32" t="n">
        <v>20.83</v>
      </c>
      <c r="Q16" s="32" t="inlineStr"/>
      <c r="R16" s="31" t="inlineStr">
        <is>
          <t>Earnings / Momentum Support</t>
        </is>
      </c>
      <c r="S16" s="31" t="inlineStr">
        <is>
          <t>Nifty Bank</t>
        </is>
      </c>
      <c r="T16" s="32" t="n">
        <v>3.98</v>
      </c>
      <c r="U16" s="32" t="n">
        <v>7.4</v>
      </c>
      <c r="V16" s="32" t="n">
        <v>3.3</v>
      </c>
      <c r="W16" s="32" t="n">
        <v>4.1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above 5x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3</t>
        </is>
      </c>
      <c r="BQ16" s="31">
        <f>IF(BP16="Stage 2",20,IF(BP16="Stage 1",0,IF(BP16="Stage 3",5,IF(BP16="Stage 4",-5,0))))</f>
        <v/>
      </c>
      <c r="BR16" s="31" t="inlineStr">
        <is>
          <t>Negative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  <c r="CB16" s="31" t="inlineStr">
        <is>
          <t>15</t>
        </is>
      </c>
      <c r="CC16" s="31">
        <f>IF(CB16&gt;20,10,IF(CB16&gt;=10,5,2))</f>
        <v/>
      </c>
    </row>
  </sheetData>
  <autoFilter ref="A1:CC16"/>
  <conditionalFormatting sqref="B2:B1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6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6">
    <cfRule type="cellIs" priority="35" operator="equal" dxfId="3" stopIfTrue="1">
      <formula>"Underperforming"</formula>
    </cfRule>
  </conditionalFormatting>
  <conditionalFormatting sqref="N2:N16">
    <cfRule type="cellIs" priority="36" operator="equal" dxfId="3" stopIfTrue="1">
      <formula>-5</formula>
    </cfRule>
  </conditionalFormatting>
  <conditionalFormatting sqref="Q2:Q16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6" showDropDown="0" showInputMessage="0" showErrorMessage="0" allowBlank="1" type="list">
      <formula1>"Growing Industry,Stagnant Industry,Cyclical in an Upturn"</formula1>
    </dataValidation>
    <dataValidation sqref="Z2:Z16" showDropDown="0" showInputMessage="0" showErrorMessage="0" allowBlank="1" type="list">
      <formula1>"Fragmented with Low ROE,Fragmented with High ROE,Highly Cyclical"</formula1>
    </dataValidation>
    <dataValidation sqref="AB2:AB16" showDropDown="0" showInputMessage="0" showErrorMessage="0" allowBlank="1" type="list">
      <formula1>"Yes,No"</formula1>
    </dataValidation>
    <dataValidation sqref="AD2:AD16" showDropDown="0" showInputMessage="0" showErrorMessage="0" allowBlank="1" type="list">
      <formula1>"Tailwind,Headwind"</formula1>
    </dataValidation>
    <dataValidation sqref="AF2:AF1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6" showDropDown="0" showInputMessage="0" showErrorMessage="0" allowBlank="1" type="list">
      <formula1>"Yes,No"</formula1>
    </dataValidation>
    <dataValidation sqref="AJ2:AJ16" showDropDown="0" showInputMessage="0" showErrorMessage="0" allowBlank="1" type="list">
      <formula1>"Yes,No,Not Applicable"</formula1>
    </dataValidation>
    <dataValidation sqref="AL2:AL16" showDropDown="0" showInputMessage="0" showErrorMessage="0" allowBlank="1" type="list">
      <formula1>"Yes,No"</formula1>
    </dataValidation>
    <dataValidation sqref="AN2:AN16" showDropDown="0" showInputMessage="0" showErrorMessage="0" allowBlank="1" type="list">
      <formula1>"Yes,No"</formula1>
    </dataValidation>
    <dataValidation sqref="AP2:AP16" showDropDown="0" showInputMessage="0" showErrorMessage="0" allowBlank="1" type="list">
      <formula1>"Yes,No"</formula1>
    </dataValidation>
    <dataValidation sqref="AR2:AR16" showDropDown="0" showInputMessage="0" showErrorMessage="0" allowBlank="1" type="list">
      <formula1>"Yes,No"</formula1>
    </dataValidation>
    <dataValidation sqref="AT2:AT16" showDropDown="0" showInputMessage="0" showErrorMessage="0" allowBlank="1" type="list">
      <formula1>"No,Yes"</formula1>
    </dataValidation>
    <dataValidation sqref="AV2:AV16" showDropDown="0" showInputMessage="0" showErrorMessage="0" allowBlank="1" type="list">
      <formula1>"No,Yes"</formula1>
    </dataValidation>
    <dataValidation sqref="AX2:AX16" showDropDown="0" showInputMessage="0" showErrorMessage="0" allowBlank="1" type="list">
      <formula1>"No,Yes CEO Resignation,Yes CEO Retirement"</formula1>
    </dataValidation>
    <dataValidation sqref="AZ2:AZ16" showDropDown="0" showInputMessage="0" showErrorMessage="0" allowBlank="1" type="list">
      <formula1>"No,Yes"</formula1>
    </dataValidation>
    <dataValidation sqref="BB2:BB16" showDropDown="0" showInputMessage="0" showErrorMessage="0" allowBlank="1" type="list">
      <formula1>"No,Yes"</formula1>
    </dataValidation>
    <dataValidation sqref="BD2:BD16" showDropDown="0" showInputMessage="0" showErrorMessage="0" allowBlank="1" type="list">
      <formula1>"Yes,No"</formula1>
    </dataValidation>
    <dataValidation sqref="BF2:BF16" showDropDown="0" showInputMessage="0" showErrorMessage="0" allowBlank="1" type="list">
      <formula1>"Yes,No"</formula1>
    </dataValidation>
    <dataValidation sqref="BH2:BH16" showDropDown="0" showInputMessage="0" showErrorMessage="0" allowBlank="1" type="list">
      <formula1>"Yes,No"</formula1>
    </dataValidation>
    <dataValidation sqref="BJ2:BJ1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6" showDropDown="0" showInputMessage="0" showErrorMessage="0" allowBlank="1" type="list">
      <formula1>"Above 40,20 to 40,0 to 20"</formula1>
    </dataValidation>
    <dataValidation sqref="BN2:BN16" showDropDown="0" showInputMessage="0" showErrorMessage="0" allowBlank="1" type="list">
      <formula1>"Between 50 to 75,Above 75,Below 45"</formula1>
    </dataValidation>
    <dataValidation sqref="BP2:BP16" showDropDown="0" showInputMessage="0" showErrorMessage="0" allowBlank="1" type="list">
      <formula1>"Stage 1,Stage 2,Stage 3,Stage 4"</formula1>
    </dataValidation>
    <dataValidation sqref="BR2:BR16" showDropDown="0" showInputMessage="0" showErrorMessage="0" allowBlank="1" type="list">
      <formula1>"Positive Trend,Negative Trend"</formula1>
    </dataValidation>
    <dataValidation sqref="BT2:BT16" showDropDown="0" showInputMessage="0" showErrorMessage="0" allowBlank="1" type="list">
      <formula1>"Uptrend,Sideways,Downtrend"</formula1>
    </dataValidation>
    <dataValidation sqref="BV2:BV16" showDropDown="0" showInputMessage="0" showErrorMessage="0" allowBlank="1" type="list">
      <formula1>"Uptrend,Sideways,Downtrend"</formula1>
    </dataValidation>
    <dataValidation sqref="BX2:BX1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2026-07-20T12:29:46Z</dcterms:created>
  <dcterms:modified xmlns:dcterms="http://purl.org/dc/terms/" xmlns:xsi="http://www.w3.org/2001/XMLSchema-instance" xsi:type="dcterms:W3CDTF">2026-07-20T12:31:44Z</dcterms:modified>
</cp:coreProperties>
</file>