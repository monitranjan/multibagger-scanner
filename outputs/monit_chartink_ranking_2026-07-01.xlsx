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 Match Non Financial" sheetId="7" state="visible" r:id="rId7"/>
    <sheet xmlns:r="http://schemas.openxmlformats.org/officeDocument/2006/relationships" name="Scan Match Banks NBFC" sheetId="8" state="visible" r:id="rId8"/>
    <sheet xmlns:r="http://schemas.openxmlformats.org/officeDocument/2006/relationships" name="Formula Map" sheetId="9" state="visible" r:id="rId9"/>
  </sheets>
  <definedNames>
    <definedName name="_xlnm._FilterDatabase" localSheetId="2" hidden="1">'Chartink Universe'!$A$1:$J$445</definedName>
    <definedName name="_xlnm._FilterDatabase" localSheetId="3" hidden="1">'Confluence Overlap'!$A$1:$K$83</definedName>
    <definedName name="_xlnm._FilterDatabase" localSheetId="4" hidden="1">'Monit Non Financial'!$A$1:$CE$379</definedName>
    <definedName name="_xlnm._FilterDatabase" localSheetId="5" hidden="1">'Monit Banks NBFC'!$A$1:$CA$67</definedName>
    <definedName name="_xlnm._FilterDatabase" localSheetId="6" hidden="1">'Scan Match Non Financial'!$A$1:$CG$91</definedName>
    <definedName name="_xlnm._FilterDatabase" localSheetId="7" hidden="1">'Scan Match Banks NBFC'!$A$1:$CC$11</definedName>
    <definedName name="_xlnm._FilterDatabase" localSheetId="8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Wednesday, 01 July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2" customWidth="1" min="2" max="2"/>
    <col width="25" customWidth="1" min="3" max="3"/>
    <col width="40" customWidth="1" min="4" max="4"/>
    <col width="25" customWidth="1" min="5" max="5"/>
    <col width="42" customWidth="1" min="6" max="6"/>
    <col width="25" customWidth="1" min="7" max="7"/>
    <col width="19" customWidth="1" min="8" max="8"/>
    <col width="11" customWidth="1" min="9" max="9"/>
    <col width="49" customWidth="1" min="10" max="10"/>
    <col width="21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504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69</v>
      </c>
      <c r="G6" s="19" t="n">
        <v>14898.68</v>
      </c>
      <c r="H6" s="18" t="inlineStr">
        <is>
          <t>Potential Leader</t>
        </is>
      </c>
      <c r="J6" s="18" t="inlineStr">
        <is>
          <t>fmcg</t>
        </is>
      </c>
      <c r="K6" s="16" t="n">
        <v>107</v>
      </c>
      <c r="L6" s="16" t="n">
        <v>100</v>
      </c>
      <c r="M6" s="20" t="inlineStr">
        <is>
          <t>7.0%</t>
        </is>
      </c>
    </row>
    <row r="7">
      <c r="A7" s="16" t="n">
        <v>2</v>
      </c>
      <c r="B7" s="17" t="n">
        <v>492</v>
      </c>
      <c r="C7" s="17" t="inlineStr">
        <is>
          <t>BLISSGVS</t>
        </is>
      </c>
      <c r="D7" s="18" t="inlineStr">
        <is>
          <t>Bliss Gvs Pharma Limited</t>
        </is>
      </c>
      <c r="E7" s="18" t="inlineStr">
        <is>
          <t>healthcare</t>
        </is>
      </c>
      <c r="F7" s="16" t="n">
        <v>67</v>
      </c>
      <c r="G7" s="19" t="n">
        <v>5708.37</v>
      </c>
      <c r="H7" s="18" t="inlineStr">
        <is>
          <t>Potential Leader</t>
        </is>
      </c>
      <c r="J7" s="18" t="inlineStr">
        <is>
          <t>telecom</t>
        </is>
      </c>
      <c r="K7" s="16" t="n">
        <v>17</v>
      </c>
      <c r="L7" s="16" t="n">
        <v>16</v>
      </c>
      <c r="M7" s="20" t="inlineStr">
        <is>
          <t>6.2%</t>
        </is>
      </c>
    </row>
    <row r="8">
      <c r="A8" s="16" t="n">
        <v>3</v>
      </c>
      <c r="B8" s="17" t="n">
        <v>486</v>
      </c>
      <c r="C8" s="17" t="inlineStr">
        <is>
          <t>ARVIND</t>
        </is>
      </c>
      <c r="D8" s="18" t="inlineStr">
        <is>
          <t>Arvind Limited</t>
        </is>
      </c>
      <c r="E8" s="18" t="inlineStr">
        <is>
          <t>textiles</t>
        </is>
      </c>
      <c r="F8" s="16" t="n">
        <v>66</v>
      </c>
      <c r="G8" s="19" t="n">
        <v>15388.75</v>
      </c>
      <c r="H8" s="18" t="inlineStr">
        <is>
          <t>Potential Leader</t>
        </is>
      </c>
      <c r="J8" s="18" t="inlineStr">
        <is>
          <t>building materials</t>
        </is>
      </c>
      <c r="K8" s="16" t="n">
        <v>71</v>
      </c>
      <c r="L8" s="16" t="n">
        <v>68</v>
      </c>
      <c r="M8" s="20" t="inlineStr">
        <is>
          <t>4.4%</t>
        </is>
      </c>
    </row>
    <row r="9">
      <c r="A9" s="16" t="n">
        <v>4</v>
      </c>
      <c r="B9" s="17" t="n">
        <v>486</v>
      </c>
      <c r="C9" s="17" t="inlineStr">
        <is>
          <t>NITINSPIN</t>
        </is>
      </c>
      <c r="D9" s="18" t="inlineStr">
        <is>
          <t>Nitin Spinners Limited</t>
        </is>
      </c>
      <c r="E9" s="18" t="inlineStr">
        <is>
          <t>textiles</t>
        </is>
      </c>
      <c r="F9" s="16" t="n">
        <v>66</v>
      </c>
      <c r="G9" s="19" t="n">
        <v>3215.78</v>
      </c>
      <c r="H9" s="18" t="inlineStr">
        <is>
          <t>Potential Leader</t>
        </is>
      </c>
      <c r="J9" s="18" t="inlineStr">
        <is>
          <t>power &amp; utilities</t>
        </is>
      </c>
      <c r="K9" s="16" t="n">
        <v>20</v>
      </c>
      <c r="L9" s="16" t="n">
        <v>20</v>
      </c>
      <c r="M9" s="20" t="inlineStr">
        <is>
          <t>0.0%</t>
        </is>
      </c>
    </row>
    <row r="10">
      <c r="A10" s="16" t="n">
        <v>5</v>
      </c>
      <c r="B10" s="17" t="n">
        <v>486</v>
      </c>
      <c r="C10" s="17" t="inlineStr">
        <is>
          <t>WELCORP</t>
        </is>
      </c>
      <c r="D10" s="18" t="inlineStr">
        <is>
          <t>Welspun Corp Limited</t>
        </is>
      </c>
      <c r="E10" s="18" t="inlineStr">
        <is>
          <t>industrials</t>
        </is>
      </c>
      <c r="F10" s="16" t="n">
        <v>66</v>
      </c>
      <c r="G10" s="19" t="n">
        <v>40146.3</v>
      </c>
      <c r="H10" s="18" t="inlineStr">
        <is>
          <t>Potential Leader</t>
        </is>
      </c>
      <c r="J10" s="18" t="inlineStr">
        <is>
          <t>healthcare</t>
        </is>
      </c>
      <c r="K10" s="16" t="n">
        <v>295</v>
      </c>
      <c r="L10" s="16" t="n">
        <v>297</v>
      </c>
      <c r="M10" s="21" t="inlineStr">
        <is>
          <t>-0.7%</t>
        </is>
      </c>
    </row>
    <row r="11">
      <c r="A11" s="16" t="n">
        <v>6</v>
      </c>
      <c r="B11" s="17" t="n">
        <v>480</v>
      </c>
      <c r="C11" s="17" t="inlineStr">
        <is>
          <t>STYLAMIND</t>
        </is>
      </c>
      <c r="D11" s="18" t="inlineStr">
        <is>
          <t>Stylam Industries Ltd</t>
        </is>
      </c>
      <c r="E11" s="18" t="inlineStr">
        <is>
          <t>building materials</t>
        </is>
      </c>
      <c r="F11" s="16" t="n">
        <v>65</v>
      </c>
      <c r="G11" s="19" t="n">
        <v>5505.24</v>
      </c>
      <c r="H11" s="18" t="inlineStr">
        <is>
          <t>Potential Leader</t>
        </is>
      </c>
      <c r="J11" s="18" t="inlineStr">
        <is>
          <t>auto</t>
        </is>
      </c>
      <c r="K11" s="16" t="n">
        <v>164</v>
      </c>
      <c r="L11" s="16" t="n">
        <v>170</v>
      </c>
      <c r="M11" s="21" t="inlineStr">
        <is>
          <t>-3.5%</t>
        </is>
      </c>
    </row>
    <row r="12">
      <c r="A12" s="16" t="n">
        <v>7</v>
      </c>
      <c r="B12" s="17" t="n">
        <v>468</v>
      </c>
      <c r="C12" s="17" t="inlineStr">
        <is>
          <t>ADANIGREEN</t>
        </is>
      </c>
      <c r="D12" s="18" t="inlineStr">
        <is>
          <t>Adani Green Energy Ltd</t>
        </is>
      </c>
      <c r="E12" s="18" t="inlineStr">
        <is>
          <t>power &amp; utilities</t>
        </is>
      </c>
      <c r="F12" s="16" t="n">
        <v>63</v>
      </c>
      <c r="G12" s="19" t="n">
        <v>245791.63</v>
      </c>
      <c r="H12" s="18" t="inlineStr">
        <is>
          <t>Potential Leader</t>
        </is>
      </c>
      <c r="J12" s="18" t="inlineStr">
        <is>
          <t>consumer discretionary</t>
        </is>
      </c>
      <c r="K12" s="16" t="n">
        <v>159</v>
      </c>
      <c r="L12" s="16" t="n">
        <v>170</v>
      </c>
      <c r="M12" s="21" t="inlineStr">
        <is>
          <t>-6.5%</t>
        </is>
      </c>
    </row>
    <row r="13">
      <c r="A13" s="16" t="n">
        <v>8</v>
      </c>
      <c r="B13" s="17" t="n">
        <v>468</v>
      </c>
      <c r="C13" s="17" t="inlineStr">
        <is>
          <t>SHILPAMED</t>
        </is>
      </c>
      <c r="D13" s="18" t="inlineStr">
        <is>
          <t>Shilpa Medicare Limited</t>
        </is>
      </c>
      <c r="E13" s="18" t="inlineStr">
        <is>
          <t>healthcare</t>
        </is>
      </c>
      <c r="F13" s="16" t="n">
        <v>63</v>
      </c>
      <c r="G13" s="19" t="n">
        <v>11703.62</v>
      </c>
      <c r="H13" s="18" t="inlineStr">
        <is>
          <t>Potential Leader</t>
        </is>
      </c>
      <c r="J13" s="18" t="inlineStr">
        <is>
          <t>i.t</t>
        </is>
      </c>
      <c r="K13" s="16" t="n">
        <v>74</v>
      </c>
      <c r="L13" s="16" t="n">
        <v>80</v>
      </c>
      <c r="M13" s="21" t="inlineStr">
        <is>
          <t>-7.5%</t>
        </is>
      </c>
    </row>
    <row r="14">
      <c r="A14" s="16" t="n">
        <v>9</v>
      </c>
      <c r="B14" s="17" t="n">
        <v>444</v>
      </c>
      <c r="C14" s="17" t="inlineStr">
        <is>
          <t>NINSYS</t>
        </is>
      </c>
      <c r="D14" s="18" t="inlineStr">
        <is>
          <t>NINtec Systems Ltd</t>
        </is>
      </c>
      <c r="E14" s="18" t="inlineStr">
        <is>
          <t>i.t</t>
        </is>
      </c>
      <c r="F14" s="16" t="n">
        <v>59</v>
      </c>
      <c r="G14" s="19" t="n">
        <v>1532.24</v>
      </c>
      <c r="H14" s="18" t="inlineStr">
        <is>
          <t>Potential Leader</t>
        </is>
      </c>
      <c r="J14" s="18" t="inlineStr">
        <is>
          <t>plastic products</t>
        </is>
      </c>
      <c r="K14" s="16" t="n">
        <v>6</v>
      </c>
      <c r="L14" s="16" t="n">
        <v>7</v>
      </c>
      <c r="M14" s="21" t="inlineStr">
        <is>
          <t>-14.3%</t>
        </is>
      </c>
    </row>
    <row r="15">
      <c r="A15" s="16" t="n">
        <v>10</v>
      </c>
      <c r="B15" s="17" t="n">
        <v>438</v>
      </c>
      <c r="C15" s="17" t="inlineStr">
        <is>
          <t>NRBBEARING</t>
        </is>
      </c>
      <c r="D15" s="18" t="inlineStr">
        <is>
          <t>Nrb Bearing Limited</t>
        </is>
      </c>
      <c r="E15" s="18" t="inlineStr">
        <is>
          <t>industrials</t>
        </is>
      </c>
      <c r="F15" s="16" t="n">
        <v>58</v>
      </c>
      <c r="G15" s="19" t="n">
        <v>4303.36</v>
      </c>
      <c r="H15" s="18" t="inlineStr">
        <is>
          <t>Potential Leader</t>
        </is>
      </c>
      <c r="J15" s="18" t="inlineStr">
        <is>
          <t>financials</t>
        </is>
      </c>
      <c r="K15" s="16" t="n">
        <v>206</v>
      </c>
      <c r="L15" s="16" t="n">
        <v>243</v>
      </c>
      <c r="M15" s="21" t="inlineStr">
        <is>
          <t>-15.2%</t>
        </is>
      </c>
    </row>
    <row r="16">
      <c r="A16" s="16" t="n">
        <v>11</v>
      </c>
      <c r="B16" s="17" t="n">
        <v>438</v>
      </c>
      <c r="C16" s="17" t="inlineStr">
        <is>
          <t>SIGMAADV</t>
        </is>
      </c>
      <c r="D16" s="18" t="inlineStr">
        <is>
          <t>Sigma Advanced System Ltd</t>
        </is>
      </c>
      <c r="E16" s="18" t="inlineStr">
        <is>
          <t>aerospace &amp; defence</t>
        </is>
      </c>
      <c r="F16" s="16" t="n">
        <v>58</v>
      </c>
      <c r="G16" s="19" t="n">
        <v>9783.07</v>
      </c>
      <c r="H16" s="18" t="inlineStr">
        <is>
          <t>Potential Leader</t>
        </is>
      </c>
      <c r="J16" s="18" t="inlineStr">
        <is>
          <t>textiles</t>
        </is>
      </c>
      <c r="K16" s="16" t="n">
        <v>78</v>
      </c>
      <c r="L16" s="16" t="n">
        <v>92</v>
      </c>
      <c r="M16" s="21" t="inlineStr">
        <is>
          <t>-15.2%</t>
        </is>
      </c>
    </row>
    <row r="17">
      <c r="A17" s="16" t="n">
        <v>12</v>
      </c>
      <c r="B17" s="17" t="n">
        <v>438</v>
      </c>
      <c r="C17" s="17" t="inlineStr">
        <is>
          <t>TALBROAUTO</t>
        </is>
      </c>
      <c r="D17" s="18" t="inlineStr">
        <is>
          <t>Talbros Automotive Components Limited</t>
        </is>
      </c>
      <c r="E17" s="18" t="inlineStr">
        <is>
          <t>auto</t>
        </is>
      </c>
      <c r="F17" s="16" t="n">
        <v>58</v>
      </c>
      <c r="G17" s="19" t="n">
        <v>2577.46</v>
      </c>
      <c r="H17" s="18" t="inlineStr">
        <is>
          <t>Potential Leader</t>
        </is>
      </c>
      <c r="J17" s="18" t="inlineStr">
        <is>
          <t>media</t>
        </is>
      </c>
      <c r="K17" s="16" t="n">
        <v>10</v>
      </c>
      <c r="L17" s="16" t="n">
        <v>12</v>
      </c>
      <c r="M17" s="21" t="inlineStr">
        <is>
          <t>-16.7%</t>
        </is>
      </c>
    </row>
    <row r="18">
      <c r="A18" s="16" t="n">
        <v>13</v>
      </c>
      <c r="B18" s="17" t="n">
        <v>414</v>
      </c>
      <c r="C18" s="17" t="inlineStr">
        <is>
          <t>ADANIENT</t>
        </is>
      </c>
      <c r="D18" s="18" t="inlineStr">
        <is>
          <t>Adani Enterprises Limited</t>
        </is>
      </c>
      <c r="E18" s="18" t="inlineStr">
        <is>
          <t>services</t>
        </is>
      </c>
      <c r="F18" s="16" t="n">
        <v>54</v>
      </c>
      <c r="G18" s="19" t="n">
        <v>392458.38</v>
      </c>
      <c r="H18" s="18" t="inlineStr">
        <is>
          <t>Potential Leader</t>
        </is>
      </c>
      <c r="J18" s="18" t="inlineStr">
        <is>
          <t>realty</t>
        </is>
      </c>
      <c r="K18" s="16" t="n">
        <v>102</v>
      </c>
      <c r="L18" s="16" t="n">
        <v>130</v>
      </c>
      <c r="M18" s="21" t="inlineStr">
        <is>
          <t>-21.5%</t>
        </is>
      </c>
    </row>
    <row r="19">
      <c r="A19" s="16" t="n">
        <v>14</v>
      </c>
      <c r="B19" s="17" t="n">
        <v>414</v>
      </c>
      <c r="C19" s="17" t="inlineStr">
        <is>
          <t>SAILIFE</t>
        </is>
      </c>
      <c r="D19" s="18" t="inlineStr">
        <is>
          <t>Sai Life Sciences Ltd</t>
        </is>
      </c>
      <c r="E19" s="18" t="inlineStr">
        <is>
          <t>healthcare</t>
        </is>
      </c>
      <c r="F19" s="16" t="n">
        <v>54</v>
      </c>
      <c r="G19" s="19" t="n">
        <v>26139.91</v>
      </c>
      <c r="H19" s="18" t="inlineStr">
        <is>
          <t>Potential Leader</t>
        </is>
      </c>
      <c r="J19" s="18" t="inlineStr">
        <is>
          <t>chemicals</t>
        </is>
      </c>
      <c r="K19" s="16" t="n">
        <v>104</v>
      </c>
      <c r="L19" s="16" t="n">
        <v>133</v>
      </c>
      <c r="M19" s="21" t="inlineStr">
        <is>
          <t>-21.8%</t>
        </is>
      </c>
    </row>
    <row r="20">
      <c r="A20" s="16" t="n">
        <v>15</v>
      </c>
      <c r="B20" s="17" t="n">
        <v>396</v>
      </c>
      <c r="C20" s="17" t="inlineStr">
        <is>
          <t>RRKABEL</t>
        </is>
      </c>
      <c r="D20" s="18" t="inlineStr">
        <is>
          <t>R R Kabel Ltd</t>
        </is>
      </c>
      <c r="E20" s="18" t="inlineStr">
        <is>
          <t>industrials</t>
        </is>
      </c>
      <c r="F20" s="16" t="n">
        <v>51</v>
      </c>
      <c r="G20" s="19" t="n">
        <v>27091.03</v>
      </c>
      <c r="H20" s="18" t="inlineStr">
        <is>
          <t>Potential Leader</t>
        </is>
      </c>
      <c r="J20" s="18" t="inlineStr">
        <is>
          <t>metals &amp; mining</t>
        </is>
      </c>
      <c r="K20" s="16" t="n">
        <v>75</v>
      </c>
      <c r="L20" s="16" t="n">
        <v>96</v>
      </c>
      <c r="M20" s="21" t="inlineStr">
        <is>
          <t>-21.9%</t>
        </is>
      </c>
    </row>
    <row r="21">
      <c r="A21" s="16" t="n">
        <v>16</v>
      </c>
      <c r="B21" s="17" t="n">
        <v>384</v>
      </c>
      <c r="C21" s="17" t="inlineStr">
        <is>
          <t>INDOBORAX</t>
        </is>
      </c>
      <c r="D21" s="18" t="inlineStr">
        <is>
          <t>Indo Borax &amp; Chemicals Ltd</t>
        </is>
      </c>
      <c r="E21" s="18" t="inlineStr">
        <is>
          <t>chemicals</t>
        </is>
      </c>
      <c r="F21" s="16" t="n">
        <v>49</v>
      </c>
      <c r="G21" s="19" t="n">
        <v>1215.89</v>
      </c>
      <c r="H21" s="18" t="inlineStr">
        <is>
          <t>Potential Leader</t>
        </is>
      </c>
    </row>
    <row r="22">
      <c r="A22" s="16" t="n">
        <v>17</v>
      </c>
      <c r="B22" s="17" t="n">
        <v>378</v>
      </c>
      <c r="C22" s="17" t="inlineStr">
        <is>
          <t>BLSE</t>
        </is>
      </c>
      <c r="D22" s="18" t="inlineStr">
        <is>
          <t>BLS E-Services Ltd</t>
        </is>
      </c>
      <c r="E22" s="18" t="inlineStr">
        <is>
          <t>i.t</t>
        </is>
      </c>
      <c r="F22" s="16" t="n">
        <v>48</v>
      </c>
      <c r="G22" s="19" t="n">
        <v>2119.23</v>
      </c>
      <c r="H22" s="18" t="inlineStr">
        <is>
          <t>Potential Leader</t>
        </is>
      </c>
    </row>
    <row r="23">
      <c r="A23" s="16" t="n">
        <v>18</v>
      </c>
      <c r="B23" s="17" t="n">
        <v>378</v>
      </c>
      <c r="C23" s="17" t="inlineStr">
        <is>
          <t>CEMPRO</t>
        </is>
      </c>
      <c r="D23" s="18" t="inlineStr">
        <is>
          <t>Cemindia Projects Ltd</t>
        </is>
      </c>
      <c r="E23" s="18" t="inlineStr">
        <is>
          <t>realty</t>
        </is>
      </c>
      <c r="F23" s="16" t="n">
        <v>48</v>
      </c>
      <c r="G23" s="19" t="n">
        <v>22310.05</v>
      </c>
      <c r="H23" s="18" t="inlineStr">
        <is>
          <t>Potential Leader</t>
        </is>
      </c>
    </row>
    <row r="24">
      <c r="A24" s="16" t="n">
        <v>19</v>
      </c>
      <c r="B24" s="17" t="n">
        <v>378</v>
      </c>
      <c r="C24" s="17" t="inlineStr">
        <is>
          <t>RATEGAIN</t>
        </is>
      </c>
      <c r="D24" s="18" t="inlineStr">
        <is>
          <t>Rategain Travel Technologies Ltd</t>
        </is>
      </c>
      <c r="E24" s="18" t="inlineStr">
        <is>
          <t>i.t</t>
        </is>
      </c>
      <c r="F24" s="16" t="n">
        <v>48</v>
      </c>
      <c r="G24" s="19" t="n">
        <v>10624.84</v>
      </c>
      <c r="H24" s="18" t="inlineStr">
        <is>
          <t>Potential Leader</t>
        </is>
      </c>
    </row>
    <row r="25">
      <c r="A25" s="16" t="n">
        <v>20</v>
      </c>
      <c r="B25" s="17" t="n">
        <v>372</v>
      </c>
      <c r="C25" s="17" t="inlineStr">
        <is>
          <t>AVALON</t>
        </is>
      </c>
      <c r="D25" s="18" t="inlineStr">
        <is>
          <t>Avalon Technologies Ltd</t>
        </is>
      </c>
      <c r="E25" s="18" t="inlineStr">
        <is>
          <t>consumer discretionary</t>
        </is>
      </c>
      <c r="F25" s="16" t="n">
        <v>47</v>
      </c>
      <c r="G25" s="19" t="n">
        <v>12030.59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SAREGAMA</t>
        </is>
      </c>
      <c r="B30" s="18" t="inlineStr">
        <is>
          <t>Saregama India Limited</t>
        </is>
      </c>
      <c r="C30" s="18" t="inlineStr">
        <is>
          <t>media</t>
        </is>
      </c>
      <c r="D30" s="16" t="n">
        <v>10</v>
      </c>
      <c r="E30" s="16" t="n">
        <v>2</v>
      </c>
      <c r="F30" s="19" t="n">
        <v>9501.65</v>
      </c>
      <c r="J30" s="17" t="inlineStr">
        <is>
          <t>SATIN</t>
        </is>
      </c>
      <c r="K30" s="18" t="inlineStr">
        <is>
          <t>financials</t>
        </is>
      </c>
      <c r="L30" s="19" t="n">
        <v>302</v>
      </c>
      <c r="M30" s="19" t="n">
        <v>2716.48</v>
      </c>
      <c r="N30" s="16" t="n">
        <v>27</v>
      </c>
    </row>
    <row r="31">
      <c r="A31" s="17" t="inlineStr">
        <is>
          <t>TEJASNET</t>
        </is>
      </c>
      <c r="B31" s="18" t="inlineStr">
        <is>
          <t>Tejas Networks Ltd</t>
        </is>
      </c>
      <c r="C31" s="18" t="inlineStr">
        <is>
          <t>telecom</t>
        </is>
      </c>
      <c r="D31" s="16" t="n">
        <v>10</v>
      </c>
      <c r="E31" s="16" t="n">
        <v>2</v>
      </c>
      <c r="F31" s="19" t="n">
        <v>10886.69</v>
      </c>
      <c r="J31" s="17" t="inlineStr">
        <is>
          <t>KTKBANK</t>
        </is>
      </c>
      <c r="K31" s="18" t="inlineStr">
        <is>
          <t>bank</t>
        </is>
      </c>
      <c r="L31" s="19" t="n">
        <v>295</v>
      </c>
      <c r="M31" s="19" t="n">
        <v>10338.36</v>
      </c>
      <c r="N31" s="16" t="n">
        <v>18</v>
      </c>
    </row>
    <row r="32">
      <c r="A32" s="17" t="inlineStr">
        <is>
          <t>GPTINFRA</t>
        </is>
      </c>
      <c r="B32" s="18" t="inlineStr">
        <is>
          <t>Gpt Infraprojects Limited</t>
        </is>
      </c>
      <c r="C32" s="18" t="inlineStr">
        <is>
          <t>realty</t>
        </is>
      </c>
      <c r="D32" s="16" t="n">
        <v>10</v>
      </c>
      <c r="E32" s="16" t="n">
        <v>2</v>
      </c>
      <c r="F32" s="19" t="n">
        <v>1685.45</v>
      </c>
      <c r="J32" s="17" t="inlineStr">
        <is>
          <t>BAJAJCON</t>
        </is>
      </c>
      <c r="K32" s="18" t="inlineStr">
        <is>
          <t>fmcg</t>
        </is>
      </c>
      <c r="L32" s="19" t="n">
        <v>292</v>
      </c>
      <c r="M32" s="19" t="n">
        <v>7824.04</v>
      </c>
      <c r="N32" s="16" t="n">
        <v>27</v>
      </c>
    </row>
    <row r="33">
      <c r="A33" s="17" t="inlineStr">
        <is>
          <t>MANBA</t>
        </is>
      </c>
      <c r="B33" s="18" t="inlineStr">
        <is>
          <t>Manba Finance Ltd</t>
        </is>
      </c>
      <c r="C33" s="18" t="inlineStr">
        <is>
          <t>financials</t>
        </is>
      </c>
      <c r="D33" s="16" t="n">
        <v>10</v>
      </c>
      <c r="E33" s="16" t="n">
        <v>1</v>
      </c>
      <c r="F33" s="19" t="n">
        <v>690.09</v>
      </c>
      <c r="J33" s="17" t="inlineStr">
        <is>
          <t>PGHL</t>
        </is>
      </c>
      <c r="K33" s="18" t="inlineStr">
        <is>
          <t>healthcare</t>
        </is>
      </c>
      <c r="L33" s="19" t="n">
        <v>285</v>
      </c>
      <c r="M33" s="19" t="n">
        <v>10501.6</v>
      </c>
      <c r="N33" s="16" t="n">
        <v>30</v>
      </c>
    </row>
    <row r="34">
      <c r="A34" s="17" t="inlineStr">
        <is>
          <t>BLUSPRING</t>
        </is>
      </c>
      <c r="B34" s="18" t="inlineStr">
        <is>
          <t>Bluspring Enterprises Ltd</t>
        </is>
      </c>
      <c r="C34" s="18" t="inlineStr">
        <is>
          <t>miscellaneous</t>
        </is>
      </c>
      <c r="D34" s="16" t="n">
        <v>10</v>
      </c>
      <c r="E34" s="16" t="n">
        <v>1</v>
      </c>
      <c r="F34" s="19" t="n">
        <v>1655.67</v>
      </c>
      <c r="J34" s="17" t="inlineStr">
        <is>
          <t>RPTECH</t>
        </is>
      </c>
      <c r="K34" s="18" t="inlineStr">
        <is>
          <t>services</t>
        </is>
      </c>
      <c r="L34" s="19" t="n">
        <v>285</v>
      </c>
      <c r="M34" s="19" t="n">
        <v>5098.99</v>
      </c>
      <c r="N34" s="16" t="n">
        <v>28</v>
      </c>
    </row>
    <row r="35">
      <c r="A35" s="17" t="inlineStr">
        <is>
          <t>PANACHE</t>
        </is>
      </c>
      <c r="B35" s="18" t="inlineStr">
        <is>
          <t>Panache Digilife Ltd</t>
        </is>
      </c>
      <c r="C35" s="18" t="inlineStr">
        <is>
          <t>i.t</t>
        </is>
      </c>
      <c r="D35" s="16" t="n">
        <v>10</v>
      </c>
      <c r="E35" s="16" t="n">
        <v>2</v>
      </c>
      <c r="F35" s="19" t="n">
        <v>692.21</v>
      </c>
      <c r="J35" s="17" t="inlineStr">
        <is>
          <t>NORTHARC</t>
        </is>
      </c>
      <c r="K35" s="18" t="inlineStr">
        <is>
          <t>financials</t>
        </is>
      </c>
      <c r="L35" s="19" t="n">
        <v>285</v>
      </c>
      <c r="M35" s="19" t="n">
        <v>4816.46</v>
      </c>
      <c r="N35" s="16" t="n">
        <v>20</v>
      </c>
    </row>
    <row r="36">
      <c r="A36" s="17" t="inlineStr">
        <is>
          <t>REDINGTON</t>
        </is>
      </c>
      <c r="B36" s="18" t="inlineStr">
        <is>
          <t>Redington (india) Limited</t>
        </is>
      </c>
      <c r="C36" s="18" t="inlineStr">
        <is>
          <t>services</t>
        </is>
      </c>
      <c r="D36" s="16" t="n">
        <v>10</v>
      </c>
      <c r="E36" s="16" t="n">
        <v>0</v>
      </c>
      <c r="F36" s="19" t="n">
        <v>21591.05</v>
      </c>
      <c r="J36" s="17" t="inlineStr">
        <is>
          <t>STYLAMIND</t>
        </is>
      </c>
      <c r="K36" s="18" t="inlineStr">
        <is>
          <t>building materials</t>
        </is>
      </c>
      <c r="L36" s="19" t="n">
        <v>283</v>
      </c>
      <c r="M36" s="19" t="n">
        <v>5505.24</v>
      </c>
      <c r="N36" s="16" t="n">
        <v>30</v>
      </c>
    </row>
    <row r="37">
      <c r="A37" s="17" t="inlineStr">
        <is>
          <t>OLECTRA</t>
        </is>
      </c>
      <c r="B37" s="18" t="inlineStr">
        <is>
          <t>Olectra Greentech Ltd</t>
        </is>
      </c>
      <c r="C37" s="18" t="inlineStr">
        <is>
          <t>auto</t>
        </is>
      </c>
      <c r="D37" s="16" t="n">
        <v>10</v>
      </c>
      <c r="E37" s="16" t="n">
        <v>0</v>
      </c>
      <c r="F37" s="19" t="n">
        <v>12308.83</v>
      </c>
      <c r="J37" s="17" t="inlineStr">
        <is>
          <t>RACLGEAR</t>
        </is>
      </c>
      <c r="K37" s="18" t="inlineStr">
        <is>
          <t>auto</t>
        </is>
      </c>
      <c r="L37" s="19" t="n">
        <v>283</v>
      </c>
      <c r="M37" s="19" t="n">
        <v>1654.1</v>
      </c>
      <c r="N37" s="16" t="n">
        <v>5</v>
      </c>
    </row>
    <row r="38">
      <c r="A38" s="17" t="inlineStr">
        <is>
          <t>GOKEX</t>
        </is>
      </c>
      <c r="B38" s="18" t="inlineStr">
        <is>
          <t>Gokaldas Exports Limited</t>
        </is>
      </c>
      <c r="C38" s="18" t="inlineStr">
        <is>
          <t>consumer discretionary</t>
        </is>
      </c>
      <c r="D38" s="16" t="n">
        <v>10</v>
      </c>
      <c r="E38" s="16" t="n">
        <v>0</v>
      </c>
      <c r="F38" s="19" t="n">
        <v>6396.31</v>
      </c>
      <c r="J38" s="17" t="inlineStr">
        <is>
          <t>PAISALO</t>
        </is>
      </c>
      <c r="K38" s="18" t="inlineStr">
        <is>
          <t>financials</t>
        </is>
      </c>
      <c r="L38" s="19" t="n">
        <v>282</v>
      </c>
      <c r="M38" s="19" t="n">
        <v>5375.27</v>
      </c>
      <c r="N38" s="16" t="n">
        <v>30</v>
      </c>
    </row>
    <row r="39">
      <c r="A39" s="17" t="inlineStr">
        <is>
          <t>LICI</t>
        </is>
      </c>
      <c r="B39" s="18" t="inlineStr">
        <is>
          <t>Life Insurance Corporation of India Ltd</t>
        </is>
      </c>
      <c r="C39" s="18" t="inlineStr">
        <is>
          <t>financials</t>
        </is>
      </c>
      <c r="D39" s="16" t="n">
        <v>10</v>
      </c>
      <c r="E39" s="16" t="n">
        <v>1</v>
      </c>
      <c r="F39" s="19" t="n">
        <v>546037.05</v>
      </c>
      <c r="J39" s="17" t="inlineStr">
        <is>
          <t>RANEHOLDIN</t>
        </is>
      </c>
      <c r="K39" s="18" t="inlineStr">
        <is>
          <t>financials</t>
        </is>
      </c>
      <c r="L39" s="19" t="n">
        <v>282</v>
      </c>
      <c r="M39" s="19" t="n">
        <v>2378.97</v>
      </c>
      <c r="N39" s="16" t="n">
        <v>21</v>
      </c>
    </row>
    <row r="40">
      <c r="A40" s="17" t="inlineStr">
        <is>
          <t>BORORENEW</t>
        </is>
      </c>
      <c r="B40" s="18" t="inlineStr">
        <is>
          <t>Borosil Renewables Ltd</t>
        </is>
      </c>
      <c r="C40" s="18" t="inlineStr">
        <is>
          <t>building materials</t>
        </is>
      </c>
      <c r="D40" s="16" t="n">
        <v>10</v>
      </c>
      <c r="E40" s="16" t="n">
        <v>1</v>
      </c>
      <c r="F40" s="19" t="n">
        <v>8442.870000000001</v>
      </c>
      <c r="J40" s="17" t="inlineStr">
        <is>
          <t>IOLCP</t>
        </is>
      </c>
      <c r="K40" s="18" t="inlineStr">
        <is>
          <t>healthcare</t>
        </is>
      </c>
      <c r="L40" s="19" t="n">
        <v>282</v>
      </c>
      <c r="M40" s="19" t="n">
        <v>4264.66</v>
      </c>
      <c r="N40" s="16" t="n">
        <v>28</v>
      </c>
    </row>
    <row r="41">
      <c r="A41" s="17" t="inlineStr">
        <is>
          <t>HCC</t>
        </is>
      </c>
      <c r="B41" s="18" t="inlineStr">
        <is>
          <t>Hindustan Construction Company Limited</t>
        </is>
      </c>
      <c r="C41" s="18" t="inlineStr">
        <is>
          <t>realty</t>
        </is>
      </c>
      <c r="D41" s="16" t="n">
        <v>9</v>
      </c>
      <c r="E41" s="16" t="n">
        <v>0</v>
      </c>
      <c r="F41" s="19" t="n">
        <v>6718.94</v>
      </c>
      <c r="J41" s="17" t="inlineStr">
        <is>
          <t>IBULLSLTD</t>
        </is>
      </c>
      <c r="K41" s="18" t="inlineStr">
        <is>
          <t>miscellaneous</t>
        </is>
      </c>
      <c r="L41" s="19" t="n">
        <v>280</v>
      </c>
      <c r="M41" s="19" t="n">
        <v>6464.11</v>
      </c>
      <c r="N41" s="16" t="n">
        <v>30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123.22</v>
      </c>
      <c r="D47" s="28" t="n">
        <v>0</v>
      </c>
      <c r="E47" s="17" t="inlineStr">
        <is>
          <t>AHLWEST</t>
        </is>
      </c>
      <c r="F47" s="18" t="inlineStr">
        <is>
          <t>Asian Hotels (West) Limited</t>
        </is>
      </c>
      <c r="G47" s="18" t="inlineStr">
        <is>
          <t>Consumer Cyclical</t>
        </is>
      </c>
      <c r="H47" s="19" t="n">
        <v>685.3200000000001</v>
      </c>
    </row>
    <row r="48">
      <c r="A48" s="16" t="n">
        <v>2</v>
      </c>
      <c r="B48" s="27" t="n">
        <v>99</v>
      </c>
      <c r="C48" s="28" t="n">
        <v>119.52</v>
      </c>
      <c r="D48" s="28" t="n">
        <v>250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9783.07</v>
      </c>
    </row>
    <row r="49">
      <c r="A49" s="16" t="n">
        <v>3</v>
      </c>
      <c r="B49" s="27" t="n">
        <v>99</v>
      </c>
      <c r="C49" s="28" t="n">
        <v>87.79000000000001</v>
      </c>
      <c r="D49" s="28" t="n">
        <v>277</v>
      </c>
      <c r="E49" s="17" t="inlineStr">
        <is>
          <t>CUPID</t>
        </is>
      </c>
      <c r="F49" s="18" t="inlineStr">
        <is>
          <t>Cupid Limited</t>
        </is>
      </c>
      <c r="G49" s="18" t="inlineStr">
        <is>
          <t>fmcg</t>
        </is>
      </c>
      <c r="H49" s="19" t="n">
        <v>25539.14</v>
      </c>
    </row>
    <row r="50">
      <c r="A50" s="16" t="n">
        <v>4</v>
      </c>
      <c r="B50" s="27" t="n">
        <v>98</v>
      </c>
      <c r="C50" s="28" t="n">
        <v>84.66</v>
      </c>
      <c r="D50" s="28" t="n">
        <v>270</v>
      </c>
      <c r="E50" s="17" t="inlineStr">
        <is>
          <t>BHAGYANGR</t>
        </is>
      </c>
      <c r="F50" s="18" t="inlineStr">
        <is>
          <t>Bhagyanagar India</t>
        </is>
      </c>
      <c r="G50" s="18" t="inlineStr">
        <is>
          <t>power &amp; utilities</t>
        </is>
      </c>
      <c r="H50" s="19" t="n">
        <v>1381.7</v>
      </c>
    </row>
    <row r="51">
      <c r="A51" s="16" t="n">
        <v>5</v>
      </c>
      <c r="B51" s="27" t="n">
        <v>98</v>
      </c>
      <c r="C51" s="28" t="n">
        <v>75.34999999999999</v>
      </c>
      <c r="D51" s="28" t="n">
        <v>248</v>
      </c>
      <c r="E51" s="17" t="inlineStr">
        <is>
          <t>SWANDEF</t>
        </is>
      </c>
      <c r="F51" s="18" t="inlineStr">
        <is>
          <t>Swan Defence and Heavy Industries Ltd</t>
        </is>
      </c>
      <c r="G51" s="18" t="inlineStr">
        <is>
          <t>transportation</t>
        </is>
      </c>
      <c r="H51" s="19" t="n">
        <v>11574.8</v>
      </c>
    </row>
    <row r="52">
      <c r="A52" s="16" t="n">
        <v>6</v>
      </c>
      <c r="B52" s="27" t="n">
        <v>98</v>
      </c>
      <c r="C52" s="28" t="n">
        <v>75.28</v>
      </c>
      <c r="D52" s="28" t="n">
        <v>255</v>
      </c>
      <c r="E52" s="17" t="inlineStr">
        <is>
          <t>HFCL</t>
        </is>
      </c>
      <c r="F52" s="18" t="inlineStr">
        <is>
          <t>HFCL Ltd</t>
        </is>
      </c>
      <c r="G52" s="18" t="inlineStr">
        <is>
          <t>telecom</t>
        </is>
      </c>
      <c r="H52" s="19" t="n">
        <v>32578.87</v>
      </c>
    </row>
    <row r="53">
      <c r="A53" s="16" t="n">
        <v>7</v>
      </c>
      <c r="B53" s="27" t="n">
        <v>98</v>
      </c>
      <c r="C53" s="28" t="n">
        <v>73.5</v>
      </c>
      <c r="D53" s="28" t="n">
        <v>248</v>
      </c>
      <c r="E53" s="17" t="inlineStr">
        <is>
          <t>UFBL</t>
        </is>
      </c>
      <c r="F53" s="18" t="inlineStr">
        <is>
          <t>United Foodbrands Ltd</t>
        </is>
      </c>
      <c r="G53" s="18" t="inlineStr">
        <is>
          <t>consumer discretionary</t>
        </is>
      </c>
      <c r="H53" s="19" t="n">
        <v>2491.56</v>
      </c>
    </row>
    <row r="54">
      <c r="A54" s="16" t="n">
        <v>8</v>
      </c>
      <c r="B54" s="27" t="n">
        <v>98</v>
      </c>
      <c r="C54" s="28" t="n">
        <v>71.2</v>
      </c>
      <c r="D54" s="28" t="n">
        <v>295</v>
      </c>
      <c r="E54" s="17" t="inlineStr">
        <is>
          <t>VMARCIND</t>
        </is>
      </c>
      <c r="F54" s="18" t="inlineStr">
        <is>
          <t>VMARCIND</t>
        </is>
      </c>
      <c r="G54" s="18" t="inlineStr">
        <is>
          <t>unknown</t>
        </is>
      </c>
      <c r="H54" s="19" t="n">
        <v>441.28</v>
      </c>
    </row>
    <row r="55">
      <c r="A55" s="16" t="n">
        <v>9</v>
      </c>
      <c r="B55" s="27" t="n">
        <v>97</v>
      </c>
      <c r="C55" s="28" t="n">
        <v>64.09</v>
      </c>
      <c r="D55" s="28" t="n">
        <v>272</v>
      </c>
      <c r="E55" s="17" t="inlineStr">
        <is>
          <t>MODINSU</t>
        </is>
      </c>
      <c r="F55" s="18" t="inlineStr">
        <is>
          <t>Modern Insulators Limited</t>
        </is>
      </c>
      <c r="G55" s="18" t="inlineStr">
        <is>
          <t>Technology</t>
        </is>
      </c>
      <c r="H55" s="19" t="n">
        <v>2422.25</v>
      </c>
    </row>
    <row r="56">
      <c r="A56" s="16" t="n">
        <v>10</v>
      </c>
      <c r="B56" s="27" t="n">
        <v>97</v>
      </c>
      <c r="C56" s="28" t="n">
        <v>59.2</v>
      </c>
      <c r="D56" s="28" t="n">
        <v>277</v>
      </c>
      <c r="E56" s="17" t="inlineStr">
        <is>
          <t>BLISSGVS</t>
        </is>
      </c>
      <c r="F56" s="18" t="inlineStr">
        <is>
          <t>Bliss Gvs Pharma Limited</t>
        </is>
      </c>
      <c r="G56" s="18" t="inlineStr">
        <is>
          <t>healthcare</t>
        </is>
      </c>
      <c r="H56" s="19" t="n">
        <v>5708.37</v>
      </c>
    </row>
    <row r="57">
      <c r="A57" s="16" t="n">
        <v>11</v>
      </c>
      <c r="B57" s="27" t="n">
        <v>97</v>
      </c>
      <c r="C57" s="28" t="n">
        <v>57.75</v>
      </c>
      <c r="D57" s="28" t="n">
        <v>280</v>
      </c>
      <c r="E57" s="17" t="inlineStr">
        <is>
          <t>IBULLSLTD</t>
        </is>
      </c>
      <c r="F57" s="18" t="inlineStr">
        <is>
          <t>Indiabulls Limited</t>
        </is>
      </c>
      <c r="G57" s="18" t="inlineStr">
        <is>
          <t>miscellaneous</t>
        </is>
      </c>
      <c r="H57" s="19" t="n">
        <v>6464.11</v>
      </c>
    </row>
    <row r="58">
      <c r="A58" s="16" t="n">
        <v>12</v>
      </c>
      <c r="B58" s="27" t="n">
        <v>97</v>
      </c>
      <c r="C58" s="28" t="n">
        <v>55.6</v>
      </c>
      <c r="D58" s="28" t="n">
        <v>270</v>
      </c>
      <c r="E58" s="17" t="inlineStr">
        <is>
          <t>INDOTECH</t>
        </is>
      </c>
      <c r="F58" s="18" t="inlineStr">
        <is>
          <t>Indo Tech Transformers Limited</t>
        </is>
      </c>
      <c r="G58" s="18" t="inlineStr">
        <is>
          <t>industrials</t>
        </is>
      </c>
      <c r="H58" s="19" t="n">
        <v>3436.53</v>
      </c>
    </row>
    <row r="59">
      <c r="A59" s="16" t="n">
        <v>13</v>
      </c>
      <c r="B59" s="27" t="n">
        <v>96</v>
      </c>
      <c r="C59" s="28" t="n">
        <v>55.58</v>
      </c>
      <c r="D59" s="28" t="n">
        <v>275</v>
      </c>
      <c r="E59" s="17" t="inlineStr">
        <is>
          <t>VENUSREM</t>
        </is>
      </c>
      <c r="F59" s="18" t="inlineStr">
        <is>
          <t>Venus Remedies Limited</t>
        </is>
      </c>
      <c r="G59" s="18" t="inlineStr">
        <is>
          <t>healthcare</t>
        </is>
      </c>
      <c r="H59" s="19" t="n">
        <v>2450.84</v>
      </c>
    </row>
    <row r="60">
      <c r="A60" s="16" t="n">
        <v>14</v>
      </c>
      <c r="B60" s="27" t="n">
        <v>96</v>
      </c>
      <c r="C60" s="28" t="n">
        <v>52.5</v>
      </c>
      <c r="D60" s="28" t="n">
        <v>260</v>
      </c>
      <c r="E60" s="17" t="inlineStr">
        <is>
          <t>KERNEX</t>
        </is>
      </c>
      <c r="F60" s="18" t="inlineStr">
        <is>
          <t>Kernex Microsystems (india) Limited</t>
        </is>
      </c>
      <c r="G60" s="18" t="inlineStr">
        <is>
          <t>consumer discretionary</t>
        </is>
      </c>
      <c r="H60" s="19" t="n">
        <v>3629.16</v>
      </c>
    </row>
    <row r="61">
      <c r="A61" s="16" t="n">
        <v>15</v>
      </c>
      <c r="B61" s="27" t="n">
        <v>96</v>
      </c>
      <c r="C61" s="28" t="n">
        <v>52.41</v>
      </c>
      <c r="D61" s="28" t="n">
        <v>275</v>
      </c>
      <c r="E61" s="17" t="inlineStr">
        <is>
          <t>CEMPRO</t>
        </is>
      </c>
      <c r="F61" s="18" t="inlineStr">
        <is>
          <t>Cemindia Projects Ltd</t>
        </is>
      </c>
      <c r="G61" s="18" t="inlineStr">
        <is>
          <t>realty</t>
        </is>
      </c>
      <c r="H61" s="19" t="n">
        <v>22310.05</v>
      </c>
    </row>
    <row r="62">
      <c r="A62" s="16" t="n">
        <v>16</v>
      </c>
      <c r="B62" s="27" t="n">
        <v>96</v>
      </c>
      <c r="C62" s="28" t="n">
        <v>51.51</v>
      </c>
      <c r="D62" s="28" t="n">
        <v>275</v>
      </c>
      <c r="E62" s="17" t="inlineStr">
        <is>
          <t>BAFNAPH</t>
        </is>
      </c>
      <c r="F62" s="18" t="inlineStr">
        <is>
          <t>Bafna Pharmaceuticals Ltd</t>
        </is>
      </c>
      <c r="G62" s="18" t="inlineStr">
        <is>
          <t>healthcare</t>
        </is>
      </c>
      <c r="H62" s="19" t="n">
        <v>507.74</v>
      </c>
    </row>
    <row r="63">
      <c r="A63" s="16" t="n">
        <v>17</v>
      </c>
      <c r="B63" s="27" t="n">
        <v>96</v>
      </c>
      <c r="C63" s="28" t="n">
        <v>51.11</v>
      </c>
      <c r="D63" s="28" t="n">
        <v>257</v>
      </c>
      <c r="E63" s="17" t="inlineStr">
        <is>
          <t>APOLLO</t>
        </is>
      </c>
      <c r="F63" s="18" t="inlineStr">
        <is>
          <t>Apollo Micro Systems Ltd</t>
        </is>
      </c>
      <c r="G63" s="18" t="inlineStr">
        <is>
          <t>aerospace &amp; defence</t>
        </is>
      </c>
      <c r="H63" s="19" t="n">
        <v>15692.66</v>
      </c>
    </row>
    <row r="64">
      <c r="A64" s="16" t="n">
        <v>18</v>
      </c>
      <c r="B64" s="27" t="n">
        <v>95</v>
      </c>
      <c r="C64" s="28" t="n">
        <v>50.98</v>
      </c>
      <c r="D64" s="28" t="n">
        <v>223</v>
      </c>
      <c r="E64" s="17" t="inlineStr">
        <is>
          <t>DEEDEV</t>
        </is>
      </c>
      <c r="F64" s="18" t="inlineStr">
        <is>
          <t>DEE Development Engineers Ltd</t>
        </is>
      </c>
      <c r="G64" s="18" t="inlineStr">
        <is>
          <t>metals &amp; mining</t>
        </is>
      </c>
      <c r="H64" s="19" t="n">
        <v>4456.4</v>
      </c>
    </row>
    <row r="65">
      <c r="A65" s="16" t="n">
        <v>19</v>
      </c>
      <c r="B65" s="27" t="n">
        <v>95</v>
      </c>
      <c r="C65" s="28" t="n">
        <v>50.94</v>
      </c>
      <c r="D65" s="28" t="n">
        <v>285</v>
      </c>
      <c r="E65" s="17" t="inlineStr">
        <is>
          <t>RPTECH</t>
        </is>
      </c>
      <c r="F65" s="18" t="inlineStr">
        <is>
          <t>Rashi Peripherals Ltd</t>
        </is>
      </c>
      <c r="G65" s="18" t="inlineStr">
        <is>
          <t>services</t>
        </is>
      </c>
      <c r="H65" s="19" t="n">
        <v>5098.99</v>
      </c>
    </row>
    <row r="66">
      <c r="A66" s="16" t="n">
        <v>20</v>
      </c>
      <c r="B66" s="27" t="n">
        <v>95</v>
      </c>
      <c r="C66" s="28" t="n">
        <v>47.89</v>
      </c>
      <c r="D66" s="28" t="n">
        <v>270</v>
      </c>
      <c r="E66" s="17" t="inlineStr">
        <is>
          <t>RAMCOSYS</t>
        </is>
      </c>
      <c r="F66" s="18" t="inlineStr">
        <is>
          <t>Ramco Systems Limited</t>
        </is>
      </c>
      <c r="G66" s="18" t="inlineStr">
        <is>
          <t>i.t</t>
        </is>
      </c>
      <c r="H66" s="19" t="n">
        <v>3127.82</v>
      </c>
    </row>
    <row r="67">
      <c r="A67" s="16" t="n">
        <v>21</v>
      </c>
      <c r="B67" s="27" t="n">
        <v>95</v>
      </c>
      <c r="C67" s="28" t="n">
        <v>46.75</v>
      </c>
      <c r="D67" s="28" t="n">
        <v>273</v>
      </c>
      <c r="E67" s="17" t="inlineStr">
        <is>
          <t>HITECHCORP</t>
        </is>
      </c>
      <c r="F67" s="18" t="inlineStr">
        <is>
          <t>Hitech Corporation</t>
        </is>
      </c>
      <c r="G67" s="18" t="inlineStr">
        <is>
          <t>industrials</t>
        </is>
      </c>
      <c r="H67" s="19" t="n">
        <v>542.13</v>
      </c>
    </row>
    <row r="68">
      <c r="A68" s="16" t="n">
        <v>22</v>
      </c>
      <c r="B68" s="27" t="n">
        <v>95</v>
      </c>
      <c r="C68" s="28" t="n">
        <v>45.44</v>
      </c>
      <c r="D68" s="28" t="n">
        <v>285</v>
      </c>
      <c r="E68" s="17" t="inlineStr">
        <is>
          <t>TIMEX</t>
        </is>
      </c>
      <c r="F68" s="18" t="inlineStr">
        <is>
          <t>Timex Group India Limited</t>
        </is>
      </c>
      <c r="G68" s="18" t="inlineStr">
        <is>
          <t>Consumer Cyclical</t>
        </is>
      </c>
      <c r="H68" s="19" t="n">
        <v>5237.29</v>
      </c>
    </row>
    <row r="69">
      <c r="A69" s="16" t="n">
        <v>23</v>
      </c>
      <c r="B69" s="29" t="n">
        <v>94</v>
      </c>
      <c r="C69" s="28" t="n">
        <v>45.12</v>
      </c>
      <c r="D69" s="28" t="n">
        <v>267</v>
      </c>
      <c r="E69" s="17" t="inlineStr">
        <is>
          <t>SKMEGGPROD</t>
        </is>
      </c>
      <c r="F69" s="18" t="inlineStr">
        <is>
          <t>Skm Egg Products Export (india) Limited</t>
        </is>
      </c>
      <c r="G69" s="18" t="inlineStr">
        <is>
          <t>fmcg</t>
        </is>
      </c>
      <c r="H69" s="19" t="n">
        <v>1543.04</v>
      </c>
    </row>
    <row r="70">
      <c r="A70" s="16" t="n">
        <v>24</v>
      </c>
      <c r="B70" s="29" t="n">
        <v>94</v>
      </c>
      <c r="C70" s="28" t="n">
        <v>44.63</v>
      </c>
      <c r="D70" s="28" t="n">
        <v>255</v>
      </c>
      <c r="E70" s="17" t="inlineStr">
        <is>
          <t>JAYBARMARU</t>
        </is>
      </c>
      <c r="F70" s="18" t="inlineStr">
        <is>
          <t>Jay Bharat Maruti Limited</t>
        </is>
      </c>
      <c r="G70" s="18" t="inlineStr">
        <is>
          <t>auto</t>
        </is>
      </c>
      <c r="H70" s="19" t="n">
        <v>1852.16</v>
      </c>
    </row>
    <row r="71">
      <c r="A71" s="16" t="n">
        <v>25</v>
      </c>
      <c r="B71" s="29" t="n">
        <v>94</v>
      </c>
      <c r="C71" s="28" t="n">
        <v>44.34</v>
      </c>
      <c r="D71" s="28" t="n">
        <v>265</v>
      </c>
      <c r="E71" s="17" t="inlineStr">
        <is>
          <t>NINSYS</t>
        </is>
      </c>
      <c r="F71" s="18" t="inlineStr">
        <is>
          <t>NINtec Systems Ltd</t>
        </is>
      </c>
      <c r="G71" s="18" t="inlineStr">
        <is>
          <t>i.t</t>
        </is>
      </c>
      <c r="H71" s="19" t="n">
        <v>1532.24</v>
      </c>
    </row>
    <row r="72">
      <c r="A72" s="16" t="n">
        <v>26</v>
      </c>
      <c r="B72" s="29" t="n">
        <v>94</v>
      </c>
      <c r="C72" s="28" t="n">
        <v>44.15</v>
      </c>
      <c r="D72" s="28" t="n">
        <v>242</v>
      </c>
      <c r="E72" s="17" t="inlineStr">
        <is>
          <t>FREDUN</t>
        </is>
      </c>
      <c r="F72" s="18" t="inlineStr">
        <is>
          <t>Fredun Pharmaceuticals Limited</t>
        </is>
      </c>
      <c r="G72" s="18" t="inlineStr">
        <is>
          <t>Healthcare</t>
        </is>
      </c>
      <c r="H72" s="19" t="n">
        <v>1535.34</v>
      </c>
    </row>
    <row r="73">
      <c r="A73" s="16" t="n">
        <v>27</v>
      </c>
      <c r="B73" s="29" t="n">
        <v>93</v>
      </c>
      <c r="C73" s="28" t="n">
        <v>44.04</v>
      </c>
      <c r="D73" s="28" t="n">
        <v>235</v>
      </c>
      <c r="E73" s="17" t="inlineStr">
        <is>
          <t>SETL</t>
        </is>
      </c>
      <c r="F73" s="18" t="inlineStr">
        <is>
          <t>Standard Enginnering Technology Ltd</t>
        </is>
      </c>
      <c r="G73" s="18" t="inlineStr">
        <is>
          <t>industrials</t>
        </is>
      </c>
      <c r="H73" s="19" t="n">
        <v>5122.35</v>
      </c>
    </row>
    <row r="74">
      <c r="A74" s="16" t="n">
        <v>28</v>
      </c>
      <c r="B74" s="29" t="n">
        <v>93</v>
      </c>
      <c r="C74" s="28" t="n">
        <v>42.96</v>
      </c>
      <c r="D74" s="28" t="n">
        <v>282</v>
      </c>
      <c r="E74" s="17" t="inlineStr">
        <is>
          <t>PAISALO</t>
        </is>
      </c>
      <c r="F74" s="18" t="inlineStr">
        <is>
          <t>Paisalo Digital Ltd</t>
        </is>
      </c>
      <c r="G74" s="18" t="inlineStr">
        <is>
          <t>financials</t>
        </is>
      </c>
      <c r="H74" s="19" t="n">
        <v>5375.27</v>
      </c>
    </row>
    <row r="75">
      <c r="A75" s="16" t="n">
        <v>29</v>
      </c>
      <c r="B75" s="29" t="n">
        <v>93</v>
      </c>
      <c r="C75" s="28" t="n">
        <v>42.75</v>
      </c>
      <c r="D75" s="28" t="n">
        <v>253</v>
      </c>
      <c r="E75" s="17" t="inlineStr">
        <is>
          <t>AEROFLEX</t>
        </is>
      </c>
      <c r="F75" s="18" t="inlineStr">
        <is>
          <t>Aeroflex Industries Ltd</t>
        </is>
      </c>
      <c r="G75" s="18" t="inlineStr">
        <is>
          <t>metals &amp; mining</t>
        </is>
      </c>
      <c r="H75" s="19" t="n">
        <v>6240.72</v>
      </c>
    </row>
    <row r="76">
      <c r="A76" s="16" t="n">
        <v>30</v>
      </c>
      <c r="B76" s="29" t="n">
        <v>93</v>
      </c>
      <c r="C76" s="28" t="n">
        <v>42.13</v>
      </c>
      <c r="D76" s="28" t="n">
        <v>280</v>
      </c>
      <c r="E76" s="17" t="inlineStr">
        <is>
          <t>THANGAMAYL</t>
        </is>
      </c>
      <c r="F76" s="18" t="inlineStr">
        <is>
          <t>Thangamayil Jewellery Limited</t>
        </is>
      </c>
      <c r="G76" s="18" t="inlineStr">
        <is>
          <t>consumer discretionary</t>
        </is>
      </c>
      <c r="H76" s="19" t="n">
        <v>19886.9</v>
      </c>
    </row>
    <row r="77">
      <c r="A77" s="16" t="n">
        <v>31</v>
      </c>
      <c r="B77" s="29" t="n">
        <v>93</v>
      </c>
      <c r="C77" s="28" t="n">
        <v>41.72</v>
      </c>
      <c r="D77" s="28" t="n">
        <v>267</v>
      </c>
      <c r="E77" s="17" t="inlineStr">
        <is>
          <t>ACUTAAS</t>
        </is>
      </c>
      <c r="F77" s="18" t="inlineStr">
        <is>
          <t>Acutaas Chemicals Ltd</t>
        </is>
      </c>
      <c r="G77" s="18" t="inlineStr">
        <is>
          <t>healthcare</t>
        </is>
      </c>
      <c r="H77" s="19" t="n">
        <v>28869.4</v>
      </c>
    </row>
    <row r="78">
      <c r="A78" s="16" t="n">
        <v>32</v>
      </c>
      <c r="B78" s="29" t="n">
        <v>92</v>
      </c>
      <c r="C78" s="28" t="n">
        <v>41.45</v>
      </c>
      <c r="D78" s="28" t="n">
        <v>272</v>
      </c>
      <c r="E78" s="17" t="inlineStr">
        <is>
          <t>KPL</t>
        </is>
      </c>
      <c r="F78" s="18" t="inlineStr">
        <is>
          <t>Kwality Pharmaceuticals Limited</t>
        </is>
      </c>
      <c r="G78" s="18" t="inlineStr">
        <is>
          <t>Healthcare</t>
        </is>
      </c>
      <c r="H78" s="19" t="n">
        <v>2806.45</v>
      </c>
    </row>
    <row r="79">
      <c r="A79" s="16" t="n">
        <v>33</v>
      </c>
      <c r="B79" s="29" t="n">
        <v>92</v>
      </c>
      <c r="C79" s="28" t="n">
        <v>41.44</v>
      </c>
      <c r="D79" s="28" t="n">
        <v>275</v>
      </c>
      <c r="E79" s="17" t="inlineStr">
        <is>
          <t>AEGISLOG</t>
        </is>
      </c>
      <c r="F79" s="18" t="inlineStr">
        <is>
          <t>Aegis Logistics Ltd</t>
        </is>
      </c>
      <c r="G79" s="18" t="inlineStr">
        <is>
          <t>services</t>
        </is>
      </c>
      <c r="H79" s="19" t="n">
        <v>41205.65</v>
      </c>
    </row>
    <row r="80">
      <c r="A80" s="16" t="n">
        <v>34</v>
      </c>
      <c r="B80" s="29" t="n">
        <v>92</v>
      </c>
      <c r="C80" s="28" t="n">
        <v>41.02</v>
      </c>
      <c r="D80" s="28" t="n">
        <v>280</v>
      </c>
      <c r="E80" s="17" t="inlineStr">
        <is>
          <t>ATHERENERG</t>
        </is>
      </c>
      <c r="F80" s="18" t="inlineStr">
        <is>
          <t>Ather Energy Ltd</t>
        </is>
      </c>
      <c r="G80" s="18" t="inlineStr">
        <is>
          <t>auto</t>
        </is>
      </c>
      <c r="H80" s="19" t="n">
        <v>43645.79</v>
      </c>
    </row>
    <row r="81">
      <c r="A81" s="16" t="n">
        <v>35</v>
      </c>
      <c r="B81" s="29" t="n">
        <v>92</v>
      </c>
      <c r="C81" s="28" t="n">
        <v>40.37</v>
      </c>
      <c r="D81" s="28" t="n">
        <v>268</v>
      </c>
      <c r="E81" s="17" t="inlineStr">
        <is>
          <t>PARACABLES</t>
        </is>
      </c>
      <c r="F81" s="18" t="inlineStr">
        <is>
          <t>Paramount Communications Limited</t>
        </is>
      </c>
      <c r="G81" s="18" t="inlineStr">
        <is>
          <t>industrials</t>
        </is>
      </c>
      <c r="H81" s="19" t="n">
        <v>2106.56</v>
      </c>
    </row>
    <row r="82">
      <c r="A82" s="16" t="n">
        <v>36</v>
      </c>
      <c r="B82" s="29" t="n">
        <v>92</v>
      </c>
      <c r="C82" s="28" t="n">
        <v>40.19</v>
      </c>
      <c r="D82" s="28" t="n">
        <v>243</v>
      </c>
      <c r="E82" s="17" t="inlineStr">
        <is>
          <t>YASHO</t>
        </is>
      </c>
      <c r="F82" s="18" t="inlineStr">
        <is>
          <t>Yasho Industries Ltd</t>
        </is>
      </c>
      <c r="G82" s="18" t="inlineStr">
        <is>
          <t>chemicals</t>
        </is>
      </c>
      <c r="H82" s="19" t="n">
        <v>3525.37</v>
      </c>
    </row>
    <row r="83">
      <c r="A83" s="16" t="n">
        <v>37</v>
      </c>
      <c r="B83" s="29" t="n">
        <v>91</v>
      </c>
      <c r="C83" s="28" t="n">
        <v>39.87</v>
      </c>
      <c r="D83" s="28" t="n">
        <v>270</v>
      </c>
      <c r="E83" s="17" t="inlineStr">
        <is>
          <t>AVALON</t>
        </is>
      </c>
      <c r="F83" s="18" t="inlineStr">
        <is>
          <t>Avalon Technologies Ltd</t>
        </is>
      </c>
      <c r="G83" s="18" t="inlineStr">
        <is>
          <t>consumer discretionary</t>
        </is>
      </c>
      <c r="H83" s="19" t="n">
        <v>12030.59</v>
      </c>
    </row>
    <row r="84">
      <c r="A84" s="16" t="n">
        <v>38</v>
      </c>
      <c r="B84" s="29" t="n">
        <v>91</v>
      </c>
      <c r="C84" s="28" t="n">
        <v>39.65</v>
      </c>
      <c r="D84" s="28" t="n">
        <v>255</v>
      </c>
      <c r="E84" s="17" t="inlineStr">
        <is>
          <t>RPEL</t>
        </is>
      </c>
      <c r="F84" s="18" t="inlineStr">
        <is>
          <t>Raghav Productivity Enhancers Ltd</t>
        </is>
      </c>
      <c r="G84" s="18" t="inlineStr">
        <is>
          <t>building materials</t>
        </is>
      </c>
      <c r="H84" s="19" t="n">
        <v>5527.8</v>
      </c>
    </row>
    <row r="85">
      <c r="A85" s="16" t="n">
        <v>39</v>
      </c>
      <c r="B85" s="29" t="n">
        <v>91</v>
      </c>
      <c r="C85" s="28" t="n">
        <v>39.18</v>
      </c>
      <c r="D85" s="28" t="n">
        <v>292</v>
      </c>
      <c r="E85" s="17" t="inlineStr">
        <is>
          <t>BAJAJCON</t>
        </is>
      </c>
      <c r="F85" s="18" t="inlineStr">
        <is>
          <t>Bajaj Consumer Care Ltd</t>
        </is>
      </c>
      <c r="G85" s="18" t="inlineStr">
        <is>
          <t>fmcg</t>
        </is>
      </c>
      <c r="H85" s="19" t="n">
        <v>7824.04</v>
      </c>
    </row>
    <row r="86">
      <c r="A86" s="16" t="n">
        <v>40</v>
      </c>
      <c r="B86" s="29" t="n">
        <v>91</v>
      </c>
      <c r="C86" s="28" t="n">
        <v>38.8</v>
      </c>
      <c r="D86" s="28" t="n">
        <v>228</v>
      </c>
      <c r="E86" s="17" t="inlineStr">
        <is>
          <t>KIRLOSENG</t>
        </is>
      </c>
      <c r="F86" s="18" t="inlineStr">
        <is>
          <t>Kirloskar Oil Engines Limited</t>
        </is>
      </c>
      <c r="G86" s="18" t="inlineStr">
        <is>
          <t>industrials</t>
        </is>
      </c>
      <c r="H86" s="19" t="n">
        <v>34362.92</v>
      </c>
    </row>
    <row r="87">
      <c r="A87" s="16" t="n">
        <v>41</v>
      </c>
      <c r="B87" s="29" t="n">
        <v>90</v>
      </c>
      <c r="C87" s="28" t="n">
        <v>38.02</v>
      </c>
      <c r="D87" s="28" t="n">
        <v>275</v>
      </c>
      <c r="E87" s="17" t="inlineStr">
        <is>
          <t>SYRMA</t>
        </is>
      </c>
      <c r="F87" s="18" t="inlineStr">
        <is>
          <t>Syrma SGS Technology Ltd</t>
        </is>
      </c>
      <c r="G87" s="18" t="inlineStr">
        <is>
          <t>consumer discretionary</t>
        </is>
      </c>
      <c r="H87" s="19" t="n">
        <v>26924.92</v>
      </c>
    </row>
    <row r="88">
      <c r="A88" s="16" t="n">
        <v>42</v>
      </c>
      <c r="B88" s="29" t="n">
        <v>90</v>
      </c>
      <c r="C88" s="28" t="n">
        <v>37.63</v>
      </c>
      <c r="D88" s="28" t="n">
        <v>260</v>
      </c>
      <c r="E88" s="17" t="inlineStr">
        <is>
          <t>RATEGAIN</t>
        </is>
      </c>
      <c r="F88" s="18" t="inlineStr">
        <is>
          <t>Rategain Travel Technologies Ltd</t>
        </is>
      </c>
      <c r="G88" s="18" t="inlineStr">
        <is>
          <t>i.t</t>
        </is>
      </c>
      <c r="H88" s="19" t="n">
        <v>10624.84</v>
      </c>
    </row>
    <row r="89">
      <c r="A89" s="16" t="n">
        <v>43</v>
      </c>
      <c r="B89" s="29" t="n">
        <v>90</v>
      </c>
      <c r="C89" s="28" t="n">
        <v>34.56</v>
      </c>
      <c r="D89" s="28" t="n">
        <v>272</v>
      </c>
      <c r="E89" s="17" t="inlineStr">
        <is>
          <t>SENORES</t>
        </is>
      </c>
      <c r="F89" s="18" t="inlineStr">
        <is>
          <t>Senores Pharmaceuticals Ltd</t>
        </is>
      </c>
      <c r="G89" s="18" t="inlineStr">
        <is>
          <t>healthcare</t>
        </is>
      </c>
      <c r="H89" s="19" t="n">
        <v>6124.67</v>
      </c>
    </row>
    <row r="90">
      <c r="A90" s="16" t="n">
        <v>44</v>
      </c>
      <c r="B90" s="29" t="n">
        <v>90</v>
      </c>
      <c r="C90" s="28" t="n">
        <v>34.43</v>
      </c>
      <c r="D90" s="28" t="n">
        <v>273</v>
      </c>
      <c r="E90" s="17" t="inlineStr">
        <is>
          <t>KANORICHEM</t>
        </is>
      </c>
      <c r="F90" s="18" t="inlineStr">
        <is>
          <t>Kanoria Chemicals &amp; Industries Limited</t>
        </is>
      </c>
      <c r="G90" s="18" t="inlineStr">
        <is>
          <t>chemicals</t>
        </is>
      </c>
      <c r="H90" s="19" t="n">
        <v>585.62</v>
      </c>
    </row>
    <row r="91">
      <c r="A91" s="16" t="n">
        <v>45</v>
      </c>
      <c r="B91" s="29" t="n">
        <v>90</v>
      </c>
      <c r="C91" s="28" t="n">
        <v>34.18</v>
      </c>
      <c r="D91" s="28" t="n">
        <v>250</v>
      </c>
      <c r="E91" s="17" t="inlineStr">
        <is>
          <t>JNKINDIA</t>
        </is>
      </c>
      <c r="F91" s="18" t="inlineStr">
        <is>
          <t>JNK India Ltd</t>
        </is>
      </c>
      <c r="G91" s="18" t="inlineStr">
        <is>
          <t>realty</t>
        </is>
      </c>
      <c r="H91" s="19" t="n">
        <v>2823.71</v>
      </c>
    </row>
    <row r="92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PAISALO</t>
        </is>
      </c>
      <c r="B2" s="31" t="inlineStr">
        <is>
          <t>Paisalo Digital Ltd</t>
        </is>
      </c>
      <c r="C2" s="31" t="inlineStr">
        <is>
          <t>financials</t>
        </is>
      </c>
      <c r="D2" s="31" t="inlineStr">
        <is>
          <t>finance &amp; investments</t>
        </is>
      </c>
      <c r="E2" s="31" t="inlineStr">
        <is>
          <t>midcap</t>
        </is>
      </c>
      <c r="F2" s="31" t="n">
        <v>5375.27</v>
      </c>
      <c r="G2" s="31" t="n">
        <v>70.84</v>
      </c>
      <c r="H2" s="31" t="n">
        <v>19.86</v>
      </c>
      <c r="I2" s="31" t="n">
        <v>89746472</v>
      </c>
      <c r="J2" s="31" t="inlineStr">
        <is>
          <t>532900</t>
        </is>
      </c>
    </row>
    <row r="3">
      <c r="A3" s="31" t="inlineStr">
        <is>
          <t>BHARATSE</t>
        </is>
      </c>
      <c r="B3" s="31" t="inlineStr">
        <is>
          <t>Bharat Seats Ltd</t>
        </is>
      </c>
      <c r="C3" s="31" t="inlineStr">
        <is>
          <t>auto</t>
        </is>
      </c>
      <c r="D3" s="31" t="inlineStr">
        <is>
          <t>auto ancillaries</t>
        </is>
      </c>
      <c r="E3" s="31" t="inlineStr">
        <is>
          <t>smallcap</t>
        </is>
      </c>
      <c r="F3" s="31" t="n">
        <v>1192.38</v>
      </c>
      <c r="G3" s="31" t="n">
        <v>222.58</v>
      </c>
      <c r="H3" s="31" t="n">
        <v>17.23</v>
      </c>
      <c r="I3" s="31" t="n">
        <v>12962491</v>
      </c>
      <c r="J3" s="31" t="inlineStr">
        <is>
          <t>523229</t>
        </is>
      </c>
    </row>
    <row r="4">
      <c r="A4" s="31" t="inlineStr">
        <is>
          <t>SCPL</t>
        </is>
      </c>
      <c r="B4" s="31" t="inlineStr">
        <is>
          <t>Sheetal Cool Products Ltd</t>
        </is>
      </c>
      <c r="C4" s="31" t="inlineStr">
        <is>
          <t>fmcg</t>
        </is>
      </c>
      <c r="D4" s="31" t="inlineStr">
        <is>
          <t>food - processing - indian</t>
        </is>
      </c>
      <c r="E4" s="31" t="inlineStr">
        <is>
          <t>smallcap</t>
        </is>
      </c>
      <c r="F4" s="31" t="n">
        <v>500.85</v>
      </c>
      <c r="G4" s="31" t="n">
        <v>539.05</v>
      </c>
      <c r="H4" s="31" t="n">
        <v>13.01</v>
      </c>
      <c r="I4" s="31" t="n">
        <v>185391</v>
      </c>
      <c r="J4" s="31" t="inlineStr">
        <is>
          <t>540757</t>
        </is>
      </c>
    </row>
    <row r="5">
      <c r="A5" s="31" t="inlineStr">
        <is>
          <t>SIGNPOST</t>
        </is>
      </c>
      <c r="B5" s="31" t="inlineStr">
        <is>
          <t>Signpost India Ltd</t>
        </is>
      </c>
      <c r="C5" s="31" t="inlineStr">
        <is>
          <t>miscellaneous</t>
        </is>
      </c>
      <c r="D5" s="31" t="inlineStr">
        <is>
          <t>miscellaneous</t>
        </is>
      </c>
      <c r="E5" s="31" t="inlineStr">
        <is>
          <t>smallcap</t>
        </is>
      </c>
      <c r="F5" s="31" t="n">
        <v>1461.06</v>
      </c>
      <c r="G5" s="31" t="n">
        <v>306.5</v>
      </c>
      <c r="H5" s="31" t="n">
        <v>12.13</v>
      </c>
      <c r="I5" s="31" t="n">
        <v>13880117</v>
      </c>
      <c r="J5" s="31" t="n"/>
    </row>
    <row r="6">
      <c r="A6" s="31" t="inlineStr">
        <is>
          <t>JTEKTINDIA</t>
        </is>
      </c>
      <c r="B6" s="31" t="inlineStr">
        <is>
          <t>JTEKT India Ltd</t>
        </is>
      </c>
      <c r="C6" s="31" t="inlineStr">
        <is>
          <t>auto</t>
        </is>
      </c>
      <c r="D6" s="31" t="inlineStr">
        <is>
          <t>auto ancillaries</t>
        </is>
      </c>
      <c r="E6" s="31" t="inlineStr">
        <is>
          <t>smallcap</t>
        </is>
      </c>
      <c r="F6" s="31" t="n">
        <v>3778.98</v>
      </c>
      <c r="G6" s="31" t="n">
        <v>151.98</v>
      </c>
      <c r="H6" s="31" t="n">
        <v>11.56</v>
      </c>
      <c r="I6" s="31" t="n">
        <v>28383044</v>
      </c>
      <c r="J6" s="31" t="inlineStr">
        <is>
          <t>520057</t>
        </is>
      </c>
    </row>
    <row r="7">
      <c r="A7" s="31" t="inlineStr">
        <is>
          <t>HINDCOMPOS</t>
        </is>
      </c>
      <c r="B7" s="31" t="inlineStr">
        <is>
          <t>Hindustan Composites Limited</t>
        </is>
      </c>
      <c r="C7" s="31" t="inlineStr">
        <is>
          <t>auto</t>
        </is>
      </c>
      <c r="D7" s="31" t="inlineStr">
        <is>
          <t>auto ancillaries</t>
        </is>
      </c>
      <c r="E7" s="31" t="inlineStr">
        <is>
          <t>smallcap</t>
        </is>
      </c>
      <c r="F7" s="31" t="n">
        <v>621.11</v>
      </c>
      <c r="G7" s="31" t="n">
        <v>465.25</v>
      </c>
      <c r="H7" s="31" t="n">
        <v>10.63</v>
      </c>
      <c r="I7" s="31" t="n">
        <v>198072</v>
      </c>
      <c r="J7" s="31" t="inlineStr">
        <is>
          <t>509635</t>
        </is>
      </c>
    </row>
    <row r="8">
      <c r="A8" s="31" t="inlineStr">
        <is>
          <t>MUNJALAU</t>
        </is>
      </c>
      <c r="B8" s="31" t="inlineStr">
        <is>
          <t>Munjal Auto Industries Limited</t>
        </is>
      </c>
      <c r="C8" s="31" t="inlineStr">
        <is>
          <t>auto</t>
        </is>
      </c>
      <c r="D8" s="31" t="inlineStr">
        <is>
          <t>auto ancillaries</t>
        </is>
      </c>
      <c r="E8" s="31" t="inlineStr">
        <is>
          <t>smallcap</t>
        </is>
      </c>
      <c r="F8" s="31" t="n">
        <v>927.4</v>
      </c>
      <c r="G8" s="31" t="n">
        <v>102.09</v>
      </c>
      <c r="H8" s="31" t="n">
        <v>10.08</v>
      </c>
      <c r="I8" s="31" t="n">
        <v>7365246</v>
      </c>
      <c r="J8" s="31" t="inlineStr">
        <is>
          <t>520059</t>
        </is>
      </c>
    </row>
    <row r="9">
      <c r="A9" s="31" t="inlineStr">
        <is>
          <t>SETL</t>
        </is>
      </c>
      <c r="B9" s="31" t="inlineStr">
        <is>
          <t>Standard Enginnering Technology Ltd</t>
        </is>
      </c>
      <c r="C9" s="31" t="inlineStr">
        <is>
          <t>industrials</t>
        </is>
      </c>
      <c r="D9" s="31" t="inlineStr">
        <is>
          <t>engineering</t>
        </is>
      </c>
      <c r="E9" s="31" t="inlineStr">
        <is>
          <t>midcap</t>
        </is>
      </c>
      <c r="F9" s="31" t="n">
        <v>5122.35</v>
      </c>
      <c r="G9" s="31" t="n">
        <v>282.45</v>
      </c>
      <c r="H9" s="31" t="n">
        <v>10</v>
      </c>
      <c r="I9" s="31" t="n">
        <v>5805500</v>
      </c>
      <c r="J9" s="31" t="inlineStr">
        <is>
          <t>544333</t>
        </is>
      </c>
    </row>
    <row r="10">
      <c r="A10" s="31" t="inlineStr">
        <is>
          <t>BLSE</t>
        </is>
      </c>
      <c r="B10" s="31" t="inlineStr">
        <is>
          <t>BLS E-Services Ltd</t>
        </is>
      </c>
      <c r="C10" s="31" t="inlineStr">
        <is>
          <t>i.t</t>
        </is>
      </c>
      <c r="D10" s="31" t="inlineStr">
        <is>
          <t>computers - software - medium / small</t>
        </is>
      </c>
      <c r="E10" s="31" t="inlineStr">
        <is>
          <t>smallcap</t>
        </is>
      </c>
      <c r="F10" s="31" t="n">
        <v>2119.23</v>
      </c>
      <c r="G10" s="31" t="n">
        <v>255.42</v>
      </c>
      <c r="H10" s="31" t="n">
        <v>9.5</v>
      </c>
      <c r="I10" s="31" t="n">
        <v>3623160</v>
      </c>
      <c r="J10" s="31" t="inlineStr">
        <is>
          <t>544107</t>
        </is>
      </c>
    </row>
    <row r="11">
      <c r="A11" s="31" t="inlineStr">
        <is>
          <t>SKMEGGPROD</t>
        </is>
      </c>
      <c r="B11" s="31" t="inlineStr">
        <is>
          <t>Skm Egg Products Export (india) Limited</t>
        </is>
      </c>
      <c r="C11" s="31" t="inlineStr">
        <is>
          <t>fmcg</t>
        </is>
      </c>
      <c r="D11" s="31" t="inlineStr">
        <is>
          <t>food - processing - indian</t>
        </is>
      </c>
      <c r="E11" s="31" t="inlineStr">
        <is>
          <t>smallcap</t>
        </is>
      </c>
      <c r="F11" s="31" t="n">
        <v>1543.04</v>
      </c>
      <c r="G11" s="31" t="n">
        <v>317.3</v>
      </c>
      <c r="H11" s="31" t="n">
        <v>8.289999999999999</v>
      </c>
      <c r="I11" s="31" t="n">
        <v>1551270</v>
      </c>
      <c r="J11" s="31" t="inlineStr">
        <is>
          <t>532143</t>
        </is>
      </c>
    </row>
    <row r="12">
      <c r="A12" s="31" t="inlineStr">
        <is>
          <t>DELHIVERY</t>
        </is>
      </c>
      <c r="B12" s="31" t="inlineStr">
        <is>
          <t>Delhivery Ltd</t>
        </is>
      </c>
      <c r="C12" s="31" t="inlineStr">
        <is>
          <t>transportation</t>
        </is>
      </c>
      <c r="D12" s="31" t="inlineStr">
        <is>
          <t>miscellaneous</t>
        </is>
      </c>
      <c r="E12" s="31" t="inlineStr">
        <is>
          <t>largecap</t>
        </is>
      </c>
      <c r="F12" s="31" t="n">
        <v>35338.05</v>
      </c>
      <c r="G12" s="31" t="n">
        <v>507.7</v>
      </c>
      <c r="H12" s="31" t="n">
        <v>7.55</v>
      </c>
      <c r="I12" s="31" t="n">
        <v>18031256</v>
      </c>
      <c r="J12" s="31" t="inlineStr">
        <is>
          <t>543529</t>
        </is>
      </c>
    </row>
    <row r="13">
      <c r="A13" s="31" t="inlineStr">
        <is>
          <t>PARACABLES</t>
        </is>
      </c>
      <c r="B13" s="31" t="inlineStr">
        <is>
          <t>Paramount Communications Limited</t>
        </is>
      </c>
      <c r="C13" s="31" t="inlineStr">
        <is>
          <t>industrials</t>
        </is>
      </c>
      <c r="D13" s="31" t="inlineStr">
        <is>
          <t>cables - power</t>
        </is>
      </c>
      <c r="E13" s="31" t="inlineStr">
        <is>
          <t>smallcap</t>
        </is>
      </c>
      <c r="F13" s="31" t="n">
        <v>2106.56</v>
      </c>
      <c r="G13" s="31" t="n">
        <v>74.13</v>
      </c>
      <c r="H13" s="31" t="n">
        <v>7.4</v>
      </c>
      <c r="I13" s="31" t="n">
        <v>6412453</v>
      </c>
      <c r="J13" s="31" t="inlineStr">
        <is>
          <t>530555</t>
        </is>
      </c>
    </row>
    <row r="14">
      <c r="A14" s="31" t="inlineStr">
        <is>
          <t>FUSION</t>
        </is>
      </c>
      <c r="B14" s="31" t="inlineStr">
        <is>
          <t>Fusion Micro Finance Ltd</t>
        </is>
      </c>
      <c r="C14" s="31" t="inlineStr">
        <is>
          <t>financials</t>
        </is>
      </c>
      <c r="D14" s="31" t="inlineStr">
        <is>
          <t>finance &amp; investments</t>
        </is>
      </c>
      <c r="E14" s="31" t="inlineStr">
        <is>
          <t>smallcap</t>
        </is>
      </c>
      <c r="F14" s="31" t="n">
        <v>3082.8</v>
      </c>
      <c r="G14" s="31" t="n">
        <v>203.91</v>
      </c>
      <c r="H14" s="31" t="n">
        <v>7.21</v>
      </c>
      <c r="I14" s="31" t="n">
        <v>6229681</v>
      </c>
      <c r="J14" s="31" t="inlineStr">
        <is>
          <t>543652</t>
        </is>
      </c>
    </row>
    <row r="15">
      <c r="A15" s="31" t="inlineStr">
        <is>
          <t>IKS</t>
        </is>
      </c>
      <c r="B15" s="31" t="inlineStr">
        <is>
          <t>Inventurus Knowledge Solutions Ltd</t>
        </is>
      </c>
      <c r="C15" s="31" t="inlineStr">
        <is>
          <t>i.t</t>
        </is>
      </c>
      <c r="D15" s="31" t="inlineStr">
        <is>
          <t>computers - software - medium / small</t>
        </is>
      </c>
      <c r="E15" s="31" t="inlineStr">
        <is>
          <t>largecap</t>
        </is>
      </c>
      <c r="F15" s="31" t="n">
        <v>28814</v>
      </c>
      <c r="G15" s="31" t="n">
        <v>1800.2</v>
      </c>
      <c r="H15" s="31" t="n">
        <v>7.19</v>
      </c>
      <c r="I15" s="31" t="n">
        <v>1518540</v>
      </c>
      <c r="J15" s="31" t="inlineStr">
        <is>
          <t>544309</t>
        </is>
      </c>
    </row>
    <row r="16">
      <c r="A16" s="31" t="inlineStr">
        <is>
          <t>SSWL</t>
        </is>
      </c>
      <c r="B16" s="31" t="inlineStr">
        <is>
          <t>Steel Strips Wheels Limited</t>
        </is>
      </c>
      <c r="C16" s="31" t="inlineStr">
        <is>
          <t>auto</t>
        </is>
      </c>
      <c r="D16" s="31" t="inlineStr">
        <is>
          <t>auto ancillaries</t>
        </is>
      </c>
      <c r="E16" s="31" t="inlineStr">
        <is>
          <t>smallcap</t>
        </is>
      </c>
      <c r="F16" s="31" t="n">
        <v>3625.84</v>
      </c>
      <c r="G16" s="31" t="n">
        <v>246.98</v>
      </c>
      <c r="H16" s="31" t="n">
        <v>7.07</v>
      </c>
      <c r="I16" s="31" t="n">
        <v>2674928</v>
      </c>
      <c r="J16" s="31" t="inlineStr">
        <is>
          <t>513262</t>
        </is>
      </c>
    </row>
    <row r="17">
      <c r="A17" s="31" t="inlineStr">
        <is>
          <t>TRIVENI</t>
        </is>
      </c>
      <c r="B17" s="31" t="inlineStr">
        <is>
          <t>Triveni Engineering &amp; Industries Limited</t>
        </is>
      </c>
      <c r="C17" s="31" t="inlineStr">
        <is>
          <t>fmcg</t>
        </is>
      </c>
      <c r="D17" s="31" t="inlineStr">
        <is>
          <t>sugar</t>
        </is>
      </c>
      <c r="E17" s="31" t="inlineStr">
        <is>
          <t>midcap</t>
        </is>
      </c>
      <c r="F17" s="31" t="n">
        <v>9249.530000000001</v>
      </c>
      <c r="G17" s="31" t="n">
        <v>451.75</v>
      </c>
      <c r="H17" s="31" t="n">
        <v>6.91</v>
      </c>
      <c r="I17" s="31" t="n">
        <v>3962391</v>
      </c>
      <c r="J17" s="31" t="inlineStr">
        <is>
          <t>532356</t>
        </is>
      </c>
    </row>
    <row r="18">
      <c r="A18" s="31" t="inlineStr">
        <is>
          <t>AEGISLOG</t>
        </is>
      </c>
      <c r="B18" s="31" t="inlineStr">
        <is>
          <t>Aegis Logistics Ltd</t>
        </is>
      </c>
      <c r="C18" s="31" t="inlineStr">
        <is>
          <t>services</t>
        </is>
      </c>
      <c r="D18" s="31" t="inlineStr">
        <is>
          <t>trading</t>
        </is>
      </c>
      <c r="E18" s="31" t="inlineStr">
        <is>
          <t>largecap</t>
        </is>
      </c>
      <c r="F18" s="31" t="n">
        <v>41205.65</v>
      </c>
      <c r="G18" s="31" t="n">
        <v>1254.7</v>
      </c>
      <c r="H18" s="31" t="n">
        <v>6.88</v>
      </c>
      <c r="I18" s="31" t="n">
        <v>3368189</v>
      </c>
      <c r="J18" s="31" t="inlineStr">
        <is>
          <t>500003</t>
        </is>
      </c>
    </row>
    <row r="19">
      <c r="A19" s="31" t="inlineStr">
        <is>
          <t>IRISDOREME</t>
        </is>
      </c>
      <c r="B19" s="31" t="inlineStr">
        <is>
          <t>Iris Clothings Ltd</t>
        </is>
      </c>
      <c r="C19" s="31" t="inlineStr">
        <is>
          <t>consumer discretionary</t>
        </is>
      </c>
      <c r="D19" s="31" t="inlineStr">
        <is>
          <t>textiles - products</t>
        </is>
      </c>
      <c r="E19" s="31" t="inlineStr">
        <is>
          <t>smallcap</t>
        </is>
      </c>
      <c r="F19" s="31" t="n">
        <v>793.11</v>
      </c>
      <c r="G19" s="31" t="n">
        <v>44.33</v>
      </c>
      <c r="H19" s="31" t="n">
        <v>6.38</v>
      </c>
      <c r="I19" s="31" t="n">
        <v>2705740</v>
      </c>
      <c r="J19" s="31" t="inlineStr">
        <is>
          <t>535123</t>
        </is>
      </c>
    </row>
    <row r="20">
      <c r="A20" s="31" t="inlineStr">
        <is>
          <t>PANSARI</t>
        </is>
      </c>
      <c r="B20" s="31" t="inlineStr">
        <is>
          <t>Pansari Developers Ltd</t>
        </is>
      </c>
      <c r="C20" s="31" t="inlineStr">
        <is>
          <t>realty</t>
        </is>
      </c>
      <c r="D20" s="31" t="inlineStr">
        <is>
          <t>construction</t>
        </is>
      </c>
      <c r="E20" s="31" t="inlineStr">
        <is>
          <t>smallcap</t>
        </is>
      </c>
      <c r="F20" s="31" t="n">
        <v>505.7</v>
      </c>
      <c r="G20" s="31" t="n">
        <v>308.2</v>
      </c>
      <c r="H20" s="31" t="n">
        <v>6.33</v>
      </c>
      <c r="I20" s="31" t="n">
        <v>195679</v>
      </c>
      <c r="J20" s="31" t="inlineStr">
        <is>
          <t>538381</t>
        </is>
      </c>
    </row>
    <row r="21">
      <c r="A21" s="31" t="inlineStr">
        <is>
          <t>KERNEX</t>
        </is>
      </c>
      <c r="B21" s="31" t="inlineStr">
        <is>
          <t>Kernex Microsystems (india) Limited</t>
        </is>
      </c>
      <c r="C21" s="31" t="inlineStr">
        <is>
          <t>consumer discretionary</t>
        </is>
      </c>
      <c r="D21" s="31" t="inlineStr">
        <is>
          <t>electronics - components</t>
        </is>
      </c>
      <c r="E21" s="31" t="inlineStr">
        <is>
          <t>smallcap</t>
        </is>
      </c>
      <c r="F21" s="31" t="n">
        <v>3629.16</v>
      </c>
      <c r="G21" s="31" t="n">
        <v>2293.6</v>
      </c>
      <c r="H21" s="31" t="n">
        <v>6.19</v>
      </c>
      <c r="I21" s="31" t="n">
        <v>408549</v>
      </c>
      <c r="J21" s="31" t="inlineStr">
        <is>
          <t>532686</t>
        </is>
      </c>
    </row>
    <row r="22">
      <c r="A22" s="31" t="inlineStr">
        <is>
          <t>MOREPENLAB</t>
        </is>
      </c>
      <c r="B22" s="31" t="inlineStr">
        <is>
          <t>Morepen Laboratories Limited</t>
        </is>
      </c>
      <c r="C22" s="31" t="inlineStr">
        <is>
          <t>healthcare</t>
        </is>
      </c>
      <c r="D22" s="31" t="inlineStr">
        <is>
          <t>pharmaceuticals - indian - bulk drugs &amp; formln</t>
        </is>
      </c>
      <c r="E22" s="31" t="inlineStr">
        <is>
          <t>smallcap</t>
        </is>
      </c>
      <c r="F22" s="31" t="n">
        <v>3239.5</v>
      </c>
      <c r="G22" s="31" t="n">
        <v>62.68</v>
      </c>
      <c r="H22" s="31" t="n">
        <v>6.02</v>
      </c>
      <c r="I22" s="31" t="n">
        <v>39665563</v>
      </c>
      <c r="J22" s="31" t="inlineStr">
        <is>
          <t>500288</t>
        </is>
      </c>
    </row>
    <row r="23">
      <c r="A23" s="31" t="inlineStr">
        <is>
          <t>TBOTEK</t>
        </is>
      </c>
      <c r="B23" s="31" t="inlineStr">
        <is>
          <t>TBO Tek Ltd</t>
        </is>
      </c>
      <c r="C23" s="31" t="inlineStr">
        <is>
          <t>i.t</t>
        </is>
      </c>
      <c r="D23" s="31" t="inlineStr">
        <is>
          <t>travel agencies</t>
        </is>
      </c>
      <c r="E23" s="31" t="inlineStr">
        <is>
          <t>midcap</t>
        </is>
      </c>
      <c r="F23" s="31" t="n">
        <v>15524.8</v>
      </c>
      <c r="G23" s="31" t="n">
        <v>1512</v>
      </c>
      <c r="H23" s="31" t="n">
        <v>5.76</v>
      </c>
      <c r="I23" s="31" t="n">
        <v>359718</v>
      </c>
      <c r="J23" s="31" t="inlineStr">
        <is>
          <t>544174</t>
        </is>
      </c>
    </row>
    <row r="24">
      <c r="A24" s="31" t="inlineStr">
        <is>
          <t>AYMSYNTEX</t>
        </is>
      </c>
      <c r="B24" s="31" t="inlineStr">
        <is>
          <t>Aym Syntex Limited</t>
        </is>
      </c>
      <c r="C24" s="31" t="inlineStr">
        <is>
          <t>textiles</t>
        </is>
      </c>
      <c r="D24" s="31" t="inlineStr">
        <is>
          <t>textiles - processing</t>
        </is>
      </c>
      <c r="E24" s="31" t="inlineStr">
        <is>
          <t>smallcap</t>
        </is>
      </c>
      <c r="F24" s="31" t="n">
        <v>1376.61</v>
      </c>
      <c r="G24" s="31" t="n">
        <v>247.93</v>
      </c>
      <c r="H24" s="31" t="n">
        <v>5.57</v>
      </c>
      <c r="I24" s="31" t="n">
        <v>380698</v>
      </c>
      <c r="J24" s="31" t="inlineStr">
        <is>
          <t>508933</t>
        </is>
      </c>
    </row>
    <row r="25">
      <c r="A25" s="31" t="inlineStr">
        <is>
          <t>MBAPL</t>
        </is>
      </c>
      <c r="B25" s="31" t="inlineStr">
        <is>
          <t>Madhya Bharat Agro Products Ltd</t>
        </is>
      </c>
      <c r="C25" s="31" t="inlineStr">
        <is>
          <t>chemicals</t>
        </is>
      </c>
      <c r="D25" s="31" t="inlineStr">
        <is>
          <t>fertilizers</t>
        </is>
      </c>
      <c r="E25" s="31" t="inlineStr">
        <is>
          <t>smallcap</t>
        </is>
      </c>
      <c r="F25" s="31" t="n">
        <v>4924.63</v>
      </c>
      <c r="G25" s="31" t="n">
        <v>593.25</v>
      </c>
      <c r="H25" s="31" t="n">
        <v>5.56</v>
      </c>
      <c r="I25" s="31" t="n">
        <v>512052</v>
      </c>
      <c r="J25" s="31" t="inlineStr">
        <is>
          <t>538370</t>
        </is>
      </c>
    </row>
    <row r="26">
      <c r="A26" s="31" t="inlineStr">
        <is>
          <t>KILITCH</t>
        </is>
      </c>
      <c r="B26" s="31" t="inlineStr">
        <is>
          <t>Kilitch Drugs (india) Limited</t>
        </is>
      </c>
      <c r="C26" s="31" t="inlineStr">
        <is>
          <t>healthcare</t>
        </is>
      </c>
      <c r="D26" s="31" t="inlineStr">
        <is>
          <t>pharmaceuticals - indian - formulations</t>
        </is>
      </c>
      <c r="E26" s="31" t="inlineStr">
        <is>
          <t>smallcap</t>
        </is>
      </c>
      <c r="F26" s="31" t="n">
        <v>680.8099999999999</v>
      </c>
      <c r="G26" s="31" t="n">
        <v>205.52</v>
      </c>
      <c r="H26" s="31" t="n">
        <v>5.54</v>
      </c>
      <c r="I26" s="31" t="n">
        <v>248229</v>
      </c>
      <c r="J26" s="31" t="inlineStr">
        <is>
          <t>524500</t>
        </is>
      </c>
    </row>
    <row r="27">
      <c r="A27" s="31" t="inlineStr">
        <is>
          <t>PAYTM</t>
        </is>
      </c>
      <c r="B27" s="31" t="inlineStr">
        <is>
          <t>One 97 Communications Ltd</t>
        </is>
      </c>
      <c r="C27" s="31" t="inlineStr">
        <is>
          <t>i.t</t>
        </is>
      </c>
      <c r="D27" s="31" t="inlineStr">
        <is>
          <t>miscellaneous</t>
        </is>
      </c>
      <c r="E27" s="31" t="inlineStr">
        <is>
          <t>largecap</t>
        </is>
      </c>
      <c r="F27" s="31" t="n">
        <v>73061.21000000001</v>
      </c>
      <c r="G27" s="31" t="n">
        <v>1203.7</v>
      </c>
      <c r="H27" s="31" t="n">
        <v>5.45</v>
      </c>
      <c r="I27" s="31" t="n">
        <v>4234770</v>
      </c>
      <c r="J27" s="31" t="inlineStr">
        <is>
          <t>543396</t>
        </is>
      </c>
    </row>
    <row r="28">
      <c r="A28" s="31" t="inlineStr">
        <is>
          <t>PAGEIND</t>
        </is>
      </c>
      <c r="B28" s="31" t="inlineStr">
        <is>
          <t>Page Industries Limited</t>
        </is>
      </c>
      <c r="C28" s="31" t="inlineStr">
        <is>
          <t>consumer discretionary</t>
        </is>
      </c>
      <c r="D28" s="31" t="inlineStr">
        <is>
          <t>textiles - products</t>
        </is>
      </c>
      <c r="E28" s="31" t="inlineStr">
        <is>
          <t>largecap</t>
        </is>
      </c>
      <c r="F28" s="31" t="n">
        <v>46143.58</v>
      </c>
      <c r="G28" s="31" t="n">
        <v>43610</v>
      </c>
      <c r="H28" s="31" t="n">
        <v>5.41</v>
      </c>
      <c r="I28" s="31" t="n">
        <v>86856</v>
      </c>
      <c r="J28" s="31" t="inlineStr">
        <is>
          <t>532827</t>
        </is>
      </c>
    </row>
    <row r="29">
      <c r="A29" s="31" t="inlineStr">
        <is>
          <t>ONMOBILE</t>
        </is>
      </c>
      <c r="B29" s="31" t="inlineStr">
        <is>
          <t>Onmobile Global Limited</t>
        </is>
      </c>
      <c r="C29" s="31" t="inlineStr">
        <is>
          <t>telecom-service</t>
        </is>
      </c>
      <c r="D29" s="31" t="inlineStr">
        <is>
          <t>telecommunications - service provider</t>
        </is>
      </c>
      <c r="E29" s="31" t="inlineStr">
        <is>
          <t>smallcap</t>
        </is>
      </c>
      <c r="F29" s="31" t="n">
        <v>653.34</v>
      </c>
      <c r="G29" s="31" t="n">
        <v>64.73999999999999</v>
      </c>
      <c r="H29" s="31" t="n">
        <v>5.35</v>
      </c>
      <c r="I29" s="31" t="n">
        <v>1224666</v>
      </c>
      <c r="J29" s="31" t="inlineStr">
        <is>
          <t>532944</t>
        </is>
      </c>
    </row>
    <row r="30">
      <c r="A30" s="31" t="inlineStr">
        <is>
          <t>V2RETAIL</t>
        </is>
      </c>
      <c r="B30" s="31" t="inlineStr">
        <is>
          <t>V2 Retail Limited</t>
        </is>
      </c>
      <c r="C30" s="31" t="inlineStr">
        <is>
          <t>consumer discretionary</t>
        </is>
      </c>
      <c r="D30" s="31" t="inlineStr">
        <is>
          <t>textiles - products</t>
        </is>
      </c>
      <c r="E30" s="31" t="inlineStr">
        <is>
          <t>midcap</t>
        </is>
      </c>
      <c r="F30" s="31" t="n">
        <v>8269.620000000001</v>
      </c>
      <c r="G30" s="31" t="n">
        <v>238.44</v>
      </c>
      <c r="H30" s="31" t="n">
        <v>5.14</v>
      </c>
      <c r="I30" s="31" t="n">
        <v>2132979</v>
      </c>
      <c r="J30" s="31" t="inlineStr">
        <is>
          <t>532867</t>
        </is>
      </c>
    </row>
    <row r="31">
      <c r="A31" s="31" t="inlineStr">
        <is>
          <t>CONFIPET</t>
        </is>
      </c>
      <c r="B31" s="31" t="inlineStr">
        <is>
          <t>Confidence Petroleum India Ltd</t>
        </is>
      </c>
      <c r="C31" s="31" t="inlineStr">
        <is>
          <t>miscellaneous</t>
        </is>
      </c>
      <c r="D31" s="31" t="inlineStr">
        <is>
          <t>miscellaneous</t>
        </is>
      </c>
      <c r="E31" s="31" t="inlineStr">
        <is>
          <t>smallcap</t>
        </is>
      </c>
      <c r="F31" s="31" t="n">
        <v>2430.01</v>
      </c>
      <c r="G31" s="31" t="n">
        <v>76.89</v>
      </c>
      <c r="H31" s="31" t="n">
        <v>5.13</v>
      </c>
      <c r="I31" s="31" t="n">
        <v>6505900</v>
      </c>
      <c r="J31" s="31" t="inlineStr">
        <is>
          <t>526829</t>
        </is>
      </c>
    </row>
    <row r="32">
      <c r="A32" s="31" t="inlineStr">
        <is>
          <t>LOKESHMACH</t>
        </is>
      </c>
      <c r="B32" s="31" t="inlineStr">
        <is>
          <t>Lokesh Machines Limited</t>
        </is>
      </c>
      <c r="C32" s="31" t="inlineStr">
        <is>
          <t>industrials</t>
        </is>
      </c>
      <c r="D32" s="31" t="inlineStr">
        <is>
          <t>engineering</t>
        </is>
      </c>
      <c r="E32" s="31" t="inlineStr">
        <is>
          <t>smallcap</t>
        </is>
      </c>
      <c r="F32" s="31" t="n">
        <v>579.49</v>
      </c>
      <c r="G32" s="31" t="n">
        <v>285.7</v>
      </c>
      <c r="H32" s="31" t="n">
        <v>5</v>
      </c>
      <c r="I32" s="31" t="n">
        <v>14358</v>
      </c>
      <c r="J32" s="31" t="inlineStr">
        <is>
          <t>532740</t>
        </is>
      </c>
    </row>
    <row r="33">
      <c r="A33" s="31" t="inlineStr">
        <is>
          <t>BAFNAPH</t>
        </is>
      </c>
      <c r="B33" s="31" t="inlineStr">
        <is>
          <t>Bafna Pharmaceuticals Ltd</t>
        </is>
      </c>
      <c r="C33" s="31" t="inlineStr">
        <is>
          <t>healthcare</t>
        </is>
      </c>
      <c r="D33" s="31" t="inlineStr">
        <is>
          <t>pharmaceuticals - indian - formulations</t>
        </is>
      </c>
      <c r="E33" s="31" t="inlineStr">
        <is>
          <t>smallcap</t>
        </is>
      </c>
      <c r="F33" s="31" t="n">
        <v>507.74</v>
      </c>
      <c r="G33" s="31" t="n">
        <v>225.36</v>
      </c>
      <c r="H33" s="31" t="n">
        <v>5</v>
      </c>
      <c r="I33" s="31" t="n">
        <v>7664</v>
      </c>
      <c r="J33" s="31" t="inlineStr">
        <is>
          <t>532989</t>
        </is>
      </c>
    </row>
    <row r="34">
      <c r="A34" s="31" t="inlineStr">
        <is>
          <t>DEEDEV</t>
        </is>
      </c>
      <c r="B34" s="31" t="inlineStr">
        <is>
          <t>DEE Development Engineers Ltd</t>
        </is>
      </c>
      <c r="C34" s="31" t="inlineStr">
        <is>
          <t>metals &amp; mining</t>
        </is>
      </c>
      <c r="D34" s="31" t="inlineStr">
        <is>
          <t>steel - medium / small</t>
        </is>
      </c>
      <c r="E34" s="31" t="inlineStr">
        <is>
          <t>smallcap</t>
        </is>
      </c>
      <c r="F34" s="31" t="n">
        <v>4456.4</v>
      </c>
      <c r="G34" s="31" t="n">
        <v>675.55</v>
      </c>
      <c r="H34" s="31" t="n">
        <v>5</v>
      </c>
      <c r="I34" s="31" t="n">
        <v>64611</v>
      </c>
      <c r="J34" s="31" t="n"/>
    </row>
    <row r="35">
      <c r="A35" s="31" t="inlineStr">
        <is>
          <t>CEMPRO</t>
        </is>
      </c>
      <c r="B35" s="31" t="inlineStr">
        <is>
          <t>Cemindia Projects Ltd</t>
        </is>
      </c>
      <c r="C35" s="31" t="inlineStr">
        <is>
          <t>realty</t>
        </is>
      </c>
      <c r="D35" s="31" t="inlineStr">
        <is>
          <t>construction</t>
        </is>
      </c>
      <c r="E35" s="31" t="inlineStr">
        <is>
          <t>largecap</t>
        </is>
      </c>
      <c r="F35" s="31" t="n">
        <v>22310.05</v>
      </c>
      <c r="G35" s="31" t="n">
        <v>1363.3</v>
      </c>
      <c r="H35" s="31" t="n">
        <v>4.97</v>
      </c>
      <c r="I35" s="31" t="n">
        <v>800985</v>
      </c>
      <c r="J35" s="31" t="inlineStr">
        <is>
          <t>509496</t>
        </is>
      </c>
    </row>
    <row r="36">
      <c r="A36" s="31" t="inlineStr">
        <is>
          <t>BHAGERIA</t>
        </is>
      </c>
      <c r="B36" s="31" t="inlineStr">
        <is>
          <t>Bhageria Industries Limited</t>
        </is>
      </c>
      <c r="C36" s="31" t="inlineStr">
        <is>
          <t>chemicals</t>
        </is>
      </c>
      <c r="D36" s="31" t="inlineStr">
        <is>
          <t>dyes and pigments</t>
        </is>
      </c>
      <c r="E36" s="31" t="inlineStr">
        <is>
          <t>smallcap</t>
        </is>
      </c>
      <c r="F36" s="31" t="n">
        <v>920.9400000000001</v>
      </c>
      <c r="G36" s="31" t="n">
        <v>221.46</v>
      </c>
      <c r="H36" s="31" t="n">
        <v>4.95</v>
      </c>
      <c r="I36" s="31" t="n">
        <v>57628</v>
      </c>
      <c r="J36" s="31" t="inlineStr">
        <is>
          <t>530803</t>
        </is>
      </c>
    </row>
    <row r="37">
      <c r="A37" s="31" t="inlineStr">
        <is>
          <t>YASHO</t>
        </is>
      </c>
      <c r="B37" s="31" t="inlineStr">
        <is>
          <t>Yasho Industries Ltd</t>
        </is>
      </c>
      <c r="C37" s="31" t="inlineStr">
        <is>
          <t>chemicals</t>
        </is>
      </c>
      <c r="D37" s="31" t="inlineStr">
        <is>
          <t>chemicals</t>
        </is>
      </c>
      <c r="E37" s="31" t="inlineStr">
        <is>
          <t>smallcap</t>
        </is>
      </c>
      <c r="F37" s="31" t="n">
        <v>3525.37</v>
      </c>
      <c r="G37" s="31" t="n">
        <v>3064.7</v>
      </c>
      <c r="H37" s="31" t="n">
        <v>4.82</v>
      </c>
      <c r="I37" s="31" t="n">
        <v>44984</v>
      </c>
      <c r="J37" s="31" t="inlineStr">
        <is>
          <t>541167</t>
        </is>
      </c>
    </row>
    <row r="38">
      <c r="A38" s="31" t="inlineStr">
        <is>
          <t>NAVNETEDUL</t>
        </is>
      </c>
      <c r="B38" s="31" t="inlineStr">
        <is>
          <t>Navneet Education Limited</t>
        </is>
      </c>
      <c r="C38" s="31" t="inlineStr">
        <is>
          <t>miscellaneous</t>
        </is>
      </c>
      <c r="D38" s="31" t="inlineStr">
        <is>
          <t>printing &amp; stationery</t>
        </is>
      </c>
      <c r="E38" s="31" t="inlineStr">
        <is>
          <t>smallcap</t>
        </is>
      </c>
      <c r="F38" s="31" t="n">
        <v>3132.82</v>
      </c>
      <c r="G38" s="31" t="n">
        <v>148.43</v>
      </c>
      <c r="H38" s="31" t="n">
        <v>4.81</v>
      </c>
      <c r="I38" s="31" t="n">
        <v>687662</v>
      </c>
      <c r="J38" s="31" t="inlineStr">
        <is>
          <t>508989</t>
        </is>
      </c>
    </row>
    <row r="39">
      <c r="A39" s="31" t="inlineStr">
        <is>
          <t>MSPL</t>
        </is>
      </c>
      <c r="B39" s="31" t="inlineStr">
        <is>
          <t>Msp Steel &amp; Power Limited</t>
        </is>
      </c>
      <c r="C39" s="31" t="inlineStr">
        <is>
          <t>metals &amp; mining</t>
        </is>
      </c>
      <c r="D39" s="31" t="inlineStr">
        <is>
          <t>steel - medium / small</t>
        </is>
      </c>
      <c r="E39" s="31" t="inlineStr">
        <is>
          <t>smallcap</t>
        </is>
      </c>
      <c r="F39" s="31" t="n">
        <v>2304.6</v>
      </c>
      <c r="G39" s="31" t="n">
        <v>42.61</v>
      </c>
      <c r="H39" s="31" t="n">
        <v>4.8</v>
      </c>
      <c r="I39" s="31" t="n">
        <v>1347092</v>
      </c>
      <c r="J39" s="31" t="inlineStr">
        <is>
          <t>532650</t>
        </is>
      </c>
    </row>
    <row r="40">
      <c r="A40" s="31" t="inlineStr">
        <is>
          <t>SVLL</t>
        </is>
      </c>
      <c r="B40" s="31" t="inlineStr">
        <is>
          <t>Shree Vasu Logistics Ltd</t>
        </is>
      </c>
      <c r="C40" s="31" t="inlineStr">
        <is>
          <t>transportation</t>
        </is>
      </c>
      <c r="D40" s="31" t="inlineStr">
        <is>
          <t>miscellaneous</t>
        </is>
      </c>
      <c r="E40" s="31" t="inlineStr">
        <is>
          <t>smallcap</t>
        </is>
      </c>
      <c r="F40" s="31" t="n">
        <v>787.78</v>
      </c>
      <c r="G40" s="31" t="n">
        <v>718</v>
      </c>
      <c r="H40" s="31" t="n">
        <v>4.76</v>
      </c>
      <c r="I40" s="31" t="n">
        <v>1907</v>
      </c>
      <c r="J40" s="31" t="inlineStr">
        <is>
          <t>535084</t>
        </is>
      </c>
    </row>
    <row r="41">
      <c r="A41" s="31" t="inlineStr">
        <is>
          <t>SIGMAADV</t>
        </is>
      </c>
      <c r="B41" s="31" t="inlineStr">
        <is>
          <t>Sigma Advanced System Ltd</t>
        </is>
      </c>
      <c r="C41" s="31" t="inlineStr">
        <is>
          <t>aerospace &amp; defence</t>
        </is>
      </c>
      <c r="D41" s="31" t="inlineStr">
        <is>
          <t>electronics - components</t>
        </is>
      </c>
      <c r="E41" s="31" t="inlineStr">
        <is>
          <t>midcap</t>
        </is>
      </c>
      <c r="F41" s="31" t="n">
        <v>9783.07</v>
      </c>
      <c r="G41" s="31" t="n">
        <v>581.35</v>
      </c>
      <c r="H41" s="31" t="n">
        <v>4.73</v>
      </c>
      <c r="I41" s="31" t="n">
        <v>815063</v>
      </c>
      <c r="J41" s="31" t="inlineStr">
        <is>
          <t>532408</t>
        </is>
      </c>
    </row>
    <row r="42">
      <c r="A42" s="31" t="inlineStr">
        <is>
          <t>SKIPPER</t>
        </is>
      </c>
      <c r="B42" s="31" t="inlineStr">
        <is>
          <t>Skipper Limited</t>
        </is>
      </c>
      <c r="C42" s="31" t="inlineStr">
        <is>
          <t>industrials</t>
        </is>
      </c>
      <c r="D42" s="31" t="inlineStr">
        <is>
          <t>engineering</t>
        </is>
      </c>
      <c r="E42" s="31" t="inlineStr">
        <is>
          <t>midcap</t>
        </is>
      </c>
      <c r="F42" s="31" t="n">
        <v>6013.83</v>
      </c>
      <c r="G42" s="31" t="n">
        <v>557.4</v>
      </c>
      <c r="H42" s="31" t="n">
        <v>4.65</v>
      </c>
      <c r="I42" s="31" t="n">
        <v>816212</v>
      </c>
      <c r="J42" s="31" t="inlineStr">
        <is>
          <t>538562</t>
        </is>
      </c>
    </row>
    <row r="43">
      <c r="A43" s="31" t="inlineStr">
        <is>
          <t>SHRIPISTON</t>
        </is>
      </c>
      <c r="B43" s="31" t="inlineStr">
        <is>
          <t>Shriram Pistons &amp; Rings Limited</t>
        </is>
      </c>
      <c r="C43" s="31" t="inlineStr">
        <is>
          <t>auto</t>
        </is>
      </c>
      <c r="D43" s="31" t="inlineStr">
        <is>
          <t>auto ancillaries</t>
        </is>
      </c>
      <c r="E43" s="31" t="inlineStr">
        <is>
          <t>midcap</t>
        </is>
      </c>
      <c r="F43" s="31" t="n">
        <v>18445.42</v>
      </c>
      <c r="G43" s="31" t="n">
        <v>4380.2</v>
      </c>
      <c r="H43" s="31" t="n">
        <v>4.6</v>
      </c>
      <c r="I43" s="31" t="n">
        <v>122417</v>
      </c>
      <c r="J43" s="31" t="n"/>
    </row>
    <row r="44">
      <c r="A44" s="31" t="inlineStr">
        <is>
          <t>CARTRADE</t>
        </is>
      </c>
      <c r="B44" s="31" t="inlineStr">
        <is>
          <t>Cartrade Tech Ltd</t>
        </is>
      </c>
      <c r="C44" s="31" t="inlineStr">
        <is>
          <t>consumer discretionary</t>
        </is>
      </c>
      <c r="D44" s="31" t="inlineStr">
        <is>
          <t>miscellaneous</t>
        </is>
      </c>
      <c r="E44" s="31" t="inlineStr">
        <is>
          <t>midcap</t>
        </is>
      </c>
      <c r="F44" s="31" t="n">
        <v>12893.55</v>
      </c>
      <c r="G44" s="31" t="n">
        <v>2813.4</v>
      </c>
      <c r="H44" s="31" t="n">
        <v>4.47</v>
      </c>
      <c r="I44" s="31" t="n">
        <v>1509331</v>
      </c>
      <c r="J44" s="31" t="inlineStr">
        <is>
          <t>543333</t>
        </is>
      </c>
    </row>
    <row r="45">
      <c r="A45" s="31" t="inlineStr">
        <is>
          <t>VENUSPIPES</t>
        </is>
      </c>
      <c r="B45" s="31" t="inlineStr">
        <is>
          <t>Venus Pipes &amp; Tubes Ltd</t>
        </is>
      </c>
      <c r="C45" s="31" t="inlineStr">
        <is>
          <t>metals &amp; mining</t>
        </is>
      </c>
      <c r="D45" s="31" t="inlineStr">
        <is>
          <t>steel - medium / small</t>
        </is>
      </c>
      <c r="E45" s="31" t="inlineStr">
        <is>
          <t>smallcap</t>
        </is>
      </c>
      <c r="F45" s="31" t="n">
        <v>3584.92</v>
      </c>
      <c r="G45" s="31" t="n">
        <v>1807</v>
      </c>
      <c r="H45" s="31" t="n">
        <v>4.42</v>
      </c>
      <c r="I45" s="31" t="n">
        <v>283248</v>
      </c>
      <c r="J45" s="31" t="inlineStr">
        <is>
          <t>543528</t>
        </is>
      </c>
    </row>
    <row r="46">
      <c r="A46" s="31" t="inlineStr">
        <is>
          <t>CEATLTD</t>
        </is>
      </c>
      <c r="B46" s="31" t="inlineStr">
        <is>
          <t>Ceat Limited</t>
        </is>
      </c>
      <c r="C46" s="31" t="inlineStr">
        <is>
          <t>auto</t>
        </is>
      </c>
      <c r="D46" s="31" t="inlineStr">
        <is>
          <t>tyres</t>
        </is>
      </c>
      <c r="E46" s="31" t="inlineStr">
        <is>
          <t>midcap</t>
        </is>
      </c>
      <c r="F46" s="31" t="n">
        <v>14087.15</v>
      </c>
      <c r="G46" s="31" t="n">
        <v>3634.8</v>
      </c>
      <c r="H46" s="31" t="n">
        <v>4.37</v>
      </c>
      <c r="I46" s="31" t="n">
        <v>289501</v>
      </c>
      <c r="J46" s="31" t="inlineStr">
        <is>
          <t>500878</t>
        </is>
      </c>
    </row>
    <row r="47">
      <c r="A47" s="31" t="inlineStr">
        <is>
          <t>INDIAGLYCO</t>
        </is>
      </c>
      <c r="B47" s="31" t="inlineStr">
        <is>
          <t>India Glycols Limited</t>
        </is>
      </c>
      <c r="C47" s="31" t="inlineStr">
        <is>
          <t>fmcg</t>
        </is>
      </c>
      <c r="D47" s="31" t="inlineStr">
        <is>
          <t>breweries &amp; distilleries</t>
        </is>
      </c>
      <c r="E47" s="31" t="inlineStr">
        <is>
          <t>midcap</t>
        </is>
      </c>
      <c r="F47" s="31" t="n">
        <v>6611.19</v>
      </c>
      <c r="G47" s="31" t="n">
        <v>1028.3</v>
      </c>
      <c r="H47" s="31" t="n">
        <v>4.25</v>
      </c>
      <c r="I47" s="31" t="n">
        <v>273548</v>
      </c>
      <c r="J47" s="31" t="inlineStr">
        <is>
          <t>500201</t>
        </is>
      </c>
    </row>
    <row r="48">
      <c r="A48" s="31" t="inlineStr">
        <is>
          <t>VIYASH</t>
        </is>
      </c>
      <c r="B48" s="31" t="inlineStr">
        <is>
          <t>Viyash Scientific Ltd</t>
        </is>
      </c>
      <c r="C48" s="31" t="inlineStr">
        <is>
          <t>healthcare</t>
        </is>
      </c>
      <c r="D48" s="31" t="inlineStr">
        <is>
          <t>pharmaceuticals - indian - bulk drugs &amp; formln</t>
        </is>
      </c>
      <c r="E48" s="31" t="inlineStr">
        <is>
          <t>midcap</t>
        </is>
      </c>
      <c r="F48" s="31" t="n">
        <v>12089.85</v>
      </c>
      <c r="G48" s="31" t="n">
        <v>288.2</v>
      </c>
      <c r="H48" s="31" t="n">
        <v>4.14</v>
      </c>
      <c r="I48" s="31" t="n">
        <v>5492486</v>
      </c>
      <c r="J48" s="31" t="inlineStr">
        <is>
          <t>512529</t>
        </is>
      </c>
    </row>
    <row r="49">
      <c r="A49" s="31" t="inlineStr">
        <is>
          <t>WELSPUNLIV</t>
        </is>
      </c>
      <c r="B49" s="31" t="inlineStr">
        <is>
          <t>Welspun Living Ltd</t>
        </is>
      </c>
      <c r="C49" s="31" t="inlineStr">
        <is>
          <t>textiles</t>
        </is>
      </c>
      <c r="D49" s="31" t="inlineStr">
        <is>
          <t>textiles - products</t>
        </is>
      </c>
      <c r="E49" s="31" t="inlineStr">
        <is>
          <t>midcap</t>
        </is>
      </c>
      <c r="F49" s="31" t="n">
        <v>15235.18</v>
      </c>
      <c r="G49" s="31" t="n">
        <v>165.26</v>
      </c>
      <c r="H49" s="31" t="n">
        <v>4.04</v>
      </c>
      <c r="I49" s="31" t="n">
        <v>5057278</v>
      </c>
      <c r="J49" s="31" t="inlineStr">
        <is>
          <t>514162</t>
        </is>
      </c>
    </row>
    <row r="50">
      <c r="A50" s="31" t="inlineStr">
        <is>
          <t>BANSALWIRE</t>
        </is>
      </c>
      <c r="B50" s="31" t="inlineStr">
        <is>
          <t>Bansal Wire Industries Ltd</t>
        </is>
      </c>
      <c r="C50" s="31" t="inlineStr">
        <is>
          <t>metals &amp; mining</t>
        </is>
      </c>
      <c r="D50" s="31" t="inlineStr">
        <is>
          <t>steel - medium / small</t>
        </is>
      </c>
      <c r="E50" s="31" t="inlineStr">
        <is>
          <t>midcap</t>
        </is>
      </c>
      <c r="F50" s="31" t="n">
        <v>5328.38</v>
      </c>
      <c r="G50" s="31" t="n">
        <v>354</v>
      </c>
      <c r="H50" s="31" t="n">
        <v>4.01</v>
      </c>
      <c r="I50" s="31" t="n">
        <v>642350</v>
      </c>
      <c r="J50" s="31" t="inlineStr">
        <is>
          <t>544209</t>
        </is>
      </c>
    </row>
    <row r="51">
      <c r="A51" s="31" t="inlineStr">
        <is>
          <t>PRESTIGE</t>
        </is>
      </c>
      <c r="B51" s="31" t="inlineStr">
        <is>
          <t>Prestige Estates Projects Limited</t>
        </is>
      </c>
      <c r="C51" s="31" t="inlineStr">
        <is>
          <t>realty</t>
        </is>
      </c>
      <c r="D51" s="31" t="inlineStr">
        <is>
          <t>construction</t>
        </is>
      </c>
      <c r="E51" s="31" t="inlineStr">
        <is>
          <t>largecap</t>
        </is>
      </c>
      <c r="F51" s="31" t="n">
        <v>67392.05</v>
      </c>
      <c r="G51" s="31" t="n">
        <v>1625.3</v>
      </c>
      <c r="H51" s="31" t="n">
        <v>3.88</v>
      </c>
      <c r="I51" s="31" t="n">
        <v>1058054</v>
      </c>
      <c r="J51" s="31" t="inlineStr">
        <is>
          <t>533274</t>
        </is>
      </c>
    </row>
    <row r="52">
      <c r="A52" s="31" t="inlineStr">
        <is>
          <t>MGEL</t>
        </is>
      </c>
      <c r="B52" s="31" t="inlineStr">
        <is>
          <t>Mangalam Global Enterprise Ltd</t>
        </is>
      </c>
      <c r="C52" s="31" t="inlineStr">
        <is>
          <t>services</t>
        </is>
      </c>
      <c r="D52" s="31" t="inlineStr">
        <is>
          <t>trading</t>
        </is>
      </c>
      <c r="E52" s="31" t="inlineStr">
        <is>
          <t>smallcap</t>
        </is>
      </c>
      <c r="F52" s="31" t="n">
        <v>524.3200000000001</v>
      </c>
      <c r="G52" s="31" t="n">
        <v>16.52</v>
      </c>
      <c r="H52" s="31" t="n">
        <v>3.83</v>
      </c>
      <c r="I52" s="31" t="n">
        <v>387589</v>
      </c>
      <c r="J52" s="31" t="inlineStr">
        <is>
          <t>535349</t>
        </is>
      </c>
    </row>
    <row r="53">
      <c r="A53" s="31" t="inlineStr">
        <is>
          <t>AVADHSUGAR</t>
        </is>
      </c>
      <c r="B53" s="31" t="inlineStr">
        <is>
          <t>Avadh Sugar &amp; Energy</t>
        </is>
      </c>
      <c r="C53" s="31" t="inlineStr">
        <is>
          <t>fmcg</t>
        </is>
      </c>
      <c r="D53" s="31" t="inlineStr">
        <is>
          <t>sugar</t>
        </is>
      </c>
      <c r="E53" s="31" t="inlineStr">
        <is>
          <t>smallcap</t>
        </is>
      </c>
      <c r="F53" s="31" t="n">
        <v>928.05</v>
      </c>
      <c r="G53" s="31" t="n">
        <v>481.35</v>
      </c>
      <c r="H53" s="31" t="n">
        <v>3.83</v>
      </c>
      <c r="I53" s="31" t="n">
        <v>15435</v>
      </c>
      <c r="J53" s="31" t="inlineStr">
        <is>
          <t>540649</t>
        </is>
      </c>
    </row>
    <row r="54">
      <c r="A54" s="31" t="inlineStr">
        <is>
          <t>EDELWEISS</t>
        </is>
      </c>
      <c r="B54" s="31" t="inlineStr">
        <is>
          <t>Edelweiss Financial Services Limited</t>
        </is>
      </c>
      <c r="C54" s="31" t="inlineStr">
        <is>
          <t>financials</t>
        </is>
      </c>
      <c r="D54" s="31" t="inlineStr">
        <is>
          <t>finance &amp; investments</t>
        </is>
      </c>
      <c r="E54" s="31" t="inlineStr">
        <is>
          <t>midcap</t>
        </is>
      </c>
      <c r="F54" s="31" t="n">
        <v>11435.05</v>
      </c>
      <c r="G54" s="31" t="n">
        <v>125.44</v>
      </c>
      <c r="H54" s="31" t="n">
        <v>3.83</v>
      </c>
      <c r="I54" s="31" t="n">
        <v>4016386</v>
      </c>
      <c r="J54" s="31" t="inlineStr">
        <is>
          <t>532922</t>
        </is>
      </c>
    </row>
    <row r="55">
      <c r="A55" s="31" t="inlineStr">
        <is>
          <t>UJJIVANSFB</t>
        </is>
      </c>
      <c r="B55" s="31" t="inlineStr">
        <is>
          <t>Ujjivan Small Finance Bank Ltd</t>
        </is>
      </c>
      <c r="C55" s="31" t="inlineStr">
        <is>
          <t>bank</t>
        </is>
      </c>
      <c r="D55" s="31" t="inlineStr">
        <is>
          <t>banks - private sector</t>
        </is>
      </c>
      <c r="E55" s="31" t="inlineStr">
        <is>
          <t>midcap</t>
        </is>
      </c>
      <c r="F55" s="31" t="n">
        <v>11471.73</v>
      </c>
      <c r="G55" s="31" t="n">
        <v>61.31</v>
      </c>
      <c r="H55" s="31" t="n">
        <v>3.83</v>
      </c>
      <c r="I55" s="31" t="n">
        <v>24560705</v>
      </c>
      <c r="J55" s="31" t="inlineStr">
        <is>
          <t>542904</t>
        </is>
      </c>
    </row>
    <row r="56">
      <c r="A56" s="31" t="inlineStr">
        <is>
          <t>KAMDHENU</t>
        </is>
      </c>
      <c r="B56" s="31" t="inlineStr">
        <is>
          <t>Kamdhenu Limited</t>
        </is>
      </c>
      <c r="C56" s="31" t="inlineStr">
        <is>
          <t>metals &amp; mining</t>
        </is>
      </c>
      <c r="D56" s="31" t="inlineStr">
        <is>
          <t>steel - medium / small</t>
        </is>
      </c>
      <c r="E56" s="31" t="inlineStr">
        <is>
          <t>smallcap</t>
        </is>
      </c>
      <c r="F56" s="31" t="n">
        <v>844.52</v>
      </c>
      <c r="G56" s="31" t="n">
        <v>31.1</v>
      </c>
      <c r="H56" s="31" t="n">
        <v>3.81</v>
      </c>
      <c r="I56" s="31" t="n">
        <v>1613549</v>
      </c>
      <c r="J56" s="31" t="inlineStr">
        <is>
          <t>532741</t>
        </is>
      </c>
    </row>
    <row r="57">
      <c r="A57" s="31" t="inlineStr">
        <is>
          <t>GREENPLY</t>
        </is>
      </c>
      <c r="B57" s="31" t="inlineStr">
        <is>
          <t>Greenply Industries Limited</t>
        </is>
      </c>
      <c r="C57" s="31" t="inlineStr">
        <is>
          <t>building materials</t>
        </is>
      </c>
      <c r="D57" s="31" t="inlineStr">
        <is>
          <t>miscellaneous</t>
        </is>
      </c>
      <c r="E57" s="31" t="inlineStr">
        <is>
          <t>smallcap</t>
        </is>
      </c>
      <c r="F57" s="31" t="n">
        <v>3705.09</v>
      </c>
      <c r="G57" s="31" t="n">
        <v>307.7</v>
      </c>
      <c r="H57" s="31" t="n">
        <v>3.73</v>
      </c>
      <c r="I57" s="31" t="n">
        <v>833541</v>
      </c>
      <c r="J57" s="31" t="inlineStr">
        <is>
          <t>526797</t>
        </is>
      </c>
    </row>
    <row r="58">
      <c r="A58" s="31" t="inlineStr">
        <is>
          <t>RML</t>
        </is>
      </c>
      <c r="B58" s="31" t="inlineStr">
        <is>
          <t>Rane (madras) Limited</t>
        </is>
      </c>
      <c r="C58" s="31" t="inlineStr">
        <is>
          <t>auto</t>
        </is>
      </c>
      <c r="D58" s="31" t="inlineStr">
        <is>
          <t>auto ancillaries</t>
        </is>
      </c>
      <c r="E58" s="31" t="inlineStr">
        <is>
          <t>smallcap</t>
        </is>
      </c>
      <c r="F58" s="31" t="n">
        <v>3194.44</v>
      </c>
      <c r="G58" s="31" t="n">
        <v>1199</v>
      </c>
      <c r="H58" s="31" t="n">
        <v>3.73</v>
      </c>
      <c r="I58" s="31" t="n">
        <v>369813</v>
      </c>
      <c r="J58" s="31" t="inlineStr">
        <is>
          <t>532661</t>
        </is>
      </c>
    </row>
    <row r="59">
      <c r="A59" s="31" t="inlineStr">
        <is>
          <t>WABAG</t>
        </is>
      </c>
      <c r="B59" s="31" t="inlineStr">
        <is>
          <t>Va Tech Wabag Limited</t>
        </is>
      </c>
      <c r="C59" s="31" t="inlineStr">
        <is>
          <t>realty</t>
        </is>
      </c>
      <c r="D59" s="31" t="inlineStr">
        <is>
          <t>engineering - turnkey services</t>
        </is>
      </c>
      <c r="E59" s="31" t="inlineStr">
        <is>
          <t>midcap</t>
        </is>
      </c>
      <c r="F59" s="31" t="n">
        <v>12518.62</v>
      </c>
      <c r="G59" s="31" t="n">
        <v>2082.8</v>
      </c>
      <c r="H59" s="31" t="n">
        <v>3.67</v>
      </c>
      <c r="I59" s="31" t="n">
        <v>1427028</v>
      </c>
      <c r="J59" s="31" t="inlineStr">
        <is>
          <t>533269</t>
        </is>
      </c>
    </row>
    <row r="60">
      <c r="A60" s="31" t="inlineStr">
        <is>
          <t>GRWRHITECH</t>
        </is>
      </c>
      <c r="B60" s="31" t="inlineStr">
        <is>
          <t>Garware Hi Tech Films Ltd</t>
        </is>
      </c>
      <c r="C60" s="31" t="inlineStr">
        <is>
          <t>industrials</t>
        </is>
      </c>
      <c r="D60" s="31" t="inlineStr">
        <is>
          <t>packaging</t>
        </is>
      </c>
      <c r="E60" s="31" t="inlineStr">
        <is>
          <t>midcap</t>
        </is>
      </c>
      <c r="F60" s="31" t="n">
        <v>15513.43</v>
      </c>
      <c r="G60" s="31" t="n">
        <v>6918.5</v>
      </c>
      <c r="H60" s="31" t="n">
        <v>3.61</v>
      </c>
      <c r="I60" s="31" t="n">
        <v>59606</v>
      </c>
      <c r="J60" s="31" t="inlineStr">
        <is>
          <t>500655</t>
        </is>
      </c>
    </row>
    <row r="61">
      <c r="A61" s="31" t="inlineStr">
        <is>
          <t>PHOENIXLTD</t>
        </is>
      </c>
      <c r="B61" s="31" t="inlineStr">
        <is>
          <t>The Phoenix Mills Limited</t>
        </is>
      </c>
      <c r="C61" s="31" t="inlineStr">
        <is>
          <t>realty</t>
        </is>
      </c>
      <c r="D61" s="31" t="inlineStr">
        <is>
          <t>construction</t>
        </is>
      </c>
      <c r="E61" s="31" t="inlineStr">
        <is>
          <t>largecap</t>
        </is>
      </c>
      <c r="F61" s="31" t="n">
        <v>69688.67999999999</v>
      </c>
      <c r="G61" s="31" t="n">
        <v>2018.5</v>
      </c>
      <c r="H61" s="31" t="n">
        <v>3.59</v>
      </c>
      <c r="I61" s="31" t="n">
        <v>836239</v>
      </c>
      <c r="J61" s="31" t="inlineStr">
        <is>
          <t>503100</t>
        </is>
      </c>
    </row>
    <row r="62">
      <c r="A62" s="31" t="inlineStr">
        <is>
          <t>PGIL</t>
        </is>
      </c>
      <c r="B62" s="31" t="inlineStr">
        <is>
          <t>Pearl Global Industries Limited</t>
        </is>
      </c>
      <c r="C62" s="31" t="inlineStr">
        <is>
          <t>consumer discretionary</t>
        </is>
      </c>
      <c r="D62" s="31" t="inlineStr">
        <is>
          <t>textiles - products</t>
        </is>
      </c>
      <c r="E62" s="31" t="inlineStr">
        <is>
          <t>midcap</t>
        </is>
      </c>
      <c r="F62" s="31" t="n">
        <v>9301.190000000001</v>
      </c>
      <c r="G62" s="31" t="n">
        <v>2088</v>
      </c>
      <c r="H62" s="31" t="n">
        <v>3.59</v>
      </c>
      <c r="I62" s="31" t="n">
        <v>165232</v>
      </c>
      <c r="J62" s="31" t="inlineStr">
        <is>
          <t>532808</t>
        </is>
      </c>
    </row>
    <row r="63">
      <c r="A63" s="31" t="inlineStr">
        <is>
          <t>AEROFLEX</t>
        </is>
      </c>
      <c r="B63" s="31" t="inlineStr">
        <is>
          <t>Aeroflex Industries Ltd</t>
        </is>
      </c>
      <c r="C63" s="31" t="inlineStr">
        <is>
          <t>metals &amp; mining</t>
        </is>
      </c>
      <c r="D63" s="31" t="inlineStr">
        <is>
          <t>steel - medium / small</t>
        </is>
      </c>
      <c r="E63" s="31" t="inlineStr">
        <is>
          <t>midcap</t>
        </is>
      </c>
      <c r="F63" s="31" t="n">
        <v>6240.72</v>
      </c>
      <c r="G63" s="31" t="n">
        <v>488.5</v>
      </c>
      <c r="H63" s="31" t="n">
        <v>3.58</v>
      </c>
      <c r="I63" s="31" t="n">
        <v>2138879</v>
      </c>
      <c r="J63" s="31" t="inlineStr">
        <is>
          <t>543972</t>
        </is>
      </c>
    </row>
    <row r="64">
      <c r="A64" s="31" t="inlineStr">
        <is>
          <t>CUB</t>
        </is>
      </c>
      <c r="B64" s="31" t="inlineStr">
        <is>
          <t>City Union Bank Limited</t>
        </is>
      </c>
      <c r="C64" s="31" t="inlineStr">
        <is>
          <t>bank</t>
        </is>
      </c>
      <c r="D64" s="31" t="inlineStr">
        <is>
          <t>banks - private sector</t>
        </is>
      </c>
      <c r="E64" s="31" t="inlineStr">
        <is>
          <t>midcap</t>
        </is>
      </c>
      <c r="F64" s="31" t="n">
        <v>15499.97</v>
      </c>
      <c r="G64" s="31" t="n">
        <v>216.05</v>
      </c>
      <c r="H64" s="31" t="n">
        <v>3.57</v>
      </c>
      <c r="I64" s="31" t="n">
        <v>3912286</v>
      </c>
      <c r="J64" s="31" t="inlineStr">
        <is>
          <t>532210</t>
        </is>
      </c>
    </row>
    <row r="65">
      <c r="A65" s="31" t="inlineStr">
        <is>
          <t>ADANIENT</t>
        </is>
      </c>
      <c r="B65" s="31" t="inlineStr">
        <is>
          <t>Adani Enterprises Limited</t>
        </is>
      </c>
      <c r="C65" s="31" t="inlineStr">
        <is>
          <t>services</t>
        </is>
      </c>
      <c r="D65" s="31" t="inlineStr">
        <is>
          <t>trading</t>
        </is>
      </c>
      <c r="E65" s="31" t="inlineStr">
        <is>
          <t>largecap</t>
        </is>
      </c>
      <c r="F65" s="31" t="n">
        <v>392458.38</v>
      </c>
      <c r="G65" s="31" t="n">
        <v>3143.6</v>
      </c>
      <c r="H65" s="31" t="n">
        <v>3.54</v>
      </c>
      <c r="I65" s="31" t="n">
        <v>3415655</v>
      </c>
      <c r="J65" s="31" t="inlineStr">
        <is>
          <t>512599</t>
        </is>
      </c>
    </row>
    <row r="66">
      <c r="A66" s="31" t="inlineStr">
        <is>
          <t>HDFCAMC</t>
        </is>
      </c>
      <c r="B66" s="31" t="inlineStr">
        <is>
          <t>HDFC Asset Management Company Ltd</t>
        </is>
      </c>
      <c r="C66" s="31" t="inlineStr">
        <is>
          <t>financials</t>
        </is>
      </c>
      <c r="D66" s="31" t="inlineStr">
        <is>
          <t>finance &amp; investments</t>
        </is>
      </c>
      <c r="E66" s="31" t="inlineStr">
        <is>
          <t>largecap</t>
        </is>
      </c>
      <c r="F66" s="31" t="n">
        <v>113663.14</v>
      </c>
      <c r="G66" s="31" t="n">
        <v>2745.8</v>
      </c>
      <c r="H66" s="31" t="n">
        <v>3.49</v>
      </c>
      <c r="I66" s="31" t="n">
        <v>1139695</v>
      </c>
      <c r="J66" s="31" t="inlineStr">
        <is>
          <t>541729</t>
        </is>
      </c>
    </row>
    <row r="67">
      <c r="A67" s="31" t="inlineStr">
        <is>
          <t>NESTLEIND</t>
        </is>
      </c>
      <c r="B67" s="31" t="inlineStr">
        <is>
          <t>Nestle India Limited</t>
        </is>
      </c>
      <c r="C67" s="31" t="inlineStr">
        <is>
          <t>fmcg</t>
        </is>
      </c>
      <c r="D67" s="31" t="inlineStr">
        <is>
          <t>food - processing - mnc</t>
        </is>
      </c>
      <c r="E67" s="31" t="inlineStr">
        <is>
          <t>largecap</t>
        </is>
      </c>
      <c r="F67" s="31" t="n">
        <v>270966.73</v>
      </c>
      <c r="G67" s="31" t="n">
        <v>1453.8</v>
      </c>
      <c r="H67" s="31" t="n">
        <v>3.46</v>
      </c>
      <c r="I67" s="31" t="n">
        <v>2672318</v>
      </c>
      <c r="J67" s="31" t="inlineStr">
        <is>
          <t>500790</t>
        </is>
      </c>
    </row>
    <row r="68">
      <c r="A68" s="31" t="inlineStr">
        <is>
          <t>SPANDANA</t>
        </is>
      </c>
      <c r="B68" s="31" t="inlineStr">
        <is>
          <t>Spandana Sphoorty Financial Ltd</t>
        </is>
      </c>
      <c r="C68" s="31" t="inlineStr">
        <is>
          <t>financials</t>
        </is>
      </c>
      <c r="D68" s="31" t="inlineStr">
        <is>
          <t>finance &amp; investments</t>
        </is>
      </c>
      <c r="E68" s="31" t="inlineStr">
        <is>
          <t>smallcap</t>
        </is>
      </c>
      <c r="F68" s="31" t="n">
        <v>2380.86</v>
      </c>
      <c r="G68" s="31" t="n">
        <v>277.85</v>
      </c>
      <c r="H68" s="31" t="n">
        <v>3.44</v>
      </c>
      <c r="I68" s="31" t="n">
        <v>357649</v>
      </c>
      <c r="J68" s="31" t="inlineStr">
        <is>
          <t>542759</t>
        </is>
      </c>
    </row>
    <row r="69">
      <c r="A69" s="31" t="inlineStr">
        <is>
          <t>RPEL</t>
        </is>
      </c>
      <c r="B69" s="31" t="inlineStr">
        <is>
          <t>Raghav Productivity Enhancers Ltd</t>
        </is>
      </c>
      <c r="C69" s="31" t="inlineStr">
        <is>
          <t>building materials</t>
        </is>
      </c>
      <c r="D69" s="31" t="inlineStr">
        <is>
          <t>refractories / intermediates</t>
        </is>
      </c>
      <c r="E69" s="31" t="inlineStr">
        <is>
          <t>midcap</t>
        </is>
      </c>
      <c r="F69" s="31" t="n">
        <v>5527.8</v>
      </c>
      <c r="G69" s="31" t="n">
        <v>1245.2</v>
      </c>
      <c r="H69" s="31" t="n">
        <v>3.42</v>
      </c>
      <c r="I69" s="31" t="n">
        <v>105283</v>
      </c>
      <c r="J69" s="31" t="inlineStr">
        <is>
          <t>539837</t>
        </is>
      </c>
    </row>
    <row r="70">
      <c r="A70" s="31" t="inlineStr">
        <is>
          <t>POLICYBZR</t>
        </is>
      </c>
      <c r="B70" s="31" t="inlineStr">
        <is>
          <t>PB Fintech Ltd</t>
        </is>
      </c>
      <c r="C70" s="31" t="inlineStr">
        <is>
          <t>i.t</t>
        </is>
      </c>
      <c r="D70" s="31" t="inlineStr">
        <is>
          <t>computers - software - medium / small</t>
        </is>
      </c>
      <c r="E70" s="31" t="inlineStr">
        <is>
          <t>largecap</t>
        </is>
      </c>
      <c r="F70" s="31" t="n">
        <v>75354.19</v>
      </c>
      <c r="G70" s="31" t="n">
        <v>1684.2</v>
      </c>
      <c r="H70" s="31" t="n">
        <v>3.41</v>
      </c>
      <c r="I70" s="31" t="n">
        <v>1056784</v>
      </c>
      <c r="J70" s="31" t="inlineStr">
        <is>
          <t>543390</t>
        </is>
      </c>
    </row>
    <row r="71">
      <c r="A71" s="31" t="inlineStr">
        <is>
          <t>PSPPROJECT</t>
        </is>
      </c>
      <c r="B71" s="31" t="inlineStr">
        <is>
          <t>PSP Projects Ltd</t>
        </is>
      </c>
      <c r="C71" s="31" t="inlineStr">
        <is>
          <t>realty</t>
        </is>
      </c>
      <c r="D71" s="31" t="inlineStr">
        <is>
          <t>construction</t>
        </is>
      </c>
      <c r="E71" s="31" t="inlineStr">
        <is>
          <t>smallcap</t>
        </is>
      </c>
      <c r="F71" s="31" t="n">
        <v>3967.35</v>
      </c>
      <c r="G71" s="31" t="n">
        <v>1034</v>
      </c>
      <c r="H71" s="31" t="n">
        <v>3.32</v>
      </c>
      <c r="I71" s="31" t="n">
        <v>238447</v>
      </c>
      <c r="J71" s="31" t="inlineStr">
        <is>
          <t>540544</t>
        </is>
      </c>
    </row>
    <row r="72">
      <c r="A72" s="31" t="inlineStr">
        <is>
          <t>RANEHOLDIN</t>
        </is>
      </c>
      <c r="B72" s="31" t="inlineStr">
        <is>
          <t>Rane Holdings Limited</t>
        </is>
      </c>
      <c r="C72" s="31" t="inlineStr">
        <is>
          <t>financials</t>
        </is>
      </c>
      <c r="D72" s="31" t="inlineStr">
        <is>
          <t>finance &amp; investments</t>
        </is>
      </c>
      <c r="E72" s="31" t="inlineStr">
        <is>
          <t>smallcap</t>
        </is>
      </c>
      <c r="F72" s="31" t="n">
        <v>2378.97</v>
      </c>
      <c r="G72" s="31" t="n">
        <v>1720.3</v>
      </c>
      <c r="H72" s="31" t="n">
        <v>3.25</v>
      </c>
      <c r="I72" s="31" t="n">
        <v>35591</v>
      </c>
      <c r="J72" s="31" t="inlineStr">
        <is>
          <t>505800</t>
        </is>
      </c>
    </row>
    <row r="73">
      <c r="A73" s="31" t="inlineStr">
        <is>
          <t>SPECTRUM</t>
        </is>
      </c>
      <c r="B73" s="31" t="inlineStr">
        <is>
          <t>Spectrum Electrical Industries Ltd</t>
        </is>
      </c>
      <c r="C73" s="31" t="inlineStr">
        <is>
          <t>industrials</t>
        </is>
      </c>
      <c r="D73" s="31" t="inlineStr">
        <is>
          <t>electric equipment</t>
        </is>
      </c>
      <c r="E73" s="31" t="inlineStr">
        <is>
          <t>smallcap</t>
        </is>
      </c>
      <c r="F73" s="31" t="n">
        <v>2923.87</v>
      </c>
      <c r="G73" s="31" t="n">
        <v>1919.8</v>
      </c>
      <c r="H73" s="31" t="n">
        <v>3.18</v>
      </c>
      <c r="I73" s="31" t="n">
        <v>36324</v>
      </c>
      <c r="J73" s="31" t="inlineStr">
        <is>
          <t>535112</t>
        </is>
      </c>
    </row>
    <row r="74">
      <c r="A74" s="31" t="inlineStr">
        <is>
          <t>ASIANPAINT</t>
        </is>
      </c>
      <c r="B74" s="31" t="inlineStr">
        <is>
          <t>Asian Paints Limited</t>
        </is>
      </c>
      <c r="C74" s="31" t="inlineStr">
        <is>
          <t>building materials</t>
        </is>
      </c>
      <c r="D74" s="31" t="inlineStr">
        <is>
          <t>paints / varnishes</t>
        </is>
      </c>
      <c r="E74" s="31" t="inlineStr">
        <is>
          <t>largecap</t>
        </is>
      </c>
      <c r="F74" s="31" t="n">
        <v>252815.76</v>
      </c>
      <c r="G74" s="31" t="n">
        <v>2716.4</v>
      </c>
      <c r="H74" s="31" t="n">
        <v>3.06</v>
      </c>
      <c r="I74" s="31" t="n">
        <v>1097512</v>
      </c>
      <c r="J74" s="31" t="inlineStr">
        <is>
          <t>500820</t>
        </is>
      </c>
    </row>
    <row r="75">
      <c r="A75" s="31" t="inlineStr">
        <is>
          <t>ELECON</t>
        </is>
      </c>
      <c r="B75" s="31" t="inlineStr">
        <is>
          <t>Elecon Engineering Company Limited</t>
        </is>
      </c>
      <c r="C75" s="31" t="inlineStr">
        <is>
          <t>industrials</t>
        </is>
      </c>
      <c r="D75" s="31" t="inlineStr">
        <is>
          <t>engineering</t>
        </is>
      </c>
      <c r="E75" s="31" t="inlineStr">
        <is>
          <t>midcap</t>
        </is>
      </c>
      <c r="F75" s="31" t="n">
        <v>11978.47</v>
      </c>
      <c r="G75" s="31" t="n">
        <v>549.95</v>
      </c>
      <c r="H75" s="31" t="n">
        <v>3.03</v>
      </c>
      <c r="I75" s="31" t="n">
        <v>578160</v>
      </c>
      <c r="J75" s="31" t="inlineStr">
        <is>
          <t>505700</t>
        </is>
      </c>
    </row>
    <row r="76">
      <c r="A76" s="31" t="inlineStr">
        <is>
          <t>DEEPAKFERT</t>
        </is>
      </c>
      <c r="B76" s="31" t="inlineStr">
        <is>
          <t>Deepak Fertilizers And Petrochemicals Corporation Limited</t>
        </is>
      </c>
      <c r="C76" s="31" t="inlineStr">
        <is>
          <t>chemicals</t>
        </is>
      </c>
      <c r="D76" s="31" t="inlineStr">
        <is>
          <t>chemicals</t>
        </is>
      </c>
      <c r="E76" s="31" t="inlineStr">
        <is>
          <t>midcap</t>
        </is>
      </c>
      <c r="F76" s="31" t="n">
        <v>19669.12</v>
      </c>
      <c r="G76" s="31" t="n">
        <v>1604.6</v>
      </c>
      <c r="H76" s="31" t="n">
        <v>2.98</v>
      </c>
      <c r="I76" s="31" t="n">
        <v>234471</v>
      </c>
      <c r="J76" s="31" t="inlineStr">
        <is>
          <t>500645</t>
        </is>
      </c>
    </row>
    <row r="77">
      <c r="A77" s="31" t="inlineStr">
        <is>
          <t>NAM-INDIA</t>
        </is>
      </c>
      <c r="B77" s="31" t="inlineStr">
        <is>
          <t>Nippon Life India Asset Management Ltd</t>
        </is>
      </c>
      <c r="C77" s="31" t="inlineStr">
        <is>
          <t>financials</t>
        </is>
      </c>
      <c r="D77" s="31" t="inlineStr">
        <is>
          <t>finance &amp; investments</t>
        </is>
      </c>
      <c r="E77" s="31" t="inlineStr">
        <is>
          <t>largecap</t>
        </is>
      </c>
      <c r="F77" s="31" t="n">
        <v>74149.08</v>
      </c>
      <c r="G77" s="31" t="n">
        <v>1196.4</v>
      </c>
      <c r="H77" s="31" t="n">
        <v>2.96</v>
      </c>
      <c r="I77" s="31" t="n">
        <v>739315</v>
      </c>
      <c r="J77" s="31" t="inlineStr">
        <is>
          <t>540767</t>
        </is>
      </c>
    </row>
    <row r="78">
      <c r="A78" s="31" t="inlineStr">
        <is>
          <t>NIACL</t>
        </is>
      </c>
      <c r="B78" s="31" t="inlineStr">
        <is>
          <t>New India Assurance Company Ltd</t>
        </is>
      </c>
      <c r="C78" s="31" t="inlineStr">
        <is>
          <t>financials</t>
        </is>
      </c>
      <c r="D78" s="31" t="inlineStr">
        <is>
          <t>finance &amp; investments</t>
        </is>
      </c>
      <c r="E78" s="31" t="inlineStr">
        <is>
          <t>largecap</t>
        </is>
      </c>
      <c r="F78" s="31" t="n">
        <v>29336.05</v>
      </c>
      <c r="G78" s="31" t="n">
        <v>183.11</v>
      </c>
      <c r="H78" s="31" t="n">
        <v>2.87</v>
      </c>
      <c r="I78" s="31" t="n">
        <v>12897423</v>
      </c>
      <c r="J78" s="31" t="inlineStr">
        <is>
          <t>540769</t>
        </is>
      </c>
    </row>
    <row r="79">
      <c r="A79" s="31" t="inlineStr">
        <is>
          <t>ADANIGREEN</t>
        </is>
      </c>
      <c r="B79" s="31" t="inlineStr">
        <is>
          <t>Adani Green Energy Ltd</t>
        </is>
      </c>
      <c r="C79" s="31" t="inlineStr">
        <is>
          <t>power &amp; utilities</t>
        </is>
      </c>
      <c r="D79" s="31" t="inlineStr">
        <is>
          <t>power generation and supply</t>
        </is>
      </c>
      <c r="E79" s="31" t="inlineStr">
        <is>
          <t>largecap</t>
        </is>
      </c>
      <c r="F79" s="31" t="n">
        <v>245791.63</v>
      </c>
      <c r="G79" s="31" t="n">
        <v>1535</v>
      </c>
      <c r="H79" s="31" t="n">
        <v>2.87</v>
      </c>
      <c r="I79" s="31" t="n">
        <v>2563470</v>
      </c>
      <c r="J79" s="31" t="inlineStr">
        <is>
          <t>541450</t>
        </is>
      </c>
    </row>
    <row r="80">
      <c r="A80" s="31" t="inlineStr">
        <is>
          <t>RESPONIND</t>
        </is>
      </c>
      <c r="B80" s="31" t="inlineStr">
        <is>
          <t>Responsive Industries Limited</t>
        </is>
      </c>
      <c r="C80" s="31" t="inlineStr">
        <is>
          <t>plastic products</t>
        </is>
      </c>
      <c r="D80" s="31" t="inlineStr">
        <is>
          <t>plastics products</t>
        </is>
      </c>
      <c r="E80" s="31" t="inlineStr">
        <is>
          <t>midcap</t>
        </is>
      </c>
      <c r="F80" s="31" t="n">
        <v>5211.93</v>
      </c>
      <c r="G80" s="31" t="n">
        <v>200.88</v>
      </c>
      <c r="H80" s="31" t="n">
        <v>2.76</v>
      </c>
      <c r="I80" s="31" t="n">
        <v>83900</v>
      </c>
      <c r="J80" s="31" t="inlineStr">
        <is>
          <t>505509</t>
        </is>
      </c>
    </row>
    <row r="81">
      <c r="A81" s="31" t="inlineStr">
        <is>
          <t>STEL</t>
        </is>
      </c>
      <c r="B81" s="31" t="inlineStr">
        <is>
          <t>Stel Holdings Limited</t>
        </is>
      </c>
      <c r="C81" s="31" t="inlineStr">
        <is>
          <t>financials</t>
        </is>
      </c>
      <c r="D81" s="31" t="inlineStr">
        <is>
          <t>finance &amp; investments</t>
        </is>
      </c>
      <c r="E81" s="31" t="inlineStr">
        <is>
          <t>smallcap</t>
        </is>
      </c>
      <c r="F81" s="31" t="n">
        <v>1055.83</v>
      </c>
      <c r="G81" s="31" t="n">
        <v>587.6</v>
      </c>
      <c r="H81" s="31" t="n">
        <v>2.71</v>
      </c>
      <c r="I81" s="31" t="n">
        <v>8196</v>
      </c>
      <c r="J81" s="31" t="n"/>
    </row>
    <row r="82">
      <c r="A82" s="31" t="inlineStr">
        <is>
          <t>ACMESOLAR</t>
        </is>
      </c>
      <c r="B82" s="31" t="inlineStr">
        <is>
          <t>ACME Solar Holdings Ltd</t>
        </is>
      </c>
      <c r="C82" s="31" t="inlineStr">
        <is>
          <t>realty</t>
        </is>
      </c>
      <c r="D82" s="31" t="inlineStr">
        <is>
          <t>engineering - turnkey services</t>
        </is>
      </c>
      <c r="E82" s="31" t="inlineStr">
        <is>
          <t>largecap</t>
        </is>
      </c>
      <c r="F82" s="31" t="n">
        <v>26872.56</v>
      </c>
      <c r="G82" s="31" t="n">
        <v>390.8</v>
      </c>
      <c r="H82" s="31" t="n">
        <v>2.69</v>
      </c>
      <c r="I82" s="31" t="n">
        <v>3091827</v>
      </c>
      <c r="J82" s="31" t="inlineStr">
        <is>
          <t>544283</t>
        </is>
      </c>
    </row>
    <row r="83">
      <c r="A83" s="31" t="inlineStr">
        <is>
          <t>BALAMINES</t>
        </is>
      </c>
      <c r="B83" s="31" t="inlineStr">
        <is>
          <t>Balaji Amines Limited</t>
        </is>
      </c>
      <c r="C83" s="31" t="inlineStr">
        <is>
          <t>chemicals</t>
        </is>
      </c>
      <c r="D83" s="31" t="inlineStr">
        <is>
          <t>chemicals</t>
        </is>
      </c>
      <c r="E83" s="31" t="inlineStr">
        <is>
          <t>midcap</t>
        </is>
      </c>
      <c r="F83" s="31" t="n">
        <v>6596.52</v>
      </c>
      <c r="G83" s="31" t="n">
        <v>2090.2</v>
      </c>
      <c r="H83" s="31" t="n">
        <v>2.67</v>
      </c>
      <c r="I83" s="31" t="n">
        <v>304582</v>
      </c>
      <c r="J83" s="31" t="inlineStr">
        <is>
          <t>530999</t>
        </is>
      </c>
    </row>
    <row r="84">
      <c r="A84" s="31" t="inlineStr">
        <is>
          <t>MUTHOOTMF</t>
        </is>
      </c>
      <c r="B84" s="31" t="inlineStr">
        <is>
          <t>Muthoot Microfin Ltd</t>
        </is>
      </c>
      <c r="C84" s="31" t="inlineStr">
        <is>
          <t>financials</t>
        </is>
      </c>
      <c r="D84" s="31" t="inlineStr">
        <is>
          <t>finance &amp; investments</t>
        </is>
      </c>
      <c r="E84" s="31" t="inlineStr">
        <is>
          <t>smallcap</t>
        </is>
      </c>
      <c r="F84" s="31" t="n">
        <v>3654.84</v>
      </c>
      <c r="G84" s="31" t="n">
        <v>220.07</v>
      </c>
      <c r="H84" s="31" t="n">
        <v>2.66</v>
      </c>
      <c r="I84" s="31" t="n">
        <v>773093</v>
      </c>
      <c r="J84" s="31" t="inlineStr">
        <is>
          <t>544055</t>
        </is>
      </c>
    </row>
    <row r="85">
      <c r="A85" s="31" t="inlineStr">
        <is>
          <t>SWANDEF</t>
        </is>
      </c>
      <c r="B85" s="31" t="inlineStr">
        <is>
          <t>Swan Defence and Heavy Industries Ltd</t>
        </is>
      </c>
      <c r="C85" s="31" t="inlineStr">
        <is>
          <t>transportation</t>
        </is>
      </c>
      <c r="D85" s="31" t="inlineStr">
        <is>
          <t>miscellaneous</t>
        </is>
      </c>
      <c r="E85" s="31" t="inlineStr">
        <is>
          <t>midcap</t>
        </is>
      </c>
      <c r="F85" s="31" t="n">
        <v>11574.8</v>
      </c>
      <c r="G85" s="31" t="n">
        <v>2255.4</v>
      </c>
      <c r="H85" s="31" t="n">
        <v>2.65</v>
      </c>
      <c r="I85" s="31" t="n">
        <v>10451</v>
      </c>
      <c r="J85" s="31" t="inlineStr">
        <is>
          <t>533107</t>
        </is>
      </c>
    </row>
    <row r="86">
      <c r="A86" s="31" t="inlineStr">
        <is>
          <t>RPGLIFE</t>
        </is>
      </c>
      <c r="B86" s="31" t="inlineStr">
        <is>
          <t>Rpg Life Sciences Limited</t>
        </is>
      </c>
      <c r="C86" s="31" t="inlineStr">
        <is>
          <t>healthcare</t>
        </is>
      </c>
      <c r="D86" s="31" t="inlineStr">
        <is>
          <t>pharmaceuticals - indian - bulk drugs &amp; formln</t>
        </is>
      </c>
      <c r="E86" s="31" t="inlineStr">
        <is>
          <t>smallcap</t>
        </is>
      </c>
      <c r="F86" s="31" t="n">
        <v>3791.57</v>
      </c>
      <c r="G86" s="31" t="n">
        <v>2352.6</v>
      </c>
      <c r="H86" s="31" t="n">
        <v>2.62</v>
      </c>
      <c r="I86" s="31" t="n">
        <v>16371</v>
      </c>
      <c r="J86" s="31" t="inlineStr">
        <is>
          <t>532983</t>
        </is>
      </c>
    </row>
    <row r="87">
      <c r="A87" s="31" t="inlineStr">
        <is>
          <t>MARINE</t>
        </is>
      </c>
      <c r="B87" s="31" t="inlineStr">
        <is>
          <t>Marine Electricals (India) Ltd</t>
        </is>
      </c>
      <c r="C87" s="31" t="inlineStr">
        <is>
          <t>industrials</t>
        </is>
      </c>
      <c r="D87" s="31" t="inlineStr">
        <is>
          <t>electric equipment</t>
        </is>
      </c>
      <c r="E87" s="31" t="inlineStr">
        <is>
          <t>smallcap</t>
        </is>
      </c>
      <c r="F87" s="31" t="n">
        <v>695.63</v>
      </c>
      <c r="G87" s="31" t="n">
        <v>290.95</v>
      </c>
      <c r="H87" s="31" t="n">
        <v>2.61</v>
      </c>
      <c r="I87" s="31" t="n">
        <v>979790</v>
      </c>
      <c r="J87" s="31" t="inlineStr">
        <is>
          <t>535119</t>
        </is>
      </c>
    </row>
    <row r="88">
      <c r="A88" s="31" t="inlineStr">
        <is>
          <t>BAJAJCON</t>
        </is>
      </c>
      <c r="B88" s="31" t="inlineStr">
        <is>
          <t>Bajaj Consumer Care Ltd</t>
        </is>
      </c>
      <c r="C88" s="31" t="inlineStr">
        <is>
          <t>fmcg</t>
        </is>
      </c>
      <c r="D88" s="31" t="inlineStr">
        <is>
          <t>personal care - indian</t>
        </is>
      </c>
      <c r="E88" s="31" t="inlineStr">
        <is>
          <t>midcap</t>
        </is>
      </c>
      <c r="F88" s="31" t="n">
        <v>7824.04</v>
      </c>
      <c r="G88" s="31" t="n">
        <v>614.55</v>
      </c>
      <c r="H88" s="31" t="n">
        <v>2.6</v>
      </c>
      <c r="I88" s="31" t="n">
        <v>720891</v>
      </c>
      <c r="J88" s="31" t="inlineStr">
        <is>
          <t>533229</t>
        </is>
      </c>
    </row>
    <row r="89">
      <c r="A89" s="31" t="inlineStr">
        <is>
          <t>JSWINFRA</t>
        </is>
      </c>
      <c r="B89" s="31" t="inlineStr">
        <is>
          <t>JSW Infrastructure Ltd</t>
        </is>
      </c>
      <c r="C89" s="31" t="inlineStr">
        <is>
          <t>transportation</t>
        </is>
      </c>
      <c r="D89" s="31" t="inlineStr">
        <is>
          <t>miscellaneous</t>
        </is>
      </c>
      <c r="E89" s="31" t="inlineStr">
        <is>
          <t>largecap</t>
        </is>
      </c>
      <c r="F89" s="31" t="n">
        <v>67651.55</v>
      </c>
      <c r="G89" s="31" t="n">
        <v>330.45</v>
      </c>
      <c r="H89" s="31" t="n">
        <v>2.58</v>
      </c>
      <c r="I89" s="31" t="n">
        <v>7567125</v>
      </c>
      <c r="J89" s="31" t="inlineStr">
        <is>
          <t>543994</t>
        </is>
      </c>
    </row>
    <row r="90">
      <c r="A90" s="31" t="inlineStr">
        <is>
          <t>TVSSCS</t>
        </is>
      </c>
      <c r="B90" s="31" t="inlineStr">
        <is>
          <t>TVS Supply Chain Solutions Ltd</t>
        </is>
      </c>
      <c r="C90" s="31" t="inlineStr">
        <is>
          <t>transportation</t>
        </is>
      </c>
      <c r="D90" s="31" t="inlineStr">
        <is>
          <t>miscellaneous</t>
        </is>
      </c>
      <c r="E90" s="31" t="inlineStr">
        <is>
          <t>midcap</t>
        </is>
      </c>
      <c r="F90" s="31" t="n">
        <v>5932.11</v>
      </c>
      <c r="G90" s="31" t="n">
        <v>137.92</v>
      </c>
      <c r="H90" s="31" t="n">
        <v>2.57</v>
      </c>
      <c r="I90" s="31" t="n">
        <v>1160785</v>
      </c>
      <c r="J90" s="31" t="inlineStr">
        <is>
          <t>543965</t>
        </is>
      </c>
    </row>
    <row r="91">
      <c r="A91" s="31" t="inlineStr">
        <is>
          <t>CGPOWER</t>
        </is>
      </c>
      <c r="B91" s="31" t="inlineStr">
        <is>
          <t>CG Power and Industrial Solutions Ltd</t>
        </is>
      </c>
      <c r="C91" s="31" t="inlineStr">
        <is>
          <t>industrials</t>
        </is>
      </c>
      <c r="D91" s="31" t="inlineStr">
        <is>
          <t>electric equipment</t>
        </is>
      </c>
      <c r="E91" s="31" t="inlineStr">
        <is>
          <t>largecap</t>
        </is>
      </c>
      <c r="F91" s="31" t="n">
        <v>149956.13</v>
      </c>
      <c r="G91" s="31" t="n">
        <v>976.5</v>
      </c>
      <c r="H91" s="31" t="n">
        <v>2.56</v>
      </c>
      <c r="I91" s="31" t="n">
        <v>3489753</v>
      </c>
      <c r="J91" s="31" t="inlineStr">
        <is>
          <t>500093</t>
        </is>
      </c>
    </row>
    <row r="92">
      <c r="A92" s="31" t="inlineStr">
        <is>
          <t>KDDL</t>
        </is>
      </c>
      <c r="B92" s="31" t="inlineStr">
        <is>
          <t>Kddl Limited</t>
        </is>
      </c>
      <c r="C92" s="31" t="inlineStr">
        <is>
          <t>consumer discretionary</t>
        </is>
      </c>
      <c r="D92" s="31" t="inlineStr">
        <is>
          <t>miscellaneous</t>
        </is>
      </c>
      <c r="E92" s="31" t="inlineStr">
        <is>
          <t>smallcap</t>
        </is>
      </c>
      <c r="F92" s="31" t="n">
        <v>3962.83</v>
      </c>
      <c r="G92" s="31" t="n">
        <v>3304.2</v>
      </c>
      <c r="H92" s="31" t="n">
        <v>2.55</v>
      </c>
      <c r="I92" s="31" t="n">
        <v>28321</v>
      </c>
      <c r="J92" s="31" t="inlineStr">
        <is>
          <t>532054</t>
        </is>
      </c>
    </row>
    <row r="93">
      <c r="A93" s="31" t="inlineStr">
        <is>
          <t>JAMNAAUTO</t>
        </is>
      </c>
      <c r="B93" s="31" t="inlineStr">
        <is>
          <t>Jamna Auto Industries Limited</t>
        </is>
      </c>
      <c r="C93" s="31" t="inlineStr">
        <is>
          <t>auto</t>
        </is>
      </c>
      <c r="D93" s="31" t="inlineStr">
        <is>
          <t>auto ancillaries</t>
        </is>
      </c>
      <c r="E93" s="31" t="inlineStr">
        <is>
          <t>midcap</t>
        </is>
      </c>
      <c r="F93" s="31" t="n">
        <v>5251.01</v>
      </c>
      <c r="G93" s="31" t="n">
        <v>134.59</v>
      </c>
      <c r="H93" s="31" t="n">
        <v>2.45</v>
      </c>
      <c r="I93" s="31" t="n">
        <v>2100248</v>
      </c>
      <c r="J93" s="31" t="inlineStr">
        <is>
          <t>520051</t>
        </is>
      </c>
    </row>
    <row r="94">
      <c r="A94" s="31" t="inlineStr">
        <is>
          <t>KIRLPNU</t>
        </is>
      </c>
      <c r="B94" s="31" t="inlineStr">
        <is>
          <t>Kirloskar Pneumatic Company Ltd</t>
        </is>
      </c>
      <c r="C94" s="31" t="inlineStr">
        <is>
          <t>industrials</t>
        </is>
      </c>
      <c r="D94" s="31" t="inlineStr">
        <is>
          <t>compressors / drilling equipment</t>
        </is>
      </c>
      <c r="E94" s="31" t="inlineStr">
        <is>
          <t>midcap</t>
        </is>
      </c>
      <c r="F94" s="31" t="n">
        <v>12686.33</v>
      </c>
      <c r="G94" s="31" t="n">
        <v>2000.9</v>
      </c>
      <c r="H94" s="31" t="n">
        <v>2.45</v>
      </c>
      <c r="I94" s="31" t="n">
        <v>293421</v>
      </c>
      <c r="J94" s="31" t="inlineStr">
        <is>
          <t>505283</t>
        </is>
      </c>
    </row>
    <row r="95">
      <c r="A95" s="31" t="inlineStr">
        <is>
          <t>HEALTHX</t>
        </is>
      </c>
      <c r="B95" s="31" t="inlineStr">
        <is>
          <t>Health X Platform Ltd</t>
        </is>
      </c>
      <c r="C95" s="31" t="inlineStr">
        <is>
          <t>financials</t>
        </is>
      </c>
      <c r="D95" s="31" t="inlineStr">
        <is>
          <t>finance &amp; investments</t>
        </is>
      </c>
      <c r="E95" s="31" t="inlineStr">
        <is>
          <t>smallcap</t>
        </is>
      </c>
      <c r="F95" s="31" t="n">
        <v>978.01</v>
      </c>
      <c r="G95" s="31" t="n">
        <v>314.95</v>
      </c>
      <c r="H95" s="31" t="n">
        <v>2.44</v>
      </c>
      <c r="I95" s="31" t="n">
        <v>3680</v>
      </c>
      <c r="J95" s="31" t="inlineStr">
        <is>
          <t>533259</t>
        </is>
      </c>
    </row>
    <row r="96">
      <c r="A96" s="31" t="inlineStr">
        <is>
          <t>WANBURY</t>
        </is>
      </c>
      <c r="B96" s="31" t="inlineStr">
        <is>
          <t>Wanbury Limited</t>
        </is>
      </c>
      <c r="C96" s="31" t="inlineStr">
        <is>
          <t>healthcare</t>
        </is>
      </c>
      <c r="D96" s="31" t="inlineStr">
        <is>
          <t>pharmaceuticals - indian - bulk drugs &amp; formln</t>
        </is>
      </c>
      <c r="E96" s="31" t="inlineStr">
        <is>
          <t>smallcap</t>
        </is>
      </c>
      <c r="F96" s="31" t="n">
        <v>981.27</v>
      </c>
      <c r="G96" s="31" t="n">
        <v>287.55</v>
      </c>
      <c r="H96" s="31" t="n">
        <v>2.39</v>
      </c>
      <c r="I96" s="31" t="n">
        <v>359708</v>
      </c>
      <c r="J96" s="31" t="inlineStr">
        <is>
          <t>524212</t>
        </is>
      </c>
    </row>
    <row r="97">
      <c r="A97" s="31" t="inlineStr">
        <is>
          <t>SATIN</t>
        </is>
      </c>
      <c r="B97" s="31" t="inlineStr">
        <is>
          <t>Satin Creditcare Network Limited</t>
        </is>
      </c>
      <c r="C97" s="31" t="inlineStr">
        <is>
          <t>financials</t>
        </is>
      </c>
      <c r="D97" s="31" t="inlineStr">
        <is>
          <t>finance &amp; investments</t>
        </is>
      </c>
      <c r="E97" s="31" t="inlineStr">
        <is>
          <t>smallcap</t>
        </is>
      </c>
      <c r="F97" s="31" t="n">
        <v>2716.48</v>
      </c>
      <c r="G97" s="31" t="n">
        <v>251.63</v>
      </c>
      <c r="H97" s="31" t="n">
        <v>2.33</v>
      </c>
      <c r="I97" s="31" t="n">
        <v>1517294</v>
      </c>
      <c r="J97" s="31" t="inlineStr">
        <is>
          <t>539404</t>
        </is>
      </c>
    </row>
    <row r="98">
      <c r="A98" s="31" t="inlineStr">
        <is>
          <t>PRICOLLTD</t>
        </is>
      </c>
      <c r="B98" s="31" t="inlineStr">
        <is>
          <t>Pricol Ltd.</t>
        </is>
      </c>
      <c r="C98" s="31" t="inlineStr">
        <is>
          <t>auto</t>
        </is>
      </c>
      <c r="D98" s="31" t="inlineStr">
        <is>
          <t>auto ancillaries</t>
        </is>
      </c>
      <c r="E98" s="31" t="inlineStr">
        <is>
          <t>midcap</t>
        </is>
      </c>
      <c r="F98" s="31" t="n">
        <v>7340.92</v>
      </c>
      <c r="G98" s="31" t="n">
        <v>616.3</v>
      </c>
      <c r="H98" s="31" t="n">
        <v>2.32</v>
      </c>
      <c r="I98" s="31" t="n">
        <v>636994</v>
      </c>
      <c r="J98" s="31" t="inlineStr">
        <is>
          <t>540293</t>
        </is>
      </c>
    </row>
    <row r="99">
      <c r="A99" s="31" t="inlineStr">
        <is>
          <t>XPROINDIA</t>
        </is>
      </c>
      <c r="B99" s="31" t="inlineStr">
        <is>
          <t>Xpro India Limited</t>
        </is>
      </c>
      <c r="C99" s="31" t="inlineStr">
        <is>
          <t>industrials</t>
        </is>
      </c>
      <c r="D99" s="31" t="inlineStr">
        <is>
          <t>packaging</t>
        </is>
      </c>
      <c r="E99" s="31" t="inlineStr">
        <is>
          <t>smallcap</t>
        </is>
      </c>
      <c r="F99" s="31" t="n">
        <v>3274.82</v>
      </c>
      <c r="G99" s="31" t="n">
        <v>1427.4</v>
      </c>
      <c r="H99" s="31" t="n">
        <v>2.3</v>
      </c>
      <c r="I99" s="31" t="n">
        <v>38846</v>
      </c>
      <c r="J99" s="31" t="inlineStr">
        <is>
          <t>590013</t>
        </is>
      </c>
    </row>
    <row r="100">
      <c r="A100" s="31" t="inlineStr">
        <is>
          <t>EIFFL</t>
        </is>
      </c>
      <c r="B100" s="31" t="inlineStr">
        <is>
          <t>Euro India Fresh Foods Ltd</t>
        </is>
      </c>
      <c r="C100" s="31" t="inlineStr">
        <is>
          <t>fmcg</t>
        </is>
      </c>
      <c r="D100" s="31" t="inlineStr">
        <is>
          <t>food - processing - indian</t>
        </is>
      </c>
      <c r="E100" s="31" t="inlineStr">
        <is>
          <t>smallcap</t>
        </is>
      </c>
      <c r="F100" s="31" t="n">
        <v>800.52</v>
      </c>
      <c r="G100" s="31" t="n">
        <v>330.15</v>
      </c>
      <c r="H100" s="31" t="n">
        <v>2.28</v>
      </c>
      <c r="I100" s="31" t="n">
        <v>14897</v>
      </c>
      <c r="J100" s="31" t="inlineStr">
        <is>
          <t>538412</t>
        </is>
      </c>
    </row>
    <row r="101">
      <c r="A101" s="31" t="inlineStr">
        <is>
          <t>TTKPRESTIG</t>
        </is>
      </c>
      <c r="B101" s="31" t="inlineStr">
        <is>
          <t>Ttk Prestige Limited</t>
        </is>
      </c>
      <c r="C101" s="31" t="inlineStr">
        <is>
          <t>consumer discretionary</t>
        </is>
      </c>
      <c r="D101" s="31" t="inlineStr">
        <is>
          <t>domestic appliances</t>
        </is>
      </c>
      <c r="E101" s="31" t="inlineStr">
        <is>
          <t>midcap</t>
        </is>
      </c>
      <c r="F101" s="31" t="n">
        <v>8441.66</v>
      </c>
      <c r="G101" s="31" t="n">
        <v>630.45</v>
      </c>
      <c r="H101" s="31" t="n">
        <v>2.28</v>
      </c>
      <c r="I101" s="31" t="n">
        <v>266965</v>
      </c>
      <c r="J101" s="31" t="inlineStr">
        <is>
          <t>517506</t>
        </is>
      </c>
    </row>
    <row r="102">
      <c r="A102" s="31" t="inlineStr">
        <is>
          <t>VMART</t>
        </is>
      </c>
      <c r="B102" s="31" t="inlineStr">
        <is>
          <t>V-mart Retail Limited</t>
        </is>
      </c>
      <c r="C102" s="31" t="inlineStr">
        <is>
          <t>consumer discretionary</t>
        </is>
      </c>
      <c r="D102" s="31" t="inlineStr">
        <is>
          <t>trading</t>
        </is>
      </c>
      <c r="E102" s="31" t="inlineStr">
        <is>
          <t>midcap</t>
        </is>
      </c>
      <c r="F102" s="31" t="n">
        <v>6190.2</v>
      </c>
      <c r="G102" s="31" t="n">
        <v>796.55</v>
      </c>
      <c r="H102" s="31" t="n">
        <v>2.25</v>
      </c>
      <c r="I102" s="31" t="n">
        <v>256732</v>
      </c>
      <c r="J102" s="31" t="inlineStr">
        <is>
          <t>534976</t>
        </is>
      </c>
    </row>
    <row r="103">
      <c r="A103" s="31" t="inlineStr">
        <is>
          <t>QUADFUTURE</t>
        </is>
      </c>
      <c r="B103" s="31" t="inlineStr">
        <is>
          <t>Quadrant Future Tek Ltd</t>
        </is>
      </c>
      <c r="C103" s="31" t="inlineStr">
        <is>
          <t>industrials</t>
        </is>
      </c>
      <c r="D103" s="31" t="inlineStr">
        <is>
          <t>cables - power</t>
        </is>
      </c>
      <c r="E103" s="31" t="inlineStr">
        <is>
          <t>smallcap</t>
        </is>
      </c>
      <c r="F103" s="31" t="n">
        <v>1730.2</v>
      </c>
      <c r="G103" s="31" t="n">
        <v>442.25</v>
      </c>
      <c r="H103" s="31" t="n">
        <v>2.24</v>
      </c>
      <c r="I103" s="31" t="n">
        <v>605427</v>
      </c>
      <c r="J103" s="31" t="inlineStr">
        <is>
          <t>544336</t>
        </is>
      </c>
    </row>
    <row r="104">
      <c r="A104" s="31" t="inlineStr">
        <is>
          <t>EQUITASBNK</t>
        </is>
      </c>
      <c r="B104" s="31" t="inlineStr">
        <is>
          <t>Equitas Small Finance Bank Ltd</t>
        </is>
      </c>
      <c r="C104" s="31" t="inlineStr">
        <is>
          <t>bank</t>
        </is>
      </c>
      <c r="D104" s="31" t="inlineStr">
        <is>
          <t>banks - private sector</t>
        </is>
      </c>
      <c r="E104" s="31" t="inlineStr">
        <is>
          <t>midcap</t>
        </is>
      </c>
      <c r="F104" s="31" t="n">
        <v>8604.610000000001</v>
      </c>
      <c r="G104" s="31" t="n">
        <v>77.09</v>
      </c>
      <c r="H104" s="31" t="n">
        <v>2.23</v>
      </c>
      <c r="I104" s="31" t="n">
        <v>1949268</v>
      </c>
      <c r="J104" s="31" t="inlineStr">
        <is>
          <t>543243</t>
        </is>
      </c>
    </row>
    <row r="105">
      <c r="A105" s="31" t="inlineStr">
        <is>
          <t>RISHABH</t>
        </is>
      </c>
      <c r="B105" s="31" t="inlineStr">
        <is>
          <t>Rishabh Instruments Ltd</t>
        </is>
      </c>
      <c r="C105" s="31" t="inlineStr">
        <is>
          <t>industrials</t>
        </is>
      </c>
      <c r="D105" s="31" t="inlineStr">
        <is>
          <t>electric equipment</t>
        </is>
      </c>
      <c r="E105" s="31" t="inlineStr">
        <is>
          <t>smallcap</t>
        </is>
      </c>
      <c r="F105" s="31" t="n">
        <v>2205.02</v>
      </c>
      <c r="G105" s="31" t="n">
        <v>584.8</v>
      </c>
      <c r="H105" s="31" t="n">
        <v>2.23</v>
      </c>
      <c r="I105" s="31" t="n">
        <v>70744</v>
      </c>
      <c r="J105" s="31" t="inlineStr">
        <is>
          <t>543977</t>
        </is>
      </c>
    </row>
    <row r="106">
      <c r="A106" s="31" t="inlineStr">
        <is>
          <t>BOSCHLTD</t>
        </is>
      </c>
      <c r="B106" s="31" t="inlineStr">
        <is>
          <t>Bosch Limited</t>
        </is>
      </c>
      <c r="C106" s="31" t="inlineStr">
        <is>
          <t>auto</t>
        </is>
      </c>
      <c r="D106" s="31" t="inlineStr">
        <is>
          <t>auto ancillaries</t>
        </is>
      </c>
      <c r="E106" s="31" t="inlineStr">
        <is>
          <t>largecap</t>
        </is>
      </c>
      <c r="F106" s="31" t="n">
        <v>117679.62</v>
      </c>
      <c r="G106" s="31" t="n">
        <v>40785</v>
      </c>
      <c r="H106" s="31" t="n">
        <v>2.22</v>
      </c>
      <c r="I106" s="31" t="n">
        <v>44664</v>
      </c>
      <c r="J106" s="31" t="inlineStr">
        <is>
          <t>500530</t>
        </is>
      </c>
    </row>
    <row r="107">
      <c r="A107" s="31" t="inlineStr">
        <is>
          <t>QUESS</t>
        </is>
      </c>
      <c r="B107" s="31" t="inlineStr">
        <is>
          <t>Quess Corp Limited</t>
        </is>
      </c>
      <c r="C107" s="31" t="inlineStr">
        <is>
          <t>miscellaneous</t>
        </is>
      </c>
      <c r="D107" s="31" t="inlineStr">
        <is>
          <t>diversified - large</t>
        </is>
      </c>
      <c r="E107" s="31" t="inlineStr">
        <is>
          <t>smallcap</t>
        </is>
      </c>
      <c r="F107" s="31" t="n">
        <v>3996.26</v>
      </c>
      <c r="G107" s="31" t="n">
        <v>273.4</v>
      </c>
      <c r="H107" s="31" t="n">
        <v>2.16</v>
      </c>
      <c r="I107" s="31" t="n">
        <v>1171398</v>
      </c>
      <c r="J107" s="31" t="inlineStr">
        <is>
          <t>539978</t>
        </is>
      </c>
    </row>
    <row r="108">
      <c r="A108" s="31" t="inlineStr">
        <is>
          <t>5PAISA</t>
        </is>
      </c>
      <c r="B108" s="31" t="inlineStr">
        <is>
          <t>5Paisa Capital Ltd</t>
        </is>
      </c>
      <c r="C108" s="31" t="inlineStr">
        <is>
          <t>financials</t>
        </is>
      </c>
      <c r="D108" s="31" t="inlineStr">
        <is>
          <t>finance &amp; investments</t>
        </is>
      </c>
      <c r="E108" s="31" t="inlineStr">
        <is>
          <t>smallcap</t>
        </is>
      </c>
      <c r="F108" s="31" t="n">
        <v>1668.77</v>
      </c>
      <c r="G108" s="31" t="n">
        <v>363.45</v>
      </c>
      <c r="H108" s="31" t="n">
        <v>2.11</v>
      </c>
      <c r="I108" s="31" t="n">
        <v>156474</v>
      </c>
      <c r="J108" s="31" t="inlineStr">
        <is>
          <t>540776</t>
        </is>
      </c>
    </row>
    <row r="109">
      <c r="A109" s="31" t="inlineStr">
        <is>
          <t>ADANIPORTS</t>
        </is>
      </c>
      <c r="B109" s="31" t="inlineStr">
        <is>
          <t>Adani Ports And Special Economic Zone Limited</t>
        </is>
      </c>
      <c r="C109" s="31" t="inlineStr">
        <is>
          <t>transportation</t>
        </is>
      </c>
      <c r="D109" s="31" t="inlineStr">
        <is>
          <t>miscellaneous</t>
        </is>
      </c>
      <c r="E109" s="31" t="inlineStr">
        <is>
          <t>largecap</t>
        </is>
      </c>
      <c r="F109" s="31" t="n">
        <v>417062.68</v>
      </c>
      <c r="G109" s="31" t="n">
        <v>1848.2</v>
      </c>
      <c r="H109" s="31" t="n">
        <v>2.1</v>
      </c>
      <c r="I109" s="31" t="n">
        <v>4123193</v>
      </c>
      <c r="J109" s="31" t="inlineStr">
        <is>
          <t>532921</t>
        </is>
      </c>
    </row>
    <row r="110">
      <c r="A110" s="31" t="inlineStr">
        <is>
          <t>KOTAKBANK</t>
        </is>
      </c>
      <c r="B110" s="31" t="inlineStr">
        <is>
          <t>Kotak Mahindra Bank Limited</t>
        </is>
      </c>
      <c r="C110" s="31" t="inlineStr">
        <is>
          <t>bank</t>
        </is>
      </c>
      <c r="D110" s="31" t="inlineStr">
        <is>
          <t>banks - private sector</t>
        </is>
      </c>
      <c r="E110" s="31" t="inlineStr">
        <is>
          <t>largecap</t>
        </is>
      </c>
      <c r="F110" s="31" t="n">
        <v>78022.39</v>
      </c>
      <c r="G110" s="31" t="n">
        <v>400.45</v>
      </c>
      <c r="H110" s="31" t="n">
        <v>2.09</v>
      </c>
      <c r="I110" s="31" t="n">
        <v>21723944</v>
      </c>
      <c r="J110" s="31" t="inlineStr">
        <is>
          <t>500247</t>
        </is>
      </c>
    </row>
    <row r="111">
      <c r="A111" s="31" t="inlineStr">
        <is>
          <t>NORTHARC</t>
        </is>
      </c>
      <c r="B111" s="31" t="inlineStr">
        <is>
          <t>Northern ARC Capital Ltd</t>
        </is>
      </c>
      <c r="C111" s="31" t="inlineStr">
        <is>
          <t>financials</t>
        </is>
      </c>
      <c r="D111" s="31" t="inlineStr">
        <is>
          <t>finance &amp; investments</t>
        </is>
      </c>
      <c r="E111" s="31" t="inlineStr">
        <is>
          <t>smallcap</t>
        </is>
      </c>
      <c r="F111" s="31" t="n">
        <v>4816.46</v>
      </c>
      <c r="G111" s="31" t="n">
        <v>304.15</v>
      </c>
      <c r="H111" s="31" t="n">
        <v>2.03</v>
      </c>
      <c r="I111" s="31" t="n">
        <v>1204086</v>
      </c>
      <c r="J111" s="31" t="n"/>
    </row>
    <row r="112">
      <c r="A112" s="31" t="inlineStr">
        <is>
          <t>ADANIENSOL</t>
        </is>
      </c>
      <c r="B112" s="31" t="inlineStr">
        <is>
          <t>Adani Energy Solutions Ltd</t>
        </is>
      </c>
      <c r="C112" s="31" t="inlineStr">
        <is>
          <t>power &amp; utilities</t>
        </is>
      </c>
      <c r="D112" s="31" t="inlineStr">
        <is>
          <t>power generation and supply</t>
        </is>
      </c>
      <c r="E112" s="31" t="inlineStr">
        <is>
          <t>largecap</t>
        </is>
      </c>
      <c r="F112" s="31" t="n">
        <v>179159.29</v>
      </c>
      <c r="G112" s="31" t="n">
        <v>1521.4</v>
      </c>
      <c r="H112" s="31" t="n">
        <v>2.01</v>
      </c>
      <c r="I112" s="31" t="n">
        <v>2095932</v>
      </c>
      <c r="J112" s="31" t="inlineStr">
        <is>
          <t>539254</t>
        </is>
      </c>
    </row>
    <row r="113">
      <c r="A113" s="31" t="inlineStr">
        <is>
          <t>KIMS</t>
        </is>
      </c>
      <c r="B113" s="31" t="inlineStr">
        <is>
          <t>Krishna Institute of Medical Sciences Ltd</t>
        </is>
      </c>
      <c r="C113" s="31" t="inlineStr">
        <is>
          <t>healthcare</t>
        </is>
      </c>
      <c r="D113" s="31" t="inlineStr">
        <is>
          <t>healthcare</t>
        </is>
      </c>
      <c r="E113" s="31" t="inlineStr">
        <is>
          <t>largecap</t>
        </is>
      </c>
      <c r="F113" s="31" t="n">
        <v>32595.32</v>
      </c>
      <c r="G113" s="31" t="n">
        <v>831</v>
      </c>
      <c r="H113" s="31" t="n">
        <v>2.01</v>
      </c>
      <c r="I113" s="31" t="n">
        <v>361616</v>
      </c>
      <c r="J113" s="31" t="inlineStr">
        <is>
          <t>543307</t>
        </is>
      </c>
    </row>
    <row r="114">
      <c r="A114" s="31" t="inlineStr">
        <is>
          <t>KAPSTON</t>
        </is>
      </c>
      <c r="B114" s="31" t="inlineStr">
        <is>
          <t>Kapston Services Ltd</t>
        </is>
      </c>
      <c r="C114" s="31" t="inlineStr">
        <is>
          <t>miscellaneous</t>
        </is>
      </c>
      <c r="D114" s="31" t="inlineStr">
        <is>
          <t>miscellaneous</t>
        </is>
      </c>
      <c r="E114" s="31" t="inlineStr">
        <is>
          <t>smallcap</t>
        </is>
      </c>
      <c r="F114" s="31" t="n">
        <v>1121.58</v>
      </c>
      <c r="G114" s="31" t="n">
        <v>375.95</v>
      </c>
      <c r="H114" s="31" t="n">
        <v>2.01</v>
      </c>
      <c r="I114" s="31" t="n">
        <v>53795</v>
      </c>
      <c r="J114" s="31" t="inlineStr">
        <is>
          <t>535064</t>
        </is>
      </c>
    </row>
    <row r="115">
      <c r="A115" s="31" t="inlineStr">
        <is>
          <t>TALBROAUTO</t>
        </is>
      </c>
      <c r="B115" s="31" t="inlineStr">
        <is>
          <t>Talbros Automotive Components Limited</t>
        </is>
      </c>
      <c r="C115" s="31" t="inlineStr">
        <is>
          <t>auto</t>
        </is>
      </c>
      <c r="D115" s="31" t="inlineStr">
        <is>
          <t>auto ancillaries</t>
        </is>
      </c>
      <c r="E115" s="31" t="inlineStr">
        <is>
          <t>smallcap</t>
        </is>
      </c>
      <c r="F115" s="31" t="n">
        <v>2577.46</v>
      </c>
      <c r="G115" s="31" t="n">
        <v>425.95</v>
      </c>
      <c r="H115" s="31" t="n">
        <v>2.01</v>
      </c>
      <c r="I115" s="31" t="n">
        <v>383997</v>
      </c>
      <c r="J115" s="31" t="inlineStr">
        <is>
          <t>505160</t>
        </is>
      </c>
    </row>
    <row r="116">
      <c r="A116" s="31" t="inlineStr">
        <is>
          <t>ATULAUTO</t>
        </is>
      </c>
      <c r="B116" s="31" t="inlineStr">
        <is>
          <t>Atul Auto Limited</t>
        </is>
      </c>
      <c r="C116" s="31" t="inlineStr">
        <is>
          <t>auto</t>
        </is>
      </c>
      <c r="D116" s="31" t="inlineStr">
        <is>
          <t>automobiles - scooters and 3 - wheelers</t>
        </is>
      </c>
      <c r="E116" s="31" t="inlineStr">
        <is>
          <t>smallcap</t>
        </is>
      </c>
      <c r="F116" s="31" t="n">
        <v>1337.06</v>
      </c>
      <c r="G116" s="31" t="n">
        <v>491.5</v>
      </c>
      <c r="H116" s="31" t="n">
        <v>2.01</v>
      </c>
      <c r="I116" s="31" t="n">
        <v>769437</v>
      </c>
      <c r="J116" s="31" t="inlineStr">
        <is>
          <t>531795</t>
        </is>
      </c>
    </row>
    <row r="117">
      <c r="A117" s="31" t="inlineStr">
        <is>
          <t>MANALIPETC</t>
        </is>
      </c>
      <c r="B117" s="31" t="inlineStr">
        <is>
          <t>Manali Petrochemicals Limited</t>
        </is>
      </c>
      <c r="C117" s="31" t="inlineStr">
        <is>
          <t>energy</t>
        </is>
      </c>
      <c r="D117" s="31" t="inlineStr">
        <is>
          <t>petrochemicals</t>
        </is>
      </c>
      <c r="E117" s="31" t="inlineStr">
        <is>
          <t>smallcap</t>
        </is>
      </c>
      <c r="F117" s="31" t="n">
        <v>1102.52</v>
      </c>
      <c r="G117" s="31" t="n">
        <v>65.38</v>
      </c>
      <c r="H117" s="31" t="n">
        <v>2</v>
      </c>
      <c r="I117" s="31" t="n">
        <v>223299</v>
      </c>
      <c r="J117" s="31" t="inlineStr">
        <is>
          <t>500268</t>
        </is>
      </c>
    </row>
    <row r="118">
      <c r="A118" s="31" t="inlineStr">
        <is>
          <t>OBEROIRLTY</t>
        </is>
      </c>
      <c r="B118" s="31" t="inlineStr">
        <is>
          <t>Oberoi Realty Limited</t>
        </is>
      </c>
      <c r="C118" s="31" t="inlineStr">
        <is>
          <t>realty</t>
        </is>
      </c>
      <c r="D118" s="31" t="inlineStr">
        <is>
          <t>construction</t>
        </is>
      </c>
      <c r="E118" s="31" t="inlineStr">
        <is>
          <t>largecap</t>
        </is>
      </c>
      <c r="F118" s="31" t="n">
        <v>64328.51</v>
      </c>
      <c r="G118" s="31" t="n">
        <v>1804.6</v>
      </c>
      <c r="H118" s="31" t="n">
        <v>2</v>
      </c>
      <c r="I118" s="31" t="n">
        <v>580890</v>
      </c>
      <c r="J118" s="31" t="inlineStr">
        <is>
          <t>533273</t>
        </is>
      </c>
    </row>
    <row r="119">
      <c r="A119" s="31" t="inlineStr">
        <is>
          <t>SBIN</t>
        </is>
      </c>
      <c r="B119" s="31" t="inlineStr">
        <is>
          <t>State Bank Of India Ltd</t>
        </is>
      </c>
      <c r="C119" s="31" t="inlineStr">
        <is>
          <t>bank</t>
        </is>
      </c>
      <c r="D119" s="31" t="inlineStr">
        <is>
          <t>banks - public sector</t>
        </is>
      </c>
      <c r="E119" s="31" t="inlineStr">
        <is>
          <t>largecap</t>
        </is>
      </c>
      <c r="F119" s="31" t="n">
        <v>947892.12</v>
      </c>
      <c r="G119" s="31" t="n">
        <v>1047.4</v>
      </c>
      <c r="H119" s="31" t="n">
        <v>2</v>
      </c>
      <c r="I119" s="31" t="n">
        <v>6295315</v>
      </c>
      <c r="J119" s="31" t="inlineStr">
        <is>
          <t>500112</t>
        </is>
      </c>
    </row>
    <row r="120">
      <c r="A120" s="31" t="inlineStr">
        <is>
          <t>CENTENKA</t>
        </is>
      </c>
      <c r="B120" s="31" t="inlineStr">
        <is>
          <t>Century Enka Limited</t>
        </is>
      </c>
      <c r="C120" s="31" t="inlineStr">
        <is>
          <t>textiles</t>
        </is>
      </c>
      <c r="D120" s="31" t="inlineStr">
        <is>
          <t>textiles - manmade</t>
        </is>
      </c>
      <c r="E120" s="31" t="inlineStr">
        <is>
          <t>smallcap</t>
        </is>
      </c>
      <c r="F120" s="31" t="n">
        <v>1136.34</v>
      </c>
      <c r="G120" s="31" t="n">
        <v>530.4</v>
      </c>
      <c r="H120" s="31" t="n">
        <v>1.99</v>
      </c>
      <c r="I120" s="31" t="n">
        <v>34258</v>
      </c>
      <c r="J120" s="31" t="inlineStr">
        <is>
          <t>500280</t>
        </is>
      </c>
    </row>
    <row r="121">
      <c r="A121" s="31" t="inlineStr">
        <is>
          <t>MARUTI</t>
        </is>
      </c>
      <c r="B121" s="31" t="inlineStr">
        <is>
          <t>Maruti Suzuki India Limited</t>
        </is>
      </c>
      <c r="C121" s="31" t="inlineStr">
        <is>
          <t>auto</t>
        </is>
      </c>
      <c r="D121" s="31" t="inlineStr">
        <is>
          <t>automobiles - passenger cars</t>
        </is>
      </c>
      <c r="E121" s="31" t="inlineStr">
        <is>
          <t>largecap</t>
        </is>
      </c>
      <c r="F121" s="31" t="n">
        <v>443779.23</v>
      </c>
      <c r="G121" s="31" t="n">
        <v>14395</v>
      </c>
      <c r="H121" s="31" t="n">
        <v>1.98</v>
      </c>
      <c r="I121" s="31" t="n">
        <v>1397790</v>
      </c>
      <c r="J121" s="31" t="inlineStr">
        <is>
          <t>532500</t>
        </is>
      </c>
    </row>
    <row r="122">
      <c r="A122" s="31" t="inlineStr">
        <is>
          <t>SCHNEIDER</t>
        </is>
      </c>
      <c r="B122" s="31" t="inlineStr">
        <is>
          <t>Schneider Electric Infrastructure Limited</t>
        </is>
      </c>
      <c r="C122" s="31" t="inlineStr">
        <is>
          <t>industrials</t>
        </is>
      </c>
      <c r="D122" s="31" t="inlineStr">
        <is>
          <t>electric equipment</t>
        </is>
      </c>
      <c r="E122" s="31" t="inlineStr">
        <is>
          <t>largecap</t>
        </is>
      </c>
      <c r="F122" s="31" t="n">
        <v>32522.93</v>
      </c>
      <c r="G122" s="31" t="n">
        <v>1387</v>
      </c>
      <c r="H122" s="31" t="n">
        <v>1.97</v>
      </c>
      <c r="I122" s="31" t="n">
        <v>405697</v>
      </c>
      <c r="J122" s="31" t="inlineStr">
        <is>
          <t>534139</t>
        </is>
      </c>
    </row>
    <row r="123">
      <c r="A123" s="31" t="inlineStr">
        <is>
          <t>PREMIERPOL</t>
        </is>
      </c>
      <c r="B123" s="31" t="inlineStr">
        <is>
          <t>Premier Polyfilm Limited</t>
        </is>
      </c>
      <c r="C123" s="31" t="inlineStr">
        <is>
          <t>plastic products</t>
        </is>
      </c>
      <c r="D123" s="31" t="inlineStr">
        <is>
          <t>plastics products</t>
        </is>
      </c>
      <c r="E123" s="31" t="inlineStr">
        <is>
          <t>smallcap</t>
        </is>
      </c>
      <c r="F123" s="31" t="n">
        <v>709.9400000000001</v>
      </c>
      <c r="G123" s="31" t="n">
        <v>69.09999999999999</v>
      </c>
      <c r="H123" s="31" t="n">
        <v>1.95</v>
      </c>
      <c r="I123" s="31" t="n">
        <v>125581</v>
      </c>
      <c r="J123" s="31" t="inlineStr">
        <is>
          <t>514354</t>
        </is>
      </c>
    </row>
    <row r="124">
      <c r="A124" s="31" t="inlineStr">
        <is>
          <t>TVSSRICHAK</t>
        </is>
      </c>
      <c r="B124" s="31" t="inlineStr">
        <is>
          <t>Tvs Srichakra Limited</t>
        </is>
      </c>
      <c r="C124" s="31" t="inlineStr">
        <is>
          <t>auto</t>
        </is>
      </c>
      <c r="D124" s="31" t="inlineStr">
        <is>
          <t>tyres</t>
        </is>
      </c>
      <c r="E124" s="31" t="inlineStr">
        <is>
          <t>smallcap</t>
        </is>
      </c>
      <c r="F124" s="31" t="n">
        <v>3145.13</v>
      </c>
      <c r="G124" s="31" t="n">
        <v>4187.3</v>
      </c>
      <c r="H124" s="31" t="n">
        <v>1.94</v>
      </c>
      <c r="I124" s="31" t="n">
        <v>5194</v>
      </c>
      <c r="J124" s="31" t="inlineStr">
        <is>
          <t>509243</t>
        </is>
      </c>
    </row>
    <row r="125">
      <c r="A125" s="31" t="inlineStr">
        <is>
          <t>GODREJIND</t>
        </is>
      </c>
      <c r="B125" s="31" t="inlineStr">
        <is>
          <t>Godrej Industries Limited</t>
        </is>
      </c>
      <c r="C125" s="31" t="inlineStr">
        <is>
          <t>chemicals</t>
        </is>
      </c>
      <c r="D125" s="31" t="inlineStr">
        <is>
          <t>chemicals</t>
        </is>
      </c>
      <c r="E125" s="31" t="inlineStr">
        <is>
          <t>largecap</t>
        </is>
      </c>
      <c r="F125" s="31" t="n">
        <v>39564.46</v>
      </c>
      <c r="G125" s="31" t="n">
        <v>1197.4</v>
      </c>
      <c r="H125" s="31" t="n">
        <v>1.93</v>
      </c>
      <c r="I125" s="31" t="n">
        <v>177212</v>
      </c>
      <c r="J125" s="31" t="inlineStr">
        <is>
          <t>500164</t>
        </is>
      </c>
    </row>
    <row r="126">
      <c r="A126" s="31" t="inlineStr">
        <is>
          <t>NRL</t>
        </is>
      </c>
      <c r="B126" s="31" t="inlineStr">
        <is>
          <t>Nupur Recyclers Ltd</t>
        </is>
      </c>
      <c r="C126" s="31" t="inlineStr">
        <is>
          <t>services</t>
        </is>
      </c>
      <c r="D126" s="31" t="inlineStr">
        <is>
          <t>trading</t>
        </is>
      </c>
      <c r="E126" s="31" t="inlineStr">
        <is>
          <t>smallcap</t>
        </is>
      </c>
      <c r="F126" s="31" t="n">
        <v>578.11</v>
      </c>
      <c r="G126" s="31" t="n">
        <v>85.3</v>
      </c>
      <c r="H126" s="31" t="n">
        <v>1.91</v>
      </c>
      <c r="I126" s="31" t="n">
        <v>109487</v>
      </c>
      <c r="J126" s="31" t="inlineStr">
        <is>
          <t>535413</t>
        </is>
      </c>
    </row>
    <row r="127">
      <c r="A127" s="31" t="inlineStr">
        <is>
          <t>HONASA</t>
        </is>
      </c>
      <c r="B127" s="31" t="inlineStr">
        <is>
          <t>Honasa Consumer Ltd</t>
        </is>
      </c>
      <c r="C127" s="31" t="inlineStr">
        <is>
          <t>services</t>
        </is>
      </c>
      <c r="D127" s="31" t="inlineStr">
        <is>
          <t>trading</t>
        </is>
      </c>
      <c r="E127" s="31" t="inlineStr">
        <is>
          <t>midcap</t>
        </is>
      </c>
      <c r="F127" s="31" t="n">
        <v>14898.68</v>
      </c>
      <c r="G127" s="31" t="n">
        <v>466.5</v>
      </c>
      <c r="H127" s="31" t="n">
        <v>1.88</v>
      </c>
      <c r="I127" s="31" t="n">
        <v>1877626</v>
      </c>
      <c r="J127" s="31" t="inlineStr">
        <is>
          <t>544014</t>
        </is>
      </c>
    </row>
    <row r="128">
      <c r="A128" s="31" t="inlineStr">
        <is>
          <t>INDUSINDBK</t>
        </is>
      </c>
      <c r="B128" s="31" t="inlineStr">
        <is>
          <t>Indusind Bank Limited</t>
        </is>
      </c>
      <c r="C128" s="31" t="inlineStr">
        <is>
          <t>bank</t>
        </is>
      </c>
      <c r="D128" s="31" t="inlineStr">
        <is>
          <t>banks - private sector</t>
        </is>
      </c>
      <c r="E128" s="31" t="inlineStr">
        <is>
          <t>largecap</t>
        </is>
      </c>
      <c r="F128" s="31" t="n">
        <v>72004.99000000001</v>
      </c>
      <c r="G128" s="31" t="n">
        <v>941.6</v>
      </c>
      <c r="H128" s="31" t="n">
        <v>1.88</v>
      </c>
      <c r="I128" s="31" t="n">
        <v>2290915</v>
      </c>
      <c r="J128" s="31" t="inlineStr">
        <is>
          <t>532187</t>
        </is>
      </c>
    </row>
    <row r="129">
      <c r="A129" s="31" t="inlineStr">
        <is>
          <t>RPTECH</t>
        </is>
      </c>
      <c r="B129" s="31" t="inlineStr">
        <is>
          <t>Rashi Peripherals Ltd</t>
        </is>
      </c>
      <c r="C129" s="31" t="inlineStr">
        <is>
          <t>services</t>
        </is>
      </c>
      <c r="D129" s="31" t="inlineStr">
        <is>
          <t>trading</t>
        </is>
      </c>
      <c r="E129" s="31" t="inlineStr">
        <is>
          <t>midcap</t>
        </is>
      </c>
      <c r="F129" s="31" t="n">
        <v>5098.99</v>
      </c>
      <c r="G129" s="31" t="n">
        <v>787.95</v>
      </c>
      <c r="H129" s="31" t="n">
        <v>1.84</v>
      </c>
      <c r="I129" s="31" t="n">
        <v>868016</v>
      </c>
      <c r="J129" s="31" t="n"/>
    </row>
    <row r="130">
      <c r="A130" s="31" t="inlineStr">
        <is>
          <t>CUPID</t>
        </is>
      </c>
      <c r="B130" s="31" t="inlineStr">
        <is>
          <t>Cupid Limited</t>
        </is>
      </c>
      <c r="C130" s="31" t="inlineStr">
        <is>
          <t>fmcg</t>
        </is>
      </c>
      <c r="D130" s="31" t="inlineStr">
        <is>
          <t>personal care - indian</t>
        </is>
      </c>
      <c r="E130" s="31" t="inlineStr">
        <is>
          <t>largecap</t>
        </is>
      </c>
      <c r="F130" s="31" t="n">
        <v>25539.14</v>
      </c>
      <c r="G130" s="31" t="n">
        <v>193.38</v>
      </c>
      <c r="H130" s="31" t="n">
        <v>1.82</v>
      </c>
      <c r="I130" s="31" t="n">
        <v>16742994</v>
      </c>
      <c r="J130" s="31" t="inlineStr">
        <is>
          <t>530843</t>
        </is>
      </c>
    </row>
    <row r="131">
      <c r="A131" s="31" t="inlineStr">
        <is>
          <t>MINDACORP</t>
        </is>
      </c>
      <c r="B131" s="31" t="inlineStr">
        <is>
          <t>Minda Corporation Limited</t>
        </is>
      </c>
      <c r="C131" s="31" t="inlineStr">
        <is>
          <t>auto</t>
        </is>
      </c>
      <c r="D131" s="31" t="inlineStr">
        <is>
          <t>auto ancillaries</t>
        </is>
      </c>
      <c r="E131" s="31" t="inlineStr">
        <is>
          <t>midcap</t>
        </is>
      </c>
      <c r="F131" s="31" t="n">
        <v>16659.05</v>
      </c>
      <c r="G131" s="31" t="n">
        <v>709.5</v>
      </c>
      <c r="H131" s="31" t="n">
        <v>1.82</v>
      </c>
      <c r="I131" s="31" t="n">
        <v>752864</v>
      </c>
      <c r="J131" s="31" t="inlineStr">
        <is>
          <t>538962</t>
        </is>
      </c>
    </row>
    <row r="132">
      <c r="A132" s="31" t="inlineStr">
        <is>
          <t>SYRMA</t>
        </is>
      </c>
      <c r="B132" s="31" t="inlineStr">
        <is>
          <t>Syrma SGS Technology Ltd</t>
        </is>
      </c>
      <c r="C132" s="31" t="inlineStr">
        <is>
          <t>consumer discretionary</t>
        </is>
      </c>
      <c r="D132" s="31" t="inlineStr">
        <is>
          <t>electronics - components</t>
        </is>
      </c>
      <c r="E132" s="31" t="inlineStr">
        <is>
          <t>largecap</t>
        </is>
      </c>
      <c r="F132" s="31" t="n">
        <v>26924.92</v>
      </c>
      <c r="G132" s="31" t="n">
        <v>1421.6</v>
      </c>
      <c r="H132" s="31" t="n">
        <v>1.81</v>
      </c>
      <c r="I132" s="31" t="n">
        <v>1242591</v>
      </c>
      <c r="J132" s="31" t="inlineStr">
        <is>
          <t>543573</t>
        </is>
      </c>
    </row>
    <row r="133">
      <c r="A133" s="31" t="inlineStr">
        <is>
          <t>NINSYS</t>
        </is>
      </c>
      <c r="B133" s="31" t="inlineStr">
        <is>
          <t>NINtec Systems Ltd</t>
        </is>
      </c>
      <c r="C133" s="31" t="inlineStr">
        <is>
          <t>i.t</t>
        </is>
      </c>
      <c r="D133" s="31" t="inlineStr">
        <is>
          <t>computers - software - medium / small</t>
        </is>
      </c>
      <c r="E133" s="31" t="inlineStr">
        <is>
          <t>smallcap</t>
        </is>
      </c>
      <c r="F133" s="31" t="n">
        <v>1532.24</v>
      </c>
      <c r="G133" s="31" t="n">
        <v>839.65</v>
      </c>
      <c r="H133" s="31" t="n">
        <v>1.79</v>
      </c>
      <c r="I133" s="31" t="n">
        <v>6347</v>
      </c>
      <c r="J133" s="31" t="inlineStr">
        <is>
          <t>539843</t>
        </is>
      </c>
    </row>
    <row r="134">
      <c r="A134" s="31" t="inlineStr">
        <is>
          <t>GOKEX</t>
        </is>
      </c>
      <c r="B134" s="31" t="inlineStr">
        <is>
          <t>Gokaldas Exports Limited</t>
        </is>
      </c>
      <c r="C134" s="31" t="inlineStr">
        <is>
          <t>consumer discretionary</t>
        </is>
      </c>
      <c r="D134" s="31" t="inlineStr">
        <is>
          <t>textiles - products</t>
        </is>
      </c>
      <c r="E134" s="31" t="inlineStr">
        <is>
          <t>midcap</t>
        </is>
      </c>
      <c r="F134" s="31" t="n">
        <v>6396.31</v>
      </c>
      <c r="G134" s="31" t="n">
        <v>888.7</v>
      </c>
      <c r="H134" s="31" t="n">
        <v>1.77</v>
      </c>
      <c r="I134" s="31" t="n">
        <v>715828</v>
      </c>
      <c r="J134" s="31" t="inlineStr">
        <is>
          <t>532630</t>
        </is>
      </c>
    </row>
    <row r="135">
      <c r="A135" s="31" t="inlineStr">
        <is>
          <t>MONARCH</t>
        </is>
      </c>
      <c r="B135" s="31" t="inlineStr">
        <is>
          <t>Monarch Networth Capital Ltd</t>
        </is>
      </c>
      <c r="C135" s="31" t="inlineStr">
        <is>
          <t>financials</t>
        </is>
      </c>
      <c r="D135" s="31" t="inlineStr">
        <is>
          <t>finance &amp; investments</t>
        </is>
      </c>
      <c r="E135" s="31" t="inlineStr">
        <is>
          <t>smallcap</t>
        </is>
      </c>
      <c r="F135" s="31" t="n">
        <v>2669.36</v>
      </c>
      <c r="G135" s="31" t="n">
        <v>342.7</v>
      </c>
      <c r="H135" s="31" t="n">
        <v>1.77</v>
      </c>
      <c r="I135" s="31" t="n">
        <v>63215</v>
      </c>
      <c r="J135" s="31" t="inlineStr">
        <is>
          <t>511551</t>
        </is>
      </c>
    </row>
    <row r="136">
      <c r="A136" s="31" t="inlineStr">
        <is>
          <t>MARICO</t>
        </is>
      </c>
      <c r="B136" s="31" t="inlineStr">
        <is>
          <t>Marico Limited</t>
        </is>
      </c>
      <c r="C136" s="31" t="inlineStr">
        <is>
          <t>fmcg</t>
        </is>
      </c>
      <c r="D136" s="31" t="inlineStr">
        <is>
          <t>solvent extraction</t>
        </is>
      </c>
      <c r="E136" s="31" t="inlineStr">
        <is>
          <t>largecap</t>
        </is>
      </c>
      <c r="F136" s="31" t="n">
        <v>108557.7</v>
      </c>
      <c r="G136" s="31" t="n">
        <v>851</v>
      </c>
      <c r="H136" s="31" t="n">
        <v>1.76</v>
      </c>
      <c r="I136" s="31" t="n">
        <v>1497295</v>
      </c>
      <c r="J136" s="31" t="inlineStr">
        <is>
          <t>531642</t>
        </is>
      </c>
    </row>
    <row r="137">
      <c r="A137" s="31" t="inlineStr">
        <is>
          <t>RECLTD</t>
        </is>
      </c>
      <c r="B137" s="31" t="inlineStr">
        <is>
          <t>REC Ltd</t>
        </is>
      </c>
      <c r="C137" s="31" t="inlineStr">
        <is>
          <t>financials</t>
        </is>
      </c>
      <c r="D137" s="31" t="inlineStr">
        <is>
          <t>finance - term-lending institutions</t>
        </is>
      </c>
      <c r="E137" s="31" t="inlineStr">
        <is>
          <t>largecap</t>
        </is>
      </c>
      <c r="F137" s="31" t="n">
        <v>95796.69</v>
      </c>
      <c r="G137" s="31" t="n">
        <v>370.1</v>
      </c>
      <c r="H137" s="31" t="n">
        <v>1.73</v>
      </c>
      <c r="I137" s="31" t="n">
        <v>7320424</v>
      </c>
      <c r="J137" s="31" t="inlineStr">
        <is>
          <t>532955</t>
        </is>
      </c>
    </row>
    <row r="138">
      <c r="A138" s="31" t="inlineStr">
        <is>
          <t>AXISBANK</t>
        </is>
      </c>
      <c r="B138" s="31" t="inlineStr">
        <is>
          <t>Axis Bank Limited</t>
        </is>
      </c>
      <c r="C138" s="31" t="inlineStr">
        <is>
          <t>bank</t>
        </is>
      </c>
      <c r="D138" s="31" t="inlineStr">
        <is>
          <t>banks - private sector</t>
        </is>
      </c>
      <c r="E138" s="31" t="inlineStr">
        <is>
          <t>largecap</t>
        </is>
      </c>
      <c r="F138" s="31" t="n">
        <v>418266.79</v>
      </c>
      <c r="G138" s="31" t="n">
        <v>1368.7</v>
      </c>
      <c r="H138" s="31" t="n">
        <v>1.71</v>
      </c>
      <c r="I138" s="31" t="n">
        <v>3187785</v>
      </c>
      <c r="J138" s="31" t="inlineStr">
        <is>
          <t>532215</t>
        </is>
      </c>
    </row>
    <row r="139">
      <c r="A139" s="31" t="inlineStr">
        <is>
          <t>MAHLIFE</t>
        </is>
      </c>
      <c r="B139" s="31" t="inlineStr">
        <is>
          <t>Mahindra Lifespace Developers Limited</t>
        </is>
      </c>
      <c r="C139" s="31" t="inlineStr">
        <is>
          <t>realty</t>
        </is>
      </c>
      <c r="D139" s="31" t="inlineStr">
        <is>
          <t>construction</t>
        </is>
      </c>
      <c r="E139" s="31" t="inlineStr">
        <is>
          <t>midcap</t>
        </is>
      </c>
      <c r="F139" s="31" t="n">
        <v>7817.94</v>
      </c>
      <c r="G139" s="31" t="n">
        <v>372.7</v>
      </c>
      <c r="H139" s="31" t="n">
        <v>1.71</v>
      </c>
      <c r="I139" s="31" t="n">
        <v>294438</v>
      </c>
      <c r="J139" s="31" t="inlineStr">
        <is>
          <t>532313</t>
        </is>
      </c>
    </row>
    <row r="140">
      <c r="A140" s="31" t="inlineStr">
        <is>
          <t>REPCOHOME</t>
        </is>
      </c>
      <c r="B140" s="31" t="inlineStr">
        <is>
          <t>Repco Home Finance Limited</t>
        </is>
      </c>
      <c r="C140" s="31" t="inlineStr">
        <is>
          <t>financials</t>
        </is>
      </c>
      <c r="D140" s="31" t="inlineStr">
        <is>
          <t>finance - housing</t>
        </is>
      </c>
      <c r="E140" s="31" t="inlineStr">
        <is>
          <t>smallcap</t>
        </is>
      </c>
      <c r="F140" s="31" t="n">
        <v>2613.5</v>
      </c>
      <c r="G140" s="31" t="n">
        <v>424.9</v>
      </c>
      <c r="H140" s="31" t="n">
        <v>1.71</v>
      </c>
      <c r="I140" s="31" t="n">
        <v>125444</v>
      </c>
      <c r="J140" s="31" t="inlineStr">
        <is>
          <t>535322</t>
        </is>
      </c>
    </row>
    <row r="141">
      <c r="A141" s="31" t="inlineStr">
        <is>
          <t>RAJRATAN</t>
        </is>
      </c>
      <c r="B141" s="31" t="inlineStr">
        <is>
          <t>Rajratan Global Wire Ltd</t>
        </is>
      </c>
      <c r="C141" s="31" t="inlineStr">
        <is>
          <t>metals &amp; mining</t>
        </is>
      </c>
      <c r="D141" s="31" t="inlineStr">
        <is>
          <t>steel - medium / small</t>
        </is>
      </c>
      <c r="E141" s="31" t="inlineStr">
        <is>
          <t>smallcap</t>
        </is>
      </c>
      <c r="F141" s="31" t="n">
        <v>2241.03</v>
      </c>
      <c r="G141" s="31" t="n">
        <v>448.75</v>
      </c>
      <c r="H141" s="31" t="n">
        <v>1.67</v>
      </c>
      <c r="I141" s="31" t="n">
        <v>50511</v>
      </c>
      <c r="J141" s="31" t="inlineStr">
        <is>
          <t>517522</t>
        </is>
      </c>
    </row>
    <row r="142">
      <c r="A142" s="31" t="inlineStr">
        <is>
          <t>JLHL</t>
        </is>
      </c>
      <c r="B142" s="31" t="inlineStr">
        <is>
          <t>Jupiter Life Line Hospitals Ltd</t>
        </is>
      </c>
      <c r="C142" s="31" t="inlineStr">
        <is>
          <t>healthcare</t>
        </is>
      </c>
      <c r="D142" s="31" t="inlineStr">
        <is>
          <t>healthcare</t>
        </is>
      </c>
      <c r="E142" s="31" t="inlineStr">
        <is>
          <t>midcap</t>
        </is>
      </c>
      <c r="F142" s="31" t="n">
        <v>9316.280000000001</v>
      </c>
      <c r="G142" s="31" t="n">
        <v>1444.5</v>
      </c>
      <c r="H142" s="31" t="n">
        <v>1.66</v>
      </c>
      <c r="I142" s="31" t="n">
        <v>32770</v>
      </c>
      <c r="J142" s="31" t="inlineStr">
        <is>
          <t>543980</t>
        </is>
      </c>
    </row>
    <row r="143">
      <c r="A143" s="31" t="inlineStr">
        <is>
          <t>CANFINHOME</t>
        </is>
      </c>
      <c r="B143" s="31" t="inlineStr">
        <is>
          <t>Can Fin Homes Limited</t>
        </is>
      </c>
      <c r="C143" s="31" t="inlineStr">
        <is>
          <t>financials</t>
        </is>
      </c>
      <c r="D143" s="31" t="inlineStr">
        <is>
          <t>finance - housing</t>
        </is>
      </c>
      <c r="E143" s="31" t="inlineStr">
        <is>
          <t>midcap</t>
        </is>
      </c>
      <c r="F143" s="31" t="n">
        <v>11557.11</v>
      </c>
      <c r="G143" s="31" t="n">
        <v>882.35</v>
      </c>
      <c r="H143" s="31" t="n">
        <v>1.66</v>
      </c>
      <c r="I143" s="31" t="n">
        <v>171784</v>
      </c>
      <c r="J143" s="31" t="inlineStr">
        <is>
          <t>511196</t>
        </is>
      </c>
    </row>
    <row r="144">
      <c r="A144" s="31" t="inlineStr">
        <is>
          <t>YESBANK</t>
        </is>
      </c>
      <c r="B144" s="31" t="inlineStr">
        <is>
          <t>Yes Bank Limited</t>
        </is>
      </c>
      <c r="C144" s="31" t="inlineStr">
        <is>
          <t>bank</t>
        </is>
      </c>
      <c r="D144" s="31" t="inlineStr">
        <is>
          <t>banks - private sector</t>
        </is>
      </c>
      <c r="E144" s="31" t="inlineStr">
        <is>
          <t>largecap</t>
        </is>
      </c>
      <c r="F144" s="31" t="n">
        <v>75873.08</v>
      </c>
      <c r="G144" s="31" t="n">
        <v>24.58</v>
      </c>
      <c r="H144" s="31" t="n">
        <v>1.65</v>
      </c>
      <c r="I144" s="31" t="n">
        <v>93513120</v>
      </c>
      <c r="J144" s="31" t="inlineStr">
        <is>
          <t>532648</t>
        </is>
      </c>
    </row>
    <row r="145">
      <c r="A145" s="31" t="inlineStr">
        <is>
          <t>BORORENEW</t>
        </is>
      </c>
      <c r="B145" s="31" t="inlineStr">
        <is>
          <t>Borosil Renewables Ltd</t>
        </is>
      </c>
      <c r="C145" s="31" t="inlineStr">
        <is>
          <t>building materials</t>
        </is>
      </c>
      <c r="D145" s="31" t="inlineStr">
        <is>
          <t>glass &amp; glass products</t>
        </is>
      </c>
      <c r="E145" s="31" t="inlineStr">
        <is>
          <t>midcap</t>
        </is>
      </c>
      <c r="F145" s="31" t="n">
        <v>8442.870000000001</v>
      </c>
      <c r="G145" s="31" t="n">
        <v>612.2</v>
      </c>
      <c r="H145" s="31" t="n">
        <v>1.65</v>
      </c>
      <c r="I145" s="31" t="n">
        <v>415852</v>
      </c>
      <c r="J145" s="31" t="inlineStr">
        <is>
          <t>502219</t>
        </is>
      </c>
    </row>
    <row r="146">
      <c r="A146" s="31" t="inlineStr">
        <is>
          <t>SURYODAY</t>
        </is>
      </c>
      <c r="B146" s="31" t="inlineStr">
        <is>
          <t>Suryoday Small Finance Bank Ltd</t>
        </is>
      </c>
      <c r="C146" s="31" t="inlineStr">
        <is>
          <t>bank</t>
        </is>
      </c>
      <c r="D146" s="31" t="inlineStr">
        <is>
          <t>banks - private sector</t>
        </is>
      </c>
      <c r="E146" s="31" t="inlineStr">
        <is>
          <t>smallcap</t>
        </is>
      </c>
      <c r="F146" s="31" t="n">
        <v>1866.56</v>
      </c>
      <c r="G146" s="31" t="n">
        <v>178.51</v>
      </c>
      <c r="H146" s="31" t="n">
        <v>1.65</v>
      </c>
      <c r="I146" s="31" t="n">
        <v>433299</v>
      </c>
      <c r="J146" s="31" t="inlineStr">
        <is>
          <t>543279</t>
        </is>
      </c>
    </row>
    <row r="147">
      <c r="A147" s="31" t="inlineStr">
        <is>
          <t>3MINDIA</t>
        </is>
      </c>
      <c r="B147" s="31" t="inlineStr">
        <is>
          <t>3m India Limited</t>
        </is>
      </c>
      <c r="C147" s="31" t="inlineStr">
        <is>
          <t>miscellaneous</t>
        </is>
      </c>
      <c r="D147" s="31" t="inlineStr">
        <is>
          <t>diversified - large</t>
        </is>
      </c>
      <c r="E147" s="31" t="inlineStr">
        <is>
          <t>largecap</t>
        </is>
      </c>
      <c r="F147" s="31" t="n">
        <v>37062.08</v>
      </c>
      <c r="G147" s="31" t="n">
        <v>33435</v>
      </c>
      <c r="H147" s="31" t="n">
        <v>1.63</v>
      </c>
      <c r="I147" s="31" t="n">
        <v>4012</v>
      </c>
      <c r="J147" s="31" t="inlineStr">
        <is>
          <t>523395</t>
        </is>
      </c>
    </row>
    <row r="148">
      <c r="A148" s="31" t="inlineStr">
        <is>
          <t>VTL</t>
        </is>
      </c>
      <c r="B148" s="31" t="inlineStr">
        <is>
          <t>Vardhman Textiles Limited</t>
        </is>
      </c>
      <c r="C148" s="31" t="inlineStr">
        <is>
          <t>textiles</t>
        </is>
      </c>
      <c r="D148" s="31" t="inlineStr">
        <is>
          <t>textiles - cotton/blended</t>
        </is>
      </c>
      <c r="E148" s="31" t="inlineStr">
        <is>
          <t>midcap</t>
        </is>
      </c>
      <c r="F148" s="31" t="n">
        <v>18402.66</v>
      </c>
      <c r="G148" s="31" t="n">
        <v>646.2</v>
      </c>
      <c r="H148" s="31" t="n">
        <v>1.58</v>
      </c>
      <c r="I148" s="31" t="n">
        <v>320113</v>
      </c>
      <c r="J148" s="31" t="inlineStr">
        <is>
          <t>502986</t>
        </is>
      </c>
    </row>
    <row r="149">
      <c r="A149" s="31" t="inlineStr">
        <is>
          <t>FDC</t>
        </is>
      </c>
      <c r="B149" s="31" t="inlineStr">
        <is>
          <t>Fdc Limited</t>
        </is>
      </c>
      <c r="C149" s="31" t="inlineStr">
        <is>
          <t>healthcare</t>
        </is>
      </c>
      <c r="D149" s="31" t="inlineStr">
        <is>
          <t>pharmaceuticals - indian - bulk drugs &amp; formln</t>
        </is>
      </c>
      <c r="E149" s="31" t="inlineStr">
        <is>
          <t>midcap</t>
        </is>
      </c>
      <c r="F149" s="31" t="n">
        <v>6900.71</v>
      </c>
      <c r="G149" s="31" t="n">
        <v>430.55</v>
      </c>
      <c r="H149" s="31" t="n">
        <v>1.58</v>
      </c>
      <c r="I149" s="31" t="n">
        <v>262214</v>
      </c>
      <c r="J149" s="31" t="inlineStr">
        <is>
          <t>531599</t>
        </is>
      </c>
    </row>
    <row r="150">
      <c r="A150" s="31" t="inlineStr">
        <is>
          <t>SAMMAANCAP</t>
        </is>
      </c>
      <c r="B150" s="31" t="inlineStr">
        <is>
          <t>Sammaan Capital Ltd</t>
        </is>
      </c>
      <c r="C150" s="31" t="inlineStr">
        <is>
          <t>financials</t>
        </is>
      </c>
      <c r="D150" s="31" t="inlineStr">
        <is>
          <t>finance - housing</t>
        </is>
      </c>
      <c r="E150" s="31" t="inlineStr">
        <is>
          <t>largecap</t>
        </is>
      </c>
      <c r="F150" s="31" t="n">
        <v>20169.16</v>
      </c>
      <c r="G150" s="31" t="n">
        <v>176.29</v>
      </c>
      <c r="H150" s="31" t="n">
        <v>1.54</v>
      </c>
      <c r="I150" s="31" t="n">
        <v>22355392</v>
      </c>
      <c r="J150" s="31" t="inlineStr">
        <is>
          <t>535789</t>
        </is>
      </c>
    </row>
    <row r="151">
      <c r="A151" s="31" t="inlineStr">
        <is>
          <t>HESTERBIO</t>
        </is>
      </c>
      <c r="B151" s="31" t="inlineStr">
        <is>
          <t>Hester Biosciences Limited</t>
        </is>
      </c>
      <c r="C151" s="31" t="inlineStr">
        <is>
          <t>healthcare</t>
        </is>
      </c>
      <c r="D151" s="31" t="inlineStr">
        <is>
          <t>pharmaceuticals - indian - formulations</t>
        </is>
      </c>
      <c r="E151" s="31" t="inlineStr">
        <is>
          <t>smallcap</t>
        </is>
      </c>
      <c r="F151" s="31" t="n">
        <v>1842.5</v>
      </c>
      <c r="G151" s="31" t="n">
        <v>2198.6</v>
      </c>
      <c r="H151" s="31" t="n">
        <v>1.51</v>
      </c>
      <c r="I151" s="31" t="n">
        <v>4157</v>
      </c>
      <c r="J151" s="31" t="inlineStr">
        <is>
          <t>524669</t>
        </is>
      </c>
    </row>
    <row r="152">
      <c r="A152" s="31" t="inlineStr">
        <is>
          <t>JTLIND</t>
        </is>
      </c>
      <c r="B152" s="31" t="inlineStr">
        <is>
          <t>JTL Industries Ltd</t>
        </is>
      </c>
      <c r="C152" s="31" t="inlineStr">
        <is>
          <t>metals &amp; mining</t>
        </is>
      </c>
      <c r="D152" s="31" t="inlineStr">
        <is>
          <t>steel - medium / small</t>
        </is>
      </c>
      <c r="E152" s="31" t="inlineStr">
        <is>
          <t>smallcap</t>
        </is>
      </c>
      <c r="F152" s="31" t="n">
        <v>3128.54</v>
      </c>
      <c r="G152" s="31" t="n">
        <v>80.78</v>
      </c>
      <c r="H152" s="31" t="n">
        <v>1.5</v>
      </c>
      <c r="I152" s="31" t="n">
        <v>3658192</v>
      </c>
      <c r="J152" s="31" t="inlineStr">
        <is>
          <t>534600</t>
        </is>
      </c>
    </row>
    <row r="153">
      <c r="A153" s="31" t="inlineStr">
        <is>
          <t>SBC</t>
        </is>
      </c>
      <c r="B153" s="31" t="inlineStr">
        <is>
          <t>SBC Exports Ltd</t>
        </is>
      </c>
      <c r="C153" s="31" t="inlineStr">
        <is>
          <t>textiles</t>
        </is>
      </c>
      <c r="D153" s="31" t="inlineStr">
        <is>
          <t>textiles - products</t>
        </is>
      </c>
      <c r="E153" s="31" t="inlineStr">
        <is>
          <t>smallcap</t>
        </is>
      </c>
      <c r="F153" s="31" t="n">
        <v>1970.47</v>
      </c>
      <c r="G153" s="31" t="n">
        <v>42</v>
      </c>
      <c r="H153" s="31" t="n">
        <v>1.5</v>
      </c>
      <c r="I153" s="31" t="n">
        <v>7545732</v>
      </c>
      <c r="J153" s="31" t="inlineStr">
        <is>
          <t>542725</t>
        </is>
      </c>
    </row>
    <row r="154">
      <c r="A154" s="31" t="inlineStr">
        <is>
          <t>WELENT</t>
        </is>
      </c>
      <c r="B154" s="31" t="inlineStr">
        <is>
          <t>Welspun Enterprises Limited</t>
        </is>
      </c>
      <c r="C154" s="31" t="inlineStr">
        <is>
          <t>realty</t>
        </is>
      </c>
      <c r="D154" s="31" t="inlineStr">
        <is>
          <t>construction</t>
        </is>
      </c>
      <c r="E154" s="31" t="inlineStr">
        <is>
          <t>midcap</t>
        </is>
      </c>
      <c r="F154" s="31" t="n">
        <v>8324.9</v>
      </c>
      <c r="G154" s="31" t="n">
        <v>610.35</v>
      </c>
      <c r="H154" s="31" t="n">
        <v>1.48</v>
      </c>
      <c r="I154" s="31" t="n">
        <v>1059839</v>
      </c>
      <c r="J154" s="31" t="inlineStr">
        <is>
          <t>532553</t>
        </is>
      </c>
    </row>
    <row r="155">
      <c r="A155" s="31" t="inlineStr">
        <is>
          <t>UNIONBANK</t>
        </is>
      </c>
      <c r="B155" s="31" t="inlineStr">
        <is>
          <t>Union Bank Of India Ltd</t>
        </is>
      </c>
      <c r="C155" s="31" t="inlineStr">
        <is>
          <t>bank</t>
        </is>
      </c>
      <c r="D155" s="31" t="inlineStr">
        <is>
          <t>banks - public sector</t>
        </is>
      </c>
      <c r="E155" s="31" t="inlineStr">
        <is>
          <t>largecap</t>
        </is>
      </c>
      <c r="F155" s="31" t="n">
        <v>131626.26</v>
      </c>
      <c r="G155" s="31" t="n">
        <v>174.88</v>
      </c>
      <c r="H155" s="31" t="n">
        <v>1.42</v>
      </c>
      <c r="I155" s="31" t="n">
        <v>13759343</v>
      </c>
      <c r="J155" s="31" t="inlineStr">
        <is>
          <t>532477</t>
        </is>
      </c>
    </row>
    <row r="156">
      <c r="A156" s="31" t="inlineStr">
        <is>
          <t>CHOICEIN</t>
        </is>
      </c>
      <c r="B156" s="31" t="inlineStr">
        <is>
          <t>Choice International Ltd</t>
        </is>
      </c>
      <c r="C156" s="31" t="inlineStr">
        <is>
          <t>financials</t>
        </is>
      </c>
      <c r="D156" s="31" t="inlineStr">
        <is>
          <t>finance &amp; investments</t>
        </is>
      </c>
      <c r="E156" s="31" t="inlineStr">
        <is>
          <t>midcap</t>
        </is>
      </c>
      <c r="F156" s="31" t="n">
        <v>16779.53</v>
      </c>
      <c r="G156" s="31" t="n">
        <v>763.85</v>
      </c>
      <c r="H156" s="31" t="n">
        <v>1.41</v>
      </c>
      <c r="I156" s="31" t="n">
        <v>848015</v>
      </c>
      <c r="J156" s="31" t="inlineStr">
        <is>
          <t>531358</t>
        </is>
      </c>
    </row>
    <row r="157">
      <c r="A157" s="31" t="inlineStr">
        <is>
          <t>KRISHANA</t>
        </is>
      </c>
      <c r="B157" s="31" t="inlineStr">
        <is>
          <t>Krishana Phoschem Ltd</t>
        </is>
      </c>
      <c r="C157" s="31" t="inlineStr">
        <is>
          <t>chemicals</t>
        </is>
      </c>
      <c r="D157" s="31" t="inlineStr">
        <is>
          <t>fertilizers</t>
        </is>
      </c>
      <c r="E157" s="31" t="inlineStr">
        <is>
          <t>smallcap</t>
        </is>
      </c>
      <c r="F157" s="31" t="n">
        <v>4253.74</v>
      </c>
      <c r="G157" s="31" t="n">
        <v>697.65</v>
      </c>
      <c r="H157" s="31" t="n">
        <v>1.4</v>
      </c>
      <c r="I157" s="31" t="n">
        <v>362021</v>
      </c>
      <c r="J157" s="31" t="inlineStr">
        <is>
          <t>538405</t>
        </is>
      </c>
    </row>
    <row r="158">
      <c r="A158" s="31" t="inlineStr">
        <is>
          <t>KKCL</t>
        </is>
      </c>
      <c r="B158" s="31" t="inlineStr">
        <is>
          <t>Kewal Kiran Clothing Limited</t>
        </is>
      </c>
      <c r="C158" s="31" t="inlineStr">
        <is>
          <t>consumer discretionary</t>
        </is>
      </c>
      <c r="D158" s="31" t="inlineStr">
        <is>
          <t>textiles - products</t>
        </is>
      </c>
      <c r="E158" s="31" t="inlineStr">
        <is>
          <t>smallcap</t>
        </is>
      </c>
      <c r="F158" s="31" t="n">
        <v>3061.23</v>
      </c>
      <c r="G158" s="31" t="n">
        <v>503.65</v>
      </c>
      <c r="H158" s="31" t="n">
        <v>1.39</v>
      </c>
      <c r="I158" s="31" t="n">
        <v>49292</v>
      </c>
      <c r="J158" s="31" t="inlineStr">
        <is>
          <t>532732</t>
        </is>
      </c>
    </row>
    <row r="159">
      <c r="A159" s="31" t="inlineStr">
        <is>
          <t>TEXINFRA</t>
        </is>
      </c>
      <c r="B159" s="31" t="inlineStr">
        <is>
          <t>Texmaco Infrastructure &amp; Holdings Limited</t>
        </is>
      </c>
      <c r="C159" s="31" t="inlineStr">
        <is>
          <t>realty</t>
        </is>
      </c>
      <c r="D159" s="31" t="inlineStr">
        <is>
          <t>construction</t>
        </is>
      </c>
      <c r="E159" s="31" t="inlineStr">
        <is>
          <t>smallcap</t>
        </is>
      </c>
      <c r="F159" s="31" t="n">
        <v>1386.66</v>
      </c>
      <c r="G159" s="31" t="n">
        <v>110.33</v>
      </c>
      <c r="H159" s="31" t="n">
        <v>1.39</v>
      </c>
      <c r="I159" s="31" t="n">
        <v>370869</v>
      </c>
      <c r="J159" s="31" t="inlineStr">
        <is>
          <t>505400</t>
        </is>
      </c>
    </row>
    <row r="160">
      <c r="A160" s="31" t="inlineStr">
        <is>
          <t>AUBANK</t>
        </is>
      </c>
      <c r="B160" s="31" t="inlineStr">
        <is>
          <t>AU Small Finance Bank Ltd</t>
        </is>
      </c>
      <c r="C160" s="31" t="inlineStr">
        <is>
          <t>bank</t>
        </is>
      </c>
      <c r="D160" s="31" t="inlineStr">
        <is>
          <t>banks - private sector</t>
        </is>
      </c>
      <c r="E160" s="31" t="inlineStr">
        <is>
          <t>largecap</t>
        </is>
      </c>
      <c r="F160" s="31" t="n">
        <v>77599.03999999999</v>
      </c>
      <c r="G160" s="31" t="n">
        <v>1051.4</v>
      </c>
      <c r="H160" s="31" t="n">
        <v>1.38</v>
      </c>
      <c r="I160" s="31" t="n">
        <v>1781800</v>
      </c>
      <c r="J160" s="31" t="inlineStr">
        <is>
          <t>540611</t>
        </is>
      </c>
    </row>
    <row r="161">
      <c r="A161" s="31" t="inlineStr">
        <is>
          <t>GLOSTERLTD</t>
        </is>
      </c>
      <c r="B161" s="31" t="inlineStr">
        <is>
          <t>Gloster Ltd</t>
        </is>
      </c>
      <c r="C161" s="31" t="inlineStr">
        <is>
          <t>textiles</t>
        </is>
      </c>
      <c r="D161" s="31" t="inlineStr">
        <is>
          <t>textiles - jute - yarn / products</t>
        </is>
      </c>
      <c r="E161" s="31" t="inlineStr">
        <is>
          <t>smallcap</t>
        </is>
      </c>
      <c r="F161" s="31" t="n">
        <v>800.88</v>
      </c>
      <c r="G161" s="31" t="n">
        <v>741.75</v>
      </c>
      <c r="H161" s="31" t="n">
        <v>1.35</v>
      </c>
      <c r="I161" s="31" t="n">
        <v>11817</v>
      </c>
      <c r="J161" s="31" t="inlineStr">
        <is>
          <t>542351</t>
        </is>
      </c>
    </row>
    <row r="162">
      <c r="A162" s="31" t="inlineStr">
        <is>
          <t>KARURVYSYA</t>
        </is>
      </c>
      <c r="B162" s="31" t="inlineStr">
        <is>
          <t>Karur Vysya Bank Limited</t>
        </is>
      </c>
      <c r="C162" s="31" t="inlineStr">
        <is>
          <t>bank</t>
        </is>
      </c>
      <c r="D162" s="31" t="inlineStr">
        <is>
          <t>banks - private sector</t>
        </is>
      </c>
      <c r="E162" s="31" t="inlineStr">
        <is>
          <t>largecap</t>
        </is>
      </c>
      <c r="F162" s="31" t="n">
        <v>28622.39</v>
      </c>
      <c r="G162" s="31" t="n">
        <v>300.1</v>
      </c>
      <c r="H162" s="31" t="n">
        <v>1.35</v>
      </c>
      <c r="I162" s="31" t="n">
        <v>5384348</v>
      </c>
      <c r="J162" s="31" t="inlineStr">
        <is>
          <t>590003</t>
        </is>
      </c>
    </row>
    <row r="163">
      <c r="A163" s="31" t="inlineStr">
        <is>
          <t>FAZE3Q</t>
        </is>
      </c>
      <c r="B163" s="31" t="inlineStr">
        <is>
          <t>Faze Three Ltd</t>
        </is>
      </c>
      <c r="C163" s="31" t="inlineStr">
        <is>
          <t>textiles</t>
        </is>
      </c>
      <c r="D163" s="31" t="inlineStr">
        <is>
          <t>textiles - processing</t>
        </is>
      </c>
      <c r="E163" s="31" t="inlineStr">
        <is>
          <t>smallcap</t>
        </is>
      </c>
      <c r="F163" s="31" t="n">
        <v>1456.59</v>
      </c>
      <c r="G163" s="31" t="n">
        <v>607.05</v>
      </c>
      <c r="H163" s="31" t="n">
        <v>1.35</v>
      </c>
      <c r="I163" s="31" t="n">
        <v>15982</v>
      </c>
      <c r="J163" s="31" t="inlineStr">
        <is>
          <t>530079</t>
        </is>
      </c>
    </row>
    <row r="164">
      <c r="A164" s="31" t="inlineStr">
        <is>
          <t>IOLCP</t>
        </is>
      </c>
      <c r="B164" s="31" t="inlineStr">
        <is>
          <t>Iol Chemicals And Pharmaceuticals Limited</t>
        </is>
      </c>
      <c r="C164" s="31" t="inlineStr">
        <is>
          <t>healthcare</t>
        </is>
      </c>
      <c r="D164" s="31" t="inlineStr">
        <is>
          <t>pharmaceuticals - indian - bulk drugs &amp; formln</t>
        </is>
      </c>
      <c r="E164" s="31" t="inlineStr">
        <is>
          <t>smallcap</t>
        </is>
      </c>
      <c r="F164" s="31" t="n">
        <v>4264.66</v>
      </c>
      <c r="G164" s="31" t="n">
        <v>147.21</v>
      </c>
      <c r="H164" s="31" t="n">
        <v>1.32</v>
      </c>
      <c r="I164" s="31" t="n">
        <v>4020139</v>
      </c>
      <c r="J164" s="31" t="inlineStr">
        <is>
          <t>524164</t>
        </is>
      </c>
    </row>
    <row r="165">
      <c r="A165" s="31" t="inlineStr">
        <is>
          <t>GRASIM</t>
        </is>
      </c>
      <c r="B165" s="31" t="inlineStr">
        <is>
          <t>Grasim Industries Limited</t>
        </is>
      </c>
      <c r="C165" s="31" t="inlineStr">
        <is>
          <t>textiles</t>
        </is>
      </c>
      <c r="D165" s="31" t="inlineStr">
        <is>
          <t>textiles - manmade</t>
        </is>
      </c>
      <c r="E165" s="31" t="inlineStr">
        <is>
          <t>largecap</t>
        </is>
      </c>
      <c r="F165" s="31" t="n">
        <v>210979.98</v>
      </c>
      <c r="G165" s="31" t="n">
        <v>3140.4</v>
      </c>
      <c r="H165" s="31" t="n">
        <v>1.3</v>
      </c>
      <c r="I165" s="31" t="n">
        <v>490262</v>
      </c>
      <c r="J165" s="31" t="inlineStr">
        <is>
          <t>500300</t>
        </is>
      </c>
    </row>
    <row r="166">
      <c r="A166" s="31" t="inlineStr">
        <is>
          <t>ELGIEQUIP</t>
        </is>
      </c>
      <c r="B166" s="31" t="inlineStr">
        <is>
          <t>Elgi Equipments Limited</t>
        </is>
      </c>
      <c r="C166" s="31" t="inlineStr">
        <is>
          <t>industrials</t>
        </is>
      </c>
      <c r="D166" s="31" t="inlineStr">
        <is>
          <t>compressors / drilling equipment</t>
        </is>
      </c>
      <c r="E166" s="31" t="inlineStr">
        <is>
          <t>midcap</t>
        </is>
      </c>
      <c r="F166" s="31" t="n">
        <v>18954.33</v>
      </c>
      <c r="G166" s="31" t="n">
        <v>605.85</v>
      </c>
      <c r="H166" s="31" t="n">
        <v>1.3</v>
      </c>
      <c r="I166" s="31" t="n">
        <v>411033</v>
      </c>
      <c r="J166" s="31" t="inlineStr">
        <is>
          <t>522074</t>
        </is>
      </c>
    </row>
    <row r="167">
      <c r="A167" s="31" t="inlineStr">
        <is>
          <t>PNBHOUSING</t>
        </is>
      </c>
      <c r="B167" s="31" t="inlineStr">
        <is>
          <t>Pnb Housing Finance Limited</t>
        </is>
      </c>
      <c r="C167" s="31" t="inlineStr">
        <is>
          <t>financials</t>
        </is>
      </c>
      <c r="D167" s="31" t="inlineStr">
        <is>
          <t>finance - housing</t>
        </is>
      </c>
      <c r="E167" s="31" t="inlineStr">
        <is>
          <t>largecap</t>
        </is>
      </c>
      <c r="F167" s="31" t="n">
        <v>27051.21</v>
      </c>
      <c r="G167" s="31" t="n">
        <v>1051.8</v>
      </c>
      <c r="H167" s="31" t="n">
        <v>1.29</v>
      </c>
      <c r="I167" s="31" t="n">
        <v>845452</v>
      </c>
      <c r="J167" s="31" t="inlineStr">
        <is>
          <t>540173</t>
        </is>
      </c>
    </row>
    <row r="168">
      <c r="A168" s="31" t="inlineStr">
        <is>
          <t>GMRAIRPORT</t>
        </is>
      </c>
      <c r="B168" s="31" t="inlineStr">
        <is>
          <t>GMR Airports Ltd</t>
        </is>
      </c>
      <c r="C168" s="31" t="inlineStr">
        <is>
          <t>miscellaneous</t>
        </is>
      </c>
      <c r="D168" s="31" t="inlineStr">
        <is>
          <t>miscellaneous</t>
        </is>
      </c>
      <c r="E168" s="31" t="inlineStr">
        <is>
          <t>largecap</t>
        </is>
      </c>
      <c r="F168" s="31" t="n">
        <v>118355.56</v>
      </c>
      <c r="G168" s="31" t="n">
        <v>113.53</v>
      </c>
      <c r="H168" s="31" t="n">
        <v>1.28</v>
      </c>
      <c r="I168" s="31" t="n">
        <v>20998345</v>
      </c>
      <c r="J168" s="31" t="inlineStr">
        <is>
          <t>532754</t>
        </is>
      </c>
    </row>
    <row r="169">
      <c r="A169" s="31" t="inlineStr">
        <is>
          <t>VIJAYA</t>
        </is>
      </c>
      <c r="B169" s="31" t="inlineStr">
        <is>
          <t>Vijaya Diagnostic Centre Ltd</t>
        </is>
      </c>
      <c r="C169" s="31" t="inlineStr">
        <is>
          <t>healthcare</t>
        </is>
      </c>
      <c r="D169" s="31" t="inlineStr">
        <is>
          <t>healthcare</t>
        </is>
      </c>
      <c r="E169" s="31" t="inlineStr">
        <is>
          <t>midcap</t>
        </is>
      </c>
      <c r="F169" s="31" t="n">
        <v>13917.81</v>
      </c>
      <c r="G169" s="31" t="n">
        <v>1369.9</v>
      </c>
      <c r="H169" s="31" t="n">
        <v>1.28</v>
      </c>
      <c r="I169" s="31" t="n">
        <v>228246</v>
      </c>
      <c r="J169" s="31" t="inlineStr">
        <is>
          <t>543350</t>
        </is>
      </c>
    </row>
    <row r="170">
      <c r="A170" s="31" t="inlineStr">
        <is>
          <t>AKUMS</t>
        </is>
      </c>
      <c r="B170" s="31" t="inlineStr">
        <is>
          <t>Akums Drugs &amp; Pharmaceuticals Ltd</t>
        </is>
      </c>
      <c r="C170" s="31" t="inlineStr">
        <is>
          <t>healthcare</t>
        </is>
      </c>
      <c r="D170" s="31" t="inlineStr">
        <is>
          <t>pharmaceuticals - indian - bulk drugs &amp; formln</t>
        </is>
      </c>
      <c r="E170" s="31" t="inlineStr">
        <is>
          <t>midcap</t>
        </is>
      </c>
      <c r="F170" s="31" t="n">
        <v>9808.01</v>
      </c>
      <c r="G170" s="31" t="n">
        <v>630.85</v>
      </c>
      <c r="H170" s="31" t="n">
        <v>1.24</v>
      </c>
      <c r="I170" s="31" t="n">
        <v>194858</v>
      </c>
      <c r="J170" s="31" t="inlineStr">
        <is>
          <t>544222</t>
        </is>
      </c>
    </row>
    <row r="171">
      <c r="A171" s="31" t="inlineStr">
        <is>
          <t>IDEA</t>
        </is>
      </c>
      <c r="B171" s="31" t="inlineStr">
        <is>
          <t>Vodafone Idea Ltd</t>
        </is>
      </c>
      <c r="C171" s="31" t="inlineStr">
        <is>
          <t>telecom-service</t>
        </is>
      </c>
      <c r="D171" s="31" t="inlineStr">
        <is>
          <t>telecommunications - service provider</t>
        </is>
      </c>
      <c r="E171" s="31" t="inlineStr">
        <is>
          <t>largecap</t>
        </is>
      </c>
      <c r="F171" s="31" t="n">
        <v>156664.03</v>
      </c>
      <c r="G171" s="31" t="n">
        <v>14.64</v>
      </c>
      <c r="H171" s="31" t="n">
        <v>1.24</v>
      </c>
      <c r="I171" s="31" t="n">
        <v>423814945</v>
      </c>
      <c r="J171" s="31" t="inlineStr">
        <is>
          <t>532822</t>
        </is>
      </c>
    </row>
    <row r="172">
      <c r="A172" s="31" t="inlineStr">
        <is>
          <t>NELCO</t>
        </is>
      </c>
      <c r="B172" s="31" t="inlineStr">
        <is>
          <t>Nelco Limited</t>
        </is>
      </c>
      <c r="C172" s="31" t="inlineStr">
        <is>
          <t>telecom</t>
        </is>
      </c>
      <c r="D172" s="31" t="inlineStr">
        <is>
          <t>telecommunications - service provider</t>
        </is>
      </c>
      <c r="E172" s="31" t="inlineStr">
        <is>
          <t>smallcap</t>
        </is>
      </c>
      <c r="F172" s="31" t="n">
        <v>2121.65</v>
      </c>
      <c r="G172" s="31" t="n">
        <v>941.15</v>
      </c>
      <c r="H172" s="31" t="n">
        <v>1.22</v>
      </c>
      <c r="I172" s="31" t="n">
        <v>352598</v>
      </c>
      <c r="J172" s="31" t="inlineStr">
        <is>
          <t>504112</t>
        </is>
      </c>
    </row>
    <row r="173">
      <c r="A173" s="31" t="inlineStr">
        <is>
          <t>HAL</t>
        </is>
      </c>
      <c r="B173" s="31" t="inlineStr">
        <is>
          <t>Hindustan Aeronautics Ltd</t>
        </is>
      </c>
      <c r="C173" s="31" t="inlineStr">
        <is>
          <t>aerospace &amp; defence</t>
        </is>
      </c>
      <c r="D173" s="31" t="inlineStr">
        <is>
          <t>engineering</t>
        </is>
      </c>
      <c r="E173" s="31" t="inlineStr">
        <is>
          <t>largecap</t>
        </is>
      </c>
      <c r="F173" s="31" t="n">
        <v>293003.7</v>
      </c>
      <c r="G173" s="31" t="n">
        <v>4434.4</v>
      </c>
      <c r="H173" s="31" t="n">
        <v>1.21</v>
      </c>
      <c r="I173" s="31" t="n">
        <v>469658</v>
      </c>
      <c r="J173" s="31" t="inlineStr">
        <is>
          <t>541154</t>
        </is>
      </c>
    </row>
    <row r="174">
      <c r="A174" s="31" t="inlineStr">
        <is>
          <t>KPRMILL</t>
        </is>
      </c>
      <c r="B174" s="31" t="inlineStr">
        <is>
          <t>K.p.r. Mill Limited</t>
        </is>
      </c>
      <c r="C174" s="31" t="inlineStr">
        <is>
          <t>consumer discretionary</t>
        </is>
      </c>
      <c r="D174" s="31" t="inlineStr">
        <is>
          <t>textiles - products</t>
        </is>
      </c>
      <c r="E174" s="31" t="inlineStr">
        <is>
          <t>largecap</t>
        </is>
      </c>
      <c r="F174" s="31" t="n">
        <v>40241.76</v>
      </c>
      <c r="G174" s="31" t="n">
        <v>1191.6</v>
      </c>
      <c r="H174" s="31" t="n">
        <v>1.21</v>
      </c>
      <c r="I174" s="31" t="n">
        <v>1036306</v>
      </c>
      <c r="J174" s="31" t="inlineStr">
        <is>
          <t>532889</t>
        </is>
      </c>
    </row>
    <row r="175">
      <c r="A175" s="31" t="inlineStr">
        <is>
          <t>SPARC</t>
        </is>
      </c>
      <c r="B175" s="31" t="inlineStr">
        <is>
          <t>Sun Pharma Advanced Research Company Limited</t>
        </is>
      </c>
      <c r="C175" s="31" t="inlineStr">
        <is>
          <t>healthcare</t>
        </is>
      </c>
      <c r="D175" s="31" t="inlineStr">
        <is>
          <t>miscellaneous</t>
        </is>
      </c>
      <c r="E175" s="31" t="inlineStr">
        <is>
          <t>midcap</t>
        </is>
      </c>
      <c r="F175" s="31" t="n">
        <v>7618.14</v>
      </c>
      <c r="G175" s="31" t="n">
        <v>237.5</v>
      </c>
      <c r="H175" s="31" t="n">
        <v>1.17</v>
      </c>
      <c r="I175" s="31" t="n">
        <v>1518384</v>
      </c>
      <c r="J175" s="31" t="inlineStr">
        <is>
          <t>532872</t>
        </is>
      </c>
    </row>
    <row r="176">
      <c r="A176" s="31" t="inlineStr">
        <is>
          <t>ACUTAAS</t>
        </is>
      </c>
      <c r="B176" s="31" t="inlineStr">
        <is>
          <t>Acutaas Chemicals Ltd</t>
        </is>
      </c>
      <c r="C176" s="31" t="inlineStr">
        <is>
          <t>healthcare</t>
        </is>
      </c>
      <c r="D176" s="31" t="inlineStr">
        <is>
          <t>pharmaceuticals - indian - bulk drugs</t>
        </is>
      </c>
      <c r="E176" s="31" t="inlineStr">
        <is>
          <t>largecap</t>
        </is>
      </c>
      <c r="F176" s="31" t="n">
        <v>28869.4</v>
      </c>
      <c r="G176" s="31" t="n">
        <v>3567.5</v>
      </c>
      <c r="H176" s="31" t="n">
        <v>1.17</v>
      </c>
      <c r="I176" s="31" t="n">
        <v>349604</v>
      </c>
      <c r="J176" s="31" t="inlineStr">
        <is>
          <t>543349</t>
        </is>
      </c>
    </row>
    <row r="177">
      <c r="A177" s="31" t="inlineStr">
        <is>
          <t>TITAGARH</t>
        </is>
      </c>
      <c r="B177" s="31" t="inlineStr">
        <is>
          <t>Titagarh Rail Systems Ltd</t>
        </is>
      </c>
      <c r="C177" s="31" t="inlineStr">
        <is>
          <t>industrials</t>
        </is>
      </c>
      <c r="D177" s="31" t="inlineStr">
        <is>
          <t>engineering</t>
        </is>
      </c>
      <c r="E177" s="31" t="inlineStr">
        <is>
          <t>midcap</t>
        </is>
      </c>
      <c r="F177" s="31" t="n">
        <v>11860.72</v>
      </c>
      <c r="G177" s="31" t="n">
        <v>890.7</v>
      </c>
      <c r="H177" s="31" t="n">
        <v>1.14</v>
      </c>
      <c r="I177" s="31" t="n">
        <v>598797</v>
      </c>
      <c r="J177" s="31" t="inlineStr">
        <is>
          <t>532966</t>
        </is>
      </c>
    </row>
    <row r="178">
      <c r="A178" s="31" t="inlineStr">
        <is>
          <t>MANBA</t>
        </is>
      </c>
      <c r="B178" s="31" t="inlineStr">
        <is>
          <t>Manba Finance Ltd</t>
        </is>
      </c>
      <c r="C178" s="31" t="inlineStr">
        <is>
          <t>financials</t>
        </is>
      </c>
      <c r="D178" s="31" t="inlineStr">
        <is>
          <t>finance &amp; investments</t>
        </is>
      </c>
      <c r="E178" s="31" t="inlineStr">
        <is>
          <t>smallcap</t>
        </is>
      </c>
      <c r="F178" s="31" t="n">
        <v>690.09</v>
      </c>
      <c r="G178" s="31" t="n">
        <v>138.88</v>
      </c>
      <c r="H178" s="31" t="n">
        <v>1.11</v>
      </c>
      <c r="I178" s="31" t="n">
        <v>219577</v>
      </c>
      <c r="J178" s="31" t="inlineStr">
        <is>
          <t>544262</t>
        </is>
      </c>
    </row>
    <row r="179">
      <c r="A179" s="31" t="inlineStr">
        <is>
          <t>NEULANDLAB</t>
        </is>
      </c>
      <c r="B179" s="31" t="inlineStr">
        <is>
          <t>Neuland Laboratories Limited</t>
        </is>
      </c>
      <c r="C179" s="31" t="inlineStr">
        <is>
          <t>healthcare</t>
        </is>
      </c>
      <c r="D179" s="31" t="inlineStr">
        <is>
          <t>pharmaceuticals - indian - bulk drugs</t>
        </is>
      </c>
      <c r="E179" s="31" t="inlineStr">
        <is>
          <t>largecap</t>
        </is>
      </c>
      <c r="F179" s="31" t="n">
        <v>23836.65</v>
      </c>
      <c r="G179" s="31" t="n">
        <v>18786</v>
      </c>
      <c r="H179" s="31" t="n">
        <v>1.11</v>
      </c>
      <c r="I179" s="31" t="n">
        <v>43004</v>
      </c>
      <c r="J179" s="31" t="inlineStr">
        <is>
          <t>524558</t>
        </is>
      </c>
    </row>
    <row r="180">
      <c r="A180" s="31" t="inlineStr">
        <is>
          <t>WOCKPHARMA</t>
        </is>
      </c>
      <c r="B180" s="31" t="inlineStr">
        <is>
          <t>Wockhardt Limited</t>
        </is>
      </c>
      <c r="C180" s="31" t="inlineStr">
        <is>
          <t>healthcare</t>
        </is>
      </c>
      <c r="D180" s="31" t="inlineStr">
        <is>
          <t>pharmaceuticals - indian - bulk drugs &amp; formln</t>
        </is>
      </c>
      <c r="E180" s="31" t="inlineStr">
        <is>
          <t>largecap</t>
        </is>
      </c>
      <c r="F180" s="31" t="n">
        <v>31546.23</v>
      </c>
      <c r="G180" s="31" t="n">
        <v>1962.7</v>
      </c>
      <c r="H180" s="31" t="n">
        <v>1.1</v>
      </c>
      <c r="I180" s="31" t="n">
        <v>639184</v>
      </c>
      <c r="J180" s="31" t="inlineStr">
        <is>
          <t>532300</t>
        </is>
      </c>
    </row>
    <row r="181">
      <c r="A181" s="31" t="inlineStr">
        <is>
          <t>MEDANTA</t>
        </is>
      </c>
      <c r="B181" s="31" t="inlineStr">
        <is>
          <t>Global Health Ltd</t>
        </is>
      </c>
      <c r="C181" s="31" t="inlineStr">
        <is>
          <t>healthcare</t>
        </is>
      </c>
      <c r="D181" s="31" t="inlineStr">
        <is>
          <t>healthcare</t>
        </is>
      </c>
      <c r="E181" s="31" t="inlineStr">
        <is>
          <t>largecap</t>
        </is>
      </c>
      <c r="F181" s="31" t="n">
        <v>35313.68</v>
      </c>
      <c r="G181" s="31" t="n">
        <v>1328</v>
      </c>
      <c r="H181" s="31" t="n">
        <v>1.08</v>
      </c>
      <c r="I181" s="31" t="n">
        <v>217139</v>
      </c>
      <c r="J181" s="31" t="inlineStr">
        <is>
          <t>543654</t>
        </is>
      </c>
    </row>
    <row r="182">
      <c r="A182" s="31" t="inlineStr">
        <is>
          <t>GPTHEALTH</t>
        </is>
      </c>
      <c r="B182" s="31" t="inlineStr">
        <is>
          <t>GPT Healthcare Ltd</t>
        </is>
      </c>
      <c r="C182" s="31" t="inlineStr">
        <is>
          <t>healthcare</t>
        </is>
      </c>
      <c r="D182" s="31" t="inlineStr">
        <is>
          <t>healthcare</t>
        </is>
      </c>
      <c r="E182" s="31" t="inlineStr">
        <is>
          <t>smallcap</t>
        </is>
      </c>
      <c r="F182" s="31" t="n">
        <v>1218.6</v>
      </c>
      <c r="G182" s="31" t="n">
        <v>150.06</v>
      </c>
      <c r="H182" s="31" t="n">
        <v>1.04</v>
      </c>
      <c r="I182" s="31" t="n">
        <v>212702</v>
      </c>
      <c r="J182" s="31" t="inlineStr">
        <is>
          <t>544131</t>
        </is>
      </c>
    </row>
    <row r="183">
      <c r="A183" s="31" t="inlineStr">
        <is>
          <t>SWARAJENG</t>
        </is>
      </c>
      <c r="B183" s="31" t="inlineStr">
        <is>
          <t>Swaraj Engines Limited</t>
        </is>
      </c>
      <c r="C183" s="31" t="inlineStr">
        <is>
          <t>industrials</t>
        </is>
      </c>
      <c r="D183" s="31" t="inlineStr">
        <is>
          <t>engines</t>
        </is>
      </c>
      <c r="E183" s="31" t="inlineStr">
        <is>
          <t>smallcap</t>
        </is>
      </c>
      <c r="F183" s="31" t="n">
        <v>4857.03</v>
      </c>
      <c r="G183" s="31" t="n">
        <v>4038.7</v>
      </c>
      <c r="H183" s="31" t="n">
        <v>1.03</v>
      </c>
      <c r="I183" s="31" t="n">
        <v>39477</v>
      </c>
      <c r="J183" s="31" t="inlineStr">
        <is>
          <t>500407</t>
        </is>
      </c>
    </row>
    <row r="184">
      <c r="A184" s="31" t="inlineStr">
        <is>
          <t>HMT</t>
        </is>
      </c>
      <c r="B184" s="31" t="inlineStr">
        <is>
          <t>Hmt Limited</t>
        </is>
      </c>
      <c r="C184" s="31" t="inlineStr">
        <is>
          <t>consumer discretionary</t>
        </is>
      </c>
      <c r="D184" s="31" t="inlineStr">
        <is>
          <t>miscellaneous</t>
        </is>
      </c>
      <c r="E184" s="31" t="inlineStr">
        <is>
          <t>midcap</t>
        </is>
      </c>
      <c r="F184" s="31" t="n">
        <v>8172.17</v>
      </c>
      <c r="G184" s="31" t="n">
        <v>68.56</v>
      </c>
      <c r="H184" s="31" t="n">
        <v>1.02</v>
      </c>
      <c r="I184" s="31" t="n">
        <v>22355</v>
      </c>
      <c r="J184" s="31" t="inlineStr">
        <is>
          <t>500191</t>
        </is>
      </c>
    </row>
    <row r="185">
      <c r="A185" s="31" t="inlineStr">
        <is>
          <t>BAJFINANCE</t>
        </is>
      </c>
      <c r="B185" s="31" t="inlineStr">
        <is>
          <t>Bajaj Finance Limited</t>
        </is>
      </c>
      <c r="C185" s="31" t="inlineStr">
        <is>
          <t>financials</t>
        </is>
      </c>
      <c r="D185" s="31" t="inlineStr">
        <is>
          <t>finance &amp; investments</t>
        </is>
      </c>
      <c r="E185" s="31" t="inlineStr">
        <is>
          <t>largecap</t>
        </is>
      </c>
      <c r="F185" s="31" t="n">
        <v>625203.87</v>
      </c>
      <c r="G185" s="31" t="n">
        <v>1014.9</v>
      </c>
      <c r="H185" s="31" t="n">
        <v>1.01</v>
      </c>
      <c r="I185" s="31" t="n">
        <v>6834299</v>
      </c>
      <c r="J185" s="31" t="inlineStr">
        <is>
          <t>500034</t>
        </is>
      </c>
    </row>
    <row r="186">
      <c r="A186" s="31" t="inlineStr">
        <is>
          <t>SOMANYCERA</t>
        </is>
      </c>
      <c r="B186" s="31" t="inlineStr">
        <is>
          <t>Somany Ceramics Limited</t>
        </is>
      </c>
      <c r="C186" s="31" t="inlineStr">
        <is>
          <t>building materials</t>
        </is>
      </c>
      <c r="D186" s="31" t="inlineStr">
        <is>
          <t>ceramics - tiles / sanitaryware</t>
        </is>
      </c>
      <c r="E186" s="31" t="inlineStr">
        <is>
          <t>smallcap</t>
        </is>
      </c>
      <c r="F186" s="31" t="n">
        <v>2189.47</v>
      </c>
      <c r="G186" s="31" t="n">
        <v>539.25</v>
      </c>
      <c r="H186" s="31" t="n">
        <v>1.01</v>
      </c>
      <c r="I186" s="31" t="n">
        <v>135024</v>
      </c>
      <c r="J186" s="31" t="inlineStr">
        <is>
          <t>531548</t>
        </is>
      </c>
    </row>
    <row r="187">
      <c r="A187" s="31" t="inlineStr">
        <is>
          <t>ZOTA</t>
        </is>
      </c>
      <c r="B187" s="31" t="inlineStr">
        <is>
          <t>Zota Health Care Ltd</t>
        </is>
      </c>
      <c r="C187" s="31" t="inlineStr">
        <is>
          <t>healthcare</t>
        </is>
      </c>
      <c r="D187" s="31" t="inlineStr">
        <is>
          <t>pharmaceuticals - indian - bulk drugs &amp; formln</t>
        </is>
      </c>
      <c r="E187" s="31" t="inlineStr">
        <is>
          <t>smallcap</t>
        </is>
      </c>
      <c r="F187" s="31" t="n">
        <v>4906.74</v>
      </c>
      <c r="G187" s="31" t="n">
        <v>1430.6</v>
      </c>
      <c r="H187" s="31" t="n">
        <v>0.97</v>
      </c>
      <c r="I187" s="31" t="n">
        <v>80882</v>
      </c>
      <c r="J187" s="31" t="inlineStr">
        <is>
          <t>538426</t>
        </is>
      </c>
    </row>
    <row r="188">
      <c r="A188" s="31" t="inlineStr">
        <is>
          <t>J&amp;KBANK</t>
        </is>
      </c>
      <c r="B188" s="31" t="inlineStr">
        <is>
          <t>The Jammu &amp; Kashmir Bank Limited</t>
        </is>
      </c>
      <c r="C188" s="31" t="inlineStr">
        <is>
          <t>bank</t>
        </is>
      </c>
      <c r="D188" s="31" t="inlineStr">
        <is>
          <t>banks - private sector</t>
        </is>
      </c>
      <c r="E188" s="31" t="inlineStr">
        <is>
          <t>midcap</t>
        </is>
      </c>
      <c r="F188" s="31" t="n">
        <v>17039.7</v>
      </c>
      <c r="G188" s="31" t="n">
        <v>156.2</v>
      </c>
      <c r="H188" s="31" t="n">
        <v>0.9399999999999999</v>
      </c>
      <c r="I188" s="31" t="n">
        <v>4829636</v>
      </c>
      <c r="J188" s="31" t="inlineStr">
        <is>
          <t>532209</t>
        </is>
      </c>
    </row>
    <row r="189">
      <c r="A189" s="31" t="inlineStr">
        <is>
          <t>MAXHEALTH</t>
        </is>
      </c>
      <c r="B189" s="31" t="inlineStr">
        <is>
          <t>Max Healthcare Institute Ltd</t>
        </is>
      </c>
      <c r="C189" s="31" t="inlineStr">
        <is>
          <t>healthcare</t>
        </is>
      </c>
      <c r="D189" s="31" t="inlineStr">
        <is>
          <t>healthcare</t>
        </is>
      </c>
      <c r="E189" s="31" t="inlineStr">
        <is>
          <t>largecap</t>
        </is>
      </c>
      <c r="F189" s="31" t="n">
        <v>109891.27</v>
      </c>
      <c r="G189" s="31" t="n">
        <v>1139.9</v>
      </c>
      <c r="H189" s="31" t="n">
        <v>0.9399999999999999</v>
      </c>
      <c r="I189" s="31" t="n">
        <v>1329751</v>
      </c>
      <c r="J189" s="31" t="inlineStr">
        <is>
          <t>543220</t>
        </is>
      </c>
    </row>
    <row r="190">
      <c r="A190" s="31" t="inlineStr">
        <is>
          <t>THELEELA</t>
        </is>
      </c>
      <c r="B190" s="31" t="inlineStr">
        <is>
          <t>Leela Palaces Hotels &amp; Resorts Ltd</t>
        </is>
      </c>
      <c r="C190" s="31" t="inlineStr">
        <is>
          <t>services</t>
        </is>
      </c>
      <c r="D190" s="31" t="inlineStr">
        <is>
          <t>hotels</t>
        </is>
      </c>
      <c r="E190" s="31" t="inlineStr">
        <is>
          <t>midcap</t>
        </is>
      </c>
      <c r="F190" s="31" t="n">
        <v>15878.03</v>
      </c>
      <c r="G190" s="31" t="n">
        <v>479.9</v>
      </c>
      <c r="H190" s="31" t="n">
        <v>0.9399999999999999</v>
      </c>
      <c r="I190" s="31" t="n">
        <v>193292</v>
      </c>
      <c r="J190" s="31" t="inlineStr">
        <is>
          <t>544408</t>
        </is>
      </c>
    </row>
    <row r="191">
      <c r="A191" s="31" t="inlineStr">
        <is>
          <t>HMVL</t>
        </is>
      </c>
      <c r="B191" s="31" t="inlineStr">
        <is>
          <t>Hindustan Media Ventures Limited</t>
        </is>
      </c>
      <c r="C191" s="31" t="inlineStr">
        <is>
          <t>media</t>
        </is>
      </c>
      <c r="D191" s="31" t="inlineStr">
        <is>
          <t>entertainment / electronic media software</t>
        </is>
      </c>
      <c r="E191" s="31" t="inlineStr">
        <is>
          <t>smallcap</t>
        </is>
      </c>
      <c r="F191" s="31" t="n">
        <v>636.37</v>
      </c>
      <c r="G191" s="31" t="n">
        <v>87.17</v>
      </c>
      <c r="H191" s="31" t="n">
        <v>0.91</v>
      </c>
      <c r="I191" s="31" t="n">
        <v>59106</v>
      </c>
      <c r="J191" s="31" t="inlineStr">
        <is>
          <t>533217</t>
        </is>
      </c>
    </row>
    <row r="192">
      <c r="A192" s="31" t="inlineStr">
        <is>
          <t>MSTCLTD</t>
        </is>
      </c>
      <c r="B192" s="31" t="inlineStr">
        <is>
          <t>MSTC Ltd</t>
        </is>
      </c>
      <c r="C192" s="31" t="inlineStr">
        <is>
          <t>i.t</t>
        </is>
      </c>
      <c r="D192" s="31" t="inlineStr">
        <is>
          <t>trading</t>
        </is>
      </c>
      <c r="E192" s="31" t="inlineStr">
        <is>
          <t>smallcap</t>
        </is>
      </c>
      <c r="F192" s="31" t="n">
        <v>4994.18</v>
      </c>
      <c r="G192" s="31" t="n">
        <v>715.8</v>
      </c>
      <c r="H192" s="31" t="n">
        <v>0.9</v>
      </c>
      <c r="I192" s="31" t="n">
        <v>734603</v>
      </c>
      <c r="J192" s="31" t="inlineStr">
        <is>
          <t>542597</t>
        </is>
      </c>
    </row>
    <row r="193">
      <c r="A193" s="31" t="inlineStr">
        <is>
          <t>AURUM</t>
        </is>
      </c>
      <c r="B193" s="31" t="inlineStr">
        <is>
          <t>Aurum Proptech Ltd</t>
        </is>
      </c>
      <c r="C193" s="31" t="inlineStr">
        <is>
          <t>i.t</t>
        </is>
      </c>
      <c r="D193" s="31" t="inlineStr">
        <is>
          <t>computers - software - medium / small</t>
        </is>
      </c>
      <c r="E193" s="31" t="inlineStr">
        <is>
          <t>smallcap</t>
        </is>
      </c>
      <c r="F193" s="31" t="n">
        <v>1729.95</v>
      </c>
      <c r="G193" s="31" t="n">
        <v>227.71</v>
      </c>
      <c r="H193" s="31" t="n">
        <v>0.9</v>
      </c>
      <c r="I193" s="31" t="n">
        <v>224251</v>
      </c>
      <c r="J193" s="31" t="inlineStr">
        <is>
          <t>539289</t>
        </is>
      </c>
    </row>
    <row r="194">
      <c r="A194" s="31" t="inlineStr">
        <is>
          <t>GEOJITFSL</t>
        </is>
      </c>
      <c r="B194" s="31" t="inlineStr">
        <is>
          <t>Geojit Financial Services Ltd</t>
        </is>
      </c>
      <c r="C194" s="31" t="inlineStr">
        <is>
          <t>financials</t>
        </is>
      </c>
      <c r="D194" s="31" t="inlineStr">
        <is>
          <t>finance &amp; investments</t>
        </is>
      </c>
      <c r="E194" s="31" t="inlineStr">
        <is>
          <t>smallcap</t>
        </is>
      </c>
      <c r="F194" s="31" t="n">
        <v>2166.83</v>
      </c>
      <c r="G194" s="31" t="n">
        <v>78.31</v>
      </c>
      <c r="H194" s="31" t="n">
        <v>0.88</v>
      </c>
      <c r="I194" s="31" t="n">
        <v>302465</v>
      </c>
      <c r="J194" s="31" t="inlineStr">
        <is>
          <t>532285</t>
        </is>
      </c>
    </row>
    <row r="195">
      <c r="A195" s="31" t="inlineStr">
        <is>
          <t>HNDFDS</t>
        </is>
      </c>
      <c r="B195" s="31" t="inlineStr">
        <is>
          <t>Hindustan Foods Ltd</t>
        </is>
      </c>
      <c r="C195" s="31" t="inlineStr">
        <is>
          <t>fmcg</t>
        </is>
      </c>
      <c r="D195" s="31" t="inlineStr">
        <is>
          <t>diversified - large</t>
        </is>
      </c>
      <c r="E195" s="31" t="inlineStr">
        <is>
          <t>midcap</t>
        </is>
      </c>
      <c r="F195" s="31" t="n">
        <v>6643.19</v>
      </c>
      <c r="G195" s="31" t="n">
        <v>560.85</v>
      </c>
      <c r="H195" s="31" t="n">
        <v>0.87</v>
      </c>
      <c r="I195" s="31" t="n">
        <v>52484</v>
      </c>
      <c r="J195" s="31" t="inlineStr">
        <is>
          <t>519126</t>
        </is>
      </c>
    </row>
    <row r="196">
      <c r="A196" s="31" t="inlineStr">
        <is>
          <t>CREDITACC</t>
        </is>
      </c>
      <c r="B196" s="31" t="inlineStr">
        <is>
          <t>CreditAccess Grameen Ltd</t>
        </is>
      </c>
      <c r="C196" s="31" t="inlineStr">
        <is>
          <t>financials</t>
        </is>
      </c>
      <c r="D196" s="31" t="inlineStr">
        <is>
          <t>finance &amp; investments</t>
        </is>
      </c>
      <c r="E196" s="31" t="inlineStr">
        <is>
          <t>largecap</t>
        </is>
      </c>
      <c r="F196" s="31" t="n">
        <v>23861.2</v>
      </c>
      <c r="G196" s="31" t="n">
        <v>1502.3</v>
      </c>
      <c r="H196" s="31" t="n">
        <v>0.86</v>
      </c>
      <c r="I196" s="31" t="n">
        <v>232652</v>
      </c>
      <c r="J196" s="31" t="inlineStr">
        <is>
          <t>541770</t>
        </is>
      </c>
    </row>
    <row r="197">
      <c r="A197" s="31" t="inlineStr">
        <is>
          <t>KOVAI</t>
        </is>
      </c>
      <c r="B197" s="31" t="inlineStr">
        <is>
          <t>Kovai Medical Center &amp; Hospital Ltd</t>
        </is>
      </c>
      <c r="C197" s="31" t="inlineStr">
        <is>
          <t>healthcare</t>
        </is>
      </c>
      <c r="D197" s="31" t="inlineStr">
        <is>
          <t>healthcare</t>
        </is>
      </c>
      <c r="E197" s="31" t="inlineStr">
        <is>
          <t>midcap</t>
        </is>
      </c>
      <c r="F197" s="31" t="n">
        <v>6563.72</v>
      </c>
      <c r="G197" s="31" t="n">
        <v>6050</v>
      </c>
      <c r="H197" s="31" t="n">
        <v>0.86</v>
      </c>
      <c r="I197" s="31" t="n">
        <v>9812</v>
      </c>
      <c r="J197" s="31" t="inlineStr">
        <is>
          <t>523323</t>
        </is>
      </c>
    </row>
    <row r="198">
      <c r="A198" s="31" t="inlineStr">
        <is>
          <t>CYIENTDLM</t>
        </is>
      </c>
      <c r="B198" s="31" t="inlineStr">
        <is>
          <t>Cyient DLM Ltd</t>
        </is>
      </c>
      <c r="C198" s="31" t="inlineStr">
        <is>
          <t>consumer discretionary</t>
        </is>
      </c>
      <c r="D198" s="31" t="inlineStr">
        <is>
          <t>electronics - components</t>
        </is>
      </c>
      <c r="E198" s="31" t="inlineStr">
        <is>
          <t>smallcap</t>
        </is>
      </c>
      <c r="F198" s="31" t="n">
        <v>3653.14</v>
      </c>
      <c r="G198" s="31" t="n">
        <v>464.25</v>
      </c>
      <c r="H198" s="31" t="n">
        <v>0.86</v>
      </c>
      <c r="I198" s="31" t="n">
        <v>140133</v>
      </c>
      <c r="J198" s="31" t="inlineStr">
        <is>
          <t>543933</t>
        </is>
      </c>
    </row>
    <row r="199">
      <c r="A199" s="31" t="inlineStr">
        <is>
          <t>OLECTRA</t>
        </is>
      </c>
      <c r="B199" s="31" t="inlineStr">
        <is>
          <t>Olectra Greentech Ltd</t>
        </is>
      </c>
      <c r="C199" s="31" t="inlineStr">
        <is>
          <t>auto</t>
        </is>
      </c>
      <c r="D199" s="31" t="inlineStr">
        <is>
          <t>automobiles - lcvs / hcvs</t>
        </is>
      </c>
      <c r="E199" s="31" t="inlineStr">
        <is>
          <t>midcap</t>
        </is>
      </c>
      <c r="F199" s="31" t="n">
        <v>12308.83</v>
      </c>
      <c r="G199" s="31" t="n">
        <v>1512.4</v>
      </c>
      <c r="H199" s="31" t="n">
        <v>0.85</v>
      </c>
      <c r="I199" s="31" t="n">
        <v>1229584</v>
      </c>
      <c r="J199" s="31" t="inlineStr">
        <is>
          <t>532439</t>
        </is>
      </c>
    </row>
    <row r="200">
      <c r="A200" s="31" t="inlineStr">
        <is>
          <t>SANGHVIMOV</t>
        </is>
      </c>
      <c r="B200" s="31" t="inlineStr">
        <is>
          <t>Sanghvi Movers Limited</t>
        </is>
      </c>
      <c r="C200" s="31" t="inlineStr">
        <is>
          <t>miscellaneous</t>
        </is>
      </c>
      <c r="D200" s="31" t="inlineStr">
        <is>
          <t>miscellaneous</t>
        </is>
      </c>
      <c r="E200" s="31" t="inlineStr">
        <is>
          <t>smallcap</t>
        </is>
      </c>
      <c r="F200" s="31" t="n">
        <v>3795.49</v>
      </c>
      <c r="G200" s="31" t="n">
        <v>442.05</v>
      </c>
      <c r="H200" s="31" t="n">
        <v>0.83</v>
      </c>
      <c r="I200" s="31" t="n">
        <v>529156</v>
      </c>
      <c r="J200" s="31" t="inlineStr">
        <is>
          <t>530073</t>
        </is>
      </c>
    </row>
    <row r="201">
      <c r="A201" s="31" t="inlineStr">
        <is>
          <t>OFSS</t>
        </is>
      </c>
      <c r="B201" s="31" t="inlineStr">
        <is>
          <t>Oracle Financial Services Software Limited</t>
        </is>
      </c>
      <c r="C201" s="31" t="inlineStr">
        <is>
          <t>i.t</t>
        </is>
      </c>
      <c r="D201" s="31" t="inlineStr">
        <is>
          <t>computers - software - large</t>
        </is>
      </c>
      <c r="E201" s="31" t="inlineStr">
        <is>
          <t>largecap</t>
        </is>
      </c>
      <c r="F201" s="31" t="n">
        <v>93784.71000000001</v>
      </c>
      <c r="G201" s="31" t="n">
        <v>10863</v>
      </c>
      <c r="H201" s="31" t="n">
        <v>0.8100000000000001</v>
      </c>
      <c r="I201" s="31" t="n">
        <v>310310</v>
      </c>
      <c r="J201" s="31" t="inlineStr">
        <is>
          <t>532466</t>
        </is>
      </c>
    </row>
    <row r="202">
      <c r="A202" s="31" t="inlineStr">
        <is>
          <t>SPECIALITY</t>
        </is>
      </c>
      <c r="B202" s="31" t="inlineStr">
        <is>
          <t>Speciality Restaurants Limited</t>
        </is>
      </c>
      <c r="C202" s="31" t="inlineStr">
        <is>
          <t>services</t>
        </is>
      </c>
      <c r="D202" s="31" t="inlineStr">
        <is>
          <t>hotels</t>
        </is>
      </c>
      <c r="E202" s="31" t="inlineStr">
        <is>
          <t>smallcap</t>
        </is>
      </c>
      <c r="F202" s="31" t="n">
        <v>611.6799999999999</v>
      </c>
      <c r="G202" s="31" t="n">
        <v>127.8</v>
      </c>
      <c r="H202" s="31" t="n">
        <v>0.78</v>
      </c>
      <c r="I202" s="31" t="n">
        <v>30898</v>
      </c>
      <c r="J202" s="31" t="inlineStr">
        <is>
          <t>534425</t>
        </is>
      </c>
    </row>
    <row r="203">
      <c r="A203" s="31" t="inlineStr">
        <is>
          <t>SAILIFE</t>
        </is>
      </c>
      <c r="B203" s="31" t="inlineStr">
        <is>
          <t>Sai Life Sciences Ltd</t>
        </is>
      </c>
      <c r="C203" s="31" t="inlineStr">
        <is>
          <t>healthcare</t>
        </is>
      </c>
      <c r="D203" s="31" t="inlineStr">
        <is>
          <t>pharmaceuticals - indian - bulk drugs &amp; formln</t>
        </is>
      </c>
      <c r="E203" s="31" t="inlineStr">
        <is>
          <t>largecap</t>
        </is>
      </c>
      <c r="F203" s="31" t="n">
        <v>26139.91</v>
      </c>
      <c r="G203" s="31" t="n">
        <v>1243.8</v>
      </c>
      <c r="H203" s="31" t="n">
        <v>0.77</v>
      </c>
      <c r="I203" s="31" t="n">
        <v>239041</v>
      </c>
      <c r="J203" s="31" t="inlineStr">
        <is>
          <t>544306</t>
        </is>
      </c>
    </row>
    <row r="204">
      <c r="A204" s="31" t="inlineStr">
        <is>
          <t>CHOLAFIN</t>
        </is>
      </c>
      <c r="B204" s="31" t="inlineStr">
        <is>
          <t>Cholamandalam Investment And Finance Company Limited</t>
        </is>
      </c>
      <c r="C204" s="31" t="inlineStr">
        <is>
          <t>financials</t>
        </is>
      </c>
      <c r="D204" s="31" t="inlineStr">
        <is>
          <t>finance &amp; investments</t>
        </is>
      </c>
      <c r="E204" s="31" t="inlineStr">
        <is>
          <t>largecap</t>
        </is>
      </c>
      <c r="F204" s="31" t="n">
        <v>152497.61</v>
      </c>
      <c r="G204" s="31" t="n">
        <v>1803.3</v>
      </c>
      <c r="H204" s="31" t="n">
        <v>0.75</v>
      </c>
      <c r="I204" s="31" t="n">
        <v>642938</v>
      </c>
      <c r="J204" s="31" t="inlineStr">
        <is>
          <t>511243</t>
        </is>
      </c>
    </row>
    <row r="205">
      <c r="A205" s="31" t="inlineStr">
        <is>
          <t>KIRLOSIND</t>
        </is>
      </c>
      <c r="B205" s="31" t="inlineStr">
        <is>
          <t>Kirloskar Industries Limited</t>
        </is>
      </c>
      <c r="C205" s="31" t="inlineStr">
        <is>
          <t>financials</t>
        </is>
      </c>
      <c r="D205" s="31" t="inlineStr">
        <is>
          <t>finance &amp; investments</t>
        </is>
      </c>
      <c r="E205" s="31" t="inlineStr">
        <is>
          <t>smallcap</t>
        </is>
      </c>
      <c r="F205" s="31" t="n">
        <v>4114.52</v>
      </c>
      <c r="G205" s="31" t="n">
        <v>3943.4</v>
      </c>
      <c r="H205" s="31" t="n">
        <v>0.72</v>
      </c>
      <c r="I205" s="31" t="n">
        <v>11228</v>
      </c>
      <c r="J205" s="31" t="inlineStr">
        <is>
          <t>500243</t>
        </is>
      </c>
    </row>
    <row r="206">
      <c r="A206" s="31" t="inlineStr">
        <is>
          <t>EXIDEIND</t>
        </is>
      </c>
      <c r="B206" s="31" t="inlineStr">
        <is>
          <t>Exide Industries Limited</t>
        </is>
      </c>
      <c r="C206" s="31" t="inlineStr">
        <is>
          <t>auto</t>
        </is>
      </c>
      <c r="D206" s="31" t="inlineStr">
        <is>
          <t>auto ancillaries</t>
        </is>
      </c>
      <c r="E206" s="31" t="inlineStr">
        <is>
          <t>largecap</t>
        </is>
      </c>
      <c r="F206" s="31" t="n">
        <v>32946</v>
      </c>
      <c r="G206" s="31" t="n">
        <v>390.35</v>
      </c>
      <c r="H206" s="31" t="n">
        <v>0.71</v>
      </c>
      <c r="I206" s="31" t="n">
        <v>1543936</v>
      </c>
      <c r="J206" s="31" t="inlineStr">
        <is>
          <t>500086</t>
        </is>
      </c>
    </row>
    <row r="207">
      <c r="A207" s="31" t="inlineStr">
        <is>
          <t>LICI</t>
        </is>
      </c>
      <c r="B207" s="31" t="inlineStr">
        <is>
          <t>Life Insurance Corporation of India Ltd</t>
        </is>
      </c>
      <c r="C207" s="31" t="inlineStr">
        <is>
          <t>financials</t>
        </is>
      </c>
      <c r="D207" s="31" t="inlineStr">
        <is>
          <t>finance &amp; investments</t>
        </is>
      </c>
      <c r="E207" s="31" t="inlineStr">
        <is>
          <t>largecap</t>
        </is>
      </c>
      <c r="F207" s="31" t="n">
        <v>546037.05</v>
      </c>
      <c r="G207" s="31" t="n">
        <v>434.7</v>
      </c>
      <c r="H207" s="31" t="n">
        <v>0.71</v>
      </c>
      <c r="I207" s="31" t="n">
        <v>3542657</v>
      </c>
      <c r="J207" s="31" t="inlineStr">
        <is>
          <t>543526</t>
        </is>
      </c>
    </row>
    <row r="208">
      <c r="A208" s="31" t="inlineStr">
        <is>
          <t>JBMA</t>
        </is>
      </c>
      <c r="B208" s="31" t="inlineStr">
        <is>
          <t>Jbm Auto Limited</t>
        </is>
      </c>
      <c r="C208" s="31" t="inlineStr">
        <is>
          <t>auto</t>
        </is>
      </c>
      <c r="D208" s="31" t="inlineStr">
        <is>
          <t>auto ancillaries</t>
        </is>
      </c>
      <c r="E208" s="31" t="inlineStr">
        <is>
          <t>midcap</t>
        </is>
      </c>
      <c r="F208" s="31" t="n">
        <v>16501.39</v>
      </c>
      <c r="G208" s="31" t="n">
        <v>702.7</v>
      </c>
      <c r="H208" s="31" t="n">
        <v>0.71</v>
      </c>
      <c r="I208" s="31" t="n">
        <v>971229</v>
      </c>
      <c r="J208" s="31" t="inlineStr">
        <is>
          <t>532605</t>
        </is>
      </c>
    </row>
    <row r="209">
      <c r="A209" s="31" t="inlineStr">
        <is>
          <t>NOVARTIND</t>
        </is>
      </c>
      <c r="B209" s="31" t="inlineStr">
        <is>
          <t>Novartis India Ltd</t>
        </is>
      </c>
      <c r="C209" s="31" t="inlineStr">
        <is>
          <t>healthcare</t>
        </is>
      </c>
      <c r="D209" s="31" t="inlineStr">
        <is>
          <t>pharmaceuticals - multinational</t>
        </is>
      </c>
      <c r="E209" s="31" t="inlineStr">
        <is>
          <t>smallcap</t>
        </is>
      </c>
      <c r="F209" s="31" t="n">
        <v>3541.65</v>
      </c>
      <c r="G209" s="31" t="n">
        <v>1444.4</v>
      </c>
      <c r="H209" s="31" t="n">
        <v>0.7</v>
      </c>
      <c r="I209" s="31" t="n">
        <v>6413</v>
      </c>
      <c r="J209" s="31" t="inlineStr">
        <is>
          <t>500672</t>
        </is>
      </c>
    </row>
    <row r="210">
      <c r="A210" s="31" t="inlineStr">
        <is>
          <t>GPTINFRA</t>
        </is>
      </c>
      <c r="B210" s="31" t="inlineStr">
        <is>
          <t>Gpt Infraprojects Limited</t>
        </is>
      </c>
      <c r="C210" s="31" t="inlineStr">
        <is>
          <t>realty</t>
        </is>
      </c>
      <c r="D210" s="31" t="inlineStr">
        <is>
          <t>construction</t>
        </is>
      </c>
      <c r="E210" s="31" t="inlineStr">
        <is>
          <t>smallcap</t>
        </is>
      </c>
      <c r="F210" s="31" t="n">
        <v>1685.45</v>
      </c>
      <c r="G210" s="31" t="n">
        <v>134.28</v>
      </c>
      <c r="H210" s="31" t="n">
        <v>0.67</v>
      </c>
      <c r="I210" s="31" t="n">
        <v>289705</v>
      </c>
      <c r="J210" s="31" t="inlineStr">
        <is>
          <t>533761</t>
        </is>
      </c>
    </row>
    <row r="211">
      <c r="A211" s="31" t="inlineStr">
        <is>
          <t>INDHOTEL</t>
        </is>
      </c>
      <c r="B211" s="31" t="inlineStr">
        <is>
          <t>The Indian Hotels Company Limited</t>
        </is>
      </c>
      <c r="C211" s="31" t="inlineStr">
        <is>
          <t>services</t>
        </is>
      </c>
      <c r="D211" s="31" t="inlineStr">
        <is>
          <t>hotels</t>
        </is>
      </c>
      <c r="E211" s="31" t="inlineStr">
        <is>
          <t>largecap</t>
        </is>
      </c>
      <c r="F211" s="31" t="n">
        <v>101625.94</v>
      </c>
      <c r="G211" s="31" t="n">
        <v>718.75</v>
      </c>
      <c r="H211" s="31" t="n">
        <v>0.67</v>
      </c>
      <c r="I211" s="31" t="n">
        <v>2804750</v>
      </c>
      <c r="J211" s="31" t="inlineStr">
        <is>
          <t>500850</t>
        </is>
      </c>
    </row>
    <row r="212">
      <c r="A212" s="31" t="inlineStr">
        <is>
          <t>VARROC</t>
        </is>
      </c>
      <c r="B212" s="31" t="inlineStr">
        <is>
          <t>Varroc Engineering Ltd</t>
        </is>
      </c>
      <c r="C212" s="31" t="inlineStr">
        <is>
          <t>auto</t>
        </is>
      </c>
      <c r="D212" s="31" t="inlineStr">
        <is>
          <t>auto ancillaries</t>
        </is>
      </c>
      <c r="E212" s="31" t="inlineStr">
        <is>
          <t>midcap</t>
        </is>
      </c>
      <c r="F212" s="31" t="n">
        <v>9671.379999999999</v>
      </c>
      <c r="G212" s="31" t="n">
        <v>637.15</v>
      </c>
      <c r="H212" s="31" t="n">
        <v>0.66</v>
      </c>
      <c r="I212" s="31" t="n">
        <v>169209</v>
      </c>
      <c r="J212" s="31" t="inlineStr">
        <is>
          <t>541578</t>
        </is>
      </c>
    </row>
    <row r="213">
      <c r="A213" s="31" t="inlineStr">
        <is>
          <t>NIVABUPA</t>
        </is>
      </c>
      <c r="B213" s="31" t="inlineStr">
        <is>
          <t>Niva Bupa Health Insurance Company Ltd</t>
        </is>
      </c>
      <c r="C213" s="31" t="inlineStr">
        <is>
          <t>financials</t>
        </is>
      </c>
      <c r="D213" s="31" t="inlineStr">
        <is>
          <t>finance &amp; investments</t>
        </is>
      </c>
      <c r="E213" s="31" t="inlineStr">
        <is>
          <t>midcap</t>
        </is>
      </c>
      <c r="F213" s="31" t="n">
        <v>15623.94</v>
      </c>
      <c r="G213" s="31" t="n">
        <v>85.12</v>
      </c>
      <c r="H213" s="31" t="n">
        <v>0.65</v>
      </c>
      <c r="I213" s="31" t="n">
        <v>679893</v>
      </c>
      <c r="J213" s="31" t="n"/>
    </row>
    <row r="214">
      <c r="A214" s="31" t="inlineStr">
        <is>
          <t>LTF</t>
        </is>
      </c>
      <c r="B214" s="31" t="inlineStr">
        <is>
          <t>L&amp;T Finance Ltd</t>
        </is>
      </c>
      <c r="C214" s="31" t="inlineStr">
        <is>
          <t>financials</t>
        </is>
      </c>
      <c r="D214" s="31" t="inlineStr">
        <is>
          <t>finance &amp; investments</t>
        </is>
      </c>
      <c r="E214" s="31" t="inlineStr">
        <is>
          <t>largecap</t>
        </is>
      </c>
      <c r="F214" s="31" t="n">
        <v>77823.8</v>
      </c>
      <c r="G214" s="31" t="n">
        <v>312.7</v>
      </c>
      <c r="H214" s="31" t="n">
        <v>0.63</v>
      </c>
      <c r="I214" s="31" t="n">
        <v>7147529</v>
      </c>
      <c r="J214" s="31" t="inlineStr">
        <is>
          <t>533519</t>
        </is>
      </c>
    </row>
    <row r="215">
      <c r="A215" s="31" t="inlineStr">
        <is>
          <t>GAIL</t>
        </is>
      </c>
      <c r="B215" s="31" t="inlineStr">
        <is>
          <t>Gail (india) Limited</t>
        </is>
      </c>
      <c r="C215" s="31" t="inlineStr">
        <is>
          <t>energy</t>
        </is>
      </c>
      <c r="D215" s="31" t="inlineStr">
        <is>
          <t>miscellaneous</t>
        </is>
      </c>
      <c r="E215" s="31" t="inlineStr">
        <is>
          <t>largecap</t>
        </is>
      </c>
      <c r="F215" s="31" t="n">
        <v>114051.68</v>
      </c>
      <c r="G215" s="31" t="n">
        <v>174.5</v>
      </c>
      <c r="H215" s="31" t="n">
        <v>0.6</v>
      </c>
      <c r="I215" s="31" t="n">
        <v>4990189</v>
      </c>
      <c r="J215" s="31" t="inlineStr">
        <is>
          <t>532155</t>
        </is>
      </c>
    </row>
    <row r="216">
      <c r="A216" s="31" t="inlineStr">
        <is>
          <t>TINNARUBR</t>
        </is>
      </c>
      <c r="B216" s="31" t="inlineStr">
        <is>
          <t>Tinna Rubber &amp; Infrastructure Ltd</t>
        </is>
      </c>
      <c r="C216" s="31" t="inlineStr">
        <is>
          <t>fmcg</t>
        </is>
      </c>
      <c r="D216" s="31" t="inlineStr">
        <is>
          <t>miscellaneous</t>
        </is>
      </c>
      <c r="E216" s="31" t="inlineStr">
        <is>
          <t>smallcap</t>
        </is>
      </c>
      <c r="F216" s="31" t="n">
        <v>1715.64</v>
      </c>
      <c r="G216" s="31" t="n">
        <v>957.85</v>
      </c>
      <c r="H216" s="31" t="n">
        <v>0.58</v>
      </c>
      <c r="I216" s="31" t="n">
        <v>37269</v>
      </c>
      <c r="J216" s="31" t="inlineStr">
        <is>
          <t>530475</t>
        </is>
      </c>
    </row>
    <row r="217">
      <c r="A217" s="31" t="inlineStr">
        <is>
          <t>SHRIRAMFIN</t>
        </is>
      </c>
      <c r="B217" s="31" t="inlineStr">
        <is>
          <t>Shriram Finance Ltd</t>
        </is>
      </c>
      <c r="C217" s="31" t="inlineStr">
        <is>
          <t>financials</t>
        </is>
      </c>
      <c r="D217" s="31" t="inlineStr">
        <is>
          <t>finance &amp; investments</t>
        </is>
      </c>
      <c r="E217" s="31" t="inlineStr">
        <is>
          <t>largecap</t>
        </is>
      </c>
      <c r="F217" s="31" t="n">
        <v>245185.22</v>
      </c>
      <c r="G217" s="31" t="n">
        <v>1048.1</v>
      </c>
      <c r="H217" s="31" t="n">
        <v>0.57</v>
      </c>
      <c r="I217" s="31" t="n">
        <v>4722961</v>
      </c>
      <c r="J217" s="31" t="inlineStr">
        <is>
          <t>511218</t>
        </is>
      </c>
    </row>
    <row r="218">
      <c r="A218" s="31" t="inlineStr">
        <is>
          <t>RAINBOW</t>
        </is>
      </c>
      <c r="B218" s="31" t="inlineStr">
        <is>
          <t>Rainbow Childrens Medicare Ltd</t>
        </is>
      </c>
      <c r="C218" s="31" t="inlineStr">
        <is>
          <t>healthcare</t>
        </is>
      </c>
      <c r="D218" s="31" t="inlineStr">
        <is>
          <t>healthcare</t>
        </is>
      </c>
      <c r="E218" s="31" t="inlineStr">
        <is>
          <t>midcap</t>
        </is>
      </c>
      <c r="F218" s="31" t="n">
        <v>14362.5</v>
      </c>
      <c r="G218" s="31" t="n">
        <v>1422.3</v>
      </c>
      <c r="H218" s="31" t="n">
        <v>0.57</v>
      </c>
      <c r="I218" s="31" t="n">
        <v>68028</v>
      </c>
      <c r="J218" s="31" t="inlineStr">
        <is>
          <t>543524</t>
        </is>
      </c>
    </row>
    <row r="219">
      <c r="A219" s="31" t="inlineStr">
        <is>
          <t>INDIGO</t>
        </is>
      </c>
      <c r="B219" s="31" t="inlineStr">
        <is>
          <t>Interglobe Aviation Limited</t>
        </is>
      </c>
      <c r="C219" s="31" t="inlineStr">
        <is>
          <t>transportation</t>
        </is>
      </c>
      <c r="D219" s="31" t="inlineStr">
        <is>
          <t>transport - airlines</t>
        </is>
      </c>
      <c r="E219" s="31" t="inlineStr">
        <is>
          <t>largecap</t>
        </is>
      </c>
      <c r="F219" s="31" t="n">
        <v>207549.32</v>
      </c>
      <c r="G219" s="31" t="n">
        <v>5399</v>
      </c>
      <c r="H219" s="31" t="n">
        <v>0.57</v>
      </c>
      <c r="I219" s="31" t="n">
        <v>668810</v>
      </c>
      <c r="J219" s="31" t="inlineStr">
        <is>
          <t>539448</t>
        </is>
      </c>
    </row>
    <row r="220">
      <c r="A220" s="31" t="inlineStr">
        <is>
          <t>UFBL</t>
        </is>
      </c>
      <c r="B220" s="31" t="inlineStr">
        <is>
          <t>United Foodbrands Ltd</t>
        </is>
      </c>
      <c r="C220" s="31" t="inlineStr">
        <is>
          <t>consumer discretionary</t>
        </is>
      </c>
      <c r="D220" s="31" t="inlineStr">
        <is>
          <t>hotels</t>
        </is>
      </c>
      <c r="E220" s="31" t="inlineStr">
        <is>
          <t>smallcap</t>
        </is>
      </c>
      <c r="F220" s="31" t="n">
        <v>2491.56</v>
      </c>
      <c r="G220" s="31" t="n">
        <v>640.95</v>
      </c>
      <c r="H220" s="31" t="n">
        <v>0.55</v>
      </c>
      <c r="I220" s="31" t="n">
        <v>279845</v>
      </c>
      <c r="J220" s="31" t="inlineStr">
        <is>
          <t>543283</t>
        </is>
      </c>
    </row>
    <row r="221">
      <c r="A221" s="31" t="inlineStr">
        <is>
          <t>ARMANFIN</t>
        </is>
      </c>
      <c r="B221" s="31" t="inlineStr">
        <is>
          <t>Arman Financial Services Limited</t>
        </is>
      </c>
      <c r="C221" s="31" t="inlineStr">
        <is>
          <t>financials</t>
        </is>
      </c>
      <c r="D221" s="31" t="inlineStr">
        <is>
          <t>finance &amp; investments</t>
        </is>
      </c>
      <c r="E221" s="31" t="inlineStr">
        <is>
          <t>smallcap</t>
        </is>
      </c>
      <c r="F221" s="31" t="n">
        <v>1780.89</v>
      </c>
      <c r="G221" s="31" t="n">
        <v>1703.4</v>
      </c>
      <c r="H221" s="31" t="n">
        <v>0.55</v>
      </c>
      <c r="I221" s="31" t="n">
        <v>53639</v>
      </c>
      <c r="J221" s="31" t="inlineStr">
        <is>
          <t>531179</t>
        </is>
      </c>
    </row>
    <row r="222">
      <c r="A222" s="31" t="inlineStr">
        <is>
          <t>DLINKINDIA</t>
        </is>
      </c>
      <c r="B222" s="31" t="inlineStr">
        <is>
          <t>D-link (india) Limited</t>
        </is>
      </c>
      <c r="C222" s="31" t="inlineStr">
        <is>
          <t>services</t>
        </is>
      </c>
      <c r="D222" s="31" t="inlineStr">
        <is>
          <t>trading</t>
        </is>
      </c>
      <c r="E222" s="31" t="inlineStr">
        <is>
          <t>smallcap</t>
        </is>
      </c>
      <c r="F222" s="31" t="n">
        <v>1827.26</v>
      </c>
      <c r="G222" s="31" t="n">
        <v>517.5</v>
      </c>
      <c r="H222" s="31" t="n">
        <v>0.55</v>
      </c>
      <c r="I222" s="31" t="n">
        <v>128594</v>
      </c>
      <c r="J222" s="31" t="inlineStr">
        <is>
          <t>533146</t>
        </is>
      </c>
    </row>
    <row r="223">
      <c r="A223" s="31" t="inlineStr">
        <is>
          <t>GABRIEL</t>
        </is>
      </c>
      <c r="B223" s="31" t="inlineStr">
        <is>
          <t>Gabriel India Limited</t>
        </is>
      </c>
      <c r="C223" s="31" t="inlineStr">
        <is>
          <t>auto</t>
        </is>
      </c>
      <c r="D223" s="31" t="inlineStr">
        <is>
          <t>auto ancillaries</t>
        </is>
      </c>
      <c r="E223" s="31" t="inlineStr">
        <is>
          <t>largecap</t>
        </is>
      </c>
      <c r="F223" s="31" t="n">
        <v>21964.12</v>
      </c>
      <c r="G223" s="31" t="n">
        <v>1245.9</v>
      </c>
      <c r="H223" s="31" t="n">
        <v>0.53</v>
      </c>
      <c r="I223" s="31" t="n">
        <v>243510</v>
      </c>
      <c r="J223" s="31" t="inlineStr">
        <is>
          <t>505714</t>
        </is>
      </c>
    </row>
    <row r="224">
      <c r="A224" s="31" t="inlineStr">
        <is>
          <t>GANDHAR</t>
        </is>
      </c>
      <c r="B224" s="31" t="inlineStr">
        <is>
          <t>Gandhar Oil Refinery (India) Ltd</t>
        </is>
      </c>
      <c r="C224" s="31" t="inlineStr">
        <is>
          <t>energy</t>
        </is>
      </c>
      <c r="D224" s="31" t="inlineStr">
        <is>
          <t>refineries</t>
        </is>
      </c>
      <c r="E224" s="31" t="inlineStr">
        <is>
          <t>smallcap</t>
        </is>
      </c>
      <c r="F224" s="31" t="n">
        <v>1795.6</v>
      </c>
      <c r="G224" s="31" t="n">
        <v>184.39</v>
      </c>
      <c r="H224" s="31" t="n">
        <v>0.51</v>
      </c>
      <c r="I224" s="31" t="n">
        <v>616596</v>
      </c>
      <c r="J224" s="31" t="inlineStr">
        <is>
          <t>544029</t>
        </is>
      </c>
    </row>
    <row r="225">
      <c r="A225" s="31" t="inlineStr">
        <is>
          <t>MOTILALOFS</t>
        </is>
      </c>
      <c r="B225" s="31" t="inlineStr">
        <is>
          <t>Motilal Oswal Financial Services Limited</t>
        </is>
      </c>
      <c r="C225" s="31" t="inlineStr">
        <is>
          <t>financials</t>
        </is>
      </c>
      <c r="D225" s="31" t="inlineStr">
        <is>
          <t>finance &amp; investments</t>
        </is>
      </c>
      <c r="E225" s="31" t="inlineStr">
        <is>
          <t>largecap</t>
        </is>
      </c>
      <c r="F225" s="31" t="n">
        <v>57254.95</v>
      </c>
      <c r="G225" s="31" t="n">
        <v>955.95</v>
      </c>
      <c r="H225" s="31" t="n">
        <v>0.49</v>
      </c>
      <c r="I225" s="31" t="n">
        <v>603400</v>
      </c>
      <c r="J225" s="31" t="inlineStr">
        <is>
          <t>532892</t>
        </is>
      </c>
    </row>
    <row r="226">
      <c r="A226" s="31" t="inlineStr">
        <is>
          <t>GALAPREC</t>
        </is>
      </c>
      <c r="B226" s="31" t="inlineStr">
        <is>
          <t>Gala Precision Engineering Ltd</t>
        </is>
      </c>
      <c r="C226" s="31" t="inlineStr">
        <is>
          <t>industrials</t>
        </is>
      </c>
      <c r="D226" s="31" t="inlineStr">
        <is>
          <t>fasteners</t>
        </is>
      </c>
      <c r="E226" s="31" t="inlineStr">
        <is>
          <t>smallcap</t>
        </is>
      </c>
      <c r="F226" s="31" t="n">
        <v>1411.52</v>
      </c>
      <c r="G226" s="31" t="n">
        <v>1112.5</v>
      </c>
      <c r="H226" s="31" t="n">
        <v>0.49</v>
      </c>
      <c r="I226" s="31" t="n">
        <v>31548</v>
      </c>
      <c r="J226" s="31" t="inlineStr">
        <is>
          <t>544244</t>
        </is>
      </c>
    </row>
    <row r="227">
      <c r="A227" s="31" t="inlineStr">
        <is>
          <t>GREAVESCOT</t>
        </is>
      </c>
      <c r="B227" s="31" t="inlineStr">
        <is>
          <t>Greaves Cotton Limited</t>
        </is>
      </c>
      <c r="C227" s="31" t="inlineStr">
        <is>
          <t>industrials</t>
        </is>
      </c>
      <c r="D227" s="31" t="inlineStr">
        <is>
          <t>engines</t>
        </is>
      </c>
      <c r="E227" s="31" t="inlineStr">
        <is>
          <t>midcap</t>
        </is>
      </c>
      <c r="F227" s="31" t="n">
        <v>5123.47</v>
      </c>
      <c r="G227" s="31" t="n">
        <v>221</v>
      </c>
      <c r="H227" s="31" t="n">
        <v>0.46</v>
      </c>
      <c r="I227" s="31" t="n">
        <v>2869852</v>
      </c>
      <c r="J227" s="31" t="inlineStr">
        <is>
          <t>501455</t>
        </is>
      </c>
    </row>
    <row r="228">
      <c r="A228" s="31" t="inlineStr">
        <is>
          <t>TORNTPHARM</t>
        </is>
      </c>
      <c r="B228" s="31" t="inlineStr">
        <is>
          <t>Torrent Pharmaceuticals Limited</t>
        </is>
      </c>
      <c r="C228" s="31" t="inlineStr">
        <is>
          <t>healthcare</t>
        </is>
      </c>
      <c r="D228" s="31" t="inlineStr">
        <is>
          <t>pharmaceuticals - indian - formulations</t>
        </is>
      </c>
      <c r="E228" s="31" t="inlineStr">
        <is>
          <t>largecap</t>
        </is>
      </c>
      <c r="F228" s="31" t="n">
        <v>156365.18</v>
      </c>
      <c r="G228" s="31" t="n">
        <v>4640.8</v>
      </c>
      <c r="H228" s="31" t="n">
        <v>0.45</v>
      </c>
      <c r="I228" s="31" t="n">
        <v>200344</v>
      </c>
      <c r="J228" s="31" t="inlineStr">
        <is>
          <t>500420</t>
        </is>
      </c>
    </row>
    <row r="229">
      <c r="A229" s="31" t="inlineStr">
        <is>
          <t>SJS</t>
        </is>
      </c>
      <c r="B229" s="31" t="inlineStr">
        <is>
          <t>S J S Enterprises Ltd</t>
        </is>
      </c>
      <c r="C229" s="31" t="inlineStr">
        <is>
          <t>auto</t>
        </is>
      </c>
      <c r="D229" s="31" t="inlineStr">
        <is>
          <t>plastics products</t>
        </is>
      </c>
      <c r="E229" s="31" t="inlineStr">
        <is>
          <t>midcap</t>
        </is>
      </c>
      <c r="F229" s="31" t="n">
        <v>7096.89</v>
      </c>
      <c r="G229" s="31" t="n">
        <v>2227.7</v>
      </c>
      <c r="H229" s="31" t="n">
        <v>0.44</v>
      </c>
      <c r="I229" s="31" t="n">
        <v>37975</v>
      </c>
      <c r="J229" s="31" t="inlineStr">
        <is>
          <t>543387</t>
        </is>
      </c>
    </row>
    <row r="230">
      <c r="A230" s="31" t="inlineStr">
        <is>
          <t>GNA</t>
        </is>
      </c>
      <c r="B230" s="31" t="inlineStr">
        <is>
          <t>Gna Axles Limited</t>
        </is>
      </c>
      <c r="C230" s="31" t="inlineStr">
        <is>
          <t>auto</t>
        </is>
      </c>
      <c r="D230" s="31" t="inlineStr">
        <is>
          <t>auto ancillaries</t>
        </is>
      </c>
      <c r="E230" s="31" t="inlineStr">
        <is>
          <t>smallcap</t>
        </is>
      </c>
      <c r="F230" s="31" t="n">
        <v>1894.32</v>
      </c>
      <c r="G230" s="31" t="n">
        <v>443.15</v>
      </c>
      <c r="H230" s="31" t="n">
        <v>0.43</v>
      </c>
      <c r="I230" s="31" t="n">
        <v>471863</v>
      </c>
      <c r="J230" s="31" t="inlineStr">
        <is>
          <t>540124</t>
        </is>
      </c>
    </row>
    <row r="231">
      <c r="A231" s="31" t="inlineStr">
        <is>
          <t>AADHARHFC</t>
        </is>
      </c>
      <c r="B231" s="31" t="inlineStr">
        <is>
          <t>Aadhar Housing Finance Ltd</t>
        </is>
      </c>
      <c r="C231" s="31" t="inlineStr">
        <is>
          <t>financials</t>
        </is>
      </c>
      <c r="D231" s="31" t="inlineStr">
        <is>
          <t>finance - housing</t>
        </is>
      </c>
      <c r="E231" s="31" t="inlineStr">
        <is>
          <t>largecap</t>
        </is>
      </c>
      <c r="F231" s="31" t="n">
        <v>22464.88</v>
      </c>
      <c r="G231" s="31" t="n">
        <v>517.75</v>
      </c>
      <c r="H231" s="31" t="n">
        <v>0.42</v>
      </c>
      <c r="I231" s="31" t="n">
        <v>646208</v>
      </c>
      <c r="J231" s="31" t="inlineStr">
        <is>
          <t>544176</t>
        </is>
      </c>
    </row>
    <row r="232">
      <c r="A232" s="31" t="inlineStr">
        <is>
          <t>RATEGAIN</t>
        </is>
      </c>
      <c r="B232" s="31" t="inlineStr">
        <is>
          <t>Rategain Travel Technologies Ltd</t>
        </is>
      </c>
      <c r="C232" s="31" t="inlineStr">
        <is>
          <t>i.t</t>
        </is>
      </c>
      <c r="D232" s="31" t="inlineStr">
        <is>
          <t>computers - software - medium / small</t>
        </is>
      </c>
      <c r="E232" s="31" t="inlineStr">
        <is>
          <t>midcap</t>
        </is>
      </c>
      <c r="F232" s="31" t="n">
        <v>10624.84</v>
      </c>
      <c r="G232" s="31" t="n">
        <v>902.95</v>
      </c>
      <c r="H232" s="31" t="n">
        <v>0.42</v>
      </c>
      <c r="I232" s="31" t="n">
        <v>715038</v>
      </c>
      <c r="J232" s="31" t="inlineStr">
        <is>
          <t>543417</t>
        </is>
      </c>
    </row>
    <row r="233">
      <c r="A233" s="31" t="inlineStr">
        <is>
          <t>FEDERALBNK</t>
        </is>
      </c>
      <c r="B233" s="31" t="inlineStr">
        <is>
          <t>The Federal Bank  Limited</t>
        </is>
      </c>
      <c r="C233" s="31" t="inlineStr">
        <is>
          <t>bank</t>
        </is>
      </c>
      <c r="D233" s="31" t="inlineStr">
        <is>
          <t>banks - private sector</t>
        </is>
      </c>
      <c r="E233" s="31" t="inlineStr">
        <is>
          <t>largecap</t>
        </is>
      </c>
      <c r="F233" s="31" t="n">
        <v>81333.64</v>
      </c>
      <c r="G233" s="31" t="n">
        <v>331.4</v>
      </c>
      <c r="H233" s="31" t="n">
        <v>0.41</v>
      </c>
      <c r="I233" s="31" t="n">
        <v>6386994</v>
      </c>
      <c r="J233" s="31" t="inlineStr">
        <is>
          <t>500469</t>
        </is>
      </c>
    </row>
    <row r="234">
      <c r="A234" s="31" t="inlineStr">
        <is>
          <t>KSB</t>
        </is>
      </c>
      <c r="B234" s="31" t="inlineStr">
        <is>
          <t>KSB Ltd</t>
        </is>
      </c>
      <c r="C234" s="31" t="inlineStr">
        <is>
          <t>industrials</t>
        </is>
      </c>
      <c r="D234" s="31" t="inlineStr">
        <is>
          <t>pumps</t>
        </is>
      </c>
      <c r="E234" s="31" t="inlineStr">
        <is>
          <t>midcap</t>
        </is>
      </c>
      <c r="F234" s="31" t="n">
        <v>16686.01</v>
      </c>
      <c r="G234" s="31" t="n">
        <v>962.55</v>
      </c>
      <c r="H234" s="31" t="n">
        <v>0.4</v>
      </c>
      <c r="I234" s="31" t="n">
        <v>114083</v>
      </c>
      <c r="J234" s="31" t="inlineStr">
        <is>
          <t>500249</t>
        </is>
      </c>
    </row>
    <row r="235">
      <c r="A235" s="31" t="inlineStr">
        <is>
          <t>SUNDRMFAST</t>
        </is>
      </c>
      <c r="B235" s="31" t="inlineStr">
        <is>
          <t>Sundram Fasteners Limited</t>
        </is>
      </c>
      <c r="C235" s="31" t="inlineStr">
        <is>
          <t>auto</t>
        </is>
      </c>
      <c r="D235" s="31" t="inlineStr">
        <is>
          <t>auto ancillaries</t>
        </is>
      </c>
      <c r="E235" s="31" t="inlineStr">
        <is>
          <t>midcap</t>
        </is>
      </c>
      <c r="F235" s="31" t="n">
        <v>19629.14</v>
      </c>
      <c r="G235" s="31" t="n">
        <v>937.35</v>
      </c>
      <c r="H235" s="31" t="n">
        <v>0.34</v>
      </c>
      <c r="I235" s="31" t="n">
        <v>101344</v>
      </c>
      <c r="J235" s="31" t="inlineStr">
        <is>
          <t>500403</t>
        </is>
      </c>
    </row>
    <row r="236">
      <c r="A236" s="31" t="inlineStr">
        <is>
          <t>ICICIBANK</t>
        </is>
      </c>
      <c r="B236" s="31" t="inlineStr">
        <is>
          <t>Icici Bank Limited</t>
        </is>
      </c>
      <c r="C236" s="31" t="inlineStr">
        <is>
          <t>bank</t>
        </is>
      </c>
      <c r="D236" s="31" t="inlineStr">
        <is>
          <t>banks - private sector</t>
        </is>
      </c>
      <c r="E236" s="31" t="inlineStr">
        <is>
          <t>largecap</t>
        </is>
      </c>
      <c r="F236" s="31" t="n">
        <v>984658.6800000001</v>
      </c>
      <c r="G236" s="31" t="n">
        <v>1379.8</v>
      </c>
      <c r="H236" s="31" t="n">
        <v>0.33</v>
      </c>
      <c r="I236" s="31" t="n">
        <v>11948034</v>
      </c>
      <c r="J236" s="31" t="inlineStr">
        <is>
          <t>532174</t>
        </is>
      </c>
    </row>
    <row r="237">
      <c r="A237" s="31" t="inlineStr">
        <is>
          <t>ESAFSFB</t>
        </is>
      </c>
      <c r="B237" s="31" t="inlineStr">
        <is>
          <t>ESAF Small Finance Bank Ltd</t>
        </is>
      </c>
      <c r="C237" s="31" t="inlineStr">
        <is>
          <t>bank</t>
        </is>
      </c>
      <c r="D237" s="31" t="inlineStr">
        <is>
          <t>banks - private sector</t>
        </is>
      </c>
      <c r="E237" s="31" t="inlineStr">
        <is>
          <t>smallcap</t>
        </is>
      </c>
      <c r="F237" s="31" t="n">
        <v>1727.47</v>
      </c>
      <c r="G237" s="31" t="n">
        <v>33.61</v>
      </c>
      <c r="H237" s="31" t="n">
        <v>0.33</v>
      </c>
      <c r="I237" s="31" t="n">
        <v>774224</v>
      </c>
      <c r="J237" s="31" t="inlineStr">
        <is>
          <t>544020</t>
        </is>
      </c>
    </row>
    <row r="238">
      <c r="A238" s="31" t="inlineStr">
        <is>
          <t>ATGL</t>
        </is>
      </c>
      <c r="B238" s="31" t="inlineStr">
        <is>
          <t>Adani Total Gas Ltd</t>
        </is>
      </c>
      <c r="C238" s="31" t="inlineStr">
        <is>
          <t>energy</t>
        </is>
      </c>
      <c r="D238" s="31" t="inlineStr">
        <is>
          <t>miscellaneous</t>
        </is>
      </c>
      <c r="E238" s="31" t="inlineStr">
        <is>
          <t>largecap</t>
        </is>
      </c>
      <c r="F238" s="31" t="n">
        <v>80456.61</v>
      </c>
      <c r="G238" s="31" t="n">
        <v>734</v>
      </c>
      <c r="H238" s="31" t="n">
        <v>0.33</v>
      </c>
      <c r="I238" s="31" t="n">
        <v>2668073</v>
      </c>
      <c r="J238" s="31" t="inlineStr">
        <is>
          <t>542066</t>
        </is>
      </c>
    </row>
    <row r="239">
      <c r="A239" s="31" t="inlineStr">
        <is>
          <t>PRIVISCL</t>
        </is>
      </c>
      <c r="B239" s="31" t="inlineStr">
        <is>
          <t>Privi Speciality Chemicals Ltd</t>
        </is>
      </c>
      <c r="C239" s="31" t="inlineStr">
        <is>
          <t>chemicals</t>
        </is>
      </c>
      <c r="D239" s="31" t="inlineStr">
        <is>
          <t>chemicals</t>
        </is>
      </c>
      <c r="E239" s="31" t="inlineStr">
        <is>
          <t>midcap</t>
        </is>
      </c>
      <c r="F239" s="31" t="n">
        <v>14344.61</v>
      </c>
      <c r="G239" s="31" t="n">
        <v>3684.2</v>
      </c>
      <c r="H239" s="31" t="n">
        <v>0.33</v>
      </c>
      <c r="I239" s="31" t="n">
        <v>75665</v>
      </c>
      <c r="J239" s="31" t="inlineStr">
        <is>
          <t>530117</t>
        </is>
      </c>
    </row>
    <row r="240">
      <c r="A240" s="31" t="inlineStr">
        <is>
          <t>VINCOFE</t>
        </is>
      </c>
      <c r="B240" s="31" t="inlineStr">
        <is>
          <t>Vintage Coffee &amp; Beverages Ltd</t>
        </is>
      </c>
      <c r="C240" s="31" t="inlineStr">
        <is>
          <t>consumer discretionary</t>
        </is>
      </c>
      <c r="D240" s="31" t="inlineStr">
        <is>
          <t>trading</t>
        </is>
      </c>
      <c r="E240" s="31" t="inlineStr">
        <is>
          <t>smallcap</t>
        </is>
      </c>
      <c r="F240" s="31" t="n">
        <v>2255.99</v>
      </c>
      <c r="G240" s="31" t="n">
        <v>155.34</v>
      </c>
      <c r="H240" s="31" t="n">
        <v>0.32</v>
      </c>
      <c r="I240" s="31" t="n">
        <v>2463178</v>
      </c>
      <c r="J240" s="31" t="inlineStr">
        <is>
          <t>538920</t>
        </is>
      </c>
    </row>
    <row r="241">
      <c r="A241" s="31" t="inlineStr">
        <is>
          <t>ABCAPITAL</t>
        </is>
      </c>
      <c r="B241" s="31" t="inlineStr">
        <is>
          <t>Aditya Birla Capital Ltd</t>
        </is>
      </c>
      <c r="C241" s="31" t="inlineStr">
        <is>
          <t>financials</t>
        </is>
      </c>
      <c r="D241" s="31" t="inlineStr">
        <is>
          <t>finance &amp; investments</t>
        </is>
      </c>
      <c r="E241" s="31" t="inlineStr">
        <is>
          <t>largecap</t>
        </is>
      </c>
      <c r="F241" s="31" t="n">
        <v>107167.22</v>
      </c>
      <c r="G241" s="31" t="n">
        <v>393.15</v>
      </c>
      <c r="H241" s="31" t="n">
        <v>0.31</v>
      </c>
      <c r="I241" s="31" t="n">
        <v>1940958</v>
      </c>
      <c r="J241" s="31" t="inlineStr">
        <is>
          <t>540691</t>
        </is>
      </c>
    </row>
    <row r="242">
      <c r="A242" s="31" t="inlineStr">
        <is>
          <t>MANINDS</t>
        </is>
      </c>
      <c r="B242" s="31" t="inlineStr">
        <is>
          <t>Man Industries (india) Limited</t>
        </is>
      </c>
      <c r="C242" s="31" t="inlineStr">
        <is>
          <t>metals &amp; mining</t>
        </is>
      </c>
      <c r="D242" s="31" t="inlineStr">
        <is>
          <t>steel - medium / small</t>
        </is>
      </c>
      <c r="E242" s="31" t="inlineStr">
        <is>
          <t>smallcap</t>
        </is>
      </c>
      <c r="F242" s="31" t="n">
        <v>4362.93</v>
      </c>
      <c r="G242" s="31" t="n">
        <v>583.3</v>
      </c>
      <c r="H242" s="31" t="n">
        <v>0.28</v>
      </c>
      <c r="I242" s="31" t="n">
        <v>190555</v>
      </c>
      <c r="J242" s="31" t="inlineStr">
        <is>
          <t>513269</t>
        </is>
      </c>
    </row>
    <row r="243">
      <c r="A243" s="31" t="inlineStr">
        <is>
          <t>SUYOG</t>
        </is>
      </c>
      <c r="B243" s="31" t="inlineStr">
        <is>
          <t>Suyog Telematics Ltd</t>
        </is>
      </c>
      <c r="C243" s="31" t="inlineStr">
        <is>
          <t>telecom</t>
        </is>
      </c>
      <c r="D243" s="31" t="inlineStr">
        <is>
          <t>transmisson line towers / equipment</t>
        </is>
      </c>
      <c r="E243" s="31" t="inlineStr">
        <is>
          <t>smallcap</t>
        </is>
      </c>
      <c r="F243" s="31" t="n">
        <v>979.3200000000001</v>
      </c>
      <c r="G243" s="31" t="n">
        <v>838.15</v>
      </c>
      <c r="H243" s="31" t="n">
        <v>0.28</v>
      </c>
      <c r="I243" s="31" t="n">
        <v>37322</v>
      </c>
      <c r="J243" s="31" t="inlineStr">
        <is>
          <t>537259</t>
        </is>
      </c>
    </row>
    <row r="244">
      <c r="A244" s="31" t="inlineStr">
        <is>
          <t>PGHL</t>
        </is>
      </c>
      <c r="B244" s="31" t="inlineStr">
        <is>
          <t>Procter &amp; Gamble Health Ltd</t>
        </is>
      </c>
      <c r="C244" s="31" t="inlineStr">
        <is>
          <t>healthcare</t>
        </is>
      </c>
      <c r="D244" s="31" t="inlineStr">
        <is>
          <t>pharmaceuticals - multinational</t>
        </is>
      </c>
      <c r="E244" s="31" t="inlineStr">
        <is>
          <t>midcap</t>
        </is>
      </c>
      <c r="F244" s="31" t="n">
        <v>10501.6</v>
      </c>
      <c r="G244" s="31" t="n">
        <v>6344.5</v>
      </c>
      <c r="H244" s="31" t="n">
        <v>0.28</v>
      </c>
      <c r="I244" s="31" t="n">
        <v>14738</v>
      </c>
      <c r="J244" s="31" t="inlineStr">
        <is>
          <t>500126</t>
        </is>
      </c>
    </row>
    <row r="245">
      <c r="A245" s="31" t="inlineStr">
        <is>
          <t>IMPAL</t>
        </is>
      </c>
      <c r="B245" s="31" t="inlineStr">
        <is>
          <t>India Motor Parts And Accessories Limited</t>
        </is>
      </c>
      <c r="C245" s="31" t="inlineStr">
        <is>
          <t>auto</t>
        </is>
      </c>
      <c r="D245" s="31" t="inlineStr">
        <is>
          <t>auto ancillaries</t>
        </is>
      </c>
      <c r="E245" s="31" t="inlineStr">
        <is>
          <t>smallcap</t>
        </is>
      </c>
      <c r="F245" s="31" t="n">
        <v>1375.42</v>
      </c>
      <c r="G245" s="31" t="n">
        <v>1105</v>
      </c>
      <c r="H245" s="31" t="n">
        <v>0.26</v>
      </c>
      <c r="I245" s="31" t="n">
        <v>1526</v>
      </c>
      <c r="J245" s="31" t="inlineStr">
        <is>
          <t>590065</t>
        </is>
      </c>
    </row>
    <row r="246">
      <c r="A246" s="31" t="inlineStr">
        <is>
          <t>ABDL</t>
        </is>
      </c>
      <c r="B246" s="31" t="inlineStr">
        <is>
          <t>Allied Blenders &amp; Distillers Ltd</t>
        </is>
      </c>
      <c r="C246" s="31" t="inlineStr">
        <is>
          <t>fmcg</t>
        </is>
      </c>
      <c r="D246" s="31" t="inlineStr">
        <is>
          <t>breweries &amp; distilleries</t>
        </is>
      </c>
      <c r="E246" s="31" t="inlineStr">
        <is>
          <t>midcap</t>
        </is>
      </c>
      <c r="F246" s="31" t="n">
        <v>18681.84</v>
      </c>
      <c r="G246" s="31" t="n">
        <v>669.55</v>
      </c>
      <c r="H246" s="31" t="n">
        <v>0.25</v>
      </c>
      <c r="I246" s="31" t="n">
        <v>448596</v>
      </c>
      <c r="J246" s="31" t="inlineStr">
        <is>
          <t>544203</t>
        </is>
      </c>
    </row>
    <row r="247">
      <c r="A247" s="31" t="inlineStr">
        <is>
          <t>ELECTHERM</t>
        </is>
      </c>
      <c r="B247" s="31" t="inlineStr">
        <is>
          <t>Electrotherm (india) Limited</t>
        </is>
      </c>
      <c r="C247" s="31" t="inlineStr">
        <is>
          <t>metals &amp; mining</t>
        </is>
      </c>
      <c r="D247" s="31" t="inlineStr">
        <is>
          <t>steel - medium / small</t>
        </is>
      </c>
      <c r="E247" s="31" t="inlineStr">
        <is>
          <t>smallcap</t>
        </is>
      </c>
      <c r="F247" s="31" t="n">
        <v>1399.03</v>
      </c>
      <c r="G247" s="31" t="n">
        <v>1100.5</v>
      </c>
      <c r="H247" s="31" t="n">
        <v>0.24</v>
      </c>
      <c r="I247" s="31" t="n">
        <v>17494</v>
      </c>
      <c r="J247" s="31" t="inlineStr">
        <is>
          <t>526608</t>
        </is>
      </c>
    </row>
    <row r="248">
      <c r="A248" s="31" t="inlineStr">
        <is>
          <t>JAYBARMARU</t>
        </is>
      </c>
      <c r="B248" s="31" t="inlineStr">
        <is>
          <t>Jay Bharat Maruti Limited</t>
        </is>
      </c>
      <c r="C248" s="31" t="inlineStr">
        <is>
          <t>auto</t>
        </is>
      </c>
      <c r="D248" s="31" t="inlineStr">
        <is>
          <t>auto ancillaries</t>
        </is>
      </c>
      <c r="E248" s="31" t="inlineStr">
        <is>
          <t>smallcap</t>
        </is>
      </c>
      <c r="F248" s="31" t="n">
        <v>1852.16</v>
      </c>
      <c r="G248" s="31" t="n">
        <v>171.48</v>
      </c>
      <c r="H248" s="31" t="n">
        <v>0.22</v>
      </c>
      <c r="I248" s="31" t="n">
        <v>731128</v>
      </c>
      <c r="J248" s="31" t="inlineStr">
        <is>
          <t>520066</t>
        </is>
      </c>
    </row>
    <row r="249">
      <c r="A249" s="31" t="inlineStr">
        <is>
          <t>ORCHPHARMA</t>
        </is>
      </c>
      <c r="B249" s="31" t="inlineStr">
        <is>
          <t>Orchid Pharma Ltd</t>
        </is>
      </c>
      <c r="C249" s="31" t="inlineStr">
        <is>
          <t>healthcare</t>
        </is>
      </c>
      <c r="D249" s="31" t="inlineStr">
        <is>
          <t>pharmaceuticals - indian - bulk drugs &amp; formln</t>
        </is>
      </c>
      <c r="E249" s="31" t="inlineStr">
        <is>
          <t>smallcap</t>
        </is>
      </c>
      <c r="F249" s="31" t="n">
        <v>4933.95</v>
      </c>
      <c r="G249" s="31" t="n">
        <v>974.8</v>
      </c>
      <c r="H249" s="31" t="n">
        <v>0.21</v>
      </c>
      <c r="I249" s="31" t="n">
        <v>36301</v>
      </c>
      <c r="J249" s="31" t="inlineStr">
        <is>
          <t>524372</t>
        </is>
      </c>
    </row>
    <row r="250">
      <c r="A250" s="31" t="inlineStr">
        <is>
          <t>SUNPHARMA</t>
        </is>
      </c>
      <c r="B250" s="31" t="inlineStr">
        <is>
          <t>Sun Pharmaceuticals Industries Limited</t>
        </is>
      </c>
      <c r="C250" s="31" t="inlineStr">
        <is>
          <t>healthcare</t>
        </is>
      </c>
      <c r="D250" s="31" t="inlineStr">
        <is>
          <t>pharmaceuticals - indian - bulk drugs &amp; formln</t>
        </is>
      </c>
      <c r="E250" s="31" t="inlineStr">
        <is>
          <t>largecap</t>
        </is>
      </c>
      <c r="F250" s="31" t="n">
        <v>446876.14</v>
      </c>
      <c r="G250" s="31" t="n">
        <v>1866.2</v>
      </c>
      <c r="H250" s="31" t="n">
        <v>0.2</v>
      </c>
      <c r="I250" s="31" t="n">
        <v>1230360</v>
      </c>
      <c r="J250" s="31" t="inlineStr">
        <is>
          <t>524715</t>
        </is>
      </c>
    </row>
    <row r="251">
      <c r="A251" s="31" t="inlineStr">
        <is>
          <t>HCC</t>
        </is>
      </c>
      <c r="B251" s="31" t="inlineStr">
        <is>
          <t>Hindustan Construction Company Limited</t>
        </is>
      </c>
      <c r="C251" s="31" t="inlineStr">
        <is>
          <t>realty</t>
        </is>
      </c>
      <c r="D251" s="31" t="inlineStr">
        <is>
          <t>construction</t>
        </is>
      </c>
      <c r="E251" s="31" t="inlineStr">
        <is>
          <t>midcap</t>
        </is>
      </c>
      <c r="F251" s="31" t="n">
        <v>6718.94</v>
      </c>
      <c r="G251" s="31" t="n">
        <v>25.7</v>
      </c>
      <c r="H251" s="31" t="n">
        <v>0.19</v>
      </c>
      <c r="I251" s="31" t="n">
        <v>29087744</v>
      </c>
      <c r="J251" s="31" t="inlineStr">
        <is>
          <t>500185</t>
        </is>
      </c>
    </row>
    <row r="252">
      <c r="A252" s="31" t="inlineStr">
        <is>
          <t>RADICO</t>
        </is>
      </c>
      <c r="B252" s="31" t="inlineStr">
        <is>
          <t>Radico Khaitan Limited</t>
        </is>
      </c>
      <c r="C252" s="31" t="inlineStr">
        <is>
          <t>fmcg</t>
        </is>
      </c>
      <c r="D252" s="31" t="inlineStr">
        <is>
          <t>breweries &amp; distilleries</t>
        </is>
      </c>
      <c r="E252" s="31" t="inlineStr">
        <is>
          <t>largecap</t>
        </is>
      </c>
      <c r="F252" s="31" t="n">
        <v>52829.43</v>
      </c>
      <c r="G252" s="31" t="n">
        <v>3952.6</v>
      </c>
      <c r="H252" s="31" t="n">
        <v>0.18</v>
      </c>
      <c r="I252" s="31" t="n">
        <v>223713</v>
      </c>
      <c r="J252" s="31" t="inlineStr">
        <is>
          <t>532497</t>
        </is>
      </c>
    </row>
    <row r="253">
      <c r="A253" s="31" t="inlineStr">
        <is>
          <t>LIKHITHA</t>
        </is>
      </c>
      <c r="B253" s="31" t="inlineStr">
        <is>
          <t>Likhitha Infrastructure Ltd</t>
        </is>
      </c>
      <c r="C253" s="31" t="inlineStr">
        <is>
          <t>realty</t>
        </is>
      </c>
      <c r="D253" s="31" t="inlineStr">
        <is>
          <t>construction</t>
        </is>
      </c>
      <c r="E253" s="31" t="inlineStr">
        <is>
          <t>smallcap</t>
        </is>
      </c>
      <c r="F253" s="31" t="n">
        <v>1048.03</v>
      </c>
      <c r="G253" s="31" t="n">
        <v>266.1</v>
      </c>
      <c r="H253" s="31" t="n">
        <v>0.17</v>
      </c>
      <c r="I253" s="31" t="n">
        <v>96171</v>
      </c>
      <c r="J253" s="31" t="inlineStr">
        <is>
          <t>543240</t>
        </is>
      </c>
    </row>
    <row r="254">
      <c r="A254" s="31" t="inlineStr">
        <is>
          <t>KTKBANK</t>
        </is>
      </c>
      <c r="B254" s="31" t="inlineStr">
        <is>
          <t>The Karnataka Bank Limited</t>
        </is>
      </c>
      <c r="C254" s="31" t="inlineStr">
        <is>
          <t>bank</t>
        </is>
      </c>
      <c r="D254" s="31" t="inlineStr">
        <is>
          <t>banks - private sector</t>
        </is>
      </c>
      <c r="E254" s="31" t="inlineStr">
        <is>
          <t>midcap</t>
        </is>
      </c>
      <c r="F254" s="31" t="n">
        <v>10338.36</v>
      </c>
      <c r="G254" s="31" t="n">
        <v>273.85</v>
      </c>
      <c r="H254" s="31" t="n">
        <v>0.16</v>
      </c>
      <c r="I254" s="31" t="n">
        <v>2159969</v>
      </c>
      <c r="J254" s="31" t="inlineStr">
        <is>
          <t>532652</t>
        </is>
      </c>
    </row>
    <row r="255">
      <c r="A255" s="31" t="inlineStr">
        <is>
          <t>GEECEE</t>
        </is>
      </c>
      <c r="B255" s="31" t="inlineStr">
        <is>
          <t>Geecee Ventures Limited</t>
        </is>
      </c>
      <c r="C255" s="31" t="inlineStr">
        <is>
          <t>financials</t>
        </is>
      </c>
      <c r="D255" s="31" t="inlineStr">
        <is>
          <t>finance &amp; investments</t>
        </is>
      </c>
      <c r="E255" s="31" t="inlineStr">
        <is>
          <t>smallcap</t>
        </is>
      </c>
      <c r="F255" s="31" t="n">
        <v>722.8099999999999</v>
      </c>
      <c r="G255" s="31" t="n">
        <v>346.2</v>
      </c>
      <c r="H255" s="31" t="n">
        <v>0.16</v>
      </c>
      <c r="I255" s="31" t="n">
        <v>1838</v>
      </c>
      <c r="J255" s="31" t="inlineStr">
        <is>
          <t>532764</t>
        </is>
      </c>
    </row>
    <row r="256">
      <c r="A256" s="31" t="inlineStr">
        <is>
          <t>CCL</t>
        </is>
      </c>
      <c r="B256" s="31" t="inlineStr">
        <is>
          <t>Ccl Products (india) Limited</t>
        </is>
      </c>
      <c r="C256" s="31" t="inlineStr">
        <is>
          <t>fmcg</t>
        </is>
      </c>
      <c r="D256" s="31" t="inlineStr">
        <is>
          <t>tea</t>
        </is>
      </c>
      <c r="E256" s="31" t="inlineStr">
        <is>
          <t>midcap</t>
        </is>
      </c>
      <c r="F256" s="31" t="n">
        <v>15772.32</v>
      </c>
      <c r="G256" s="31" t="n">
        <v>1183</v>
      </c>
      <c r="H256" s="31" t="n">
        <v>0.15</v>
      </c>
      <c r="I256" s="31" t="n">
        <v>306597</v>
      </c>
      <c r="J256" s="31" t="inlineStr">
        <is>
          <t>519600</t>
        </is>
      </c>
    </row>
    <row r="257">
      <c r="A257" s="31" t="inlineStr">
        <is>
          <t>UNITDSPR</t>
        </is>
      </c>
      <c r="B257" s="31" t="inlineStr">
        <is>
          <t>United Spirits Ltd</t>
        </is>
      </c>
      <c r="C257" s="31" t="inlineStr">
        <is>
          <t>fmcg</t>
        </is>
      </c>
      <c r="D257" s="31" t="inlineStr">
        <is>
          <t>breweries &amp; distilleries</t>
        </is>
      </c>
      <c r="E257" s="31" t="inlineStr">
        <is>
          <t>largecap</t>
        </is>
      </c>
      <c r="F257" s="31" t="n">
        <v>98221.46000000001</v>
      </c>
      <c r="G257" s="31" t="n">
        <v>1352.4</v>
      </c>
      <c r="H257" s="31" t="n">
        <v>0.15</v>
      </c>
      <c r="I257" s="31" t="n">
        <v>447614</v>
      </c>
      <c r="J257" s="31" t="inlineStr">
        <is>
          <t>532432</t>
        </is>
      </c>
    </row>
    <row r="258">
      <c r="A258" s="31" t="inlineStr">
        <is>
          <t>AVANTEL</t>
        </is>
      </c>
      <c r="B258" s="31" t="inlineStr">
        <is>
          <t>Avantel Ltd</t>
        </is>
      </c>
      <c r="C258" s="31" t="inlineStr">
        <is>
          <t>aerospace &amp; defence</t>
        </is>
      </c>
      <c r="D258" s="31" t="inlineStr">
        <is>
          <t>telecommunications - equipment</t>
        </is>
      </c>
      <c r="E258" s="31" t="inlineStr">
        <is>
          <t>smallcap</t>
        </is>
      </c>
      <c r="F258" s="31" t="n">
        <v>4759.41</v>
      </c>
      <c r="G258" s="31" t="n">
        <v>179.37</v>
      </c>
      <c r="H258" s="31" t="n">
        <v>0.14</v>
      </c>
      <c r="I258" s="31" t="n">
        <v>3958362</v>
      </c>
      <c r="J258" s="31" t="inlineStr">
        <is>
          <t>532406</t>
        </is>
      </c>
    </row>
    <row r="259">
      <c r="A259" s="31" t="inlineStr">
        <is>
          <t>ROLEXRINGS</t>
        </is>
      </c>
      <c r="B259" s="31" t="inlineStr">
        <is>
          <t>Rolex Rings Ltd</t>
        </is>
      </c>
      <c r="C259" s="31" t="inlineStr">
        <is>
          <t>auto</t>
        </is>
      </c>
      <c r="D259" s="31" t="inlineStr">
        <is>
          <t>auto ancillaries</t>
        </is>
      </c>
      <c r="E259" s="31" t="inlineStr">
        <is>
          <t>smallcap</t>
        </is>
      </c>
      <c r="F259" s="31" t="n">
        <v>4073.56</v>
      </c>
      <c r="G259" s="31" t="n">
        <v>149.78</v>
      </c>
      <c r="H259" s="31" t="n">
        <v>0.13</v>
      </c>
      <c r="I259" s="31" t="n">
        <v>1441142</v>
      </c>
      <c r="J259" s="31" t="inlineStr">
        <is>
          <t>543325</t>
        </is>
      </c>
    </row>
    <row r="260">
      <c r="A260" s="31" t="inlineStr">
        <is>
          <t>STEELCAS</t>
        </is>
      </c>
      <c r="B260" s="31" t="inlineStr">
        <is>
          <t>Steelcast Ltd</t>
        </is>
      </c>
      <c r="C260" s="31" t="inlineStr">
        <is>
          <t>industrials</t>
        </is>
      </c>
      <c r="D260" s="31" t="inlineStr">
        <is>
          <t>castings &amp; forgings</t>
        </is>
      </c>
      <c r="E260" s="31" t="inlineStr">
        <is>
          <t>smallcap</t>
        </is>
      </c>
      <c r="F260" s="31" t="n">
        <v>3071.93</v>
      </c>
      <c r="G260" s="31" t="n">
        <v>303.95</v>
      </c>
      <c r="H260" s="31" t="n">
        <v>0.13</v>
      </c>
      <c r="I260" s="31" t="n">
        <v>87456</v>
      </c>
      <c r="J260" s="31" t="inlineStr">
        <is>
          <t>513517</t>
        </is>
      </c>
    </row>
    <row r="261">
      <c r="A261" s="31" t="inlineStr">
        <is>
          <t>INDOTECH</t>
        </is>
      </c>
      <c r="B261" s="31" t="inlineStr">
        <is>
          <t>Indo Tech Transformers Limited</t>
        </is>
      </c>
      <c r="C261" s="31" t="inlineStr">
        <is>
          <t>industrials</t>
        </is>
      </c>
      <c r="D261" s="31" t="inlineStr">
        <is>
          <t>electric equipment</t>
        </is>
      </c>
      <c r="E261" s="31" t="inlineStr">
        <is>
          <t>smallcap</t>
        </is>
      </c>
      <c r="F261" s="31" t="n">
        <v>3436.53</v>
      </c>
      <c r="G261" s="31" t="n">
        <v>3239.9</v>
      </c>
      <c r="H261" s="31" t="n">
        <v>0.12</v>
      </c>
      <c r="I261" s="31" t="n">
        <v>139360</v>
      </c>
      <c r="J261" s="31" t="inlineStr">
        <is>
          <t>532717</t>
        </is>
      </c>
    </row>
    <row r="262">
      <c r="A262" s="31" t="inlineStr">
        <is>
          <t>HITECHCORP</t>
        </is>
      </c>
      <c r="B262" s="31" t="inlineStr">
        <is>
          <t>Hitech Corporation</t>
        </is>
      </c>
      <c r="C262" s="31" t="inlineStr">
        <is>
          <t>industrials</t>
        </is>
      </c>
      <c r="D262" s="31" t="inlineStr">
        <is>
          <t>packaging</t>
        </is>
      </c>
      <c r="E262" s="31" t="inlineStr">
        <is>
          <t>smallcap</t>
        </is>
      </c>
      <c r="F262" s="31" t="n">
        <v>542.13</v>
      </c>
      <c r="G262" s="31" t="n">
        <v>316</v>
      </c>
      <c r="H262" s="31" t="n">
        <v>0.11</v>
      </c>
      <c r="I262" s="31" t="n">
        <v>4905</v>
      </c>
      <c r="J262" s="31" t="inlineStr">
        <is>
          <t>526217</t>
        </is>
      </c>
    </row>
    <row r="263">
      <c r="A263" s="31" t="inlineStr">
        <is>
          <t>MUFIN</t>
        </is>
      </c>
      <c r="B263" s="31" t="inlineStr">
        <is>
          <t>Mufin Green Finance Ltd</t>
        </is>
      </c>
      <c r="C263" s="31" t="inlineStr">
        <is>
          <t>financials</t>
        </is>
      </c>
      <c r="D263" s="31" t="inlineStr">
        <is>
          <t>finance &amp; investments</t>
        </is>
      </c>
      <c r="E263" s="31" t="inlineStr">
        <is>
          <t>smallcap</t>
        </is>
      </c>
      <c r="F263" s="31" t="n">
        <v>2652.6</v>
      </c>
      <c r="G263" s="31" t="n">
        <v>134</v>
      </c>
      <c r="H263" s="31" t="n">
        <v>0.1</v>
      </c>
      <c r="I263" s="31" t="n">
        <v>2126983</v>
      </c>
      <c r="J263" s="31" t="inlineStr">
        <is>
          <t>542774</t>
        </is>
      </c>
    </row>
    <row r="264">
      <c r="A264" s="31" t="inlineStr">
        <is>
          <t>JBCHEPHARM</t>
        </is>
      </c>
      <c r="B264" s="31" t="inlineStr">
        <is>
          <t>Jb Chemicals &amp; Pharmaceuticals Limited</t>
        </is>
      </c>
      <c r="C264" s="31" t="inlineStr">
        <is>
          <t>healthcare</t>
        </is>
      </c>
      <c r="D264" s="31" t="inlineStr">
        <is>
          <t>pharmaceuticals - indian - bulk drugs &amp; formln</t>
        </is>
      </c>
      <c r="E264" s="31" t="inlineStr">
        <is>
          <t>largecap</t>
        </is>
      </c>
      <c r="F264" s="31" t="n">
        <v>36862.67</v>
      </c>
      <c r="G264" s="31" t="n">
        <v>2298</v>
      </c>
      <c r="H264" s="31" t="n">
        <v>0.09</v>
      </c>
      <c r="I264" s="31" t="n">
        <v>218779</v>
      </c>
      <c r="J264" s="31" t="inlineStr">
        <is>
          <t>506943</t>
        </is>
      </c>
    </row>
    <row r="265">
      <c r="A265" s="31" t="inlineStr">
        <is>
          <t>SOFTTECH</t>
        </is>
      </c>
      <c r="B265" s="31" t="inlineStr">
        <is>
          <t>Softtech Engineers Ltd</t>
        </is>
      </c>
      <c r="C265" s="31" t="inlineStr">
        <is>
          <t>i.t</t>
        </is>
      </c>
      <c r="D265" s="31" t="inlineStr">
        <is>
          <t>computers - software - medium / small</t>
        </is>
      </c>
      <c r="E265" s="31" t="inlineStr">
        <is>
          <t>smallcap</t>
        </is>
      </c>
      <c r="F265" s="31" t="n">
        <v>615.49</v>
      </c>
      <c r="G265" s="31" t="n">
        <v>445</v>
      </c>
      <c r="H265" s="31" t="n">
        <v>0.08</v>
      </c>
      <c r="I265" s="31" t="n">
        <v>628</v>
      </c>
      <c r="J265" s="31" t="inlineStr">
        <is>
          <t>535078</t>
        </is>
      </c>
    </row>
    <row r="266">
      <c r="A266" s="31" t="inlineStr">
        <is>
          <t>SIMPLEXINF</t>
        </is>
      </c>
      <c r="B266" s="31" t="inlineStr">
        <is>
          <t>Simplex Infrastructures Limited</t>
        </is>
      </c>
      <c r="C266" s="31" t="inlineStr">
        <is>
          <t>realty</t>
        </is>
      </c>
      <c r="D266" s="31" t="inlineStr">
        <is>
          <t>construction</t>
        </is>
      </c>
      <c r="E266" s="31" t="inlineStr">
        <is>
          <t>smallcap</t>
        </is>
      </c>
      <c r="F266" s="31" t="n">
        <v>2101.56</v>
      </c>
      <c r="G266" s="31" t="n">
        <v>265.9</v>
      </c>
      <c r="H266" s="31" t="n">
        <v>0.08</v>
      </c>
      <c r="I266" s="31" t="n">
        <v>48434</v>
      </c>
      <c r="J266" s="31" t="inlineStr">
        <is>
          <t>523838</t>
        </is>
      </c>
    </row>
    <row r="267">
      <c r="A267" s="31" t="inlineStr">
        <is>
          <t>CEIGALL</t>
        </is>
      </c>
      <c r="B267" s="31" t="inlineStr">
        <is>
          <t>Ceigall India Ltd</t>
        </is>
      </c>
      <c r="C267" s="31" t="inlineStr">
        <is>
          <t>realty</t>
        </is>
      </c>
      <c r="D267" s="31" t="inlineStr">
        <is>
          <t>construction</t>
        </is>
      </c>
      <c r="E267" s="31" t="inlineStr">
        <is>
          <t>midcap</t>
        </is>
      </c>
      <c r="F267" s="31" t="n">
        <v>6826.22</v>
      </c>
      <c r="G267" s="31" t="n">
        <v>392.1</v>
      </c>
      <c r="H267" s="31" t="n">
        <v>0.06</v>
      </c>
      <c r="I267" s="31" t="n">
        <v>390830</v>
      </c>
      <c r="J267" s="31" t="inlineStr">
        <is>
          <t>544223</t>
        </is>
      </c>
    </row>
    <row r="268">
      <c r="A268" s="31" t="inlineStr">
        <is>
          <t>ASHIANA</t>
        </is>
      </c>
      <c r="B268" s="31" t="inlineStr">
        <is>
          <t>Ashiana Housing Limited</t>
        </is>
      </c>
      <c r="C268" s="31" t="inlineStr">
        <is>
          <t>realty</t>
        </is>
      </c>
      <c r="D268" s="31" t="inlineStr">
        <is>
          <t>construction</t>
        </is>
      </c>
      <c r="E268" s="31" t="inlineStr">
        <is>
          <t>smallcap</t>
        </is>
      </c>
      <c r="F268" s="31" t="n">
        <v>3980.28</v>
      </c>
      <c r="G268" s="31" t="n">
        <v>396.05</v>
      </c>
      <c r="H268" s="31" t="n">
        <v>0.03</v>
      </c>
      <c r="I268" s="31" t="n">
        <v>160017</v>
      </c>
      <c r="J268" s="31" t="inlineStr">
        <is>
          <t>523716</t>
        </is>
      </c>
    </row>
    <row r="269">
      <c r="A269" s="31" t="inlineStr">
        <is>
          <t>DIVGIITTS</t>
        </is>
      </c>
      <c r="B269" s="31" t="inlineStr">
        <is>
          <t>Divgi Torqtransfer Systems Ltd</t>
        </is>
      </c>
      <c r="C269" s="31" t="inlineStr">
        <is>
          <t>auto</t>
        </is>
      </c>
      <c r="D269" s="31" t="inlineStr">
        <is>
          <t>auto ancillaries</t>
        </is>
      </c>
      <c r="E269" s="31" t="inlineStr">
        <is>
          <t>smallcap</t>
        </is>
      </c>
      <c r="F269" s="31" t="n">
        <v>3020.22</v>
      </c>
      <c r="G269" s="31" t="n">
        <v>987.85</v>
      </c>
      <c r="H269" s="31" t="n">
        <v>0.03</v>
      </c>
      <c r="I269" s="31" t="n">
        <v>3053416</v>
      </c>
      <c r="J269" s="31" t="inlineStr">
        <is>
          <t>543812</t>
        </is>
      </c>
    </row>
    <row r="270">
      <c r="A270" s="31" t="inlineStr">
        <is>
          <t>VSTIND</t>
        </is>
      </c>
      <c r="B270" s="31" t="inlineStr">
        <is>
          <t>Vst Industries Limited</t>
        </is>
      </c>
      <c r="C270" s="31" t="inlineStr">
        <is>
          <t>fmcg</t>
        </is>
      </c>
      <c r="D270" s="31" t="inlineStr">
        <is>
          <t>cigarettes</t>
        </is>
      </c>
      <c r="E270" s="31" t="inlineStr">
        <is>
          <t>smallcap</t>
        </is>
      </c>
      <c r="F270" s="31" t="n">
        <v>4421.49</v>
      </c>
      <c r="G270" s="31" t="n">
        <v>260.3</v>
      </c>
      <c r="H270" s="31" t="n">
        <v>0</v>
      </c>
      <c r="I270" s="31" t="n">
        <v>277046</v>
      </c>
      <c r="J270" s="31" t="inlineStr">
        <is>
          <t>509966</t>
        </is>
      </c>
    </row>
    <row r="271">
      <c r="A271" s="31" t="inlineStr">
        <is>
          <t>KRYSTAL</t>
        </is>
      </c>
      <c r="B271" s="31" t="inlineStr">
        <is>
          <t>Krystal Integrated Services Ltd</t>
        </is>
      </c>
      <c r="C271" s="31" t="inlineStr">
        <is>
          <t>miscellaneous</t>
        </is>
      </c>
      <c r="D271" s="31" t="inlineStr">
        <is>
          <t>miscellaneous</t>
        </is>
      </c>
      <c r="E271" s="31" t="inlineStr">
        <is>
          <t>smallcap</t>
        </is>
      </c>
      <c r="F271" s="31" t="n">
        <v>838.39</v>
      </c>
      <c r="G271" s="31" t="n">
        <v>600</v>
      </c>
      <c r="H271" s="31" t="n">
        <v>-0.01</v>
      </c>
      <c r="I271" s="31" t="n">
        <v>4508</v>
      </c>
      <c r="J271" s="31" t="inlineStr">
        <is>
          <t>544149</t>
        </is>
      </c>
    </row>
    <row r="272">
      <c r="A272" s="31" t="inlineStr">
        <is>
          <t>ICEMAKE</t>
        </is>
      </c>
      <c r="B272" s="31" t="inlineStr">
        <is>
          <t>ICE Make Refrigeration Ltd</t>
        </is>
      </c>
      <c r="C272" s="31" t="inlineStr">
        <is>
          <t>industrials</t>
        </is>
      </c>
      <c r="D272" s="31" t="inlineStr">
        <is>
          <t>engineering</t>
        </is>
      </c>
      <c r="E272" s="31" t="inlineStr">
        <is>
          <t>smallcap</t>
        </is>
      </c>
      <c r="F272" s="31" t="n">
        <v>1255.91</v>
      </c>
      <c r="G272" s="31" t="n">
        <v>795.65</v>
      </c>
      <c r="H272" s="31" t="n">
        <v>-0.03</v>
      </c>
      <c r="I272" s="31" t="n">
        <v>53214</v>
      </c>
      <c r="J272" s="31" t="inlineStr">
        <is>
          <t>535034</t>
        </is>
      </c>
    </row>
    <row r="273">
      <c r="A273" s="31" t="inlineStr">
        <is>
          <t>ENTERO</t>
        </is>
      </c>
      <c r="B273" s="31" t="inlineStr">
        <is>
          <t>Entero Healthcare Solutions Ltd</t>
        </is>
      </c>
      <c r="C273" s="31" t="inlineStr">
        <is>
          <t>healthcare</t>
        </is>
      </c>
      <c r="D273" s="31" t="inlineStr">
        <is>
          <t>trading</t>
        </is>
      </c>
      <c r="E273" s="31" t="inlineStr">
        <is>
          <t>midcap</t>
        </is>
      </c>
      <c r="F273" s="31" t="n">
        <v>5177.8</v>
      </c>
      <c r="G273" s="31" t="n">
        <v>1189.5</v>
      </c>
      <c r="H273" s="31" t="n">
        <v>-0.04</v>
      </c>
      <c r="I273" s="31" t="n">
        <v>52735</v>
      </c>
      <c r="J273" s="31" t="inlineStr">
        <is>
          <t>544122</t>
        </is>
      </c>
    </row>
    <row r="274">
      <c r="A274" s="31" t="inlineStr">
        <is>
          <t>ALKEM</t>
        </is>
      </c>
      <c r="B274" s="31" t="inlineStr">
        <is>
          <t>Alkem Laboratories Limited</t>
        </is>
      </c>
      <c r="C274" s="31" t="inlineStr">
        <is>
          <t>healthcare</t>
        </is>
      </c>
      <c r="D274" s="31" t="inlineStr">
        <is>
          <t>pharmaceuticals - indian - bulk drugs &amp; formln</t>
        </is>
      </c>
      <c r="E274" s="31" t="inlineStr">
        <is>
          <t>largecap</t>
        </is>
      </c>
      <c r="F274" s="31" t="n">
        <v>66597.71000000001</v>
      </c>
      <c r="G274" s="31" t="n">
        <v>5567.5</v>
      </c>
      <c r="H274" s="31" t="n">
        <v>-0.04</v>
      </c>
      <c r="I274" s="31" t="n">
        <v>128296</v>
      </c>
      <c r="J274" s="31" t="inlineStr">
        <is>
          <t>539523</t>
        </is>
      </c>
    </row>
    <row r="275">
      <c r="A275" s="31" t="inlineStr">
        <is>
          <t>BHEL</t>
        </is>
      </c>
      <c r="B275" s="31" t="inlineStr">
        <is>
          <t>Bharat Heavy Electricals Limited</t>
        </is>
      </c>
      <c r="C275" s="31" t="inlineStr">
        <is>
          <t>industrials</t>
        </is>
      </c>
      <c r="D275" s="31" t="inlineStr">
        <is>
          <t>electric equipment</t>
        </is>
      </c>
      <c r="E275" s="31" t="inlineStr">
        <is>
          <t>largecap</t>
        </is>
      </c>
      <c r="F275" s="31" t="n">
        <v>144192.24</v>
      </c>
      <c r="G275" s="31" t="n">
        <v>413.95</v>
      </c>
      <c r="H275" s="31" t="n">
        <v>-0.04</v>
      </c>
      <c r="I275" s="31" t="n">
        <v>10048287</v>
      </c>
      <c r="J275" s="31" t="inlineStr">
        <is>
          <t>500103</t>
        </is>
      </c>
    </row>
    <row r="276">
      <c r="A276" s="31" t="inlineStr">
        <is>
          <t>SGIL</t>
        </is>
      </c>
      <c r="B276" s="31" t="inlineStr">
        <is>
          <t>Synergy Green Industries Ltd</t>
        </is>
      </c>
      <c r="C276" s="31" t="inlineStr">
        <is>
          <t>industrials</t>
        </is>
      </c>
      <c r="D276" s="31" t="inlineStr">
        <is>
          <t>castings &amp; forgings</t>
        </is>
      </c>
      <c r="E276" s="31" t="inlineStr">
        <is>
          <t>smallcap</t>
        </is>
      </c>
      <c r="F276" s="31" t="n">
        <v>910.35</v>
      </c>
      <c r="G276" s="31" t="n">
        <v>585.45</v>
      </c>
      <c r="H276" s="31" t="n">
        <v>-0.04</v>
      </c>
      <c r="I276" s="31" t="n">
        <v>7860</v>
      </c>
      <c r="J276" s="31" t="inlineStr">
        <is>
          <t>541929</t>
        </is>
      </c>
    </row>
    <row r="277">
      <c r="A277" s="31" t="inlineStr">
        <is>
          <t>MANGLMCEM</t>
        </is>
      </c>
      <c r="B277" s="31" t="inlineStr">
        <is>
          <t>Mangalam Cement Limited</t>
        </is>
      </c>
      <c r="C277" s="31" t="inlineStr">
        <is>
          <t>building materials</t>
        </is>
      </c>
      <c r="D277" s="31" t="inlineStr">
        <is>
          <t>cement - north india</t>
        </is>
      </c>
      <c r="E277" s="31" t="inlineStr">
        <is>
          <t>smallcap</t>
        </is>
      </c>
      <c r="F277" s="31" t="n">
        <v>2511.19</v>
      </c>
      <c r="G277" s="31" t="n">
        <v>912.75</v>
      </c>
      <c r="H277" s="31" t="n">
        <v>-0.05</v>
      </c>
      <c r="I277" s="31" t="n">
        <v>12062</v>
      </c>
      <c r="J277" s="31" t="inlineStr">
        <is>
          <t>502157</t>
        </is>
      </c>
    </row>
    <row r="278">
      <c r="A278" s="31" t="inlineStr">
        <is>
          <t>SHREEPUSHK</t>
        </is>
      </c>
      <c r="B278" s="31" t="inlineStr">
        <is>
          <t>Shree Pushkar Chemicals &amp; Fertilisers Limited</t>
        </is>
      </c>
      <c r="C278" s="31" t="inlineStr">
        <is>
          <t>chemicals</t>
        </is>
      </c>
      <c r="D278" s="31" t="inlineStr">
        <is>
          <t>dyes and pigments</t>
        </is>
      </c>
      <c r="E278" s="31" t="inlineStr">
        <is>
          <t>smallcap</t>
        </is>
      </c>
      <c r="F278" s="31" t="n">
        <v>1317.76</v>
      </c>
      <c r="G278" s="31" t="n">
        <v>407.3</v>
      </c>
      <c r="H278" s="31" t="n">
        <v>-0.05</v>
      </c>
      <c r="I278" s="31" t="n">
        <v>25314</v>
      </c>
      <c r="J278" s="31" t="inlineStr">
        <is>
          <t>539334</t>
        </is>
      </c>
    </row>
    <row r="279">
      <c r="A279" s="31" t="inlineStr">
        <is>
          <t>SONACOMS</t>
        </is>
      </c>
      <c r="B279" s="31" t="inlineStr">
        <is>
          <t>Sona BLW Precision Forgings Ltd</t>
        </is>
      </c>
      <c r="C279" s="31" t="inlineStr">
        <is>
          <t>auto</t>
        </is>
      </c>
      <c r="D279" s="31" t="inlineStr">
        <is>
          <t>auto ancillaries</t>
        </is>
      </c>
      <c r="E279" s="31" t="inlineStr">
        <is>
          <t>largecap</t>
        </is>
      </c>
      <c r="F279" s="31" t="n">
        <v>38548.29</v>
      </c>
      <c r="G279" s="31" t="n">
        <v>619.4</v>
      </c>
      <c r="H279" s="31" t="n">
        <v>-0.08</v>
      </c>
      <c r="I279" s="31" t="n">
        <v>967427</v>
      </c>
      <c r="J279" s="31" t="inlineStr">
        <is>
          <t>543300</t>
        </is>
      </c>
    </row>
    <row r="280">
      <c r="A280" s="31" t="inlineStr">
        <is>
          <t>SAREGAMA</t>
        </is>
      </c>
      <c r="B280" s="31" t="inlineStr">
        <is>
          <t>Saregama India Limited</t>
        </is>
      </c>
      <c r="C280" s="31" t="inlineStr">
        <is>
          <t>media</t>
        </is>
      </c>
      <c r="D280" s="31" t="inlineStr">
        <is>
          <t>entertainment / electronic media software</t>
        </is>
      </c>
      <c r="E280" s="31" t="inlineStr">
        <is>
          <t>midcap</t>
        </is>
      </c>
      <c r="F280" s="31" t="n">
        <v>9501.65</v>
      </c>
      <c r="G280" s="31" t="n">
        <v>492.35</v>
      </c>
      <c r="H280" s="31" t="n">
        <v>-0.09</v>
      </c>
      <c r="I280" s="31" t="n">
        <v>325236</v>
      </c>
      <c r="J280" s="31" t="inlineStr">
        <is>
          <t>532163</t>
        </is>
      </c>
    </row>
    <row r="281">
      <c r="A281" s="31" t="inlineStr">
        <is>
          <t>POCL</t>
        </is>
      </c>
      <c r="B281" s="31" t="inlineStr">
        <is>
          <t>Pondy Oxides &amp; Chemicals Ltd</t>
        </is>
      </c>
      <c r="C281" s="31" t="inlineStr">
        <is>
          <t>metals &amp; mining</t>
        </is>
      </c>
      <c r="D281" s="31" t="inlineStr">
        <is>
          <t>mining / minerals / metals</t>
        </is>
      </c>
      <c r="E281" s="31" t="inlineStr">
        <is>
          <t>smallcap</t>
        </is>
      </c>
      <c r="F281" s="31" t="n">
        <v>4195</v>
      </c>
      <c r="G281" s="31" t="n">
        <v>1373.7</v>
      </c>
      <c r="H281" s="31" t="n">
        <v>-0.09</v>
      </c>
      <c r="I281" s="31" t="n">
        <v>272289</v>
      </c>
      <c r="J281" s="31" t="inlineStr">
        <is>
          <t>532626</t>
        </is>
      </c>
    </row>
    <row r="282">
      <c r="A282" s="31" t="inlineStr">
        <is>
          <t>NAZARA</t>
        </is>
      </c>
      <c r="B282" s="31" t="inlineStr">
        <is>
          <t>Nazara Technologies Ltd</t>
        </is>
      </c>
      <c r="C282" s="31" t="inlineStr">
        <is>
          <t>i.t</t>
        </is>
      </c>
      <c r="D282" s="31" t="inlineStr">
        <is>
          <t>telecommunications - service provider</t>
        </is>
      </c>
      <c r="E282" s="31" t="inlineStr">
        <is>
          <t>midcap</t>
        </is>
      </c>
      <c r="F282" s="31" t="n">
        <v>11228.79</v>
      </c>
      <c r="G282" s="31" t="n">
        <v>302.8</v>
      </c>
      <c r="H282" s="31" t="n">
        <v>-0.1</v>
      </c>
      <c r="I282" s="31" t="n">
        <v>1441728</v>
      </c>
      <c r="J282" s="31" t="inlineStr">
        <is>
          <t>543280</t>
        </is>
      </c>
    </row>
    <row r="283">
      <c r="A283" s="31" t="inlineStr">
        <is>
          <t>INGERRAND</t>
        </is>
      </c>
      <c r="B283" s="31" t="inlineStr">
        <is>
          <t>Ingersoll Rand (india) Limited</t>
        </is>
      </c>
      <c r="C283" s="31" t="inlineStr">
        <is>
          <t>industrials</t>
        </is>
      </c>
      <c r="D283" s="31" t="inlineStr">
        <is>
          <t>compressors / drilling equipment</t>
        </is>
      </c>
      <c r="E283" s="31" t="inlineStr">
        <is>
          <t>midcap</t>
        </is>
      </c>
      <c r="F283" s="31" t="n">
        <v>14208.13</v>
      </c>
      <c r="G283" s="31" t="n">
        <v>4495.9</v>
      </c>
      <c r="H283" s="31" t="n">
        <v>-0.11</v>
      </c>
      <c r="I283" s="31" t="n">
        <v>8267</v>
      </c>
      <c r="J283" s="31" t="inlineStr">
        <is>
          <t>500210</t>
        </is>
      </c>
    </row>
    <row r="284">
      <c r="A284" s="31" t="inlineStr">
        <is>
          <t>TITAN</t>
        </is>
      </c>
      <c r="B284" s="31" t="inlineStr">
        <is>
          <t>Titan Company Limited</t>
        </is>
      </c>
      <c r="C284" s="31" t="inlineStr">
        <is>
          <t>consumer discretionary</t>
        </is>
      </c>
      <c r="D284" s="31" t="inlineStr">
        <is>
          <t>diamond cutting / jewellery</t>
        </is>
      </c>
      <c r="E284" s="31" t="inlineStr">
        <is>
          <t>largecap</t>
        </is>
      </c>
      <c r="F284" s="31" t="n">
        <v>390981.02</v>
      </c>
      <c r="G284" s="31" t="n">
        <v>4398.6</v>
      </c>
      <c r="H284" s="31" t="n">
        <v>-0.12</v>
      </c>
      <c r="I284" s="31" t="n">
        <v>1168751</v>
      </c>
      <c r="J284" s="31" t="inlineStr">
        <is>
          <t>500114</t>
        </is>
      </c>
    </row>
    <row r="285">
      <c r="A285" s="31" t="inlineStr">
        <is>
          <t>JSWDULUX</t>
        </is>
      </c>
      <c r="B285" s="31" t="inlineStr">
        <is>
          <t>JSW Dulux Ltd</t>
        </is>
      </c>
      <c r="C285" s="31" t="inlineStr">
        <is>
          <t>building materials</t>
        </is>
      </c>
      <c r="D285" s="31" t="inlineStr">
        <is>
          <t>paints / varnishes</t>
        </is>
      </c>
      <c r="E285" s="31" t="inlineStr">
        <is>
          <t>midcap</t>
        </is>
      </c>
      <c r="F285" s="31" t="n">
        <v>14700.87</v>
      </c>
      <c r="G285" s="31" t="n">
        <v>3224</v>
      </c>
      <c r="H285" s="31" t="n">
        <v>-0.13</v>
      </c>
      <c r="I285" s="31" t="n">
        <v>54805</v>
      </c>
      <c r="J285" s="31" t="inlineStr">
        <is>
          <t>500710</t>
        </is>
      </c>
    </row>
    <row r="286">
      <c r="A286" s="31" t="inlineStr">
        <is>
          <t>TIRUPATIFL</t>
        </is>
      </c>
      <c r="B286" s="31" t="inlineStr">
        <is>
          <t>Tirupati Forge Ltd</t>
        </is>
      </c>
      <c r="C286" s="31" t="inlineStr">
        <is>
          <t>industrials</t>
        </is>
      </c>
      <c r="D286" s="31" t="inlineStr">
        <is>
          <t>castings &amp; forgings</t>
        </is>
      </c>
      <c r="E286" s="31" t="inlineStr">
        <is>
          <t>smallcap</t>
        </is>
      </c>
      <c r="F286" s="31" t="n">
        <v>827.72</v>
      </c>
      <c r="G286" s="31" t="n">
        <v>63.98</v>
      </c>
      <c r="H286" s="31" t="n">
        <v>-0.14</v>
      </c>
      <c r="I286" s="31" t="n">
        <v>2755886</v>
      </c>
      <c r="J286" s="31" t="inlineStr">
        <is>
          <t>535021</t>
        </is>
      </c>
    </row>
    <row r="287">
      <c r="A287" s="31" t="inlineStr">
        <is>
          <t>CERA</t>
        </is>
      </c>
      <c r="B287" s="31" t="inlineStr">
        <is>
          <t>Cera Sanitaryware Limited</t>
        </is>
      </c>
      <c r="C287" s="31" t="inlineStr">
        <is>
          <t>building materials</t>
        </is>
      </c>
      <c r="D287" s="31" t="inlineStr">
        <is>
          <t>ceramics - tiles / sanitaryware</t>
        </is>
      </c>
      <c r="E287" s="31" t="inlineStr">
        <is>
          <t>midcap</t>
        </is>
      </c>
      <c r="F287" s="31" t="n">
        <v>8320.85</v>
      </c>
      <c r="G287" s="31" t="n">
        <v>6441</v>
      </c>
      <c r="H287" s="31" t="n">
        <v>-0.16</v>
      </c>
      <c r="I287" s="31" t="n">
        <v>9882</v>
      </c>
      <c r="J287" s="31" t="inlineStr">
        <is>
          <t>532443</t>
        </is>
      </c>
    </row>
    <row r="288">
      <c r="A288" s="31" t="inlineStr">
        <is>
          <t>RAJRILTD</t>
        </is>
      </c>
      <c r="B288" s="31" t="inlineStr">
        <is>
          <t>Raj Rayon Industries Ltd</t>
        </is>
      </c>
      <c r="C288" s="31" t="inlineStr">
        <is>
          <t>textiles</t>
        </is>
      </c>
      <c r="D288" s="31" t="inlineStr">
        <is>
          <t>textiles - manmade</t>
        </is>
      </c>
      <c r="E288" s="31" t="inlineStr">
        <is>
          <t>smallcap</t>
        </is>
      </c>
      <c r="F288" s="31" t="n">
        <v>1348.5</v>
      </c>
      <c r="G288" s="31" t="n">
        <v>24.21</v>
      </c>
      <c r="H288" s="31" t="n">
        <v>-0.17</v>
      </c>
      <c r="I288" s="31" t="n">
        <v>29933</v>
      </c>
      <c r="J288" s="31" t="inlineStr">
        <is>
          <t>530699</t>
        </is>
      </c>
    </row>
    <row r="289">
      <c r="A289" s="31" t="inlineStr">
        <is>
          <t>YATHARTH</t>
        </is>
      </c>
      <c r="B289" s="31" t="inlineStr">
        <is>
          <t>Yatharth Hospital &amp; Trauma Care Services Ltd</t>
        </is>
      </c>
      <c r="C289" s="31" t="inlineStr">
        <is>
          <t>healthcare</t>
        </is>
      </c>
      <c r="D289" s="31" t="inlineStr">
        <is>
          <t>healthcare</t>
        </is>
      </c>
      <c r="E289" s="31" t="inlineStr">
        <is>
          <t>midcap</t>
        </is>
      </c>
      <c r="F289" s="31" t="n">
        <v>8272.99</v>
      </c>
      <c r="G289" s="31" t="n">
        <v>856.85</v>
      </c>
      <c r="H289" s="31" t="n">
        <v>-0.2</v>
      </c>
      <c r="I289" s="31" t="n">
        <v>242553</v>
      </c>
      <c r="J289" s="31" t="inlineStr">
        <is>
          <t>543950</t>
        </is>
      </c>
    </row>
    <row r="290">
      <c r="A290" s="31" t="inlineStr">
        <is>
          <t>HONAUT</t>
        </is>
      </c>
      <c r="B290" s="31" t="inlineStr">
        <is>
          <t>Honeywell Automation India Limited</t>
        </is>
      </c>
      <c r="C290" s="31" t="inlineStr">
        <is>
          <t>consumer discretionary</t>
        </is>
      </c>
      <c r="D290" s="31" t="inlineStr">
        <is>
          <t>electronics - components</t>
        </is>
      </c>
      <c r="E290" s="31" t="inlineStr">
        <is>
          <t>largecap</t>
        </is>
      </c>
      <c r="F290" s="31" t="n">
        <v>35131.79</v>
      </c>
      <c r="G290" s="31" t="n">
        <v>39655</v>
      </c>
      <c r="H290" s="31" t="n">
        <v>-0.2</v>
      </c>
      <c r="I290" s="31" t="n">
        <v>7055</v>
      </c>
      <c r="J290" s="31" t="inlineStr">
        <is>
          <t>517174</t>
        </is>
      </c>
    </row>
    <row r="291">
      <c r="A291" s="31" t="inlineStr">
        <is>
          <t>PTL</t>
        </is>
      </c>
      <c r="B291" s="31" t="inlineStr">
        <is>
          <t>Ptl Enterprises Limited</t>
        </is>
      </c>
      <c r="C291" s="31" t="inlineStr">
        <is>
          <t>miscellaneous</t>
        </is>
      </c>
      <c r="D291" s="31" t="inlineStr">
        <is>
          <t>miscellaneous</t>
        </is>
      </c>
      <c r="E291" s="31" t="inlineStr">
        <is>
          <t>smallcap</t>
        </is>
      </c>
      <c r="F291" s="31" t="n">
        <v>561.8099999999999</v>
      </c>
      <c r="G291" s="31" t="n">
        <v>42.35</v>
      </c>
      <c r="H291" s="31" t="n">
        <v>-0.21</v>
      </c>
      <c r="I291" s="31" t="n">
        <v>25180</v>
      </c>
      <c r="J291" s="31" t="inlineStr">
        <is>
          <t>509220</t>
        </is>
      </c>
    </row>
    <row r="292">
      <c r="A292" s="31" t="inlineStr">
        <is>
          <t>MACPOWER</t>
        </is>
      </c>
      <c r="B292" s="31" t="inlineStr">
        <is>
          <t>Macpower CNC Machines Ltd</t>
        </is>
      </c>
      <c r="C292" s="31" t="inlineStr">
        <is>
          <t>industrials</t>
        </is>
      </c>
      <c r="D292" s="31" t="inlineStr">
        <is>
          <t>engineering</t>
        </is>
      </c>
      <c r="E292" s="31" t="inlineStr">
        <is>
          <t>midcap</t>
        </is>
      </c>
      <c r="F292" s="31" t="n">
        <v>11266.33</v>
      </c>
      <c r="G292" s="31" t="n">
        <v>1343.9</v>
      </c>
      <c r="H292" s="31" t="n">
        <v>-0.22</v>
      </c>
      <c r="I292" s="31" t="n">
        <v>47018</v>
      </c>
      <c r="J292" s="31" t="inlineStr">
        <is>
          <t>535057</t>
        </is>
      </c>
    </row>
    <row r="293">
      <c r="A293" s="31" t="inlineStr">
        <is>
          <t>GRANULES</t>
        </is>
      </c>
      <c r="B293" s="31" t="inlineStr">
        <is>
          <t>Granules India Limited</t>
        </is>
      </c>
      <c r="C293" s="31" t="inlineStr">
        <is>
          <t>healthcare</t>
        </is>
      </c>
      <c r="D293" s="31" t="inlineStr">
        <is>
          <t>pharmaceuticals - indian - bulk drugs &amp; formln</t>
        </is>
      </c>
      <c r="E293" s="31" t="inlineStr">
        <is>
          <t>largecap</t>
        </is>
      </c>
      <c r="F293" s="31" t="n">
        <v>20152.08</v>
      </c>
      <c r="G293" s="31" t="n">
        <v>811.4</v>
      </c>
      <c r="H293" s="31" t="n">
        <v>-0.23</v>
      </c>
      <c r="I293" s="31" t="n">
        <v>1129581</v>
      </c>
      <c r="J293" s="31" t="inlineStr">
        <is>
          <t>532482</t>
        </is>
      </c>
    </row>
    <row r="294">
      <c r="A294" s="31" t="inlineStr">
        <is>
          <t>LLOYDSME</t>
        </is>
      </c>
      <c r="B294" s="31" t="inlineStr">
        <is>
          <t>Lloyds Metals &amp; Energy Ltd</t>
        </is>
      </c>
      <c r="C294" s="31" t="inlineStr">
        <is>
          <t>metals &amp; mining</t>
        </is>
      </c>
      <c r="D294" s="31" t="inlineStr">
        <is>
          <t>mining / minerals / metals</t>
        </is>
      </c>
      <c r="E294" s="31" t="inlineStr">
        <is>
          <t>largecap</t>
        </is>
      </c>
      <c r="F294" s="31" t="n">
        <v>101886.61</v>
      </c>
      <c r="G294" s="31" t="n">
        <v>1805.9</v>
      </c>
      <c r="H294" s="31" t="n">
        <v>-0.25</v>
      </c>
      <c r="I294" s="31" t="n">
        <v>523486</v>
      </c>
      <c r="J294" s="31" t="inlineStr">
        <is>
          <t>512455</t>
        </is>
      </c>
    </row>
    <row r="295">
      <c r="A295" s="31" t="inlineStr">
        <is>
          <t>MAHABANK</t>
        </is>
      </c>
      <c r="B295" s="31" t="inlineStr">
        <is>
          <t>Bank Of Maharashtra Ltd</t>
        </is>
      </c>
      <c r="C295" s="31" t="inlineStr">
        <is>
          <t>bank</t>
        </is>
      </c>
      <c r="D295" s="31" t="inlineStr">
        <is>
          <t>banks - public sector</t>
        </is>
      </c>
      <c r="E295" s="31" t="inlineStr">
        <is>
          <t>largecap</t>
        </is>
      </c>
      <c r="F295" s="31" t="n">
        <v>70331.58</v>
      </c>
      <c r="G295" s="31" t="n">
        <v>91.2</v>
      </c>
      <c r="H295" s="31" t="n">
        <v>-0.26</v>
      </c>
      <c r="I295" s="31" t="n">
        <v>15857817</v>
      </c>
      <c r="J295" s="31" t="inlineStr">
        <is>
          <t>532525</t>
        </is>
      </c>
    </row>
    <row r="296">
      <c r="A296" s="31" t="inlineStr">
        <is>
          <t>IPCALAB</t>
        </is>
      </c>
      <c r="B296" s="31" t="inlineStr">
        <is>
          <t>Ipca Laboratories Limited</t>
        </is>
      </c>
      <c r="C296" s="31" t="inlineStr">
        <is>
          <t>healthcare</t>
        </is>
      </c>
      <c r="D296" s="31" t="inlineStr">
        <is>
          <t>pharmaceuticals - indian - bulk drugs &amp; formln</t>
        </is>
      </c>
      <c r="E296" s="31" t="inlineStr">
        <is>
          <t>largecap</t>
        </is>
      </c>
      <c r="F296" s="31" t="n">
        <v>43155.09</v>
      </c>
      <c r="G296" s="31" t="n">
        <v>1696.4</v>
      </c>
      <c r="H296" s="31" t="n">
        <v>-0.27</v>
      </c>
      <c r="I296" s="31" t="n">
        <v>222143</v>
      </c>
      <c r="J296" s="31" t="inlineStr">
        <is>
          <t>524494</t>
        </is>
      </c>
    </row>
    <row r="297">
      <c r="A297" s="31" t="inlineStr">
        <is>
          <t>EMCURE</t>
        </is>
      </c>
      <c r="B297" s="31" t="inlineStr">
        <is>
          <t>Emcure Pharmaceuticals Ltd</t>
        </is>
      </c>
      <c r="C297" s="31" t="inlineStr">
        <is>
          <t>healthcare</t>
        </is>
      </c>
      <c r="D297" s="31" t="inlineStr">
        <is>
          <t>pharmaceuticals - indian - bulk drugs &amp; formln</t>
        </is>
      </c>
      <c r="E297" s="31" t="inlineStr">
        <is>
          <t>largecap</t>
        </is>
      </c>
      <c r="F297" s="31" t="n">
        <v>34808.64</v>
      </c>
      <c r="G297" s="31" t="n">
        <v>1830.9</v>
      </c>
      <c r="H297" s="31" t="n">
        <v>-0.28</v>
      </c>
      <c r="I297" s="31" t="n">
        <v>186376</v>
      </c>
      <c r="J297" s="31" t="inlineStr">
        <is>
          <t>544210</t>
        </is>
      </c>
    </row>
    <row r="298">
      <c r="A298" s="31" t="inlineStr">
        <is>
          <t>IBULLSLTD</t>
        </is>
      </c>
      <c r="B298" s="31" t="inlineStr">
        <is>
          <t>Indiabulls Limited</t>
        </is>
      </c>
      <c r="C298" s="31" t="inlineStr">
        <is>
          <t>miscellaneous</t>
        </is>
      </c>
      <c r="D298" s="31" t="inlineStr">
        <is>
          <t>diversified - medium / small</t>
        </is>
      </c>
      <c r="E298" s="31" t="inlineStr">
        <is>
          <t>midcap</t>
        </is>
      </c>
      <c r="F298" s="31" t="n">
        <v>6464.11</v>
      </c>
      <c r="G298" s="31" t="n">
        <v>27.73</v>
      </c>
      <c r="H298" s="31" t="n">
        <v>-0.29</v>
      </c>
      <c r="I298" s="31" t="n">
        <v>4413255</v>
      </c>
      <c r="J298" s="31" t="inlineStr">
        <is>
          <t>533520</t>
        </is>
      </c>
    </row>
    <row r="299">
      <c r="A299" s="31" t="inlineStr">
        <is>
          <t>DIACABS</t>
        </is>
      </c>
      <c r="B299" s="31" t="inlineStr">
        <is>
          <t>Diamond Power Infrastructure Ltd</t>
        </is>
      </c>
      <c r="C299" s="31" t="inlineStr">
        <is>
          <t>industrials</t>
        </is>
      </c>
      <c r="D299" s="31" t="inlineStr">
        <is>
          <t>cables - power</t>
        </is>
      </c>
      <c r="E299" s="31" t="inlineStr">
        <is>
          <t>midcap</t>
        </is>
      </c>
      <c r="F299" s="31" t="n">
        <v>11031.61</v>
      </c>
      <c r="G299" s="31" t="n">
        <v>208.73</v>
      </c>
      <c r="H299" s="31" t="n">
        <v>-0.29</v>
      </c>
      <c r="I299" s="31" t="n">
        <v>1956053</v>
      </c>
      <c r="J299" s="31" t="inlineStr">
        <is>
          <t>522163</t>
        </is>
      </c>
    </row>
    <row r="300">
      <c r="A300" s="31" t="inlineStr">
        <is>
          <t>ZYDUSLIFE</t>
        </is>
      </c>
      <c r="B300" s="31" t="inlineStr">
        <is>
          <t>Zydus Lifesciences Ltd</t>
        </is>
      </c>
      <c r="C300" s="31" t="inlineStr">
        <is>
          <t>healthcare</t>
        </is>
      </c>
      <c r="D300" s="31" t="inlineStr">
        <is>
          <t>pharmaceuticals - indian - bulk drugs &amp; formln</t>
        </is>
      </c>
      <c r="E300" s="31" t="inlineStr">
        <is>
          <t>largecap</t>
        </is>
      </c>
      <c r="F300" s="31" t="n">
        <v>110982.28</v>
      </c>
      <c r="G300" s="31" t="n">
        <v>1109.2</v>
      </c>
      <c r="H300" s="31" t="n">
        <v>-0.31</v>
      </c>
      <c r="I300" s="31" t="n">
        <v>1005311</v>
      </c>
      <c r="J300" s="31" t="inlineStr">
        <is>
          <t>532321</t>
        </is>
      </c>
    </row>
    <row r="301">
      <c r="A301" s="31" t="inlineStr">
        <is>
          <t>ICIL</t>
        </is>
      </c>
      <c r="B301" s="31" t="inlineStr">
        <is>
          <t>Indo Count Industries Limited</t>
        </is>
      </c>
      <c r="C301" s="31" t="inlineStr">
        <is>
          <t>textiles</t>
        </is>
      </c>
      <c r="D301" s="31" t="inlineStr">
        <is>
          <t>textiles - cotton/blended</t>
        </is>
      </c>
      <c r="E301" s="31" t="inlineStr">
        <is>
          <t>midcap</t>
        </is>
      </c>
      <c r="F301" s="31" t="n">
        <v>8679.73</v>
      </c>
      <c r="G301" s="31" t="n">
        <v>436.9</v>
      </c>
      <c r="H301" s="31" t="n">
        <v>-0.31</v>
      </c>
      <c r="I301" s="31" t="n">
        <v>542987</v>
      </c>
      <c r="J301" s="31" t="inlineStr">
        <is>
          <t>521016</t>
        </is>
      </c>
    </row>
    <row r="302">
      <c r="A302" s="31" t="inlineStr">
        <is>
          <t>HFCL</t>
        </is>
      </c>
      <c r="B302" s="31" t="inlineStr">
        <is>
          <t>HFCL Ltd</t>
        </is>
      </c>
      <c r="C302" s="31" t="inlineStr">
        <is>
          <t>telecom</t>
        </is>
      </c>
      <c r="D302" s="31" t="inlineStr">
        <is>
          <t>cables - telephone</t>
        </is>
      </c>
      <c r="E302" s="31" t="inlineStr">
        <is>
          <t>largecap</t>
        </is>
      </c>
      <c r="F302" s="31" t="n">
        <v>32578.87</v>
      </c>
      <c r="G302" s="31" t="n">
        <v>212.09</v>
      </c>
      <c r="H302" s="31" t="n">
        <v>-0.36</v>
      </c>
      <c r="I302" s="31" t="n">
        <v>15347183</v>
      </c>
      <c r="J302" s="31" t="inlineStr">
        <is>
          <t>500183</t>
        </is>
      </c>
    </row>
    <row r="303">
      <c r="A303" s="31" t="inlineStr">
        <is>
          <t>CGCL</t>
        </is>
      </c>
      <c r="B303" s="31" t="inlineStr">
        <is>
          <t>Capri Global Capital Limited</t>
        </is>
      </c>
      <c r="C303" s="31" t="inlineStr">
        <is>
          <t>financials</t>
        </is>
      </c>
      <c r="D303" s="31" t="inlineStr">
        <is>
          <t>finance &amp; investments</t>
        </is>
      </c>
      <c r="E303" s="31" t="inlineStr">
        <is>
          <t>largecap</t>
        </is>
      </c>
      <c r="F303" s="31" t="n">
        <v>21904.4</v>
      </c>
      <c r="G303" s="31" t="n">
        <v>226.82</v>
      </c>
      <c r="H303" s="31" t="n">
        <v>-0.37</v>
      </c>
      <c r="I303" s="31" t="n">
        <v>3869604</v>
      </c>
      <c r="J303" s="31" t="inlineStr">
        <is>
          <t>531595</t>
        </is>
      </c>
    </row>
    <row r="304">
      <c r="A304" s="31" t="inlineStr">
        <is>
          <t>HAPPYFORGE</t>
        </is>
      </c>
      <c r="B304" s="31" t="inlineStr">
        <is>
          <t>Happy Forgings Ltd</t>
        </is>
      </c>
      <c r="C304" s="31" t="inlineStr">
        <is>
          <t>industrials</t>
        </is>
      </c>
      <c r="D304" s="31" t="inlineStr">
        <is>
          <t>castings &amp; forgings</t>
        </is>
      </c>
      <c r="E304" s="31" t="inlineStr">
        <is>
          <t>midcap</t>
        </is>
      </c>
      <c r="F304" s="31" t="n">
        <v>14509.21</v>
      </c>
      <c r="G304" s="31" t="n">
        <v>1532.1</v>
      </c>
      <c r="H304" s="31" t="n">
        <v>-0.37</v>
      </c>
      <c r="I304" s="31" t="n">
        <v>86160</v>
      </c>
      <c r="J304" s="31" t="inlineStr">
        <is>
          <t>544057</t>
        </is>
      </c>
    </row>
    <row r="305">
      <c r="A305" s="31" t="inlineStr">
        <is>
          <t>AVALON</t>
        </is>
      </c>
      <c r="B305" s="31" t="inlineStr">
        <is>
          <t>Avalon Technologies Ltd</t>
        </is>
      </c>
      <c r="C305" s="31" t="inlineStr">
        <is>
          <t>consumer discretionary</t>
        </is>
      </c>
      <c r="D305" s="31" t="inlineStr">
        <is>
          <t>electronics - components</t>
        </is>
      </c>
      <c r="E305" s="31" t="inlineStr">
        <is>
          <t>midcap</t>
        </is>
      </c>
      <c r="F305" s="31" t="n">
        <v>12030.59</v>
      </c>
      <c r="G305" s="31" t="n">
        <v>1795.3</v>
      </c>
      <c r="H305" s="31" t="n">
        <v>-0.37</v>
      </c>
      <c r="I305" s="31" t="n">
        <v>360010</v>
      </c>
      <c r="J305" s="31" t="inlineStr">
        <is>
          <t>543896</t>
        </is>
      </c>
    </row>
    <row r="306">
      <c r="A306" s="31" t="inlineStr">
        <is>
          <t>STARHEALTH</t>
        </is>
      </c>
      <c r="B306" s="31" t="inlineStr">
        <is>
          <t>Star Health &amp; Allied Insurance Company Ltd</t>
        </is>
      </c>
      <c r="C306" s="31" t="inlineStr">
        <is>
          <t>financials</t>
        </is>
      </c>
      <c r="D306" s="31" t="inlineStr">
        <is>
          <t>finance &amp; investments</t>
        </is>
      </c>
      <c r="E306" s="31" t="inlineStr">
        <is>
          <t>largecap</t>
        </is>
      </c>
      <c r="F306" s="31" t="n">
        <v>34654.02</v>
      </c>
      <c r="G306" s="31" t="n">
        <v>586.8</v>
      </c>
      <c r="H306" s="31" t="n">
        <v>-0.37</v>
      </c>
      <c r="I306" s="31" t="n">
        <v>353618</v>
      </c>
      <c r="J306" s="31" t="inlineStr">
        <is>
          <t>543412</t>
        </is>
      </c>
    </row>
    <row r="307">
      <c r="A307" s="31" t="inlineStr">
        <is>
          <t>SANGAMIND</t>
        </is>
      </c>
      <c r="B307" s="31" t="inlineStr">
        <is>
          <t>Sangam (india) Limited</t>
        </is>
      </c>
      <c r="C307" s="31" t="inlineStr">
        <is>
          <t>textiles</t>
        </is>
      </c>
      <c r="D307" s="31" t="inlineStr">
        <is>
          <t>textiles - spinning - synthetic / blended</t>
        </is>
      </c>
      <c r="E307" s="31" t="inlineStr">
        <is>
          <t>smallcap</t>
        </is>
      </c>
      <c r="F307" s="31" t="n">
        <v>2734.67</v>
      </c>
      <c r="G307" s="31" t="n">
        <v>542</v>
      </c>
      <c r="H307" s="31" t="n">
        <v>-0.41</v>
      </c>
      <c r="I307" s="31" t="n">
        <v>12902</v>
      </c>
      <c r="J307" s="31" t="inlineStr">
        <is>
          <t>514234</t>
        </is>
      </c>
    </row>
    <row r="308">
      <c r="A308" s="31" t="inlineStr">
        <is>
          <t>MOTHERSON</t>
        </is>
      </c>
      <c r="B308" s="31" t="inlineStr">
        <is>
          <t>Samvardhana Motherson International Ltd</t>
        </is>
      </c>
      <c r="C308" s="31" t="inlineStr">
        <is>
          <t>auto</t>
        </is>
      </c>
      <c r="D308" s="31" t="inlineStr">
        <is>
          <t>auto ancillaries</t>
        </is>
      </c>
      <c r="E308" s="31" t="inlineStr">
        <is>
          <t>largecap</t>
        </is>
      </c>
      <c r="F308" s="31" t="n">
        <v>156321.85</v>
      </c>
      <c r="G308" s="31" t="n">
        <v>147.51</v>
      </c>
      <c r="H308" s="31" t="n">
        <v>-0.41</v>
      </c>
      <c r="I308" s="31" t="n">
        <v>21947631</v>
      </c>
      <c r="J308" s="31" t="inlineStr">
        <is>
          <t>517334</t>
        </is>
      </c>
    </row>
    <row r="309">
      <c r="A309" s="31" t="inlineStr">
        <is>
          <t>TI</t>
        </is>
      </c>
      <c r="B309" s="31" t="inlineStr">
        <is>
          <t>Tilaknagar Industries Limited</t>
        </is>
      </c>
      <c r="C309" s="31" t="inlineStr">
        <is>
          <t>fmcg</t>
        </is>
      </c>
      <c r="D309" s="31" t="inlineStr">
        <is>
          <t>breweries &amp; distilleries</t>
        </is>
      </c>
      <c r="E309" s="31" t="inlineStr">
        <is>
          <t>midcap</t>
        </is>
      </c>
      <c r="F309" s="31" t="n">
        <v>11249.98</v>
      </c>
      <c r="G309" s="31" t="n">
        <v>453.2</v>
      </c>
      <c r="H309" s="31" t="n">
        <v>-0.43</v>
      </c>
      <c r="I309" s="31" t="n">
        <v>402540</v>
      </c>
      <c r="J309" s="31" t="inlineStr">
        <is>
          <t>507205</t>
        </is>
      </c>
    </row>
    <row r="310">
      <c r="A310" s="31" t="inlineStr">
        <is>
          <t>NIBE</t>
        </is>
      </c>
      <c r="B310" s="31" t="inlineStr">
        <is>
          <t>NIBE Ltd</t>
        </is>
      </c>
      <c r="C310" s="31" t="inlineStr">
        <is>
          <t>aerospace &amp; defence</t>
        </is>
      </c>
      <c r="D310" s="31" t="inlineStr">
        <is>
          <t>engineering</t>
        </is>
      </c>
      <c r="E310" s="31" t="inlineStr">
        <is>
          <t>smallcap</t>
        </is>
      </c>
      <c r="F310" s="31" t="n">
        <v>2539.32</v>
      </c>
      <c r="G310" s="31" t="n">
        <v>1656.2</v>
      </c>
      <c r="H310" s="31" t="n">
        <v>-0.46</v>
      </c>
      <c r="I310" s="31" t="n">
        <v>44282</v>
      </c>
      <c r="J310" s="31" t="inlineStr">
        <is>
          <t>535136</t>
        </is>
      </c>
    </row>
    <row r="311">
      <c r="A311" s="31" t="inlineStr">
        <is>
          <t>SOLARINDS</t>
        </is>
      </c>
      <c r="B311" s="31" t="inlineStr">
        <is>
          <t>Solar Industries India Limited</t>
        </is>
      </c>
      <c r="C311" s="31" t="inlineStr">
        <is>
          <t>aerospace &amp; defence</t>
        </is>
      </c>
      <c r="D311" s="31" t="inlineStr">
        <is>
          <t>chemicals</t>
        </is>
      </c>
      <c r="E311" s="31" t="inlineStr">
        <is>
          <t>largecap</t>
        </is>
      </c>
      <c r="F311" s="31" t="n">
        <v>169180.21</v>
      </c>
      <c r="G311" s="31" t="n">
        <v>18610</v>
      </c>
      <c r="H311" s="31" t="n">
        <v>-0.46</v>
      </c>
      <c r="I311" s="31" t="n">
        <v>136190</v>
      </c>
      <c r="J311" s="31" t="inlineStr">
        <is>
          <t>532725</t>
        </is>
      </c>
    </row>
    <row r="312">
      <c r="A312" s="31" t="inlineStr">
        <is>
          <t>JINDALSAW</t>
        </is>
      </c>
      <c r="B312" s="31" t="inlineStr">
        <is>
          <t>Jindal Saw Limited</t>
        </is>
      </c>
      <c r="C312" s="31" t="inlineStr">
        <is>
          <t>industrials</t>
        </is>
      </c>
      <c r="D312" s="31" t="inlineStr">
        <is>
          <t>steel - large</t>
        </is>
      </c>
      <c r="E312" s="31" t="inlineStr">
        <is>
          <t>midcap</t>
        </is>
      </c>
      <c r="F312" s="31" t="n">
        <v>16722.5</v>
      </c>
      <c r="G312" s="31" t="n">
        <v>260.25</v>
      </c>
      <c r="H312" s="31" t="n">
        <v>-0.47</v>
      </c>
      <c r="I312" s="31" t="n">
        <v>799115</v>
      </c>
      <c r="J312" s="31" t="inlineStr">
        <is>
          <t>500378</t>
        </is>
      </c>
    </row>
    <row r="313">
      <c r="A313" s="31" t="inlineStr">
        <is>
          <t>HIRECT</t>
        </is>
      </c>
      <c r="B313" s="31" t="inlineStr">
        <is>
          <t>Hind Rectifiers Limited</t>
        </is>
      </c>
      <c r="C313" s="31" t="inlineStr">
        <is>
          <t>consumer discretionary</t>
        </is>
      </c>
      <c r="D313" s="31" t="inlineStr">
        <is>
          <t>electronics - components</t>
        </is>
      </c>
      <c r="E313" s="31" t="inlineStr">
        <is>
          <t>smallcap</t>
        </is>
      </c>
      <c r="F313" s="31" t="n">
        <v>3983.89</v>
      </c>
      <c r="G313" s="31" t="n">
        <v>1153.2</v>
      </c>
      <c r="H313" s="31" t="n">
        <v>-0.52</v>
      </c>
      <c r="I313" s="31" t="n">
        <v>70917</v>
      </c>
      <c r="J313" s="31" t="inlineStr">
        <is>
          <t>504036</t>
        </is>
      </c>
    </row>
    <row r="314">
      <c r="A314" s="31" t="inlineStr">
        <is>
          <t>INNOVACAP</t>
        </is>
      </c>
      <c r="B314" s="31" t="inlineStr">
        <is>
          <t>Innova Captab Ltd</t>
        </is>
      </c>
      <c r="C314" s="31" t="inlineStr">
        <is>
          <t>healthcare</t>
        </is>
      </c>
      <c r="D314" s="31" t="inlineStr">
        <is>
          <t>pharmaceuticals - indian - bulk drugs &amp; formln</t>
        </is>
      </c>
      <c r="E314" s="31" t="inlineStr">
        <is>
          <t>midcap</t>
        </is>
      </c>
      <c r="F314" s="31" t="n">
        <v>5599.17</v>
      </c>
      <c r="G314" s="31" t="n">
        <v>973.35</v>
      </c>
      <c r="H314" s="31" t="n">
        <v>-0.52</v>
      </c>
      <c r="I314" s="31" t="n">
        <v>31123</v>
      </c>
      <c r="J314" s="31" t="inlineStr">
        <is>
          <t>544067</t>
        </is>
      </c>
    </row>
    <row r="315">
      <c r="A315" s="31" t="inlineStr">
        <is>
          <t>ASTRAMICRO</t>
        </is>
      </c>
      <c r="B315" s="31" t="inlineStr">
        <is>
          <t>Astra Microwave Products Limited</t>
        </is>
      </c>
      <c r="C315" s="31" t="inlineStr">
        <is>
          <t>aerospace &amp; defence</t>
        </is>
      </c>
      <c r="D315" s="31" t="inlineStr">
        <is>
          <t>telecommunications - equipment</t>
        </is>
      </c>
      <c r="E315" s="31" t="inlineStr">
        <is>
          <t>midcap</t>
        </is>
      </c>
      <c r="F315" s="31" t="n">
        <v>16725.51</v>
      </c>
      <c r="G315" s="31" t="n">
        <v>1752.5</v>
      </c>
      <c r="H315" s="31" t="n">
        <v>-0.52</v>
      </c>
      <c r="I315" s="31" t="n">
        <v>456020</v>
      </c>
      <c r="J315" s="31" t="inlineStr">
        <is>
          <t>532493</t>
        </is>
      </c>
    </row>
    <row r="316">
      <c r="A316" s="31" t="inlineStr">
        <is>
          <t>MANCREDIT</t>
        </is>
      </c>
      <c r="B316" s="31" t="inlineStr">
        <is>
          <t>Mangal Credit &amp; Fincorp Ltd</t>
        </is>
      </c>
      <c r="C316" s="31" t="inlineStr">
        <is>
          <t>financials</t>
        </is>
      </c>
      <c r="D316" s="31" t="inlineStr">
        <is>
          <t>finance &amp; investments</t>
        </is>
      </c>
      <c r="E316" s="31" t="inlineStr">
        <is>
          <t>smallcap</t>
        </is>
      </c>
      <c r="F316" s="31" t="n">
        <v>512.5</v>
      </c>
      <c r="G316" s="31" t="n">
        <v>241.42</v>
      </c>
      <c r="H316" s="31" t="n">
        <v>-0.54</v>
      </c>
      <c r="I316" s="31" t="n">
        <v>126017</v>
      </c>
      <c r="J316" s="31" t="inlineStr">
        <is>
          <t>505850</t>
        </is>
      </c>
    </row>
    <row r="317">
      <c r="A317" s="31" t="inlineStr">
        <is>
          <t>RRKABEL</t>
        </is>
      </c>
      <c r="B317" s="31" t="inlineStr">
        <is>
          <t>R R Kabel Ltd</t>
        </is>
      </c>
      <c r="C317" s="31" t="inlineStr">
        <is>
          <t>industrials</t>
        </is>
      </c>
      <c r="D317" s="31" t="inlineStr">
        <is>
          <t>cables - power</t>
        </is>
      </c>
      <c r="E317" s="31" t="inlineStr">
        <is>
          <t>largecap</t>
        </is>
      </c>
      <c r="F317" s="31" t="n">
        <v>27091.03</v>
      </c>
      <c r="G317" s="31" t="n">
        <v>2381.7</v>
      </c>
      <c r="H317" s="31" t="n">
        <v>-0.5600000000000001</v>
      </c>
      <c r="I317" s="31" t="n">
        <v>341269</v>
      </c>
      <c r="J317" s="31" t="inlineStr">
        <is>
          <t>543981</t>
        </is>
      </c>
    </row>
    <row r="318">
      <c r="A318" s="31" t="inlineStr">
        <is>
          <t>NEOGEN</t>
        </is>
      </c>
      <c r="B318" s="31" t="inlineStr">
        <is>
          <t>Neogen Chemicals Ltd</t>
        </is>
      </c>
      <c r="C318" s="31" t="inlineStr">
        <is>
          <t>chemicals</t>
        </is>
      </c>
      <c r="D318" s="31" t="inlineStr">
        <is>
          <t>chemicals</t>
        </is>
      </c>
      <c r="E318" s="31" t="inlineStr">
        <is>
          <t>midcap</t>
        </is>
      </c>
      <c r="F318" s="31" t="n">
        <v>5544.52</v>
      </c>
      <c r="G318" s="31" t="n">
        <v>2013.6</v>
      </c>
      <c r="H318" s="31" t="n">
        <v>-0.5600000000000001</v>
      </c>
      <c r="I318" s="31" t="n">
        <v>60031</v>
      </c>
      <c r="J318" s="31" t="inlineStr">
        <is>
          <t>542665</t>
        </is>
      </c>
    </row>
    <row r="319">
      <c r="A319" s="31" t="inlineStr">
        <is>
          <t>KAJARIACER</t>
        </is>
      </c>
      <c r="B319" s="31" t="inlineStr">
        <is>
          <t>Kajaria Ceramics Limited</t>
        </is>
      </c>
      <c r="C319" s="31" t="inlineStr">
        <is>
          <t>building materials</t>
        </is>
      </c>
      <c r="D319" s="31" t="inlineStr">
        <is>
          <t>ceramics - tiles / sanitaryware</t>
        </is>
      </c>
      <c r="E319" s="31" t="inlineStr">
        <is>
          <t>midcap</t>
        </is>
      </c>
      <c r="F319" s="31" t="n">
        <v>19278.32</v>
      </c>
      <c r="G319" s="31" t="n">
        <v>1203.6</v>
      </c>
      <c r="H319" s="31" t="n">
        <v>-0.5600000000000001</v>
      </c>
      <c r="I319" s="31" t="n">
        <v>225298</v>
      </c>
      <c r="J319" s="31" t="inlineStr">
        <is>
          <t>500233</t>
        </is>
      </c>
    </row>
    <row r="320">
      <c r="A320" s="31" t="inlineStr">
        <is>
          <t>NOCIL</t>
        </is>
      </c>
      <c r="B320" s="31" t="inlineStr">
        <is>
          <t>Nocil Limited</t>
        </is>
      </c>
      <c r="C320" s="31" t="inlineStr">
        <is>
          <t>chemicals</t>
        </is>
      </c>
      <c r="D320" s="31" t="inlineStr">
        <is>
          <t>chemicals</t>
        </is>
      </c>
      <c r="E320" s="31" t="inlineStr">
        <is>
          <t>smallcap</t>
        </is>
      </c>
      <c r="F320" s="31" t="n">
        <v>3003.28</v>
      </c>
      <c r="G320" s="31" t="n">
        <v>178.79</v>
      </c>
      <c r="H320" s="31" t="n">
        <v>-0.57</v>
      </c>
      <c r="I320" s="31" t="n">
        <v>419568</v>
      </c>
      <c r="J320" s="31" t="inlineStr">
        <is>
          <t>500730</t>
        </is>
      </c>
    </row>
    <row r="321">
      <c r="A321" s="31" t="inlineStr">
        <is>
          <t>GRINDWELL</t>
        </is>
      </c>
      <c r="B321" s="31" t="inlineStr">
        <is>
          <t>Grindwell Norton Limited</t>
        </is>
      </c>
      <c r="C321" s="31" t="inlineStr">
        <is>
          <t>industrials</t>
        </is>
      </c>
      <c r="D321" s="31" t="inlineStr">
        <is>
          <t>abrasives and grinding wheels</t>
        </is>
      </c>
      <c r="E321" s="31" t="inlineStr">
        <is>
          <t>largecap</t>
        </is>
      </c>
      <c r="F321" s="31" t="n">
        <v>23983.06</v>
      </c>
      <c r="G321" s="31" t="n">
        <v>2153.8</v>
      </c>
      <c r="H321" s="31" t="n">
        <v>-0.57</v>
      </c>
      <c r="I321" s="31" t="n">
        <v>92515</v>
      </c>
      <c r="J321" s="31" t="inlineStr">
        <is>
          <t>506076</t>
        </is>
      </c>
    </row>
    <row r="322">
      <c r="A322" s="31" t="inlineStr">
        <is>
          <t>CIPLA</t>
        </is>
      </c>
      <c r="B322" s="31" t="inlineStr">
        <is>
          <t>Cipla Limited</t>
        </is>
      </c>
      <c r="C322" s="31" t="inlineStr">
        <is>
          <t>healthcare</t>
        </is>
      </c>
      <c r="D322" s="31" t="inlineStr">
        <is>
          <t>pharmaceuticals - indian - bulk drugs &amp; formln</t>
        </is>
      </c>
      <c r="E322" s="31" t="inlineStr">
        <is>
          <t>largecap</t>
        </is>
      </c>
      <c r="F322" s="31" t="n">
        <v>118372.47</v>
      </c>
      <c r="G322" s="31" t="n">
        <v>1456.7</v>
      </c>
      <c r="H322" s="31" t="n">
        <v>-0.59</v>
      </c>
      <c r="I322" s="31" t="n">
        <v>753439</v>
      </c>
      <c r="J322" s="31" t="inlineStr">
        <is>
          <t>500087</t>
        </is>
      </c>
    </row>
    <row r="323">
      <c r="A323" s="31" t="inlineStr">
        <is>
          <t>VERANDA</t>
        </is>
      </c>
      <c r="B323" s="31" t="inlineStr">
        <is>
          <t>Veranda Learning Solutions Ltd</t>
        </is>
      </c>
      <c r="C323" s="31" t="inlineStr">
        <is>
          <t>services</t>
        </is>
      </c>
      <c r="D323" s="31" t="inlineStr">
        <is>
          <t>miscellaneous</t>
        </is>
      </c>
      <c r="E323" s="31" t="inlineStr">
        <is>
          <t>smallcap</t>
        </is>
      </c>
      <c r="F323" s="31" t="n">
        <v>2298.26</v>
      </c>
      <c r="G323" s="31" t="n">
        <v>237.57</v>
      </c>
      <c r="H323" s="31" t="n">
        <v>-0.59</v>
      </c>
      <c r="I323" s="31" t="n">
        <v>94109</v>
      </c>
      <c r="J323" s="31" t="inlineStr">
        <is>
          <t>543514</t>
        </is>
      </c>
    </row>
    <row r="324">
      <c r="A324" s="31" t="inlineStr">
        <is>
          <t>ANANDRATHI</t>
        </is>
      </c>
      <c r="B324" s="31" t="inlineStr">
        <is>
          <t>Anand Rathi Wealth Ltd</t>
        </is>
      </c>
      <c r="C324" s="31" t="inlineStr">
        <is>
          <t>financials</t>
        </is>
      </c>
      <c r="D324" s="31" t="inlineStr">
        <is>
          <t>finance &amp; investments</t>
        </is>
      </c>
      <c r="E324" s="31" t="inlineStr">
        <is>
          <t>largecap</t>
        </is>
      </c>
      <c r="F324" s="31" t="n">
        <v>32821.38</v>
      </c>
      <c r="G324" s="31" t="n">
        <v>1964.9</v>
      </c>
      <c r="H324" s="31" t="n">
        <v>-0.6</v>
      </c>
      <c r="I324" s="31" t="n">
        <v>283753</v>
      </c>
      <c r="J324" s="31" t="inlineStr">
        <is>
          <t>543415</t>
        </is>
      </c>
    </row>
    <row r="325">
      <c r="A325" s="31" t="inlineStr">
        <is>
          <t>NH</t>
        </is>
      </c>
      <c r="B325" s="31" t="inlineStr">
        <is>
          <t>Narayana Hrudayalaya Ltd.</t>
        </is>
      </c>
      <c r="C325" s="31" t="inlineStr">
        <is>
          <t>healthcare</t>
        </is>
      </c>
      <c r="D325" s="31" t="inlineStr">
        <is>
          <t>healthcare</t>
        </is>
      </c>
      <c r="E325" s="31" t="inlineStr">
        <is>
          <t>largecap</t>
        </is>
      </c>
      <c r="F325" s="31" t="n">
        <v>40293.82</v>
      </c>
      <c r="G325" s="31" t="n">
        <v>1959.6</v>
      </c>
      <c r="H325" s="31" t="n">
        <v>-0.61</v>
      </c>
      <c r="I325" s="31" t="n">
        <v>216981</v>
      </c>
      <c r="J325" s="31" t="inlineStr">
        <is>
          <t>539551</t>
        </is>
      </c>
    </row>
    <row r="326">
      <c r="A326" s="31" t="inlineStr">
        <is>
          <t>JASH</t>
        </is>
      </c>
      <c r="B326" s="31" t="inlineStr">
        <is>
          <t>Jash Engineering Ltd</t>
        </is>
      </c>
      <c r="C326" s="31" t="inlineStr">
        <is>
          <t>industrials</t>
        </is>
      </c>
      <c r="D326" s="31" t="inlineStr">
        <is>
          <t>engineering</t>
        </is>
      </c>
      <c r="E326" s="31" t="inlineStr">
        <is>
          <t>smallcap</t>
        </is>
      </c>
      <c r="F326" s="31" t="n">
        <v>3205.82</v>
      </c>
      <c r="G326" s="31" t="n">
        <v>504.1</v>
      </c>
      <c r="H326" s="31" t="n">
        <v>-0.63</v>
      </c>
      <c r="I326" s="31" t="n">
        <v>269431</v>
      </c>
      <c r="J326" s="31" t="inlineStr">
        <is>
          <t>535019</t>
        </is>
      </c>
    </row>
    <row r="327">
      <c r="A327" s="31" t="inlineStr">
        <is>
          <t>INDOBORAX</t>
        </is>
      </c>
      <c r="B327" s="31" t="inlineStr">
        <is>
          <t>Indo Borax &amp; Chemicals Ltd</t>
        </is>
      </c>
      <c r="C327" s="31" t="inlineStr">
        <is>
          <t>chemicals</t>
        </is>
      </c>
      <c r="D327" s="31" t="inlineStr">
        <is>
          <t>chemicals</t>
        </is>
      </c>
      <c r="E327" s="31" t="inlineStr">
        <is>
          <t>smallcap</t>
        </is>
      </c>
      <c r="F327" s="31" t="n">
        <v>1215.89</v>
      </c>
      <c r="G327" s="31" t="n">
        <v>376.5</v>
      </c>
      <c r="H327" s="31" t="n">
        <v>-0.63</v>
      </c>
      <c r="I327" s="31" t="n">
        <v>44132</v>
      </c>
      <c r="J327" s="31" t="inlineStr">
        <is>
          <t>524342</t>
        </is>
      </c>
    </row>
    <row r="328">
      <c r="A328" s="31" t="inlineStr">
        <is>
          <t>PRUDENT</t>
        </is>
      </c>
      <c r="B328" s="31" t="inlineStr">
        <is>
          <t>Prudent Corporate Advisory Services Ltd</t>
        </is>
      </c>
      <c r="C328" s="31" t="inlineStr">
        <is>
          <t>financials</t>
        </is>
      </c>
      <c r="D328" s="31" t="inlineStr">
        <is>
          <t>finance &amp; investments</t>
        </is>
      </c>
      <c r="E328" s="31" t="inlineStr">
        <is>
          <t>midcap</t>
        </is>
      </c>
      <c r="F328" s="31" t="n">
        <v>12397.99</v>
      </c>
      <c r="G328" s="31" t="n">
        <v>2975</v>
      </c>
      <c r="H328" s="31" t="n">
        <v>-0.64</v>
      </c>
      <c r="I328" s="31" t="n">
        <v>9709</v>
      </c>
      <c r="J328" s="31" t="inlineStr">
        <is>
          <t>543527</t>
        </is>
      </c>
    </row>
    <row r="329">
      <c r="A329" s="31" t="inlineStr">
        <is>
          <t>RELTD</t>
        </is>
      </c>
      <c r="B329" s="31" t="inlineStr">
        <is>
          <t>Ravindra Energy Ltd</t>
        </is>
      </c>
      <c r="C329" s="31" t="inlineStr">
        <is>
          <t>industrials</t>
        </is>
      </c>
      <c r="D329" s="31" t="inlineStr">
        <is>
          <t>electric equipment</t>
        </is>
      </c>
      <c r="E329" s="31" t="inlineStr">
        <is>
          <t>smallcap</t>
        </is>
      </c>
      <c r="F329" s="31" t="n">
        <v>2952.31</v>
      </c>
      <c r="G329" s="31" t="n">
        <v>164.23</v>
      </c>
      <c r="H329" s="31" t="n">
        <v>-0.64</v>
      </c>
      <c r="I329" s="31" t="n">
        <v>759867</v>
      </c>
      <c r="J329" s="31" t="inlineStr">
        <is>
          <t>504341</t>
        </is>
      </c>
    </row>
    <row r="330">
      <c r="A330" s="31" t="inlineStr">
        <is>
          <t>BELRISE</t>
        </is>
      </c>
      <c r="B330" s="31" t="inlineStr">
        <is>
          <t>Belrise Industries Ltd</t>
        </is>
      </c>
      <c r="C330" s="31" t="inlineStr">
        <is>
          <t>auto</t>
        </is>
      </c>
      <c r="D330" s="31" t="inlineStr">
        <is>
          <t>auto ancillaries</t>
        </is>
      </c>
      <c r="E330" s="31" t="inlineStr">
        <is>
          <t>largecap</t>
        </is>
      </c>
      <c r="F330" s="31" t="n">
        <v>21229.85</v>
      </c>
      <c r="G330" s="31" t="n">
        <v>237</v>
      </c>
      <c r="H330" s="31" t="n">
        <v>-0.66</v>
      </c>
      <c r="I330" s="31" t="n">
        <v>2264729</v>
      </c>
      <c r="J330" s="31" t="n"/>
    </row>
    <row r="331">
      <c r="A331" s="31" t="inlineStr">
        <is>
          <t>MAHLOG</t>
        </is>
      </c>
      <c r="B331" s="31" t="inlineStr">
        <is>
          <t>Mahindra Logistics Ltd</t>
        </is>
      </c>
      <c r="C331" s="31" t="inlineStr">
        <is>
          <t>transportation</t>
        </is>
      </c>
      <c r="D331" s="31" t="inlineStr">
        <is>
          <t>miscellaneous</t>
        </is>
      </c>
      <c r="E331" s="31" t="inlineStr">
        <is>
          <t>smallcap</t>
        </is>
      </c>
      <c r="F331" s="31" t="n">
        <v>3709.93</v>
      </c>
      <c r="G331" s="31" t="n">
        <v>371.4</v>
      </c>
      <c r="H331" s="31" t="n">
        <v>-0.67</v>
      </c>
      <c r="I331" s="31" t="n">
        <v>81252</v>
      </c>
      <c r="J331" s="31" t="inlineStr">
        <is>
          <t>540768</t>
        </is>
      </c>
    </row>
    <row r="332">
      <c r="A332" s="31" t="inlineStr">
        <is>
          <t>PIDILITIND</t>
        </is>
      </c>
      <c r="B332" s="31" t="inlineStr">
        <is>
          <t>Pidilite Industries Limited</t>
        </is>
      </c>
      <c r="C332" s="31" t="inlineStr">
        <is>
          <t>chemicals</t>
        </is>
      </c>
      <c r="D332" s="31" t="inlineStr">
        <is>
          <t>chemicals</t>
        </is>
      </c>
      <c r="E332" s="31" t="inlineStr">
        <is>
          <t>largecap</t>
        </is>
      </c>
      <c r="F332" s="31" t="n">
        <v>162099.64</v>
      </c>
      <c r="G332" s="31" t="n">
        <v>1581.9</v>
      </c>
      <c r="H332" s="31" t="n">
        <v>-0.68</v>
      </c>
      <c r="I332" s="31" t="n">
        <v>510067</v>
      </c>
      <c r="J332" s="31" t="inlineStr">
        <is>
          <t>500331</t>
        </is>
      </c>
    </row>
    <row r="333">
      <c r="A333" s="31" t="inlineStr">
        <is>
          <t>SKYGOLD</t>
        </is>
      </c>
      <c r="B333" s="31" t="inlineStr">
        <is>
          <t>Sky Gold Ltd</t>
        </is>
      </c>
      <c r="C333" s="31" t="inlineStr">
        <is>
          <t>consumer discretionary</t>
        </is>
      </c>
      <c r="D333" s="31" t="inlineStr">
        <is>
          <t>diamond cutting / jewellery</t>
        </is>
      </c>
      <c r="E333" s="31" t="inlineStr">
        <is>
          <t>midcap</t>
        </is>
      </c>
      <c r="F333" s="31" t="n">
        <v>8247.809999999999</v>
      </c>
      <c r="G333" s="31" t="n">
        <v>528.9</v>
      </c>
      <c r="H333" s="31" t="n">
        <v>-0.6899999999999999</v>
      </c>
      <c r="I333" s="31" t="n">
        <v>408637</v>
      </c>
      <c r="J333" s="31" t="inlineStr">
        <is>
          <t>541967</t>
        </is>
      </c>
    </row>
    <row r="334">
      <c r="A334" s="31" t="inlineStr">
        <is>
          <t>IDFCFIRSTB</t>
        </is>
      </c>
      <c r="B334" s="31" t="inlineStr">
        <is>
          <t>IDFC First Bank Ltd</t>
        </is>
      </c>
      <c r="C334" s="31" t="inlineStr">
        <is>
          <t>bank</t>
        </is>
      </c>
      <c r="D334" s="31" t="inlineStr">
        <is>
          <t>banks - private sector</t>
        </is>
      </c>
      <c r="E334" s="31" t="inlineStr">
        <is>
          <t>largecap</t>
        </is>
      </c>
      <c r="F334" s="31" t="n">
        <v>68374.91</v>
      </c>
      <c r="G334" s="31" t="n">
        <v>78.93000000000001</v>
      </c>
      <c r="H334" s="31" t="n">
        <v>-0.7</v>
      </c>
      <c r="I334" s="31" t="n">
        <v>15942043</v>
      </c>
      <c r="J334" s="31" t="inlineStr">
        <is>
          <t>539437</t>
        </is>
      </c>
    </row>
    <row r="335">
      <c r="A335" s="31" t="inlineStr">
        <is>
          <t>NYKAA</t>
        </is>
      </c>
      <c r="B335" s="31" t="inlineStr">
        <is>
          <t>FSN E-Commerce Ventures Ltd</t>
        </is>
      </c>
      <c r="C335" s="31" t="inlineStr">
        <is>
          <t>i.t</t>
        </is>
      </c>
      <c r="D335" s="31" t="inlineStr">
        <is>
          <t>trading</t>
        </is>
      </c>
      <c r="E335" s="31" t="inlineStr">
        <is>
          <t>largecap</t>
        </is>
      </c>
      <c r="F335" s="31" t="n">
        <v>89003.42</v>
      </c>
      <c r="G335" s="31" t="n">
        <v>308.65</v>
      </c>
      <c r="H335" s="31" t="n">
        <v>-0.71</v>
      </c>
      <c r="I335" s="31" t="n">
        <v>5730073</v>
      </c>
      <c r="J335" s="31" t="inlineStr">
        <is>
          <t>543384</t>
        </is>
      </c>
    </row>
    <row r="336">
      <c r="A336" s="31" t="inlineStr">
        <is>
          <t>APOLLOHOSP</t>
        </is>
      </c>
      <c r="B336" s="31" t="inlineStr">
        <is>
          <t>Apollo Hospitals Enterprise Limited</t>
        </is>
      </c>
      <c r="C336" s="31" t="inlineStr">
        <is>
          <t>healthcare</t>
        </is>
      </c>
      <c r="D336" s="31" t="inlineStr">
        <is>
          <t>healthcare</t>
        </is>
      </c>
      <c r="E336" s="31" t="inlineStr">
        <is>
          <t>largecap</t>
        </is>
      </c>
      <c r="F336" s="31" t="n">
        <v>124833.84</v>
      </c>
      <c r="G336" s="31" t="n">
        <v>8618.5</v>
      </c>
      <c r="H336" s="31" t="n">
        <v>-0.73</v>
      </c>
      <c r="I336" s="31" t="n">
        <v>163174</v>
      </c>
      <c r="J336" s="31" t="inlineStr">
        <is>
          <t>508869</t>
        </is>
      </c>
    </row>
    <row r="337">
      <c r="A337" s="31" t="inlineStr">
        <is>
          <t>BLUSPRING</t>
        </is>
      </c>
      <c r="B337" s="31" t="inlineStr">
        <is>
          <t>Bluspring Enterprises Ltd</t>
        </is>
      </c>
      <c r="C337" s="31" t="inlineStr">
        <is>
          <t>miscellaneous</t>
        </is>
      </c>
      <c r="D337" s="31" t="inlineStr">
        <is>
          <t>diversified - large</t>
        </is>
      </c>
      <c r="E337" s="31" t="inlineStr">
        <is>
          <t>smallcap</t>
        </is>
      </c>
      <c r="F337" s="31" t="n">
        <v>1655.67</v>
      </c>
      <c r="G337" s="31" t="n">
        <v>110.21</v>
      </c>
      <c r="H337" s="31" t="n">
        <v>-0.73</v>
      </c>
      <c r="I337" s="31" t="n">
        <v>474062</v>
      </c>
      <c r="J337" s="31" t="inlineStr">
        <is>
          <t>544414</t>
        </is>
      </c>
    </row>
    <row r="338">
      <c r="A338" s="31" t="inlineStr">
        <is>
          <t>THERMAX</t>
        </is>
      </c>
      <c r="B338" s="31" t="inlineStr">
        <is>
          <t>Thermax Limited</t>
        </is>
      </c>
      <c r="C338" s="31" t="inlineStr">
        <is>
          <t>industrials</t>
        </is>
      </c>
      <c r="D338" s="31" t="inlineStr">
        <is>
          <t>electric equipment</t>
        </is>
      </c>
      <c r="E338" s="31" t="inlineStr">
        <is>
          <t>largecap</t>
        </is>
      </c>
      <c r="F338" s="31" t="n">
        <v>61478.69</v>
      </c>
      <c r="G338" s="31" t="n">
        <v>5120.5</v>
      </c>
      <c r="H338" s="31" t="n">
        <v>-0.76</v>
      </c>
      <c r="I338" s="31" t="n">
        <v>148232</v>
      </c>
      <c r="J338" s="31" t="inlineStr">
        <is>
          <t>500411</t>
        </is>
      </c>
    </row>
    <row r="339">
      <c r="A339" s="31" t="inlineStr">
        <is>
          <t>STEELXIND</t>
        </is>
      </c>
      <c r="B339" s="31" t="inlineStr">
        <is>
          <t>Steel Exchange India Ltd</t>
        </is>
      </c>
      <c r="C339" s="31" t="inlineStr">
        <is>
          <t>metals &amp; mining</t>
        </is>
      </c>
      <c r="D339" s="31" t="inlineStr">
        <is>
          <t>steel - medium / small</t>
        </is>
      </c>
      <c r="E339" s="31" t="inlineStr">
        <is>
          <t>smallcap</t>
        </is>
      </c>
      <c r="F339" s="31" t="n">
        <v>1598.22</v>
      </c>
      <c r="G339" s="31" t="n">
        <v>12.43</v>
      </c>
      <c r="H339" s="31" t="n">
        <v>-0.8</v>
      </c>
      <c r="I339" s="31" t="n">
        <v>5054175</v>
      </c>
      <c r="J339" s="31" t="inlineStr">
        <is>
          <t>534748</t>
        </is>
      </c>
    </row>
    <row r="340">
      <c r="A340" s="31" t="inlineStr">
        <is>
          <t>BHAGCHEM</t>
        </is>
      </c>
      <c r="B340" s="31" t="inlineStr">
        <is>
          <t>Bhagiradha Chemicals &amp; Industries Ltd</t>
        </is>
      </c>
      <c r="C340" s="31" t="inlineStr">
        <is>
          <t>chemicals</t>
        </is>
      </c>
      <c r="D340" s="31" t="inlineStr">
        <is>
          <t>pesticides / agrochemicals - indian</t>
        </is>
      </c>
      <c r="E340" s="31" t="inlineStr">
        <is>
          <t>smallcap</t>
        </is>
      </c>
      <c r="F340" s="31" t="n">
        <v>3774.02</v>
      </c>
      <c r="G340" s="31" t="n">
        <v>288.7</v>
      </c>
      <c r="H340" s="31" t="n">
        <v>-0.8100000000000001</v>
      </c>
      <c r="I340" s="31" t="n">
        <v>85147</v>
      </c>
      <c r="J340" s="31" t="inlineStr">
        <is>
          <t>531719</t>
        </is>
      </c>
    </row>
    <row r="341">
      <c r="A341" s="31" t="inlineStr">
        <is>
          <t>GOODLUCK</t>
        </is>
      </c>
      <c r="B341" s="31" t="inlineStr">
        <is>
          <t>Goodluck India Limited</t>
        </is>
      </c>
      <c r="C341" s="31" t="inlineStr">
        <is>
          <t>metals &amp; mining</t>
        </is>
      </c>
      <c r="D341" s="31" t="inlineStr">
        <is>
          <t>steel - medium / small</t>
        </is>
      </c>
      <c r="E341" s="31" t="inlineStr">
        <is>
          <t>smallcap</t>
        </is>
      </c>
      <c r="F341" s="31" t="n">
        <v>4942.57</v>
      </c>
      <c r="G341" s="31" t="n">
        <v>1474.8</v>
      </c>
      <c r="H341" s="31" t="n">
        <v>-0.82</v>
      </c>
      <c r="I341" s="31" t="n">
        <v>91814</v>
      </c>
      <c r="J341" s="31" t="inlineStr">
        <is>
          <t>530655</t>
        </is>
      </c>
    </row>
    <row r="342">
      <c r="A342" s="31" t="inlineStr">
        <is>
          <t>PANAMAPET</t>
        </is>
      </c>
      <c r="B342" s="31" t="inlineStr">
        <is>
          <t>Panama Petrochem Limited</t>
        </is>
      </c>
      <c r="C342" s="31" t="inlineStr">
        <is>
          <t>energy</t>
        </is>
      </c>
      <c r="D342" s="31" t="inlineStr">
        <is>
          <t>petrochemicals</t>
        </is>
      </c>
      <c r="E342" s="31" t="inlineStr">
        <is>
          <t>smallcap</t>
        </is>
      </c>
      <c r="F342" s="31" t="n">
        <v>2544.06</v>
      </c>
      <c r="G342" s="31" t="n">
        <v>417.05</v>
      </c>
      <c r="H342" s="31" t="n">
        <v>-0.83</v>
      </c>
      <c r="I342" s="31" t="n">
        <v>195277</v>
      </c>
      <c r="J342" s="31" t="inlineStr">
        <is>
          <t>524820</t>
        </is>
      </c>
    </row>
    <row r="343">
      <c r="A343" s="31" t="inlineStr">
        <is>
          <t>FLUOROCHEM</t>
        </is>
      </c>
      <c r="B343" s="31" t="inlineStr">
        <is>
          <t>Gujarat Fluorochemicals Ltd</t>
        </is>
      </c>
      <c r="C343" s="31" t="inlineStr">
        <is>
          <t>chemicals</t>
        </is>
      </c>
      <c r="D343" s="31" t="inlineStr">
        <is>
          <t>chemicals</t>
        </is>
      </c>
      <c r="E343" s="31" t="inlineStr">
        <is>
          <t>largecap</t>
        </is>
      </c>
      <c r="F343" s="31" t="n">
        <v>43544.54</v>
      </c>
      <c r="G343" s="31" t="n">
        <v>3930.9</v>
      </c>
      <c r="H343" s="31" t="n">
        <v>-0.84</v>
      </c>
      <c r="I343" s="31" t="n">
        <v>156481</v>
      </c>
      <c r="J343" s="31" t="inlineStr">
        <is>
          <t>542812</t>
        </is>
      </c>
    </row>
    <row r="344">
      <c r="A344" s="31" t="inlineStr">
        <is>
          <t>PIXTRANS</t>
        </is>
      </c>
      <c r="B344" s="31" t="inlineStr">
        <is>
          <t>Pix Transmission Ltd</t>
        </is>
      </c>
      <c r="C344" s="31" t="inlineStr">
        <is>
          <t>fmcg</t>
        </is>
      </c>
      <c r="D344" s="31" t="inlineStr">
        <is>
          <t>miscellaneous</t>
        </is>
      </c>
      <c r="E344" s="31" t="inlineStr">
        <is>
          <t>smallcap</t>
        </is>
      </c>
      <c r="F344" s="31" t="n">
        <v>2501.04</v>
      </c>
      <c r="G344" s="31" t="n">
        <v>1820.2</v>
      </c>
      <c r="H344" s="31" t="n">
        <v>-0.84</v>
      </c>
      <c r="I344" s="31" t="n">
        <v>64052</v>
      </c>
      <c r="J344" s="31" t="inlineStr">
        <is>
          <t>500333</t>
        </is>
      </c>
    </row>
    <row r="345">
      <c r="A345" s="31" t="inlineStr">
        <is>
          <t>PDSL</t>
        </is>
      </c>
      <c r="B345" s="31" t="inlineStr">
        <is>
          <t>PDS Ltd</t>
        </is>
      </c>
      <c r="C345" s="31" t="inlineStr">
        <is>
          <t>textiles</t>
        </is>
      </c>
      <c r="D345" s="31" t="inlineStr">
        <is>
          <t>trading</t>
        </is>
      </c>
      <c r="E345" s="31" t="inlineStr">
        <is>
          <t>midcap</t>
        </is>
      </c>
      <c r="F345" s="31" t="n">
        <v>5168.3</v>
      </c>
      <c r="G345" s="31" t="n">
        <v>362.3</v>
      </c>
      <c r="H345" s="31" t="n">
        <v>-0.85</v>
      </c>
      <c r="I345" s="31" t="n">
        <v>92828</v>
      </c>
      <c r="J345" s="31" t="inlineStr">
        <is>
          <t>538730</t>
        </is>
      </c>
    </row>
    <row r="346">
      <c r="A346" s="31" t="inlineStr">
        <is>
          <t>KICL</t>
        </is>
      </c>
      <c r="B346" s="31" t="inlineStr">
        <is>
          <t>Kalyani Investment Company Limited</t>
        </is>
      </c>
      <c r="C346" s="31" t="inlineStr">
        <is>
          <t>financials</t>
        </is>
      </c>
      <c r="D346" s="31" t="inlineStr">
        <is>
          <t>finance &amp; investments</t>
        </is>
      </c>
      <c r="E346" s="31" t="inlineStr">
        <is>
          <t>smallcap</t>
        </is>
      </c>
      <c r="F346" s="31" t="n">
        <v>2320.81</v>
      </c>
      <c r="G346" s="31" t="n">
        <v>5271</v>
      </c>
      <c r="H346" s="31" t="n">
        <v>-0.86</v>
      </c>
      <c r="I346" s="31" t="n">
        <v>677</v>
      </c>
      <c r="J346" s="31" t="inlineStr">
        <is>
          <t>533302</t>
        </is>
      </c>
    </row>
    <row r="347">
      <c r="A347" s="31" t="inlineStr">
        <is>
          <t>SUPRIYA</t>
        </is>
      </c>
      <c r="B347" s="31" t="inlineStr">
        <is>
          <t>Supriya Lifescience Ltd</t>
        </is>
      </c>
      <c r="C347" s="31" t="inlineStr">
        <is>
          <t>healthcare</t>
        </is>
      </c>
      <c r="D347" s="31" t="inlineStr">
        <is>
          <t>pharmaceuticals - indian - bulk drugs &amp; formln</t>
        </is>
      </c>
      <c r="E347" s="31" t="inlineStr">
        <is>
          <t>midcap</t>
        </is>
      </c>
      <c r="F347" s="31" t="n">
        <v>8193.549999999999</v>
      </c>
      <c r="G347" s="31" t="n">
        <v>1009.3</v>
      </c>
      <c r="H347" s="31" t="n">
        <v>-0.86</v>
      </c>
      <c r="I347" s="31" t="n">
        <v>301102</v>
      </c>
      <c r="J347" s="31" t="inlineStr">
        <is>
          <t>543434</t>
        </is>
      </c>
    </row>
    <row r="348">
      <c r="A348" s="31" t="inlineStr">
        <is>
          <t>ABSLAMC</t>
        </is>
      </c>
      <c r="B348" s="31" t="inlineStr">
        <is>
          <t>Aditya Birla Sun Life AMC Ltd</t>
        </is>
      </c>
      <c r="C348" s="31" t="inlineStr">
        <is>
          <t>financials</t>
        </is>
      </c>
      <c r="D348" s="31" t="inlineStr">
        <is>
          <t>finance &amp; investments</t>
        </is>
      </c>
      <c r="E348" s="31" t="inlineStr">
        <is>
          <t>largecap</t>
        </is>
      </c>
      <c r="F348" s="31" t="n">
        <v>33348.45</v>
      </c>
      <c r="G348" s="31" t="n">
        <v>1144.6</v>
      </c>
      <c r="H348" s="31" t="n">
        <v>-0.87</v>
      </c>
      <c r="I348" s="31" t="n">
        <v>151605</v>
      </c>
      <c r="J348" s="31" t="inlineStr">
        <is>
          <t>543374</t>
        </is>
      </c>
    </row>
    <row r="349">
      <c r="A349" s="31" t="inlineStr">
        <is>
          <t>PARAS</t>
        </is>
      </c>
      <c r="B349" s="31" t="inlineStr">
        <is>
          <t>Paras Defence and Space Technologies Ltd</t>
        </is>
      </c>
      <c r="C349" s="31" t="inlineStr">
        <is>
          <t>aerospace &amp; defence</t>
        </is>
      </c>
      <c r="D349" s="31" t="inlineStr">
        <is>
          <t>engineering</t>
        </is>
      </c>
      <c r="E349" s="31" t="inlineStr">
        <is>
          <t>midcap</t>
        </is>
      </c>
      <c r="F349" s="31" t="n">
        <v>10388.11</v>
      </c>
      <c r="G349" s="31" t="n">
        <v>1277.9</v>
      </c>
      <c r="H349" s="31" t="n">
        <v>-0.87</v>
      </c>
      <c r="I349" s="31" t="n">
        <v>3013445</v>
      </c>
      <c r="J349" s="31" t="inlineStr">
        <is>
          <t>543367</t>
        </is>
      </c>
    </row>
    <row r="350">
      <c r="A350" s="31" t="inlineStr">
        <is>
          <t>SMSPHARMA</t>
        </is>
      </c>
      <c r="B350" s="31" t="inlineStr">
        <is>
          <t>Sms Pharmaceuticals Limited</t>
        </is>
      </c>
      <c r="C350" s="31" t="inlineStr">
        <is>
          <t>healthcare</t>
        </is>
      </c>
      <c r="D350" s="31" t="inlineStr">
        <is>
          <t>pharmaceuticals - indian - bulk drugs</t>
        </is>
      </c>
      <c r="E350" s="31" t="inlineStr">
        <is>
          <t>smallcap</t>
        </is>
      </c>
      <c r="F350" s="31" t="n">
        <v>3863.61</v>
      </c>
      <c r="G350" s="31" t="n">
        <v>408.95</v>
      </c>
      <c r="H350" s="31" t="n">
        <v>-0.87</v>
      </c>
      <c r="I350" s="31" t="n">
        <v>1654483</v>
      </c>
      <c r="J350" s="31" t="inlineStr">
        <is>
          <t>532815</t>
        </is>
      </c>
    </row>
    <row r="351">
      <c r="A351" s="31" t="inlineStr">
        <is>
          <t>TEJASNET</t>
        </is>
      </c>
      <c r="B351" s="31" t="inlineStr">
        <is>
          <t>Tejas Networks Ltd</t>
        </is>
      </c>
      <c r="C351" s="31" t="inlineStr">
        <is>
          <t>telecom</t>
        </is>
      </c>
      <c r="D351" s="31" t="inlineStr">
        <is>
          <t>telecommunications - equipment</t>
        </is>
      </c>
      <c r="E351" s="31" t="inlineStr">
        <is>
          <t>midcap</t>
        </is>
      </c>
      <c r="F351" s="31" t="n">
        <v>10886.69</v>
      </c>
      <c r="G351" s="31" t="n">
        <v>607.1</v>
      </c>
      <c r="H351" s="31" t="n">
        <v>-0.88</v>
      </c>
      <c r="I351" s="31" t="n">
        <v>2410909</v>
      </c>
      <c r="J351" s="31" t="inlineStr">
        <is>
          <t>540595</t>
        </is>
      </c>
    </row>
    <row r="352">
      <c r="A352" s="31" t="inlineStr">
        <is>
          <t>LUPIN</t>
        </is>
      </c>
      <c r="B352" s="31" t="inlineStr">
        <is>
          <t>Lupin Limited</t>
        </is>
      </c>
      <c r="C352" s="31" t="inlineStr">
        <is>
          <t>healthcare</t>
        </is>
      </c>
      <c r="D352" s="31" t="inlineStr">
        <is>
          <t>pharmaceuticals - indian - bulk drugs &amp; formln</t>
        </is>
      </c>
      <c r="E352" s="31" t="inlineStr">
        <is>
          <t>largecap</t>
        </is>
      </c>
      <c r="F352" s="31" t="n">
        <v>110591.63</v>
      </c>
      <c r="G352" s="31" t="n">
        <v>2397.5</v>
      </c>
      <c r="H352" s="31" t="n">
        <v>-0.89</v>
      </c>
      <c r="I352" s="31" t="n">
        <v>470880</v>
      </c>
      <c r="J352" s="31" t="inlineStr">
        <is>
          <t>500257</t>
        </is>
      </c>
    </row>
    <row r="353">
      <c r="A353" s="31" t="inlineStr">
        <is>
          <t>ATHERENERG</t>
        </is>
      </c>
      <c r="B353" s="31" t="inlineStr">
        <is>
          <t>Ather Energy Ltd</t>
        </is>
      </c>
      <c r="C353" s="31" t="inlineStr">
        <is>
          <t>auto</t>
        </is>
      </c>
      <c r="D353" s="31" t="inlineStr">
        <is>
          <t>automobiles - scooters and 3 - wheelers</t>
        </is>
      </c>
      <c r="E353" s="31" t="inlineStr">
        <is>
          <t>largecap</t>
        </is>
      </c>
      <c r="F353" s="31" t="n">
        <v>43645.79</v>
      </c>
      <c r="G353" s="31" t="n">
        <v>1130.4</v>
      </c>
      <c r="H353" s="31" t="n">
        <v>-0.89</v>
      </c>
      <c r="I353" s="31" t="n">
        <v>5450081</v>
      </c>
      <c r="J353" s="31" t="inlineStr">
        <is>
          <t>544397</t>
        </is>
      </c>
    </row>
    <row r="354">
      <c r="A354" s="31" t="inlineStr">
        <is>
          <t>REDINGTON</t>
        </is>
      </c>
      <c r="B354" s="31" t="inlineStr">
        <is>
          <t>Redington (india) Limited</t>
        </is>
      </c>
      <c r="C354" s="31" t="inlineStr">
        <is>
          <t>services</t>
        </is>
      </c>
      <c r="D354" s="31" t="inlineStr">
        <is>
          <t>trading</t>
        </is>
      </c>
      <c r="E354" s="31" t="inlineStr">
        <is>
          <t>largecap</t>
        </is>
      </c>
      <c r="F354" s="31" t="n">
        <v>21591.05</v>
      </c>
      <c r="G354" s="31" t="n">
        <v>273.65</v>
      </c>
      <c r="H354" s="31" t="n">
        <v>-0.92</v>
      </c>
      <c r="I354" s="31" t="n">
        <v>3397021</v>
      </c>
      <c r="J354" s="31" t="inlineStr">
        <is>
          <t>532805</t>
        </is>
      </c>
    </row>
    <row r="355">
      <c r="A355" s="31" t="inlineStr">
        <is>
          <t>ADFFOODS</t>
        </is>
      </c>
      <c r="B355" s="31" t="inlineStr">
        <is>
          <t>Adf Foods Limited</t>
        </is>
      </c>
      <c r="C355" s="31" t="inlineStr">
        <is>
          <t>fmcg</t>
        </is>
      </c>
      <c r="D355" s="31" t="inlineStr">
        <is>
          <t>food - processing - indian</t>
        </is>
      </c>
      <c r="E355" s="31" t="inlineStr">
        <is>
          <t>smallcap</t>
        </is>
      </c>
      <c r="F355" s="31" t="n">
        <v>3413.46</v>
      </c>
      <c r="G355" s="31" t="n">
        <v>307.85</v>
      </c>
      <c r="H355" s="31" t="n">
        <v>-0.92</v>
      </c>
      <c r="I355" s="31" t="n">
        <v>240427</v>
      </c>
      <c r="J355" s="31" t="inlineStr">
        <is>
          <t>519183</t>
        </is>
      </c>
    </row>
    <row r="356">
      <c r="A356" s="31" t="inlineStr">
        <is>
          <t>SUZLON</t>
        </is>
      </c>
      <c r="B356" s="31" t="inlineStr">
        <is>
          <t>Suzlon Energy Limited</t>
        </is>
      </c>
      <c r="C356" s="31" t="inlineStr">
        <is>
          <t>industrials</t>
        </is>
      </c>
      <c r="D356" s="31" t="inlineStr">
        <is>
          <t>electric equipment</t>
        </is>
      </c>
      <c r="E356" s="31" t="inlineStr">
        <is>
          <t>largecap</t>
        </is>
      </c>
      <c r="F356" s="31" t="n">
        <v>80779.48</v>
      </c>
      <c r="G356" s="31" t="n">
        <v>58.35</v>
      </c>
      <c r="H356" s="31" t="n">
        <v>-0.93</v>
      </c>
      <c r="I356" s="31" t="n">
        <v>58782670</v>
      </c>
      <c r="J356" s="31" t="inlineStr">
        <is>
          <t>532667</t>
        </is>
      </c>
    </row>
    <row r="357">
      <c r="A357" s="31" t="inlineStr">
        <is>
          <t>AEROENTER</t>
        </is>
      </c>
      <c r="B357" s="31" t="inlineStr">
        <is>
          <t>Aeroflex Enterprises Ltd</t>
        </is>
      </c>
      <c r="C357" s="31" t="inlineStr">
        <is>
          <t>metals &amp; mining</t>
        </is>
      </c>
      <c r="D357" s="31" t="inlineStr">
        <is>
          <t>steel - medium / small</t>
        </is>
      </c>
      <c r="E357" s="31" t="inlineStr">
        <is>
          <t>smallcap</t>
        </is>
      </c>
      <c r="F357" s="31" t="n">
        <v>1597.33</v>
      </c>
      <c r="G357" s="31" t="n">
        <v>139.89</v>
      </c>
      <c r="H357" s="31" t="n">
        <v>-0.96</v>
      </c>
      <c r="I357" s="31" t="n">
        <v>920779</v>
      </c>
      <c r="J357" s="31" t="inlineStr">
        <is>
          <t>511076</t>
        </is>
      </c>
    </row>
    <row r="358">
      <c r="A358" s="31" t="inlineStr">
        <is>
          <t>SANSERA</t>
        </is>
      </c>
      <c r="B358" s="31" t="inlineStr">
        <is>
          <t>Sansera Engineering Ltd</t>
        </is>
      </c>
      <c r="C358" s="31" t="inlineStr">
        <is>
          <t>auto</t>
        </is>
      </c>
      <c r="D358" s="31" t="inlineStr">
        <is>
          <t>auto ancillaries</t>
        </is>
      </c>
      <c r="E358" s="31" t="inlineStr">
        <is>
          <t>midcap</t>
        </is>
      </c>
      <c r="F358" s="31" t="n">
        <v>19922.57</v>
      </c>
      <c r="G358" s="31" t="n">
        <v>3165.1</v>
      </c>
      <c r="H358" s="31" t="n">
        <v>-0.97</v>
      </c>
      <c r="I358" s="31" t="n">
        <v>121125</v>
      </c>
      <c r="J358" s="31" t="inlineStr">
        <is>
          <t>543358</t>
        </is>
      </c>
    </row>
    <row r="359">
      <c r="A359" s="31" t="inlineStr">
        <is>
          <t>KIRLOSENG</t>
        </is>
      </c>
      <c r="B359" s="31" t="inlineStr">
        <is>
          <t>Kirloskar Oil Engines Limited</t>
        </is>
      </c>
      <c r="C359" s="31" t="inlineStr">
        <is>
          <t>industrials</t>
        </is>
      </c>
      <c r="D359" s="31" t="inlineStr">
        <is>
          <t>engines</t>
        </is>
      </c>
      <c r="E359" s="31" t="inlineStr">
        <is>
          <t>largecap</t>
        </is>
      </c>
      <c r="F359" s="31" t="n">
        <v>34362.92</v>
      </c>
      <c r="G359" s="31" t="n">
        <v>2341.1</v>
      </c>
      <c r="H359" s="31" t="n">
        <v>-0.97</v>
      </c>
      <c r="I359" s="31" t="n">
        <v>876198</v>
      </c>
      <c r="J359" s="31" t="inlineStr">
        <is>
          <t>533293</t>
        </is>
      </c>
    </row>
    <row r="360">
      <c r="A360" s="31" t="inlineStr">
        <is>
          <t>NUVAMA</t>
        </is>
      </c>
      <c r="B360" s="31" t="inlineStr">
        <is>
          <t>Nuvama Wealth Management Ltd</t>
        </is>
      </c>
      <c r="C360" s="31" t="inlineStr">
        <is>
          <t>financials</t>
        </is>
      </c>
      <c r="D360" s="31" t="inlineStr">
        <is>
          <t>finance &amp; investments</t>
        </is>
      </c>
      <c r="E360" s="31" t="inlineStr">
        <is>
          <t>largecap</t>
        </is>
      </c>
      <c r="F360" s="31" t="n">
        <v>32883.98</v>
      </c>
      <c r="G360" s="31" t="n">
        <v>1788.1</v>
      </c>
      <c r="H360" s="31" t="n">
        <v>-1.01</v>
      </c>
      <c r="I360" s="31" t="n">
        <v>167889</v>
      </c>
      <c r="J360" s="31" t="inlineStr">
        <is>
          <t>543988</t>
        </is>
      </c>
    </row>
    <row r="361">
      <c r="A361" s="31" t="inlineStr">
        <is>
          <t>THYROCARE</t>
        </is>
      </c>
      <c r="B361" s="31" t="inlineStr">
        <is>
          <t>Thyrocare Technologies Limited</t>
        </is>
      </c>
      <c r="C361" s="31" t="inlineStr">
        <is>
          <t>healthcare</t>
        </is>
      </c>
      <c r="D361" s="31" t="inlineStr">
        <is>
          <t>healthcare</t>
        </is>
      </c>
      <c r="E361" s="31" t="inlineStr">
        <is>
          <t>midcap</t>
        </is>
      </c>
      <c r="F361" s="31" t="n">
        <v>8742.950000000001</v>
      </c>
      <c r="G361" s="31" t="n">
        <v>543.4</v>
      </c>
      <c r="H361" s="31" t="n">
        <v>-1.07</v>
      </c>
      <c r="I361" s="31" t="n">
        <v>230512</v>
      </c>
      <c r="J361" s="31" t="inlineStr">
        <is>
          <t>539871</t>
        </is>
      </c>
    </row>
    <row r="362">
      <c r="A362" s="31" t="inlineStr">
        <is>
          <t>MAYURUNIQ</t>
        </is>
      </c>
      <c r="B362" s="31" t="inlineStr">
        <is>
          <t>Mayur Uniquoters Ltd</t>
        </is>
      </c>
      <c r="C362" s="31" t="inlineStr">
        <is>
          <t>consumer discretionary</t>
        </is>
      </c>
      <c r="D362" s="31" t="inlineStr">
        <is>
          <t>leather / leather products</t>
        </is>
      </c>
      <c r="E362" s="31" t="inlineStr">
        <is>
          <t>smallcap</t>
        </is>
      </c>
      <c r="F362" s="31" t="n">
        <v>3740.4</v>
      </c>
      <c r="G362" s="31" t="n">
        <v>851.5</v>
      </c>
      <c r="H362" s="31" t="n">
        <v>-1.08</v>
      </c>
      <c r="I362" s="31" t="n">
        <v>125552</v>
      </c>
      <c r="J362" s="31" t="inlineStr">
        <is>
          <t>522249</t>
        </is>
      </c>
    </row>
    <row r="363">
      <c r="A363" s="31" t="inlineStr">
        <is>
          <t>GREENLAM</t>
        </is>
      </c>
      <c r="B363" s="31" t="inlineStr">
        <is>
          <t>Greenlam Industries Limited</t>
        </is>
      </c>
      <c r="C363" s="31" t="inlineStr">
        <is>
          <t>building materials</t>
        </is>
      </c>
      <c r="D363" s="31" t="inlineStr">
        <is>
          <t>miscellaneous</t>
        </is>
      </c>
      <c r="E363" s="31" t="inlineStr">
        <is>
          <t>midcap</t>
        </is>
      </c>
      <c r="F363" s="31" t="n">
        <v>6588.93</v>
      </c>
      <c r="G363" s="31" t="n">
        <v>255.4</v>
      </c>
      <c r="H363" s="31" t="n">
        <v>-1.1</v>
      </c>
      <c r="I363" s="31" t="n">
        <v>49769</v>
      </c>
      <c r="J363" s="31" t="inlineStr">
        <is>
          <t>538979</t>
        </is>
      </c>
    </row>
    <row r="364">
      <c r="A364" s="31" t="inlineStr">
        <is>
          <t>AMBIKCO</t>
        </is>
      </c>
      <c r="B364" s="31" t="inlineStr">
        <is>
          <t>Ambika Cotton Mills Limited</t>
        </is>
      </c>
      <c r="C364" s="31" t="inlineStr">
        <is>
          <t>textiles</t>
        </is>
      </c>
      <c r="D364" s="31" t="inlineStr">
        <is>
          <t>textiles - cotton/blended</t>
        </is>
      </c>
      <c r="E364" s="31" t="inlineStr">
        <is>
          <t>smallcap</t>
        </is>
      </c>
      <c r="F364" s="31" t="n">
        <v>1007.49</v>
      </c>
      <c r="G364" s="31" t="n">
        <v>1739.1</v>
      </c>
      <c r="H364" s="31" t="n">
        <v>-1.18</v>
      </c>
      <c r="I364" s="31" t="n">
        <v>8675</v>
      </c>
      <c r="J364" s="31" t="inlineStr">
        <is>
          <t>531978</t>
        </is>
      </c>
    </row>
    <row r="365">
      <c r="A365" s="31" t="inlineStr">
        <is>
          <t>GLAND</t>
        </is>
      </c>
      <c r="B365" s="31" t="inlineStr">
        <is>
          <t>Gland Pharma Ltd</t>
        </is>
      </c>
      <c r="C365" s="31" t="inlineStr">
        <is>
          <t>healthcare</t>
        </is>
      </c>
      <c r="D365" s="31" t="inlineStr">
        <is>
          <t>pharmaceuticals - indian - formulations</t>
        </is>
      </c>
      <c r="E365" s="31" t="inlineStr">
        <is>
          <t>largecap</t>
        </is>
      </c>
      <c r="F365" s="31" t="n">
        <v>41106.73</v>
      </c>
      <c r="G365" s="31" t="n">
        <v>2465.2</v>
      </c>
      <c r="H365" s="31" t="n">
        <v>-1.19</v>
      </c>
      <c r="I365" s="31" t="n">
        <v>541571</v>
      </c>
      <c r="J365" s="31" t="inlineStr">
        <is>
          <t>543245</t>
        </is>
      </c>
    </row>
    <row r="366">
      <c r="A366" s="31" t="inlineStr">
        <is>
          <t>DMART</t>
        </is>
      </c>
      <c r="B366" s="31" t="inlineStr">
        <is>
          <t>Avenue Supermarts Ltd</t>
        </is>
      </c>
      <c r="C366" s="31" t="inlineStr">
        <is>
          <t>consumer discretionary</t>
        </is>
      </c>
      <c r="D366" s="31" t="inlineStr">
        <is>
          <t>trading</t>
        </is>
      </c>
      <c r="E366" s="31" t="inlineStr">
        <is>
          <t>largecap</t>
        </is>
      </c>
      <c r="F366" s="31" t="n">
        <v>285603.73</v>
      </c>
      <c r="G366" s="31" t="n">
        <v>4328.6</v>
      </c>
      <c r="H366" s="31" t="n">
        <v>-1.19</v>
      </c>
      <c r="I366" s="31" t="n">
        <v>930654</v>
      </c>
      <c r="J366" s="31" t="inlineStr">
        <is>
          <t>540376</t>
        </is>
      </c>
    </row>
    <row r="367">
      <c r="A367" s="31" t="inlineStr">
        <is>
          <t>ZYDUSWELL</t>
        </is>
      </c>
      <c r="B367" s="31" t="inlineStr">
        <is>
          <t>Zydus Wellness Limited</t>
        </is>
      </c>
      <c r="C367" s="31" t="inlineStr">
        <is>
          <t>fmcg</t>
        </is>
      </c>
      <c r="D367" s="31" t="inlineStr">
        <is>
          <t>food - processing - indian</t>
        </is>
      </c>
      <c r="E367" s="31" t="inlineStr">
        <is>
          <t>midcap</t>
        </is>
      </c>
      <c r="F367" s="31" t="n">
        <v>18306.97</v>
      </c>
      <c r="G367" s="31" t="n">
        <v>568.5</v>
      </c>
      <c r="H367" s="31" t="n">
        <v>-1.2</v>
      </c>
      <c r="I367" s="31" t="n">
        <v>758138</v>
      </c>
      <c r="J367" s="31" t="inlineStr">
        <is>
          <t>531335</t>
        </is>
      </c>
    </row>
    <row r="368">
      <c r="A368" s="31" t="inlineStr">
        <is>
          <t>STYLAMIND</t>
        </is>
      </c>
      <c r="B368" s="31" t="inlineStr">
        <is>
          <t>Stylam Industries Ltd</t>
        </is>
      </c>
      <c r="C368" s="31" t="inlineStr">
        <is>
          <t>building materials</t>
        </is>
      </c>
      <c r="D368" s="31" t="inlineStr">
        <is>
          <t>miscellaneous</t>
        </is>
      </c>
      <c r="E368" s="31" t="inlineStr">
        <is>
          <t>midcap</t>
        </is>
      </c>
      <c r="F368" s="31" t="n">
        <v>5505.24</v>
      </c>
      <c r="G368" s="31" t="n">
        <v>3209.2</v>
      </c>
      <c r="H368" s="31" t="n">
        <v>-1.2</v>
      </c>
      <c r="I368" s="31" t="n">
        <v>27788</v>
      </c>
      <c r="J368" s="31" t="inlineStr">
        <is>
          <t>526951</t>
        </is>
      </c>
    </row>
    <row r="369">
      <c r="A369" s="31" t="inlineStr">
        <is>
          <t>ZIMLAB</t>
        </is>
      </c>
      <c r="B369" s="31" t="inlineStr">
        <is>
          <t>Zim Laboratories Ltd</t>
        </is>
      </c>
      <c r="C369" s="31" t="inlineStr">
        <is>
          <t>healthcare</t>
        </is>
      </c>
      <c r="D369" s="31" t="inlineStr">
        <is>
          <t>pharmaceuticals - indian - bulk drugs &amp; formln</t>
        </is>
      </c>
      <c r="E369" s="31" t="inlineStr">
        <is>
          <t>smallcap</t>
        </is>
      </c>
      <c r="F369" s="31" t="n">
        <v>663.4</v>
      </c>
      <c r="G369" s="31" t="n">
        <v>122.5</v>
      </c>
      <c r="H369" s="31" t="n">
        <v>-1.21</v>
      </c>
      <c r="I369" s="31" t="n">
        <v>11917</v>
      </c>
      <c r="J369" s="31" t="inlineStr">
        <is>
          <t>541400</t>
        </is>
      </c>
    </row>
    <row r="370">
      <c r="A370" s="31" t="inlineStr">
        <is>
          <t>CARBORUNIV</t>
        </is>
      </c>
      <c r="B370" s="31" t="inlineStr">
        <is>
          <t>Carborundum Universal Limited</t>
        </is>
      </c>
      <c r="C370" s="31" t="inlineStr">
        <is>
          <t>industrials</t>
        </is>
      </c>
      <c r="D370" s="31" t="inlineStr">
        <is>
          <t>abrasives and grinding wheels</t>
        </is>
      </c>
      <c r="E370" s="31" t="inlineStr">
        <is>
          <t>largecap</t>
        </is>
      </c>
      <c r="F370" s="31" t="n">
        <v>22443.83</v>
      </c>
      <c r="G370" s="31" t="n">
        <v>1163.9</v>
      </c>
      <c r="H370" s="31" t="n">
        <v>-1.21</v>
      </c>
      <c r="I370" s="31" t="n">
        <v>111576</v>
      </c>
      <c r="J370" s="31" t="inlineStr">
        <is>
          <t>513375</t>
        </is>
      </c>
    </row>
    <row r="371">
      <c r="A371" s="31" t="inlineStr">
        <is>
          <t>SENORES</t>
        </is>
      </c>
      <c r="B371" s="31" t="inlineStr">
        <is>
          <t>Senores Pharmaceuticals Ltd</t>
        </is>
      </c>
      <c r="C371" s="31" t="inlineStr">
        <is>
          <t>healthcare</t>
        </is>
      </c>
      <c r="D371" s="31" t="inlineStr">
        <is>
          <t>pharmaceuticals - indian - formulations</t>
        </is>
      </c>
      <c r="E371" s="31" t="inlineStr">
        <is>
          <t>midcap</t>
        </is>
      </c>
      <c r="F371" s="31" t="n">
        <v>6124.67</v>
      </c>
      <c r="G371" s="31" t="n">
        <v>1313.1</v>
      </c>
      <c r="H371" s="31" t="n">
        <v>-1.26</v>
      </c>
      <c r="I371" s="31" t="n">
        <v>199323</v>
      </c>
      <c r="J371" s="31" t="inlineStr">
        <is>
          <t>544319</t>
        </is>
      </c>
    </row>
    <row r="372">
      <c r="A372" s="31" t="inlineStr">
        <is>
          <t>DRREDDY</t>
        </is>
      </c>
      <c r="B372" s="31" t="inlineStr">
        <is>
          <t>Dr. Reddy's Laboratories Limited</t>
        </is>
      </c>
      <c r="C372" s="31" t="inlineStr">
        <is>
          <t>healthcare</t>
        </is>
      </c>
      <c r="D372" s="31" t="inlineStr">
        <is>
          <t>pharmaceuticals - indian - bulk drugs &amp; formln</t>
        </is>
      </c>
      <c r="E372" s="31" t="inlineStr">
        <is>
          <t>largecap</t>
        </is>
      </c>
      <c r="F372" s="31" t="n">
        <v>113271.3</v>
      </c>
      <c r="G372" s="31" t="n">
        <v>1339.9</v>
      </c>
      <c r="H372" s="31" t="n">
        <v>-1.27</v>
      </c>
      <c r="I372" s="31" t="n">
        <v>1423120</v>
      </c>
      <c r="J372" s="31" t="inlineStr">
        <is>
          <t>500124</t>
        </is>
      </c>
    </row>
    <row r="373">
      <c r="A373" s="31" t="inlineStr">
        <is>
          <t>SBCL</t>
        </is>
      </c>
      <c r="B373" s="31" t="inlineStr">
        <is>
          <t>Shivalik Bimetal Controls Ltd</t>
        </is>
      </c>
      <c r="C373" s="31" t="inlineStr">
        <is>
          <t>metals &amp; mining</t>
        </is>
      </c>
      <c r="D373" s="31" t="inlineStr">
        <is>
          <t>mining / minerals / metals</t>
        </is>
      </c>
      <c r="E373" s="31" t="inlineStr">
        <is>
          <t>smallcap</t>
        </is>
      </c>
      <c r="F373" s="31" t="n">
        <v>4380.51</v>
      </c>
      <c r="G373" s="31" t="n">
        <v>750.5</v>
      </c>
      <c r="H373" s="31" t="n">
        <v>-1.31</v>
      </c>
      <c r="I373" s="31" t="n">
        <v>371549</v>
      </c>
      <c r="J373" s="31" t="inlineStr">
        <is>
          <t>513097</t>
        </is>
      </c>
    </row>
    <row r="374">
      <c r="A374" s="31" t="inlineStr">
        <is>
          <t>NAVINFLUOR</t>
        </is>
      </c>
      <c r="B374" s="31" t="inlineStr">
        <is>
          <t>Navin Fluorine International Limited</t>
        </is>
      </c>
      <c r="C374" s="31" t="inlineStr">
        <is>
          <t>chemicals</t>
        </is>
      </c>
      <c r="D374" s="31" t="inlineStr">
        <is>
          <t>chemicals</t>
        </is>
      </c>
      <c r="E374" s="31" t="inlineStr">
        <is>
          <t>largecap</t>
        </is>
      </c>
      <c r="F374" s="31" t="n">
        <v>39394.78</v>
      </c>
      <c r="G374" s="31" t="n">
        <v>7585</v>
      </c>
      <c r="H374" s="31" t="n">
        <v>-1.33</v>
      </c>
      <c r="I374" s="31" t="n">
        <v>57765</v>
      </c>
      <c r="J374" s="31" t="inlineStr">
        <is>
          <t>532504</t>
        </is>
      </c>
    </row>
    <row r="375">
      <c r="A375" s="31" t="inlineStr">
        <is>
          <t>POKARNA</t>
        </is>
      </c>
      <c r="B375" s="31" t="inlineStr">
        <is>
          <t>Pokarna Limited</t>
        </is>
      </c>
      <c r="C375" s="31" t="inlineStr">
        <is>
          <t>consumer discretionary</t>
        </is>
      </c>
      <c r="D375" s="31" t="inlineStr">
        <is>
          <t>miscellaneous</t>
        </is>
      </c>
      <c r="E375" s="31" t="inlineStr">
        <is>
          <t>smallcap</t>
        </is>
      </c>
      <c r="F375" s="31" t="n">
        <v>3215.73</v>
      </c>
      <c r="G375" s="31" t="n">
        <v>1023.3</v>
      </c>
      <c r="H375" s="31" t="n">
        <v>-1.34</v>
      </c>
      <c r="I375" s="31" t="n">
        <v>50172</v>
      </c>
      <c r="J375" s="31" t="inlineStr">
        <is>
          <t>532486</t>
        </is>
      </c>
    </row>
    <row r="376">
      <c r="A376" s="31" t="inlineStr">
        <is>
          <t>SFL</t>
        </is>
      </c>
      <c r="B376" s="31" t="inlineStr">
        <is>
          <t>Sheela Foam Limited</t>
        </is>
      </c>
      <c r="C376" s="31" t="inlineStr">
        <is>
          <t>consumer discretionary</t>
        </is>
      </c>
      <c r="D376" s="31" t="inlineStr">
        <is>
          <t>miscellaneous</t>
        </is>
      </c>
      <c r="E376" s="31" t="inlineStr">
        <is>
          <t>midcap</t>
        </is>
      </c>
      <c r="F376" s="31" t="n">
        <v>8119.61</v>
      </c>
      <c r="G376" s="31" t="n">
        <v>736.9</v>
      </c>
      <c r="H376" s="31" t="n">
        <v>-1.34</v>
      </c>
      <c r="I376" s="31" t="n">
        <v>111552</v>
      </c>
      <c r="J376" s="31" t="inlineStr">
        <is>
          <t>540203</t>
        </is>
      </c>
    </row>
    <row r="377">
      <c r="A377" s="31" t="inlineStr">
        <is>
          <t>SANDHAR</t>
        </is>
      </c>
      <c r="B377" s="31" t="inlineStr">
        <is>
          <t>Sandhar Technologies Limited</t>
        </is>
      </c>
      <c r="C377" s="31" t="inlineStr">
        <is>
          <t>auto</t>
        </is>
      </c>
      <c r="D377" s="31" t="inlineStr">
        <is>
          <t>auto ancillaries</t>
        </is>
      </c>
      <c r="E377" s="31" t="inlineStr">
        <is>
          <t>smallcap</t>
        </is>
      </c>
      <c r="F377" s="31" t="n">
        <v>4315.07</v>
      </c>
      <c r="G377" s="31" t="n">
        <v>707.25</v>
      </c>
      <c r="H377" s="31" t="n">
        <v>-1.35</v>
      </c>
      <c r="I377" s="31" t="n">
        <v>188662</v>
      </c>
      <c r="J377" s="31" t="inlineStr">
        <is>
          <t>541163</t>
        </is>
      </c>
    </row>
    <row r="378">
      <c r="A378" s="31" t="inlineStr">
        <is>
          <t>KSL</t>
        </is>
      </c>
      <c r="B378" s="31" t="inlineStr">
        <is>
          <t>Kalyani Steels Limited</t>
        </is>
      </c>
      <c r="C378" s="31" t="inlineStr">
        <is>
          <t>metals &amp; mining</t>
        </is>
      </c>
      <c r="D378" s="31" t="inlineStr">
        <is>
          <t>steel - medium / small</t>
        </is>
      </c>
      <c r="E378" s="31" t="inlineStr">
        <is>
          <t>smallcap</t>
        </is>
      </c>
      <c r="F378" s="31" t="n">
        <v>3841.25</v>
      </c>
      <c r="G378" s="31" t="n">
        <v>867.8</v>
      </c>
      <c r="H378" s="31" t="n">
        <v>-1.38</v>
      </c>
      <c r="I378" s="31" t="n">
        <v>49038</v>
      </c>
      <c r="J378" s="31" t="inlineStr">
        <is>
          <t>500235</t>
        </is>
      </c>
    </row>
    <row r="379">
      <c r="A379" s="31" t="inlineStr">
        <is>
          <t>INDSWFTLAB</t>
        </is>
      </c>
      <c r="B379" s="31" t="inlineStr">
        <is>
          <t>Ind-swift Laboratories Limited</t>
        </is>
      </c>
      <c r="C379" s="31" t="inlineStr">
        <is>
          <t>healthcare</t>
        </is>
      </c>
      <c r="D379" s="31" t="inlineStr">
        <is>
          <t>pharmaceuticals - indian - bulk drugs &amp; formln</t>
        </is>
      </c>
      <c r="E379" s="31" t="inlineStr">
        <is>
          <t>smallcap</t>
        </is>
      </c>
      <c r="F379" s="31" t="n">
        <v>1767.38</v>
      </c>
      <c r="G379" s="31" t="n">
        <v>200.73</v>
      </c>
      <c r="H379" s="31" t="n">
        <v>-1.38</v>
      </c>
      <c r="I379" s="31" t="n">
        <v>701538</v>
      </c>
      <c r="J379" s="31" t="inlineStr">
        <is>
          <t>532305</t>
        </is>
      </c>
    </row>
    <row r="380">
      <c r="A380" s="31" t="inlineStr">
        <is>
          <t>APOLLO</t>
        </is>
      </c>
      <c r="B380" s="31" t="inlineStr">
        <is>
          <t>Apollo Micro Systems Ltd</t>
        </is>
      </c>
      <c r="C380" s="31" t="inlineStr">
        <is>
          <t>aerospace &amp; defence</t>
        </is>
      </c>
      <c r="D380" s="31" t="inlineStr">
        <is>
          <t>electronics - components</t>
        </is>
      </c>
      <c r="E380" s="31" t="inlineStr">
        <is>
          <t>midcap</t>
        </is>
      </c>
      <c r="F380" s="31" t="n">
        <v>15692.66</v>
      </c>
      <c r="G380" s="31" t="n">
        <v>418.85</v>
      </c>
      <c r="H380" s="31" t="n">
        <v>-1.39</v>
      </c>
      <c r="I380" s="31" t="n">
        <v>7249156</v>
      </c>
      <c r="J380" s="31" t="inlineStr">
        <is>
          <t>540879</t>
        </is>
      </c>
    </row>
    <row r="381">
      <c r="A381" s="31" t="inlineStr">
        <is>
          <t>PATELENG</t>
        </is>
      </c>
      <c r="B381" s="31" t="inlineStr">
        <is>
          <t>Patel Engineering Limited</t>
        </is>
      </c>
      <c r="C381" s="31" t="inlineStr">
        <is>
          <t>realty</t>
        </is>
      </c>
      <c r="D381" s="31" t="inlineStr">
        <is>
          <t>construction</t>
        </is>
      </c>
      <c r="E381" s="31" t="inlineStr">
        <is>
          <t>smallcap</t>
        </is>
      </c>
      <c r="F381" s="31" t="n">
        <v>3465.55</v>
      </c>
      <c r="G381" s="31" t="n">
        <v>34.44</v>
      </c>
      <c r="H381" s="31" t="n">
        <v>-1.4</v>
      </c>
      <c r="I381" s="31" t="n">
        <v>8827730</v>
      </c>
      <c r="J381" s="31" t="inlineStr">
        <is>
          <t>531120</t>
        </is>
      </c>
    </row>
    <row r="382">
      <c r="A382" s="31" t="inlineStr">
        <is>
          <t>RAMCOIND</t>
        </is>
      </c>
      <c r="B382" s="31" t="inlineStr">
        <is>
          <t>Ramco Industries Limited</t>
        </is>
      </c>
      <c r="C382" s="31" t="inlineStr">
        <is>
          <t>building materials</t>
        </is>
      </c>
      <c r="D382" s="31" t="inlineStr">
        <is>
          <t>cement products</t>
        </is>
      </c>
      <c r="E382" s="31" t="inlineStr">
        <is>
          <t>smallcap</t>
        </is>
      </c>
      <c r="F382" s="31" t="n">
        <v>2942.63</v>
      </c>
      <c r="G382" s="31" t="n">
        <v>334.1</v>
      </c>
      <c r="H382" s="31" t="n">
        <v>-1.4</v>
      </c>
      <c r="I382" s="31" t="n">
        <v>309112</v>
      </c>
      <c r="J382" s="31" t="inlineStr">
        <is>
          <t>532369</t>
        </is>
      </c>
    </row>
    <row r="383">
      <c r="A383" s="31" t="inlineStr">
        <is>
          <t>TPLPLASTEH</t>
        </is>
      </c>
      <c r="B383" s="31" t="inlineStr">
        <is>
          <t>Tpl Plastech Limited</t>
        </is>
      </c>
      <c r="C383" s="31" t="inlineStr">
        <is>
          <t>industrials</t>
        </is>
      </c>
      <c r="D383" s="31" t="inlineStr">
        <is>
          <t>packaging</t>
        </is>
      </c>
      <c r="E383" s="31" t="inlineStr">
        <is>
          <t>smallcap</t>
        </is>
      </c>
      <c r="F383" s="31" t="n">
        <v>570.59</v>
      </c>
      <c r="G383" s="31" t="n">
        <v>72.11</v>
      </c>
      <c r="H383" s="31" t="n">
        <v>-1.42</v>
      </c>
      <c r="I383" s="31" t="n">
        <v>67217</v>
      </c>
      <c r="J383" s="31" t="inlineStr">
        <is>
          <t>526582</t>
        </is>
      </c>
    </row>
    <row r="384">
      <c r="A384" s="31" t="inlineStr">
        <is>
          <t>MARKSANS</t>
        </is>
      </c>
      <c r="B384" s="31" t="inlineStr">
        <is>
          <t>Marksans Pharma Limited</t>
        </is>
      </c>
      <c r="C384" s="31" t="inlineStr">
        <is>
          <t>healthcare</t>
        </is>
      </c>
      <c r="D384" s="31" t="inlineStr">
        <is>
          <t>pharmaceuticals - indian - formulations</t>
        </is>
      </c>
      <c r="E384" s="31" t="inlineStr">
        <is>
          <t>midcap</t>
        </is>
      </c>
      <c r="F384" s="31" t="n">
        <v>12362.76</v>
      </c>
      <c r="G384" s="31" t="n">
        <v>268.85</v>
      </c>
      <c r="H384" s="31" t="n">
        <v>-1.45</v>
      </c>
      <c r="I384" s="31" t="n">
        <v>1908672</v>
      </c>
      <c r="J384" s="31" t="inlineStr">
        <is>
          <t>524404</t>
        </is>
      </c>
    </row>
    <row r="385">
      <c r="A385" s="31" t="inlineStr">
        <is>
          <t>RUBYMILLS</t>
        </is>
      </c>
      <c r="B385" s="31" t="inlineStr">
        <is>
          <t>The Ruby Mills Limited</t>
        </is>
      </c>
      <c r="C385" s="31" t="inlineStr">
        <is>
          <t>textiles</t>
        </is>
      </c>
      <c r="D385" s="31" t="inlineStr">
        <is>
          <t>textiles - composite</t>
        </is>
      </c>
      <c r="E385" s="31" t="inlineStr">
        <is>
          <t>smallcap</t>
        </is>
      </c>
      <c r="F385" s="31" t="n">
        <v>1086.8</v>
      </c>
      <c r="G385" s="31" t="n">
        <v>320</v>
      </c>
      <c r="H385" s="31" t="n">
        <v>-1.54</v>
      </c>
      <c r="I385" s="31" t="n">
        <v>24421</v>
      </c>
      <c r="J385" s="31" t="inlineStr">
        <is>
          <t>503169</t>
        </is>
      </c>
    </row>
    <row r="386">
      <c r="A386" s="31" t="inlineStr">
        <is>
          <t>LAURUSLABS</t>
        </is>
      </c>
      <c r="B386" s="31" t="inlineStr">
        <is>
          <t>Laurus Labs Limited</t>
        </is>
      </c>
      <c r="C386" s="31" t="inlineStr">
        <is>
          <t>healthcare</t>
        </is>
      </c>
      <c r="D386" s="31" t="inlineStr">
        <is>
          <t>pharmaceuticals - indian - bulk drugs &amp; formln</t>
        </is>
      </c>
      <c r="E386" s="31" t="inlineStr">
        <is>
          <t>largecap</t>
        </is>
      </c>
      <c r="F386" s="31" t="n">
        <v>81917.84</v>
      </c>
      <c r="G386" s="31" t="n">
        <v>1493.3</v>
      </c>
      <c r="H386" s="31" t="n">
        <v>-1.59</v>
      </c>
      <c r="I386" s="31" t="n">
        <v>2032970</v>
      </c>
      <c r="J386" s="31" t="inlineStr">
        <is>
          <t>540222</t>
        </is>
      </c>
    </row>
    <row r="387">
      <c r="A387" s="31" t="inlineStr">
        <is>
          <t>CRAFTSMAN</t>
        </is>
      </c>
      <c r="B387" s="31" t="inlineStr">
        <is>
          <t>Craftsman Automation Ltd</t>
        </is>
      </c>
      <c r="C387" s="31" t="inlineStr">
        <is>
          <t>auto</t>
        </is>
      </c>
      <c r="D387" s="31" t="inlineStr">
        <is>
          <t>auto ancillaries</t>
        </is>
      </c>
      <c r="E387" s="31" t="inlineStr">
        <is>
          <t>largecap</t>
        </is>
      </c>
      <c r="F387" s="31" t="n">
        <v>24742.09</v>
      </c>
      <c r="G387" s="31" t="n">
        <v>9305</v>
      </c>
      <c r="H387" s="31" t="n">
        <v>-1.64</v>
      </c>
      <c r="I387" s="31" t="n">
        <v>25509</v>
      </c>
      <c r="J387" s="31" t="inlineStr">
        <is>
          <t>543276</t>
        </is>
      </c>
    </row>
    <row r="388">
      <c r="A388" s="31" t="inlineStr">
        <is>
          <t>ADOR</t>
        </is>
      </c>
      <c r="B388" s="31" t="inlineStr">
        <is>
          <t>Ador Welding Ltd</t>
        </is>
      </c>
      <c r="C388" s="31" t="inlineStr">
        <is>
          <t>industrials</t>
        </is>
      </c>
      <c r="D388" s="31" t="inlineStr">
        <is>
          <t>electrodes - welding equipment</t>
        </is>
      </c>
      <c r="E388" s="31" t="inlineStr">
        <is>
          <t>smallcap</t>
        </is>
      </c>
      <c r="F388" s="31" t="n">
        <v>2208.77</v>
      </c>
      <c r="G388" s="31" t="n">
        <v>1248.4</v>
      </c>
      <c r="H388" s="31" t="n">
        <v>-1.64</v>
      </c>
      <c r="I388" s="31" t="n">
        <v>15718</v>
      </c>
      <c r="J388" s="31" t="inlineStr">
        <is>
          <t>517041</t>
        </is>
      </c>
    </row>
    <row r="389">
      <c r="A389" s="31" t="inlineStr">
        <is>
          <t>FINEORG</t>
        </is>
      </c>
      <c r="B389" s="31" t="inlineStr">
        <is>
          <t>Fine Organic Industries Ltd</t>
        </is>
      </c>
      <c r="C389" s="31" t="inlineStr">
        <is>
          <t>chemicals</t>
        </is>
      </c>
      <c r="D389" s="31" t="inlineStr">
        <is>
          <t>chemicals</t>
        </is>
      </c>
      <c r="E389" s="31" t="inlineStr">
        <is>
          <t>midcap</t>
        </is>
      </c>
      <c r="F389" s="31" t="n">
        <v>16236.91</v>
      </c>
      <c r="G389" s="31" t="n">
        <v>5209</v>
      </c>
      <c r="H389" s="31" t="n">
        <v>-1.64</v>
      </c>
      <c r="I389" s="31" t="n">
        <v>9473</v>
      </c>
      <c r="J389" s="31" t="inlineStr">
        <is>
          <t>541557</t>
        </is>
      </c>
    </row>
    <row r="390">
      <c r="A390" s="31" t="inlineStr">
        <is>
          <t>AUROPHARMA</t>
        </is>
      </c>
      <c r="B390" s="31" t="inlineStr">
        <is>
          <t>Aurobindo Pharma Limited</t>
        </is>
      </c>
      <c r="C390" s="31" t="inlineStr">
        <is>
          <t>healthcare</t>
        </is>
      </c>
      <c r="D390" s="31" t="inlineStr">
        <is>
          <t>pharmaceuticals - indian - bulk drugs &amp; formln</t>
        </is>
      </c>
      <c r="E390" s="31" t="inlineStr">
        <is>
          <t>largecap</t>
        </is>
      </c>
      <c r="F390" s="31" t="n">
        <v>91691.14999999999</v>
      </c>
      <c r="G390" s="31" t="n">
        <v>1552.6</v>
      </c>
      <c r="H390" s="31" t="n">
        <v>-1.65</v>
      </c>
      <c r="I390" s="31" t="n">
        <v>590144</v>
      </c>
      <c r="J390" s="31" t="inlineStr">
        <is>
          <t>524804</t>
        </is>
      </c>
    </row>
    <row r="391">
      <c r="A391" s="31" t="inlineStr">
        <is>
          <t>BHARATFORG</t>
        </is>
      </c>
      <c r="B391" s="31" t="inlineStr">
        <is>
          <t>Bharat Forge Limited</t>
        </is>
      </c>
      <c r="C391" s="31" t="inlineStr">
        <is>
          <t>industrials</t>
        </is>
      </c>
      <c r="D391" s="31" t="inlineStr">
        <is>
          <t>castings &amp; forgings</t>
        </is>
      </c>
      <c r="E391" s="31" t="inlineStr">
        <is>
          <t>largecap</t>
        </is>
      </c>
      <c r="F391" s="31" t="n">
        <v>102506.98</v>
      </c>
      <c r="G391" s="31" t="n">
        <v>2108.8</v>
      </c>
      <c r="H391" s="31" t="n">
        <v>-1.65</v>
      </c>
      <c r="I391" s="31" t="n">
        <v>1124785</v>
      </c>
      <c r="J391" s="31" t="inlineStr">
        <is>
          <t>500493</t>
        </is>
      </c>
    </row>
    <row r="392">
      <c r="A392" s="31" t="inlineStr">
        <is>
          <t>AIAENG</t>
        </is>
      </c>
      <c r="B392" s="31" t="inlineStr">
        <is>
          <t>Aia Engineering Limited</t>
        </is>
      </c>
      <c r="C392" s="31" t="inlineStr">
        <is>
          <t>industrials</t>
        </is>
      </c>
      <c r="D392" s="31" t="inlineStr">
        <is>
          <t>castings &amp; forgings</t>
        </is>
      </c>
      <c r="E392" s="31" t="inlineStr">
        <is>
          <t>largecap</t>
        </is>
      </c>
      <c r="F392" s="31" t="n">
        <v>47419.81</v>
      </c>
      <c r="G392" s="31" t="n">
        <v>4996</v>
      </c>
      <c r="H392" s="31" t="n">
        <v>-1.68</v>
      </c>
      <c r="I392" s="31" t="n">
        <v>128786</v>
      </c>
      <c r="J392" s="31" t="inlineStr">
        <is>
          <t>532683</t>
        </is>
      </c>
    </row>
    <row r="393">
      <c r="A393" s="31" t="inlineStr">
        <is>
          <t>SPAL</t>
        </is>
      </c>
      <c r="B393" s="31" t="inlineStr">
        <is>
          <t>S. P. Apparels Limited</t>
        </is>
      </c>
      <c r="C393" s="31" t="inlineStr">
        <is>
          <t>consumer discretionary</t>
        </is>
      </c>
      <c r="D393" s="31" t="inlineStr">
        <is>
          <t>textiles - products</t>
        </is>
      </c>
      <c r="E393" s="31" t="inlineStr">
        <is>
          <t>smallcap</t>
        </is>
      </c>
      <c r="F393" s="31" t="n">
        <v>2861.18</v>
      </c>
      <c r="G393" s="31" t="n">
        <v>1118.8</v>
      </c>
      <c r="H393" s="31" t="n">
        <v>-1.7</v>
      </c>
      <c r="I393" s="31" t="n">
        <v>200276</v>
      </c>
      <c r="J393" s="31" t="inlineStr">
        <is>
          <t>540048</t>
        </is>
      </c>
    </row>
    <row r="394">
      <c r="A394" s="31" t="inlineStr">
        <is>
          <t>KABRAEXTRU</t>
        </is>
      </c>
      <c r="B394" s="31" t="inlineStr">
        <is>
          <t>Kabra Extrusion Technik Limited</t>
        </is>
      </c>
      <c r="C394" s="31" t="inlineStr">
        <is>
          <t>industrials</t>
        </is>
      </c>
      <c r="D394" s="31" t="inlineStr">
        <is>
          <t>engineering</t>
        </is>
      </c>
      <c r="E394" s="31" t="inlineStr">
        <is>
          <t>smallcap</t>
        </is>
      </c>
      <c r="F394" s="31" t="n">
        <v>942.9</v>
      </c>
      <c r="G394" s="31" t="n">
        <v>265</v>
      </c>
      <c r="H394" s="31" t="n">
        <v>-1.71</v>
      </c>
      <c r="I394" s="31" t="n">
        <v>83267</v>
      </c>
      <c r="J394" s="31" t="inlineStr">
        <is>
          <t>524109</t>
        </is>
      </c>
    </row>
    <row r="395">
      <c r="A395" s="31" t="inlineStr">
        <is>
          <t>WSTCSTPAPR</t>
        </is>
      </c>
      <c r="B395" s="31" t="inlineStr">
        <is>
          <t>West Coast Paper Mills Limited</t>
        </is>
      </c>
      <c r="C395" s="31" t="inlineStr">
        <is>
          <t>building materials</t>
        </is>
      </c>
      <c r="D395" s="31" t="inlineStr">
        <is>
          <t>paper</t>
        </is>
      </c>
      <c r="E395" s="31" t="inlineStr">
        <is>
          <t>smallcap</t>
        </is>
      </c>
      <c r="F395" s="31" t="n">
        <v>3529.32</v>
      </c>
      <c r="G395" s="31" t="n">
        <v>525.2</v>
      </c>
      <c r="H395" s="31" t="n">
        <v>-1.71</v>
      </c>
      <c r="I395" s="31" t="n">
        <v>190467</v>
      </c>
      <c r="J395" s="31" t="inlineStr">
        <is>
          <t>500444</t>
        </is>
      </c>
    </row>
    <row r="396">
      <c r="A396" s="31" t="inlineStr">
        <is>
          <t>GAEL</t>
        </is>
      </c>
      <c r="B396" s="31" t="inlineStr">
        <is>
          <t>Gujarat Ambuja Exports Limited</t>
        </is>
      </c>
      <c r="C396" s="31" t="inlineStr">
        <is>
          <t>fmcg</t>
        </is>
      </c>
      <c r="D396" s="31" t="inlineStr">
        <is>
          <t>miscellaneous</t>
        </is>
      </c>
      <c r="E396" s="31" t="inlineStr">
        <is>
          <t>midcap</t>
        </is>
      </c>
      <c r="F396" s="31" t="n">
        <v>7583.2</v>
      </c>
      <c r="G396" s="31" t="n">
        <v>162.5</v>
      </c>
      <c r="H396" s="31" t="n">
        <v>-1.71</v>
      </c>
      <c r="I396" s="31" t="n">
        <v>639346</v>
      </c>
      <c r="J396" s="31" t="inlineStr">
        <is>
          <t>524226</t>
        </is>
      </c>
    </row>
    <row r="397">
      <c r="A397" s="31" t="inlineStr">
        <is>
          <t>DIAMONDYD</t>
        </is>
      </c>
      <c r="B397" s="31" t="inlineStr">
        <is>
          <t>Prataap Snacks Ltd</t>
        </is>
      </c>
      <c r="C397" s="31" t="inlineStr">
        <is>
          <t>fmcg</t>
        </is>
      </c>
      <c r="D397" s="31" t="inlineStr">
        <is>
          <t>food - processing - indian</t>
        </is>
      </c>
      <c r="E397" s="31" t="inlineStr">
        <is>
          <t>smallcap</t>
        </is>
      </c>
      <c r="F397" s="31" t="n">
        <v>2750.34</v>
      </c>
      <c r="G397" s="31" t="n">
        <v>1130.8</v>
      </c>
      <c r="H397" s="31" t="n">
        <v>-1.72</v>
      </c>
      <c r="I397" s="31" t="n">
        <v>7654</v>
      </c>
      <c r="J397" s="31" t="inlineStr">
        <is>
          <t>540724</t>
        </is>
      </c>
    </row>
    <row r="398">
      <c r="A398" s="31" t="inlineStr">
        <is>
          <t>ALIVUS</t>
        </is>
      </c>
      <c r="B398" s="31" t="inlineStr">
        <is>
          <t>Alivus Life Sciences Ltd</t>
        </is>
      </c>
      <c r="C398" s="31" t="inlineStr">
        <is>
          <t>healthcare</t>
        </is>
      </c>
      <c r="D398" s="31" t="inlineStr">
        <is>
          <t>pharmaceuticals - indian - bulk drugs &amp; formln</t>
        </is>
      </c>
      <c r="E398" s="31" t="inlineStr">
        <is>
          <t>midcap</t>
        </is>
      </c>
      <c r="F398" s="31" t="n">
        <v>14194.46</v>
      </c>
      <c r="G398" s="31" t="n">
        <v>1136.4</v>
      </c>
      <c r="H398" s="31" t="n">
        <v>-1.74</v>
      </c>
      <c r="I398" s="31" t="n">
        <v>133865</v>
      </c>
      <c r="J398" s="31" t="inlineStr">
        <is>
          <t>543322</t>
        </is>
      </c>
    </row>
    <row r="399">
      <c r="A399" s="31" t="inlineStr">
        <is>
          <t>SADHNANIQ</t>
        </is>
      </c>
      <c r="B399" s="31" t="inlineStr">
        <is>
          <t>Sadhana Nitro Chem Ltd</t>
        </is>
      </c>
      <c r="C399" s="31" t="inlineStr">
        <is>
          <t>chemicals</t>
        </is>
      </c>
      <c r="D399" s="31" t="inlineStr">
        <is>
          <t>chemicals</t>
        </is>
      </c>
      <c r="E399" s="31" t="inlineStr">
        <is>
          <t>smallcap</t>
        </is>
      </c>
      <c r="F399" s="31" t="n">
        <v>850.87</v>
      </c>
      <c r="G399" s="31" t="n">
        <v>2.82</v>
      </c>
      <c r="H399" s="31" t="n">
        <v>-1.74</v>
      </c>
      <c r="I399" s="31" t="n">
        <v>885231</v>
      </c>
      <c r="J399" s="31" t="inlineStr">
        <is>
          <t>506642</t>
        </is>
      </c>
    </row>
    <row r="400">
      <c r="A400" s="31" t="inlineStr">
        <is>
          <t>AVL</t>
        </is>
      </c>
      <c r="B400" s="31" t="inlineStr">
        <is>
          <t>Aditya Vision Ltd</t>
        </is>
      </c>
      <c r="C400" s="31" t="inlineStr">
        <is>
          <t>consumer discretionary</t>
        </is>
      </c>
      <c r="D400" s="31" t="inlineStr">
        <is>
          <t>trading</t>
        </is>
      </c>
      <c r="E400" s="31" t="inlineStr">
        <is>
          <t>midcap</t>
        </is>
      </c>
      <c r="F400" s="31" t="n">
        <v>8499.219999999999</v>
      </c>
      <c r="G400" s="31" t="n">
        <v>646.65</v>
      </c>
      <c r="H400" s="31" t="n">
        <v>-1.75</v>
      </c>
      <c r="I400" s="31" t="n">
        <v>591226</v>
      </c>
      <c r="J400" s="31" t="inlineStr">
        <is>
          <t>540205</t>
        </is>
      </c>
    </row>
    <row r="401">
      <c r="A401" s="31" t="inlineStr">
        <is>
          <t>UNIPARTS</t>
        </is>
      </c>
      <c r="B401" s="31" t="inlineStr">
        <is>
          <t>Uniparts India Ltd</t>
        </is>
      </c>
      <c r="C401" s="31" t="inlineStr">
        <is>
          <t>industrials</t>
        </is>
      </c>
      <c r="D401" s="31" t="inlineStr">
        <is>
          <t>engineering</t>
        </is>
      </c>
      <c r="E401" s="31" t="inlineStr">
        <is>
          <t>smallcap</t>
        </is>
      </c>
      <c r="F401" s="31" t="n">
        <v>3040.84</v>
      </c>
      <c r="G401" s="31" t="n">
        <v>661.65</v>
      </c>
      <c r="H401" s="31" t="n">
        <v>-1.77</v>
      </c>
      <c r="I401" s="31" t="n">
        <v>98696</v>
      </c>
      <c r="J401" s="31" t="inlineStr">
        <is>
          <t>543689</t>
        </is>
      </c>
    </row>
    <row r="402">
      <c r="A402" s="31" t="inlineStr">
        <is>
          <t>CENTUM</t>
        </is>
      </c>
      <c r="B402" s="31" t="inlineStr">
        <is>
          <t>Centum Electronics Limited</t>
        </is>
      </c>
      <c r="C402" s="31" t="inlineStr">
        <is>
          <t>consumer discretionary</t>
        </is>
      </c>
      <c r="D402" s="31" t="inlineStr">
        <is>
          <t>electronics - components</t>
        </is>
      </c>
      <c r="E402" s="31" t="inlineStr">
        <is>
          <t>midcap</t>
        </is>
      </c>
      <c r="F402" s="31" t="n">
        <v>5577.99</v>
      </c>
      <c r="G402" s="31" t="n">
        <v>3716.8</v>
      </c>
      <c r="H402" s="31" t="n">
        <v>-1.78</v>
      </c>
      <c r="I402" s="31" t="n">
        <v>30701</v>
      </c>
      <c r="J402" s="31" t="inlineStr">
        <is>
          <t>517544</t>
        </is>
      </c>
    </row>
    <row r="403">
      <c r="A403" s="31" t="inlineStr">
        <is>
          <t>DIFFNKG</t>
        </is>
      </c>
      <c r="B403" s="31" t="inlineStr">
        <is>
          <t>Diffusion Engineers Ltd</t>
        </is>
      </c>
      <c r="C403" s="31" t="inlineStr">
        <is>
          <t>industrials</t>
        </is>
      </c>
      <c r="D403" s="31" t="inlineStr">
        <is>
          <t>electrodes - welding equipment</t>
        </is>
      </c>
      <c r="E403" s="31" t="inlineStr">
        <is>
          <t>smallcap</t>
        </is>
      </c>
      <c r="F403" s="31" t="n">
        <v>1587.62</v>
      </c>
      <c r="G403" s="31" t="n">
        <v>416.5</v>
      </c>
      <c r="H403" s="31" t="n">
        <v>-1.82</v>
      </c>
      <c r="I403" s="31" t="n">
        <v>181794</v>
      </c>
      <c r="J403" s="31" t="inlineStr">
        <is>
          <t>544264</t>
        </is>
      </c>
    </row>
    <row r="404">
      <c r="A404" s="31" t="inlineStr">
        <is>
          <t>TBZ</t>
        </is>
      </c>
      <c r="B404" s="31" t="inlineStr">
        <is>
          <t>Tribhovandas Bhimji Zaveri Limited</t>
        </is>
      </c>
      <c r="C404" s="31" t="inlineStr">
        <is>
          <t>consumer discretionary</t>
        </is>
      </c>
      <c r="D404" s="31" t="inlineStr">
        <is>
          <t>diamond cutting / jewellery</t>
        </is>
      </c>
      <c r="E404" s="31" t="inlineStr">
        <is>
          <t>smallcap</t>
        </is>
      </c>
      <c r="F404" s="31" t="n">
        <v>1302.05</v>
      </c>
      <c r="G404" s="31" t="n">
        <v>191.27</v>
      </c>
      <c r="H404" s="31" t="n">
        <v>-1.97</v>
      </c>
      <c r="I404" s="31" t="n">
        <v>659765</v>
      </c>
      <c r="J404" s="31" t="inlineStr">
        <is>
          <t>534369</t>
        </is>
      </c>
    </row>
    <row r="405">
      <c r="A405" s="31" t="inlineStr">
        <is>
          <t>PREMEXPLN</t>
        </is>
      </c>
      <c r="B405" s="31" t="inlineStr">
        <is>
          <t>Premier Explosives Limited</t>
        </is>
      </c>
      <c r="C405" s="31" t="inlineStr">
        <is>
          <t>aerospace &amp; defence</t>
        </is>
      </c>
      <c r="D405" s="31" t="inlineStr">
        <is>
          <t>chemicals</t>
        </is>
      </c>
      <c r="E405" s="31" t="inlineStr">
        <is>
          <t>smallcap</t>
        </is>
      </c>
      <c r="F405" s="31" t="n">
        <v>4332.88</v>
      </c>
      <c r="G405" s="31" t="n">
        <v>789.6</v>
      </c>
      <c r="H405" s="31" t="n">
        <v>-2.03</v>
      </c>
      <c r="I405" s="31" t="n">
        <v>1043549</v>
      </c>
      <c r="J405" s="31" t="inlineStr">
        <is>
          <t>526247</t>
        </is>
      </c>
    </row>
    <row r="406">
      <c r="A406" s="31" t="inlineStr">
        <is>
          <t>RACLGEAR</t>
        </is>
      </c>
      <c r="B406" s="31" t="inlineStr">
        <is>
          <t>RACL Geartech Ltd</t>
        </is>
      </c>
      <c r="C406" s="31" t="inlineStr">
        <is>
          <t>auto</t>
        </is>
      </c>
      <c r="D406" s="31" t="inlineStr">
        <is>
          <t>auto ancillaries</t>
        </is>
      </c>
      <c r="E406" s="31" t="inlineStr">
        <is>
          <t>smallcap</t>
        </is>
      </c>
      <c r="F406" s="31" t="n">
        <v>1654.1</v>
      </c>
      <c r="G406" s="31" t="n">
        <v>1373.5</v>
      </c>
      <c r="H406" s="31" t="n">
        <v>-2.12</v>
      </c>
      <c r="I406" s="31" t="n">
        <v>28389</v>
      </c>
      <c r="J406" s="31" t="inlineStr">
        <is>
          <t>520073</t>
        </is>
      </c>
    </row>
    <row r="407">
      <c r="A407" s="31" t="inlineStr">
        <is>
          <t>FINCABLES</t>
        </is>
      </c>
      <c r="B407" s="31" t="inlineStr">
        <is>
          <t>Finolex Cables Limited</t>
        </is>
      </c>
      <c r="C407" s="31" t="inlineStr">
        <is>
          <t>industrials</t>
        </is>
      </c>
      <c r="D407" s="31" t="inlineStr">
        <is>
          <t>cables - power</t>
        </is>
      </c>
      <c r="E407" s="31" t="inlineStr">
        <is>
          <t>midcap</t>
        </is>
      </c>
      <c r="F407" s="31" t="n">
        <v>17884.73</v>
      </c>
      <c r="G407" s="31" t="n">
        <v>1144.5</v>
      </c>
      <c r="H407" s="31" t="n">
        <v>-2.13</v>
      </c>
      <c r="I407" s="31" t="n">
        <v>297243</v>
      </c>
      <c r="J407" s="31" t="inlineStr">
        <is>
          <t>500144</t>
        </is>
      </c>
    </row>
    <row r="408">
      <c r="A408" s="31" t="inlineStr">
        <is>
          <t>NHPC</t>
        </is>
      </c>
      <c r="B408" s="31" t="inlineStr">
        <is>
          <t>Nhpc Limited</t>
        </is>
      </c>
      <c r="C408" s="31" t="inlineStr">
        <is>
          <t>power &amp; utilities</t>
        </is>
      </c>
      <c r="D408" s="31" t="inlineStr">
        <is>
          <t>power generation and supply</t>
        </is>
      </c>
      <c r="E408" s="31" t="inlineStr">
        <is>
          <t>largecap</t>
        </is>
      </c>
      <c r="F408" s="31" t="n">
        <v>81696.27</v>
      </c>
      <c r="G408" s="31" t="n">
        <v>79.56999999999999</v>
      </c>
      <c r="H408" s="31" t="n">
        <v>-2.16</v>
      </c>
      <c r="I408" s="31" t="n">
        <v>7502296</v>
      </c>
      <c r="J408" s="31" t="inlineStr">
        <is>
          <t>533098</t>
        </is>
      </c>
    </row>
    <row r="409">
      <c r="A409" s="31" t="inlineStr">
        <is>
          <t>RELIGARE</t>
        </is>
      </c>
      <c r="B409" s="31" t="inlineStr">
        <is>
          <t>Religare Enterprises Limited</t>
        </is>
      </c>
      <c r="C409" s="31" t="inlineStr">
        <is>
          <t>financials</t>
        </is>
      </c>
      <c r="D409" s="31" t="inlineStr">
        <is>
          <t>finance &amp; investments</t>
        </is>
      </c>
      <c r="E409" s="31" t="inlineStr">
        <is>
          <t>midcap</t>
        </is>
      </c>
      <c r="F409" s="31" t="n">
        <v>9222.18</v>
      </c>
      <c r="G409" s="31" t="n">
        <v>264.4</v>
      </c>
      <c r="H409" s="31" t="n">
        <v>-2.17</v>
      </c>
      <c r="I409" s="31" t="n">
        <v>934376</v>
      </c>
      <c r="J409" s="31" t="inlineStr">
        <is>
          <t>532915</t>
        </is>
      </c>
    </row>
    <row r="410">
      <c r="A410" s="31" t="inlineStr">
        <is>
          <t>CARYSIL</t>
        </is>
      </c>
      <c r="B410" s="31" t="inlineStr">
        <is>
          <t>Carysil Ltd</t>
        </is>
      </c>
      <c r="C410" s="31" t="inlineStr">
        <is>
          <t>consumer discretionary</t>
        </is>
      </c>
      <c r="D410" s="31" t="inlineStr">
        <is>
          <t>domestic appliances</t>
        </is>
      </c>
      <c r="E410" s="31" t="inlineStr">
        <is>
          <t>smallcap</t>
        </is>
      </c>
      <c r="F410" s="31" t="n">
        <v>3407.99</v>
      </c>
      <c r="G410" s="31" t="n">
        <v>1172.2</v>
      </c>
      <c r="H410" s="31" t="n">
        <v>-2.17</v>
      </c>
      <c r="I410" s="31" t="n">
        <v>49756</v>
      </c>
      <c r="J410" s="31" t="inlineStr">
        <is>
          <t>524091</t>
        </is>
      </c>
    </row>
    <row r="411">
      <c r="A411" s="31" t="inlineStr">
        <is>
          <t>MANKIND</t>
        </is>
      </c>
      <c r="B411" s="31" t="inlineStr">
        <is>
          <t>Mankind Pharma Ltd</t>
        </is>
      </c>
      <c r="C411" s="31" t="inlineStr">
        <is>
          <t>healthcare</t>
        </is>
      </c>
      <c r="D411" s="31" t="inlineStr">
        <is>
          <t>pharmaceuticals - indian - bulk drugs &amp; formln</t>
        </is>
      </c>
      <c r="E411" s="31" t="inlineStr">
        <is>
          <t>largecap</t>
        </is>
      </c>
      <c r="F411" s="31" t="n">
        <v>105089.58</v>
      </c>
      <c r="G411" s="31" t="n">
        <v>2490.3</v>
      </c>
      <c r="H411" s="31" t="n">
        <v>-2.17</v>
      </c>
      <c r="I411" s="31" t="n">
        <v>211335</v>
      </c>
      <c r="J411" s="31" t="inlineStr">
        <is>
          <t>543904</t>
        </is>
      </c>
    </row>
    <row r="412">
      <c r="A412" s="31" t="inlineStr">
        <is>
          <t>AJANTPHARM</t>
        </is>
      </c>
      <c r="B412" s="31" t="inlineStr">
        <is>
          <t>Ajanta Pharma Limited</t>
        </is>
      </c>
      <c r="C412" s="31" t="inlineStr">
        <is>
          <t>healthcare</t>
        </is>
      </c>
      <c r="D412" s="31" t="inlineStr">
        <is>
          <t>pharmaceuticals - indian - formulations</t>
        </is>
      </c>
      <c r="E412" s="31" t="inlineStr">
        <is>
          <t>largecap</t>
        </is>
      </c>
      <c r="F412" s="31" t="n">
        <v>42761.72</v>
      </c>
      <c r="G412" s="31" t="n">
        <v>3347.5</v>
      </c>
      <c r="H412" s="31" t="n">
        <v>-2.2</v>
      </c>
      <c r="I412" s="31" t="n">
        <v>99496</v>
      </c>
      <c r="J412" s="31" t="inlineStr">
        <is>
          <t>532331</t>
        </is>
      </c>
    </row>
    <row r="413">
      <c r="A413" s="31" t="inlineStr">
        <is>
          <t>UNIMECH</t>
        </is>
      </c>
      <c r="B413" s="31" t="inlineStr">
        <is>
          <t>Unimech Aerospace and Manufacturing Ltd</t>
        </is>
      </c>
      <c r="C413" s="31" t="inlineStr">
        <is>
          <t>aerospace &amp; defence</t>
        </is>
      </c>
      <c r="D413" s="31" t="inlineStr">
        <is>
          <t>engineering</t>
        </is>
      </c>
      <c r="E413" s="31" t="inlineStr">
        <is>
          <t>midcap</t>
        </is>
      </c>
      <c r="F413" s="31" t="n">
        <v>5958.65</v>
      </c>
      <c r="G413" s="31" t="n">
        <v>1144.3</v>
      </c>
      <c r="H413" s="31" t="n">
        <v>-2.33</v>
      </c>
      <c r="I413" s="31" t="n">
        <v>97855</v>
      </c>
      <c r="J413" s="31" t="inlineStr">
        <is>
          <t>544322</t>
        </is>
      </c>
    </row>
    <row r="414">
      <c r="A414" s="31" t="inlineStr">
        <is>
          <t>KANORICHEM</t>
        </is>
      </c>
      <c r="B414" s="31" t="inlineStr">
        <is>
          <t>Kanoria Chemicals &amp; Industries Limited</t>
        </is>
      </c>
      <c r="C414" s="31" t="inlineStr">
        <is>
          <t>chemicals</t>
        </is>
      </c>
      <c r="D414" s="31" t="inlineStr">
        <is>
          <t>chemicals</t>
        </is>
      </c>
      <c r="E414" s="31" t="inlineStr">
        <is>
          <t>smallcap</t>
        </is>
      </c>
      <c r="F414" s="31" t="n">
        <v>585.62</v>
      </c>
      <c r="G414" s="31" t="n">
        <v>130.88</v>
      </c>
      <c r="H414" s="31" t="n">
        <v>-2.35</v>
      </c>
      <c r="I414" s="31" t="n">
        <v>80534</v>
      </c>
      <c r="J414" s="31" t="inlineStr">
        <is>
          <t>506525</t>
        </is>
      </c>
    </row>
    <row r="415">
      <c r="A415" s="31" t="inlineStr">
        <is>
          <t>CAPLIPOINT</t>
        </is>
      </c>
      <c r="B415" s="31" t="inlineStr">
        <is>
          <t>Caplin Point Laboratories Limited</t>
        </is>
      </c>
      <c r="C415" s="31" t="inlineStr">
        <is>
          <t>healthcare</t>
        </is>
      </c>
      <c r="D415" s="31" t="inlineStr">
        <is>
          <t>pharmaceuticals - indian - formulations</t>
        </is>
      </c>
      <c r="E415" s="31" t="inlineStr">
        <is>
          <t>midcap</t>
        </is>
      </c>
      <c r="F415" s="31" t="n">
        <v>19960.67</v>
      </c>
      <c r="G415" s="31" t="n">
        <v>2564</v>
      </c>
      <c r="H415" s="31" t="n">
        <v>-2.36</v>
      </c>
      <c r="I415" s="31" t="n">
        <v>92137</v>
      </c>
      <c r="J415" s="31" t="inlineStr">
        <is>
          <t>524742</t>
        </is>
      </c>
    </row>
    <row r="416">
      <c r="A416" s="31" t="inlineStr">
        <is>
          <t>AETHER</t>
        </is>
      </c>
      <c r="B416" s="31" t="inlineStr">
        <is>
          <t>Aether Industries Ltd</t>
        </is>
      </c>
      <c r="C416" s="31" t="inlineStr">
        <is>
          <t>chemicals</t>
        </is>
      </c>
      <c r="D416" s="31" t="inlineStr">
        <is>
          <t>chemicals</t>
        </is>
      </c>
      <c r="E416" s="31" t="inlineStr">
        <is>
          <t>midcap</t>
        </is>
      </c>
      <c r="F416" s="31" t="n">
        <v>18032.51</v>
      </c>
      <c r="G416" s="31" t="n">
        <v>1326.9</v>
      </c>
      <c r="H416" s="31" t="n">
        <v>-2.37</v>
      </c>
      <c r="I416" s="31" t="n">
        <v>208621</v>
      </c>
      <c r="J416" s="31" t="inlineStr">
        <is>
          <t>543534</t>
        </is>
      </c>
    </row>
    <row r="417">
      <c r="A417" s="31" t="inlineStr">
        <is>
          <t>JNKINDIA</t>
        </is>
      </c>
      <c r="B417" s="31" t="inlineStr">
        <is>
          <t>JNK India Ltd</t>
        </is>
      </c>
      <c r="C417" s="31" t="inlineStr">
        <is>
          <t>realty</t>
        </is>
      </c>
      <c r="D417" s="31" t="inlineStr">
        <is>
          <t>engineering - turnkey services</t>
        </is>
      </c>
      <c r="E417" s="31" t="inlineStr">
        <is>
          <t>smallcap</t>
        </is>
      </c>
      <c r="F417" s="31" t="n">
        <v>2823.71</v>
      </c>
      <c r="G417" s="31" t="n">
        <v>492.7</v>
      </c>
      <c r="H417" s="31" t="n">
        <v>-2.37</v>
      </c>
      <c r="I417" s="31" t="n">
        <v>391861</v>
      </c>
      <c r="J417" s="31" t="inlineStr">
        <is>
          <t>544167</t>
        </is>
      </c>
    </row>
    <row r="418">
      <c r="A418" s="31" t="inlineStr">
        <is>
          <t>SUVEN</t>
        </is>
      </c>
      <c r="B418" s="31" t="inlineStr">
        <is>
          <t>Suven Life Sciences Limited</t>
        </is>
      </c>
      <c r="C418" s="31" t="inlineStr">
        <is>
          <t>healthcare</t>
        </is>
      </c>
      <c r="D418" s="31" t="inlineStr">
        <is>
          <t>miscellaneous</t>
        </is>
      </c>
      <c r="E418" s="31" t="inlineStr">
        <is>
          <t>midcap</t>
        </is>
      </c>
      <c r="F418" s="31" t="n">
        <v>7401.32</v>
      </c>
      <c r="G418" s="31" t="n">
        <v>273.85</v>
      </c>
      <c r="H418" s="31" t="n">
        <v>-2.42</v>
      </c>
      <c r="I418" s="31" t="n">
        <v>474055</v>
      </c>
      <c r="J418" s="31" t="inlineStr">
        <is>
          <t>530239</t>
        </is>
      </c>
    </row>
    <row r="419">
      <c r="A419" s="31" t="inlineStr">
        <is>
          <t>ACE</t>
        </is>
      </c>
      <c r="B419" s="31" t="inlineStr">
        <is>
          <t>Action Construction Equipment Limited</t>
        </is>
      </c>
      <c r="C419" s="31" t="inlineStr">
        <is>
          <t>industrials</t>
        </is>
      </c>
      <c r="D419" s="31" t="inlineStr">
        <is>
          <t>engineering</t>
        </is>
      </c>
      <c r="E419" s="31" t="inlineStr">
        <is>
          <t>midcap</t>
        </is>
      </c>
      <c r="F419" s="31" t="n">
        <v>12194.12</v>
      </c>
      <c r="G419" s="31" t="n">
        <v>999.1</v>
      </c>
      <c r="H419" s="31" t="n">
        <v>-2.43</v>
      </c>
      <c r="I419" s="31" t="n">
        <v>546067</v>
      </c>
      <c r="J419" s="31" t="inlineStr">
        <is>
          <t>532762</t>
        </is>
      </c>
    </row>
    <row r="420">
      <c r="A420" s="31" t="inlineStr">
        <is>
          <t>ORIENTHOT</t>
        </is>
      </c>
      <c r="B420" s="31" t="inlineStr">
        <is>
          <t>Oriental Hotels Limited</t>
        </is>
      </c>
      <c r="C420" s="31" t="inlineStr">
        <is>
          <t>services</t>
        </is>
      </c>
      <c r="D420" s="31" t="inlineStr">
        <is>
          <t>hotels</t>
        </is>
      </c>
      <c r="E420" s="31" t="inlineStr">
        <is>
          <t>smallcap</t>
        </is>
      </c>
      <c r="F420" s="31" t="n">
        <v>2516.11</v>
      </c>
      <c r="G420" s="31" t="n">
        <v>137.38</v>
      </c>
      <c r="H420" s="31" t="n">
        <v>-2.48</v>
      </c>
      <c r="I420" s="31" t="n">
        <v>467036</v>
      </c>
      <c r="J420" s="31" t="inlineStr">
        <is>
          <t>500314</t>
        </is>
      </c>
    </row>
    <row r="421">
      <c r="A421" s="31" t="inlineStr">
        <is>
          <t>GHCLTEXTIL</t>
        </is>
      </c>
      <c r="B421" s="31" t="inlineStr">
        <is>
          <t>GHCL Textiles Ltd</t>
        </is>
      </c>
      <c r="C421" s="31" t="inlineStr">
        <is>
          <t>textiles</t>
        </is>
      </c>
      <c r="D421" s="31" t="inlineStr">
        <is>
          <t>textiles - spinning - synthetic / blended</t>
        </is>
      </c>
      <c r="E421" s="31" t="inlineStr">
        <is>
          <t>smallcap</t>
        </is>
      </c>
      <c r="F421" s="31" t="n">
        <v>952.3200000000001</v>
      </c>
      <c r="G421" s="31" t="n">
        <v>97.13</v>
      </c>
      <c r="H421" s="31" t="n">
        <v>-2.51</v>
      </c>
      <c r="I421" s="31" t="n">
        <v>379271</v>
      </c>
      <c r="J421" s="31" t="inlineStr">
        <is>
          <t>543918</t>
        </is>
      </c>
    </row>
    <row r="422">
      <c r="A422" s="31" t="inlineStr">
        <is>
          <t>STOVEKRAFT</t>
        </is>
      </c>
      <c r="B422" s="31" t="inlineStr">
        <is>
          <t>Stove Kraft Ltd</t>
        </is>
      </c>
      <c r="C422" s="31" t="inlineStr">
        <is>
          <t>consumer discretionary</t>
        </is>
      </c>
      <c r="D422" s="31" t="inlineStr">
        <is>
          <t>domestic appliances</t>
        </is>
      </c>
      <c r="E422" s="31" t="inlineStr">
        <is>
          <t>smallcap</t>
        </is>
      </c>
      <c r="F422" s="31" t="n">
        <v>2567.47</v>
      </c>
      <c r="G422" s="31" t="n">
        <v>755.9</v>
      </c>
      <c r="H422" s="31" t="n">
        <v>-2.53</v>
      </c>
      <c r="I422" s="31" t="n">
        <v>98059</v>
      </c>
      <c r="J422" s="31" t="inlineStr">
        <is>
          <t>543260</t>
        </is>
      </c>
    </row>
    <row r="423">
      <c r="A423" s="31" t="inlineStr">
        <is>
          <t>INDNIPPON</t>
        </is>
      </c>
      <c r="B423" s="31" t="inlineStr">
        <is>
          <t>India Nippon Electricals Limited</t>
        </is>
      </c>
      <c r="C423" s="31" t="inlineStr">
        <is>
          <t>auto</t>
        </is>
      </c>
      <c r="D423" s="31" t="inlineStr">
        <is>
          <t>auto ancillaries</t>
        </is>
      </c>
      <c r="E423" s="31" t="inlineStr">
        <is>
          <t>smallcap</t>
        </is>
      </c>
      <c r="F423" s="31" t="n">
        <v>2265.31</v>
      </c>
      <c r="G423" s="31" t="n">
        <v>975.1</v>
      </c>
      <c r="H423" s="31" t="n">
        <v>-2.63</v>
      </c>
      <c r="I423" s="31" t="n">
        <v>35819</v>
      </c>
      <c r="J423" s="31" t="inlineStr">
        <is>
          <t>532240</t>
        </is>
      </c>
    </row>
    <row r="424">
      <c r="A424" s="31" t="inlineStr">
        <is>
          <t>RBA</t>
        </is>
      </c>
      <c r="B424" s="31" t="inlineStr">
        <is>
          <t>Restaurant Brands Asia Ltd</t>
        </is>
      </c>
      <c r="C424" s="31" t="inlineStr">
        <is>
          <t>consumer discretionary</t>
        </is>
      </c>
      <c r="D424" s="31" t="inlineStr">
        <is>
          <t>hotels</t>
        </is>
      </c>
      <c r="E424" s="31" t="inlineStr">
        <is>
          <t>midcap</t>
        </is>
      </c>
      <c r="F424" s="31" t="n">
        <v>5633.24</v>
      </c>
      <c r="G424" s="31" t="n">
        <v>77.09</v>
      </c>
      <c r="H424" s="31" t="n">
        <v>-2.64</v>
      </c>
      <c r="I424" s="31" t="n">
        <v>4473822</v>
      </c>
      <c r="J424" s="31" t="inlineStr">
        <is>
          <t>543248</t>
        </is>
      </c>
    </row>
    <row r="425">
      <c r="A425" s="31" t="inlineStr">
        <is>
          <t>LLOYDSENGG</t>
        </is>
      </c>
      <c r="B425" s="31" t="inlineStr">
        <is>
          <t>Lloyds Engineering Works Ltd</t>
        </is>
      </c>
      <c r="C425" s="31" t="inlineStr">
        <is>
          <t>industrials</t>
        </is>
      </c>
      <c r="D425" s="31" t="inlineStr">
        <is>
          <t>engineering</t>
        </is>
      </c>
      <c r="E425" s="31" t="inlineStr">
        <is>
          <t>midcap</t>
        </is>
      </c>
      <c r="F425" s="31" t="n">
        <v>12807.15</v>
      </c>
      <c r="G425" s="31" t="n">
        <v>84.2</v>
      </c>
      <c r="H425" s="31" t="n">
        <v>-2.69</v>
      </c>
      <c r="I425" s="31" t="n">
        <v>10410715</v>
      </c>
      <c r="J425" s="31" t="inlineStr">
        <is>
          <t>539992</t>
        </is>
      </c>
    </row>
    <row r="426">
      <c r="A426" s="31" t="inlineStr">
        <is>
          <t>INOXINDIA</t>
        </is>
      </c>
      <c r="B426" s="31" t="inlineStr">
        <is>
          <t>Inox India Ltd</t>
        </is>
      </c>
      <c r="C426" s="31" t="inlineStr">
        <is>
          <t>industrials</t>
        </is>
      </c>
      <c r="D426" s="31" t="inlineStr">
        <is>
          <t>packaging</t>
        </is>
      </c>
      <c r="E426" s="31" t="inlineStr">
        <is>
          <t>midcap</t>
        </is>
      </c>
      <c r="F426" s="31" t="n">
        <v>17775.12</v>
      </c>
      <c r="G426" s="31" t="n">
        <v>1905</v>
      </c>
      <c r="H426" s="31" t="n">
        <v>-2.73</v>
      </c>
      <c r="I426" s="31" t="n">
        <v>244636</v>
      </c>
      <c r="J426" s="31" t="inlineStr">
        <is>
          <t>544046</t>
        </is>
      </c>
    </row>
    <row r="427">
      <c r="A427" s="31" t="inlineStr">
        <is>
          <t>NITINSPIN</t>
        </is>
      </c>
      <c r="B427" s="31" t="inlineStr">
        <is>
          <t>Nitin Spinners Limited</t>
        </is>
      </c>
      <c r="C427" s="31" t="inlineStr">
        <is>
          <t>textiles</t>
        </is>
      </c>
      <c r="D427" s="31" t="inlineStr">
        <is>
          <t>textiles - cotton/blended</t>
        </is>
      </c>
      <c r="E427" s="31" t="inlineStr">
        <is>
          <t>smallcap</t>
        </is>
      </c>
      <c r="F427" s="31" t="n">
        <v>3215.78</v>
      </c>
      <c r="G427" s="31" t="n">
        <v>556.15</v>
      </c>
      <c r="H427" s="31" t="n">
        <v>-2.77</v>
      </c>
      <c r="I427" s="31" t="n">
        <v>139471</v>
      </c>
      <c r="J427" s="31" t="inlineStr">
        <is>
          <t>532698</t>
        </is>
      </c>
    </row>
    <row r="428">
      <c r="A428" s="31" t="inlineStr">
        <is>
          <t>BOROSCI</t>
        </is>
      </c>
      <c r="B428" s="31" t="inlineStr">
        <is>
          <t>Borosil Scientific Ltd</t>
        </is>
      </c>
      <c r="C428" s="31" t="inlineStr">
        <is>
          <t>building materials</t>
        </is>
      </c>
      <c r="D428" s="31" t="inlineStr">
        <is>
          <t>glass &amp; glass products</t>
        </is>
      </c>
      <c r="E428" s="31" t="inlineStr">
        <is>
          <t>smallcap</t>
        </is>
      </c>
      <c r="F428" s="31" t="n">
        <v>1543.41</v>
      </c>
      <c r="G428" s="31" t="n">
        <v>168.58</v>
      </c>
      <c r="H428" s="31" t="n">
        <v>-2.85</v>
      </c>
      <c r="I428" s="31" t="n">
        <v>349146</v>
      </c>
      <c r="J428" s="31" t="inlineStr">
        <is>
          <t>544184</t>
        </is>
      </c>
    </row>
    <row r="429">
      <c r="A429" s="31" t="inlineStr">
        <is>
          <t>WELCORP</t>
        </is>
      </c>
      <c r="B429" s="31" t="inlineStr">
        <is>
          <t>Welspun Corp Limited</t>
        </is>
      </c>
      <c r="C429" s="31" t="inlineStr">
        <is>
          <t>industrials</t>
        </is>
      </c>
      <c r="D429" s="31" t="inlineStr">
        <is>
          <t>steel - large</t>
        </is>
      </c>
      <c r="E429" s="31" t="inlineStr">
        <is>
          <t>largecap</t>
        </is>
      </c>
      <c r="F429" s="31" t="n">
        <v>40146.3</v>
      </c>
      <c r="G429" s="31" t="n">
        <v>1477.6</v>
      </c>
      <c r="H429" s="31" t="n">
        <v>-2.91</v>
      </c>
      <c r="I429" s="31" t="n">
        <v>776745</v>
      </c>
      <c r="J429" s="31" t="inlineStr">
        <is>
          <t>532144</t>
        </is>
      </c>
    </row>
    <row r="430">
      <c r="A430" s="31" t="inlineStr">
        <is>
          <t>BLISSGVS</t>
        </is>
      </c>
      <c r="B430" s="31" t="inlineStr">
        <is>
          <t>Bliss Gvs Pharma Limited</t>
        </is>
      </c>
      <c r="C430" s="31" t="inlineStr">
        <is>
          <t>healthcare</t>
        </is>
      </c>
      <c r="D430" s="31" t="inlineStr">
        <is>
          <t>pharmaceuticals - indian - formulations</t>
        </is>
      </c>
      <c r="E430" s="31" t="inlineStr">
        <is>
          <t>midcap</t>
        </is>
      </c>
      <c r="F430" s="31" t="n">
        <v>5708.37</v>
      </c>
      <c r="G430" s="31" t="n">
        <v>523.55</v>
      </c>
      <c r="H430" s="31" t="n">
        <v>-2.97</v>
      </c>
      <c r="I430" s="31" t="n">
        <v>799348</v>
      </c>
      <c r="J430" s="31" t="inlineStr">
        <is>
          <t>506197</t>
        </is>
      </c>
    </row>
    <row r="431">
      <c r="A431" s="31" t="inlineStr">
        <is>
          <t>GUFICBIO</t>
        </is>
      </c>
      <c r="B431" s="31" t="inlineStr">
        <is>
          <t>Gufic Biosciences Limited</t>
        </is>
      </c>
      <c r="C431" s="31" t="inlineStr">
        <is>
          <t>healthcare</t>
        </is>
      </c>
      <c r="D431" s="31" t="inlineStr">
        <is>
          <t>pharmaceuticals - indian - bulk drugs &amp; formln</t>
        </is>
      </c>
      <c r="E431" s="31" t="inlineStr">
        <is>
          <t>smallcap</t>
        </is>
      </c>
      <c r="F431" s="31" t="n">
        <v>4082</v>
      </c>
      <c r="G431" s="31" t="n">
        <v>394.35</v>
      </c>
      <c r="H431" s="31" t="n">
        <v>-3.12</v>
      </c>
      <c r="I431" s="31" t="n">
        <v>479905</v>
      </c>
      <c r="J431" s="31" t="inlineStr">
        <is>
          <t>509079</t>
        </is>
      </c>
    </row>
    <row r="432">
      <c r="A432" s="31" t="inlineStr">
        <is>
          <t>VADILALIND</t>
        </is>
      </c>
      <c r="B432" s="31" t="inlineStr">
        <is>
          <t>Vadilal Industries Limited</t>
        </is>
      </c>
      <c r="C432" s="31" t="inlineStr">
        <is>
          <t>fmcg</t>
        </is>
      </c>
      <c r="D432" s="31" t="inlineStr">
        <is>
          <t>food - processing - indian</t>
        </is>
      </c>
      <c r="E432" s="31" t="inlineStr">
        <is>
          <t>smallcap</t>
        </is>
      </c>
      <c r="F432" s="31" t="n">
        <v>4520</v>
      </c>
      <c r="G432" s="31" t="n">
        <v>6085.5</v>
      </c>
      <c r="H432" s="31" t="n">
        <v>-3.23</v>
      </c>
      <c r="I432" s="31" t="n">
        <v>20782</v>
      </c>
      <c r="J432" s="31" t="inlineStr">
        <is>
          <t>519156</t>
        </is>
      </c>
    </row>
    <row r="433">
      <c r="A433" s="31" t="inlineStr">
        <is>
          <t>KIRLOSBROS</t>
        </is>
      </c>
      <c r="B433" s="31" t="inlineStr">
        <is>
          <t>Kirloskar Brothers Limited</t>
        </is>
      </c>
      <c r="C433" s="31" t="inlineStr">
        <is>
          <t>industrials</t>
        </is>
      </c>
      <c r="D433" s="31" t="inlineStr">
        <is>
          <t>pumps</t>
        </is>
      </c>
      <c r="E433" s="31" t="inlineStr">
        <is>
          <t>midcap</t>
        </is>
      </c>
      <c r="F433" s="31" t="n">
        <v>16305.83</v>
      </c>
      <c r="G433" s="31" t="n">
        <v>1984.5</v>
      </c>
      <c r="H433" s="31" t="n">
        <v>-3.36</v>
      </c>
      <c r="I433" s="31" t="n">
        <v>122331</v>
      </c>
      <c r="J433" s="31" t="inlineStr">
        <is>
          <t>500241</t>
        </is>
      </c>
    </row>
    <row r="434">
      <c r="A434" s="31" t="inlineStr">
        <is>
          <t>NGLFINE</t>
        </is>
      </c>
      <c r="B434" s="31" t="inlineStr">
        <is>
          <t>NGL Fine Chem Ltd</t>
        </is>
      </c>
      <c r="C434" s="31" t="inlineStr">
        <is>
          <t>healthcare</t>
        </is>
      </c>
      <c r="D434" s="31" t="inlineStr">
        <is>
          <t>pharmaceuticals - indian - bulk drugs</t>
        </is>
      </c>
      <c r="E434" s="31" t="inlineStr">
        <is>
          <t>smallcap</t>
        </is>
      </c>
      <c r="F434" s="31" t="n">
        <v>1919.82</v>
      </c>
      <c r="G434" s="31" t="n">
        <v>3002.7</v>
      </c>
      <c r="H434" s="31" t="n">
        <v>-3.37</v>
      </c>
      <c r="I434" s="31" t="n">
        <v>7782</v>
      </c>
      <c r="J434" s="31" t="inlineStr">
        <is>
          <t>524774</t>
        </is>
      </c>
    </row>
    <row r="435">
      <c r="A435" s="31" t="inlineStr">
        <is>
          <t>PANACEABIO</t>
        </is>
      </c>
      <c r="B435" s="31" t="inlineStr">
        <is>
          <t>Panacea Biotec Limited</t>
        </is>
      </c>
      <c r="C435" s="31" t="inlineStr">
        <is>
          <t>healthcare</t>
        </is>
      </c>
      <c r="D435" s="31" t="inlineStr">
        <is>
          <t>pharmaceuticals - indian - bulk drugs &amp; formln</t>
        </is>
      </c>
      <c r="E435" s="31" t="inlineStr">
        <is>
          <t>smallcap</t>
        </is>
      </c>
      <c r="F435" s="31" t="n">
        <v>3465.87</v>
      </c>
      <c r="G435" s="31" t="n">
        <v>543.05</v>
      </c>
      <c r="H435" s="31" t="n">
        <v>-4.03</v>
      </c>
      <c r="I435" s="31" t="n">
        <v>972677</v>
      </c>
      <c r="J435" s="31" t="inlineStr">
        <is>
          <t>531349</t>
        </is>
      </c>
    </row>
    <row r="436">
      <c r="A436" s="31" t="inlineStr">
        <is>
          <t>VENUSREM</t>
        </is>
      </c>
      <c r="B436" s="31" t="inlineStr">
        <is>
          <t>Venus Remedies Limited</t>
        </is>
      </c>
      <c r="C436" s="31" t="inlineStr">
        <is>
          <t>healthcare</t>
        </is>
      </c>
      <c r="D436" s="31" t="inlineStr">
        <is>
          <t>pharmaceuticals - indian - formulations</t>
        </is>
      </c>
      <c r="E436" s="31" t="inlineStr">
        <is>
          <t>smallcap</t>
        </is>
      </c>
      <c r="F436" s="31" t="n">
        <v>2450.84</v>
      </c>
      <c r="G436" s="31" t="n">
        <v>1751.9</v>
      </c>
      <c r="H436" s="31" t="n">
        <v>-4.45</v>
      </c>
      <c r="I436" s="31" t="n">
        <v>95835</v>
      </c>
      <c r="J436" s="31" t="inlineStr">
        <is>
          <t>526953</t>
        </is>
      </c>
    </row>
    <row r="437">
      <c r="A437" s="31" t="inlineStr">
        <is>
          <t>KMEW</t>
        </is>
      </c>
      <c r="B437" s="31" t="inlineStr">
        <is>
          <t>Knowledge Marine &amp; Engineering Works Ltd</t>
        </is>
      </c>
      <c r="C437" s="31" t="inlineStr">
        <is>
          <t>transportation</t>
        </is>
      </c>
      <c r="D437" s="31" t="inlineStr">
        <is>
          <t>miscellaneous</t>
        </is>
      </c>
      <c r="E437" s="31" t="inlineStr">
        <is>
          <t>midcap</t>
        </is>
      </c>
      <c r="F437" s="31" t="n">
        <v>5602.35</v>
      </c>
      <c r="G437" s="31" t="n">
        <v>2189.1</v>
      </c>
      <c r="H437" s="31" t="n">
        <v>-4.49</v>
      </c>
      <c r="I437" s="31" t="n">
        <v>124997</v>
      </c>
      <c r="J437" s="31" t="inlineStr">
        <is>
          <t>543273</t>
        </is>
      </c>
    </row>
    <row r="438">
      <c r="A438" s="31" t="inlineStr">
        <is>
          <t>ARVIND</t>
        </is>
      </c>
      <c r="B438" s="31" t="inlineStr">
        <is>
          <t>Arvind Limited</t>
        </is>
      </c>
      <c r="C438" s="31" t="inlineStr">
        <is>
          <t>textiles</t>
        </is>
      </c>
      <c r="D438" s="31" t="inlineStr">
        <is>
          <t>textiles - cotton/blended</t>
        </is>
      </c>
      <c r="E438" s="31" t="inlineStr">
        <is>
          <t>midcap</t>
        </is>
      </c>
      <c r="F438" s="31" t="n">
        <v>15388.75</v>
      </c>
      <c r="G438" s="31" t="n">
        <v>560.35</v>
      </c>
      <c r="H438" s="31" t="n">
        <v>-4.56</v>
      </c>
      <c r="I438" s="31" t="n">
        <v>1110475</v>
      </c>
      <c r="J438" s="31" t="inlineStr">
        <is>
          <t>500101</t>
        </is>
      </c>
    </row>
    <row r="439">
      <c r="A439" s="31" t="inlineStr">
        <is>
          <t>NRBBEARING</t>
        </is>
      </c>
      <c r="B439" s="31" t="inlineStr">
        <is>
          <t>Nrb Bearing Limited</t>
        </is>
      </c>
      <c r="C439" s="31" t="inlineStr">
        <is>
          <t>industrials</t>
        </is>
      </c>
      <c r="D439" s="31" t="inlineStr">
        <is>
          <t>bearings</t>
        </is>
      </c>
      <c r="E439" s="31" t="inlineStr">
        <is>
          <t>smallcap</t>
        </is>
      </c>
      <c r="F439" s="31" t="n">
        <v>4303.36</v>
      </c>
      <c r="G439" s="31" t="n">
        <v>423.65</v>
      </c>
      <c r="H439" s="31" t="n">
        <v>-4.58</v>
      </c>
      <c r="I439" s="31" t="n">
        <v>860559</v>
      </c>
      <c r="J439" s="31" t="inlineStr">
        <is>
          <t>530367</t>
        </is>
      </c>
    </row>
    <row r="440">
      <c r="A440" s="31" t="inlineStr">
        <is>
          <t>SHILPAMED</t>
        </is>
      </c>
      <c r="B440" s="31" t="inlineStr">
        <is>
          <t>Shilpa Medicare Limited</t>
        </is>
      </c>
      <c r="C440" s="31" t="inlineStr">
        <is>
          <t>healthcare</t>
        </is>
      </c>
      <c r="D440" s="31" t="inlineStr">
        <is>
          <t>pharmaceuticals - indian - formulations</t>
        </is>
      </c>
      <c r="E440" s="31" t="inlineStr">
        <is>
          <t>midcap</t>
        </is>
      </c>
      <c r="F440" s="31" t="n">
        <v>11703.62</v>
      </c>
      <c r="G440" s="31" t="n">
        <v>570.75</v>
      </c>
      <c r="H440" s="31" t="n">
        <v>-4.62</v>
      </c>
      <c r="I440" s="31" t="n">
        <v>1977694</v>
      </c>
      <c r="J440" s="31" t="inlineStr">
        <is>
          <t>530549</t>
        </is>
      </c>
    </row>
    <row r="441">
      <c r="A441" s="31" t="inlineStr">
        <is>
          <t>PANACHE</t>
        </is>
      </c>
      <c r="B441" s="31" t="inlineStr">
        <is>
          <t>Panache Digilife Ltd</t>
        </is>
      </c>
      <c r="C441" s="31" t="inlineStr">
        <is>
          <t>i.t</t>
        </is>
      </c>
      <c r="D441" s="31" t="inlineStr">
        <is>
          <t>computers - hardware</t>
        </is>
      </c>
      <c r="E441" s="31" t="inlineStr">
        <is>
          <t>smallcap</t>
        </is>
      </c>
      <c r="F441" s="31" t="n">
        <v>692.21</v>
      </c>
      <c r="G441" s="31" t="n">
        <v>411.25</v>
      </c>
      <c r="H441" s="31" t="n">
        <v>-4.86</v>
      </c>
      <c r="I441" s="31" t="n">
        <v>36627</v>
      </c>
      <c r="J441" s="31" t="inlineStr">
        <is>
          <t>538424</t>
        </is>
      </c>
    </row>
    <row r="442">
      <c r="A442" s="31" t="inlineStr">
        <is>
          <t>RAMCOSYS</t>
        </is>
      </c>
      <c r="B442" s="31" t="inlineStr">
        <is>
          <t>Ramco Systems Limited</t>
        </is>
      </c>
      <c r="C442" s="31" t="inlineStr">
        <is>
          <t>i.t</t>
        </is>
      </c>
      <c r="D442" s="31" t="inlineStr">
        <is>
          <t>computers - software - medium / small</t>
        </is>
      </c>
      <c r="E442" s="31" t="inlineStr">
        <is>
          <t>smallcap</t>
        </is>
      </c>
      <c r="F442" s="31" t="n">
        <v>3127.82</v>
      </c>
      <c r="G442" s="31" t="n">
        <v>795.3</v>
      </c>
      <c r="H442" s="31" t="n">
        <v>-4.87</v>
      </c>
      <c r="I442" s="31" t="n">
        <v>6237810</v>
      </c>
      <c r="J442" s="31" t="inlineStr">
        <is>
          <t>532370</t>
        </is>
      </c>
    </row>
    <row r="443">
      <c r="A443" s="31" t="inlineStr">
        <is>
          <t>BHAGYANGR</t>
        </is>
      </c>
      <c r="B443" s="31" t="inlineStr">
        <is>
          <t>Bhagyanagar India</t>
        </is>
      </c>
      <c r="C443" s="31" t="inlineStr">
        <is>
          <t>power &amp; utilities</t>
        </is>
      </c>
      <c r="D443" s="31" t="inlineStr">
        <is>
          <t>power generation and supply</t>
        </is>
      </c>
      <c r="E443" s="31" t="inlineStr">
        <is>
          <t>smallcap</t>
        </is>
      </c>
      <c r="F443" s="31" t="n">
        <v>1381.7</v>
      </c>
      <c r="G443" s="31" t="n">
        <v>410.3</v>
      </c>
      <c r="H443" s="31" t="n">
        <v>-4.99</v>
      </c>
      <c r="I443" s="31" t="n">
        <v>245208</v>
      </c>
      <c r="J443" s="31" t="inlineStr">
        <is>
          <t>512296</t>
        </is>
      </c>
    </row>
    <row r="444">
      <c r="A444" s="31" t="inlineStr">
        <is>
          <t>MANORAMA</t>
        </is>
      </c>
      <c r="B444" s="31" t="inlineStr">
        <is>
          <t>Manorama Industries Ltd</t>
        </is>
      </c>
      <c r="C444" s="31" t="inlineStr">
        <is>
          <t>fmcg</t>
        </is>
      </c>
      <c r="D444" s="31" t="inlineStr">
        <is>
          <t>food - processing - indian</t>
        </is>
      </c>
      <c r="E444" s="31" t="inlineStr">
        <is>
          <t>midcap</t>
        </is>
      </c>
      <c r="F444" s="31" t="n">
        <v>9883.549999999999</v>
      </c>
      <c r="G444" s="31" t="n">
        <v>1565</v>
      </c>
      <c r="H444" s="31" t="n">
        <v>-5.46</v>
      </c>
      <c r="I444" s="31" t="n">
        <v>390502</v>
      </c>
      <c r="J444" s="31" t="inlineStr">
        <is>
          <t>541974</t>
        </is>
      </c>
    </row>
    <row r="445">
      <c r="A445" s="31" t="inlineStr">
        <is>
          <t>THANGAMAYL</t>
        </is>
      </c>
      <c r="B445" s="31" t="inlineStr">
        <is>
          <t>Thangamayil Jewellery Limited</t>
        </is>
      </c>
      <c r="C445" s="31" t="inlineStr">
        <is>
          <t>consumer discretionary</t>
        </is>
      </c>
      <c r="D445" s="31" t="inlineStr">
        <is>
          <t>diamond cutting / jewellery</t>
        </is>
      </c>
      <c r="E445" s="31" t="inlineStr">
        <is>
          <t>midcap</t>
        </is>
      </c>
      <c r="F445" s="31" t="n">
        <v>19886.9</v>
      </c>
      <c r="G445" s="31" t="n">
        <v>5945.5</v>
      </c>
      <c r="H445" s="31" t="n">
        <v>-7.08</v>
      </c>
      <c r="I445" s="31" t="n">
        <v>462189</v>
      </c>
      <c r="J445" s="31" t="inlineStr">
        <is>
          <t>533158</t>
        </is>
      </c>
    </row>
  </sheetData>
  <autoFilter ref="A1:J4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SATIN</t>
        </is>
      </c>
      <c r="E2" s="31" t="inlineStr">
        <is>
          <t>Satin Creditcare Network Limited</t>
        </is>
      </c>
      <c r="F2" s="31" t="inlineStr">
        <is>
          <t>Finance &amp; Investments - Microfinance</t>
        </is>
      </c>
      <c r="G2" s="31" t="n">
        <v>2</v>
      </c>
      <c r="H2" s="31" t="inlineStr">
        <is>
          <t>No</t>
        </is>
      </c>
      <c r="I2" s="31" t="inlineStr">
        <is>
          <t>Yes</t>
        </is>
      </c>
      <c r="J2" s="31" t="n">
        <v>18</v>
      </c>
      <c r="K2" s="31" t="n">
        <v>27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MAHABANK</t>
        </is>
      </c>
      <c r="E3" s="31" t="inlineStr">
        <is>
          <t>Bank Of Maharashtra Ltd</t>
        </is>
      </c>
      <c r="F3" s="31" t="inlineStr">
        <is>
          <t>Banks - PSU</t>
        </is>
      </c>
      <c r="G3" s="31" t="n">
        <v>2</v>
      </c>
      <c r="H3" s="31" t="inlineStr">
        <is>
          <t>No</t>
        </is>
      </c>
      <c r="I3" s="31" t="inlineStr">
        <is>
          <t>Yes</t>
        </is>
      </c>
      <c r="J3" s="31" t="n">
        <v>17</v>
      </c>
      <c r="K3" s="31" t="n">
        <v>19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BAJAJCON</t>
        </is>
      </c>
      <c r="E4" s="31" t="inlineStr">
        <is>
          <t>Bajaj Consumer Care Ltd</t>
        </is>
      </c>
      <c r="F4" s="31" t="inlineStr">
        <is>
          <t>FMCG - Personal Care</t>
        </is>
      </c>
      <c r="G4" s="31" t="n">
        <v>2</v>
      </c>
      <c r="H4" s="31" t="inlineStr">
        <is>
          <t>No</t>
        </is>
      </c>
      <c r="I4" s="31" t="inlineStr">
        <is>
          <t>Yes</t>
        </is>
      </c>
      <c r="J4" s="31" t="n">
        <v>20</v>
      </c>
      <c r="K4" s="31" t="n">
        <v>27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RPTECH</t>
        </is>
      </c>
      <c r="E5" s="31" t="inlineStr">
        <is>
          <t>Rashi Peripherals Ltd</t>
        </is>
      </c>
      <c r="F5" s="31" t="inlineStr">
        <is>
          <t>Trading</t>
        </is>
      </c>
      <c r="G5" s="31" t="n">
        <v>2</v>
      </c>
      <c r="H5" s="31" t="inlineStr">
        <is>
          <t>No</t>
        </is>
      </c>
      <c r="I5" s="31" t="inlineStr">
        <is>
          <t>Yes</t>
        </is>
      </c>
      <c r="J5" s="31" t="n">
        <v>25</v>
      </c>
      <c r="K5" s="31" t="n">
        <v>28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PAISALO</t>
        </is>
      </c>
      <c r="E6" s="31" t="inlineStr">
        <is>
          <t>Paisalo Digital Ltd</t>
        </is>
      </c>
      <c r="F6" s="31" t="inlineStr">
        <is>
          <t>Finance - Capital Markets - Brokers</t>
        </is>
      </c>
      <c r="G6" s="31" t="n">
        <v>2</v>
      </c>
      <c r="H6" s="31" t="inlineStr">
        <is>
          <t>No</t>
        </is>
      </c>
      <c r="I6" s="31" t="inlineStr">
        <is>
          <t>Yes</t>
        </is>
      </c>
      <c r="J6" s="31" t="n">
        <v>19</v>
      </c>
      <c r="K6" s="31" t="n">
        <v>30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GLAND</t>
        </is>
      </c>
      <c r="E7" s="31" t="inlineStr">
        <is>
          <t>Gland Pharma Ltd</t>
        </is>
      </c>
      <c r="F7" s="31" t="inlineStr">
        <is>
          <t>Pharma - API &amp; CRAMS</t>
        </is>
      </c>
      <c r="G7" s="31" t="n">
        <v>2</v>
      </c>
      <c r="H7" s="31" t="inlineStr">
        <is>
          <t>No</t>
        </is>
      </c>
      <c r="I7" s="31" t="inlineStr">
        <is>
          <t>Yes</t>
        </is>
      </c>
      <c r="J7" s="31" t="n">
        <v>16</v>
      </c>
      <c r="K7" s="31" t="n">
        <v>24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IOLCP</t>
        </is>
      </c>
      <c r="E8" s="31" t="inlineStr">
        <is>
          <t>Iol Chemicals And Pharmaceuticals Limited</t>
        </is>
      </c>
      <c r="F8" s="31" t="inlineStr">
        <is>
          <t>Pharma - API &amp; CRAMS</t>
        </is>
      </c>
      <c r="G8" s="31" t="n">
        <v>2</v>
      </c>
      <c r="H8" s="31" t="inlineStr">
        <is>
          <t>No</t>
        </is>
      </c>
      <c r="I8" s="31" t="inlineStr">
        <is>
          <t>Yes</t>
        </is>
      </c>
      <c r="J8" s="31" t="n">
        <v>17</v>
      </c>
      <c r="K8" s="31" t="n">
        <v>28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RANEHOLDIN</t>
        </is>
      </c>
      <c r="E9" s="31" t="inlineStr">
        <is>
          <t>Rane Holdings Limited</t>
        </is>
      </c>
      <c r="F9" s="31" t="inlineStr">
        <is>
          <t>Finance - Holding Company</t>
        </is>
      </c>
      <c r="G9" s="31" t="n">
        <v>2</v>
      </c>
      <c r="H9" s="31" t="inlineStr">
        <is>
          <t>No</t>
        </is>
      </c>
      <c r="I9" s="31" t="inlineStr">
        <is>
          <t>Yes</t>
        </is>
      </c>
      <c r="J9" s="31" t="n">
        <v>19</v>
      </c>
      <c r="K9" s="31" t="n">
        <v>21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RADICO</t>
        </is>
      </c>
      <c r="E10" s="31" t="inlineStr">
        <is>
          <t>Radico Khaitan Limited</t>
        </is>
      </c>
      <c r="F10" s="31" t="inlineStr">
        <is>
          <t>Alcoholic Beverages</t>
        </is>
      </c>
      <c r="G10" s="31" t="n">
        <v>2</v>
      </c>
      <c r="H10" s="31" t="inlineStr">
        <is>
          <t>No</t>
        </is>
      </c>
      <c r="I10" s="31" t="inlineStr">
        <is>
          <t>Yes</t>
        </is>
      </c>
      <c r="J10" s="31" t="n">
        <v>15</v>
      </c>
      <c r="K10" s="31" t="n">
        <v>25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IBULLSLTD</t>
        </is>
      </c>
      <c r="E11" s="31" t="inlineStr">
        <is>
          <t>Indiabulls Limited</t>
        </is>
      </c>
      <c r="F11" s="31" t="inlineStr">
        <is>
          <t>Diversified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18</v>
      </c>
      <c r="K11" s="31" t="n">
        <v>30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THANGAMAYL</t>
        </is>
      </c>
      <c r="E12" s="31" t="inlineStr">
        <is>
          <t>Thangamayil Jewellery Limited</t>
        </is>
      </c>
      <c r="F12" s="31" t="inlineStr">
        <is>
          <t>Diamond, Gems &amp; Jewellery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21</v>
      </c>
      <c r="K12" s="31" t="n">
        <v>28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ATHERENERG</t>
        </is>
      </c>
      <c r="E13" s="31" t="inlineStr">
        <is>
          <t>Ather Energy Ltd</t>
        </is>
      </c>
      <c r="F13" s="31" t="inlineStr">
        <is>
          <t>Auto - 2 &amp; 3 Wheelers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16</v>
      </c>
      <c r="K13" s="31" t="n">
        <v>23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BLISSGVS</t>
        </is>
      </c>
      <c r="E14" s="31" t="inlineStr">
        <is>
          <t>Bliss Gvs Pharma Limited</t>
        </is>
      </c>
      <c r="F14" s="31" t="inlineStr">
        <is>
          <t>Pharma - Formulators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17</v>
      </c>
      <c r="K14" s="31" t="n">
        <v>30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CUPID</t>
        </is>
      </c>
      <c r="E15" s="31" t="inlineStr">
        <is>
          <t>Cupid Limited</t>
        </is>
      </c>
      <c r="F15" s="31" t="inlineStr">
        <is>
          <t>Contraceptives/Protectives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20</v>
      </c>
      <c r="K15" s="31" t="n">
        <v>30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CGCL</t>
        </is>
      </c>
      <c r="E16" s="31" t="inlineStr">
        <is>
          <t>Capri Global Capital Limited</t>
        </is>
      </c>
      <c r="F16" s="31" t="inlineStr">
        <is>
          <t>Finance &amp; Investments - Gold Loan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17</v>
      </c>
      <c r="K16" s="31" t="n">
        <v>28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AEGISLOG</t>
        </is>
      </c>
      <c r="E17" s="31" t="inlineStr">
        <is>
          <t>Aegis Logistics Ltd</t>
        </is>
      </c>
      <c r="F17" s="31" t="inlineStr">
        <is>
          <t>Logistics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25</v>
      </c>
      <c r="K17" s="31" t="n">
        <v>24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CEMPRO</t>
        </is>
      </c>
      <c r="E18" s="31" t="inlineStr">
        <is>
          <t>Cemindia Projects Ltd</t>
        </is>
      </c>
      <c r="F18" s="31" t="inlineStr">
        <is>
          <t>Infra - Construction &amp; Contracting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18</v>
      </c>
      <c r="K18" s="31" t="n">
        <v>30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SYRMA</t>
        </is>
      </c>
      <c r="E19" s="31" t="inlineStr">
        <is>
          <t>Syrma SGS Technology Ltd</t>
        </is>
      </c>
      <c r="F19" s="31" t="inlineStr">
        <is>
          <t>Consumer Electronics - EMS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16</v>
      </c>
      <c r="K19" s="31" t="n">
        <v>30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ASTRAMICRO</t>
        </is>
      </c>
      <c r="E20" s="31" t="inlineStr">
        <is>
          <t>Astra Microwave Products Limited</t>
        </is>
      </c>
      <c r="F20" s="31" t="inlineStr">
        <is>
          <t>Aerospace &amp; Defence - Equipments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18</v>
      </c>
      <c r="K20" s="31" t="n">
        <v>30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PGIL</t>
        </is>
      </c>
      <c r="E21" s="31" t="inlineStr">
        <is>
          <t>Pearl Global Industries Limited</t>
        </is>
      </c>
      <c r="F21" s="31" t="inlineStr">
        <is>
          <t>Textiles - Readymade Apparel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18</v>
      </c>
      <c r="K21" s="31" t="n">
        <v>25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MAYURUNIQ</t>
        </is>
      </c>
      <c r="E22" s="31" t="inlineStr">
        <is>
          <t>Mayur Uniquoters Ltd</t>
        </is>
      </c>
      <c r="F22" s="31" t="inlineStr">
        <is>
          <t>Plastics - Plastic &amp; Plastic Products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16</v>
      </c>
      <c r="K22" s="31" t="n">
        <v>30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SENORES</t>
        </is>
      </c>
      <c r="E23" s="31" t="inlineStr">
        <is>
          <t>Senores Pharmaceuticals Ltd</t>
        </is>
      </c>
      <c r="F23" s="31" t="inlineStr">
        <is>
          <t>Pharma - API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19</v>
      </c>
      <c r="K23" s="31" t="n">
        <v>23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ANANDRATHI</t>
        </is>
      </c>
      <c r="E24" s="31" t="inlineStr">
        <is>
          <t>Anand Rathi Wealth Ltd</t>
        </is>
      </c>
      <c r="F24" s="31" t="inlineStr">
        <is>
          <t>Finance - Capital Markets - Wealth Management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18</v>
      </c>
      <c r="K24" s="31" t="n">
        <v>3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RISHABH</t>
        </is>
      </c>
      <c r="E25" s="31" t="inlineStr">
        <is>
          <t>Rishabh Instruments Ltd</t>
        </is>
      </c>
      <c r="F25" s="31" t="inlineStr">
        <is>
          <t>Capital Goods - Electric General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16</v>
      </c>
      <c r="K25" s="31" t="n">
        <v>22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AVALON</t>
        </is>
      </c>
      <c r="E26" s="31" t="inlineStr">
        <is>
          <t>Avalon Technologies Ltd</t>
        </is>
      </c>
      <c r="F26" s="31" t="inlineStr">
        <is>
          <t>Consumer Electronics - EMS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19</v>
      </c>
      <c r="K26" s="31" t="n">
        <v>30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RRKABEL</t>
        </is>
      </c>
      <c r="E27" s="31" t="inlineStr">
        <is>
          <t>R R Kabel Ltd</t>
        </is>
      </c>
      <c r="F27" s="31" t="inlineStr">
        <is>
          <t>Cables - Power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16</v>
      </c>
      <c r="K27" s="31" t="n">
        <v>30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BHAGYANGR</t>
        </is>
      </c>
      <c r="E28" s="31" t="inlineStr">
        <is>
          <t>Bhagyanagar India</t>
        </is>
      </c>
      <c r="F28" s="31" t="inlineStr">
        <is>
          <t>Recycling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18</v>
      </c>
      <c r="K28" s="31" t="n">
        <v>26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KIRLPNU</t>
        </is>
      </c>
      <c r="E29" s="31" t="inlineStr">
        <is>
          <t>Kirloskar Pneumatic Company Ltd</t>
        </is>
      </c>
      <c r="F29" s="31" t="inlineStr">
        <is>
          <t>Compressors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16</v>
      </c>
      <c r="K29" s="31" t="n">
        <v>28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INDOTECH</t>
        </is>
      </c>
      <c r="E30" s="31" t="inlineStr">
        <is>
          <t>Indo Tech Transformers Limited</t>
        </is>
      </c>
      <c r="F30" s="31" t="inlineStr">
        <is>
          <t>Capital Goods - Transformers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18</v>
      </c>
      <c r="K30" s="31" t="n">
        <v>23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SANGHVIMOV</t>
        </is>
      </c>
      <c r="E31" s="31" t="inlineStr">
        <is>
          <t>Sanghvi Movers Limited</t>
        </is>
      </c>
      <c r="F31" s="31" t="inlineStr">
        <is>
          <t>Capital Goods - EPC/Cranes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17</v>
      </c>
      <c r="K31" s="31" t="n">
        <v>30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RAMCOSYS</t>
        </is>
      </c>
      <c r="E32" s="31" t="inlineStr">
        <is>
          <t>Ramco Systems Limited</t>
        </is>
      </c>
      <c r="F32" s="31" t="inlineStr">
        <is>
          <t>IT Product Companies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24</v>
      </c>
      <c r="K32" s="31" t="n">
        <v>19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SKMEGGPROD</t>
        </is>
      </c>
      <c r="E33" s="31" t="inlineStr">
        <is>
          <t>Skm Egg Products Export (india) Limited</t>
        </is>
      </c>
      <c r="F33" s="31" t="inlineStr">
        <is>
          <t>FMCG - Animal/Polutry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23</v>
      </c>
      <c r="K33" s="31" t="n">
        <v>30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MARKSANS</t>
        </is>
      </c>
      <c r="E34" s="31" t="inlineStr">
        <is>
          <t>Marksans Pharma Limited</t>
        </is>
      </c>
      <c r="F34" s="31" t="inlineStr">
        <is>
          <t>Pharma - Formulators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16</v>
      </c>
      <c r="K34" s="31" t="n">
        <v>30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VADILALIND</t>
        </is>
      </c>
      <c r="E35" s="31" t="inlineStr">
        <is>
          <t>Vadilal Industries Limited</t>
        </is>
      </c>
      <c r="F35" s="31" t="inlineStr">
        <is>
          <t>FMCG - Dairy Products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19</v>
      </c>
      <c r="K35" s="31" t="n">
        <v>25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ACUTAAS</t>
        </is>
      </c>
      <c r="E36" s="31" t="inlineStr">
        <is>
          <t>Acutaas Chemicals Ltd</t>
        </is>
      </c>
      <c r="F36" s="31" t="inlineStr">
        <is>
          <t>Pharma - API &amp; CRAMS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21</v>
      </c>
      <c r="K36" s="31" t="n">
        <v>28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SANSERA</t>
        </is>
      </c>
      <c r="E37" s="31" t="inlineStr">
        <is>
          <t>Sansera Engineering Ltd</t>
        </is>
      </c>
      <c r="F37" s="31" t="inlineStr">
        <is>
          <t>Auto Ancillaries - Diversified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15</v>
      </c>
      <c r="K37" s="31" t="n">
        <v>29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DIFFNKG</t>
        </is>
      </c>
      <c r="E38" s="31" t="inlineStr">
        <is>
          <t>Diffusion Engineers Ltd</t>
        </is>
      </c>
      <c r="F38" s="31" t="inlineStr">
        <is>
          <t>Welding Equipments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18</v>
      </c>
      <c r="K38" s="31" t="n">
        <v>18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PSPPROJECT</t>
        </is>
      </c>
      <c r="E39" s="31" t="inlineStr">
        <is>
          <t>PSP Projects Ltd</t>
        </is>
      </c>
      <c r="F39" s="31" t="inlineStr">
        <is>
          <t>Construction &amp; Contracting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16</v>
      </c>
      <c r="K39" s="31" t="n">
        <v>29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CARTRADE</t>
        </is>
      </c>
      <c r="E40" s="31" t="inlineStr">
        <is>
          <t>Cartrade Tech Ltd</t>
        </is>
      </c>
      <c r="F40" s="31" t="inlineStr">
        <is>
          <t>Platform - Others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17</v>
      </c>
      <c r="K40" s="31" t="n">
        <v>6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MINDACORP</t>
        </is>
      </c>
      <c r="E41" s="31" t="inlineStr">
        <is>
          <t>Minda Corporation Limited</t>
        </is>
      </c>
      <c r="F41" s="31" t="inlineStr">
        <is>
          <t>Auto Ancillaries - Diversified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16</v>
      </c>
      <c r="K41" s="31" t="n">
        <v>30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NAM-INDIA</t>
        </is>
      </c>
      <c r="E42" s="31" t="inlineStr">
        <is>
          <t>Nippon Life India Asset Management Ltd</t>
        </is>
      </c>
      <c r="F42" s="31" t="inlineStr">
        <is>
          <t>Finance - AMC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16</v>
      </c>
      <c r="K42" s="31" t="n">
        <v>22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HAPPYFORGE</t>
        </is>
      </c>
      <c r="E43" s="31" t="inlineStr">
        <is>
          <t>Happy Forgings Ltd</t>
        </is>
      </c>
      <c r="F43" s="31" t="inlineStr">
        <is>
          <t>Castings, Forgings &amp; Fastners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17</v>
      </c>
      <c r="K43" s="31" t="n">
        <v>15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ARVIND</t>
        </is>
      </c>
      <c r="E44" s="31" t="inlineStr">
        <is>
          <t>Arvind Limited</t>
        </is>
      </c>
      <c r="F44" s="31" t="inlineStr">
        <is>
          <t>Textiles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17</v>
      </c>
      <c r="K44" s="31" t="n">
        <v>30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CEIGALL</t>
        </is>
      </c>
      <c r="E45" s="31" t="inlineStr">
        <is>
          <t>Ceigall India Ltd</t>
        </is>
      </c>
      <c r="F45" s="31" t="inlineStr">
        <is>
          <t>Construction - Civil/Turnkey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18</v>
      </c>
      <c r="K45" s="31" t="n">
        <v>28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NYKAA</t>
        </is>
      </c>
      <c r="E46" s="31" t="inlineStr">
        <is>
          <t>FSN E-Commerce Ventures Ltd</t>
        </is>
      </c>
      <c r="F46" s="31" t="inlineStr">
        <is>
          <t>New age - Platform - E-Retail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17</v>
      </c>
      <c r="K46" s="31" t="n">
        <v>14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WABAG</t>
        </is>
      </c>
      <c r="E47" s="31" t="inlineStr">
        <is>
          <t>Va Tech Wabag Limited</t>
        </is>
      </c>
      <c r="F47" s="31" t="inlineStr">
        <is>
          <t>Water Treatment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19</v>
      </c>
      <c r="K47" s="31" t="n">
        <v>29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KERNEX</t>
        </is>
      </c>
      <c r="E48" s="31" t="inlineStr">
        <is>
          <t>Kernex Microsystems (india) Limited</t>
        </is>
      </c>
      <c r="F48" s="31" t="inlineStr">
        <is>
          <t>Railways - Kavach/Springs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19</v>
      </c>
      <c r="K48" s="31" t="n">
        <v>30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PREMEXPLN</t>
        </is>
      </c>
      <c r="E49" s="31" t="inlineStr">
        <is>
          <t>Premier Explosives Limited</t>
        </is>
      </c>
      <c r="F49" s="31" t="inlineStr">
        <is>
          <t>Industrial Explosives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16</v>
      </c>
      <c r="K49" s="31" t="n">
        <v>30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RATEGAIN</t>
        </is>
      </c>
      <c r="E50" s="31" t="inlineStr">
        <is>
          <t>Rategain Travel Technologies Ltd</t>
        </is>
      </c>
      <c r="F50" s="31" t="inlineStr">
        <is>
          <t>IT Product Companies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16</v>
      </c>
      <c r="K50" s="31" t="n">
        <v>30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DIVGIITTS</t>
        </is>
      </c>
      <c r="E51" s="31" t="inlineStr">
        <is>
          <t>Divgi Torqtransfer Systems Ltd</t>
        </is>
      </c>
      <c r="F51" s="31" t="inlineStr">
        <is>
          <t>Auto Ancillaries - Transmission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20</v>
      </c>
      <c r="K51" s="31" t="n">
        <v>30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APOLLO</t>
        </is>
      </c>
      <c r="E52" s="31" t="inlineStr">
        <is>
          <t>Apollo Micro Systems Ltd</t>
        </is>
      </c>
      <c r="F52" s="31" t="inlineStr">
        <is>
          <t>Aerospace &amp; Defence - Equipments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17</v>
      </c>
      <c r="K52" s="31" t="n">
        <v>24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KDDL</t>
        </is>
      </c>
      <c r="E53" s="31" t="inlineStr">
        <is>
          <t>Kddl Limited</t>
        </is>
      </c>
      <c r="F53" s="31" t="inlineStr">
        <is>
          <t>Watches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15</v>
      </c>
      <c r="K53" s="31" t="n">
        <v>30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RPEL</t>
        </is>
      </c>
      <c r="E54" s="31" t="inlineStr">
        <is>
          <t>Raghav Productivity Enhancers Ltd</t>
        </is>
      </c>
      <c r="F54" s="31" t="inlineStr">
        <is>
          <t>Steel Products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16</v>
      </c>
      <c r="K54" s="31" t="n">
        <v>30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RAMCOIND</t>
        </is>
      </c>
      <c r="E55" s="31" t="inlineStr">
        <is>
          <t>Ramco Industries Limited</t>
        </is>
      </c>
      <c r="F55" s="31" t="inlineStr">
        <is>
          <t>Cement Products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16</v>
      </c>
      <c r="K55" s="31" t="n">
        <v>5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HFCL</t>
        </is>
      </c>
      <c r="E56" s="31" t="inlineStr">
        <is>
          <t>HFCL Ltd</t>
        </is>
      </c>
      <c r="F56" s="31" t="inlineStr">
        <is>
          <t>Telecom Services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19</v>
      </c>
      <c r="K56" s="31" t="n">
        <v>29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JAYBARMARU</t>
        </is>
      </c>
      <c r="E57" s="31" t="inlineStr">
        <is>
          <t>Jay Bharat Maruti Limited</t>
        </is>
      </c>
      <c r="F57" s="31" t="inlineStr">
        <is>
          <t>Auto Ancillaries - Diversified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17</v>
      </c>
      <c r="K57" s="31" t="n">
        <v>30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AURUM</t>
        </is>
      </c>
      <c r="E58" s="31" t="inlineStr">
        <is>
          <t>Aurum Proptech Ltd</t>
        </is>
      </c>
      <c r="F58" s="31" t="inlineStr">
        <is>
          <t>IT Enabled Services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21</v>
      </c>
      <c r="K58" s="31" t="n">
        <v>19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BLSE</t>
        </is>
      </c>
      <c r="E59" s="31" t="inlineStr">
        <is>
          <t>BLS E-Services Ltd</t>
        </is>
      </c>
      <c r="F59" s="31" t="inlineStr">
        <is>
          <t>IT - Software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16</v>
      </c>
      <c r="K59" s="31" t="n">
        <v>30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JNKINDIA</t>
        </is>
      </c>
      <c r="E60" s="31" t="inlineStr">
        <is>
          <t>JNK India Ltd</t>
        </is>
      </c>
      <c r="F60" s="31" t="inlineStr">
        <is>
          <t>Capital Goods - Engineering Heavy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19</v>
      </c>
      <c r="K60" s="31" t="n">
        <v>28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OLECTRA</t>
        </is>
      </c>
      <c r="E61" s="31" t="inlineStr">
        <is>
          <t>Olectra Greentech Ltd</t>
        </is>
      </c>
      <c r="F61" s="31" t="inlineStr">
        <is>
          <t>Auto - Bus/LCVs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18</v>
      </c>
      <c r="K61" s="31" t="n">
        <v>10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GMRAIRPORT</t>
        </is>
      </c>
      <c r="E62" s="31" t="inlineStr">
        <is>
          <t>GMR Airports Ltd</t>
        </is>
      </c>
      <c r="F62" s="31" t="inlineStr">
        <is>
          <t>Miscellaneous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17</v>
      </c>
      <c r="K62" s="31" t="n">
        <v>24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SKYGOLD</t>
        </is>
      </c>
      <c r="E63" s="31" t="inlineStr">
        <is>
          <t>Sky Gold Ltd</t>
        </is>
      </c>
      <c r="F63" s="31" t="inlineStr">
        <is>
          <t>Diamond, Gems &amp; Jewellery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16</v>
      </c>
      <c r="K63" s="31" t="n">
        <v>19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KMEW</t>
        </is>
      </c>
      <c r="E64" s="31" t="inlineStr">
        <is>
          <t>Knowledge Marine &amp; Engineering Works Ltd</t>
        </is>
      </c>
      <c r="F64" s="31" t="inlineStr">
        <is>
          <t>Shipping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22</v>
      </c>
      <c r="K64" s="31" t="n">
        <v>11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IKS</t>
        </is>
      </c>
      <c r="E65" s="31" t="inlineStr">
        <is>
          <t>Inventurus Knowledge Solutions Ltd</t>
        </is>
      </c>
      <c r="F65" s="31" t="inlineStr">
        <is>
          <t>IT Enabled Services/Business Process Outsourcing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17</v>
      </c>
      <c r="K65" s="31" t="n">
        <v>19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AEROENTER</t>
        </is>
      </c>
      <c r="E66" s="31" t="inlineStr">
        <is>
          <t>Aeroflex Enterprises Ltd</t>
        </is>
      </c>
      <c r="F66" s="31" t="inlineStr">
        <is>
          <t>Miscellaneous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19</v>
      </c>
      <c r="K66" s="31" t="n">
        <v>23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SIGMAADV</t>
        </is>
      </c>
      <c r="E67" s="31" t="inlineStr">
        <is>
          <t>Sigma Advanced System Ltd</t>
        </is>
      </c>
      <c r="F67" s="31" t="inlineStr">
        <is>
          <t>Aerospace &amp; Defence - Equipments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19</v>
      </c>
      <c r="K67" s="31" t="n">
        <v>30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CHOLAFIN</t>
        </is>
      </c>
      <c r="E68" s="31" t="inlineStr">
        <is>
          <t>Cholamandalam Investment And Finance Company Limited</t>
        </is>
      </c>
      <c r="F68" s="31" t="inlineStr">
        <is>
          <t>Conglomerate Backed NBFC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16</v>
      </c>
      <c r="K68" s="31" t="n">
        <v>13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MACPOWER</t>
        </is>
      </c>
      <c r="E69" s="31" t="inlineStr">
        <is>
          <t>Macpower CNC Machines Ltd</t>
        </is>
      </c>
      <c r="F69" s="31" t="inlineStr">
        <is>
          <t>CNC - Machines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16</v>
      </c>
      <c r="K69" s="31" t="n">
        <v>9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RML</t>
        </is>
      </c>
      <c r="E70" s="31" t="inlineStr">
        <is>
          <t>Rane (madras) Limited</t>
        </is>
      </c>
      <c r="F70" s="31" t="inlineStr">
        <is>
          <t>Auto Ancillaries - Gears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21</v>
      </c>
      <c r="K70" s="31" t="n">
        <v>28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CRAFTSMAN</t>
        </is>
      </c>
      <c r="E71" s="31" t="inlineStr">
        <is>
          <t>Craftsman Automation Ltd</t>
        </is>
      </c>
      <c r="F71" s="31" t="inlineStr">
        <is>
          <t>Auto &amp; Auto Ancl - CV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17</v>
      </c>
      <c r="K71" s="31" t="n">
        <v>29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VIJAYA</t>
        </is>
      </c>
      <c r="E72" s="31" t="inlineStr">
        <is>
          <t>Vijaya Diagnostic Centre Ltd</t>
        </is>
      </c>
      <c r="F72" s="31" t="inlineStr">
        <is>
          <t>Diagnostics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16</v>
      </c>
      <c r="K72" s="31" t="n">
        <v>22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VIYASH</t>
        </is>
      </c>
      <c r="E73" s="31" t="inlineStr">
        <is>
          <t>Viyash Scientific Ltd</t>
        </is>
      </c>
      <c r="F73" s="31" t="inlineStr">
        <is>
          <t>Pharma - Animal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20</v>
      </c>
      <c r="K73" s="31" t="n">
        <v>28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KRISHANA</t>
        </is>
      </c>
      <c r="E74" s="31" t="inlineStr">
        <is>
          <t>Krishana Phoschem Ltd</t>
        </is>
      </c>
      <c r="F74" s="31" t="inlineStr">
        <is>
          <t>Fertilisers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16</v>
      </c>
      <c r="K74" s="31" t="n">
        <v>12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LLOYDSENGG</t>
        </is>
      </c>
      <c r="E75" s="31" t="inlineStr">
        <is>
          <t>Lloyds Engineering Works Ltd</t>
        </is>
      </c>
      <c r="F75" s="31" t="inlineStr">
        <is>
          <t>Capital Goods - Electrical Equipment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15</v>
      </c>
      <c r="K75" s="31" t="n">
        <v>28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MSTCLTD</t>
        </is>
      </c>
      <c r="E76" s="31" t="inlineStr">
        <is>
          <t>MSTC Ltd</t>
        </is>
      </c>
      <c r="F76" s="31" t="inlineStr">
        <is>
          <t>E-Commerce - Platform - Utility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16</v>
      </c>
      <c r="K76" s="31" t="n">
        <v>22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SETL</t>
        </is>
      </c>
      <c r="E77" s="31" t="inlineStr">
        <is>
          <t>Standard Enginnering Technology Ltd</t>
        </is>
      </c>
      <c r="F77" s="31" t="inlineStr">
        <is>
          <t>Engineering - Heavy - Glass - lined Equipment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18</v>
      </c>
      <c r="K77" s="31" t="n">
        <v>13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KOVAI</t>
        </is>
      </c>
      <c r="E78" s="31" t="inlineStr">
        <is>
          <t>Kovai Medical Center &amp; Hospital Ltd</t>
        </is>
      </c>
      <c r="F78" s="31" t="inlineStr">
        <is>
          <t>Hospitals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17</v>
      </c>
      <c r="K78" s="31" t="n">
        <v>26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GALAPREC</t>
        </is>
      </c>
      <c r="E79" s="31" t="inlineStr">
        <is>
          <t>Gala Precision Engineering Ltd</t>
        </is>
      </c>
      <c r="F79" s="31" t="inlineStr">
        <is>
          <t>Castings, Forgings &amp; Fastners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18</v>
      </c>
      <c r="K79" s="31" t="n">
        <v>28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TVSSCS</t>
        </is>
      </c>
      <c r="E80" s="31" t="inlineStr">
        <is>
          <t>TVS Supply Chain Solutions Ltd</t>
        </is>
      </c>
      <c r="F80" s="31" t="inlineStr">
        <is>
          <t>Logistics - Warehousing/Supply Chain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18</v>
      </c>
      <c r="K80" s="31" t="n">
        <v>23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LLOYDSME</t>
        </is>
      </c>
      <c r="E81" s="31" t="inlineStr">
        <is>
          <t>Lloyds Metals &amp; Energy Ltd</t>
        </is>
      </c>
      <c r="F81" s="31" t="inlineStr">
        <is>
          <t>Mining/Minerals - Iron Ore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15</v>
      </c>
      <c r="K81" s="31" t="n">
        <v>16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KAPSTON</t>
        </is>
      </c>
      <c r="E82" s="31" t="inlineStr">
        <is>
          <t>Kapston Services Ltd</t>
        </is>
      </c>
      <c r="F82" s="31" t="inlineStr">
        <is>
          <t>Services - Others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17</v>
      </c>
      <c r="K82" s="31" t="n">
        <v>20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AADHARHFC</t>
        </is>
      </c>
      <c r="E83" s="31" t="inlineStr">
        <is>
          <t>Aadhar Housing Finance Ltd</t>
        </is>
      </c>
      <c r="F83" s="31" t="inlineStr">
        <is>
          <t>Finance - Housing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16</v>
      </c>
      <c r="K83" s="31" t="n">
        <v>13</v>
      </c>
    </row>
  </sheetData>
  <autoFilter ref="A1:K83"/>
  <conditionalFormatting sqref="G2:G8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3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7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IF(B2=0,"",RANK(B2,$B$2:$B$379,0))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BAJAJCON</t>
        </is>
      </c>
      <c r="D2" s="31" t="inlineStr">
        <is>
          <t>Bajaj Consumer Care Ltd</t>
        </is>
      </c>
      <c r="E2" s="31" t="inlineStr">
        <is>
          <t>fmcg</t>
        </is>
      </c>
      <c r="F2" s="31" t="inlineStr">
        <is>
          <t>personal care - indian</t>
        </is>
      </c>
      <c r="G2" s="31" t="inlineStr">
        <is>
          <t>midcap</t>
        </is>
      </c>
      <c r="H2" s="32" t="n">
        <v>7824.04</v>
      </c>
      <c r="I2" s="32" t="n">
        <v>614.55</v>
      </c>
      <c r="J2" s="32" t="n">
        <v>2.6</v>
      </c>
      <c r="K2" s="32" t="n">
        <v>720891</v>
      </c>
      <c r="L2" s="31" t="n">
        <v>91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72.28</v>
      </c>
      <c r="P2" s="32" t="n">
        <v>61.09</v>
      </c>
      <c r="Q2" s="32" t="n">
        <v>485.78</v>
      </c>
      <c r="R2" s="31" t="inlineStr">
        <is>
          <t>Near 52W High Breakout</t>
        </is>
      </c>
      <c r="S2" s="31" t="inlineStr">
        <is>
          <t>Nifty FMCG</t>
        </is>
      </c>
      <c r="T2" s="32" t="n">
        <v>-9</v>
      </c>
      <c r="U2" s="32" t="n">
        <v>178.24</v>
      </c>
      <c r="V2" s="32" t="n">
        <v>205.77</v>
      </c>
      <c r="W2" s="32" t="n">
        <v>39.18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Yes</t>
        </is>
      </c>
      <c r="BS2" s="31">
        <f>IF(BR2="NO",5,0)</f>
        <v/>
      </c>
      <c r="BT2" s="31" t="inlineStr">
        <is>
          <t>Above 2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IF(B3=0,"",RANK(B3,$B$2:$B$379,0))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PGHL</t>
        </is>
      </c>
      <c r="D3" s="31" t="inlineStr">
        <is>
          <t>Procter &amp; Gamble Health Ltd</t>
        </is>
      </c>
      <c r="E3" s="31" t="inlineStr">
        <is>
          <t>healthcare</t>
        </is>
      </c>
      <c r="F3" s="31" t="inlineStr">
        <is>
          <t>pharmaceuticals - multinational</t>
        </is>
      </c>
      <c r="G3" s="31" t="inlineStr">
        <is>
          <t>midcap</t>
        </is>
      </c>
      <c r="H3" s="32" t="n">
        <v>10501.6</v>
      </c>
      <c r="I3" s="32" t="n">
        <v>6344.5</v>
      </c>
      <c r="J3" s="32" t="n">
        <v>0.28</v>
      </c>
      <c r="K3" s="32" t="n">
        <v>14738</v>
      </c>
      <c r="L3" s="31" t="n">
        <v>37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74.81999999999999</v>
      </c>
      <c r="P3" s="32" t="n">
        <v>49.79</v>
      </c>
      <c r="Q3" s="32" t="n">
        <v>5424.14</v>
      </c>
      <c r="R3" s="31" t="inlineStr">
        <is>
          <t>Near 52W High Breakout</t>
        </is>
      </c>
      <c r="S3" s="31" t="inlineStr">
        <is>
          <t>Nifty Pharma</t>
        </is>
      </c>
      <c r="T3" s="32" t="n">
        <v>12.5</v>
      </c>
      <c r="U3" s="32" t="n">
        <v>14.34</v>
      </c>
      <c r="V3" s="32" t="n">
        <v>1.63</v>
      </c>
      <c r="W3" s="32" t="n">
        <v>10.5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IF(B4=0,"",RANK(B4,$B$2:$B$379,0))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RPTECH</t>
        </is>
      </c>
      <c r="D4" s="31" t="inlineStr">
        <is>
          <t>Rashi Peripherals Ltd</t>
        </is>
      </c>
      <c r="E4" s="31" t="inlineStr">
        <is>
          <t>services</t>
        </is>
      </c>
      <c r="F4" s="31" t="inlineStr">
        <is>
          <t>trading</t>
        </is>
      </c>
      <c r="G4" s="31" t="inlineStr">
        <is>
          <t>midcap</t>
        </is>
      </c>
      <c r="H4" s="32" t="n">
        <v>5098.99</v>
      </c>
      <c r="I4" s="32" t="n">
        <v>787.95</v>
      </c>
      <c r="J4" s="32" t="n">
        <v>1.84</v>
      </c>
      <c r="K4" s="32" t="n">
        <v>868016</v>
      </c>
      <c r="L4" s="31" t="n">
        <v>95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89.47</v>
      </c>
      <c r="P4" s="32" t="n">
        <v>63.65</v>
      </c>
      <c r="Q4" s="32" t="n">
        <v>614.34</v>
      </c>
      <c r="R4" s="31" t="inlineStr">
        <is>
          <t>Near 52W High Breakout</t>
        </is>
      </c>
      <c r="S4" s="31" t="inlineStr">
        <is>
          <t>Nifty 50</t>
        </is>
      </c>
      <c r="T4" s="32" t="n">
        <v>-5.72</v>
      </c>
      <c r="U4" s="32" t="n">
        <v>167.66</v>
      </c>
      <c r="V4" s="32" t="n">
        <v>183.88</v>
      </c>
      <c r="W4" s="32" t="n">
        <v>50.94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Less than 50%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IF(B5=0,"",RANK(B5,$B$2:$B$379,0))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STYLAMIND</t>
        </is>
      </c>
      <c r="D5" s="31" t="inlineStr">
        <is>
          <t>Stylam Industries Ltd</t>
        </is>
      </c>
      <c r="E5" s="31" t="inlineStr">
        <is>
          <t>building materials</t>
        </is>
      </c>
      <c r="F5" s="31" t="inlineStr">
        <is>
          <t>miscellaneous</t>
        </is>
      </c>
      <c r="G5" s="31" t="inlineStr">
        <is>
          <t>midcap</t>
        </is>
      </c>
      <c r="H5" s="32" t="n">
        <v>5505.24</v>
      </c>
      <c r="I5" s="32" t="n">
        <v>3209.2</v>
      </c>
      <c r="J5" s="32" t="n">
        <v>-1.2</v>
      </c>
      <c r="K5" s="32" t="n">
        <v>27788</v>
      </c>
      <c r="L5" s="31" t="n">
        <v>82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81.52</v>
      </c>
      <c r="P5" s="32" t="n">
        <v>64.47</v>
      </c>
      <c r="Q5" s="32" t="n">
        <v>2822.47</v>
      </c>
      <c r="R5" s="31" t="inlineStr">
        <is>
          <t>Near 52W High Breakout</t>
        </is>
      </c>
      <c r="S5" s="31" t="inlineStr">
        <is>
          <t>Nifty Infra</t>
        </is>
      </c>
      <c r="T5" s="32" t="n">
        <v>0.09</v>
      </c>
      <c r="U5" s="32" t="n">
        <v>98.2</v>
      </c>
      <c r="V5" s="32" t="n">
        <v>98.03</v>
      </c>
      <c r="W5" s="32" t="n">
        <v>25.62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IF(B6=0,"",RANK(B6,$B$2:$B$379,0))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RACLGEAR</t>
        </is>
      </c>
      <c r="D6" s="31" t="inlineStr">
        <is>
          <t>RACL Geartech Ltd</t>
        </is>
      </c>
      <c r="E6" s="31" t="inlineStr">
        <is>
          <t>auto</t>
        </is>
      </c>
      <c r="F6" s="31" t="inlineStr">
        <is>
          <t>auto ancillaries</t>
        </is>
      </c>
      <c r="G6" s="31" t="inlineStr">
        <is>
          <t>smallcap</t>
        </is>
      </c>
      <c r="H6" s="32" t="n">
        <v>1654.1</v>
      </c>
      <c r="I6" s="32" t="n">
        <v>1373.5</v>
      </c>
      <c r="J6" s="32" t="n">
        <v>-2.12</v>
      </c>
      <c r="K6" s="32" t="n">
        <v>28389</v>
      </c>
      <c r="L6" s="31" t="n">
        <v>38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57.42</v>
      </c>
      <c r="P6" s="32" t="n">
        <v>50.11</v>
      </c>
      <c r="Q6" s="32" t="n">
        <v>950.99</v>
      </c>
      <c r="R6" s="31" t="inlineStr">
        <is>
          <t>Volume Spike / Accumulation</t>
        </is>
      </c>
      <c r="S6" s="31" t="inlineStr">
        <is>
          <t>Nifty Auto</t>
        </is>
      </c>
      <c r="T6" s="32" t="n">
        <v>11.69</v>
      </c>
      <c r="U6" s="32" t="n">
        <v>49.34</v>
      </c>
      <c r="V6" s="32" t="n">
        <v>33.72</v>
      </c>
      <c r="W6" s="32" t="n">
        <v>10.67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IF(B7=0,"",RANK(B7,$B$2:$B$379,0))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IOLCP</t>
        </is>
      </c>
      <c r="D7" s="31" t="inlineStr">
        <is>
          <t>Iol Chemicals And Pharmaceuticals Limited</t>
        </is>
      </c>
      <c r="E7" s="31" t="inlineStr">
        <is>
          <t>healthcare</t>
        </is>
      </c>
      <c r="F7" s="31" t="inlineStr">
        <is>
          <t>pharmaceuticals - indian - bulk drugs &amp; formln</t>
        </is>
      </c>
      <c r="G7" s="31" t="inlineStr">
        <is>
          <t>smallcap</t>
        </is>
      </c>
      <c r="H7" s="32" t="n">
        <v>4264.66</v>
      </c>
      <c r="I7" s="32" t="n">
        <v>147.21</v>
      </c>
      <c r="J7" s="32" t="n">
        <v>1.32</v>
      </c>
      <c r="K7" s="32" t="n">
        <v>4020139</v>
      </c>
      <c r="L7" s="31" t="n">
        <v>89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81.48999999999999</v>
      </c>
      <c r="P7" s="32" t="n">
        <v>55.06</v>
      </c>
      <c r="Q7" s="32" t="n">
        <v>112.49</v>
      </c>
      <c r="R7" s="31" t="inlineStr">
        <is>
          <t>Near 52W High Breakout</t>
        </is>
      </c>
      <c r="S7" s="31" t="inlineStr">
        <is>
          <t>Nifty Pharma</t>
        </is>
      </c>
      <c r="T7" s="32" t="n">
        <v>12.5</v>
      </c>
      <c r="U7" s="32" t="n">
        <v>59.34</v>
      </c>
      <c r="V7" s="32" t="n">
        <v>41.63</v>
      </c>
      <c r="W7" s="32" t="n">
        <v>33.3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Above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IF(B8=0,"",RANK(B8,$B$2:$B$379,0))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RADICO</t>
        </is>
      </c>
      <c r="D8" s="31" t="inlineStr">
        <is>
          <t>Radico Khaitan Limited</t>
        </is>
      </c>
      <c r="E8" s="31" t="inlineStr">
        <is>
          <t>fmcg</t>
        </is>
      </c>
      <c r="F8" s="31" t="inlineStr">
        <is>
          <t>breweries &amp; distilleries</t>
        </is>
      </c>
      <c r="G8" s="31" t="inlineStr">
        <is>
          <t>largecap</t>
        </is>
      </c>
      <c r="H8" s="32" t="n">
        <v>52829.43</v>
      </c>
      <c r="I8" s="32" t="n">
        <v>3952.6</v>
      </c>
      <c r="J8" s="32" t="n">
        <v>0.18</v>
      </c>
      <c r="K8" s="32" t="n">
        <v>223713</v>
      </c>
      <c r="L8" s="31" t="n">
        <v>72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77.43000000000001</v>
      </c>
      <c r="P8" s="32" t="n">
        <v>43.36</v>
      </c>
      <c r="Q8" s="32" t="n">
        <v>3312.98</v>
      </c>
      <c r="R8" s="31" t="inlineStr">
        <is>
          <t>Near 52W High Breakout</t>
        </is>
      </c>
      <c r="S8" s="31" t="inlineStr">
        <is>
          <t>Nifty FMCG</t>
        </is>
      </c>
      <c r="T8" s="32" t="n">
        <v>-9</v>
      </c>
      <c r="U8" s="32" t="n">
        <v>50.46</v>
      </c>
      <c r="V8" s="32" t="n">
        <v>65.34</v>
      </c>
      <c r="W8" s="32" t="n">
        <v>20.67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B2C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Yes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IF(B9=0,"",RANK(B9,$B$2:$B$379,0))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GRANULES</t>
        </is>
      </c>
      <c r="D9" s="31" t="inlineStr">
        <is>
          <t>Granules India Limited</t>
        </is>
      </c>
      <c r="E9" s="31" t="inlineStr">
        <is>
          <t>healthcare</t>
        </is>
      </c>
      <c r="F9" s="31" t="inlineStr">
        <is>
          <t>pharmaceuticals - indian - bulk drugs &amp; formln</t>
        </is>
      </c>
      <c r="G9" s="31" t="inlineStr">
        <is>
          <t>largecap</t>
        </is>
      </c>
      <c r="H9" s="32" t="n">
        <v>20152.08</v>
      </c>
      <c r="I9" s="32" t="n">
        <v>811.4</v>
      </c>
      <c r="J9" s="32" t="n">
        <v>-0.23</v>
      </c>
      <c r="K9" s="32" t="n">
        <v>1129581</v>
      </c>
      <c r="L9" s="31" t="n">
        <v>65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72.48</v>
      </c>
      <c r="P9" s="32" t="n">
        <v>40.89</v>
      </c>
      <c r="Q9" s="32" t="n">
        <v>673.6900000000001</v>
      </c>
      <c r="R9" s="31" t="inlineStr">
        <is>
          <t>Near 52W High Breakout</t>
        </is>
      </c>
      <c r="S9" s="31" t="inlineStr">
        <is>
          <t>Nifty Pharma</t>
        </is>
      </c>
      <c r="T9" s="32" t="n">
        <v>12.5</v>
      </c>
      <c r="U9" s="32" t="n">
        <v>65.22</v>
      </c>
      <c r="V9" s="32" t="n">
        <v>46.86</v>
      </c>
      <c r="W9" s="32" t="n">
        <v>17.62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Between 50% to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IF(B10=0,"",RANK(B10,$B$2:$B$379,0))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EMCURE</t>
        </is>
      </c>
      <c r="D10" s="31" t="inlineStr">
        <is>
          <t>Emcure Pharmaceuticals Ltd</t>
        </is>
      </c>
      <c r="E10" s="31" t="inlineStr">
        <is>
          <t>healthcare</t>
        </is>
      </c>
      <c r="F10" s="31" t="inlineStr">
        <is>
          <t>pharmaceuticals - indian - bulk drugs &amp; formln</t>
        </is>
      </c>
      <c r="G10" s="31" t="inlineStr">
        <is>
          <t>largecap</t>
        </is>
      </c>
      <c r="H10" s="32" t="n">
        <v>34808.64</v>
      </c>
      <c r="I10" s="32" t="n">
        <v>1830.9</v>
      </c>
      <c r="J10" s="32" t="n">
        <v>-0.28</v>
      </c>
      <c r="K10" s="32" t="n">
        <v>186376</v>
      </c>
      <c r="L10" s="31" t="n">
        <v>45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65.93000000000001</v>
      </c>
      <c r="P10" s="32" t="n">
        <v>52.67</v>
      </c>
      <c r="Q10" s="32" t="n">
        <v>1486.19</v>
      </c>
      <c r="R10" s="31" t="inlineStr">
        <is>
          <t>Near 52W High Breakout</t>
        </is>
      </c>
      <c r="S10" s="31" t="inlineStr">
        <is>
          <t>Nifty Pharma</t>
        </is>
      </c>
      <c r="T10" s="32" t="n">
        <v>12.5</v>
      </c>
      <c r="U10" s="32" t="n">
        <v>46.51</v>
      </c>
      <c r="V10" s="32" t="n">
        <v>30.23</v>
      </c>
      <c r="W10" s="32" t="n">
        <v>11.76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Between 50% to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IF(B11=0,"",RANK(B11,$B$2:$B$379,0))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GLAND</t>
        </is>
      </c>
      <c r="D11" s="31" t="inlineStr">
        <is>
          <t>Gland Pharma Ltd</t>
        </is>
      </c>
      <c r="E11" s="31" t="inlineStr">
        <is>
          <t>healthcare</t>
        </is>
      </c>
      <c r="F11" s="31" t="inlineStr">
        <is>
          <t>pharmaceuticals - indian - formulations</t>
        </is>
      </c>
      <c r="G11" s="31" t="inlineStr">
        <is>
          <t>largecap</t>
        </is>
      </c>
      <c r="H11" s="32" t="n">
        <v>41106.73</v>
      </c>
      <c r="I11" s="32" t="n">
        <v>2465.2</v>
      </c>
      <c r="J11" s="32" t="n">
        <v>-1.19</v>
      </c>
      <c r="K11" s="32" t="n">
        <v>541571</v>
      </c>
      <c r="L11" s="31" t="n">
        <v>61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72.20999999999999</v>
      </c>
      <c r="P11" s="32" t="n">
        <v>40.7</v>
      </c>
      <c r="Q11" s="32" t="n">
        <v>1983</v>
      </c>
      <c r="R11" s="31" t="inlineStr">
        <is>
          <t>Near 52W High Breakout</t>
        </is>
      </c>
      <c r="S11" s="31" t="inlineStr">
        <is>
          <t>Nifty Pharma</t>
        </is>
      </c>
      <c r="T11" s="32" t="n">
        <v>12.5</v>
      </c>
      <c r="U11" s="32" t="n">
        <v>32.87</v>
      </c>
      <c r="V11" s="32" t="n">
        <v>18.1</v>
      </c>
      <c r="W11" s="32" t="n">
        <v>16.7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Between 50% to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IF(B12=0,"",RANK(B12,$B$2:$B$379,0))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PREMIERPOL</t>
        </is>
      </c>
      <c r="D12" s="31" t="inlineStr">
        <is>
          <t>Premier Polyfilm Limited</t>
        </is>
      </c>
      <c r="E12" s="31" t="inlineStr">
        <is>
          <t>plastic products</t>
        </is>
      </c>
      <c r="F12" s="31" t="inlineStr">
        <is>
          <t>plastics products</t>
        </is>
      </c>
      <c r="G12" s="31" t="inlineStr">
        <is>
          <t>smallcap</t>
        </is>
      </c>
      <c r="H12" s="32" t="n">
        <v>709.9400000000001</v>
      </c>
      <c r="I12" s="32" t="n">
        <v>69.09999999999999</v>
      </c>
      <c r="J12" s="32" t="n">
        <v>1.95</v>
      </c>
      <c r="K12" s="32" t="n">
        <v>125581</v>
      </c>
      <c r="L12" s="31" t="n">
        <v>36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67.47</v>
      </c>
      <c r="P12" s="32" t="n">
        <v>44.67</v>
      </c>
      <c r="Q12" s="32" t="n">
        <v>49.33</v>
      </c>
      <c r="R12" s="31" t="inlineStr">
        <is>
          <t>Near 52W High Breakout</t>
        </is>
      </c>
      <c r="S12" s="31" t="inlineStr">
        <is>
          <t>Nifty 50</t>
        </is>
      </c>
      <c r="T12" s="32" t="n">
        <v>-5.72</v>
      </c>
      <c r="U12" s="32" t="n">
        <v>34.13</v>
      </c>
      <c r="V12" s="32" t="n">
        <v>42.26</v>
      </c>
      <c r="W12" s="32" t="n">
        <v>10.29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Close to 52 week high or retracement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Between 50% to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IF(B13=0,"",RANK(B13,$B$2:$B$379,0))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GNA</t>
        </is>
      </c>
      <c r="D13" s="31" t="inlineStr">
        <is>
          <t>Gna Axles Limited</t>
        </is>
      </c>
      <c r="E13" s="31" t="inlineStr">
        <is>
          <t>auto</t>
        </is>
      </c>
      <c r="F13" s="31" t="inlineStr">
        <is>
          <t>auto ancillaries</t>
        </is>
      </c>
      <c r="G13" s="31" t="inlineStr">
        <is>
          <t>smallcap</t>
        </is>
      </c>
      <c r="H13" s="32" t="n">
        <v>1894.32</v>
      </c>
      <c r="I13" s="32" t="n">
        <v>443.15</v>
      </c>
      <c r="J13" s="32" t="n">
        <v>0.43</v>
      </c>
      <c r="K13" s="32" t="n">
        <v>471863</v>
      </c>
      <c r="L13" s="31" t="n">
        <v>41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63.02</v>
      </c>
      <c r="P13" s="32" t="n">
        <v>20.2</v>
      </c>
      <c r="Q13" s="32" t="n">
        <v>324.39</v>
      </c>
      <c r="R13" s="31" t="inlineStr">
        <is>
          <t>Near 52W High Breakout</t>
        </is>
      </c>
      <c r="S13" s="31" t="inlineStr">
        <is>
          <t>Nifty Auto</t>
        </is>
      </c>
      <c r="T13" s="32" t="n">
        <v>11.69</v>
      </c>
      <c r="U13" s="32" t="n">
        <v>37.56</v>
      </c>
      <c r="V13" s="32" t="n">
        <v>23.17</v>
      </c>
      <c r="W13" s="32" t="n">
        <v>11.05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20 to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IF(B14=0,"",RANK(B14,$B$2:$B$379,0))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IBULLSLTD</t>
        </is>
      </c>
      <c r="D14" s="31" t="inlineStr">
        <is>
          <t>Indiabulls Limited</t>
        </is>
      </c>
      <c r="E14" s="31" t="inlineStr">
        <is>
          <t>miscellaneous</t>
        </is>
      </c>
      <c r="F14" s="31" t="inlineStr">
        <is>
          <t>diversified - medium / small</t>
        </is>
      </c>
      <c r="G14" s="31" t="inlineStr">
        <is>
          <t>midcap</t>
        </is>
      </c>
      <c r="H14" s="32" t="n">
        <v>6464.11</v>
      </c>
      <c r="I14" s="32" t="n">
        <v>27.73</v>
      </c>
      <c r="J14" s="32" t="n">
        <v>-0.29</v>
      </c>
      <c r="K14" s="32" t="n">
        <v>4413255</v>
      </c>
      <c r="L14" s="31" t="n">
        <v>97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76.18000000000001</v>
      </c>
      <c r="P14" s="32" t="n">
        <v>38.76</v>
      </c>
      <c r="Q14" s="32" t="n">
        <v>20.05</v>
      </c>
      <c r="R14" s="31" t="inlineStr">
        <is>
          <t>Near 52W High Breakout</t>
        </is>
      </c>
      <c r="S14" s="31" t="inlineStr">
        <is>
          <t>Nifty 50</t>
        </is>
      </c>
      <c r="T14" s="32" t="n">
        <v>-5.72</v>
      </c>
      <c r="U14" s="32" t="n">
        <v>64.47</v>
      </c>
      <c r="V14" s="32" t="n">
        <v>74.44</v>
      </c>
      <c r="W14" s="32" t="n">
        <v>57.75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20 to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Between 50% to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IF(B15=0,"",RANK(B15,$B$2:$B$379,0))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INDOBORAX</t>
        </is>
      </c>
      <c r="D15" s="31" t="inlineStr">
        <is>
          <t>Indo Borax &amp; Chemicals Ltd</t>
        </is>
      </c>
      <c r="E15" s="31" t="inlineStr">
        <is>
          <t>chemicals</t>
        </is>
      </c>
      <c r="F15" s="31" t="inlineStr">
        <is>
          <t>chemicals</t>
        </is>
      </c>
      <c r="G15" s="31" t="inlineStr">
        <is>
          <t>smallcap</t>
        </is>
      </c>
      <c r="H15" s="32" t="n">
        <v>1215.89</v>
      </c>
      <c r="I15" s="32" t="n">
        <v>376.5</v>
      </c>
      <c r="J15" s="32" t="n">
        <v>-0.63</v>
      </c>
      <c r="K15" s="32" t="n">
        <v>44132</v>
      </c>
      <c r="L15" s="31" t="n">
        <v>79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77.65000000000001</v>
      </c>
      <c r="P15" s="32" t="n">
        <v>59.89</v>
      </c>
      <c r="Q15" s="32" t="n">
        <v>293.87</v>
      </c>
      <c r="R15" s="31" t="inlineStr">
        <is>
          <t>Near 52W High Breakout</t>
        </is>
      </c>
      <c r="S15" s="31" t="inlineStr">
        <is>
          <t>Nifty 50</t>
        </is>
      </c>
      <c r="T15" s="32" t="n">
        <v>-5.72</v>
      </c>
      <c r="U15" s="32" t="n">
        <v>71.67</v>
      </c>
      <c r="V15" s="32" t="n">
        <v>82.08</v>
      </c>
      <c r="W15" s="32" t="n">
        <v>23.82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IF(B16=0,"",RANK(B16,$B$2:$B$379,0))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BLUSPRING</t>
        </is>
      </c>
      <c r="D16" s="31" t="inlineStr">
        <is>
          <t>Bluspring Enterprises Ltd</t>
        </is>
      </c>
      <c r="E16" s="31" t="inlineStr">
        <is>
          <t>miscellaneous</t>
        </is>
      </c>
      <c r="F16" s="31" t="inlineStr">
        <is>
          <t>diversified - large</t>
        </is>
      </c>
      <c r="G16" s="31" t="inlineStr">
        <is>
          <t>smallcap</t>
        </is>
      </c>
      <c r="H16" s="32" t="n">
        <v>1655.67</v>
      </c>
      <c r="I16" s="32" t="n">
        <v>110.21</v>
      </c>
      <c r="J16" s="32" t="n">
        <v>-0.73</v>
      </c>
      <c r="K16" s="32" t="n">
        <v>474062</v>
      </c>
      <c r="L16" s="31" t="n">
        <v>86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74.58</v>
      </c>
      <c r="P16" s="32" t="n">
        <v>39.78</v>
      </c>
      <c r="Q16" s="32" t="n">
        <v>78.05</v>
      </c>
      <c r="R16" s="31" t="inlineStr">
        <is>
          <t>Near 52W High Breakout</t>
        </is>
      </c>
      <c r="S16" s="31" t="inlineStr">
        <is>
          <t>Nifty 50</t>
        </is>
      </c>
      <c r="T16" s="32" t="n">
        <v>-5.72</v>
      </c>
      <c r="U16" s="32" t="n">
        <v>38.16</v>
      </c>
      <c r="V16" s="32" t="n">
        <v>46.53</v>
      </c>
      <c r="W16" s="32" t="n">
        <v>29.94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Between 50% to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IF(B17=0,"",RANK(B17,$B$2:$B$379,0))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ATHERENERG</t>
        </is>
      </c>
      <c r="D17" s="31" t="inlineStr">
        <is>
          <t>Ather Energy Ltd</t>
        </is>
      </c>
      <c r="E17" s="31" t="inlineStr">
        <is>
          <t>auto</t>
        </is>
      </c>
      <c r="F17" s="31" t="inlineStr">
        <is>
          <t>automobiles - scooters and 3 - wheelers</t>
        </is>
      </c>
      <c r="G17" s="31" t="inlineStr">
        <is>
          <t>largecap</t>
        </is>
      </c>
      <c r="H17" s="32" t="n">
        <v>43645.79</v>
      </c>
      <c r="I17" s="32" t="n">
        <v>1130.4</v>
      </c>
      <c r="J17" s="32" t="n">
        <v>-0.89</v>
      </c>
      <c r="K17" s="32" t="n">
        <v>5450081</v>
      </c>
      <c r="L17" s="31" t="n">
        <v>92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74.04000000000001</v>
      </c>
      <c r="P17" s="32" t="n">
        <v>51.19</v>
      </c>
      <c r="Q17" s="32" t="n">
        <v>860.24</v>
      </c>
      <c r="R17" s="31" t="inlineStr">
        <is>
          <t>Near 52W High Breakout</t>
        </is>
      </c>
      <c r="S17" s="31" t="inlineStr">
        <is>
          <t>Nifty Auto</t>
        </is>
      </c>
      <c r="T17" s="32" t="n">
        <v>11.69</v>
      </c>
      <c r="U17" s="32" t="n">
        <v>244.37</v>
      </c>
      <c r="V17" s="32" t="n">
        <v>208.33</v>
      </c>
      <c r="W17" s="32" t="n">
        <v>41.02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Negative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IF(B18=0,"",RANK(B18,$B$2:$B$379,0))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THANGAMAYL</t>
        </is>
      </c>
      <c r="D18" s="31" t="inlineStr">
        <is>
          <t>Thangamayil Jewellery Limited</t>
        </is>
      </c>
      <c r="E18" s="31" t="inlineStr">
        <is>
          <t>consumer discretionary</t>
        </is>
      </c>
      <c r="F18" s="31" t="inlineStr">
        <is>
          <t>diamond cutting / jewellery</t>
        </is>
      </c>
      <c r="G18" s="31" t="inlineStr">
        <is>
          <t>midcap</t>
        </is>
      </c>
      <c r="H18" s="32" t="n">
        <v>19886.9</v>
      </c>
      <c r="I18" s="32" t="n">
        <v>5945.5</v>
      </c>
      <c r="J18" s="32" t="n">
        <v>-7.08</v>
      </c>
      <c r="K18" s="32" t="n">
        <v>462189</v>
      </c>
      <c r="L18" s="31" t="n">
        <v>93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74.34</v>
      </c>
      <c r="P18" s="32" t="n">
        <v>43.35</v>
      </c>
      <c r="Q18" s="32" t="n">
        <v>4374.95</v>
      </c>
      <c r="R18" s="31" t="inlineStr">
        <is>
          <t>Volume Spike &amp; Near 52W High Breakout</t>
        </is>
      </c>
      <c r="S18" s="31" t="inlineStr">
        <is>
          <t>Nifty 50</t>
        </is>
      </c>
      <c r="T18" s="32" t="n">
        <v>-5.72</v>
      </c>
      <c r="U18" s="32" t="n">
        <v>215.12</v>
      </c>
      <c r="V18" s="32" t="n">
        <v>234.22</v>
      </c>
      <c r="W18" s="32" t="n">
        <v>42.13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Between 50% to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IF(B19=0,"",RANK(B19,$B$2:$B$379,0))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SCPL</t>
        </is>
      </c>
      <c r="D19" s="31" t="inlineStr">
        <is>
          <t>Sheetal Cool Products Ltd</t>
        </is>
      </c>
      <c r="E19" s="31" t="inlineStr">
        <is>
          <t>fmcg</t>
        </is>
      </c>
      <c r="F19" s="31" t="inlineStr">
        <is>
          <t>food - processing - indian</t>
        </is>
      </c>
      <c r="G19" s="31" t="inlineStr">
        <is>
          <t>smallcap</t>
        </is>
      </c>
      <c r="H19" s="32" t="n">
        <v>500.85</v>
      </c>
      <c r="I19" s="32" t="n">
        <v>539.05</v>
      </c>
      <c r="J19" s="32" t="n">
        <v>13.01</v>
      </c>
      <c r="K19" s="32" t="n">
        <v>185391</v>
      </c>
      <c r="L19" s="31" t="n">
        <v>85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76.58</v>
      </c>
      <c r="P19" s="32" t="n">
        <v>38.48</v>
      </c>
      <c r="Q19" s="32" t="n">
        <v>397.11</v>
      </c>
      <c r="R19" s="31" t="inlineStr">
        <is>
          <t>Volume Spike &amp; Near 52W High Breakout</t>
        </is>
      </c>
      <c r="S19" s="31" t="inlineStr">
        <is>
          <t>Nifty FMCG</t>
        </is>
      </c>
      <c r="T19" s="32" t="n">
        <v>-9</v>
      </c>
      <c r="U19" s="32" t="n">
        <v>74.53</v>
      </c>
      <c r="V19" s="32" t="n">
        <v>91.81</v>
      </c>
      <c r="W19" s="32" t="n">
        <v>28.86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B2C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IF(B20=0,"",RANK(B20,$B$2:$B$379,0))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BAFNAPH</t>
        </is>
      </c>
      <c r="D20" s="31" t="inlineStr">
        <is>
          <t>Bafna Pharmaceuticals Ltd</t>
        </is>
      </c>
      <c r="E20" s="31" t="inlineStr">
        <is>
          <t>healthcare</t>
        </is>
      </c>
      <c r="F20" s="31" t="inlineStr">
        <is>
          <t>pharmaceuticals - indian - formulations</t>
        </is>
      </c>
      <c r="G20" s="31" t="inlineStr">
        <is>
          <t>smallcap</t>
        </is>
      </c>
      <c r="H20" s="32" t="n">
        <v>507.74</v>
      </c>
      <c r="I20" s="32" t="n">
        <v>225.36</v>
      </c>
      <c r="J20" s="32" t="n">
        <v>5</v>
      </c>
      <c r="K20" s="32" t="n">
        <v>7664</v>
      </c>
      <c r="L20" s="31" t="n">
        <v>96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73.22</v>
      </c>
      <c r="P20" s="32" t="n">
        <v>31.54</v>
      </c>
      <c r="Q20" s="32" t="n">
        <v>158.73</v>
      </c>
      <c r="R20" s="31" t="inlineStr">
        <is>
          <t>Near 52W High Breakout</t>
        </is>
      </c>
      <c r="S20" s="31" t="inlineStr">
        <is>
          <t>Nifty Pharma</t>
        </is>
      </c>
      <c r="T20" s="32" t="n">
        <v>12.5</v>
      </c>
      <c r="U20" s="32" t="n">
        <v>152.62</v>
      </c>
      <c r="V20" s="32" t="n">
        <v>124.55</v>
      </c>
      <c r="W20" s="32" t="n">
        <v>51.51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20 to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IF(B21=0,"",RANK(B21,$B$2:$B$379,0))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CUPID</t>
        </is>
      </c>
      <c r="D21" s="31" t="inlineStr">
        <is>
          <t>Cupid Limited</t>
        </is>
      </c>
      <c r="E21" s="31" t="inlineStr">
        <is>
          <t>fmcg</t>
        </is>
      </c>
      <c r="F21" s="31" t="inlineStr">
        <is>
          <t>personal care - indian</t>
        </is>
      </c>
      <c r="G21" s="31" t="inlineStr">
        <is>
          <t>largecap</t>
        </is>
      </c>
      <c r="H21" s="32" t="n">
        <v>25539.14</v>
      </c>
      <c r="I21" s="32" t="n">
        <v>193.38</v>
      </c>
      <c r="J21" s="32" t="n">
        <v>1.82</v>
      </c>
      <c r="K21" s="32" t="n">
        <v>16742994</v>
      </c>
      <c r="L21" s="31" t="n">
        <v>99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86.61</v>
      </c>
      <c r="P21" s="32" t="n">
        <v>56.16</v>
      </c>
      <c r="Q21" s="32" t="n">
        <v>155.61</v>
      </c>
      <c r="R21" s="31" t="inlineStr">
        <is>
          <t>Near 52W High Breakout</t>
        </is>
      </c>
      <c r="S21" s="31" t="inlineStr">
        <is>
          <t>Nifty FMCG</t>
        </is>
      </c>
      <c r="T21" s="32" t="n">
        <v>-9</v>
      </c>
      <c r="U21" s="32" t="n">
        <v>788.53</v>
      </c>
      <c r="V21" s="32" t="n">
        <v>876.46</v>
      </c>
      <c r="W21" s="32" t="n">
        <v>87.79000000000001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B2C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Less than 50%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IF(B22=0,"",RANK(B22,$B$2:$B$379,0))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CCL</t>
        </is>
      </c>
      <c r="D22" s="31" t="inlineStr">
        <is>
          <t>Ccl Products (india) Limited</t>
        </is>
      </c>
      <c r="E22" s="31" t="inlineStr">
        <is>
          <t>fmcg</t>
        </is>
      </c>
      <c r="F22" s="31" t="inlineStr">
        <is>
          <t>tea</t>
        </is>
      </c>
      <c r="G22" s="31" t="inlineStr">
        <is>
          <t>midcap</t>
        </is>
      </c>
      <c r="H22" s="32" t="n">
        <v>15772.32</v>
      </c>
      <c r="I22" s="32" t="n">
        <v>1183</v>
      </c>
      <c r="J22" s="32" t="n">
        <v>0.15</v>
      </c>
      <c r="K22" s="32" t="n">
        <v>306597</v>
      </c>
      <c r="L22" s="31" t="n">
        <v>27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68.31</v>
      </c>
      <c r="P22" s="32" t="n">
        <v>44.03</v>
      </c>
      <c r="Q22" s="32" t="n">
        <v>946.47</v>
      </c>
      <c r="R22" s="31" t="inlineStr">
        <is>
          <t>Near 52W High Breakout</t>
        </is>
      </c>
      <c r="S22" s="31" t="inlineStr">
        <is>
          <t>Nifty FMCG</t>
        </is>
      </c>
      <c r="T22" s="32" t="n">
        <v>-9</v>
      </c>
      <c r="U22" s="32" t="n">
        <v>34.91</v>
      </c>
      <c r="V22" s="32" t="n">
        <v>48.26</v>
      </c>
      <c r="W22" s="32" t="n">
        <v>8.09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B2C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Between 12 to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IF(B23=0,"",RANK(B23,$B$2:$B$379,0))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INNOVACAP</t>
        </is>
      </c>
      <c r="D23" s="31" t="inlineStr">
        <is>
          <t>Innova Captab Ltd</t>
        </is>
      </c>
      <c r="E23" s="31" t="inlineStr">
        <is>
          <t>healthcare</t>
        </is>
      </c>
      <c r="F23" s="31" t="inlineStr">
        <is>
          <t>pharmaceuticals - indian - bulk drugs &amp; formln</t>
        </is>
      </c>
      <c r="G23" s="31" t="inlineStr">
        <is>
          <t>midcap</t>
        </is>
      </c>
      <c r="H23" s="32" t="n">
        <v>5599.17</v>
      </c>
      <c r="I23" s="32" t="n">
        <v>973.35</v>
      </c>
      <c r="J23" s="32" t="n">
        <v>-0.52</v>
      </c>
      <c r="K23" s="32" t="n">
        <v>31123</v>
      </c>
      <c r="L23" s="31" t="n">
        <v>44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72.93000000000001</v>
      </c>
      <c r="P23" s="32" t="n">
        <v>40.92</v>
      </c>
      <c r="Q23" s="32" t="n">
        <v>762.91</v>
      </c>
      <c r="R23" s="31" t="inlineStr">
        <is>
          <t>Near 52W High Breakout</t>
        </is>
      </c>
      <c r="S23" s="31" t="inlineStr">
        <is>
          <t>Nifty Pharma</t>
        </is>
      </c>
      <c r="T23" s="32" t="n">
        <v>12.5</v>
      </c>
      <c r="U23" s="32" t="n">
        <v>13.57</v>
      </c>
      <c r="V23" s="32" t="n">
        <v>0.95</v>
      </c>
      <c r="W23" s="32" t="n">
        <v>11.6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Between 50% to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IF(B24=0,"",RANK(B24,$B$2:$B$379,0))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BLISSGVS</t>
        </is>
      </c>
      <c r="D24" s="31" t="inlineStr">
        <is>
          <t>Bliss Gvs Pharma Limited</t>
        </is>
      </c>
      <c r="E24" s="31" t="inlineStr">
        <is>
          <t>healthcare</t>
        </is>
      </c>
      <c r="F24" s="31" t="inlineStr">
        <is>
          <t>pharmaceuticals - indian - formulations</t>
        </is>
      </c>
      <c r="G24" s="31" t="inlineStr">
        <is>
          <t>midcap</t>
        </is>
      </c>
      <c r="H24" s="32" t="n">
        <v>5708.37</v>
      </c>
      <c r="I24" s="32" t="n">
        <v>523.55</v>
      </c>
      <c r="J24" s="32" t="n">
        <v>-2.97</v>
      </c>
      <c r="K24" s="32" t="n">
        <v>799348</v>
      </c>
      <c r="L24" s="31" t="n">
        <v>97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91.62</v>
      </c>
      <c r="P24" s="32" t="n">
        <v>70.89</v>
      </c>
      <c r="Q24" s="32" t="n">
        <v>405.65</v>
      </c>
      <c r="R24" s="31" t="inlineStr">
        <is>
          <t>Near 52W High Breakout</t>
        </is>
      </c>
      <c r="S24" s="31" t="inlineStr">
        <is>
          <t>Nifty Pharma</t>
        </is>
      </c>
      <c r="T24" s="32" t="n">
        <v>12.5</v>
      </c>
      <c r="U24" s="32" t="n">
        <v>236.87</v>
      </c>
      <c r="V24" s="32" t="n">
        <v>199.44</v>
      </c>
      <c r="W24" s="32" t="n">
        <v>59.2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IF(B25=0,"",RANK(B25,$B$2:$B$379,0))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VENUSREM</t>
        </is>
      </c>
      <c r="D25" s="31" t="inlineStr">
        <is>
          <t>Venus Remedies Limited</t>
        </is>
      </c>
      <c r="E25" s="31" t="inlineStr">
        <is>
          <t>healthcare</t>
        </is>
      </c>
      <c r="F25" s="31" t="inlineStr">
        <is>
          <t>pharmaceuticals - indian - formulations</t>
        </is>
      </c>
      <c r="G25" s="31" t="inlineStr">
        <is>
          <t>smallcap</t>
        </is>
      </c>
      <c r="H25" s="32" t="n">
        <v>2450.84</v>
      </c>
      <c r="I25" s="32" t="n">
        <v>1751.9</v>
      </c>
      <c r="J25" s="32" t="n">
        <v>-4.45</v>
      </c>
      <c r="K25" s="32" t="n">
        <v>95835</v>
      </c>
      <c r="L25" s="31" t="n">
        <v>96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71.56</v>
      </c>
      <c r="P25" s="32" t="n">
        <v>57.25</v>
      </c>
      <c r="Q25" s="32" t="n">
        <v>1435.46</v>
      </c>
      <c r="R25" s="31" t="inlineStr">
        <is>
          <t>Earnings / Momentum Support</t>
        </is>
      </c>
      <c r="S25" s="31" t="inlineStr">
        <is>
          <t>Nifty Pharma</t>
        </is>
      </c>
      <c r="T25" s="32" t="n">
        <v>12.5</v>
      </c>
      <c r="U25" s="32" t="n">
        <v>293.42</v>
      </c>
      <c r="V25" s="32" t="n">
        <v>249.71</v>
      </c>
      <c r="W25" s="32" t="n">
        <v>55.58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No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IF(B26=0,"",RANK(B26,$B$2:$B$379,0))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AEGISLOG</t>
        </is>
      </c>
      <c r="D26" s="31" t="inlineStr">
        <is>
          <t>Aegis Logistics Ltd</t>
        </is>
      </c>
      <c r="E26" s="31" t="inlineStr">
        <is>
          <t>services</t>
        </is>
      </c>
      <c r="F26" s="31" t="inlineStr">
        <is>
          <t>trading</t>
        </is>
      </c>
      <c r="G26" s="31" t="inlineStr">
        <is>
          <t>largecap</t>
        </is>
      </c>
      <c r="H26" s="32" t="n">
        <v>41205.65</v>
      </c>
      <c r="I26" s="32" t="n">
        <v>1254.7</v>
      </c>
      <c r="J26" s="32" t="n">
        <v>6.88</v>
      </c>
      <c r="K26" s="32" t="n">
        <v>3368189</v>
      </c>
      <c r="L26" s="31" t="n">
        <v>92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83.5</v>
      </c>
      <c r="P26" s="32" t="n">
        <v>30.95</v>
      </c>
      <c r="Q26" s="32" t="n">
        <v>992.28</v>
      </c>
      <c r="R26" s="31" t="inlineStr">
        <is>
          <t>Near 52W High Breakout</t>
        </is>
      </c>
      <c r="S26" s="31" t="inlineStr">
        <is>
          <t>Nifty 50</t>
        </is>
      </c>
      <c r="T26" s="32" t="n">
        <v>-5.72</v>
      </c>
      <c r="U26" s="32" t="n">
        <v>67.73</v>
      </c>
      <c r="V26" s="32" t="n">
        <v>77.90000000000001</v>
      </c>
      <c r="W26" s="32" t="n">
        <v>41.44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IF(B27=0,"",RANK(B27,$B$2:$B$379,0))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CEMPRO</t>
        </is>
      </c>
      <c r="D27" s="31" t="inlineStr">
        <is>
          <t>Cemindia Projects Ltd</t>
        </is>
      </c>
      <c r="E27" s="31" t="inlineStr">
        <is>
          <t>realty</t>
        </is>
      </c>
      <c r="F27" s="31" t="inlineStr">
        <is>
          <t>construction</t>
        </is>
      </c>
      <c r="G27" s="31" t="inlineStr">
        <is>
          <t>largecap</t>
        </is>
      </c>
      <c r="H27" s="32" t="n">
        <v>22310.05</v>
      </c>
      <c r="I27" s="32" t="n">
        <v>1363.3</v>
      </c>
      <c r="J27" s="32" t="n">
        <v>4.97</v>
      </c>
      <c r="K27" s="32" t="n">
        <v>800985</v>
      </c>
      <c r="L27" s="31" t="n">
        <v>96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79.62</v>
      </c>
      <c r="P27" s="32" t="n">
        <v>43.39</v>
      </c>
      <c r="Q27" s="32" t="n">
        <v>1056.99</v>
      </c>
      <c r="R27" s="31" t="inlineStr">
        <is>
          <t>Near 52W High Breakout</t>
        </is>
      </c>
      <c r="S27" s="31" t="inlineStr">
        <is>
          <t>Nifty Realty</t>
        </is>
      </c>
      <c r="T27" s="32" t="n">
        <v>-11.6</v>
      </c>
      <c r="U27" s="32" t="n">
        <v>51.86</v>
      </c>
      <c r="V27" s="32" t="n">
        <v>71.78</v>
      </c>
      <c r="W27" s="32" t="n">
        <v>52.41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Less than 50%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IF(B28=0,"",RANK(B28,$B$2:$B$379,0))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PGIL</t>
        </is>
      </c>
      <c r="D28" s="31" t="inlineStr">
        <is>
          <t>Pearl Global Industries Limited</t>
        </is>
      </c>
      <c r="E28" s="31" t="inlineStr">
        <is>
          <t>consumer discretionary</t>
        </is>
      </c>
      <c r="F28" s="31" t="inlineStr">
        <is>
          <t>textiles - products</t>
        </is>
      </c>
      <c r="G28" s="31" t="inlineStr">
        <is>
          <t>midcap</t>
        </is>
      </c>
      <c r="H28" s="32" t="n">
        <v>9301.190000000001</v>
      </c>
      <c r="I28" s="32" t="n">
        <v>2088</v>
      </c>
      <c r="J28" s="32" t="n">
        <v>3.59</v>
      </c>
      <c r="K28" s="32" t="n">
        <v>165232</v>
      </c>
      <c r="L28" s="31" t="n">
        <v>62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70.73</v>
      </c>
      <c r="P28" s="32" t="n">
        <v>38.49</v>
      </c>
      <c r="Q28" s="32" t="n">
        <v>1588.53</v>
      </c>
      <c r="R28" s="31" t="inlineStr">
        <is>
          <t>Near 52W High Breakout</t>
        </is>
      </c>
      <c r="S28" s="31" t="inlineStr">
        <is>
          <t>Nifty 50</t>
        </is>
      </c>
      <c r="T28" s="32" t="n">
        <v>-5.72</v>
      </c>
      <c r="U28" s="32" t="n">
        <v>32.91</v>
      </c>
      <c r="V28" s="32" t="n">
        <v>40.96</v>
      </c>
      <c r="W28" s="32" t="n">
        <v>16.82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Between 1.5 to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IF(B29=0,"",RANK(B29,$B$2:$B$379,0))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CENTENKA</t>
        </is>
      </c>
      <c r="D29" s="31" t="inlineStr">
        <is>
          <t>Century Enka Limited</t>
        </is>
      </c>
      <c r="E29" s="31" t="inlineStr">
        <is>
          <t>textiles</t>
        </is>
      </c>
      <c r="F29" s="31" t="inlineStr">
        <is>
          <t>textiles - manmade</t>
        </is>
      </c>
      <c r="G29" s="31" t="inlineStr">
        <is>
          <t>smallcap</t>
        </is>
      </c>
      <c r="H29" s="32" t="n">
        <v>1136.34</v>
      </c>
      <c r="I29" s="32" t="n">
        <v>530.4</v>
      </c>
      <c r="J29" s="32" t="n">
        <v>1.99</v>
      </c>
      <c r="K29" s="32" t="n">
        <v>34258</v>
      </c>
      <c r="L29" s="31" t="n">
        <v>30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61.99</v>
      </c>
      <c r="P29" s="32" t="n">
        <v>40.89</v>
      </c>
      <c r="Q29" s="32" t="n">
        <v>413.56</v>
      </c>
      <c r="R29" s="31" t="inlineStr">
        <is>
          <t>Near 52W High Breakout</t>
        </is>
      </c>
      <c r="S29" s="31" t="inlineStr">
        <is>
          <t>Nifty 50</t>
        </is>
      </c>
      <c r="T29" s="32" t="n">
        <v>-5.72</v>
      </c>
      <c r="U29" s="32" t="n">
        <v>4.58</v>
      </c>
      <c r="V29" s="32" t="n">
        <v>10.92</v>
      </c>
      <c r="W29" s="32" t="n">
        <v>8.710000000000001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IF(B30=0,"",RANK(B30,$B$2:$B$379,0))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SYRMA</t>
        </is>
      </c>
      <c r="D30" s="31" t="inlineStr">
        <is>
          <t>Syrma SGS Technology Ltd</t>
        </is>
      </c>
      <c r="E30" s="31" t="inlineStr">
        <is>
          <t>consumer discretionary</t>
        </is>
      </c>
      <c r="F30" s="31" t="inlineStr">
        <is>
          <t>electronics - components</t>
        </is>
      </c>
      <c r="G30" s="31" t="inlineStr">
        <is>
          <t>largecap</t>
        </is>
      </c>
      <c r="H30" s="32" t="n">
        <v>26924.92</v>
      </c>
      <c r="I30" s="32" t="n">
        <v>1421.6</v>
      </c>
      <c r="J30" s="32" t="n">
        <v>1.81</v>
      </c>
      <c r="K30" s="32" t="n">
        <v>1242591</v>
      </c>
      <c r="L30" s="31" t="n">
        <v>90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77.81</v>
      </c>
      <c r="P30" s="32" t="n">
        <v>47.35</v>
      </c>
      <c r="Q30" s="32" t="n">
        <v>1134.14</v>
      </c>
      <c r="R30" s="31" t="inlineStr">
        <is>
          <t>Near 52W High Breakout</t>
        </is>
      </c>
      <c r="S30" s="31" t="inlineStr">
        <is>
          <t>Nifty 50</t>
        </is>
      </c>
      <c r="T30" s="32" t="n">
        <v>-5.72</v>
      </c>
      <c r="U30" s="32" t="n">
        <v>133.65</v>
      </c>
      <c r="V30" s="32" t="n">
        <v>147.82</v>
      </c>
      <c r="W30" s="32" t="n">
        <v>38.02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Between 1.5 to 2</t>
        </is>
      </c>
      <c r="BU30" s="31">
        <f>IF(BT30="Above 2",0,IF(BT30="Between 1.5 to 2",5,IF(BT30="Less than 1.5",10,0)))</f>
        <v/>
      </c>
      <c r="BV30" s="31" t="inlineStr">
        <is>
          <t>Between 50% to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IF(B31=0,"",RANK(B31,$B$2:$B$379,0))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HMT</t>
        </is>
      </c>
      <c r="D31" s="31" t="inlineStr">
        <is>
          <t>Hmt Limited</t>
        </is>
      </c>
      <c r="E31" s="31" t="inlineStr">
        <is>
          <t>consumer discretionary</t>
        </is>
      </c>
      <c r="F31" s="31" t="inlineStr">
        <is>
          <t>miscellaneous</t>
        </is>
      </c>
      <c r="G31" s="31" t="inlineStr">
        <is>
          <t>midcap</t>
        </is>
      </c>
      <c r="H31" s="32" t="n">
        <v>8172.17</v>
      </c>
      <c r="I31" s="32" t="n">
        <v>68.56</v>
      </c>
      <c r="J31" s="32" t="n">
        <v>1.02</v>
      </c>
      <c r="K31" s="32" t="n">
        <v>22355</v>
      </c>
      <c r="L31" s="31" t="n">
        <v>14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64.12</v>
      </c>
      <c r="P31" s="32" t="n">
        <v>27.05</v>
      </c>
      <c r="Q31" s="32" t="n">
        <v>51.71</v>
      </c>
      <c r="R31" s="31" t="inlineStr">
        <is>
          <t>Near 52W High Breakout</t>
        </is>
      </c>
      <c r="S31" s="31" t="inlineStr">
        <is>
          <t>Nifty 50</t>
        </is>
      </c>
      <c r="T31" s="32" t="n">
        <v>-5.72</v>
      </c>
      <c r="U31" s="32" t="n">
        <v>6.59</v>
      </c>
      <c r="V31" s="32" t="n">
        <v>13.05</v>
      </c>
      <c r="W31" s="32" t="n">
        <v>4.95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IF(B32=0,"",RANK(B32,$B$2:$B$379,0))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SJS</t>
        </is>
      </c>
      <c r="D32" s="31" t="inlineStr">
        <is>
          <t>S J S Enterprises Ltd</t>
        </is>
      </c>
      <c r="E32" s="31" t="inlineStr">
        <is>
          <t>auto</t>
        </is>
      </c>
      <c r="F32" s="31" t="inlineStr">
        <is>
          <t>plastics products</t>
        </is>
      </c>
      <c r="G32" s="31" t="inlineStr">
        <is>
          <t>midcap</t>
        </is>
      </c>
      <c r="H32" s="32" t="n">
        <v>7096.89</v>
      </c>
      <c r="I32" s="32" t="n">
        <v>2227.7</v>
      </c>
      <c r="J32" s="32" t="n">
        <v>0.44</v>
      </c>
      <c r="K32" s="32" t="n">
        <v>37975</v>
      </c>
      <c r="L32" s="31" t="n">
        <v>74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65.45</v>
      </c>
      <c r="P32" s="32" t="n">
        <v>30.04</v>
      </c>
      <c r="Q32" s="32" t="n">
        <v>1755.95</v>
      </c>
      <c r="R32" s="31" t="inlineStr">
        <is>
          <t>Near 52W High Breakout</t>
        </is>
      </c>
      <c r="S32" s="31" t="inlineStr">
        <is>
          <t>Nifty Auto</t>
        </is>
      </c>
      <c r="T32" s="32" t="n">
        <v>11.69</v>
      </c>
      <c r="U32" s="32" t="n">
        <v>75.06</v>
      </c>
      <c r="V32" s="32" t="n">
        <v>56.74</v>
      </c>
      <c r="W32" s="32" t="n">
        <v>21.14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IF(B33=0,"",RANK(B33,$B$2:$B$379,0))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HITECHCORP</t>
        </is>
      </c>
      <c r="D33" s="31" t="inlineStr">
        <is>
          <t>Hitech Corporation</t>
        </is>
      </c>
      <c r="E33" s="31" t="inlineStr">
        <is>
          <t>industrials</t>
        </is>
      </c>
      <c r="F33" s="31" t="inlineStr">
        <is>
          <t>packaging</t>
        </is>
      </c>
      <c r="G33" s="31" t="inlineStr">
        <is>
          <t>smallcap</t>
        </is>
      </c>
      <c r="H33" s="32" t="n">
        <v>542.13</v>
      </c>
      <c r="I33" s="32" t="n">
        <v>316</v>
      </c>
      <c r="J33" s="32" t="n">
        <v>0.11</v>
      </c>
      <c r="K33" s="32" t="n">
        <v>4905</v>
      </c>
      <c r="L33" s="31" t="n">
        <v>95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79.8</v>
      </c>
      <c r="P33" s="32" t="n">
        <v>40.66</v>
      </c>
      <c r="Q33" s="32" t="n">
        <v>243.33</v>
      </c>
      <c r="R33" s="31" t="inlineStr">
        <is>
          <t>Near 52W High Breakout</t>
        </is>
      </c>
      <c r="S33" s="31" t="inlineStr">
        <is>
          <t>Nifty 50</t>
        </is>
      </c>
      <c r="T33" s="32" t="n">
        <v>-5.72</v>
      </c>
      <c r="U33" s="32" t="n">
        <v>51.76</v>
      </c>
      <c r="V33" s="32" t="n">
        <v>60.96</v>
      </c>
      <c r="W33" s="32" t="n">
        <v>46.75</v>
      </c>
      <c r="X33" s="31" t="inlineStr">
        <is>
          <t>Cyclical in an Upturn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Between 50% to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IF(B34=0,"",RANK(B34,$B$2:$B$379,0))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MOTHERSON</t>
        </is>
      </c>
      <c r="D34" s="31" t="inlineStr">
        <is>
          <t>Samvardhana Motherson International Ltd</t>
        </is>
      </c>
      <c r="E34" s="31" t="inlineStr">
        <is>
          <t>auto</t>
        </is>
      </c>
      <c r="F34" s="31" t="inlineStr">
        <is>
          <t>auto ancillaries</t>
        </is>
      </c>
      <c r="G34" s="31" t="inlineStr">
        <is>
          <t>largecap</t>
        </is>
      </c>
      <c r="H34" s="32" t="n">
        <v>156321.85</v>
      </c>
      <c r="I34" s="32" t="n">
        <v>147.51</v>
      </c>
      <c r="J34" s="32" t="n">
        <v>-0.41</v>
      </c>
      <c r="K34" s="32" t="n">
        <v>21947631</v>
      </c>
      <c r="L34" s="31" t="n">
        <v>60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65.48999999999999</v>
      </c>
      <c r="P34" s="32" t="n">
        <v>28.47</v>
      </c>
      <c r="Q34" s="32" t="n">
        <v>122.29</v>
      </c>
      <c r="R34" s="31" t="inlineStr">
        <is>
          <t>Near 52W High Breakout</t>
        </is>
      </c>
      <c r="S34" s="31" t="inlineStr">
        <is>
          <t>Nifty Auto</t>
        </is>
      </c>
      <c r="T34" s="32" t="n">
        <v>11.69</v>
      </c>
      <c r="U34" s="32" t="n">
        <v>44.22</v>
      </c>
      <c r="V34" s="32" t="n">
        <v>29.13</v>
      </c>
      <c r="W34" s="32" t="n">
        <v>16.48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IF(B35=0,"",RANK(B35,$B$2:$B$379,0))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MAYURUNIQ</t>
        </is>
      </c>
      <c r="D35" s="31" t="inlineStr">
        <is>
          <t>Mayur Uniquoters Ltd</t>
        </is>
      </c>
      <c r="E35" s="31" t="inlineStr">
        <is>
          <t>consumer discretionary</t>
        </is>
      </c>
      <c r="F35" s="31" t="inlineStr">
        <is>
          <t>leather / leather products</t>
        </is>
      </c>
      <c r="G35" s="31" t="inlineStr">
        <is>
          <t>smallcap</t>
        </is>
      </c>
      <c r="H35" s="32" t="n">
        <v>3740.4</v>
      </c>
      <c r="I35" s="32" t="n">
        <v>851.5</v>
      </c>
      <c r="J35" s="32" t="n">
        <v>-1.08</v>
      </c>
      <c r="K35" s="32" t="n">
        <v>125552</v>
      </c>
      <c r="L35" s="31" t="n">
        <v>78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76.14</v>
      </c>
      <c r="P35" s="32" t="n">
        <v>49.65</v>
      </c>
      <c r="Q35" s="32" t="n">
        <v>666.77</v>
      </c>
      <c r="R35" s="31" t="inlineStr">
        <is>
          <t>Near 52W High Breakout</t>
        </is>
      </c>
      <c r="S35" s="31" t="inlineStr">
        <is>
          <t>Nifty 50</t>
        </is>
      </c>
      <c r="T35" s="32" t="n">
        <v>-5.72</v>
      </c>
      <c r="U35" s="32" t="n">
        <v>50.24</v>
      </c>
      <c r="V35" s="32" t="n">
        <v>59.35</v>
      </c>
      <c r="W35" s="32" t="n">
        <v>23.14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Between 50% to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IF(B36=0,"",RANK(B36,$B$2:$B$379,0))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AMBIKCO</t>
        </is>
      </c>
      <c r="D36" s="31" t="inlineStr">
        <is>
          <t>Ambika Cotton Mills Limited</t>
        </is>
      </c>
      <c r="E36" s="31" t="inlineStr">
        <is>
          <t>textiles</t>
        </is>
      </c>
      <c r="F36" s="31" t="inlineStr">
        <is>
          <t>textiles - cotton/blended</t>
        </is>
      </c>
      <c r="G36" s="31" t="inlineStr">
        <is>
          <t>smallcap</t>
        </is>
      </c>
      <c r="H36" s="32" t="n">
        <v>1007.49</v>
      </c>
      <c r="I36" s="32" t="n">
        <v>1739.1</v>
      </c>
      <c r="J36" s="32" t="n">
        <v>-1.18</v>
      </c>
      <c r="K36" s="32" t="n">
        <v>8675</v>
      </c>
      <c r="L36" s="31" t="n">
        <v>43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69.62</v>
      </c>
      <c r="P36" s="32" t="n">
        <v>29.62</v>
      </c>
      <c r="Q36" s="32" t="n">
        <v>1386.97</v>
      </c>
      <c r="R36" s="31" t="inlineStr">
        <is>
          <t>Near 52W High Breakout</t>
        </is>
      </c>
      <c r="S36" s="31" t="inlineStr">
        <is>
          <t>Nifty 50</t>
        </is>
      </c>
      <c r="T36" s="32" t="n">
        <v>-5.72</v>
      </c>
      <c r="U36" s="32" t="n">
        <v>12.75</v>
      </c>
      <c r="V36" s="32" t="n">
        <v>19.58</v>
      </c>
      <c r="W36" s="32" t="n">
        <v>11.54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IF(B37=0,"",RANK(B37,$B$2:$B$379,0))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UNIPARTS</t>
        </is>
      </c>
      <c r="D37" s="31" t="inlineStr">
        <is>
          <t>Uniparts India Ltd</t>
        </is>
      </c>
      <c r="E37" s="31" t="inlineStr">
        <is>
          <t>industrials</t>
        </is>
      </c>
      <c r="F37" s="31" t="inlineStr">
        <is>
          <t>engineering</t>
        </is>
      </c>
      <c r="G37" s="31" t="inlineStr">
        <is>
          <t>smallcap</t>
        </is>
      </c>
      <c r="H37" s="32" t="n">
        <v>3040.84</v>
      </c>
      <c r="I37" s="32" t="n">
        <v>661.65</v>
      </c>
      <c r="J37" s="32" t="n">
        <v>-1.77</v>
      </c>
      <c r="K37" s="32" t="n">
        <v>98696</v>
      </c>
      <c r="L37" s="31" t="n">
        <v>73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70.72</v>
      </c>
      <c r="P37" s="32" t="n">
        <v>45.86</v>
      </c>
      <c r="Q37" s="32" t="n">
        <v>529.08</v>
      </c>
      <c r="R37" s="31" t="inlineStr">
        <is>
          <t>Near 52W High Breakout</t>
        </is>
      </c>
      <c r="S37" s="31" t="inlineStr">
        <is>
          <t>Nifty 50</t>
        </is>
      </c>
      <c r="T37" s="32" t="n">
        <v>-5.72</v>
      </c>
      <c r="U37" s="32" t="n">
        <v>71.95999999999999</v>
      </c>
      <c r="V37" s="32" t="n">
        <v>82.38</v>
      </c>
      <c r="W37" s="32" t="n">
        <v>20.9</v>
      </c>
      <c r="X37" s="31" t="inlineStr">
        <is>
          <t>Cyclical in an Upturn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IF(B38=0,"",RANK(B38,$B$2:$B$379,0))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CARYSIL</t>
        </is>
      </c>
      <c r="D38" s="31" t="inlineStr">
        <is>
          <t>Carysil Ltd</t>
        </is>
      </c>
      <c r="E38" s="31" t="inlineStr">
        <is>
          <t>consumer discretionary</t>
        </is>
      </c>
      <c r="F38" s="31" t="inlineStr">
        <is>
          <t>domestic appliances</t>
        </is>
      </c>
      <c r="G38" s="31" t="inlineStr">
        <is>
          <t>smallcap</t>
        </is>
      </c>
      <c r="H38" s="32" t="n">
        <v>3407.99</v>
      </c>
      <c r="I38" s="32" t="n">
        <v>1172.2</v>
      </c>
      <c r="J38" s="32" t="n">
        <v>-2.17</v>
      </c>
      <c r="K38" s="32" t="n">
        <v>49756</v>
      </c>
      <c r="L38" s="31" t="n">
        <v>63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68.73999999999999</v>
      </c>
      <c r="P38" s="32" t="n">
        <v>27.91</v>
      </c>
      <c r="Q38" s="32" t="n">
        <v>914.63</v>
      </c>
      <c r="R38" s="31" t="inlineStr">
        <is>
          <t>Near 52W High Breakout</t>
        </is>
      </c>
      <c r="S38" s="31" t="inlineStr">
        <is>
          <t>Nifty 50</t>
        </is>
      </c>
      <c r="T38" s="32" t="n">
        <v>-5.72</v>
      </c>
      <c r="U38" s="32" t="n">
        <v>32.35</v>
      </c>
      <c r="V38" s="32" t="n">
        <v>40.37</v>
      </c>
      <c r="W38" s="32" t="n">
        <v>16.87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Between 50% to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IF(B39=0,"",RANK(B39,$B$2:$B$379,0))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KANORICHEM</t>
        </is>
      </c>
      <c r="D39" s="31" t="inlineStr">
        <is>
          <t>Kanoria Chemicals &amp; Industries Limited</t>
        </is>
      </c>
      <c r="E39" s="31" t="inlineStr">
        <is>
          <t>chemicals</t>
        </is>
      </c>
      <c r="F39" s="31" t="inlineStr">
        <is>
          <t>chemicals</t>
        </is>
      </c>
      <c r="G39" s="31" t="inlineStr">
        <is>
          <t>smallcap</t>
        </is>
      </c>
      <c r="H39" s="32" t="n">
        <v>585.62</v>
      </c>
      <c r="I39" s="32" t="n">
        <v>130.88</v>
      </c>
      <c r="J39" s="32" t="n">
        <v>-2.35</v>
      </c>
      <c r="K39" s="32" t="n">
        <v>80534</v>
      </c>
      <c r="L39" s="31" t="n">
        <v>90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74.45999999999999</v>
      </c>
      <c r="P39" s="32" t="n">
        <v>37.12</v>
      </c>
      <c r="Q39" s="32" t="n">
        <v>98.81</v>
      </c>
      <c r="R39" s="31" t="inlineStr">
        <is>
          <t>Volume Spike &amp; Near 52W High Breakout</t>
        </is>
      </c>
      <c r="S39" s="31" t="inlineStr">
        <is>
          <t>Nifty 50</t>
        </is>
      </c>
      <c r="T39" s="32" t="n">
        <v>-5.72</v>
      </c>
      <c r="U39" s="32" t="n">
        <v>39.38</v>
      </c>
      <c r="V39" s="32" t="n">
        <v>47.83</v>
      </c>
      <c r="W39" s="32" t="n">
        <v>34.43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IF(B40=0,"",RANK(B40,$B$2:$B$379,0))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NESTLEIND</t>
        </is>
      </c>
      <c r="D40" s="31" t="inlineStr">
        <is>
          <t>Nestle India Limited</t>
        </is>
      </c>
      <c r="E40" s="31" t="inlineStr">
        <is>
          <t>fmcg</t>
        </is>
      </c>
      <c r="F40" s="31" t="inlineStr">
        <is>
          <t>food - processing - mnc</t>
        </is>
      </c>
      <c r="G40" s="31" t="inlineStr">
        <is>
          <t>largecap</t>
        </is>
      </c>
      <c r="H40" s="32" t="n">
        <v>270966.73</v>
      </c>
      <c r="I40" s="32" t="n">
        <v>1453.8</v>
      </c>
      <c r="J40" s="32" t="n">
        <v>3.46</v>
      </c>
      <c r="K40" s="32" t="n">
        <v>2672318</v>
      </c>
      <c r="L40" s="31" t="n">
        <v>31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65.08</v>
      </c>
      <c r="P40" s="32" t="n">
        <v>30.8</v>
      </c>
      <c r="Q40" s="32" t="n">
        <v>1301.43</v>
      </c>
      <c r="R40" s="31" t="inlineStr">
        <is>
          <t>Near 52W High Breakout</t>
        </is>
      </c>
      <c r="S40" s="31" t="inlineStr">
        <is>
          <t>Nifty FMCG</t>
        </is>
      </c>
      <c r="T40" s="32" t="n">
        <v>-9</v>
      </c>
      <c r="U40" s="32" t="n">
        <v>22.68</v>
      </c>
      <c r="V40" s="32" t="n">
        <v>34.82</v>
      </c>
      <c r="W40" s="32" t="n">
        <v>9.050000000000001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B2C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IF(B41=0,"",RANK(B41,$B$2:$B$379,0))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HESTERBIO</t>
        </is>
      </c>
      <c r="D41" s="31" t="inlineStr">
        <is>
          <t>Hester Biosciences Limited</t>
        </is>
      </c>
      <c r="E41" s="31" t="inlineStr">
        <is>
          <t>healthcare</t>
        </is>
      </c>
      <c r="F41" s="31" t="inlineStr">
        <is>
          <t>pharmaceuticals - indian - formulations</t>
        </is>
      </c>
      <c r="G41" s="31" t="inlineStr">
        <is>
          <t>smallcap</t>
        </is>
      </c>
      <c r="H41" s="32" t="n">
        <v>1842.5</v>
      </c>
      <c r="I41" s="32" t="n">
        <v>2198.6</v>
      </c>
      <c r="J41" s="32" t="n">
        <v>1.51</v>
      </c>
      <c r="K41" s="32" t="n">
        <v>4157</v>
      </c>
      <c r="L41" s="31" t="n">
        <v>66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73.18000000000001</v>
      </c>
      <c r="P41" s="32" t="n">
        <v>42.43</v>
      </c>
      <c r="Q41" s="32" t="n">
        <v>1744.84</v>
      </c>
      <c r="R41" s="31" t="inlineStr">
        <is>
          <t>Near 52W High Breakout</t>
        </is>
      </c>
      <c r="S41" s="31" t="inlineStr">
        <is>
          <t>Nifty Pharma</t>
        </is>
      </c>
      <c r="T41" s="32" t="n">
        <v>12.5</v>
      </c>
      <c r="U41" s="32" t="n">
        <v>22.82</v>
      </c>
      <c r="V41" s="32" t="n">
        <v>9.17</v>
      </c>
      <c r="W41" s="32" t="n">
        <v>17.63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IF(B42=0,"",RANK(B42,$B$2:$B$379,0))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SUPRIYA</t>
        </is>
      </c>
      <c r="D42" s="31" t="inlineStr">
        <is>
          <t>Supriya Lifescience Ltd</t>
        </is>
      </c>
      <c r="E42" s="31" t="inlineStr">
        <is>
          <t>healthcare</t>
        </is>
      </c>
      <c r="F42" s="31" t="inlineStr">
        <is>
          <t>pharmaceuticals - indian - bulk drugs &amp; formln</t>
        </is>
      </c>
      <c r="G42" s="31" t="inlineStr">
        <is>
          <t>midcap</t>
        </is>
      </c>
      <c r="H42" s="32" t="n">
        <v>8193.549999999999</v>
      </c>
      <c r="I42" s="32" t="n">
        <v>1009.3</v>
      </c>
      <c r="J42" s="32" t="n">
        <v>-0.86</v>
      </c>
      <c r="K42" s="32" t="n">
        <v>301102</v>
      </c>
      <c r="L42" s="31" t="n">
        <v>76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74.28</v>
      </c>
      <c r="P42" s="32" t="n">
        <v>38.39</v>
      </c>
      <c r="Q42" s="32" t="n">
        <v>758.61</v>
      </c>
      <c r="R42" s="31" t="inlineStr">
        <is>
          <t>Near 52W High Breakout</t>
        </is>
      </c>
      <c r="S42" s="31" t="inlineStr">
        <is>
          <t>Nifty Pharma</t>
        </is>
      </c>
      <c r="T42" s="32" t="n">
        <v>12.5</v>
      </c>
      <c r="U42" s="32" t="n">
        <v>37.47</v>
      </c>
      <c r="V42" s="32" t="n">
        <v>22.2</v>
      </c>
      <c r="W42" s="32" t="n">
        <v>22.71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Between 50% to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IF(B43=0,"",RANK(B43,$B$2:$B$379,0))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ADFFOODS</t>
        </is>
      </c>
      <c r="D43" s="31" t="inlineStr">
        <is>
          <t>Adf Foods Limited</t>
        </is>
      </c>
      <c r="E43" s="31" t="inlineStr">
        <is>
          <t>fmcg</t>
        </is>
      </c>
      <c r="F43" s="31" t="inlineStr">
        <is>
          <t>food - processing - indian</t>
        </is>
      </c>
      <c r="G43" s="31" t="inlineStr">
        <is>
          <t>smallcap</t>
        </is>
      </c>
      <c r="H43" s="32" t="n">
        <v>3413.46</v>
      </c>
      <c r="I43" s="32" t="n">
        <v>307.85</v>
      </c>
      <c r="J43" s="32" t="n">
        <v>-0.92</v>
      </c>
      <c r="K43" s="32" t="n">
        <v>240427</v>
      </c>
      <c r="L43" s="31" t="n">
        <v>75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67.59</v>
      </c>
      <c r="P43" s="32" t="n">
        <v>35.12</v>
      </c>
      <c r="Q43" s="32" t="n">
        <v>227.45</v>
      </c>
      <c r="R43" s="31" t="inlineStr">
        <is>
          <t>Near 52W High Breakout</t>
        </is>
      </c>
      <c r="S43" s="31" t="inlineStr">
        <is>
          <t>Nifty FMCG</t>
        </is>
      </c>
      <c r="T43" s="32" t="n">
        <v>-9</v>
      </c>
      <c r="U43" s="32" t="n">
        <v>15.65</v>
      </c>
      <c r="V43" s="32" t="n">
        <v>27.1</v>
      </c>
      <c r="W43" s="32" t="n">
        <v>21.75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B2C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Annuity, Lower One Time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Less than 50%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IF(B44=0,"",RANK(B44,$B$2:$B$379,0))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SENORES</t>
        </is>
      </c>
      <c r="D44" s="31" t="inlineStr">
        <is>
          <t>Senores Pharmaceuticals Ltd</t>
        </is>
      </c>
      <c r="E44" s="31" t="inlineStr">
        <is>
          <t>healthcare</t>
        </is>
      </c>
      <c r="F44" s="31" t="inlineStr">
        <is>
          <t>pharmaceuticals - indian - formulations</t>
        </is>
      </c>
      <c r="G44" s="31" t="inlineStr">
        <is>
          <t>midcap</t>
        </is>
      </c>
      <c r="H44" s="32" t="n">
        <v>6124.67</v>
      </c>
      <c r="I44" s="32" t="n">
        <v>1313.1</v>
      </c>
      <c r="J44" s="32" t="n">
        <v>-1.26</v>
      </c>
      <c r="K44" s="32" t="n">
        <v>199323</v>
      </c>
      <c r="L44" s="31" t="n">
        <v>90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74.90000000000001</v>
      </c>
      <c r="P44" s="32" t="n">
        <v>52.78</v>
      </c>
      <c r="Q44" s="32" t="n">
        <v>1022.8</v>
      </c>
      <c r="R44" s="31" t="inlineStr">
        <is>
          <t>Near 52W High Breakout</t>
        </is>
      </c>
      <c r="S44" s="31" t="inlineStr">
        <is>
          <t>Nifty Pharma</t>
        </is>
      </c>
      <c r="T44" s="32" t="n">
        <v>12.5</v>
      </c>
      <c r="U44" s="32" t="n">
        <v>131.67</v>
      </c>
      <c r="V44" s="32" t="n">
        <v>105.93</v>
      </c>
      <c r="W44" s="32" t="n">
        <v>34.56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Less than 50%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IF(B45=0,"",RANK(B45,$B$2:$B$379,0))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RAMCOSYS</t>
        </is>
      </c>
      <c r="D45" s="31" t="inlineStr">
        <is>
          <t>Ramco Systems Limited</t>
        </is>
      </c>
      <c r="E45" s="31" t="inlineStr">
        <is>
          <t>i.t</t>
        </is>
      </c>
      <c r="F45" s="31" t="inlineStr">
        <is>
          <t>computers - software - medium / small</t>
        </is>
      </c>
      <c r="G45" s="31" t="inlineStr">
        <is>
          <t>smallcap</t>
        </is>
      </c>
      <c r="H45" s="32" t="n">
        <v>3127.82</v>
      </c>
      <c r="I45" s="32" t="n">
        <v>795.3</v>
      </c>
      <c r="J45" s="32" t="n">
        <v>-4.87</v>
      </c>
      <c r="K45" s="32" t="n">
        <v>6237810</v>
      </c>
      <c r="L45" s="31" t="n">
        <v>95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75.61</v>
      </c>
      <c r="P45" s="32" t="n">
        <v>20.69</v>
      </c>
      <c r="Q45" s="32" t="n">
        <v>567.47</v>
      </c>
      <c r="R45" s="31" t="inlineStr">
        <is>
          <t>Volume Spike &amp; Near 52W High Breakout</t>
        </is>
      </c>
      <c r="S45" s="31" t="inlineStr">
        <is>
          <t>Nifty IT</t>
        </is>
      </c>
      <c r="T45" s="32" t="n">
        <v>-34.2</v>
      </c>
      <c r="U45" s="32" t="n">
        <v>98.48</v>
      </c>
      <c r="V45" s="32" t="n">
        <v>201.66</v>
      </c>
      <c r="W45" s="32" t="n">
        <v>47.89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IF(B46=0,"",RANK(B46,$B$2:$B$379,0))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BHARATSE</t>
        </is>
      </c>
      <c r="D46" s="31" t="inlineStr">
        <is>
          <t>Bharat Seats Ltd</t>
        </is>
      </c>
      <c r="E46" s="31" t="inlineStr">
        <is>
          <t>auto</t>
        </is>
      </c>
      <c r="F46" s="31" t="inlineStr">
        <is>
          <t>auto ancillaries</t>
        </is>
      </c>
      <c r="G46" s="31" t="inlineStr">
        <is>
          <t>smallcap</t>
        </is>
      </c>
      <c r="H46" s="32" t="n">
        <v>1192.38</v>
      </c>
      <c r="I46" s="32" t="n">
        <v>222.58</v>
      </c>
      <c r="J46" s="32" t="n">
        <v>17.23</v>
      </c>
      <c r="K46" s="32" t="n">
        <v>12962491</v>
      </c>
      <c r="L46" s="31" t="n">
        <v>86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64.23</v>
      </c>
      <c r="P46" s="32" t="n">
        <v>21.65</v>
      </c>
      <c r="Q46" s="32" t="n">
        <v>156.61</v>
      </c>
      <c r="R46" s="31" t="inlineStr">
        <is>
          <t>Volume Spike &amp; Near 52W High Breakout</t>
        </is>
      </c>
      <c r="S46" s="31" t="inlineStr">
        <is>
          <t>Nifty Auto</t>
        </is>
      </c>
      <c r="T46" s="32" t="n">
        <v>11.69</v>
      </c>
      <c r="U46" s="32" t="n">
        <v>108.43</v>
      </c>
      <c r="V46" s="32" t="n">
        <v>86.62</v>
      </c>
      <c r="W46" s="32" t="n">
        <v>29.35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Between 12 to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IF(B47=0,"",RANK(B47,$B$2:$B$379,0))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PARACABLES</t>
        </is>
      </c>
      <c r="D47" s="31" t="inlineStr">
        <is>
          <t>Paramount Communications Limited</t>
        </is>
      </c>
      <c r="E47" s="31" t="inlineStr">
        <is>
          <t>industrials</t>
        </is>
      </c>
      <c r="F47" s="31" t="inlineStr">
        <is>
          <t>cables - power</t>
        </is>
      </c>
      <c r="G47" s="31" t="inlineStr">
        <is>
          <t>smallcap</t>
        </is>
      </c>
      <c r="H47" s="32" t="n">
        <v>2106.56</v>
      </c>
      <c r="I47" s="32" t="n">
        <v>74.13</v>
      </c>
      <c r="J47" s="32" t="n">
        <v>7.4</v>
      </c>
      <c r="K47" s="32" t="n">
        <v>6412453</v>
      </c>
      <c r="L47" s="31" t="n">
        <v>92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73.20999999999999</v>
      </c>
      <c r="P47" s="32" t="n">
        <v>42.58</v>
      </c>
      <c r="Q47" s="32" t="n">
        <v>52.09</v>
      </c>
      <c r="R47" s="31" t="inlineStr">
        <is>
          <t>Near 52W High Breakout</t>
        </is>
      </c>
      <c r="S47" s="31" t="inlineStr">
        <is>
          <t>Nifty Energy</t>
        </is>
      </c>
      <c r="T47" s="32" t="n">
        <v>8.92</v>
      </c>
      <c r="U47" s="32" t="n">
        <v>25.54</v>
      </c>
      <c r="V47" s="32" t="n">
        <v>15.26</v>
      </c>
      <c r="W47" s="32" t="n">
        <v>40.37</v>
      </c>
      <c r="X47" s="31" t="inlineStr">
        <is>
          <t>Cyclical in an Upturn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Less than 12%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IF(B48=0,"",RANK(B48,$B$2:$B$379,0))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KIRLPNU</t>
        </is>
      </c>
      <c r="D48" s="31" t="inlineStr">
        <is>
          <t>Kirloskar Pneumatic Company Ltd</t>
        </is>
      </c>
      <c r="E48" s="31" t="inlineStr">
        <is>
          <t>industrials</t>
        </is>
      </c>
      <c r="F48" s="31" t="inlineStr">
        <is>
          <t>compressors / drilling equipment</t>
        </is>
      </c>
      <c r="G48" s="31" t="inlineStr">
        <is>
          <t>midcap</t>
        </is>
      </c>
      <c r="H48" s="32" t="n">
        <v>12686.33</v>
      </c>
      <c r="I48" s="32" t="n">
        <v>2000.9</v>
      </c>
      <c r="J48" s="32" t="n">
        <v>2.45</v>
      </c>
      <c r="K48" s="32" t="n">
        <v>293421</v>
      </c>
      <c r="L48" s="31" t="n">
        <v>84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81.90000000000001</v>
      </c>
      <c r="P48" s="32" t="n">
        <v>49.47</v>
      </c>
      <c r="Q48" s="32" t="n">
        <v>1554.7</v>
      </c>
      <c r="R48" s="31" t="inlineStr">
        <is>
          <t>Near 52W High Breakout</t>
        </is>
      </c>
      <c r="S48" s="31" t="inlineStr">
        <is>
          <t>Nifty 50</t>
        </is>
      </c>
      <c r="T48" s="32" t="n">
        <v>-5.72</v>
      </c>
      <c r="U48" s="32" t="n">
        <v>39.78</v>
      </c>
      <c r="V48" s="32" t="n">
        <v>48.25</v>
      </c>
      <c r="W48" s="32" t="n">
        <v>28.42</v>
      </c>
      <c r="X48" s="31" t="inlineStr">
        <is>
          <t>Cyclical in an Upturn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Between 50% to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IF(B49=0,"",RANK(B49,$B$2:$B$379,0))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RISHABH</t>
        </is>
      </c>
      <c r="D49" s="31" t="inlineStr">
        <is>
          <t>Rishabh Instruments Ltd</t>
        </is>
      </c>
      <c r="E49" s="31" t="inlineStr">
        <is>
          <t>industrials</t>
        </is>
      </c>
      <c r="F49" s="31" t="inlineStr">
        <is>
          <t>electric equipment</t>
        </is>
      </c>
      <c r="G49" s="31" t="inlineStr">
        <is>
          <t>smallcap</t>
        </is>
      </c>
      <c r="H49" s="32" t="n">
        <v>2205.02</v>
      </c>
      <c r="I49" s="32" t="n">
        <v>584.8</v>
      </c>
      <c r="J49" s="32" t="n">
        <v>2.23</v>
      </c>
      <c r="K49" s="32" t="n">
        <v>70744</v>
      </c>
      <c r="L49" s="31" t="n">
        <v>83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67</v>
      </c>
      <c r="P49" s="32" t="n">
        <v>34.91</v>
      </c>
      <c r="Q49" s="32" t="n">
        <v>427.08</v>
      </c>
      <c r="R49" s="31" t="inlineStr">
        <is>
          <t>Near 52W High Breakout</t>
        </is>
      </c>
      <c r="S49" s="31" t="inlineStr">
        <is>
          <t>Nifty 50</t>
        </is>
      </c>
      <c r="T49" s="32" t="n">
        <v>-5.72</v>
      </c>
      <c r="U49" s="32" t="n">
        <v>105.37</v>
      </c>
      <c r="V49" s="32" t="n">
        <v>117.82</v>
      </c>
      <c r="W49" s="32" t="n">
        <v>28.23</v>
      </c>
      <c r="X49" s="31" t="inlineStr">
        <is>
          <t>Cyclical in an Upturn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IF(B50=0,"",RANK(B50,$B$2:$B$379,0))</f>
        <v/>
      </c>
      <c r="B50" s="32">
        <f>SUM(N50,Y50,AA50,AC50,AE50,AG50,AI50,AK50,AM50,AO50,AQ50,AS50,AU50,AW50,AY50,BA50,BC50,BE50,BG50,BI50,BK50,BM50,BO50,BQ50,BS50,BU50,BW50,BY50,CA50,CC50,CE50)</f>
        <v/>
      </c>
      <c r="C50" s="33" t="inlineStr">
        <is>
          <t>SOMANYCERA</t>
        </is>
      </c>
      <c r="D50" s="33" t="inlineStr">
        <is>
          <t>Somany Ceramics Limited</t>
        </is>
      </c>
      <c r="E50" s="31" t="inlineStr">
        <is>
          <t>building materials</t>
        </is>
      </c>
      <c r="F50" s="31" t="inlineStr">
        <is>
          <t>ceramics - tiles / sanitaryware</t>
        </is>
      </c>
      <c r="G50" s="31" t="inlineStr">
        <is>
          <t>smallcap</t>
        </is>
      </c>
      <c r="H50" s="32" t="n">
        <v>2189.47</v>
      </c>
      <c r="I50" s="32" t="n">
        <v>539.25</v>
      </c>
      <c r="J50" s="32" t="n">
        <v>1.01</v>
      </c>
      <c r="K50" s="32" t="n">
        <v>135024</v>
      </c>
      <c r="L50" s="31" t="n">
        <v>29</v>
      </c>
      <c r="M50" s="31" t="inlineStr">
        <is>
          <t>Underperforming</t>
        </is>
      </c>
      <c r="N50" s="32">
        <f>IF(M50="Underperforming",-5,IF(L50&gt;=95,15,IF(L50&gt;=90,10,IF(L50&gt;=80,5,0))))</f>
        <v/>
      </c>
      <c r="O50" s="32" t="n">
        <v>66.31</v>
      </c>
      <c r="P50" s="32" t="n">
        <v>26.22</v>
      </c>
      <c r="Q50" s="32" t="n">
        <v>416.67</v>
      </c>
      <c r="R50" s="31" t="inlineStr">
        <is>
          <t>Near 52W High Breakout</t>
        </is>
      </c>
      <c r="S50" s="31" t="inlineStr">
        <is>
          <t>Nifty Infra</t>
        </is>
      </c>
      <c r="T50" s="32" t="n">
        <v>0.09</v>
      </c>
      <c r="U50" s="32" t="n">
        <v>-7.34</v>
      </c>
      <c r="V50" s="32" t="n">
        <v>-7.42</v>
      </c>
      <c r="W50" s="32" t="n">
        <v>8.48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IF(B51=0,"",RANK(B51,$B$2:$B$379,0))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SANGHVIMOV</t>
        </is>
      </c>
      <c r="D51" s="31" t="inlineStr">
        <is>
          <t>Sanghvi Movers Limited</t>
        </is>
      </c>
      <c r="E51" s="31" t="inlineStr">
        <is>
          <t>miscellaneous</t>
        </is>
      </c>
      <c r="F51" s="31" t="inlineStr">
        <is>
          <t>miscellaneous</t>
        </is>
      </c>
      <c r="G51" s="31" t="inlineStr">
        <is>
          <t>smallcap</t>
        </is>
      </c>
      <c r="H51" s="32" t="n">
        <v>3795.49</v>
      </c>
      <c r="I51" s="32" t="n">
        <v>442.05</v>
      </c>
      <c r="J51" s="32" t="n">
        <v>0.83</v>
      </c>
      <c r="K51" s="32" t="n">
        <v>529156</v>
      </c>
      <c r="L51" s="31" t="n">
        <v>79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70.83</v>
      </c>
      <c r="P51" s="32" t="n">
        <v>25.86</v>
      </c>
      <c r="Q51" s="32" t="n">
        <v>328.45</v>
      </c>
      <c r="R51" s="31" t="inlineStr">
        <is>
          <t>Near 52W High Breakout</t>
        </is>
      </c>
      <c r="S51" s="31" t="inlineStr">
        <is>
          <t>Nifty 50</t>
        </is>
      </c>
      <c r="T51" s="32" t="n">
        <v>-5.72</v>
      </c>
      <c r="U51" s="32" t="n">
        <v>58.95</v>
      </c>
      <c r="V51" s="32" t="n">
        <v>68.59</v>
      </c>
      <c r="W51" s="32" t="n">
        <v>23.98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Between 50% to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IF(B52=0,"",RANK(B52,$B$2:$B$379,0))</f>
        <v/>
      </c>
      <c r="B52" s="32">
        <f>SUM(N52,Y52,AA52,AC52,AE52,AG52,AI52,AK52,AM52,AO52,AQ52,AS52,AU52,AW52,AY52,BA52,BC52,BE52,BG52,BI52,BK52,BM52,BO52,BQ52,BS52,BU52,BW52,BY52,CA52,CC52,CE52)</f>
        <v/>
      </c>
      <c r="C52" s="33" t="inlineStr">
        <is>
          <t>IMPAL</t>
        </is>
      </c>
      <c r="D52" s="33" t="inlineStr">
        <is>
          <t>India Motor Parts And Accessories Limited</t>
        </is>
      </c>
      <c r="E52" s="31" t="inlineStr">
        <is>
          <t>auto</t>
        </is>
      </c>
      <c r="F52" s="31" t="inlineStr">
        <is>
          <t>auto ancillaries</t>
        </is>
      </c>
      <c r="G52" s="31" t="inlineStr">
        <is>
          <t>smallcap</t>
        </is>
      </c>
      <c r="H52" s="32" t="n">
        <v>1375.42</v>
      </c>
      <c r="I52" s="32" t="n">
        <v>1105</v>
      </c>
      <c r="J52" s="32" t="n">
        <v>0.26</v>
      </c>
      <c r="K52" s="32" t="n">
        <v>1526</v>
      </c>
      <c r="L52" s="31" t="n">
        <v>6</v>
      </c>
      <c r="M52" s="31" t="inlineStr">
        <is>
          <t>Underperforming</t>
        </is>
      </c>
      <c r="N52" s="32">
        <f>IF(M52="Underperforming",-5,IF(L52&gt;=95,15,IF(L52&gt;=90,10,IF(L52&gt;=80,5,0))))</f>
        <v/>
      </c>
      <c r="O52" s="32" t="n">
        <v>60.65</v>
      </c>
      <c r="P52" s="32" t="n">
        <v>20.71</v>
      </c>
      <c r="Q52" s="32" t="n">
        <v>928.84</v>
      </c>
      <c r="R52" s="31" t="inlineStr">
        <is>
          <t>Near 52W High Breakout</t>
        </is>
      </c>
      <c r="S52" s="31" t="inlineStr">
        <is>
          <t>Nifty Auto</t>
        </is>
      </c>
      <c r="T52" s="32" t="n">
        <v>11.69</v>
      </c>
      <c r="U52" s="32" t="n">
        <v>-1.51</v>
      </c>
      <c r="V52" s="32" t="n">
        <v>-11.82</v>
      </c>
      <c r="W52" s="32" t="n">
        <v>2.72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IF(B53=0,"",RANK(B53,$B$2:$B$379,0))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INDOTECH</t>
        </is>
      </c>
      <c r="D53" s="31" t="inlineStr">
        <is>
          <t>Indo Tech Transformers Limited</t>
        </is>
      </c>
      <c r="E53" s="31" t="inlineStr">
        <is>
          <t>industrials</t>
        </is>
      </c>
      <c r="F53" s="31" t="inlineStr">
        <is>
          <t>electric equipment</t>
        </is>
      </c>
      <c r="G53" s="31" t="inlineStr">
        <is>
          <t>smallcap</t>
        </is>
      </c>
      <c r="H53" s="32" t="n">
        <v>3436.53</v>
      </c>
      <c r="I53" s="32" t="n">
        <v>3239.9</v>
      </c>
      <c r="J53" s="32" t="n">
        <v>0.12</v>
      </c>
      <c r="K53" s="32" t="n">
        <v>139360</v>
      </c>
      <c r="L53" s="31" t="n">
        <v>97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73.40000000000001</v>
      </c>
      <c r="P53" s="32" t="n">
        <v>42.46</v>
      </c>
      <c r="Q53" s="32" t="n">
        <v>2343.53</v>
      </c>
      <c r="R53" s="31" t="inlineStr">
        <is>
          <t>Near 52W High Breakout</t>
        </is>
      </c>
      <c r="S53" s="31" t="inlineStr">
        <is>
          <t>Nifty 50</t>
        </is>
      </c>
      <c r="T53" s="32" t="n">
        <v>-5.72</v>
      </c>
      <c r="U53" s="32" t="n">
        <v>67.91</v>
      </c>
      <c r="V53" s="32" t="n">
        <v>78.08</v>
      </c>
      <c r="W53" s="32" t="n">
        <v>55.6</v>
      </c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Between 12 to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Less than 50%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IF(B54=0,"",RANK(B54,$B$2:$B$379,0))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AVALON</t>
        </is>
      </c>
      <c r="D54" s="31" t="inlineStr">
        <is>
          <t>Avalon Technologies Ltd</t>
        </is>
      </c>
      <c r="E54" s="31" t="inlineStr">
        <is>
          <t>consumer discretionary</t>
        </is>
      </c>
      <c r="F54" s="31" t="inlineStr">
        <is>
          <t>electronics - components</t>
        </is>
      </c>
      <c r="G54" s="31" t="inlineStr">
        <is>
          <t>midcap</t>
        </is>
      </c>
      <c r="H54" s="32" t="n">
        <v>12030.59</v>
      </c>
      <c r="I54" s="32" t="n">
        <v>1795.3</v>
      </c>
      <c r="J54" s="32" t="n">
        <v>-0.37</v>
      </c>
      <c r="K54" s="32" t="n">
        <v>360010</v>
      </c>
      <c r="L54" s="31" t="n">
        <v>91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78.81999999999999</v>
      </c>
      <c r="P54" s="32" t="n">
        <v>47.4</v>
      </c>
      <c r="Q54" s="32" t="n">
        <v>1360.52</v>
      </c>
      <c r="R54" s="31" t="inlineStr">
        <is>
          <t>Near 52W High Breakout</t>
        </is>
      </c>
      <c r="S54" s="31" t="inlineStr">
        <is>
          <t>Nifty 50</t>
        </is>
      </c>
      <c r="T54" s="32" t="n">
        <v>-5.72</v>
      </c>
      <c r="U54" s="32" t="n">
        <v>115.7</v>
      </c>
      <c r="V54" s="32" t="n">
        <v>128.78</v>
      </c>
      <c r="W54" s="32" t="n">
        <v>39.87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Between 1.5 to 2</t>
        </is>
      </c>
      <c r="BU54" s="31">
        <f>IF(BT54="Above 2",0,IF(BT54="Between 1.5 to 2",5,IF(BT54="Less than 1.5",10,0)))</f>
        <v/>
      </c>
      <c r="BV54" s="31" t="inlineStr">
        <is>
          <t>Less than 50%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IF(B55=0,"",RANK(B55,$B$2:$B$379,0))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ASTRAMICRO</t>
        </is>
      </c>
      <c r="D55" s="31" t="inlineStr">
        <is>
          <t>Astra Microwave Products Limited</t>
        </is>
      </c>
      <c r="E55" s="31" t="inlineStr">
        <is>
          <t>aerospace &amp; defence</t>
        </is>
      </c>
      <c r="F55" s="31" t="inlineStr">
        <is>
          <t>telecommunications - equipment</t>
        </is>
      </c>
      <c r="G55" s="31" t="inlineStr">
        <is>
          <t>midcap</t>
        </is>
      </c>
      <c r="H55" s="32" t="n">
        <v>16725.51</v>
      </c>
      <c r="I55" s="32" t="n">
        <v>1752.5</v>
      </c>
      <c r="J55" s="32" t="n">
        <v>-0.52</v>
      </c>
      <c r="K55" s="32" t="n">
        <v>456020</v>
      </c>
      <c r="L55" s="31" t="n">
        <v>87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83.98999999999999</v>
      </c>
      <c r="P55" s="32" t="n">
        <v>43.03</v>
      </c>
      <c r="Q55" s="32" t="n">
        <v>1399.29</v>
      </c>
      <c r="R55" s="31" t="inlineStr">
        <is>
          <t>Near 52W High Breakout</t>
        </is>
      </c>
      <c r="S55" s="31" t="inlineStr">
        <is>
          <t>Nifty 50</t>
        </is>
      </c>
      <c r="T55" s="32" t="n">
        <v>-5.72</v>
      </c>
      <c r="U55" s="32" t="n">
        <v>63.18</v>
      </c>
      <c r="V55" s="32" t="n">
        <v>73.06999999999999</v>
      </c>
      <c r="W55" s="32" t="n">
        <v>31.4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Oligopoly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Between 1.5 to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IF(B56=0,"",RANK(B56,$B$2:$B$379,0))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RRKABEL</t>
        </is>
      </c>
      <c r="D56" s="31" t="inlineStr">
        <is>
          <t>R R Kabel Ltd</t>
        </is>
      </c>
      <c r="E56" s="31" t="inlineStr">
        <is>
          <t>industrials</t>
        </is>
      </c>
      <c r="F56" s="31" t="inlineStr">
        <is>
          <t>cables - power</t>
        </is>
      </c>
      <c r="G56" s="31" t="inlineStr">
        <is>
          <t>largecap</t>
        </is>
      </c>
      <c r="H56" s="32" t="n">
        <v>27091.03</v>
      </c>
      <c r="I56" s="32" t="n">
        <v>2381.7</v>
      </c>
      <c r="J56" s="32" t="n">
        <v>-0.5600000000000001</v>
      </c>
      <c r="K56" s="32" t="n">
        <v>341269</v>
      </c>
      <c r="L56" s="31" t="n">
        <v>88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74.31</v>
      </c>
      <c r="P56" s="32" t="n">
        <v>51.33</v>
      </c>
      <c r="Q56" s="32" t="n">
        <v>1990.31</v>
      </c>
      <c r="R56" s="31" t="inlineStr">
        <is>
          <t>Near 52W High Breakout</t>
        </is>
      </c>
      <c r="S56" s="31" t="inlineStr">
        <is>
          <t>Nifty Energy</t>
        </is>
      </c>
      <c r="T56" s="32" t="n">
        <v>8.92</v>
      </c>
      <c r="U56" s="32" t="n">
        <v>74.98999999999999</v>
      </c>
      <c r="V56" s="32" t="n">
        <v>60.66</v>
      </c>
      <c r="W56" s="32" t="n">
        <v>31.77</v>
      </c>
      <c r="X56" s="31" t="inlineStr">
        <is>
          <t>Cyclical in an Upturn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Between 1.5 to 2</t>
        </is>
      </c>
      <c r="BU56" s="31">
        <f>IF(BT56="Above 2",0,IF(BT56="Between 1.5 to 2",5,IF(BT56="Less than 1.5",10,0)))</f>
        <v/>
      </c>
      <c r="BV56" s="31" t="inlineStr">
        <is>
          <t>Less than 50%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IF(B57=0,"",RANK(B57,$B$2:$B$379,0))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BELRISE</t>
        </is>
      </c>
      <c r="D57" s="31" t="inlineStr">
        <is>
          <t>Belrise Industries Ltd</t>
        </is>
      </c>
      <c r="E57" s="31" t="inlineStr">
        <is>
          <t>auto</t>
        </is>
      </c>
      <c r="F57" s="31" t="inlineStr">
        <is>
          <t>auto ancillaries</t>
        </is>
      </c>
      <c r="G57" s="31" t="inlineStr">
        <is>
          <t>largecap</t>
        </is>
      </c>
      <c r="H57" s="32" t="n">
        <v>21229.85</v>
      </c>
      <c r="I57" s="32" t="n">
        <v>237</v>
      </c>
      <c r="J57" s="32" t="n">
        <v>-0.66</v>
      </c>
      <c r="K57" s="32" t="n">
        <v>2264729</v>
      </c>
      <c r="L57" s="31" t="n">
        <v>81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68.40000000000001</v>
      </c>
      <c r="P57" s="32" t="n">
        <v>55.31</v>
      </c>
      <c r="Q57" s="32" t="n">
        <v>197.82</v>
      </c>
      <c r="R57" s="31" t="inlineStr">
        <is>
          <t>Near 52W High Breakout</t>
        </is>
      </c>
      <c r="S57" s="31" t="inlineStr">
        <is>
          <t>Nifty Auto</t>
        </is>
      </c>
      <c r="T57" s="32" t="n">
        <v>11.69</v>
      </c>
      <c r="U57" s="32" t="n">
        <v>130.46</v>
      </c>
      <c r="V57" s="32" t="n">
        <v>106.34</v>
      </c>
      <c r="W57" s="32" t="n">
        <v>24.72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Less than 12%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IF(B58=0,"",RANK(B58,$B$2:$B$379,0))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ADOR</t>
        </is>
      </c>
      <c r="D58" s="31" t="inlineStr">
        <is>
          <t>Ador Welding Ltd</t>
        </is>
      </c>
      <c r="E58" s="31" t="inlineStr">
        <is>
          <t>industrials</t>
        </is>
      </c>
      <c r="F58" s="31" t="inlineStr">
        <is>
          <t>electrodes - welding equipment</t>
        </is>
      </c>
      <c r="G58" s="31" t="inlineStr">
        <is>
          <t>smallcap</t>
        </is>
      </c>
      <c r="H58" s="32" t="n">
        <v>2208.77</v>
      </c>
      <c r="I58" s="32" t="n">
        <v>1248.4</v>
      </c>
      <c r="J58" s="32" t="n">
        <v>-1.64</v>
      </c>
      <c r="K58" s="32" t="n">
        <v>15718</v>
      </c>
      <c r="L58" s="31" t="n">
        <v>52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69.55</v>
      </c>
      <c r="P58" s="32" t="n">
        <v>27.54</v>
      </c>
      <c r="Q58" s="32" t="n">
        <v>997.38</v>
      </c>
      <c r="R58" s="31" t="inlineStr">
        <is>
          <t>Near 52W High Breakout</t>
        </is>
      </c>
      <c r="S58" s="31" t="inlineStr">
        <is>
          <t>Nifty 50</t>
        </is>
      </c>
      <c r="T58" s="32" t="n">
        <v>-5.72</v>
      </c>
      <c r="U58" s="32" t="n">
        <v>15.32</v>
      </c>
      <c r="V58" s="32" t="n">
        <v>22.31</v>
      </c>
      <c r="W58" s="32" t="n">
        <v>13.41</v>
      </c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IF(B59=0,"",RANK(B59,$B$2:$B$379,0))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NITINSPIN</t>
        </is>
      </c>
      <c r="D59" s="31" t="inlineStr">
        <is>
          <t>Nitin Spinners Limited</t>
        </is>
      </c>
      <c r="E59" s="31" t="inlineStr">
        <is>
          <t>textiles</t>
        </is>
      </c>
      <c r="F59" s="31" t="inlineStr">
        <is>
          <t>textiles - cotton/blended</t>
        </is>
      </c>
      <c r="G59" s="31" t="inlineStr">
        <is>
          <t>smallcap</t>
        </is>
      </c>
      <c r="H59" s="32" t="n">
        <v>3215.78</v>
      </c>
      <c r="I59" s="32" t="n">
        <v>556.15</v>
      </c>
      <c r="J59" s="32" t="n">
        <v>-2.77</v>
      </c>
      <c r="K59" s="32" t="n">
        <v>139471</v>
      </c>
      <c r="L59" s="31" t="n">
        <v>69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76.08</v>
      </c>
      <c r="P59" s="32" t="n">
        <v>63.08</v>
      </c>
      <c r="Q59" s="32" t="n">
        <v>448.81</v>
      </c>
      <c r="R59" s="31" t="inlineStr">
        <is>
          <t>Near 52W High Breakout</t>
        </is>
      </c>
      <c r="S59" s="31" t="inlineStr">
        <is>
          <t>Nifty 50</t>
        </is>
      </c>
      <c r="T59" s="32" t="n">
        <v>-5.72</v>
      </c>
      <c r="U59" s="32" t="n">
        <v>42.68</v>
      </c>
      <c r="V59" s="32" t="n">
        <v>51.33</v>
      </c>
      <c r="W59" s="32" t="n">
        <v>18.92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Between 0.7 to 1.2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IF(B60=0,"",RANK(B60,$B$2:$B$379,0))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BHAGYANGR</t>
        </is>
      </c>
      <c r="D60" s="31" t="inlineStr">
        <is>
          <t>Bhagyanagar India</t>
        </is>
      </c>
      <c r="E60" s="31" t="inlineStr">
        <is>
          <t>power &amp; utilities</t>
        </is>
      </c>
      <c r="F60" s="31" t="inlineStr">
        <is>
          <t>power generation and supply</t>
        </is>
      </c>
      <c r="G60" s="31" t="inlineStr">
        <is>
          <t>smallcap</t>
        </is>
      </c>
      <c r="H60" s="32" t="n">
        <v>1381.7</v>
      </c>
      <c r="I60" s="32" t="n">
        <v>410.3</v>
      </c>
      <c r="J60" s="32" t="n">
        <v>-4.99</v>
      </c>
      <c r="K60" s="32" t="n">
        <v>245208</v>
      </c>
      <c r="L60" s="31" t="n">
        <v>98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83.79000000000001</v>
      </c>
      <c r="P60" s="32" t="n">
        <v>66.38</v>
      </c>
      <c r="Q60" s="32" t="n">
        <v>295.83</v>
      </c>
      <c r="R60" s="31" t="inlineStr">
        <is>
          <t>Near 52W High Breakout</t>
        </is>
      </c>
      <c r="S60" s="31" t="inlineStr">
        <is>
          <t>Nifty IT</t>
        </is>
      </c>
      <c r="T60" s="32" t="n">
        <v>-34.2</v>
      </c>
      <c r="U60" s="32" t="n">
        <v>417.79</v>
      </c>
      <c r="V60" s="32" t="n">
        <v>686.98</v>
      </c>
      <c r="W60" s="32" t="n">
        <v>84.66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Between 50% to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Between 0.7 to 1.2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IF(B61=0,"",RANK(B61,$B$2:$B$379,0))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SKMEGGPROD</t>
        </is>
      </c>
      <c r="D61" s="31" t="inlineStr">
        <is>
          <t>Skm Egg Products Export (india) Limited</t>
        </is>
      </c>
      <c r="E61" s="31" t="inlineStr">
        <is>
          <t>fmcg</t>
        </is>
      </c>
      <c r="F61" s="31" t="inlineStr">
        <is>
          <t>food - processing - indian</t>
        </is>
      </c>
      <c r="G61" s="31" t="inlineStr">
        <is>
          <t>smallcap</t>
        </is>
      </c>
      <c r="H61" s="32" t="n">
        <v>1543.04</v>
      </c>
      <c r="I61" s="32" t="n">
        <v>317.3</v>
      </c>
      <c r="J61" s="32" t="n">
        <v>8.289999999999999</v>
      </c>
      <c r="K61" s="32" t="n">
        <v>1551270</v>
      </c>
      <c r="L61" s="31" t="n">
        <v>94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79.73</v>
      </c>
      <c r="P61" s="32" t="n">
        <v>30.67</v>
      </c>
      <c r="Q61" s="32" t="n">
        <v>233.29</v>
      </c>
      <c r="R61" s="31" t="inlineStr">
        <is>
          <t>Near 52W High Breakout</t>
        </is>
      </c>
      <c r="S61" s="31" t="inlineStr">
        <is>
          <t>Nifty FMCG</t>
        </is>
      </c>
      <c r="T61" s="32" t="n">
        <v>-9</v>
      </c>
      <c r="U61" s="32" t="n">
        <v>138.12</v>
      </c>
      <c r="V61" s="32" t="n">
        <v>161.69</v>
      </c>
      <c r="W61" s="32" t="n">
        <v>45.12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B2C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Less than 50%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IF(B62=0,"",RANK(B62,$B$2:$B$379,0))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NINSYS</t>
        </is>
      </c>
      <c r="D62" s="31" t="inlineStr">
        <is>
          <t>NINtec Systems Ltd</t>
        </is>
      </c>
      <c r="E62" s="31" t="inlineStr">
        <is>
          <t>i.t</t>
        </is>
      </c>
      <c r="F62" s="31" t="inlineStr">
        <is>
          <t>computers - software - medium / small</t>
        </is>
      </c>
      <c r="G62" s="31" t="inlineStr">
        <is>
          <t>smallcap</t>
        </is>
      </c>
      <c r="H62" s="32" t="n">
        <v>1532.24</v>
      </c>
      <c r="I62" s="32" t="n">
        <v>839.65</v>
      </c>
      <c r="J62" s="32" t="n">
        <v>1.79</v>
      </c>
      <c r="K62" s="32" t="n">
        <v>6347</v>
      </c>
      <c r="L62" s="31" t="n">
        <v>94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85.19</v>
      </c>
      <c r="P62" s="32" t="n">
        <v>59.52</v>
      </c>
      <c r="Q62" s="32" t="n">
        <v>645.99</v>
      </c>
      <c r="R62" s="31" t="inlineStr">
        <is>
          <t>Near 52W High Breakout</t>
        </is>
      </c>
      <c r="S62" s="31" t="inlineStr">
        <is>
          <t>Nifty IT</t>
        </is>
      </c>
      <c r="T62" s="32" t="n">
        <v>-34.2</v>
      </c>
      <c r="U62" s="32" t="n">
        <v>86.40000000000001</v>
      </c>
      <c r="V62" s="32" t="n">
        <v>183.31</v>
      </c>
      <c r="W62" s="32" t="n">
        <v>44.34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Between 12 to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Between 50% to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IF(B63=0,"",RANK(B63,$B$2:$B$379,0))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MARICO</t>
        </is>
      </c>
      <c r="D63" s="31" t="inlineStr">
        <is>
          <t>Marico Limited</t>
        </is>
      </c>
      <c r="E63" s="31" t="inlineStr">
        <is>
          <t>fmcg</t>
        </is>
      </c>
      <c r="F63" s="31" t="inlineStr">
        <is>
          <t>solvent extraction</t>
        </is>
      </c>
      <c r="G63" s="31" t="inlineStr">
        <is>
          <t>largecap</t>
        </is>
      </c>
      <c r="H63" s="32" t="n">
        <v>108557.7</v>
      </c>
      <c r="I63" s="32" t="n">
        <v>851</v>
      </c>
      <c r="J63" s="32" t="n">
        <v>1.76</v>
      </c>
      <c r="K63" s="32" t="n">
        <v>1497295</v>
      </c>
      <c r="L63" s="31" t="n">
        <v>17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67.77</v>
      </c>
      <c r="P63" s="32" t="n">
        <v>20.5</v>
      </c>
      <c r="Q63" s="32" t="n">
        <v>754.63</v>
      </c>
      <c r="R63" s="31" t="inlineStr">
        <is>
          <t>Near 52W High Breakout</t>
        </is>
      </c>
      <c r="S63" s="31" t="inlineStr">
        <is>
          <t>Nifty FMCG</t>
        </is>
      </c>
      <c r="T63" s="32" t="n">
        <v>-9</v>
      </c>
      <c r="U63" s="32" t="n">
        <v>17.96</v>
      </c>
      <c r="V63" s="32" t="n">
        <v>29.64</v>
      </c>
      <c r="W63" s="32" t="n">
        <v>5.83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B2C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Between 12 to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IF(B64=0,"",RANK(B64,$B$2:$B$379,0))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SPARC</t>
        </is>
      </c>
      <c r="D64" s="31" t="inlineStr">
        <is>
          <t>Sun Pharma Advanced Research Company Limited</t>
        </is>
      </c>
      <c r="E64" s="31" t="inlineStr">
        <is>
          <t>healthcare</t>
        </is>
      </c>
      <c r="F64" s="31" t="inlineStr">
        <is>
          <t>miscellaneous</t>
        </is>
      </c>
      <c r="G64" s="31" t="inlineStr">
        <is>
          <t>midcap</t>
        </is>
      </c>
      <c r="H64" s="32" t="n">
        <v>7618.14</v>
      </c>
      <c r="I64" s="32" t="n">
        <v>237.5</v>
      </c>
      <c r="J64" s="32" t="n">
        <v>1.17</v>
      </c>
      <c r="K64" s="32" t="n">
        <v>1518384</v>
      </c>
      <c r="L64" s="31" t="n">
        <v>88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73.87</v>
      </c>
      <c r="P64" s="32" t="n">
        <v>57.94</v>
      </c>
      <c r="Q64" s="32" t="n">
        <v>167.87</v>
      </c>
      <c r="R64" s="31" t="inlineStr">
        <is>
          <t>Near 52W High Breakout</t>
        </is>
      </c>
      <c r="S64" s="31" t="inlineStr">
        <is>
          <t>Nifty Pharma</t>
        </is>
      </c>
      <c r="T64" s="32" t="n">
        <v>12.5</v>
      </c>
      <c r="U64" s="32" t="n">
        <v>49.52</v>
      </c>
      <c r="V64" s="32" t="n">
        <v>32.91</v>
      </c>
      <c r="W64" s="32" t="n">
        <v>32.04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Annuity, Lower One Time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Negative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IF(B65=0,"",RANK(B65,$B$2:$B$379,0))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ACUTAAS</t>
        </is>
      </c>
      <c r="D65" s="31" t="inlineStr">
        <is>
          <t>Acutaas Chemicals Ltd</t>
        </is>
      </c>
      <c r="E65" s="31" t="inlineStr">
        <is>
          <t>healthcare</t>
        </is>
      </c>
      <c r="F65" s="31" t="inlineStr">
        <is>
          <t>pharmaceuticals - indian - bulk drugs</t>
        </is>
      </c>
      <c r="G65" s="31" t="inlineStr">
        <is>
          <t>largecap</t>
        </is>
      </c>
      <c r="H65" s="32" t="n">
        <v>28869.4</v>
      </c>
      <c r="I65" s="32" t="n">
        <v>3567.5</v>
      </c>
      <c r="J65" s="32" t="n">
        <v>1.17</v>
      </c>
      <c r="K65" s="32" t="n">
        <v>349604</v>
      </c>
      <c r="L65" s="31" t="n">
        <v>93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77.7</v>
      </c>
      <c r="P65" s="32" t="n">
        <v>64.81</v>
      </c>
      <c r="Q65" s="32" t="n">
        <v>2801.01</v>
      </c>
      <c r="R65" s="31" t="inlineStr">
        <is>
          <t>Near 52W High Breakout</t>
        </is>
      </c>
      <c r="S65" s="31" t="inlineStr">
        <is>
          <t>Nifty Pharma</t>
        </is>
      </c>
      <c r="T65" s="32" t="n">
        <v>12.5</v>
      </c>
      <c r="U65" s="32" t="n">
        <v>218.25</v>
      </c>
      <c r="V65" s="32" t="n">
        <v>182.89</v>
      </c>
      <c r="W65" s="32" t="n">
        <v>41.72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Annuity, Lower One Time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Between 50% to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IF(B66=0,"",RANK(B66,$B$2:$B$379,0))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TINNARUBR</t>
        </is>
      </c>
      <c r="D66" s="31" t="inlineStr">
        <is>
          <t>Tinna Rubber &amp; Infrastructure Ltd</t>
        </is>
      </c>
      <c r="E66" s="31" t="inlineStr">
        <is>
          <t>fmcg</t>
        </is>
      </c>
      <c r="F66" s="31" t="inlineStr">
        <is>
          <t>miscellaneous</t>
        </is>
      </c>
      <c r="G66" s="31" t="inlineStr">
        <is>
          <t>smallcap</t>
        </is>
      </c>
      <c r="H66" s="32" t="n">
        <v>1715.64</v>
      </c>
      <c r="I66" s="32" t="n">
        <v>957.85</v>
      </c>
      <c r="J66" s="32" t="n">
        <v>0.58</v>
      </c>
      <c r="K66" s="32" t="n">
        <v>37269</v>
      </c>
      <c r="L66" s="31" t="n">
        <v>58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63.97</v>
      </c>
      <c r="P66" s="32" t="n">
        <v>24.52</v>
      </c>
      <c r="Q66" s="32" t="n">
        <v>706.38</v>
      </c>
      <c r="R66" s="31" t="inlineStr">
        <is>
          <t>Earnings / Momentum Support</t>
        </is>
      </c>
      <c r="S66" s="31" t="inlineStr">
        <is>
          <t>Nifty FMCG</t>
        </is>
      </c>
      <c r="T66" s="32" t="n">
        <v>-9</v>
      </c>
      <c r="U66" s="32" t="n">
        <v>3.3</v>
      </c>
      <c r="V66" s="32" t="n">
        <v>13.52</v>
      </c>
      <c r="W66" s="32" t="n">
        <v>15.64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B2C</t>
        </is>
      </c>
      <c r="AO66" s="31">
        <f>IF(AN66="B2C",10,IF(AN66="B2B",5,0))</f>
        <v/>
      </c>
      <c r="AP66" s="31" t="inlineStr">
        <is>
          <t>No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Between 50% to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IF(B67=0,"",RANK(B67,$B$2:$B$379,0))</f>
        <v/>
      </c>
      <c r="B67" s="32">
        <f>SUM(N67,Y67,AA67,AC67,AE67,AG67,AI67,AK67,AM67,AO67,AQ67,AS67,AU67,AW67,AY67,BA67,BC67,BE67,BG67,BI67,BK67,BM67,BO67,BQ67,BS67,BU67,BW67,BY67,CA67,CC67,CE67)</f>
        <v/>
      </c>
      <c r="C67" s="33" t="inlineStr">
        <is>
          <t>MARKSANS</t>
        </is>
      </c>
      <c r="D67" s="33" t="inlineStr">
        <is>
          <t>Marksans Pharma Limited</t>
        </is>
      </c>
      <c r="E67" s="31" t="inlineStr">
        <is>
          <t>healthcare</t>
        </is>
      </c>
      <c r="F67" s="31" t="inlineStr">
        <is>
          <t>pharmaceuticals - indian - formulations</t>
        </is>
      </c>
      <c r="G67" s="31" t="inlineStr">
        <is>
          <t>midcap</t>
        </is>
      </c>
      <c r="H67" s="32" t="n">
        <v>12362.76</v>
      </c>
      <c r="I67" s="32" t="n">
        <v>268.85</v>
      </c>
      <c r="J67" s="32" t="n">
        <v>-1.45</v>
      </c>
      <c r="K67" s="32" t="n">
        <v>1908672</v>
      </c>
      <c r="L67" s="31" t="n">
        <v>63</v>
      </c>
      <c r="M67" s="31" t="inlineStr">
        <is>
          <t>Underperforming</t>
        </is>
      </c>
      <c r="N67" s="32">
        <f>IF(M67="Underperforming",-5,IF(L67&gt;=95,15,IF(L67&gt;=90,10,IF(L67&gt;=80,5,0))))</f>
        <v/>
      </c>
      <c r="O67" s="32" t="n">
        <v>74.14</v>
      </c>
      <c r="P67" s="32" t="n">
        <v>39.03</v>
      </c>
      <c r="Q67" s="32" t="n">
        <v>208.58</v>
      </c>
      <c r="R67" s="31" t="inlineStr">
        <is>
          <t>Near 52W High Breakout</t>
        </is>
      </c>
      <c r="S67" s="31" t="inlineStr">
        <is>
          <t>Nifty Pharma</t>
        </is>
      </c>
      <c r="T67" s="32" t="n">
        <v>12.5</v>
      </c>
      <c r="U67" s="32" t="n">
        <v>2.57</v>
      </c>
      <c r="V67" s="32" t="n">
        <v>-8.83</v>
      </c>
      <c r="W67" s="32" t="n">
        <v>17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Annuity, Lower One Time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IF(B68=0,"",RANK(B68,$B$2:$B$379,0))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AUROPHARMA</t>
        </is>
      </c>
      <c r="D68" s="31" t="inlineStr">
        <is>
          <t>Aurobindo Pharma Limited</t>
        </is>
      </c>
      <c r="E68" s="31" t="inlineStr">
        <is>
          <t>healthcare</t>
        </is>
      </c>
      <c r="F68" s="31" t="inlineStr">
        <is>
          <t>pharmaceuticals - indian - bulk drugs &amp; formln</t>
        </is>
      </c>
      <c r="G68" s="31" t="inlineStr">
        <is>
          <t>largecap</t>
        </is>
      </c>
      <c r="H68" s="32" t="n">
        <v>91691.14999999999</v>
      </c>
      <c r="I68" s="32" t="n">
        <v>1552.6</v>
      </c>
      <c r="J68" s="32" t="n">
        <v>-1.65</v>
      </c>
      <c r="K68" s="32" t="n">
        <v>590144</v>
      </c>
      <c r="L68" s="31" t="n">
        <v>32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72.06</v>
      </c>
      <c r="P68" s="32" t="n">
        <v>45.3</v>
      </c>
      <c r="Q68" s="32" t="n">
        <v>1323.11</v>
      </c>
      <c r="R68" s="31" t="inlineStr">
        <is>
          <t>Near 52W High Breakout</t>
        </is>
      </c>
      <c r="S68" s="31" t="inlineStr">
        <is>
          <t>Nifty Pharma</t>
        </is>
      </c>
      <c r="T68" s="32" t="n">
        <v>12.5</v>
      </c>
      <c r="U68" s="32" t="n">
        <v>30.82</v>
      </c>
      <c r="V68" s="32" t="n">
        <v>16.28</v>
      </c>
      <c r="W68" s="32" t="n">
        <v>9.17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Less than 12%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IF(B69=0,"",RANK(B69,$B$2:$B$379,0))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VADILALIND</t>
        </is>
      </c>
      <c r="D69" s="31" t="inlineStr">
        <is>
          <t>Vadilal Industries Limited</t>
        </is>
      </c>
      <c r="E69" s="31" t="inlineStr">
        <is>
          <t>fmcg</t>
        </is>
      </c>
      <c r="F69" s="31" t="inlineStr">
        <is>
          <t>food - processing - indian</t>
        </is>
      </c>
      <c r="G69" s="31" t="inlineStr">
        <is>
          <t>smallcap</t>
        </is>
      </c>
      <c r="H69" s="32" t="n">
        <v>4520</v>
      </c>
      <c r="I69" s="32" t="n">
        <v>6085.5</v>
      </c>
      <c r="J69" s="32" t="n">
        <v>-3.23</v>
      </c>
      <c r="K69" s="32" t="n">
        <v>20782</v>
      </c>
      <c r="L69" s="31" t="n">
        <v>49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64.11</v>
      </c>
      <c r="P69" s="32" t="n">
        <v>20.67</v>
      </c>
      <c r="Q69" s="32" t="n">
        <v>4998.5</v>
      </c>
      <c r="R69" s="31" t="inlineStr">
        <is>
          <t>Near 52W High Breakout</t>
        </is>
      </c>
      <c r="S69" s="31" t="inlineStr">
        <is>
          <t>Nifty FMCG</t>
        </is>
      </c>
      <c r="T69" s="32" t="n">
        <v>-9</v>
      </c>
      <c r="U69" s="32" t="n">
        <v>14.15</v>
      </c>
      <c r="V69" s="32" t="n">
        <v>25.45</v>
      </c>
      <c r="W69" s="32" t="n">
        <v>12.64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B2C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Between 50% to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IF(B70=0,"",RANK(B70,$B$2:$B$379,0))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NGLFINE</t>
        </is>
      </c>
      <c r="D70" s="31" t="inlineStr">
        <is>
          <t>NGL Fine Chem Ltd</t>
        </is>
      </c>
      <c r="E70" s="31" t="inlineStr">
        <is>
          <t>healthcare</t>
        </is>
      </c>
      <c r="F70" s="31" t="inlineStr">
        <is>
          <t>pharmaceuticals - indian - bulk drugs</t>
        </is>
      </c>
      <c r="G70" s="31" t="inlineStr">
        <is>
          <t>smallcap</t>
        </is>
      </c>
      <c r="H70" s="32" t="n">
        <v>1919.82</v>
      </c>
      <c r="I70" s="32" t="n">
        <v>3002.7</v>
      </c>
      <c r="J70" s="32" t="n">
        <v>-3.37</v>
      </c>
      <c r="K70" s="32" t="n">
        <v>7782</v>
      </c>
      <c r="L70" s="31" t="n">
        <v>86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76.2</v>
      </c>
      <c r="P70" s="32" t="n">
        <v>66.45</v>
      </c>
      <c r="Q70" s="32" t="n">
        <v>2077.4</v>
      </c>
      <c r="R70" s="31" t="inlineStr">
        <is>
          <t>Near 52W High Breakout</t>
        </is>
      </c>
      <c r="S70" s="31" t="inlineStr">
        <is>
          <t>Nifty Pharma</t>
        </is>
      </c>
      <c r="T70" s="32" t="n">
        <v>12.5</v>
      </c>
      <c r="U70" s="32" t="n">
        <v>143.48</v>
      </c>
      <c r="V70" s="32" t="n">
        <v>116.43</v>
      </c>
      <c r="W70" s="32" t="n">
        <v>29.52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Annuity, Lower One Time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Between 50% to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IF(B71=0,"",RANK(B71,$B$2:$B$379,0))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PANACEABIO</t>
        </is>
      </c>
      <c r="D71" s="31" t="inlineStr">
        <is>
          <t>Panacea Biotec Limited</t>
        </is>
      </c>
      <c r="E71" s="31" t="inlineStr">
        <is>
          <t>healthcare</t>
        </is>
      </c>
      <c r="F71" s="31" t="inlineStr">
        <is>
          <t>pharmaceuticals - indian - bulk drugs &amp; formln</t>
        </is>
      </c>
      <c r="G71" s="31" t="inlineStr">
        <is>
          <t>smallcap</t>
        </is>
      </c>
      <c r="H71" s="32" t="n">
        <v>3465.87</v>
      </c>
      <c r="I71" s="32" t="n">
        <v>543.05</v>
      </c>
      <c r="J71" s="32" t="n">
        <v>-4.03</v>
      </c>
      <c r="K71" s="32" t="n">
        <v>972677</v>
      </c>
      <c r="L71" s="31" t="n">
        <v>76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73.2</v>
      </c>
      <c r="P71" s="32" t="n">
        <v>36.88</v>
      </c>
      <c r="Q71" s="32" t="n">
        <v>384.48</v>
      </c>
      <c r="R71" s="31" t="inlineStr">
        <is>
          <t>Near 52W High Breakout</t>
        </is>
      </c>
      <c r="S71" s="31" t="inlineStr">
        <is>
          <t>Nifty Pharma</t>
        </is>
      </c>
      <c r="T71" s="32" t="n">
        <v>12.5</v>
      </c>
      <c r="U71" s="32" t="n">
        <v>32.34</v>
      </c>
      <c r="V71" s="32" t="n">
        <v>17.63</v>
      </c>
      <c r="W71" s="32" t="n">
        <v>22.73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Yes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Annuity, Lower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Less than 12%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IF(B72=0,"",RANK(B72,$B$2:$B$379,0))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MANORAMA</t>
        </is>
      </c>
      <c r="D72" s="31" t="inlineStr">
        <is>
          <t>Manorama Industries Ltd</t>
        </is>
      </c>
      <c r="E72" s="31" t="inlineStr">
        <is>
          <t>fmcg</t>
        </is>
      </c>
      <c r="F72" s="31" t="inlineStr">
        <is>
          <t>food - processing - indian</t>
        </is>
      </c>
      <c r="G72" s="31" t="inlineStr">
        <is>
          <t>midcap</t>
        </is>
      </c>
      <c r="H72" s="32" t="n">
        <v>9883.549999999999</v>
      </c>
      <c r="I72" s="32" t="n">
        <v>1565</v>
      </c>
      <c r="J72" s="32" t="n">
        <v>-5.46</v>
      </c>
      <c r="K72" s="32" t="n">
        <v>390502</v>
      </c>
      <c r="L72" s="31" t="n">
        <v>26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59.21</v>
      </c>
      <c r="P72" s="32" t="n">
        <v>13</v>
      </c>
      <c r="Q72" s="32" t="n">
        <v>1192.61</v>
      </c>
      <c r="R72" s="31" t="inlineStr">
        <is>
          <t>Near 52W High Breakout</t>
        </is>
      </c>
      <c r="S72" s="31" t="inlineStr">
        <is>
          <t>Nifty FMCG</t>
        </is>
      </c>
      <c r="T72" s="32" t="n">
        <v>-9</v>
      </c>
      <c r="U72" s="32" t="n">
        <v>6.23</v>
      </c>
      <c r="V72" s="32" t="n">
        <v>16.74</v>
      </c>
      <c r="W72" s="32" t="n">
        <v>7.77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B2C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Annuity, Lower One Time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0 to 20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IF(B73=0,"",RANK(B73,$B$2:$B$379,0))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SIGNPOST</t>
        </is>
      </c>
      <c r="D73" s="31" t="inlineStr">
        <is>
          <t>Signpost India Ltd</t>
        </is>
      </c>
      <c r="E73" s="31" t="inlineStr">
        <is>
          <t>miscellaneous</t>
        </is>
      </c>
      <c r="F73" s="31" t="inlineStr">
        <is>
          <t>miscellaneous</t>
        </is>
      </c>
      <c r="G73" s="31" t="inlineStr">
        <is>
          <t>smallcap</t>
        </is>
      </c>
      <c r="H73" s="32" t="n">
        <v>1461.06</v>
      </c>
      <c r="I73" s="32" t="n">
        <v>306.5</v>
      </c>
      <c r="J73" s="32" t="n">
        <v>12.13</v>
      </c>
      <c r="K73" s="32" t="n">
        <v>13880117</v>
      </c>
      <c r="L73" s="31" t="n">
        <v>52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63.7</v>
      </c>
      <c r="P73" s="32" t="n">
        <v>28.5</v>
      </c>
      <c r="Q73" s="32" t="n">
        <v>211.9</v>
      </c>
      <c r="R73" s="31" t="inlineStr">
        <is>
          <t>Volume Spike &amp; Near 52W High Breakout</t>
        </is>
      </c>
      <c r="S73" s="31" t="inlineStr">
        <is>
          <t>Nifty 50</t>
        </is>
      </c>
      <c r="T73" s="32" t="n">
        <v>-5.72</v>
      </c>
      <c r="U73" s="32" t="n">
        <v>31.08</v>
      </c>
      <c r="V73" s="32" t="n">
        <v>39.03</v>
      </c>
      <c r="W73" s="32" t="n">
        <v>13.33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Less than 50%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IF(B74=0,"",RANK(B74,$B$2:$B$379,0))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CARTRADE</t>
        </is>
      </c>
      <c r="D74" s="31" t="inlineStr">
        <is>
          <t>Cartrade Tech Ltd</t>
        </is>
      </c>
      <c r="E74" s="31" t="inlineStr">
        <is>
          <t>consumer discretionary</t>
        </is>
      </c>
      <c r="F74" s="31" t="inlineStr">
        <is>
          <t>miscellaneous</t>
        </is>
      </c>
      <c r="G74" s="31" t="inlineStr">
        <is>
          <t>midcap</t>
        </is>
      </c>
      <c r="H74" s="32" t="n">
        <v>12893.55</v>
      </c>
      <c r="I74" s="32" t="n">
        <v>2813.4</v>
      </c>
      <c r="J74" s="32" t="n">
        <v>4.47</v>
      </c>
      <c r="K74" s="32" t="n">
        <v>1509331</v>
      </c>
      <c r="L74" s="31" t="n">
        <v>87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66.89</v>
      </c>
      <c r="P74" s="32" t="n">
        <v>24.67</v>
      </c>
      <c r="Q74" s="32" t="n">
        <v>2018.47</v>
      </c>
      <c r="R74" s="31" t="inlineStr">
        <is>
          <t>Earnings / Momentum Support</t>
        </is>
      </c>
      <c r="S74" s="31" t="inlineStr">
        <is>
          <t>Nifty 50</t>
        </is>
      </c>
      <c r="T74" s="32" t="n">
        <v>-5.72</v>
      </c>
      <c r="U74" s="32" t="n">
        <v>65.55</v>
      </c>
      <c r="V74" s="32" t="n">
        <v>75.59</v>
      </c>
      <c r="W74" s="32" t="n">
        <v>30.68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IF(B75=0,"",RANK(B75,$B$2:$B$379,0))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PSPPROJECT</t>
        </is>
      </c>
      <c r="D75" s="31" t="inlineStr">
        <is>
          <t>PSP Projects Ltd</t>
        </is>
      </c>
      <c r="E75" s="31" t="inlineStr">
        <is>
          <t>realty</t>
        </is>
      </c>
      <c r="F75" s="31" t="inlineStr">
        <is>
          <t>construction</t>
        </is>
      </c>
      <c r="G75" s="31" t="inlineStr">
        <is>
          <t>smallcap</t>
        </is>
      </c>
      <c r="H75" s="32" t="n">
        <v>3967.35</v>
      </c>
      <c r="I75" s="32" t="n">
        <v>1034</v>
      </c>
      <c r="J75" s="32" t="n">
        <v>3.32</v>
      </c>
      <c r="K75" s="32" t="n">
        <v>238447</v>
      </c>
      <c r="L75" s="31" t="n">
        <v>77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70.78</v>
      </c>
      <c r="P75" s="32" t="n">
        <v>24.99</v>
      </c>
      <c r="Q75" s="32" t="n">
        <v>790.84</v>
      </c>
      <c r="R75" s="31" t="inlineStr">
        <is>
          <t>Near 52W High Breakout</t>
        </is>
      </c>
      <c r="S75" s="31" t="inlineStr">
        <is>
          <t>Nifty Realty</t>
        </is>
      </c>
      <c r="T75" s="32" t="n">
        <v>-11.6</v>
      </c>
      <c r="U75" s="32" t="n">
        <v>32.9</v>
      </c>
      <c r="V75" s="32" t="n">
        <v>50.33</v>
      </c>
      <c r="W75" s="32" t="n">
        <v>22.86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IF(B76=0,"",RANK(B76,$B$2:$B$379,0))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TALBROAUTO</t>
        </is>
      </c>
      <c r="D76" s="31" t="inlineStr">
        <is>
          <t>Talbros Automotive Components Limited</t>
        </is>
      </c>
      <c r="E76" s="31" t="inlineStr">
        <is>
          <t>auto</t>
        </is>
      </c>
      <c r="F76" s="31" t="inlineStr">
        <is>
          <t>auto ancillaries</t>
        </is>
      </c>
      <c r="G76" s="31" t="inlineStr">
        <is>
          <t>smallcap</t>
        </is>
      </c>
      <c r="H76" s="32" t="n">
        <v>2577.46</v>
      </c>
      <c r="I76" s="32" t="n">
        <v>425.95</v>
      </c>
      <c r="J76" s="32" t="n">
        <v>2.01</v>
      </c>
      <c r="K76" s="32" t="n">
        <v>383997</v>
      </c>
      <c r="L76" s="31" t="n">
        <v>82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78.31</v>
      </c>
      <c r="P76" s="32" t="n">
        <v>32.98</v>
      </c>
      <c r="Q76" s="32" t="n">
        <v>325.01</v>
      </c>
      <c r="R76" s="31" t="inlineStr">
        <is>
          <t>Near 52W High Breakout</t>
        </is>
      </c>
      <c r="S76" s="31" t="inlineStr">
        <is>
          <t>Nifty Auto</t>
        </is>
      </c>
      <c r="T76" s="32" t="n">
        <v>11.69</v>
      </c>
      <c r="U76" s="32" t="n">
        <v>41.12</v>
      </c>
      <c r="V76" s="32" t="n">
        <v>26.36</v>
      </c>
      <c r="W76" s="32" t="n">
        <v>25.22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Between 12 to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Between 50% to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IF(B77=0,"",RANK(B77,$B$2:$B$379,0))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MINDACORP</t>
        </is>
      </c>
      <c r="D77" s="31" t="inlineStr">
        <is>
          <t>Minda Corporation Limited</t>
        </is>
      </c>
      <c r="E77" s="31" t="inlineStr">
        <is>
          <t>auto</t>
        </is>
      </c>
      <c r="F77" s="31" t="inlineStr">
        <is>
          <t>auto ancillaries</t>
        </is>
      </c>
      <c r="G77" s="31" t="inlineStr">
        <is>
          <t>midcap</t>
        </is>
      </c>
      <c r="H77" s="32" t="n">
        <v>16659.05</v>
      </c>
      <c r="I77" s="32" t="n">
        <v>709.5</v>
      </c>
      <c r="J77" s="32" t="n">
        <v>1.82</v>
      </c>
      <c r="K77" s="32" t="n">
        <v>752864</v>
      </c>
      <c r="L77" s="31" t="n">
        <v>60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72.34</v>
      </c>
      <c r="P77" s="32" t="n">
        <v>21.74</v>
      </c>
      <c r="Q77" s="32" t="n">
        <v>578.45</v>
      </c>
      <c r="R77" s="31" t="inlineStr">
        <is>
          <t>Near 52W High Breakout</t>
        </is>
      </c>
      <c r="S77" s="31" t="inlineStr">
        <is>
          <t>Nifty Auto</t>
        </is>
      </c>
      <c r="T77" s="32" t="n">
        <v>11.69</v>
      </c>
      <c r="U77" s="32" t="n">
        <v>36.66</v>
      </c>
      <c r="V77" s="32" t="n">
        <v>22.36</v>
      </c>
      <c r="W77" s="32" t="n">
        <v>16.39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IF(B78=0,"",RANK(B78,$B$2:$B$379,0))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GPTINFRA</t>
        </is>
      </c>
      <c r="D78" s="31" t="inlineStr">
        <is>
          <t>Gpt Infraprojects Limited</t>
        </is>
      </c>
      <c r="E78" s="31" t="inlineStr">
        <is>
          <t>realty</t>
        </is>
      </c>
      <c r="F78" s="31" t="inlineStr">
        <is>
          <t>construction</t>
        </is>
      </c>
      <c r="G78" s="31" t="inlineStr">
        <is>
          <t>smallcap</t>
        </is>
      </c>
      <c r="H78" s="32" t="n">
        <v>1685.45</v>
      </c>
      <c r="I78" s="32" t="n">
        <v>134.28</v>
      </c>
      <c r="J78" s="32" t="n">
        <v>0.67</v>
      </c>
      <c r="K78" s="32" t="n">
        <v>289705</v>
      </c>
      <c r="L78" s="31" t="n">
        <v>27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69.09</v>
      </c>
      <c r="P78" s="32" t="n">
        <v>21.93</v>
      </c>
      <c r="Q78" s="32" t="n">
        <v>102.03</v>
      </c>
      <c r="R78" s="31" t="inlineStr">
        <is>
          <t>Near 52W High Breakout</t>
        </is>
      </c>
      <c r="S78" s="31" t="inlineStr">
        <is>
          <t>Nifty Realty</t>
        </is>
      </c>
      <c r="T78" s="32" t="n">
        <v>-11.6</v>
      </c>
      <c r="U78" s="32" t="n">
        <v>7.18</v>
      </c>
      <c r="V78" s="32" t="n">
        <v>21.24</v>
      </c>
      <c r="W78" s="32" t="n">
        <v>8.19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Less than 50%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IF(B79=0,"",RANK(B79,$B$2:$B$379,0))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PRIVISCL</t>
        </is>
      </c>
      <c r="D79" s="31" t="inlineStr">
        <is>
          <t>Privi Speciality Chemicals Ltd</t>
        </is>
      </c>
      <c r="E79" s="31" t="inlineStr">
        <is>
          <t>chemicals</t>
        </is>
      </c>
      <c r="F79" s="31" t="inlineStr">
        <is>
          <t>chemicals</t>
        </is>
      </c>
      <c r="G79" s="31" t="inlineStr">
        <is>
          <t>midcap</t>
        </is>
      </c>
      <c r="H79" s="32" t="n">
        <v>14344.61</v>
      </c>
      <c r="I79" s="32" t="n">
        <v>3684.2</v>
      </c>
      <c r="J79" s="32" t="n">
        <v>0.33</v>
      </c>
      <c r="K79" s="32" t="n">
        <v>75665</v>
      </c>
      <c r="L79" s="31" t="n">
        <v>53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67.26000000000001</v>
      </c>
      <c r="P79" s="32" t="n">
        <v>23.15</v>
      </c>
      <c r="Q79" s="32" t="n">
        <v>3017.2</v>
      </c>
      <c r="R79" s="31" t="inlineStr">
        <is>
          <t>Near 52W High Breakout</t>
        </is>
      </c>
      <c r="S79" s="31" t="inlineStr">
        <is>
          <t>Nifty 50</t>
        </is>
      </c>
      <c r="T79" s="32" t="n">
        <v>-5.72</v>
      </c>
      <c r="U79" s="32" t="n">
        <v>49.48</v>
      </c>
      <c r="V79" s="32" t="n">
        <v>58.54</v>
      </c>
      <c r="W79" s="32" t="n">
        <v>13.88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Between 0.7 to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IF(B80=0,"",RANK(B80,$B$2:$B$379,0))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PTL</t>
        </is>
      </c>
      <c r="D80" s="31" t="inlineStr">
        <is>
          <t>Ptl Enterprises Limited</t>
        </is>
      </c>
      <c r="E80" s="31" t="inlineStr">
        <is>
          <t>miscellaneous</t>
        </is>
      </c>
      <c r="F80" s="31" t="inlineStr">
        <is>
          <t>miscellaneous</t>
        </is>
      </c>
      <c r="G80" s="31" t="inlineStr">
        <is>
          <t>smallcap</t>
        </is>
      </c>
      <c r="H80" s="32" t="n">
        <v>561.8099999999999</v>
      </c>
      <c r="I80" s="32" t="n">
        <v>42.35</v>
      </c>
      <c r="J80" s="32" t="n">
        <v>-0.21</v>
      </c>
      <c r="K80" s="32" t="n">
        <v>25180</v>
      </c>
      <c r="L80" s="31" t="n">
        <v>7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64.34</v>
      </c>
      <c r="P80" s="32" t="n">
        <v>12.31</v>
      </c>
      <c r="Q80" s="32" t="n">
        <v>36.67</v>
      </c>
      <c r="R80" s="31" t="inlineStr">
        <is>
          <t>Near 52W High Breakout</t>
        </is>
      </c>
      <c r="S80" s="31" t="inlineStr">
        <is>
          <t>Nifty 50</t>
        </is>
      </c>
      <c r="T80" s="32" t="n">
        <v>-5.72</v>
      </c>
      <c r="U80" s="32" t="n">
        <v>0.34</v>
      </c>
      <c r="V80" s="32" t="n">
        <v>6.42</v>
      </c>
      <c r="W80" s="32" t="n">
        <v>3.06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0 to 20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IF(B81=0,"",RANK(B81,$B$2:$B$379,0))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SOLARINDS</t>
        </is>
      </c>
      <c r="D81" s="31" t="inlineStr">
        <is>
          <t>Solar Industries India Limited</t>
        </is>
      </c>
      <c r="E81" s="31" t="inlineStr">
        <is>
          <t>aerospace &amp; defence</t>
        </is>
      </c>
      <c r="F81" s="31" t="inlineStr">
        <is>
          <t>chemicals</t>
        </is>
      </c>
      <c r="G81" s="31" t="inlineStr">
        <is>
          <t>largecap</t>
        </is>
      </c>
      <c r="H81" s="32" t="n">
        <v>169180.21</v>
      </c>
      <c r="I81" s="32" t="n">
        <v>18610</v>
      </c>
      <c r="J81" s="32" t="n">
        <v>-0.46</v>
      </c>
      <c r="K81" s="32" t="n">
        <v>136190</v>
      </c>
      <c r="L81" s="31" t="n">
        <v>48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66.56999999999999</v>
      </c>
      <c r="P81" s="32" t="n">
        <v>34.91</v>
      </c>
      <c r="Q81" s="32" t="n">
        <v>15012.38</v>
      </c>
      <c r="R81" s="31" t="inlineStr">
        <is>
          <t>Near 52W High Breakout</t>
        </is>
      </c>
      <c r="S81" s="31" t="inlineStr">
        <is>
          <t>Nifty 500</t>
        </is>
      </c>
      <c r="T81" s="32" t="n">
        <v>-1.91</v>
      </c>
      <c r="U81" s="32" t="n">
        <v>10.47</v>
      </c>
      <c r="V81" s="32" t="n">
        <v>12.63</v>
      </c>
      <c r="W81" s="32" t="n">
        <v>12.3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Less than 50%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IF(B82=0,"",RANK(B82,$B$2:$B$379,0))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PIDILITIND</t>
        </is>
      </c>
      <c r="D82" s="31" t="inlineStr">
        <is>
          <t>Pidilite Industries Limited</t>
        </is>
      </c>
      <c r="E82" s="31" t="inlineStr">
        <is>
          <t>chemicals</t>
        </is>
      </c>
      <c r="F82" s="31" t="inlineStr">
        <is>
          <t>chemicals</t>
        </is>
      </c>
      <c r="G82" s="31" t="inlineStr">
        <is>
          <t>largecap</t>
        </is>
      </c>
      <c r="H82" s="32" t="n">
        <v>162099.64</v>
      </c>
      <c r="I82" s="32" t="n">
        <v>1581.9</v>
      </c>
      <c r="J82" s="32" t="n">
        <v>-0.68</v>
      </c>
      <c r="K82" s="32" t="n">
        <v>510067</v>
      </c>
      <c r="L82" s="31" t="n">
        <v>20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64.66</v>
      </c>
      <c r="P82" s="32" t="n">
        <v>20.59</v>
      </c>
      <c r="Q82" s="32" t="n">
        <v>1392.48</v>
      </c>
      <c r="R82" s="31" t="inlineStr">
        <is>
          <t>Near 52W High Breakout</t>
        </is>
      </c>
      <c r="S82" s="31" t="inlineStr">
        <is>
          <t>Nifty 50</t>
        </is>
      </c>
      <c r="T82" s="32" t="n">
        <v>-5.72</v>
      </c>
      <c r="U82" s="32" t="n">
        <v>3.42</v>
      </c>
      <c r="V82" s="32" t="n">
        <v>9.69</v>
      </c>
      <c r="W82" s="32" t="n">
        <v>6.24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Between 1.5 to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IF(B83=0,"",RANK(B83,$B$2:$B$379,0))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SANSERA</t>
        </is>
      </c>
      <c r="D83" s="31" t="inlineStr">
        <is>
          <t>Sansera Engineering Ltd</t>
        </is>
      </c>
      <c r="E83" s="31" t="inlineStr">
        <is>
          <t>auto</t>
        </is>
      </c>
      <c r="F83" s="31" t="inlineStr">
        <is>
          <t>auto ancillaries</t>
        </is>
      </c>
      <c r="G83" s="31" t="inlineStr">
        <is>
          <t>midcap</t>
        </is>
      </c>
      <c r="H83" s="32" t="n">
        <v>19922.57</v>
      </c>
      <c r="I83" s="32" t="n">
        <v>3165.1</v>
      </c>
      <c r="J83" s="32" t="n">
        <v>-0.97</v>
      </c>
      <c r="K83" s="32" t="n">
        <v>121125</v>
      </c>
      <c r="L83" s="31" t="n">
        <v>85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77.56999999999999</v>
      </c>
      <c r="P83" s="32" t="n">
        <v>45.79</v>
      </c>
      <c r="Q83" s="32" t="n">
        <v>2500.46</v>
      </c>
      <c r="R83" s="31" t="inlineStr">
        <is>
          <t>Near 52W High Breakout</t>
        </is>
      </c>
      <c r="S83" s="31" t="inlineStr">
        <is>
          <t>Nifty Auto</t>
        </is>
      </c>
      <c r="T83" s="32" t="n">
        <v>11.69</v>
      </c>
      <c r="U83" s="32" t="n">
        <v>129.26</v>
      </c>
      <c r="V83" s="32" t="n">
        <v>105.27</v>
      </c>
      <c r="W83" s="32" t="n">
        <v>29.1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Between 50% to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IF(B84=0,"",RANK(B84,$B$2:$B$379,0))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AIAENG</t>
        </is>
      </c>
      <c r="D84" s="31" t="inlineStr">
        <is>
          <t>Aia Engineering Limited</t>
        </is>
      </c>
      <c r="E84" s="31" t="inlineStr">
        <is>
          <t>industrials</t>
        </is>
      </c>
      <c r="F84" s="31" t="inlineStr">
        <is>
          <t>castings &amp; forgings</t>
        </is>
      </c>
      <c r="G84" s="31" t="inlineStr">
        <is>
          <t>largecap</t>
        </is>
      </c>
      <c r="H84" s="32" t="n">
        <v>47419.81</v>
      </c>
      <c r="I84" s="32" t="n">
        <v>4996</v>
      </c>
      <c r="J84" s="32" t="n">
        <v>-1.68</v>
      </c>
      <c r="K84" s="32" t="n">
        <v>128786</v>
      </c>
      <c r="L84" s="31" t="n">
        <v>64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71.61</v>
      </c>
      <c r="P84" s="32" t="n">
        <v>24.8</v>
      </c>
      <c r="Q84" s="32" t="n">
        <v>4055.89</v>
      </c>
      <c r="R84" s="31" t="inlineStr">
        <is>
          <t>Near 52W High Breakout</t>
        </is>
      </c>
      <c r="S84" s="31" t="inlineStr">
        <is>
          <t>Nifty 50</t>
        </is>
      </c>
      <c r="T84" s="32" t="n">
        <v>-5.72</v>
      </c>
      <c r="U84" s="32" t="n">
        <v>51.45</v>
      </c>
      <c r="V84" s="32" t="n">
        <v>60.63</v>
      </c>
      <c r="W84" s="32" t="n">
        <v>17.26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Less than 50%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IF(B85=0,"",RANK(B85,$B$2:$B$379,0))</f>
        <v/>
      </c>
      <c r="B85" s="32">
        <f>SUM(N85,Y85,AA85,AC85,AE85,AG85,AI85,AK85,AM85,AO85,AQ85,AS85,AU85,AW85,AY85,BA85,BC85,BE85,BG85,BI85,BK85,BM85,BO85,BQ85,BS85,BU85,BW85,BY85,CA85,CC85,CE85)</f>
        <v/>
      </c>
      <c r="C85" s="33" t="inlineStr">
        <is>
          <t>WSTCSTPAPR</t>
        </is>
      </c>
      <c r="D85" s="33" t="inlineStr">
        <is>
          <t>West Coast Paper Mills Limited</t>
        </is>
      </c>
      <c r="E85" s="31" t="inlineStr">
        <is>
          <t>building materials</t>
        </is>
      </c>
      <c r="F85" s="31" t="inlineStr">
        <is>
          <t>paper</t>
        </is>
      </c>
      <c r="G85" s="31" t="inlineStr">
        <is>
          <t>smallcap</t>
        </is>
      </c>
      <c r="H85" s="32" t="n">
        <v>3529.32</v>
      </c>
      <c r="I85" s="32" t="n">
        <v>525.2</v>
      </c>
      <c r="J85" s="32" t="n">
        <v>-1.71</v>
      </c>
      <c r="K85" s="32" t="n">
        <v>190467</v>
      </c>
      <c r="L85" s="31" t="n">
        <v>9</v>
      </c>
      <c r="M85" s="31" t="inlineStr">
        <is>
          <t>Underperforming</t>
        </is>
      </c>
      <c r="N85" s="32">
        <f>IF(M85="Underperforming",-5,IF(L85&gt;=95,15,IF(L85&gt;=90,10,IF(L85&gt;=80,5,0))))</f>
        <v/>
      </c>
      <c r="O85" s="32" t="n">
        <v>60.24</v>
      </c>
      <c r="P85" s="32" t="n">
        <v>33.01</v>
      </c>
      <c r="Q85" s="32" t="n">
        <v>406.48</v>
      </c>
      <c r="R85" s="31" t="inlineStr">
        <is>
          <t>Volume Spike / Accumulation</t>
        </is>
      </c>
      <c r="S85" s="31" t="inlineStr">
        <is>
          <t>Nifty Infra</t>
        </is>
      </c>
      <c r="T85" s="32" t="n">
        <v>0.09</v>
      </c>
      <c r="U85" s="32" t="n">
        <v>-5.8</v>
      </c>
      <c r="V85" s="32" t="n">
        <v>-5.88</v>
      </c>
      <c r="W85" s="32" t="n">
        <v>3.95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Between 12 to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IF(B86=0,"",RANK(B86,$B$2:$B$379,0))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DIFFNKG</t>
        </is>
      </c>
      <c r="D86" s="31" t="inlineStr">
        <is>
          <t>Diffusion Engineers Ltd</t>
        </is>
      </c>
      <c r="E86" s="31" t="inlineStr">
        <is>
          <t>industrials</t>
        </is>
      </c>
      <c r="F86" s="31" t="inlineStr">
        <is>
          <t>electrodes - welding equipment</t>
        </is>
      </c>
      <c r="G86" s="31" t="inlineStr">
        <is>
          <t>smallcap</t>
        </is>
      </c>
      <c r="H86" s="32" t="n">
        <v>1587.62</v>
      </c>
      <c r="I86" s="32" t="n">
        <v>416.5</v>
      </c>
      <c r="J86" s="32" t="n">
        <v>-1.82</v>
      </c>
      <c r="K86" s="32" t="n">
        <v>181794</v>
      </c>
      <c r="L86" s="31" t="n">
        <v>68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73.5</v>
      </c>
      <c r="P86" s="32" t="n">
        <v>20.16</v>
      </c>
      <c r="Q86" s="32" t="n">
        <v>314.29</v>
      </c>
      <c r="R86" s="31" t="inlineStr">
        <is>
          <t>Volume Spike &amp; Near 52W High Breakout</t>
        </is>
      </c>
      <c r="S86" s="31" t="inlineStr">
        <is>
          <t>Nifty 50</t>
        </is>
      </c>
      <c r="T86" s="32" t="n">
        <v>-5.72</v>
      </c>
      <c r="U86" s="32" t="n">
        <v>38.07</v>
      </c>
      <c r="V86" s="32" t="n">
        <v>46.44</v>
      </c>
      <c r="W86" s="32" t="n">
        <v>18.64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Less than 50%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IF(B87=0,"",RANK(B87,$B$2:$B$379,0))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ORIENTHOT</t>
        </is>
      </c>
      <c r="D87" s="31" t="inlineStr">
        <is>
          <t>Oriental Hotels Limited</t>
        </is>
      </c>
      <c r="E87" s="31" t="inlineStr">
        <is>
          <t>services</t>
        </is>
      </c>
      <c r="F87" s="31" t="inlineStr">
        <is>
          <t>hotels</t>
        </is>
      </c>
      <c r="G87" s="31" t="inlineStr">
        <is>
          <t>smallcap</t>
        </is>
      </c>
      <c r="H87" s="32" t="n">
        <v>2516.11</v>
      </c>
      <c r="I87" s="32" t="n">
        <v>137.38</v>
      </c>
      <c r="J87" s="32" t="n">
        <v>-2.48</v>
      </c>
      <c r="K87" s="32" t="n">
        <v>467036</v>
      </c>
      <c r="L87" s="31" t="n">
        <v>49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67.59</v>
      </c>
      <c r="P87" s="32" t="n">
        <v>21.29</v>
      </c>
      <c r="Q87" s="32" t="n">
        <v>105.62</v>
      </c>
      <c r="R87" s="31" t="inlineStr">
        <is>
          <t>Earnings / Momentum Support</t>
        </is>
      </c>
      <c r="S87" s="31" t="inlineStr">
        <is>
          <t>Nifty 50</t>
        </is>
      </c>
      <c r="T87" s="32" t="n">
        <v>-5.72</v>
      </c>
      <c r="U87" s="32" t="n">
        <v>-4.92</v>
      </c>
      <c r="V87" s="32" t="n">
        <v>0.84</v>
      </c>
      <c r="W87" s="32" t="n">
        <v>12.58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Less than 1.5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IF(B88=0,"",RANK(B88,$B$2:$B$379,0))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NEULANDLAB</t>
        </is>
      </c>
      <c r="D88" s="31" t="inlineStr">
        <is>
          <t>Neuland Laboratories Limited</t>
        </is>
      </c>
      <c r="E88" s="31" t="inlineStr">
        <is>
          <t>healthcare</t>
        </is>
      </c>
      <c r="F88" s="31" t="inlineStr">
        <is>
          <t>pharmaceuticals - indian - bulk drugs</t>
        </is>
      </c>
      <c r="G88" s="31" t="inlineStr">
        <is>
          <t>largecap</t>
        </is>
      </c>
      <c r="H88" s="32" t="n">
        <v>23836.65</v>
      </c>
      <c r="I88" s="32" t="n">
        <v>18786</v>
      </c>
      <c r="J88" s="32" t="n">
        <v>1.11</v>
      </c>
      <c r="K88" s="32" t="n">
        <v>43004</v>
      </c>
      <c r="L88" s="31" t="n">
        <v>76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68.59999999999999</v>
      </c>
      <c r="P88" s="32" t="n">
        <v>35.82</v>
      </c>
      <c r="Q88" s="32" t="n">
        <v>14912.6</v>
      </c>
      <c r="R88" s="31" t="inlineStr">
        <is>
          <t>Near 52W High Breakout</t>
        </is>
      </c>
      <c r="S88" s="31" t="inlineStr">
        <is>
          <t>Nifty Pharma</t>
        </is>
      </c>
      <c r="T88" s="32" t="n">
        <v>12.5</v>
      </c>
      <c r="U88" s="32" t="n">
        <v>56.69</v>
      </c>
      <c r="V88" s="32" t="n">
        <v>39.28</v>
      </c>
      <c r="W88" s="32" t="n">
        <v>22.18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Annuity, Lower One Time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IF(B89=0,"",RANK(B89,$B$2:$B$379,0))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RATEGAIN</t>
        </is>
      </c>
      <c r="D89" s="31" t="inlineStr">
        <is>
          <t>Rategain Travel Technologies Ltd</t>
        </is>
      </c>
      <c r="E89" s="31" t="inlineStr">
        <is>
          <t>i.t</t>
        </is>
      </c>
      <c r="F89" s="31" t="inlineStr">
        <is>
          <t>computers - software - medium / small</t>
        </is>
      </c>
      <c r="G89" s="31" t="inlineStr">
        <is>
          <t>midcap</t>
        </is>
      </c>
      <c r="H89" s="32" t="n">
        <v>10624.84</v>
      </c>
      <c r="I89" s="32" t="n">
        <v>902.95</v>
      </c>
      <c r="J89" s="32" t="n">
        <v>0.42</v>
      </c>
      <c r="K89" s="32" t="n">
        <v>715038</v>
      </c>
      <c r="L89" s="31" t="n">
        <v>90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76.55</v>
      </c>
      <c r="P89" s="32" t="n">
        <v>29.19</v>
      </c>
      <c r="Q89" s="32" t="n">
        <v>703.4400000000001</v>
      </c>
      <c r="R89" s="31" t="inlineStr">
        <is>
          <t>Near 52W High Breakout</t>
        </is>
      </c>
      <c r="S89" s="31" t="inlineStr">
        <is>
          <t>Nifty IT</t>
        </is>
      </c>
      <c r="T89" s="32" t="n">
        <v>-34.2</v>
      </c>
      <c r="U89" s="32" t="n">
        <v>95.38</v>
      </c>
      <c r="V89" s="32" t="n">
        <v>196.95</v>
      </c>
      <c r="W89" s="32" t="n">
        <v>37.63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Annuity, Lower One Time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Between 50% to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IF(B90=0,"",RANK(B90,$B$2:$B$379,0))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ABDL</t>
        </is>
      </c>
      <c r="D90" s="31" t="inlineStr">
        <is>
          <t>Allied Blenders &amp; Distillers Ltd</t>
        </is>
      </c>
      <c r="E90" s="31" t="inlineStr">
        <is>
          <t>fmcg</t>
        </is>
      </c>
      <c r="F90" s="31" t="inlineStr">
        <is>
          <t>breweries &amp; distilleries</t>
        </is>
      </c>
      <c r="G90" s="31" t="inlineStr">
        <is>
          <t>midcap</t>
        </is>
      </c>
      <c r="H90" s="32" t="n">
        <v>18681.84</v>
      </c>
      <c r="I90" s="32" t="n">
        <v>669.55</v>
      </c>
      <c r="J90" s="32" t="n">
        <v>0.25</v>
      </c>
      <c r="K90" s="32" t="n">
        <v>448596</v>
      </c>
      <c r="L90" s="31" t="n">
        <v>81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65.17</v>
      </c>
      <c r="P90" s="32" t="n">
        <v>21.22</v>
      </c>
      <c r="Q90" s="32" t="n">
        <v>519.42</v>
      </c>
      <c r="R90" s="31" t="inlineStr">
        <is>
          <t>Near 52W High Breakout</t>
        </is>
      </c>
      <c r="S90" s="31" t="inlineStr">
        <is>
          <t>Nifty FMCG</t>
        </is>
      </c>
      <c r="T90" s="32" t="n">
        <v>-9</v>
      </c>
      <c r="U90" s="32" t="n">
        <v>56.01</v>
      </c>
      <c r="V90" s="32" t="n">
        <v>71.44</v>
      </c>
      <c r="W90" s="32" t="n">
        <v>24.88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B2C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Annuity, Lower One Time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Less than 12%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Between 50% to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IF(B91=0,"",RANK(B91,$B$2:$B$379,0))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ORCHPHARMA</t>
        </is>
      </c>
      <c r="D91" s="31" t="inlineStr">
        <is>
          <t>Orchid Pharma Ltd</t>
        </is>
      </c>
      <c r="E91" s="31" t="inlineStr">
        <is>
          <t>healthcare</t>
        </is>
      </c>
      <c r="F91" s="31" t="inlineStr">
        <is>
          <t>pharmaceuticals - indian - bulk drugs &amp; formln</t>
        </is>
      </c>
      <c r="G91" s="31" t="inlineStr">
        <is>
          <t>smallcap</t>
        </is>
      </c>
      <c r="H91" s="32" t="n">
        <v>4933.95</v>
      </c>
      <c r="I91" s="32" t="n">
        <v>974.8</v>
      </c>
      <c r="J91" s="32" t="n">
        <v>0.21</v>
      </c>
      <c r="K91" s="32" t="n">
        <v>36301</v>
      </c>
      <c r="L91" s="31" t="n">
        <v>84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73.09</v>
      </c>
      <c r="P91" s="32" t="n">
        <v>36.86</v>
      </c>
      <c r="Q91" s="32" t="n">
        <v>735.99</v>
      </c>
      <c r="R91" s="31" t="inlineStr">
        <is>
          <t>Near 52W High Breakout</t>
        </is>
      </c>
      <c r="S91" s="31" t="inlineStr">
        <is>
          <t>Nifty Pharma</t>
        </is>
      </c>
      <c r="T91" s="32" t="n">
        <v>12.5</v>
      </c>
      <c r="U91" s="32" t="n">
        <v>28.93</v>
      </c>
      <c r="V91" s="32" t="n">
        <v>14.61</v>
      </c>
      <c r="W91" s="32" t="n">
        <v>28.67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Yes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IF(B92=0,"",RANK(B92,$B$2:$B$379,0))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IPCALAB</t>
        </is>
      </c>
      <c r="D92" s="31" t="inlineStr">
        <is>
          <t>Ipca Laboratories Limited</t>
        </is>
      </c>
      <c r="E92" s="31" t="inlineStr">
        <is>
          <t>healthcare</t>
        </is>
      </c>
      <c r="F92" s="31" t="inlineStr">
        <is>
          <t>pharmaceuticals - indian - bulk drugs &amp; formln</t>
        </is>
      </c>
      <c r="G92" s="31" t="inlineStr">
        <is>
          <t>largecap</t>
        </is>
      </c>
      <c r="H92" s="32" t="n">
        <v>43155.09</v>
      </c>
      <c r="I92" s="32" t="n">
        <v>1696.4</v>
      </c>
      <c r="J92" s="32" t="n">
        <v>-0.27</v>
      </c>
      <c r="K92" s="32" t="n">
        <v>222143</v>
      </c>
      <c r="L92" s="31" t="n">
        <v>21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62.23</v>
      </c>
      <c r="P92" s="32" t="n">
        <v>29.94</v>
      </c>
      <c r="Q92" s="32" t="n">
        <v>1368.19</v>
      </c>
      <c r="R92" s="31" t="inlineStr">
        <is>
          <t>Near 52W High Breakout</t>
        </is>
      </c>
      <c r="S92" s="31" t="inlineStr">
        <is>
          <t>Nifty Pharma</t>
        </is>
      </c>
      <c r="T92" s="32" t="n">
        <v>12.5</v>
      </c>
      <c r="U92" s="32" t="n">
        <v>19.4</v>
      </c>
      <c r="V92" s="32" t="n">
        <v>6.13</v>
      </c>
      <c r="W92" s="32" t="n">
        <v>6.66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Yes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Annuity, Lower One Time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Between 50% to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IF(B93=0,"",RANK(B93,$B$2:$B$379,0))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PIXTRANS</t>
        </is>
      </c>
      <c r="D93" s="31" t="inlineStr">
        <is>
          <t>Pix Transmission Ltd</t>
        </is>
      </c>
      <c r="E93" s="31" t="inlineStr">
        <is>
          <t>fmcg</t>
        </is>
      </c>
      <c r="F93" s="31" t="inlineStr">
        <is>
          <t>miscellaneous</t>
        </is>
      </c>
      <c r="G93" s="31" t="inlineStr">
        <is>
          <t>smallcap</t>
        </is>
      </c>
      <c r="H93" s="32" t="n">
        <v>2501.04</v>
      </c>
      <c r="I93" s="32" t="n">
        <v>1820.2</v>
      </c>
      <c r="J93" s="32" t="n">
        <v>-0.84</v>
      </c>
      <c r="K93" s="32" t="n">
        <v>64052</v>
      </c>
      <c r="L93" s="31" t="n">
        <v>27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72.02</v>
      </c>
      <c r="P93" s="32" t="n">
        <v>31.87</v>
      </c>
      <c r="Q93" s="32" t="n">
        <v>1474.11</v>
      </c>
      <c r="R93" s="31" t="inlineStr">
        <is>
          <t>Volume Spike &amp; Near 52W High Breakout</t>
        </is>
      </c>
      <c r="S93" s="31" t="inlineStr">
        <is>
          <t>Nifty FMCG</t>
        </is>
      </c>
      <c r="T93" s="32" t="n">
        <v>-9</v>
      </c>
      <c r="U93" s="32" t="n">
        <v>14.13</v>
      </c>
      <c r="V93" s="32" t="n">
        <v>25.42</v>
      </c>
      <c r="W93" s="32" t="n">
        <v>8.23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B2C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Annuity, Lower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Less than 12%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IF(B94=0,"",RANK(B94,$B$2:$B$379,0))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LUPIN</t>
        </is>
      </c>
      <c r="D94" s="31" t="inlineStr">
        <is>
          <t>Lupin Limited</t>
        </is>
      </c>
      <c r="E94" s="31" t="inlineStr">
        <is>
          <t>healthcare</t>
        </is>
      </c>
      <c r="F94" s="31" t="inlineStr">
        <is>
          <t>pharmaceuticals - indian - bulk drugs &amp; formln</t>
        </is>
      </c>
      <c r="G94" s="31" t="inlineStr">
        <is>
          <t>largecap</t>
        </is>
      </c>
      <c r="H94" s="32" t="n">
        <v>110591.63</v>
      </c>
      <c r="I94" s="32" t="n">
        <v>2397.5</v>
      </c>
      <c r="J94" s="32" t="n">
        <v>-0.89</v>
      </c>
      <c r="K94" s="32" t="n">
        <v>470880</v>
      </c>
      <c r="L94" s="31" t="n">
        <v>15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65.20999999999999</v>
      </c>
      <c r="P94" s="32" t="n">
        <v>10.97</v>
      </c>
      <c r="Q94" s="32" t="n">
        <v>2105.19</v>
      </c>
      <c r="R94" s="31" t="inlineStr">
        <is>
          <t>Near 52W High Breakout</t>
        </is>
      </c>
      <c r="S94" s="31" t="inlineStr">
        <is>
          <t>Nifty Pharma</t>
        </is>
      </c>
      <c r="T94" s="32" t="n">
        <v>12.5</v>
      </c>
      <c r="U94" s="32" t="n">
        <v>21.78</v>
      </c>
      <c r="V94" s="32" t="n">
        <v>8.25</v>
      </c>
      <c r="W94" s="32" t="n">
        <v>5.16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Yes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Annuity, Lower One Time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0 to 20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IF(B95=0,"",RANK(B95,$B$2:$B$379,0))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THYROCARE</t>
        </is>
      </c>
      <c r="D95" s="31" t="inlineStr">
        <is>
          <t>Thyrocare Technologies Limited</t>
        </is>
      </c>
      <c r="E95" s="31" t="inlineStr">
        <is>
          <t>healthcare</t>
        </is>
      </c>
      <c r="F95" s="31" t="inlineStr">
        <is>
          <t>healthcare</t>
        </is>
      </c>
      <c r="G95" s="31" t="inlineStr">
        <is>
          <t>midcap</t>
        </is>
      </c>
      <c r="H95" s="32" t="n">
        <v>8742.950000000001</v>
      </c>
      <c r="I95" s="32" t="n">
        <v>543.4</v>
      </c>
      <c r="J95" s="32" t="n">
        <v>-1.07</v>
      </c>
      <c r="K95" s="32" t="n">
        <v>230512</v>
      </c>
      <c r="L95" s="31" t="n">
        <v>78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68.44</v>
      </c>
      <c r="P95" s="32" t="n">
        <v>37.12</v>
      </c>
      <c r="Q95" s="32" t="n">
        <v>409.55</v>
      </c>
      <c r="R95" s="31" t="inlineStr">
        <is>
          <t>Near 52W High Breakout</t>
        </is>
      </c>
      <c r="S95" s="31" t="inlineStr">
        <is>
          <t>Nifty Pharma</t>
        </is>
      </c>
      <c r="T95" s="32" t="n">
        <v>12.5</v>
      </c>
      <c r="U95" s="32" t="n">
        <v>64.90000000000001</v>
      </c>
      <c r="V95" s="32" t="n">
        <v>46.58</v>
      </c>
      <c r="W95" s="32" t="n">
        <v>23.02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Yes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Annuity, Lower One Time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IF(B96=0,"",RANK(B96,$B$2:$B$379,0))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ZYDUSWELL</t>
        </is>
      </c>
      <c r="D96" s="31" t="inlineStr">
        <is>
          <t>Zydus Wellness Limited</t>
        </is>
      </c>
      <c r="E96" s="31" t="inlineStr">
        <is>
          <t>fmcg</t>
        </is>
      </c>
      <c r="F96" s="31" t="inlineStr">
        <is>
          <t>food - processing - indian</t>
        </is>
      </c>
      <c r="G96" s="31" t="inlineStr">
        <is>
          <t>midcap</t>
        </is>
      </c>
      <c r="H96" s="32" t="n">
        <v>18306.97</v>
      </c>
      <c r="I96" s="32" t="n">
        <v>568.5</v>
      </c>
      <c r="J96" s="32" t="n">
        <v>-1.2</v>
      </c>
      <c r="K96" s="32" t="n">
        <v>758138</v>
      </c>
      <c r="L96" s="31" t="n">
        <v>53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71.69</v>
      </c>
      <c r="P96" s="32" t="n">
        <v>46.27</v>
      </c>
      <c r="Q96" s="32" t="n">
        <v>447.15</v>
      </c>
      <c r="R96" s="31" t="inlineStr">
        <is>
          <t>Volume Spike &amp; Near 52W High Breakout</t>
        </is>
      </c>
      <c r="S96" s="31" t="inlineStr">
        <is>
          <t>Nifty FMCG</t>
        </is>
      </c>
      <c r="T96" s="32" t="n">
        <v>-9</v>
      </c>
      <c r="U96" s="32" t="n">
        <v>42.89</v>
      </c>
      <c r="V96" s="32" t="n">
        <v>57.03</v>
      </c>
      <c r="W96" s="32" t="n">
        <v>13.77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B2C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Annuity, Lower One Time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Less than 12%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Less than 50%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IF(B97=0,"",RANK(B97,$B$2:$B$379,0))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LAURUSLABS</t>
        </is>
      </c>
      <c r="D97" s="31" t="inlineStr">
        <is>
          <t>Laurus Labs Limited</t>
        </is>
      </c>
      <c r="E97" s="31" t="inlineStr">
        <is>
          <t>healthcare</t>
        </is>
      </c>
      <c r="F97" s="31" t="inlineStr">
        <is>
          <t>pharmaceuticals - indian - bulk drugs &amp; formln</t>
        </is>
      </c>
      <c r="G97" s="31" t="inlineStr">
        <is>
          <t>largecap</t>
        </is>
      </c>
      <c r="H97" s="32" t="n">
        <v>81917.84</v>
      </c>
      <c r="I97" s="32" t="n">
        <v>1493.3</v>
      </c>
      <c r="J97" s="32" t="n">
        <v>-1.59</v>
      </c>
      <c r="K97" s="32" t="n">
        <v>2032970</v>
      </c>
      <c r="L97" s="31" t="n">
        <v>80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77.34</v>
      </c>
      <c r="P97" s="32" t="n">
        <v>44.51</v>
      </c>
      <c r="Q97" s="32" t="n">
        <v>1264.77</v>
      </c>
      <c r="R97" s="31" t="inlineStr">
        <is>
          <t>Volume Spike &amp; Near 52W High Breakout</t>
        </is>
      </c>
      <c r="S97" s="31" t="inlineStr">
        <is>
          <t>Nifty Pharma</t>
        </is>
      </c>
      <c r="T97" s="32" t="n">
        <v>12.5</v>
      </c>
      <c r="U97" s="32" t="n">
        <v>92.79000000000001</v>
      </c>
      <c r="V97" s="32" t="n">
        <v>71.37</v>
      </c>
      <c r="W97" s="32" t="n">
        <v>24.08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Yes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Annuity, Lower One Time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Above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Between 12 to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IF(B98=0,"",RANK(B98,$B$2:$B$379,0))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SHILPAMED</t>
        </is>
      </c>
      <c r="D98" s="31" t="inlineStr">
        <is>
          <t>Shilpa Medicare Limited</t>
        </is>
      </c>
      <c r="E98" s="31" t="inlineStr">
        <is>
          <t>healthcare</t>
        </is>
      </c>
      <c r="F98" s="31" t="inlineStr">
        <is>
          <t>pharmaceuticals - indian - formulations</t>
        </is>
      </c>
      <c r="G98" s="31" t="inlineStr">
        <is>
          <t>midcap</t>
        </is>
      </c>
      <c r="H98" s="32" t="n">
        <v>11703.62</v>
      </c>
      <c r="I98" s="32" t="n">
        <v>570.75</v>
      </c>
      <c r="J98" s="32" t="n">
        <v>-4.62</v>
      </c>
      <c r="K98" s="32" t="n">
        <v>1977694</v>
      </c>
      <c r="L98" s="31" t="n">
        <v>62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81.34</v>
      </c>
      <c r="P98" s="32" t="n">
        <v>59.14</v>
      </c>
      <c r="Q98" s="32" t="n">
        <v>437.77</v>
      </c>
      <c r="R98" s="31" t="inlineStr">
        <is>
          <t>Near 52W High Breakout</t>
        </is>
      </c>
      <c r="S98" s="31" t="inlineStr">
        <is>
          <t>Nifty Pharma</t>
        </is>
      </c>
      <c r="T98" s="32" t="n">
        <v>12.5</v>
      </c>
      <c r="U98" s="32" t="n">
        <v>27.42</v>
      </c>
      <c r="V98" s="32" t="n">
        <v>13.26</v>
      </c>
      <c r="W98" s="32" t="n">
        <v>16.83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Yes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Annuity, Lower One Time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Above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IF(B99=0,"",RANK(B99,$B$2:$B$379,0))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KERNEX</t>
        </is>
      </c>
      <c r="D99" s="31" t="inlineStr">
        <is>
          <t>Kernex Microsystems (india) Limited</t>
        </is>
      </c>
      <c r="E99" s="31" t="inlineStr">
        <is>
          <t>consumer discretionary</t>
        </is>
      </c>
      <c r="F99" s="31" t="inlineStr">
        <is>
          <t>electronics - components</t>
        </is>
      </c>
      <c r="G99" s="31" t="inlineStr">
        <is>
          <t>smallcap</t>
        </is>
      </c>
      <c r="H99" s="32" t="n">
        <v>3629.16</v>
      </c>
      <c r="I99" s="32" t="n">
        <v>2293.6</v>
      </c>
      <c r="J99" s="32" t="n">
        <v>6.19</v>
      </c>
      <c r="K99" s="32" t="n">
        <v>408549</v>
      </c>
      <c r="L99" s="31" t="n">
        <v>96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78.48</v>
      </c>
      <c r="P99" s="32" t="n">
        <v>40.17</v>
      </c>
      <c r="Q99" s="32" t="n">
        <v>1730.34</v>
      </c>
      <c r="R99" s="31" t="inlineStr">
        <is>
          <t>Near 52W High Breakout</t>
        </is>
      </c>
      <c r="S99" s="31" t="inlineStr">
        <is>
          <t>Nifty 50</t>
        </is>
      </c>
      <c r="T99" s="32" t="n">
        <v>-5.72</v>
      </c>
      <c r="U99" s="32" t="n">
        <v>95.90000000000001</v>
      </c>
      <c r="V99" s="32" t="n">
        <v>107.78</v>
      </c>
      <c r="W99" s="32" t="n">
        <v>52.5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Above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Negative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IF(B100=0,"",RANK(B100,$B$2:$B$379,0))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AYMSYNTEX</t>
        </is>
      </c>
      <c r="D100" s="31" t="inlineStr">
        <is>
          <t>Aym Syntex Limited</t>
        </is>
      </c>
      <c r="E100" s="31" t="inlineStr">
        <is>
          <t>textiles</t>
        </is>
      </c>
      <c r="F100" s="31" t="inlineStr">
        <is>
          <t>textiles - processing</t>
        </is>
      </c>
      <c r="G100" s="31" t="inlineStr">
        <is>
          <t>smallcap</t>
        </is>
      </c>
      <c r="H100" s="32" t="n">
        <v>1376.61</v>
      </c>
      <c r="I100" s="32" t="n">
        <v>247.93</v>
      </c>
      <c r="J100" s="32" t="n">
        <v>5.57</v>
      </c>
      <c r="K100" s="32" t="n">
        <v>380698</v>
      </c>
      <c r="L100" s="31" t="n">
        <v>33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65.18000000000001</v>
      </c>
      <c r="P100" s="32" t="n">
        <v>21.38</v>
      </c>
      <c r="Q100" s="32" t="n">
        <v>175.01</v>
      </c>
      <c r="R100" s="31" t="inlineStr">
        <is>
          <t>Volume Spike &amp; Near 52W High Breakout</t>
        </is>
      </c>
      <c r="S100" s="31" t="inlineStr">
        <is>
          <t>Nifty 50</t>
        </is>
      </c>
      <c r="T100" s="32" t="n">
        <v>-5.72</v>
      </c>
      <c r="U100" s="32" t="n">
        <v>4.83</v>
      </c>
      <c r="V100" s="32" t="n">
        <v>11.19</v>
      </c>
      <c r="W100" s="32" t="n">
        <v>9.640000000000001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Close to 52 week high or retracement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IF(B101=0,"",RANK(B101,$B$2:$B$379,0))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SKIPPER</t>
        </is>
      </c>
      <c r="D101" s="31" t="inlineStr">
        <is>
          <t>Skipper Limited</t>
        </is>
      </c>
      <c r="E101" s="31" t="inlineStr">
        <is>
          <t>industrials</t>
        </is>
      </c>
      <c r="F101" s="31" t="inlineStr">
        <is>
          <t>engineering</t>
        </is>
      </c>
      <c r="G101" s="31" t="inlineStr">
        <is>
          <t>midcap</t>
        </is>
      </c>
      <c r="H101" s="32" t="n">
        <v>6013.83</v>
      </c>
      <c r="I101" s="32" t="n">
        <v>557.4</v>
      </c>
      <c r="J101" s="32" t="n">
        <v>4.65</v>
      </c>
      <c r="K101" s="32" t="n">
        <v>816212</v>
      </c>
      <c r="L101" s="31" t="n">
        <v>65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68.13</v>
      </c>
      <c r="P101" s="32" t="n">
        <v>32.55</v>
      </c>
      <c r="Q101" s="32" t="n">
        <v>422.52</v>
      </c>
      <c r="R101" s="31" t="inlineStr">
        <is>
          <t>Near 52W High Breakout</t>
        </is>
      </c>
      <c r="S101" s="31" t="inlineStr">
        <is>
          <t>Nifty 50</t>
        </is>
      </c>
      <c r="T101" s="32" t="n">
        <v>-5.72</v>
      </c>
      <c r="U101" s="32" t="n">
        <v>12.6</v>
      </c>
      <c r="V101" s="32" t="n">
        <v>19.43</v>
      </c>
      <c r="W101" s="32" t="n">
        <v>17.41</v>
      </c>
      <c r="X101" s="31" t="inlineStr">
        <is>
          <t>Cyclical in an Upturn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Less than 1.5</t>
        </is>
      </c>
      <c r="BU101" s="31">
        <f>IF(BT101="Above 2",0,IF(BT101="Between 1.5 to 2",5,IF(BT101="Less than 1.5",10,0)))</f>
        <v/>
      </c>
      <c r="BV101" s="31" t="inlineStr">
        <is>
          <t>Less than 50%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IF(B102=0,"",RANK(B102,$B$2:$B$379,0))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SHRIPISTON</t>
        </is>
      </c>
      <c r="D102" s="31" t="inlineStr">
        <is>
          <t>Shriram Pistons &amp; Rings Limited</t>
        </is>
      </c>
      <c r="E102" s="31" t="inlineStr">
        <is>
          <t>auto</t>
        </is>
      </c>
      <c r="F102" s="31" t="inlineStr">
        <is>
          <t>auto ancillaries</t>
        </is>
      </c>
      <c r="G102" s="31" t="inlineStr">
        <is>
          <t>midcap</t>
        </is>
      </c>
      <c r="H102" s="32" t="n">
        <v>18445.42</v>
      </c>
      <c r="I102" s="32" t="n">
        <v>4380.2</v>
      </c>
      <c r="J102" s="32" t="n">
        <v>4.6</v>
      </c>
      <c r="K102" s="32" t="n">
        <v>122417</v>
      </c>
      <c r="L102" s="31" t="n">
        <v>78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72.53</v>
      </c>
      <c r="P102" s="32" t="n">
        <v>33.41</v>
      </c>
      <c r="Q102" s="32" t="n">
        <v>3488.27</v>
      </c>
      <c r="R102" s="31" t="inlineStr">
        <is>
          <t>Near 52W High Breakout</t>
        </is>
      </c>
      <c r="S102" s="31" t="inlineStr">
        <is>
          <t>Nifty Auto</t>
        </is>
      </c>
      <c r="T102" s="32" t="n">
        <v>11.69</v>
      </c>
      <c r="U102" s="32" t="n">
        <v>70.94</v>
      </c>
      <c r="V102" s="32" t="n">
        <v>53.05</v>
      </c>
      <c r="W102" s="32" t="n">
        <v>23.05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Blue sky scenario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Less than 12%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IF(B103=0,"",RANK(B103,$B$2:$B$379,0))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WABAG</t>
        </is>
      </c>
      <c r="D103" s="31" t="inlineStr">
        <is>
          <t>Va Tech Wabag Limited</t>
        </is>
      </c>
      <c r="E103" s="31" t="inlineStr">
        <is>
          <t>realty</t>
        </is>
      </c>
      <c r="F103" s="31" t="inlineStr">
        <is>
          <t>engineering - turnkey services</t>
        </is>
      </c>
      <c r="G103" s="31" t="inlineStr">
        <is>
          <t>midcap</t>
        </is>
      </c>
      <c r="H103" s="32" t="n">
        <v>12518.62</v>
      </c>
      <c r="I103" s="32" t="n">
        <v>2082.8</v>
      </c>
      <c r="J103" s="32" t="n">
        <v>3.67</v>
      </c>
      <c r="K103" s="32" t="n">
        <v>1427028</v>
      </c>
      <c r="L103" s="31" t="n">
        <v>79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77.91</v>
      </c>
      <c r="P103" s="32" t="n">
        <v>21.68</v>
      </c>
      <c r="Q103" s="32" t="n">
        <v>1682.87</v>
      </c>
      <c r="R103" s="31" t="inlineStr">
        <is>
          <t>Near 52W High Breakout</t>
        </is>
      </c>
      <c r="S103" s="31" t="inlineStr">
        <is>
          <t>Nifty Realty</t>
        </is>
      </c>
      <c r="T103" s="32" t="n">
        <v>-11.6</v>
      </c>
      <c r="U103" s="32" t="n">
        <v>42.64</v>
      </c>
      <c r="V103" s="32" t="n">
        <v>61.35</v>
      </c>
      <c r="W103" s="32" t="n">
        <v>24.03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Above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Less than 1.5</t>
        </is>
      </c>
      <c r="BU103" s="31">
        <f>IF(BT103="Above 2",0,IF(BT103="Between 1.5 to 2",5,IF(BT103="Less than 1.5",10,0)))</f>
        <v/>
      </c>
      <c r="BV103" s="31" t="inlineStr">
        <is>
          <t>Less than 50%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IF(B104=0,"",RANK(B104,$B$2:$B$379,0))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GRWRHITECH</t>
        </is>
      </c>
      <c r="D104" s="31" t="inlineStr">
        <is>
          <t>Garware Hi Tech Films Ltd</t>
        </is>
      </c>
      <c r="E104" s="31" t="inlineStr">
        <is>
          <t>industrials</t>
        </is>
      </c>
      <c r="F104" s="31" t="inlineStr">
        <is>
          <t>packaging</t>
        </is>
      </c>
      <c r="G104" s="31" t="inlineStr">
        <is>
          <t>midcap</t>
        </is>
      </c>
      <c r="H104" s="32" t="n">
        <v>15513.43</v>
      </c>
      <c r="I104" s="32" t="n">
        <v>6918.5</v>
      </c>
      <c r="J104" s="32" t="n">
        <v>3.61</v>
      </c>
      <c r="K104" s="32" t="n">
        <v>59606</v>
      </c>
      <c r="L104" s="31" t="n">
        <v>89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77.44</v>
      </c>
      <c r="P104" s="32" t="n">
        <v>39.44</v>
      </c>
      <c r="Q104" s="32" t="n">
        <v>5278.13</v>
      </c>
      <c r="R104" s="31" t="inlineStr">
        <is>
          <t>Near 52W High Breakout</t>
        </is>
      </c>
      <c r="S104" s="31" t="inlineStr">
        <is>
          <t>Nifty 50</t>
        </is>
      </c>
      <c r="T104" s="32" t="n">
        <v>-5.72</v>
      </c>
      <c r="U104" s="32" t="n">
        <v>72.39</v>
      </c>
      <c r="V104" s="32" t="n">
        <v>82.84</v>
      </c>
      <c r="W104" s="32" t="n">
        <v>33.98</v>
      </c>
      <c r="X104" s="31" t="inlineStr">
        <is>
          <t>Cyclical in an Upturn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Above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Less than 1.5</t>
        </is>
      </c>
      <c r="BU104" s="31">
        <f>IF(BT104="Above 2",0,IF(BT104="Between 1.5 to 2",5,IF(BT104="Less than 1.5",10,0)))</f>
        <v/>
      </c>
      <c r="BV104" s="31" t="inlineStr">
        <is>
          <t>Between 50% to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IF(B105=0,"",RANK(B105,$B$2:$B$379,0))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PHOENIXLTD</t>
        </is>
      </c>
      <c r="D105" s="31" t="inlineStr">
        <is>
          <t>The Phoenix Mills Limited</t>
        </is>
      </c>
      <c r="E105" s="31" t="inlineStr">
        <is>
          <t>realty</t>
        </is>
      </c>
      <c r="F105" s="31" t="inlineStr">
        <is>
          <t>construction</t>
        </is>
      </c>
      <c r="G105" s="31" t="inlineStr">
        <is>
          <t>largecap</t>
        </is>
      </c>
      <c r="H105" s="32" t="n">
        <v>69688.67999999999</v>
      </c>
      <c r="I105" s="32" t="n">
        <v>2018.5</v>
      </c>
      <c r="J105" s="32" t="n">
        <v>3.59</v>
      </c>
      <c r="K105" s="32" t="n">
        <v>836239</v>
      </c>
      <c r="L105" s="31" t="n">
        <v>52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68.15000000000001</v>
      </c>
      <c r="P105" s="32" t="n">
        <v>11.44</v>
      </c>
      <c r="Q105" s="32" t="n">
        <v>1683.22</v>
      </c>
      <c r="R105" s="31" t="inlineStr">
        <is>
          <t>Near 52W High Breakout</t>
        </is>
      </c>
      <c r="S105" s="31" t="inlineStr">
        <is>
          <t>Nifty Realty</t>
        </is>
      </c>
      <c r="T105" s="32" t="n">
        <v>-11.6</v>
      </c>
      <c r="U105" s="32" t="n">
        <v>31.09</v>
      </c>
      <c r="V105" s="32" t="n">
        <v>48.29</v>
      </c>
      <c r="W105" s="32" t="n">
        <v>13.62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0 to 20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Less than 1.5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IF(B106=0,"",RANK(B106,$B$2:$B$379,0))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3" t="inlineStr">
        <is>
          <t>QUESS</t>
        </is>
      </c>
      <c r="D106" s="33" t="inlineStr">
        <is>
          <t>Quess Corp Limited</t>
        </is>
      </c>
      <c r="E106" s="31" t="inlineStr">
        <is>
          <t>miscellaneous</t>
        </is>
      </c>
      <c r="F106" s="31" t="inlineStr">
        <is>
          <t>diversified - large</t>
        </is>
      </c>
      <c r="G106" s="31" t="inlineStr">
        <is>
          <t>smallcap</t>
        </is>
      </c>
      <c r="H106" s="32" t="n">
        <v>3996.26</v>
      </c>
      <c r="I106" s="32" t="n">
        <v>273.4</v>
      </c>
      <c r="J106" s="32" t="n">
        <v>2.16</v>
      </c>
      <c r="K106" s="32" t="n">
        <v>1171398</v>
      </c>
      <c r="L106" s="31" t="n">
        <v>50</v>
      </c>
      <c r="M106" s="31" t="inlineStr">
        <is>
          <t>Underperforming</t>
        </is>
      </c>
      <c r="N106" s="32">
        <f>IF(M106="Underperforming",-5,IF(L106&gt;=95,15,IF(L106&gt;=90,10,IF(L106&gt;=80,5,0))))</f>
        <v/>
      </c>
      <c r="O106" s="32" t="n">
        <v>70.61</v>
      </c>
      <c r="P106" s="32" t="n">
        <v>29.58</v>
      </c>
      <c r="Q106" s="32" t="n">
        <v>214.82</v>
      </c>
      <c r="R106" s="31" t="inlineStr">
        <is>
          <t>Earnings / Momentum Support</t>
        </is>
      </c>
      <c r="S106" s="31" t="inlineStr">
        <is>
          <t>Nifty 50</t>
        </is>
      </c>
      <c r="T106" s="32" t="n">
        <v>-5.72</v>
      </c>
      <c r="U106" s="32" t="n">
        <v>-6.51</v>
      </c>
      <c r="V106" s="32" t="n">
        <v>-0.84</v>
      </c>
      <c r="W106" s="32" t="n">
        <v>12.66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No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Less than 1.5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IF(B107=0,"",RANK(B107,$B$2:$B$379,0))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ADANIPORTS</t>
        </is>
      </c>
      <c r="D107" s="31" t="inlineStr">
        <is>
          <t>Adani Ports And Special Economic Zone Limited</t>
        </is>
      </c>
      <c r="E107" s="31" t="inlineStr">
        <is>
          <t>transportation</t>
        </is>
      </c>
      <c r="F107" s="31" t="inlineStr">
        <is>
          <t>miscellaneous</t>
        </is>
      </c>
      <c r="G107" s="31" t="inlineStr">
        <is>
          <t>largecap</t>
        </is>
      </c>
      <c r="H107" s="32" t="n">
        <v>417062.68</v>
      </c>
      <c r="I107" s="32" t="n">
        <v>1848.2</v>
      </c>
      <c r="J107" s="32" t="n">
        <v>2.1</v>
      </c>
      <c r="K107" s="32" t="n">
        <v>4123193</v>
      </c>
      <c r="L107" s="31" t="n">
        <v>52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70.31</v>
      </c>
      <c r="P107" s="32" t="n">
        <v>28.91</v>
      </c>
      <c r="Q107" s="32" t="n">
        <v>1577.95</v>
      </c>
      <c r="R107" s="31" t="inlineStr">
        <is>
          <t>Near 52W High Breakout</t>
        </is>
      </c>
      <c r="S107" s="31" t="inlineStr">
        <is>
          <t>Nifty 50</t>
        </is>
      </c>
      <c r="T107" s="32" t="n">
        <v>-5.72</v>
      </c>
      <c r="U107" s="32" t="n">
        <v>30.3</v>
      </c>
      <c r="V107" s="32" t="n">
        <v>38.2</v>
      </c>
      <c r="W107" s="32" t="n">
        <v>13.31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Blue sky scenario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Less than 12%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IF(B108=0,"",RANK(B108,$B$2:$B$379,0))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NRL</t>
        </is>
      </c>
      <c r="D108" s="31" t="inlineStr">
        <is>
          <t>Nupur Recyclers Ltd</t>
        </is>
      </c>
      <c r="E108" s="31" t="inlineStr">
        <is>
          <t>services</t>
        </is>
      </c>
      <c r="F108" s="31" t="inlineStr">
        <is>
          <t>trading</t>
        </is>
      </c>
      <c r="G108" s="31" t="inlineStr">
        <is>
          <t>smallcap</t>
        </is>
      </c>
      <c r="H108" s="32" t="n">
        <v>578.11</v>
      </c>
      <c r="I108" s="32" t="n">
        <v>85.3</v>
      </c>
      <c r="J108" s="32" t="n">
        <v>1.91</v>
      </c>
      <c r="K108" s="32" t="n">
        <v>109487</v>
      </c>
      <c r="L108" s="31" t="n">
        <v>75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77.13</v>
      </c>
      <c r="P108" s="32" t="n">
        <v>32.4</v>
      </c>
      <c r="Q108" s="32" t="n">
        <v>66.8</v>
      </c>
      <c r="R108" s="31" t="inlineStr">
        <is>
          <t>Near 52W High Breakout</t>
        </is>
      </c>
      <c r="S108" s="31" t="inlineStr">
        <is>
          <t>Nifty 50</t>
        </is>
      </c>
      <c r="T108" s="32" t="n">
        <v>-5.72</v>
      </c>
      <c r="U108" s="32" t="n">
        <v>9.34</v>
      </c>
      <c r="V108" s="32" t="n">
        <v>15.97</v>
      </c>
      <c r="W108" s="32" t="n">
        <v>21.76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Above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Less than 1.5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IF(B109=0,"",RANK(B109,$B$2:$B$379,0))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SWARAJENG</t>
        </is>
      </c>
      <c r="D109" s="31" t="inlineStr">
        <is>
          <t>Swaraj Engines Limited</t>
        </is>
      </c>
      <c r="E109" s="31" t="inlineStr">
        <is>
          <t>industrials</t>
        </is>
      </c>
      <c r="F109" s="31" t="inlineStr">
        <is>
          <t>engines</t>
        </is>
      </c>
      <c r="G109" s="31" t="inlineStr">
        <is>
          <t>smallcap</t>
        </is>
      </c>
      <c r="H109" s="32" t="n">
        <v>4857.03</v>
      </c>
      <c r="I109" s="32" t="n">
        <v>4038.7</v>
      </c>
      <c r="J109" s="32" t="n">
        <v>1.03</v>
      </c>
      <c r="K109" s="32" t="n">
        <v>39477</v>
      </c>
      <c r="L109" s="31" t="n">
        <v>8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58.72</v>
      </c>
      <c r="P109" s="32" t="n">
        <v>24.2</v>
      </c>
      <c r="Q109" s="32" t="n">
        <v>3403.6</v>
      </c>
      <c r="R109" s="31" t="inlineStr">
        <is>
          <t>Volume Spike / Accumulation</t>
        </is>
      </c>
      <c r="S109" s="31" t="inlineStr">
        <is>
          <t>Nifty Infra</t>
        </is>
      </c>
      <c r="T109" s="32" t="n">
        <v>0.09</v>
      </c>
      <c r="U109" s="32" t="n">
        <v>1.95</v>
      </c>
      <c r="V109" s="32" t="n">
        <v>1.86</v>
      </c>
      <c r="W109" s="32" t="n">
        <v>3.55</v>
      </c>
      <c r="X109" s="31" t="inlineStr">
        <is>
          <t>Cyclical in an Upturn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Close to 52 week high or retracement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Less than 1.5</t>
        </is>
      </c>
      <c r="BU109" s="31">
        <f>IF(BT109="Above 2",0,IF(BT109="Between 1.5 to 2",5,IF(BT109="Less than 1.5",10,0)))</f>
        <v/>
      </c>
      <c r="BV109" s="31" t="inlineStr">
        <is>
          <t>Less than 50%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IF(B110=0,"",RANK(B110,$B$2:$B$379,0))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THELEELA</t>
        </is>
      </c>
      <c r="D110" s="31" t="inlineStr">
        <is>
          <t>Leela Palaces Hotels &amp; Resorts Ltd</t>
        </is>
      </c>
      <c r="E110" s="31" t="inlineStr">
        <is>
          <t>services</t>
        </is>
      </c>
      <c r="F110" s="31" t="inlineStr">
        <is>
          <t>hotels</t>
        </is>
      </c>
      <c r="G110" s="31" t="inlineStr">
        <is>
          <t>midcap</t>
        </is>
      </c>
      <c r="H110" s="32" t="n">
        <v>15878.03</v>
      </c>
      <c r="I110" s="32" t="n">
        <v>479.9</v>
      </c>
      <c r="J110" s="32" t="n">
        <v>0.9399999999999999</v>
      </c>
      <c r="K110" s="32" t="n">
        <v>193292</v>
      </c>
      <c r="L110" s="31" t="n">
        <v>23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61.39</v>
      </c>
      <c r="P110" s="32" t="n">
        <v>13.54</v>
      </c>
      <c r="Q110" s="32" t="n">
        <v>403.34</v>
      </c>
      <c r="R110" s="31" t="inlineStr">
        <is>
          <t>Near 52W High Breakout</t>
        </is>
      </c>
      <c r="S110" s="31" t="inlineStr">
        <is>
          <t>Nifty 50</t>
        </is>
      </c>
      <c r="T110" s="32" t="n">
        <v>-5.72</v>
      </c>
      <c r="U110" s="32" t="n">
        <v>19.5</v>
      </c>
      <c r="V110" s="32" t="n">
        <v>26.74</v>
      </c>
      <c r="W110" s="32" t="n">
        <v>6.96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0 to 20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Blue sky scenario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Between 1.5 to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IF(B111=0,"",RANK(B111,$B$2:$B$379,0))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3" t="inlineStr">
        <is>
          <t>ROLEXRINGS</t>
        </is>
      </c>
      <c r="D111" s="33" t="inlineStr">
        <is>
          <t>Rolex Rings Ltd</t>
        </is>
      </c>
      <c r="E111" s="31" t="inlineStr">
        <is>
          <t>auto</t>
        </is>
      </c>
      <c r="F111" s="31" t="inlineStr">
        <is>
          <t>auto ancillaries</t>
        </is>
      </c>
      <c r="G111" s="31" t="inlineStr">
        <is>
          <t>smallcap</t>
        </is>
      </c>
      <c r="H111" s="32" t="n">
        <v>4073.56</v>
      </c>
      <c r="I111" s="32" t="n">
        <v>149.78</v>
      </c>
      <c r="J111" s="32" t="n">
        <v>0.13</v>
      </c>
      <c r="K111" s="32" t="n">
        <v>1441142</v>
      </c>
      <c r="L111" s="31" t="n">
        <v>17</v>
      </c>
      <c r="M111" s="31" t="inlineStr">
        <is>
          <t>Underperforming</t>
        </is>
      </c>
      <c r="N111" s="32">
        <f>IF(M111="Underperforming",-5,IF(L111&gt;=95,15,IF(L111&gt;=90,10,IF(L111&gt;=80,5,0))))</f>
        <v/>
      </c>
      <c r="O111" s="32" t="n">
        <v>59.06</v>
      </c>
      <c r="P111" s="32" t="n">
        <v>31.82</v>
      </c>
      <c r="Q111" s="32" t="n">
        <v>122.73</v>
      </c>
      <c r="R111" s="31" t="inlineStr">
        <is>
          <t>Near 52W High Breakout</t>
        </is>
      </c>
      <c r="S111" s="31" t="inlineStr">
        <is>
          <t>Nifty Auto</t>
        </is>
      </c>
      <c r="T111" s="32" t="n">
        <v>11.69</v>
      </c>
      <c r="U111" s="32" t="n">
        <v>-2.99</v>
      </c>
      <c r="V111" s="32" t="n">
        <v>-13.14</v>
      </c>
      <c r="W111" s="32" t="n">
        <v>5.8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No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IF(B112=0,"",RANK(B112,$B$2:$B$379,0))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CEIGALL</t>
        </is>
      </c>
      <c r="D112" s="31" t="inlineStr">
        <is>
          <t>Ceigall India Ltd</t>
        </is>
      </c>
      <c r="E112" s="31" t="inlineStr">
        <is>
          <t>realty</t>
        </is>
      </c>
      <c r="F112" s="31" t="inlineStr">
        <is>
          <t>construction</t>
        </is>
      </c>
      <c r="G112" s="31" t="inlineStr">
        <is>
          <t>midcap</t>
        </is>
      </c>
      <c r="H112" s="32" t="n">
        <v>6826.22</v>
      </c>
      <c r="I112" s="32" t="n">
        <v>392.1</v>
      </c>
      <c r="J112" s="32" t="n">
        <v>0.06</v>
      </c>
      <c r="K112" s="32" t="n">
        <v>390830</v>
      </c>
      <c r="L112" s="31" t="n">
        <v>64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75.09</v>
      </c>
      <c r="P112" s="32" t="n">
        <v>50.96</v>
      </c>
      <c r="Q112" s="32" t="n">
        <v>311.74</v>
      </c>
      <c r="R112" s="31" t="inlineStr">
        <is>
          <t>Near 52W High Breakout</t>
        </is>
      </c>
      <c r="S112" s="31" t="inlineStr">
        <is>
          <t>Nifty Realty</t>
        </is>
      </c>
      <c r="T112" s="32" t="n">
        <v>-11.6</v>
      </c>
      <c r="U112" s="32" t="n">
        <v>45.38</v>
      </c>
      <c r="V112" s="32" t="n">
        <v>64.45</v>
      </c>
      <c r="W112" s="32" t="n">
        <v>17.31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Above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Less than 1.5</t>
        </is>
      </c>
      <c r="BU112" s="31">
        <f>IF(BT112="Above 2",0,IF(BT112="Between 1.5 to 2",5,IF(BT112="Less than 1.5",10,0)))</f>
        <v/>
      </c>
      <c r="BV112" s="31" t="inlineStr">
        <is>
          <t>Negative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IF(B113=0,"",RANK(B113,$B$2:$B$379,0))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ASHIANA</t>
        </is>
      </c>
      <c r="D113" s="31" t="inlineStr">
        <is>
          <t>Ashiana Housing Limited</t>
        </is>
      </c>
      <c r="E113" s="31" t="inlineStr">
        <is>
          <t>realty</t>
        </is>
      </c>
      <c r="F113" s="31" t="inlineStr">
        <is>
          <t>construction</t>
        </is>
      </c>
      <c r="G113" s="31" t="inlineStr">
        <is>
          <t>smallcap</t>
        </is>
      </c>
      <c r="H113" s="32" t="n">
        <v>3980.28</v>
      </c>
      <c r="I113" s="32" t="n">
        <v>396.05</v>
      </c>
      <c r="J113" s="32" t="n">
        <v>0.03</v>
      </c>
      <c r="K113" s="32" t="n">
        <v>160017</v>
      </c>
      <c r="L113" s="31" t="n">
        <v>34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67.69</v>
      </c>
      <c r="P113" s="32" t="n">
        <v>35.02</v>
      </c>
      <c r="Q113" s="32" t="n">
        <v>307.22</v>
      </c>
      <c r="R113" s="31" t="inlineStr">
        <is>
          <t>Near 52W High Breakout</t>
        </is>
      </c>
      <c r="S113" s="31" t="inlineStr">
        <is>
          <t>Nifty Realty</t>
        </is>
      </c>
      <c r="T113" s="32" t="n">
        <v>-11.6</v>
      </c>
      <c r="U113" s="32" t="n">
        <v>17.2</v>
      </c>
      <c r="V113" s="32" t="n">
        <v>32.57</v>
      </c>
      <c r="W113" s="32" t="n">
        <v>10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Blue sky scenario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Less than 12%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IF(B114=0,"",RANK(B114,$B$2:$B$379,0))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DIVGIITTS</t>
        </is>
      </c>
      <c r="D114" s="31" t="inlineStr">
        <is>
          <t>Divgi Torqtransfer Systems Ltd</t>
        </is>
      </c>
      <c r="E114" s="31" t="inlineStr">
        <is>
          <t>auto</t>
        </is>
      </c>
      <c r="F114" s="31" t="inlineStr">
        <is>
          <t>auto ancillaries</t>
        </is>
      </c>
      <c r="G114" s="31" t="inlineStr">
        <is>
          <t>smallcap</t>
        </is>
      </c>
      <c r="H114" s="32" t="n">
        <v>3020.22</v>
      </c>
      <c r="I114" s="32" t="n">
        <v>987.85</v>
      </c>
      <c r="J114" s="32" t="n">
        <v>0.03</v>
      </c>
      <c r="K114" s="32" t="n">
        <v>3053416</v>
      </c>
      <c r="L114" s="31" t="n">
        <v>77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71.40000000000001</v>
      </c>
      <c r="P114" s="32" t="n">
        <v>33.01</v>
      </c>
      <c r="Q114" s="32" t="n">
        <v>730.65</v>
      </c>
      <c r="R114" s="31" t="inlineStr">
        <is>
          <t>Volume Spike &amp; Near 52W High Breakout</t>
        </is>
      </c>
      <c r="S114" s="31" t="inlineStr">
        <is>
          <t>Nifty Auto</t>
        </is>
      </c>
      <c r="T114" s="32" t="n">
        <v>11.69</v>
      </c>
      <c r="U114" s="32" t="n">
        <v>58.01</v>
      </c>
      <c r="V114" s="32" t="n">
        <v>41.48</v>
      </c>
      <c r="W114" s="32" t="n">
        <v>22.78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Blue sky scenario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Between 50% to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IF(B115=0,"",RANK(B115,$B$2:$B$379,0))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ICIL</t>
        </is>
      </c>
      <c r="D115" s="31" t="inlineStr">
        <is>
          <t>Indo Count Industries Limited</t>
        </is>
      </c>
      <c r="E115" s="31" t="inlineStr">
        <is>
          <t>textiles</t>
        </is>
      </c>
      <c r="F115" s="31" t="inlineStr">
        <is>
          <t>textiles - cotton/blended</t>
        </is>
      </c>
      <c r="G115" s="31" t="inlineStr">
        <is>
          <t>midcap</t>
        </is>
      </c>
      <c r="H115" s="32" t="n">
        <v>8679.73</v>
      </c>
      <c r="I115" s="32" t="n">
        <v>436.9</v>
      </c>
      <c r="J115" s="32" t="n">
        <v>-0.31</v>
      </c>
      <c r="K115" s="32" t="n">
        <v>542987</v>
      </c>
      <c r="L115" s="31" t="n">
        <v>83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75.81999999999999</v>
      </c>
      <c r="P115" s="32" t="n">
        <v>37.59</v>
      </c>
      <c r="Q115" s="32" t="n">
        <v>325.98</v>
      </c>
      <c r="R115" s="31" t="inlineStr">
        <is>
          <t>Near 52W High Breakout</t>
        </is>
      </c>
      <c r="S115" s="31" t="inlineStr">
        <is>
          <t>Nifty 50</t>
        </is>
      </c>
      <c r="T115" s="32" t="n">
        <v>-5.72</v>
      </c>
      <c r="U115" s="32" t="n">
        <v>51.8</v>
      </c>
      <c r="V115" s="32" t="n">
        <v>61</v>
      </c>
      <c r="W115" s="32" t="n">
        <v>27.79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Above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IF(B116=0,"",RANK(B116,$B$2:$B$379,0))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HAPPYFORGE</t>
        </is>
      </c>
      <c r="D116" s="31" t="inlineStr">
        <is>
          <t>Happy Forgings Ltd</t>
        </is>
      </c>
      <c r="E116" s="31" t="inlineStr">
        <is>
          <t>industrials</t>
        </is>
      </c>
      <c r="F116" s="31" t="inlineStr">
        <is>
          <t>castings &amp; forgings</t>
        </is>
      </c>
      <c r="G116" s="31" t="inlineStr">
        <is>
          <t>midcap</t>
        </is>
      </c>
      <c r="H116" s="32" t="n">
        <v>14509.21</v>
      </c>
      <c r="I116" s="32" t="n">
        <v>1532.1</v>
      </c>
      <c r="J116" s="32" t="n">
        <v>-0.37</v>
      </c>
      <c r="K116" s="32" t="n">
        <v>86160</v>
      </c>
      <c r="L116" s="31" t="n">
        <v>60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69.17</v>
      </c>
      <c r="P116" s="32" t="n">
        <v>38.18</v>
      </c>
      <c r="Q116" s="32" t="n">
        <v>1216.6</v>
      </c>
      <c r="R116" s="31" t="inlineStr">
        <is>
          <t>Near 52W High Breakout</t>
        </is>
      </c>
      <c r="S116" s="31" t="inlineStr">
        <is>
          <t>Nifty 50</t>
        </is>
      </c>
      <c r="T116" s="32" t="n">
        <v>-5.72</v>
      </c>
      <c r="U116" s="32" t="n">
        <v>57.81</v>
      </c>
      <c r="V116" s="32" t="n">
        <v>67.37</v>
      </c>
      <c r="W116" s="32" t="n">
        <v>16.29</v>
      </c>
      <c r="X116" s="31" t="inlineStr">
        <is>
          <t>Cyclical in an Upturn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Blue sky scenario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IF(B117=0,"",RANK(B117,$B$2:$B$379,0))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SANGAMIND</t>
        </is>
      </c>
      <c r="D117" s="31" t="inlineStr">
        <is>
          <t>Sangam (india) Limited</t>
        </is>
      </c>
      <c r="E117" s="31" t="inlineStr">
        <is>
          <t>textiles</t>
        </is>
      </c>
      <c r="F117" s="31" t="inlineStr">
        <is>
          <t>textiles - spinning - synthetic / blended</t>
        </is>
      </c>
      <c r="G117" s="31" t="inlineStr">
        <is>
          <t>smallcap</t>
        </is>
      </c>
      <c r="H117" s="32" t="n">
        <v>2734.67</v>
      </c>
      <c r="I117" s="32" t="n">
        <v>542</v>
      </c>
      <c r="J117" s="32" t="n">
        <v>-0.41</v>
      </c>
      <c r="K117" s="32" t="n">
        <v>12902</v>
      </c>
      <c r="L117" s="31" t="n">
        <v>36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66.59999999999999</v>
      </c>
      <c r="P117" s="32" t="n">
        <v>37.6</v>
      </c>
      <c r="Q117" s="32" t="n">
        <v>422.62</v>
      </c>
      <c r="R117" s="31" t="inlineStr">
        <is>
          <t>Near 52W High Breakout</t>
        </is>
      </c>
      <c r="S117" s="31" t="inlineStr">
        <is>
          <t>Nifty 50</t>
        </is>
      </c>
      <c r="T117" s="32" t="n">
        <v>-5.72</v>
      </c>
      <c r="U117" s="32" t="n">
        <v>20.48</v>
      </c>
      <c r="V117" s="32" t="n">
        <v>27.78</v>
      </c>
      <c r="W117" s="32" t="n">
        <v>10.33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Between 0.7 to 1.2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IF(B118=0,"",RANK(B118,$B$2:$B$379,0))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VERANDA</t>
        </is>
      </c>
      <c r="D118" s="31" t="inlineStr">
        <is>
          <t>Veranda Learning Solutions Ltd</t>
        </is>
      </c>
      <c r="E118" s="31" t="inlineStr">
        <is>
          <t>services</t>
        </is>
      </c>
      <c r="F118" s="31" t="inlineStr">
        <is>
          <t>miscellaneous</t>
        </is>
      </c>
      <c r="G118" s="31" t="inlineStr">
        <is>
          <t>smallcap</t>
        </is>
      </c>
      <c r="H118" s="32" t="n">
        <v>2298.26</v>
      </c>
      <c r="I118" s="32" t="n">
        <v>237.57</v>
      </c>
      <c r="J118" s="32" t="n">
        <v>-0.59</v>
      </c>
      <c r="K118" s="32" t="n">
        <v>94109</v>
      </c>
      <c r="L118" s="31" t="n">
        <v>69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61.3</v>
      </c>
      <c r="P118" s="32" t="n">
        <v>28.35</v>
      </c>
      <c r="Q118" s="32" t="n">
        <v>177.51</v>
      </c>
      <c r="R118" s="31" t="inlineStr">
        <is>
          <t>Earnings / Momentum Support</t>
        </is>
      </c>
      <c r="S118" s="31" t="inlineStr">
        <is>
          <t>Nifty 50</t>
        </is>
      </c>
      <c r="T118" s="32" t="n">
        <v>-5.72</v>
      </c>
      <c r="U118" s="32" t="n">
        <v>4.66</v>
      </c>
      <c r="V118" s="32" t="n">
        <v>11.01</v>
      </c>
      <c r="W118" s="32" t="n">
        <v>18.84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No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Between 50% to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IF(B119=0,"",RANK(B119,$B$2:$B$379,0))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PARAS</t>
        </is>
      </c>
      <c r="D119" s="31" t="inlineStr">
        <is>
          <t>Paras Defence and Space Technologies Ltd</t>
        </is>
      </c>
      <c r="E119" s="31" t="inlineStr">
        <is>
          <t>aerospace &amp; defence</t>
        </is>
      </c>
      <c r="F119" s="31" t="inlineStr">
        <is>
          <t>engineering</t>
        </is>
      </c>
      <c r="G119" s="31" t="inlineStr">
        <is>
          <t>midcap</t>
        </is>
      </c>
      <c r="H119" s="32" t="n">
        <v>10388.11</v>
      </c>
      <c r="I119" s="32" t="n">
        <v>1277.9</v>
      </c>
      <c r="J119" s="32" t="n">
        <v>-0.87</v>
      </c>
      <c r="K119" s="32" t="n">
        <v>3013445</v>
      </c>
      <c r="L119" s="31" t="n">
        <v>89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69.83</v>
      </c>
      <c r="P119" s="32" t="n">
        <v>48.87</v>
      </c>
      <c r="Q119" s="32" t="n">
        <v>1042.44</v>
      </c>
      <c r="R119" s="31" t="inlineStr">
        <is>
          <t>Earnings / Momentum Support</t>
        </is>
      </c>
      <c r="S119" s="31" t="inlineStr">
        <is>
          <t>Nifty 50</t>
        </is>
      </c>
      <c r="T119" s="32" t="n">
        <v>-5.72</v>
      </c>
      <c r="U119" s="32" t="n">
        <v>36.98</v>
      </c>
      <c r="V119" s="32" t="n">
        <v>45.29</v>
      </c>
      <c r="W119" s="32" t="n">
        <v>33.42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No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Above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Between 1.5 to 2</t>
        </is>
      </c>
      <c r="BU119" s="31">
        <f>IF(BT119="Above 2",0,IF(BT119="Between 1.5 to 2",5,IF(BT119="Less than 1.5",10,0)))</f>
        <v/>
      </c>
      <c r="BV119" s="31" t="inlineStr">
        <is>
          <t>Less than 50%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IF(B120=0,"",RANK(B120,$B$2:$B$379,0))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SFL</t>
        </is>
      </c>
      <c r="D120" s="31" t="inlineStr">
        <is>
          <t>Sheela Foam Limited</t>
        </is>
      </c>
      <c r="E120" s="31" t="inlineStr">
        <is>
          <t>consumer discretionary</t>
        </is>
      </c>
      <c r="F120" s="31" t="inlineStr">
        <is>
          <t>miscellaneous</t>
        </is>
      </c>
      <c r="G120" s="31" t="inlineStr">
        <is>
          <t>midcap</t>
        </is>
      </c>
      <c r="H120" s="32" t="n">
        <v>8119.61</v>
      </c>
      <c r="I120" s="32" t="n">
        <v>736.9</v>
      </c>
      <c r="J120" s="32" t="n">
        <v>-1.34</v>
      </c>
      <c r="K120" s="32" t="n">
        <v>111552</v>
      </c>
      <c r="L120" s="31" t="n">
        <v>50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68.98</v>
      </c>
      <c r="P120" s="32" t="n">
        <v>24.45</v>
      </c>
      <c r="Q120" s="32" t="n">
        <v>577.95</v>
      </c>
      <c r="R120" s="31" t="inlineStr">
        <is>
          <t>Near 52W High Breakout</t>
        </is>
      </c>
      <c r="S120" s="31" t="inlineStr">
        <is>
          <t>Nifty 50</t>
        </is>
      </c>
      <c r="T120" s="32" t="n">
        <v>-5.72</v>
      </c>
      <c r="U120" s="32" t="n">
        <v>5.5</v>
      </c>
      <c r="V120" s="32" t="n">
        <v>11.89</v>
      </c>
      <c r="W120" s="32" t="n">
        <v>12.82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IF(B121=0,"",RANK(B121,$B$2:$B$379,0))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SANDHAR</t>
        </is>
      </c>
      <c r="D121" s="31" t="inlineStr">
        <is>
          <t>Sandhar Technologies Limited</t>
        </is>
      </c>
      <c r="E121" s="31" t="inlineStr">
        <is>
          <t>auto</t>
        </is>
      </c>
      <c r="F121" s="31" t="inlineStr">
        <is>
          <t>auto ancillaries</t>
        </is>
      </c>
      <c r="G121" s="31" t="inlineStr">
        <is>
          <t>smallcap</t>
        </is>
      </c>
      <c r="H121" s="32" t="n">
        <v>4315.07</v>
      </c>
      <c r="I121" s="32" t="n">
        <v>707.25</v>
      </c>
      <c r="J121" s="32" t="n">
        <v>-1.35</v>
      </c>
      <c r="K121" s="32" t="n">
        <v>188662</v>
      </c>
      <c r="L121" s="31" t="n">
        <v>71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68.76000000000001</v>
      </c>
      <c r="P121" s="32" t="n">
        <v>29.14</v>
      </c>
      <c r="Q121" s="32" t="n">
        <v>529.91</v>
      </c>
      <c r="R121" s="31" t="inlineStr">
        <is>
          <t>Near 52W High Breakout</t>
        </is>
      </c>
      <c r="S121" s="31" t="inlineStr">
        <is>
          <t>Nifty Auto</t>
        </is>
      </c>
      <c r="T121" s="32" t="n">
        <v>11.69</v>
      </c>
      <c r="U121" s="32" t="n">
        <v>34.41</v>
      </c>
      <c r="V121" s="32" t="n">
        <v>20.34</v>
      </c>
      <c r="W121" s="32" t="n">
        <v>20.06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Less than 1.5</t>
        </is>
      </c>
      <c r="BU121" s="31">
        <f>IF(BT121="Above 2",0,IF(BT121="Between 1.5 to 2",5,IF(BT121="Less than 1.5",10,0)))</f>
        <v/>
      </c>
      <c r="BV121" s="31" t="inlineStr">
        <is>
          <t>Less than 50%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Between 0.7 to 1.2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IF(B122=0,"",RANK(B122,$B$2:$B$379,0))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PREMEXPLN</t>
        </is>
      </c>
      <c r="D122" s="31" t="inlineStr">
        <is>
          <t>Premier Explosives Limited</t>
        </is>
      </c>
      <c r="E122" s="31" t="inlineStr">
        <is>
          <t>aerospace &amp; defence</t>
        </is>
      </c>
      <c r="F122" s="31" t="inlineStr">
        <is>
          <t>chemicals</t>
        </is>
      </c>
      <c r="G122" s="31" t="inlineStr">
        <is>
          <t>smallcap</t>
        </is>
      </c>
      <c r="H122" s="32" t="n">
        <v>4332.88</v>
      </c>
      <c r="I122" s="32" t="n">
        <v>789.6</v>
      </c>
      <c r="J122" s="32" t="n">
        <v>-2.03</v>
      </c>
      <c r="K122" s="32" t="n">
        <v>1043549</v>
      </c>
      <c r="L122" s="31" t="n">
        <v>85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71.26000000000001</v>
      </c>
      <c r="P122" s="32" t="n">
        <v>27.42</v>
      </c>
      <c r="Q122" s="32" t="n">
        <v>566</v>
      </c>
      <c r="R122" s="31" t="inlineStr">
        <is>
          <t>Near 52W High Breakout</t>
        </is>
      </c>
      <c r="S122" s="31" t="inlineStr">
        <is>
          <t>Nifty 50</t>
        </is>
      </c>
      <c r="T122" s="32" t="n">
        <v>-5.72</v>
      </c>
      <c r="U122" s="32" t="n">
        <v>37.43</v>
      </c>
      <c r="V122" s="32" t="n">
        <v>45.76</v>
      </c>
      <c r="W122" s="32" t="n">
        <v>28.88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Blue sky scenario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Less than 1.5</t>
        </is>
      </c>
      <c r="BU122" s="31">
        <f>IF(BT122="Above 2",0,IF(BT122="Between 1.5 to 2",5,IF(BT122="Less than 1.5",10,0)))</f>
        <v/>
      </c>
      <c r="BV122" s="31" t="inlineStr">
        <is>
          <t>Negative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IF(B123=0,"",RANK(B123,$B$2:$B$379,0))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STOVEKRAFT</t>
        </is>
      </c>
      <c r="D123" s="31" t="inlineStr">
        <is>
          <t>Stove Kraft Ltd</t>
        </is>
      </c>
      <c r="E123" s="31" t="inlineStr">
        <is>
          <t>consumer discretionary</t>
        </is>
      </c>
      <c r="F123" s="31" t="inlineStr">
        <is>
          <t>domestic appliances</t>
        </is>
      </c>
      <c r="G123" s="31" t="inlineStr">
        <is>
          <t>smallcap</t>
        </is>
      </c>
      <c r="H123" s="32" t="n">
        <v>2567.47</v>
      </c>
      <c r="I123" s="32" t="n">
        <v>755.9</v>
      </c>
      <c r="J123" s="32" t="n">
        <v>-2.53</v>
      </c>
      <c r="K123" s="32" t="n">
        <v>98059</v>
      </c>
      <c r="L123" s="31" t="n">
        <v>70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71.42</v>
      </c>
      <c r="P123" s="32" t="n">
        <v>33.66</v>
      </c>
      <c r="Q123" s="32" t="n">
        <v>606.61</v>
      </c>
      <c r="R123" s="31" t="inlineStr">
        <is>
          <t>Near 52W High Breakout</t>
        </is>
      </c>
      <c r="S123" s="31" t="inlineStr">
        <is>
          <t>Nifty 50</t>
        </is>
      </c>
      <c r="T123" s="32" t="n">
        <v>-5.72</v>
      </c>
      <c r="U123" s="32" t="n">
        <v>25.34</v>
      </c>
      <c r="V123" s="32" t="n">
        <v>32.94</v>
      </c>
      <c r="W123" s="32" t="n">
        <v>19.51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IF(B124=0,"",RANK(B124,$B$2:$B$379,0))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WELCORP</t>
        </is>
      </c>
      <c r="D124" s="31" t="inlineStr">
        <is>
          <t>Welspun Corp Limited</t>
        </is>
      </c>
      <c r="E124" s="31" t="inlineStr">
        <is>
          <t>industrials</t>
        </is>
      </c>
      <c r="F124" s="31" t="inlineStr">
        <is>
          <t>steel - large</t>
        </is>
      </c>
      <c r="G124" s="31" t="inlineStr">
        <is>
          <t>largecap</t>
        </is>
      </c>
      <c r="H124" s="32" t="n">
        <v>40146.3</v>
      </c>
      <c r="I124" s="32" t="n">
        <v>1477.6</v>
      </c>
      <c r="J124" s="32" t="n">
        <v>-2.91</v>
      </c>
      <c r="K124" s="32" t="n">
        <v>776745</v>
      </c>
      <c r="L124" s="31" t="n">
        <v>83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84.66</v>
      </c>
      <c r="P124" s="32" t="n">
        <v>60.13</v>
      </c>
      <c r="Q124" s="32" t="n">
        <v>1225.65</v>
      </c>
      <c r="R124" s="31" t="inlineStr">
        <is>
          <t>Near 52W High Breakout</t>
        </is>
      </c>
      <c r="S124" s="31" t="inlineStr">
        <is>
          <t>Nifty Metal</t>
        </is>
      </c>
      <c r="T124" s="32" t="n">
        <v>29.38</v>
      </c>
      <c r="U124" s="32" t="n">
        <v>60.05</v>
      </c>
      <c r="V124" s="32" t="n">
        <v>23.71</v>
      </c>
      <c r="W124" s="32" t="n">
        <v>28.35</v>
      </c>
      <c r="X124" s="31" t="inlineStr">
        <is>
          <t>Cyclical in an Upturn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Above 40</t>
        </is>
      </c>
      <c r="AY124" s="31">
        <f>IF(AX124="Above 40",20,IF(AX124="20 to 40",10,IF(AX124="0 to 20",-5,0)))</f>
        <v/>
      </c>
      <c r="AZ124" s="31" t="inlineStr">
        <is>
          <t>Above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Blue sky scenario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Less than 12%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IF(B125=0,"",RANK(B125,$B$2:$B$379,0))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ARVIND</t>
        </is>
      </c>
      <c r="D125" s="31" t="inlineStr">
        <is>
          <t>Arvind Limited</t>
        </is>
      </c>
      <c r="E125" s="31" t="inlineStr">
        <is>
          <t>textiles</t>
        </is>
      </c>
      <c r="F125" s="31" t="inlineStr">
        <is>
          <t>textiles - cotton/blended</t>
        </is>
      </c>
      <c r="G125" s="31" t="inlineStr">
        <is>
          <t>midcap</t>
        </is>
      </c>
      <c r="H125" s="32" t="n">
        <v>15388.75</v>
      </c>
      <c r="I125" s="32" t="n">
        <v>560.35</v>
      </c>
      <c r="J125" s="32" t="n">
        <v>-4.56</v>
      </c>
      <c r="K125" s="32" t="n">
        <v>1110475</v>
      </c>
      <c r="L125" s="31" t="n">
        <v>77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82.84</v>
      </c>
      <c r="P125" s="32" t="n">
        <v>50.06</v>
      </c>
      <c r="Q125" s="32" t="n">
        <v>448.35</v>
      </c>
      <c r="R125" s="31" t="inlineStr">
        <is>
          <t>Near 52W High Breakout</t>
        </is>
      </c>
      <c r="S125" s="31" t="inlineStr">
        <is>
          <t>Nifty 50</t>
        </is>
      </c>
      <c r="T125" s="32" t="n">
        <v>-5.72</v>
      </c>
      <c r="U125" s="32" t="n">
        <v>61.91</v>
      </c>
      <c r="V125" s="32" t="n">
        <v>71.72</v>
      </c>
      <c r="W125" s="32" t="n">
        <v>22.87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Above 40</t>
        </is>
      </c>
      <c r="AY125" s="31">
        <f>IF(AX125="Above 40",20,IF(AX125="20 to 40",10,IF(AX125="0 to 20",-5,0)))</f>
        <v/>
      </c>
      <c r="AZ125" s="31" t="inlineStr">
        <is>
          <t>Above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Blue sky scenario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Less than 12%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IF(B126=0,"",RANK(B126,$B$2:$B$379,0))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NRBBEARING</t>
        </is>
      </c>
      <c r="D126" s="31" t="inlineStr">
        <is>
          <t>Nrb Bearing Limited</t>
        </is>
      </c>
      <c r="E126" s="31" t="inlineStr">
        <is>
          <t>industrials</t>
        </is>
      </c>
      <c r="F126" s="31" t="inlineStr">
        <is>
          <t>bearings</t>
        </is>
      </c>
      <c r="G126" s="31" t="inlineStr">
        <is>
          <t>smallcap</t>
        </is>
      </c>
      <c r="H126" s="32" t="n">
        <v>4303.36</v>
      </c>
      <c r="I126" s="32" t="n">
        <v>423.65</v>
      </c>
      <c r="J126" s="32" t="n">
        <v>-4.58</v>
      </c>
      <c r="K126" s="32" t="n">
        <v>860559</v>
      </c>
      <c r="L126" s="31" t="n">
        <v>86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77</v>
      </c>
      <c r="P126" s="32" t="n">
        <v>38.87</v>
      </c>
      <c r="Q126" s="32" t="n">
        <v>328.82</v>
      </c>
      <c r="R126" s="31" t="inlineStr">
        <is>
          <t>Near 52W High Breakout</t>
        </is>
      </c>
      <c r="S126" s="31" t="inlineStr">
        <is>
          <t>Nifty 50</t>
        </is>
      </c>
      <c r="T126" s="32" t="n">
        <v>-5.72</v>
      </c>
      <c r="U126" s="32" t="n">
        <v>53.06</v>
      </c>
      <c r="V126" s="32" t="n">
        <v>62.33</v>
      </c>
      <c r="W126" s="32" t="n">
        <v>29.53</v>
      </c>
      <c r="X126" s="31" t="inlineStr">
        <is>
          <t>Cyclical in an Upturn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Above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IF(B127=0,"",RANK(B127,$B$2:$B$379,0))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INDIAGLYCO</t>
        </is>
      </c>
      <c r="D127" s="31" t="inlineStr">
        <is>
          <t>India Glycols Limited</t>
        </is>
      </c>
      <c r="E127" s="31" t="inlineStr">
        <is>
          <t>fmcg</t>
        </is>
      </c>
      <c r="F127" s="31" t="inlineStr">
        <is>
          <t>breweries &amp; distilleries</t>
        </is>
      </c>
      <c r="G127" s="31" t="inlineStr">
        <is>
          <t>midcap</t>
        </is>
      </c>
      <c r="H127" s="32" t="n">
        <v>6611.19</v>
      </c>
      <c r="I127" s="32" t="n">
        <v>1028.3</v>
      </c>
      <c r="J127" s="32" t="n">
        <v>4.25</v>
      </c>
      <c r="K127" s="32" t="n">
        <v>273548</v>
      </c>
      <c r="L127" s="31" t="n">
        <v>8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56.48</v>
      </c>
      <c r="P127" s="32" t="n">
        <v>17.05</v>
      </c>
      <c r="Q127" s="32" t="n">
        <v>915.46</v>
      </c>
      <c r="R127" s="31" t="inlineStr">
        <is>
          <t>Earnings / Momentum Support</t>
        </is>
      </c>
      <c r="S127" s="31" t="inlineStr">
        <is>
          <t>Nifty FMCG</t>
        </is>
      </c>
      <c r="T127" s="32" t="n">
        <v>-9</v>
      </c>
      <c r="U127" s="32" t="n">
        <v>-1.21</v>
      </c>
      <c r="V127" s="32" t="n">
        <v>8.57</v>
      </c>
      <c r="W127" s="32" t="n">
        <v>3.29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B2C</t>
        </is>
      </c>
      <c r="AO127" s="31">
        <f>IF(AN127="B2C",10,IF(AN127="B2B",5,0))</f>
        <v/>
      </c>
      <c r="AP127" s="31" t="inlineStr">
        <is>
          <t>No</t>
        </is>
      </c>
      <c r="AQ127" s="31">
        <f>IF(AP127="Yes",10,0)</f>
        <v/>
      </c>
      <c r="AR127" s="31" t="inlineStr">
        <is>
          <t>Higher Annuity, Lower One Time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0 to 20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Less than 1.5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IF(B128=0,"",RANK(B128,$B$2:$B$379,0))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3" t="inlineStr">
        <is>
          <t>AKUMS</t>
        </is>
      </c>
      <c r="D128" s="33" t="inlineStr">
        <is>
          <t>Akums Drugs &amp; Pharmaceuticals Ltd</t>
        </is>
      </c>
      <c r="E128" s="31" t="inlineStr">
        <is>
          <t>healthcare</t>
        </is>
      </c>
      <c r="F128" s="31" t="inlineStr">
        <is>
          <t>pharmaceuticals - indian - bulk drugs &amp; formln</t>
        </is>
      </c>
      <c r="G128" s="31" t="inlineStr">
        <is>
          <t>midcap</t>
        </is>
      </c>
      <c r="H128" s="32" t="n">
        <v>9808.01</v>
      </c>
      <c r="I128" s="32" t="n">
        <v>630.85</v>
      </c>
      <c r="J128" s="32" t="n">
        <v>1.24</v>
      </c>
      <c r="K128" s="32" t="n">
        <v>194858</v>
      </c>
      <c r="L128" s="31" t="n">
        <v>28</v>
      </c>
      <c r="M128" s="31" t="inlineStr">
        <is>
          <t>Underperforming</t>
        </is>
      </c>
      <c r="N128" s="32">
        <f>IF(M128="Underperforming",-5,IF(L128&gt;=95,15,IF(L128&gt;=90,10,IF(L128&gt;=80,5,0))))</f>
        <v/>
      </c>
      <c r="O128" s="32" t="n">
        <v>70.31</v>
      </c>
      <c r="P128" s="32" t="n">
        <v>42.84</v>
      </c>
      <c r="Q128" s="32" t="n">
        <v>507.17</v>
      </c>
      <c r="R128" s="31" t="inlineStr">
        <is>
          <t>Near 52W High Breakout</t>
        </is>
      </c>
      <c r="S128" s="31" t="inlineStr">
        <is>
          <t>Nifty Pharma</t>
        </is>
      </c>
      <c r="T128" s="32" t="n">
        <v>12.5</v>
      </c>
      <c r="U128" s="32" t="n">
        <v>9.050000000000001</v>
      </c>
      <c r="V128" s="32" t="n">
        <v>-3.07</v>
      </c>
      <c r="W128" s="32" t="n">
        <v>8.33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Yes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Annuity, Lower One Time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Less than 12%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IF(B129=0,"",RANK(B129,$B$2:$B$379,0))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WOCKPHARMA</t>
        </is>
      </c>
      <c r="D129" s="31" t="inlineStr">
        <is>
          <t>Wockhardt Limited</t>
        </is>
      </c>
      <c r="E129" s="31" t="inlineStr">
        <is>
          <t>healthcare</t>
        </is>
      </c>
      <c r="F129" s="31" t="inlineStr">
        <is>
          <t>pharmaceuticals - indian - bulk drugs &amp; formln</t>
        </is>
      </c>
      <c r="G129" s="31" t="inlineStr">
        <is>
          <t>largecap</t>
        </is>
      </c>
      <c r="H129" s="32" t="n">
        <v>31546.23</v>
      </c>
      <c r="I129" s="32" t="n">
        <v>1962.7</v>
      </c>
      <c r="J129" s="32" t="n">
        <v>1.1</v>
      </c>
      <c r="K129" s="32" t="n">
        <v>639184</v>
      </c>
      <c r="L129" s="31" t="n">
        <v>59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69.23999999999999</v>
      </c>
      <c r="P129" s="32" t="n">
        <v>39.65</v>
      </c>
      <c r="Q129" s="32" t="n">
        <v>1494.02</v>
      </c>
      <c r="R129" s="31" t="inlineStr">
        <is>
          <t>Near 52W High Breakout</t>
        </is>
      </c>
      <c r="S129" s="31" t="inlineStr">
        <is>
          <t>Nifty Pharma</t>
        </is>
      </c>
      <c r="T129" s="32" t="n">
        <v>12.5</v>
      </c>
      <c r="U129" s="32" t="n">
        <v>13.79</v>
      </c>
      <c r="V129" s="32" t="n">
        <v>1.15</v>
      </c>
      <c r="W129" s="32" t="n">
        <v>16.02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Yes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Annuity, Lower One Time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Blue sky scenario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Yes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Between 50% to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IF(B130=0,"",RANK(B130,$B$2:$B$379,0))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AURUM</t>
        </is>
      </c>
      <c r="D130" s="31" t="inlineStr">
        <is>
          <t>Aurum Proptech Ltd</t>
        </is>
      </c>
      <c r="E130" s="31" t="inlineStr">
        <is>
          <t>i.t</t>
        </is>
      </c>
      <c r="F130" s="31" t="inlineStr">
        <is>
          <t>computers - software - medium / small</t>
        </is>
      </c>
      <c r="G130" s="31" t="inlineStr">
        <is>
          <t>smallcap</t>
        </is>
      </c>
      <c r="H130" s="32" t="n">
        <v>1729.95</v>
      </c>
      <c r="I130" s="32" t="n">
        <v>227.71</v>
      </c>
      <c r="J130" s="32" t="n">
        <v>0.9</v>
      </c>
      <c r="K130" s="32" t="n">
        <v>224251</v>
      </c>
      <c r="L130" s="31" t="n">
        <v>39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72.2</v>
      </c>
      <c r="P130" s="32" t="n">
        <v>28.16</v>
      </c>
      <c r="Q130" s="32" t="n">
        <v>180.64</v>
      </c>
      <c r="R130" s="31" t="inlineStr">
        <is>
          <t>Volume Spike &amp; Near 52W High Breakout</t>
        </is>
      </c>
      <c r="S130" s="31" t="inlineStr">
        <is>
          <t>Nifty IT</t>
        </is>
      </c>
      <c r="T130" s="32" t="n">
        <v>-34.2</v>
      </c>
      <c r="U130" s="32" t="n">
        <v>17.24</v>
      </c>
      <c r="V130" s="32" t="n">
        <v>78.19</v>
      </c>
      <c r="W130" s="32" t="n">
        <v>10.77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Annuity, Lower One Time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Between 50% to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IF(B131=0,"",RANK(B131,$B$2:$B$379,0))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HNDFDS</t>
        </is>
      </c>
      <c r="D131" s="31" t="inlineStr">
        <is>
          <t>Hindustan Foods Ltd</t>
        </is>
      </c>
      <c r="E131" s="31" t="inlineStr">
        <is>
          <t>fmcg</t>
        </is>
      </c>
      <c r="F131" s="31" t="inlineStr">
        <is>
          <t>diversified - large</t>
        </is>
      </c>
      <c r="G131" s="31" t="inlineStr">
        <is>
          <t>midcap</t>
        </is>
      </c>
      <c r="H131" s="32" t="n">
        <v>6643.19</v>
      </c>
      <c r="I131" s="32" t="n">
        <v>560.85</v>
      </c>
      <c r="J131" s="32" t="n">
        <v>0.87</v>
      </c>
      <c r="K131" s="32" t="n">
        <v>52484</v>
      </c>
      <c r="L131" s="31" t="n">
        <v>9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61.99</v>
      </c>
      <c r="P131" s="32" t="n">
        <v>27.09</v>
      </c>
      <c r="Q131" s="32" t="n">
        <v>468.11</v>
      </c>
      <c r="R131" s="31" t="inlineStr">
        <is>
          <t>Near 52W High Breakout</t>
        </is>
      </c>
      <c r="S131" s="31" t="inlineStr">
        <is>
          <t>Nifty FMCG</t>
        </is>
      </c>
      <c r="T131" s="32" t="n">
        <v>-9</v>
      </c>
      <c r="U131" s="32" t="n">
        <v>4.16</v>
      </c>
      <c r="V131" s="32" t="n">
        <v>14.47</v>
      </c>
      <c r="W131" s="32" t="n">
        <v>3.91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B2C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Annuity, Lower One Time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Less than 1.5</t>
        </is>
      </c>
      <c r="BU131" s="31">
        <f>IF(BT131="Above 2",0,IF(BT131="Between 1.5 to 2",5,IF(BT131="Less than 1.5",10,0)))</f>
        <v/>
      </c>
      <c r="BV131" s="31" t="inlineStr">
        <is>
          <t>Less than 50%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Between 0.7 to 1.2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IF(B132=0,"",RANK(B132,$B$2:$B$379,0))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SAILIFE</t>
        </is>
      </c>
      <c r="D132" s="31" t="inlineStr">
        <is>
          <t>Sai Life Sciences Ltd</t>
        </is>
      </c>
      <c r="E132" s="31" t="inlineStr">
        <is>
          <t>healthcare</t>
        </is>
      </c>
      <c r="F132" s="31" t="inlineStr">
        <is>
          <t>pharmaceuticals - indian - bulk drugs &amp; formln</t>
        </is>
      </c>
      <c r="G132" s="31" t="inlineStr">
        <is>
          <t>largecap</t>
        </is>
      </c>
      <c r="H132" s="32" t="n">
        <v>26139.91</v>
      </c>
      <c r="I132" s="32" t="n">
        <v>1243.8</v>
      </c>
      <c r="J132" s="32" t="n">
        <v>0.77</v>
      </c>
      <c r="K132" s="32" t="n">
        <v>239041</v>
      </c>
      <c r="L132" s="31" t="n">
        <v>58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73.54000000000001</v>
      </c>
      <c r="P132" s="32" t="n">
        <v>28.3</v>
      </c>
      <c r="Q132" s="32" t="n">
        <v>1011.35</v>
      </c>
      <c r="R132" s="31" t="inlineStr">
        <is>
          <t>Near 52W High Breakout</t>
        </is>
      </c>
      <c r="S132" s="31" t="inlineStr">
        <is>
          <t>Nifty Pharma</t>
        </is>
      </c>
      <c r="T132" s="32" t="n">
        <v>12.5</v>
      </c>
      <c r="U132" s="32" t="n">
        <v>56.9</v>
      </c>
      <c r="V132" s="32" t="n">
        <v>39.46</v>
      </c>
      <c r="W132" s="32" t="n">
        <v>15.81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Yes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Annuity, Lower One Time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Between 12 to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IF(B133=0,"",RANK(B133,$B$2:$B$379,0))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SAREGAMA</t>
        </is>
      </c>
      <c r="D133" s="31" t="inlineStr">
        <is>
          <t>Saregama India Limited</t>
        </is>
      </c>
      <c r="E133" s="31" t="inlineStr">
        <is>
          <t>media</t>
        </is>
      </c>
      <c r="F133" s="31" t="inlineStr">
        <is>
          <t>entertainment / electronic media software</t>
        </is>
      </c>
      <c r="G133" s="31" t="inlineStr">
        <is>
          <t>midcap</t>
        </is>
      </c>
      <c r="H133" s="32" t="n">
        <v>9501.65</v>
      </c>
      <c r="I133" s="32" t="n">
        <v>492.35</v>
      </c>
      <c r="J133" s="32" t="n">
        <v>-0.09</v>
      </c>
      <c r="K133" s="32" t="n">
        <v>325236</v>
      </c>
      <c r="L133" s="31" t="n">
        <v>53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70.45999999999999</v>
      </c>
      <c r="P133" s="32" t="n">
        <v>33.05</v>
      </c>
      <c r="Q133" s="32" t="n">
        <v>386.42</v>
      </c>
      <c r="R133" s="31" t="inlineStr">
        <is>
          <t>Near 52W High Breakout</t>
        </is>
      </c>
      <c r="S133" s="31" t="inlineStr">
        <is>
          <t>Nifty IT</t>
        </is>
      </c>
      <c r="T133" s="32" t="n">
        <v>-34.2</v>
      </c>
      <c r="U133" s="32" t="n">
        <v>0.68</v>
      </c>
      <c r="V133" s="32" t="n">
        <v>53.01</v>
      </c>
      <c r="W133" s="32" t="n">
        <v>13.79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Annuity, Lower One Time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Between 1.5 to 2</t>
        </is>
      </c>
      <c r="BU133" s="31">
        <f>IF(BT133="Above 2",0,IF(BT133="Between 1.5 to 2",5,IF(BT133="Less than 1.5",10,0)))</f>
        <v/>
      </c>
      <c r="BV133" s="31" t="inlineStr">
        <is>
          <t>Less than 50%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IF(B134=0,"",RANK(B134,$B$2:$B$379,0))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SBCL</t>
        </is>
      </c>
      <c r="D134" s="31" t="inlineStr">
        <is>
          <t>Shivalik Bimetal Controls Ltd</t>
        </is>
      </c>
      <c r="E134" s="31" t="inlineStr">
        <is>
          <t>metals &amp; mining</t>
        </is>
      </c>
      <c r="F134" s="31" t="inlineStr">
        <is>
          <t>mining / minerals / metals</t>
        </is>
      </c>
      <c r="G134" s="31" t="inlineStr">
        <is>
          <t>smallcap</t>
        </is>
      </c>
      <c r="H134" s="32" t="n">
        <v>4380.51</v>
      </c>
      <c r="I134" s="32" t="n">
        <v>750.5</v>
      </c>
      <c r="J134" s="32" t="n">
        <v>-1.31</v>
      </c>
      <c r="K134" s="32" t="n">
        <v>371549</v>
      </c>
      <c r="L134" s="31" t="n">
        <v>84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70.72</v>
      </c>
      <c r="P134" s="32" t="n">
        <v>41.24</v>
      </c>
      <c r="Q134" s="32" t="n">
        <v>563.47</v>
      </c>
      <c r="R134" s="31" t="inlineStr">
        <is>
          <t>Near 52W High Breakout</t>
        </is>
      </c>
      <c r="S134" s="31" t="inlineStr">
        <is>
          <t>Nifty Metal</t>
        </is>
      </c>
      <c r="T134" s="32" t="n">
        <v>29.38</v>
      </c>
      <c r="U134" s="32" t="n">
        <v>41.23</v>
      </c>
      <c r="V134" s="32" t="n">
        <v>9.16</v>
      </c>
      <c r="W134" s="32" t="n">
        <v>28.36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Monopoly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Shallow Cyclical (2 to 3 Years Growth)</t>
        </is>
      </c>
      <c r="AG134" s="31">
        <f>IF(AF134="Structural (10 Years Consistency)",10,IF(AF134="Shallow Cyclical (2 to 3 years growth)",5,0))</f>
        <v/>
      </c>
      <c r="AH134" s="31" t="inlineStr">
        <is>
          <t>Yes due to Product Mix change or Operating Leverage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Fully One Time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Yes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Between 1.5 to 2</t>
        </is>
      </c>
      <c r="BU134" s="31">
        <f>IF(BT134="Above 2",0,IF(BT134="Between 1.5 to 2",5,IF(BT134="Less than 1.5",10,0)))</f>
        <v/>
      </c>
      <c r="BV134" s="31" t="inlineStr">
        <is>
          <t>Less than 50%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IF(B135=0,"",RANK(B135,$B$2:$B$379,0))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APOLLO</t>
        </is>
      </c>
      <c r="D135" s="31" t="inlineStr">
        <is>
          <t>Apollo Micro Systems Ltd</t>
        </is>
      </c>
      <c r="E135" s="31" t="inlineStr">
        <is>
          <t>aerospace &amp; defence</t>
        </is>
      </c>
      <c r="F135" s="31" t="inlineStr">
        <is>
          <t>electronics - components</t>
        </is>
      </c>
      <c r="G135" s="31" t="inlineStr">
        <is>
          <t>midcap</t>
        </is>
      </c>
      <c r="H135" s="32" t="n">
        <v>15692.66</v>
      </c>
      <c r="I135" s="32" t="n">
        <v>418.85</v>
      </c>
      <c r="J135" s="32" t="n">
        <v>-1.39</v>
      </c>
      <c r="K135" s="32" t="n">
        <v>7249156</v>
      </c>
      <c r="L135" s="31" t="n">
        <v>96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66.73999999999999</v>
      </c>
      <c r="P135" s="32" t="n">
        <v>41.09</v>
      </c>
      <c r="Q135" s="32" t="n">
        <v>306.15</v>
      </c>
      <c r="R135" s="31" t="inlineStr">
        <is>
          <t>Near 52W High Breakout</t>
        </is>
      </c>
      <c r="S135" s="31" t="inlineStr">
        <is>
          <t>Nifty 50</t>
        </is>
      </c>
      <c r="T135" s="32" t="n">
        <v>-5.72</v>
      </c>
      <c r="U135" s="32" t="n">
        <v>118.47</v>
      </c>
      <c r="V135" s="32" t="n">
        <v>131.71</v>
      </c>
      <c r="W135" s="32" t="n">
        <v>51.11</v>
      </c>
      <c r="X135" s="31" t="inlineStr">
        <is>
          <t>Cyclical in an Upturn</t>
        </is>
      </c>
      <c r="Y135" s="31">
        <f>IF(X135="Growing Industry",10,IF(X135="Cyclical in an Upturn",5,0))</f>
        <v/>
      </c>
      <c r="Z135" s="31" t="inlineStr">
        <is>
          <t>Oligopoly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Cyclical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B2C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Fully One Time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Above 40</t>
        </is>
      </c>
      <c r="AY135" s="31">
        <f>IF(AX135="Above 40",20,IF(AX135="20 to 40",10,IF(AX135="0 to 20",-5,0)))</f>
        <v/>
      </c>
      <c r="AZ135" s="31" t="inlineStr">
        <is>
          <t>Above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Yes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Between 1.5 to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IF(B136=0,"",RANK(B136,$B$2:$B$379,0))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3" t="inlineStr">
        <is>
          <t>ALIVUS</t>
        </is>
      </c>
      <c r="D136" s="33" t="inlineStr">
        <is>
          <t>Alivus Life Sciences Ltd</t>
        </is>
      </c>
      <c r="E136" s="31" t="inlineStr">
        <is>
          <t>healthcare</t>
        </is>
      </c>
      <c r="F136" s="31" t="inlineStr">
        <is>
          <t>pharmaceuticals - indian - bulk drugs &amp; formln</t>
        </is>
      </c>
      <c r="G136" s="31" t="inlineStr">
        <is>
          <t>midcap</t>
        </is>
      </c>
      <c r="H136" s="32" t="n">
        <v>14194.46</v>
      </c>
      <c r="I136" s="32" t="n">
        <v>1136.4</v>
      </c>
      <c r="J136" s="32" t="n">
        <v>-1.74</v>
      </c>
      <c r="K136" s="32" t="n">
        <v>133865</v>
      </c>
      <c r="L136" s="31" t="n">
        <v>16</v>
      </c>
      <c r="M136" s="31" t="inlineStr">
        <is>
          <t>Underperforming</t>
        </is>
      </c>
      <c r="N136" s="32">
        <f>IF(M136="Underperforming",-5,IF(L136&gt;=95,15,IF(L136&gt;=90,10,IF(L136&gt;=80,5,0))))</f>
        <v/>
      </c>
      <c r="O136" s="32" t="n">
        <v>67.62</v>
      </c>
      <c r="P136" s="32" t="n">
        <v>31.81</v>
      </c>
      <c r="Q136" s="32" t="n">
        <v>919.6</v>
      </c>
      <c r="R136" s="31" t="inlineStr">
        <is>
          <t>Near 52W High Breakout</t>
        </is>
      </c>
      <c r="S136" s="31" t="inlineStr">
        <is>
          <t>Nifty Pharma</t>
        </is>
      </c>
      <c r="T136" s="32" t="n">
        <v>12.5</v>
      </c>
      <c r="U136" s="32" t="n">
        <v>9.81</v>
      </c>
      <c r="V136" s="32" t="n">
        <v>-2.39</v>
      </c>
      <c r="W136" s="32" t="n">
        <v>5.22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Yes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Annuity, Lower One Time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Between 12 to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Between 1.5 to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IF(B137=0,"",RANK(B137,$B$2:$B$379,0))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MUNJALAU</t>
        </is>
      </c>
      <c r="D137" s="31" t="inlineStr">
        <is>
          <t>Munjal Auto Industries Limited</t>
        </is>
      </c>
      <c r="E137" s="31" t="inlineStr">
        <is>
          <t>auto</t>
        </is>
      </c>
      <c r="F137" s="31" t="inlineStr">
        <is>
          <t>auto ancillaries</t>
        </is>
      </c>
      <c r="G137" s="31" t="inlineStr">
        <is>
          <t>smallcap</t>
        </is>
      </c>
      <c r="H137" s="32" t="n">
        <v>927.4</v>
      </c>
      <c r="I137" s="32" t="n">
        <v>102.09</v>
      </c>
      <c r="J137" s="32" t="n">
        <v>10.08</v>
      </c>
      <c r="K137" s="32" t="n">
        <v>7365246</v>
      </c>
      <c r="L137" s="31" t="n">
        <v>63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67.52</v>
      </c>
      <c r="P137" s="32" t="n">
        <v>29.72</v>
      </c>
      <c r="Q137" s="32" t="n">
        <v>76.19</v>
      </c>
      <c r="R137" s="31" t="inlineStr">
        <is>
          <t>Volume Spike &amp; Near 52W High Breakout</t>
        </is>
      </c>
      <c r="S137" s="31" t="inlineStr">
        <is>
          <t>Nifty Auto</t>
        </is>
      </c>
      <c r="T137" s="32" t="n">
        <v>11.69</v>
      </c>
      <c r="U137" s="32" t="n">
        <v>31.53</v>
      </c>
      <c r="V137" s="32" t="n">
        <v>17.76</v>
      </c>
      <c r="W137" s="32" t="n">
        <v>16.84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Less than 1.5</t>
        </is>
      </c>
      <c r="BU137" s="31">
        <f>IF(BT137="Above 2",0,IF(BT137="Between 1.5 to 2",5,IF(BT137="Less than 1.5",10,0)))</f>
        <v/>
      </c>
      <c r="BV137" s="31" t="inlineStr">
        <is>
          <t>Less than 50%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Between 0.7 to 1.2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IF(B138=0,"",RANK(B138,$B$2:$B$379,0))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CONFIPET</t>
        </is>
      </c>
      <c r="D138" s="31" t="inlineStr">
        <is>
          <t>Confidence Petroleum India Ltd</t>
        </is>
      </c>
      <c r="E138" s="31" t="inlineStr">
        <is>
          <t>miscellaneous</t>
        </is>
      </c>
      <c r="F138" s="31" t="inlineStr">
        <is>
          <t>miscellaneous</t>
        </is>
      </c>
      <c r="G138" s="31" t="inlineStr">
        <is>
          <t>smallcap</t>
        </is>
      </c>
      <c r="H138" s="32" t="n">
        <v>2430.01</v>
      </c>
      <c r="I138" s="32" t="n">
        <v>76.89</v>
      </c>
      <c r="J138" s="32" t="n">
        <v>5.13</v>
      </c>
      <c r="K138" s="32" t="n">
        <v>6505900</v>
      </c>
      <c r="L138" s="31" t="n">
        <v>70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72.59999999999999</v>
      </c>
      <c r="P138" s="32" t="n">
        <v>61.55</v>
      </c>
      <c r="Q138" s="32" t="n">
        <v>52.61</v>
      </c>
      <c r="R138" s="31" t="inlineStr">
        <is>
          <t>Near 52W High Breakout</t>
        </is>
      </c>
      <c r="S138" s="31" t="inlineStr">
        <is>
          <t>Nifty Energy</t>
        </is>
      </c>
      <c r="T138" s="32" t="n">
        <v>8.92</v>
      </c>
      <c r="U138" s="32" t="n">
        <v>37.74</v>
      </c>
      <c r="V138" s="32" t="n">
        <v>26.47</v>
      </c>
      <c r="W138" s="32" t="n">
        <v>19.51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Above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Negative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Less than 1.5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IF(B139=0,"",RANK(B139,$B$2:$B$379,0))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3" t="inlineStr">
        <is>
          <t>GREENPLY</t>
        </is>
      </c>
      <c r="D139" s="33" t="inlineStr">
        <is>
          <t>Greenply Industries Limited</t>
        </is>
      </c>
      <c r="E139" s="31" t="inlineStr">
        <is>
          <t>building materials</t>
        </is>
      </c>
      <c r="F139" s="31" t="inlineStr">
        <is>
          <t>miscellaneous</t>
        </is>
      </c>
      <c r="G139" s="31" t="inlineStr">
        <is>
          <t>smallcap</t>
        </is>
      </c>
      <c r="H139" s="32" t="n">
        <v>3705.09</v>
      </c>
      <c r="I139" s="32" t="n">
        <v>307.7</v>
      </c>
      <c r="J139" s="32" t="n">
        <v>3.73</v>
      </c>
      <c r="K139" s="32" t="n">
        <v>833541</v>
      </c>
      <c r="L139" s="31" t="n">
        <v>54</v>
      </c>
      <c r="M139" s="31" t="inlineStr">
        <is>
          <t>Underperforming</t>
        </is>
      </c>
      <c r="N139" s="32">
        <f>IF(M139="Underperforming",-5,IF(L139&gt;=95,15,IF(L139&gt;=90,10,IF(L139&gt;=80,5,0))))</f>
        <v/>
      </c>
      <c r="O139" s="32" t="n">
        <v>66.06</v>
      </c>
      <c r="P139" s="32" t="n">
        <v>26.94</v>
      </c>
      <c r="Q139" s="32" t="n">
        <v>233.43</v>
      </c>
      <c r="R139" s="31" t="inlineStr">
        <is>
          <t>Earnings / Momentum Support</t>
        </is>
      </c>
      <c r="S139" s="31" t="inlineStr">
        <is>
          <t>Nifty Infra</t>
        </is>
      </c>
      <c r="T139" s="32" t="n">
        <v>0.09</v>
      </c>
      <c r="U139" s="32" t="n">
        <v>-2.18</v>
      </c>
      <c r="V139" s="32" t="n">
        <v>-2.26</v>
      </c>
      <c r="W139" s="32" t="n">
        <v>14.73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No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Less than 1.5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IF(B140=0,"",RANK(B140,$B$2:$B$379,0))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AEROFLEX</t>
        </is>
      </c>
      <c r="D140" s="31" t="inlineStr">
        <is>
          <t>Aeroflex Industries Ltd</t>
        </is>
      </c>
      <c r="E140" s="31" t="inlineStr">
        <is>
          <t>metals &amp; mining</t>
        </is>
      </c>
      <c r="F140" s="31" t="inlineStr">
        <is>
          <t>steel - medium / small</t>
        </is>
      </c>
      <c r="G140" s="31" t="inlineStr">
        <is>
          <t>midcap</t>
        </is>
      </c>
      <c r="H140" s="32" t="n">
        <v>6240.72</v>
      </c>
      <c r="I140" s="32" t="n">
        <v>488.5</v>
      </c>
      <c r="J140" s="32" t="n">
        <v>3.58</v>
      </c>
      <c r="K140" s="32" t="n">
        <v>2138879</v>
      </c>
      <c r="L140" s="31" t="n">
        <v>93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71.22</v>
      </c>
      <c r="P140" s="32" t="n">
        <v>67.76000000000001</v>
      </c>
      <c r="Q140" s="32" t="n">
        <v>363.09</v>
      </c>
      <c r="R140" s="31" t="inlineStr">
        <is>
          <t>Near 52W High Breakout</t>
        </is>
      </c>
      <c r="S140" s="31" t="inlineStr">
        <is>
          <t>Nifty Metal</t>
        </is>
      </c>
      <c r="T140" s="32" t="n">
        <v>29.38</v>
      </c>
      <c r="U140" s="32" t="n">
        <v>142.92</v>
      </c>
      <c r="V140" s="32" t="n">
        <v>87.76000000000001</v>
      </c>
      <c r="W140" s="32" t="n">
        <v>42.75</v>
      </c>
      <c r="X140" s="31" t="inlineStr">
        <is>
          <t>Cyclical in an Upturn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Cyclical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Volatile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Above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Blue sky scenario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Between 50% to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IF(B141=0,"",RANK(B141,$B$2:$B$379,0))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RPEL</t>
        </is>
      </c>
      <c r="D141" s="31" t="inlineStr">
        <is>
          <t>Raghav Productivity Enhancers Ltd</t>
        </is>
      </c>
      <c r="E141" s="31" t="inlineStr">
        <is>
          <t>building materials</t>
        </is>
      </c>
      <c r="F141" s="31" t="inlineStr">
        <is>
          <t>refractories / intermediates</t>
        </is>
      </c>
      <c r="G141" s="31" t="inlineStr">
        <is>
          <t>midcap</t>
        </is>
      </c>
      <c r="H141" s="32" t="n">
        <v>5527.8</v>
      </c>
      <c r="I141" s="32" t="n">
        <v>1245.2</v>
      </c>
      <c r="J141" s="32" t="n">
        <v>3.42</v>
      </c>
      <c r="K141" s="32" t="n">
        <v>105283</v>
      </c>
      <c r="L141" s="31" t="n">
        <v>91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77.05</v>
      </c>
      <c r="P141" s="32" t="n">
        <v>35.02</v>
      </c>
      <c r="Q141" s="32" t="n">
        <v>964.7</v>
      </c>
      <c r="R141" s="31" t="inlineStr">
        <is>
          <t>Near 52W High Breakout</t>
        </is>
      </c>
      <c r="S141" s="31" t="inlineStr">
        <is>
          <t>Nifty Infra</t>
        </is>
      </c>
      <c r="T141" s="32" t="n">
        <v>0.09</v>
      </c>
      <c r="U141" s="32" t="n">
        <v>75.23999999999999</v>
      </c>
      <c r="V141" s="32" t="n">
        <v>75.09</v>
      </c>
      <c r="W141" s="32" t="n">
        <v>39.65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Above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Blue sky scenario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Less than 50%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IF(B142=0,"",RANK(B142,$B$2:$B$379,0))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SPECTRUM</t>
        </is>
      </c>
      <c r="D142" s="31" t="inlineStr">
        <is>
          <t>Spectrum Electrical Industries Ltd</t>
        </is>
      </c>
      <c r="E142" s="31" t="inlineStr">
        <is>
          <t>industrials</t>
        </is>
      </c>
      <c r="F142" s="31" t="inlineStr">
        <is>
          <t>electric equipment</t>
        </is>
      </c>
      <c r="G142" s="31" t="inlineStr">
        <is>
          <t>smallcap</t>
        </is>
      </c>
      <c r="H142" s="32" t="n">
        <v>2923.87</v>
      </c>
      <c r="I142" s="32" t="n">
        <v>1919.8</v>
      </c>
      <c r="J142" s="32" t="n">
        <v>3.18</v>
      </c>
      <c r="K142" s="32" t="n">
        <v>36324</v>
      </c>
      <c r="L142" s="31" t="n">
        <v>53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66.65000000000001</v>
      </c>
      <c r="P142" s="32" t="n">
        <v>32.13</v>
      </c>
      <c r="Q142" s="32" t="n">
        <v>1334.65</v>
      </c>
      <c r="R142" s="31" t="inlineStr">
        <is>
          <t>Near 52W High Breakout</t>
        </is>
      </c>
      <c r="S142" s="31" t="inlineStr">
        <is>
          <t>Nifty 50</t>
        </is>
      </c>
      <c r="T142" s="32" t="n">
        <v>-5.72</v>
      </c>
      <c r="U142" s="32" t="n">
        <v>28.91</v>
      </c>
      <c r="V142" s="32" t="n">
        <v>36.72</v>
      </c>
      <c r="W142" s="32" t="n">
        <v>13.94</v>
      </c>
      <c r="X142" s="31" t="inlineStr">
        <is>
          <t>Cyclical in an Upturn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Less than 1.5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Between 0.7 to 1.2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IF(B143=0,"",RANK(B143,$B$2:$B$379,0))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ADANIGREEN</t>
        </is>
      </c>
      <c r="D143" s="31" t="inlineStr">
        <is>
          <t>Adani Green Energy Ltd</t>
        </is>
      </c>
      <c r="E143" s="31" t="inlineStr">
        <is>
          <t>power &amp; utilities</t>
        </is>
      </c>
      <c r="F143" s="31" t="inlineStr">
        <is>
          <t>power generation and supply</t>
        </is>
      </c>
      <c r="G143" s="31" t="inlineStr">
        <is>
          <t>largecap</t>
        </is>
      </c>
      <c r="H143" s="32" t="n">
        <v>245791.63</v>
      </c>
      <c r="I143" s="32" t="n">
        <v>1535</v>
      </c>
      <c r="J143" s="32" t="n">
        <v>2.87</v>
      </c>
      <c r="K143" s="32" t="n">
        <v>2563470</v>
      </c>
      <c r="L143" s="31" t="n">
        <v>85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74.5</v>
      </c>
      <c r="P143" s="32" t="n">
        <v>46.87</v>
      </c>
      <c r="Q143" s="32" t="n">
        <v>1233.15</v>
      </c>
      <c r="R143" s="31" t="inlineStr">
        <is>
          <t>Near 52W High Breakout</t>
        </is>
      </c>
      <c r="S143" s="31" t="inlineStr">
        <is>
          <t>Nifty IT</t>
        </is>
      </c>
      <c r="T143" s="32" t="n">
        <v>-34.2</v>
      </c>
      <c r="U143" s="32" t="n">
        <v>53.99</v>
      </c>
      <c r="V143" s="32" t="n">
        <v>134.05</v>
      </c>
      <c r="W143" s="32" t="n">
        <v>29.1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Above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Yes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More than 1.2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IF(B144=0,"",RANK(B144,$B$2:$B$379,0))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KDDL</t>
        </is>
      </c>
      <c r="D144" s="31" t="inlineStr">
        <is>
          <t>Kddl Limited</t>
        </is>
      </c>
      <c r="E144" s="31" t="inlineStr">
        <is>
          <t>consumer discretionary</t>
        </is>
      </c>
      <c r="F144" s="31" t="inlineStr">
        <is>
          <t>miscellaneous</t>
        </is>
      </c>
      <c r="G144" s="31" t="inlineStr">
        <is>
          <t>smallcap</t>
        </is>
      </c>
      <c r="H144" s="32" t="n">
        <v>3962.83</v>
      </c>
      <c r="I144" s="32" t="n">
        <v>3304.2</v>
      </c>
      <c r="J144" s="32" t="n">
        <v>2.55</v>
      </c>
      <c r="K144" s="32" t="n">
        <v>28321</v>
      </c>
      <c r="L144" s="31" t="n">
        <v>56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69.94</v>
      </c>
      <c r="P144" s="32" t="n">
        <v>22.62</v>
      </c>
      <c r="Q144" s="32" t="n">
        <v>2492</v>
      </c>
      <c r="R144" s="31" t="inlineStr">
        <is>
          <t>Near 52W High Breakout</t>
        </is>
      </c>
      <c r="S144" s="31" t="inlineStr">
        <is>
          <t>Nifty 50</t>
        </is>
      </c>
      <c r="T144" s="32" t="n">
        <v>-5.72</v>
      </c>
      <c r="U144" s="32" t="n">
        <v>18.13</v>
      </c>
      <c r="V144" s="32" t="n">
        <v>25.29</v>
      </c>
      <c r="W144" s="32" t="n">
        <v>15.12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Between 1.5 to 2</t>
        </is>
      </c>
      <c r="BU144" s="31">
        <f>IF(BT144="Above 2",0,IF(BT144="Between 1.5 to 2",5,IF(BT144="Less than 1.5",10,0)))</f>
        <v/>
      </c>
      <c r="BV144" s="31" t="inlineStr">
        <is>
          <t>Less than 50%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IF(B145=0,"",RANK(B145,$B$2:$B$379,0))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BOSCHLTD</t>
        </is>
      </c>
      <c r="D145" s="31" t="inlineStr">
        <is>
          <t>Bosch Limited</t>
        </is>
      </c>
      <c r="E145" s="31" t="inlineStr">
        <is>
          <t>auto</t>
        </is>
      </c>
      <c r="F145" s="31" t="inlineStr">
        <is>
          <t>auto ancillaries</t>
        </is>
      </c>
      <c r="G145" s="31" t="inlineStr">
        <is>
          <t>largecap</t>
        </is>
      </c>
      <c r="H145" s="32" t="n">
        <v>117679.62</v>
      </c>
      <c r="I145" s="32" t="n">
        <v>40785</v>
      </c>
      <c r="J145" s="32" t="n">
        <v>2.22</v>
      </c>
      <c r="K145" s="32" t="n">
        <v>44664</v>
      </c>
      <c r="L145" s="31" t="n">
        <v>32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63.11</v>
      </c>
      <c r="P145" s="32" t="n">
        <v>21.79</v>
      </c>
      <c r="Q145" s="32" t="n">
        <v>34106.19</v>
      </c>
      <c r="R145" s="31" t="inlineStr">
        <is>
          <t>Near 52W High Breakout</t>
        </is>
      </c>
      <c r="S145" s="31" t="inlineStr">
        <is>
          <t>Nifty Auto</t>
        </is>
      </c>
      <c r="T145" s="32" t="n">
        <v>11.69</v>
      </c>
      <c r="U145" s="32" t="n">
        <v>15.05</v>
      </c>
      <c r="V145" s="32" t="n">
        <v>3.01</v>
      </c>
      <c r="W145" s="32" t="n">
        <v>9.27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Blue sky scenario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Less than 12%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IF(B146=0,"",RANK(B146,$B$2:$B$379,0))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HONASA</t>
        </is>
      </c>
      <c r="D146" s="31" t="inlineStr">
        <is>
          <t>Honasa Consumer Ltd</t>
        </is>
      </c>
      <c r="E146" s="31" t="inlineStr">
        <is>
          <t>services</t>
        </is>
      </c>
      <c r="F146" s="31" t="inlineStr">
        <is>
          <t>trading</t>
        </is>
      </c>
      <c r="G146" s="31" t="inlineStr">
        <is>
          <t>midcap</t>
        </is>
      </c>
      <c r="H146" s="32" t="n">
        <v>14898.68</v>
      </c>
      <c r="I146" s="32" t="n">
        <v>466.5</v>
      </c>
      <c r="J146" s="32" t="n">
        <v>1.88</v>
      </c>
      <c r="K146" s="32" t="n">
        <v>1877626</v>
      </c>
      <c r="L146" s="31" t="n">
        <v>75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82.18000000000001</v>
      </c>
      <c r="P146" s="32" t="n">
        <v>42.06</v>
      </c>
      <c r="Q146" s="32" t="n">
        <v>377.21</v>
      </c>
      <c r="R146" s="31" t="inlineStr">
        <is>
          <t>Near 52W High Breakout</t>
        </is>
      </c>
      <c r="S146" s="31" t="inlineStr">
        <is>
          <t>Nifty 50</t>
        </is>
      </c>
      <c r="T146" s="32" t="n">
        <v>-5.72</v>
      </c>
      <c r="U146" s="32" t="n">
        <v>57.6</v>
      </c>
      <c r="V146" s="32" t="n">
        <v>67.15000000000001</v>
      </c>
      <c r="W146" s="32" t="n">
        <v>21.93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Above 40</t>
        </is>
      </c>
      <c r="AY146" s="31">
        <f>IF(AX146="Above 40",20,IF(AX146="20 to 40",10,IF(AX146="0 to 20",-5,0)))</f>
        <v/>
      </c>
      <c r="AZ146" s="31" t="inlineStr">
        <is>
          <t>Above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Between 50% to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IF(B147=0,"",RANK(B147,$B$2:$B$379,0))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WELENT</t>
        </is>
      </c>
      <c r="D147" s="31" t="inlineStr">
        <is>
          <t>Welspun Enterprises Limited</t>
        </is>
      </c>
      <c r="E147" s="31" t="inlineStr">
        <is>
          <t>realty</t>
        </is>
      </c>
      <c r="F147" s="31" t="inlineStr">
        <is>
          <t>construction</t>
        </is>
      </c>
      <c r="G147" s="31" t="inlineStr">
        <is>
          <t>midcap</t>
        </is>
      </c>
      <c r="H147" s="32" t="n">
        <v>8324.9</v>
      </c>
      <c r="I147" s="32" t="n">
        <v>610.35</v>
      </c>
      <c r="J147" s="32" t="n">
        <v>1.48</v>
      </c>
      <c r="K147" s="32" t="n">
        <v>1059839</v>
      </c>
      <c r="L147" s="31" t="n">
        <v>47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71.73999999999999</v>
      </c>
      <c r="P147" s="32" t="n">
        <v>15.77</v>
      </c>
      <c r="Q147" s="32" t="n">
        <v>486.55</v>
      </c>
      <c r="R147" s="31" t="inlineStr">
        <is>
          <t>Near 52W High Breakout</t>
        </is>
      </c>
      <c r="S147" s="31" t="inlineStr">
        <is>
          <t>Nifty Realty</t>
        </is>
      </c>
      <c r="T147" s="32" t="n">
        <v>-11.6</v>
      </c>
      <c r="U147" s="32" t="n">
        <v>15.54</v>
      </c>
      <c r="V147" s="32" t="n">
        <v>30.69</v>
      </c>
      <c r="W147" s="32" t="n">
        <v>12.17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0 to 20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Blue sky scenario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Less than 1.5</t>
        </is>
      </c>
      <c r="BU147" s="31">
        <f>IF(BT147="Above 2",0,IF(BT147="Between 1.5 to 2",5,IF(BT147="Less than 1.5",10,0)))</f>
        <v/>
      </c>
      <c r="BV147" s="31" t="inlineStr">
        <is>
          <t>Less than 50%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IF(B148=0,"",RANK(B148,$B$2:$B$379,0))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GABRIEL</t>
        </is>
      </c>
      <c r="D148" s="31" t="inlineStr">
        <is>
          <t>Gabriel India Limited</t>
        </is>
      </c>
      <c r="E148" s="31" t="inlineStr">
        <is>
          <t>auto</t>
        </is>
      </c>
      <c r="F148" s="31" t="inlineStr">
        <is>
          <t>auto ancillaries</t>
        </is>
      </c>
      <c r="G148" s="31" t="inlineStr">
        <is>
          <t>largecap</t>
        </is>
      </c>
      <c r="H148" s="32" t="n">
        <v>21964.12</v>
      </c>
      <c r="I148" s="32" t="n">
        <v>1245.9</v>
      </c>
      <c r="J148" s="32" t="n">
        <v>0.53</v>
      </c>
      <c r="K148" s="32" t="n">
        <v>243510</v>
      </c>
      <c r="L148" s="31" t="n">
        <v>64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64.01000000000001</v>
      </c>
      <c r="P148" s="32" t="n">
        <v>20.73</v>
      </c>
      <c r="Q148" s="32" t="n">
        <v>959.51</v>
      </c>
      <c r="R148" s="31" t="inlineStr">
        <is>
          <t>Near 52W High Breakout</t>
        </is>
      </c>
      <c r="S148" s="31" t="inlineStr">
        <is>
          <t>Nifty Auto</t>
        </is>
      </c>
      <c r="T148" s="32" t="n">
        <v>11.69</v>
      </c>
      <c r="U148" s="32" t="n">
        <v>31.47</v>
      </c>
      <c r="V148" s="32" t="n">
        <v>17.71</v>
      </c>
      <c r="W148" s="32" t="n">
        <v>17.03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Blue sky scenario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Less than 12%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IF(B149=0,"",RANK(B149,$B$2:$B$379,0))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GREAVESCOT</t>
        </is>
      </c>
      <c r="D149" s="31" t="inlineStr">
        <is>
          <t>Greaves Cotton Limited</t>
        </is>
      </c>
      <c r="E149" s="31" t="inlineStr">
        <is>
          <t>industrials</t>
        </is>
      </c>
      <c r="F149" s="31" t="inlineStr">
        <is>
          <t>engines</t>
        </is>
      </c>
      <c r="G149" s="31" t="inlineStr">
        <is>
          <t>midcap</t>
        </is>
      </c>
      <c r="H149" s="32" t="n">
        <v>5123.47</v>
      </c>
      <c r="I149" s="32" t="n">
        <v>221</v>
      </c>
      <c r="J149" s="32" t="n">
        <v>0.46</v>
      </c>
      <c r="K149" s="32" t="n">
        <v>2869852</v>
      </c>
      <c r="L149" s="31" t="n">
        <v>70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68.23999999999999</v>
      </c>
      <c r="P149" s="32" t="n">
        <v>20.01</v>
      </c>
      <c r="Q149" s="32" t="n">
        <v>172.25</v>
      </c>
      <c r="R149" s="31" t="inlineStr">
        <is>
          <t>Near 52W High Breakout</t>
        </is>
      </c>
      <c r="S149" s="31" t="inlineStr">
        <is>
          <t>Nifty 50</t>
        </is>
      </c>
      <c r="T149" s="32" t="n">
        <v>-5.72</v>
      </c>
      <c r="U149" s="32" t="n">
        <v>9.06</v>
      </c>
      <c r="V149" s="32" t="n">
        <v>15.67</v>
      </c>
      <c r="W149" s="32" t="n">
        <v>19.84</v>
      </c>
      <c r="X149" s="31" t="inlineStr">
        <is>
          <t>Cyclical in an Upturn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Yes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IF(B150=0,"",RANK(B150,$B$2:$B$379,0))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3" t="inlineStr">
        <is>
          <t>SUNDRMFAST</t>
        </is>
      </c>
      <c r="D150" s="33" t="inlineStr">
        <is>
          <t>Sundram Fasteners Limited</t>
        </is>
      </c>
      <c r="E150" s="31" t="inlineStr">
        <is>
          <t>auto</t>
        </is>
      </c>
      <c r="F150" s="31" t="inlineStr">
        <is>
          <t>auto ancillaries</t>
        </is>
      </c>
      <c r="G150" s="31" t="inlineStr">
        <is>
          <t>midcap</t>
        </is>
      </c>
      <c r="H150" s="32" t="n">
        <v>19629.14</v>
      </c>
      <c r="I150" s="32" t="n">
        <v>937.35</v>
      </c>
      <c r="J150" s="32" t="n">
        <v>0.34</v>
      </c>
      <c r="K150" s="32" t="n">
        <v>101344</v>
      </c>
      <c r="L150" s="31" t="n">
        <v>8</v>
      </c>
      <c r="M150" s="31" t="inlineStr">
        <is>
          <t>Underperforming</t>
        </is>
      </c>
      <c r="N150" s="32">
        <f>IF(M150="Underperforming",-5,IF(L150&gt;=95,15,IF(L150&gt;=90,10,IF(L150&gt;=80,5,0))))</f>
        <v/>
      </c>
      <c r="O150" s="32" t="n">
        <v>61.75</v>
      </c>
      <c r="P150" s="32" t="n">
        <v>13.35</v>
      </c>
      <c r="Q150" s="32" t="n">
        <v>779.3099999999999</v>
      </c>
      <c r="R150" s="31" t="inlineStr">
        <is>
          <t>Volume Spike / Accumulation</t>
        </is>
      </c>
      <c r="S150" s="31" t="inlineStr">
        <is>
          <t>Nifty Auto</t>
        </is>
      </c>
      <c r="T150" s="32" t="n">
        <v>11.69</v>
      </c>
      <c r="U150" s="32" t="n">
        <v>-11.64</v>
      </c>
      <c r="V150" s="32" t="n">
        <v>-20.89</v>
      </c>
      <c r="W150" s="32" t="n">
        <v>3.77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0 to 20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Less than 1.5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IF(B151=0,"",RANK(B151,$B$2:$B$379,0))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JAYBARMARU</t>
        </is>
      </c>
      <c r="D151" s="31" t="inlineStr">
        <is>
          <t>Jay Bharat Maruti Limited</t>
        </is>
      </c>
      <c r="E151" s="31" t="inlineStr">
        <is>
          <t>auto</t>
        </is>
      </c>
      <c r="F151" s="31" t="inlineStr">
        <is>
          <t>auto ancillaries</t>
        </is>
      </c>
      <c r="G151" s="31" t="inlineStr">
        <is>
          <t>smallcap</t>
        </is>
      </c>
      <c r="H151" s="32" t="n">
        <v>1852.16</v>
      </c>
      <c r="I151" s="32" t="n">
        <v>171.48</v>
      </c>
      <c r="J151" s="32" t="n">
        <v>0.22</v>
      </c>
      <c r="K151" s="32" t="n">
        <v>731128</v>
      </c>
      <c r="L151" s="31" t="n">
        <v>94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75.16</v>
      </c>
      <c r="P151" s="32" t="n">
        <v>29.36</v>
      </c>
      <c r="Q151" s="32" t="n">
        <v>127.45</v>
      </c>
      <c r="R151" s="31" t="inlineStr">
        <is>
          <t>Near 52W High Breakout</t>
        </is>
      </c>
      <c r="S151" s="31" t="inlineStr">
        <is>
          <t>Nifty Auto</t>
        </is>
      </c>
      <c r="T151" s="32" t="n">
        <v>11.69</v>
      </c>
      <c r="U151" s="32" t="n">
        <v>122.12</v>
      </c>
      <c r="V151" s="32" t="n">
        <v>98.87</v>
      </c>
      <c r="W151" s="32" t="n">
        <v>44.63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Above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Blue sky scenario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Between 50% to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Between 0.7 to 1.2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IF(B152=0,"",RANK(B152,$B$2:$B$379,0))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STEELCAS</t>
        </is>
      </c>
      <c r="D152" s="31" t="inlineStr">
        <is>
          <t>Steelcast Ltd</t>
        </is>
      </c>
      <c r="E152" s="31" t="inlineStr">
        <is>
          <t>industrials</t>
        </is>
      </c>
      <c r="F152" s="31" t="inlineStr">
        <is>
          <t>castings &amp; forgings</t>
        </is>
      </c>
      <c r="G152" s="31" t="inlineStr">
        <is>
          <t>smallcap</t>
        </is>
      </c>
      <c r="H152" s="32" t="n">
        <v>3071.93</v>
      </c>
      <c r="I152" s="32" t="n">
        <v>303.95</v>
      </c>
      <c r="J152" s="32" t="n">
        <v>0.13</v>
      </c>
      <c r="K152" s="32" t="n">
        <v>87456</v>
      </c>
      <c r="L152" s="31" t="n">
        <v>44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72.27</v>
      </c>
      <c r="P152" s="32" t="n">
        <v>36.23</v>
      </c>
      <c r="Q152" s="32" t="n">
        <v>222.05</v>
      </c>
      <c r="R152" s="31" t="inlineStr">
        <is>
          <t>Near 52W High Breakout</t>
        </is>
      </c>
      <c r="S152" s="31" t="inlineStr">
        <is>
          <t>Nifty 50</t>
        </is>
      </c>
      <c r="T152" s="32" t="n">
        <v>-5.72</v>
      </c>
      <c r="U152" s="32" t="n">
        <v>26.4</v>
      </c>
      <c r="V152" s="32" t="n">
        <v>34.06</v>
      </c>
      <c r="W152" s="32" t="n">
        <v>11.67</v>
      </c>
      <c r="X152" s="31" t="inlineStr">
        <is>
          <t>Cyclical in an Upturn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Blue sky scenario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Less than 12%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IF(B153=0,"",RANK(B153,$B$2:$B$379,0))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HFCL</t>
        </is>
      </c>
      <c r="D153" s="31" t="inlineStr">
        <is>
          <t>HFCL Ltd</t>
        </is>
      </c>
      <c r="E153" s="31" t="inlineStr">
        <is>
          <t>telecom</t>
        </is>
      </c>
      <c r="F153" s="31" t="inlineStr">
        <is>
          <t>cables - telephone</t>
        </is>
      </c>
      <c r="G153" s="31" t="inlineStr">
        <is>
          <t>largecap</t>
        </is>
      </c>
      <c r="H153" s="32" t="n">
        <v>32578.87</v>
      </c>
      <c r="I153" s="32" t="n">
        <v>212.09</v>
      </c>
      <c r="J153" s="32" t="n">
        <v>-0.36</v>
      </c>
      <c r="K153" s="32" t="n">
        <v>15347183</v>
      </c>
      <c r="L153" s="31" t="n">
        <v>98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83.44</v>
      </c>
      <c r="P153" s="32" t="n">
        <v>61.32</v>
      </c>
      <c r="Q153" s="32" t="n">
        <v>162.54</v>
      </c>
      <c r="R153" s="31" t="inlineStr">
        <is>
          <t>Near 52W High Breakout</t>
        </is>
      </c>
      <c r="S153" s="31" t="inlineStr">
        <is>
          <t>Nifty Infra</t>
        </is>
      </c>
      <c r="T153" s="32" t="n">
        <v>0.09</v>
      </c>
      <c r="U153" s="32" t="n">
        <v>151.06</v>
      </c>
      <c r="V153" s="32" t="n">
        <v>150.84</v>
      </c>
      <c r="W153" s="32" t="n">
        <v>75.28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Oligopoly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Yes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Above 40</t>
        </is>
      </c>
      <c r="AY153" s="31">
        <f>IF(AX153="Above 40",20,IF(AX153="20 to 40",10,IF(AX153="0 to 20",-5,0)))</f>
        <v/>
      </c>
      <c r="AZ153" s="31" t="inlineStr">
        <is>
          <t>Above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Blue sky scenario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Negative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IF(B154=0,"",RANK(B154,$B$2:$B$379,0))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GRINDWELL</t>
        </is>
      </c>
      <c r="D154" s="31" t="inlineStr">
        <is>
          <t>Grindwell Norton Limited</t>
        </is>
      </c>
      <c r="E154" s="31" t="inlineStr">
        <is>
          <t>industrials</t>
        </is>
      </c>
      <c r="F154" s="31" t="inlineStr">
        <is>
          <t>abrasives and grinding wheels</t>
        </is>
      </c>
      <c r="G154" s="31" t="inlineStr">
        <is>
          <t>largecap</t>
        </is>
      </c>
      <c r="H154" s="32" t="n">
        <v>23983.06</v>
      </c>
      <c r="I154" s="32" t="n">
        <v>2153.8</v>
      </c>
      <c r="J154" s="32" t="n">
        <v>-0.57</v>
      </c>
      <c r="K154" s="32" t="n">
        <v>92515</v>
      </c>
      <c r="L154" s="31" t="n">
        <v>67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68.43000000000001</v>
      </c>
      <c r="P154" s="32" t="n">
        <v>35.18</v>
      </c>
      <c r="Q154" s="32" t="n">
        <v>1825.26</v>
      </c>
      <c r="R154" s="31" t="inlineStr">
        <is>
          <t>Near 52W High Breakout</t>
        </is>
      </c>
      <c r="S154" s="31" t="inlineStr">
        <is>
          <t>Nifty Infra</t>
        </is>
      </c>
      <c r="T154" s="32" t="n">
        <v>0.09</v>
      </c>
      <c r="U154" s="32" t="n">
        <v>24.73</v>
      </c>
      <c r="V154" s="32" t="n">
        <v>24.62</v>
      </c>
      <c r="W154" s="32" t="n">
        <v>17.89</v>
      </c>
      <c r="X154" s="31" t="inlineStr">
        <is>
          <t>Cyclical in an Upturn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IF(B155=0,"",RANK(B155,$B$2:$B$379,0))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NYKAA</t>
        </is>
      </c>
      <c r="D155" s="31" t="inlineStr">
        <is>
          <t>FSN E-Commerce Ventures Ltd</t>
        </is>
      </c>
      <c r="E155" s="31" t="inlineStr">
        <is>
          <t>i.t</t>
        </is>
      </c>
      <c r="F155" s="31" t="inlineStr">
        <is>
          <t>trading</t>
        </is>
      </c>
      <c r="G155" s="31" t="inlineStr">
        <is>
          <t>largecap</t>
        </is>
      </c>
      <c r="H155" s="32" t="n">
        <v>89003.42</v>
      </c>
      <c r="I155" s="32" t="n">
        <v>308.65</v>
      </c>
      <c r="J155" s="32" t="n">
        <v>-0.71</v>
      </c>
      <c r="K155" s="32" t="n">
        <v>5730073</v>
      </c>
      <c r="L155" s="31" t="n">
        <v>56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68.94</v>
      </c>
      <c r="P155" s="32" t="n">
        <v>25.92</v>
      </c>
      <c r="Q155" s="32" t="n">
        <v>258.37</v>
      </c>
      <c r="R155" s="31" t="inlineStr">
        <is>
          <t>Near 52W High Breakout</t>
        </is>
      </c>
      <c r="S155" s="31" t="inlineStr">
        <is>
          <t>Nifty IT</t>
        </is>
      </c>
      <c r="T155" s="32" t="n">
        <v>-34.2</v>
      </c>
      <c r="U155" s="32" t="n">
        <v>55.7</v>
      </c>
      <c r="V155" s="32" t="n">
        <v>136.65</v>
      </c>
      <c r="W155" s="32" t="n">
        <v>15.05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Between 0.7 to 1.2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IF(B156=0,"",RANK(B156,$B$2:$B$379,0))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RAMCOIND</t>
        </is>
      </c>
      <c r="D156" s="31" t="inlineStr">
        <is>
          <t>Ramco Industries Limited</t>
        </is>
      </c>
      <c r="E156" s="31" t="inlineStr">
        <is>
          <t>building materials</t>
        </is>
      </c>
      <c r="F156" s="31" t="inlineStr">
        <is>
          <t>cement products</t>
        </is>
      </c>
      <c r="G156" s="31" t="inlineStr">
        <is>
          <t>smallcap</t>
        </is>
      </c>
      <c r="H156" s="32" t="n">
        <v>2942.63</v>
      </c>
      <c r="I156" s="32" t="n">
        <v>334.1</v>
      </c>
      <c r="J156" s="32" t="n">
        <v>-1.4</v>
      </c>
      <c r="K156" s="32" t="n">
        <v>309112</v>
      </c>
      <c r="L156" s="31" t="n">
        <v>41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61.08</v>
      </c>
      <c r="P156" s="32" t="n">
        <v>22.98</v>
      </c>
      <c r="Q156" s="32" t="n">
        <v>257.91</v>
      </c>
      <c r="R156" s="31" t="inlineStr">
        <is>
          <t>Earnings / Momentum Support</t>
        </is>
      </c>
      <c r="S156" s="31" t="inlineStr">
        <is>
          <t>Nifty Infra</t>
        </is>
      </c>
      <c r="T156" s="32" t="n">
        <v>0.09</v>
      </c>
      <c r="U156" s="32" t="n">
        <v>15.5</v>
      </c>
      <c r="V156" s="32" t="n">
        <v>15.4</v>
      </c>
      <c r="W156" s="32" t="n">
        <v>11.02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No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No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IF(B157=0,"",RANK(B157,$B$2:$B$379,0))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FINEORG</t>
        </is>
      </c>
      <c r="D157" s="31" t="inlineStr">
        <is>
          <t>Fine Organic Industries Ltd</t>
        </is>
      </c>
      <c r="E157" s="31" t="inlineStr">
        <is>
          <t>chemicals</t>
        </is>
      </c>
      <c r="F157" s="31" t="inlineStr">
        <is>
          <t>chemicals</t>
        </is>
      </c>
      <c r="G157" s="31" t="inlineStr">
        <is>
          <t>midcap</t>
        </is>
      </c>
      <c r="H157" s="32" t="n">
        <v>16236.91</v>
      </c>
      <c r="I157" s="32" t="n">
        <v>5209</v>
      </c>
      <c r="J157" s="32" t="n">
        <v>-1.64</v>
      </c>
      <c r="K157" s="32" t="n">
        <v>9473</v>
      </c>
      <c r="L157" s="31" t="n">
        <v>11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64.68000000000001</v>
      </c>
      <c r="P157" s="32" t="n">
        <v>14.95</v>
      </c>
      <c r="Q157" s="32" t="n">
        <v>4291.32</v>
      </c>
      <c r="R157" s="31" t="inlineStr">
        <is>
          <t>Near 52W High Breakout</t>
        </is>
      </c>
      <c r="S157" s="31" t="inlineStr">
        <is>
          <t>Nifty 50</t>
        </is>
      </c>
      <c r="T157" s="32" t="n">
        <v>-5.72</v>
      </c>
      <c r="U157" s="32" t="n">
        <v>-0.9399999999999999</v>
      </c>
      <c r="V157" s="32" t="n">
        <v>5.06</v>
      </c>
      <c r="W157" s="32" t="n">
        <v>4.29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0 to 20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Between 1.5 to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IF(B158=0,"",RANK(B158,$B$2:$B$379,0))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CENTUM</t>
        </is>
      </c>
      <c r="D158" s="31" t="inlineStr">
        <is>
          <t>Centum Electronics Limited</t>
        </is>
      </c>
      <c r="E158" s="31" t="inlineStr">
        <is>
          <t>consumer discretionary</t>
        </is>
      </c>
      <c r="F158" s="31" t="inlineStr">
        <is>
          <t>electronics - components</t>
        </is>
      </c>
      <c r="G158" s="31" t="inlineStr">
        <is>
          <t>midcap</t>
        </is>
      </c>
      <c r="H158" s="32" t="n">
        <v>5577.99</v>
      </c>
      <c r="I158" s="32" t="n">
        <v>3716.8</v>
      </c>
      <c r="J158" s="32" t="n">
        <v>-1.78</v>
      </c>
      <c r="K158" s="32" t="n">
        <v>30701</v>
      </c>
      <c r="L158" s="31" t="n">
        <v>62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69.98999999999999</v>
      </c>
      <c r="P158" s="32" t="n">
        <v>59.37</v>
      </c>
      <c r="Q158" s="32" t="n">
        <v>2721.89</v>
      </c>
      <c r="R158" s="31" t="inlineStr">
        <is>
          <t>Near 52W High Breakout</t>
        </is>
      </c>
      <c r="S158" s="31" t="inlineStr">
        <is>
          <t>Nifty 50</t>
        </is>
      </c>
      <c r="T158" s="32" t="n">
        <v>-5.72</v>
      </c>
      <c r="U158" s="32" t="n">
        <v>57.86</v>
      </c>
      <c r="V158" s="32" t="n">
        <v>67.43000000000001</v>
      </c>
      <c r="W158" s="32" t="n">
        <v>16.77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Above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Blue sky scenario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Less than 12%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Less than 50%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IF(B159=0,"",RANK(B159,$B$2:$B$379,0))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FINCABLES</t>
        </is>
      </c>
      <c r="D159" s="31" t="inlineStr">
        <is>
          <t>Finolex Cables Limited</t>
        </is>
      </c>
      <c r="E159" s="31" t="inlineStr">
        <is>
          <t>industrials</t>
        </is>
      </c>
      <c r="F159" s="31" t="inlineStr">
        <is>
          <t>cables - power</t>
        </is>
      </c>
      <c r="G159" s="31" t="inlineStr">
        <is>
          <t>midcap</t>
        </is>
      </c>
      <c r="H159" s="32" t="n">
        <v>17884.73</v>
      </c>
      <c r="I159" s="32" t="n">
        <v>1144.5</v>
      </c>
      <c r="J159" s="32" t="n">
        <v>-2.13</v>
      </c>
      <c r="K159" s="32" t="n">
        <v>297243</v>
      </c>
      <c r="L159" s="31" t="n">
        <v>53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61.98</v>
      </c>
      <c r="P159" s="32" t="n">
        <v>37.24</v>
      </c>
      <c r="Q159" s="32" t="n">
        <v>869.46</v>
      </c>
      <c r="R159" s="31" t="inlineStr">
        <is>
          <t>Near 52W High Breakout</t>
        </is>
      </c>
      <c r="S159" s="31" t="inlineStr">
        <is>
          <t>Nifty Energy</t>
        </is>
      </c>
      <c r="T159" s="32" t="n">
        <v>8.92</v>
      </c>
      <c r="U159" s="32" t="n">
        <v>18.01</v>
      </c>
      <c r="V159" s="32" t="n">
        <v>8.35</v>
      </c>
      <c r="W159" s="32" t="n">
        <v>13.75</v>
      </c>
      <c r="X159" s="31" t="inlineStr">
        <is>
          <t>Cyclical in an Upturn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Between 12 to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Less than 1.5</t>
        </is>
      </c>
      <c r="BU159" s="31">
        <f>IF(BT159="Above 2",0,IF(BT159="Between 1.5 to 2",5,IF(BT159="Less than 1.5",10,0)))</f>
        <v/>
      </c>
      <c r="BV159" s="31" t="inlineStr">
        <is>
          <t>Less than 50%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IF(B160=0,"",RANK(B160,$B$2:$B$379,0))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AETHER</t>
        </is>
      </c>
      <c r="D160" s="31" t="inlineStr">
        <is>
          <t>Aether Industries Ltd</t>
        </is>
      </c>
      <c r="E160" s="31" t="inlineStr">
        <is>
          <t>chemicals</t>
        </is>
      </c>
      <c r="F160" s="31" t="inlineStr">
        <is>
          <t>chemicals</t>
        </is>
      </c>
      <c r="G160" s="31" t="inlineStr">
        <is>
          <t>midcap</t>
        </is>
      </c>
      <c r="H160" s="32" t="n">
        <v>18032.51</v>
      </c>
      <c r="I160" s="32" t="n">
        <v>1326.9</v>
      </c>
      <c r="J160" s="32" t="n">
        <v>-2.37</v>
      </c>
      <c r="K160" s="32" t="n">
        <v>208621</v>
      </c>
      <c r="L160" s="31" t="n">
        <v>59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69.19</v>
      </c>
      <c r="P160" s="32" t="n">
        <v>47.05</v>
      </c>
      <c r="Q160" s="32" t="n">
        <v>1028.36</v>
      </c>
      <c r="R160" s="31" t="inlineStr">
        <is>
          <t>Near 52W High Breakout</t>
        </is>
      </c>
      <c r="S160" s="31" t="inlineStr">
        <is>
          <t>Nifty 50</t>
        </is>
      </c>
      <c r="T160" s="32" t="n">
        <v>-5.72</v>
      </c>
      <c r="U160" s="32" t="n">
        <v>70.38</v>
      </c>
      <c r="V160" s="32" t="n">
        <v>80.70999999999999</v>
      </c>
      <c r="W160" s="32" t="n">
        <v>15.86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Above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Blue sky scenario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Less than 12%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Less than 50%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IF(B161=0,"",RANK(B161,$B$2:$B$379,0))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BLSE</t>
        </is>
      </c>
      <c r="D161" s="31" t="inlineStr">
        <is>
          <t>BLS E-Services Ltd</t>
        </is>
      </c>
      <c r="E161" s="31" t="inlineStr">
        <is>
          <t>i.t</t>
        </is>
      </c>
      <c r="F161" s="31" t="inlineStr">
        <is>
          <t>computers - software - medium / small</t>
        </is>
      </c>
      <c r="G161" s="31" t="inlineStr">
        <is>
          <t>smallcap</t>
        </is>
      </c>
      <c r="H161" s="32" t="n">
        <v>2119.23</v>
      </c>
      <c r="I161" s="32" t="n">
        <v>255.42</v>
      </c>
      <c r="J161" s="32" t="n">
        <v>9.5</v>
      </c>
      <c r="K161" s="32" t="n">
        <v>3623160</v>
      </c>
      <c r="L161" s="31" t="n">
        <v>71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74.41</v>
      </c>
      <c r="P161" s="32" t="n">
        <v>23.44</v>
      </c>
      <c r="Q161" s="32" t="n">
        <v>200.27</v>
      </c>
      <c r="R161" s="31" t="inlineStr">
        <is>
          <t>Volume Spike &amp; Near 52W High Breakout</t>
        </is>
      </c>
      <c r="S161" s="31" t="inlineStr">
        <is>
          <t>Nifty IT</t>
        </is>
      </c>
      <c r="T161" s="32" t="n">
        <v>-34.2</v>
      </c>
      <c r="U161" s="32" t="n">
        <v>32.49</v>
      </c>
      <c r="V161" s="32" t="n">
        <v>101.37</v>
      </c>
      <c r="W161" s="32" t="n">
        <v>20.47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Annuity, Lower One Time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Blue sky scenario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Less than 12%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Between 50% to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IF(B162=0,"",RANK(B162,$B$2:$B$379,0))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IKS</t>
        </is>
      </c>
      <c r="D162" s="31" t="inlineStr">
        <is>
          <t>Inventurus Knowledge Solutions Ltd</t>
        </is>
      </c>
      <c r="E162" s="31" t="inlineStr">
        <is>
          <t>i.t</t>
        </is>
      </c>
      <c r="F162" s="31" t="inlineStr">
        <is>
          <t>computers - software - medium / small</t>
        </is>
      </c>
      <c r="G162" s="31" t="inlineStr">
        <is>
          <t>largecap</t>
        </is>
      </c>
      <c r="H162" s="32" t="n">
        <v>28814</v>
      </c>
      <c r="I162" s="32" t="n">
        <v>1800.2</v>
      </c>
      <c r="J162" s="32" t="n">
        <v>7.19</v>
      </c>
      <c r="K162" s="32" t="n">
        <v>1518540</v>
      </c>
      <c r="L162" s="31" t="n">
        <v>39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63.5</v>
      </c>
      <c r="P162" s="32" t="n">
        <v>8.970000000000001</v>
      </c>
      <c r="Q162" s="32" t="n">
        <v>1428.61</v>
      </c>
      <c r="R162" s="31" t="inlineStr">
        <is>
          <t>Volume Spike &amp; Near 52W High Breakout</t>
        </is>
      </c>
      <c r="S162" s="31" t="inlineStr">
        <is>
          <t>Nifty IT</t>
        </is>
      </c>
      <c r="T162" s="32" t="n">
        <v>-34.2</v>
      </c>
      <c r="U162" s="32" t="n">
        <v>12.72</v>
      </c>
      <c r="V162" s="32" t="n">
        <v>71.31</v>
      </c>
      <c r="W162" s="32" t="n">
        <v>10.78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Annuity, Lower One Time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0 to 20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Less than 1.5</t>
        </is>
      </c>
      <c r="BU162" s="31">
        <f>IF(BT162="Above 2",0,IF(BT162="Between 1.5 to 2",5,IF(BT162="Less than 1.5",10,0)))</f>
        <v/>
      </c>
      <c r="BV162" s="31" t="inlineStr">
        <is>
          <t>Between 50% to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IF(B163=0,"",RANK(B163,$B$2:$B$379,0))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TRIVENI</t>
        </is>
      </c>
      <c r="D163" s="31" t="inlineStr">
        <is>
          <t>Triveni Engineering &amp; Industries Limited</t>
        </is>
      </c>
      <c r="E163" s="31" t="inlineStr">
        <is>
          <t>fmcg</t>
        </is>
      </c>
      <c r="F163" s="31" t="inlineStr">
        <is>
          <t>sugar</t>
        </is>
      </c>
      <c r="G163" s="31" t="inlineStr">
        <is>
          <t>midcap</t>
        </is>
      </c>
      <c r="H163" s="32" t="n">
        <v>9249.530000000001</v>
      </c>
      <c r="I163" s="32" t="n">
        <v>451.75</v>
      </c>
      <c r="J163" s="32" t="n">
        <v>6.91</v>
      </c>
      <c r="K163" s="32" t="n">
        <v>3962391</v>
      </c>
      <c r="L163" s="31" t="n">
        <v>26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67.08</v>
      </c>
      <c r="P163" s="32" t="n">
        <v>20.14</v>
      </c>
      <c r="Q163" s="32" t="n">
        <v>358.9</v>
      </c>
      <c r="R163" s="31" t="inlineStr">
        <is>
          <t>Volume Spike &amp; Near 52W High Breakout</t>
        </is>
      </c>
      <c r="S163" s="31" t="inlineStr">
        <is>
          <t>Nifty FMCG</t>
        </is>
      </c>
      <c r="T163" s="32" t="n">
        <v>-9</v>
      </c>
      <c r="U163" s="32" t="n">
        <v>21.78</v>
      </c>
      <c r="V163" s="32" t="n">
        <v>33.84</v>
      </c>
      <c r="W163" s="32" t="n">
        <v>7.59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B2C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Annuity, Lower One Time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Less than 12%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Less than 50%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IF(B164=0,"",RANK(B164,$B$2:$B$379,0))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3" t="inlineStr">
        <is>
          <t>KILITCH</t>
        </is>
      </c>
      <c r="D164" s="33" t="inlineStr">
        <is>
          <t>Kilitch Drugs (india) Limited</t>
        </is>
      </c>
      <c r="E164" s="31" t="inlineStr">
        <is>
          <t>healthcare</t>
        </is>
      </c>
      <c r="F164" s="31" t="inlineStr">
        <is>
          <t>pharmaceuticals - indian - formulations</t>
        </is>
      </c>
      <c r="G164" s="31" t="inlineStr">
        <is>
          <t>smallcap</t>
        </is>
      </c>
      <c r="H164" s="32" t="n">
        <v>680.8099999999999</v>
      </c>
      <c r="I164" s="32" t="n">
        <v>205.52</v>
      </c>
      <c r="J164" s="32" t="n">
        <v>5.54</v>
      </c>
      <c r="K164" s="32" t="n">
        <v>248229</v>
      </c>
      <c r="L164" s="31" t="n">
        <v>46</v>
      </c>
      <c r="M164" s="31" t="inlineStr">
        <is>
          <t>Underperforming</t>
        </is>
      </c>
      <c r="N164" s="32">
        <f>IF(M164="Underperforming",-5,IF(L164&gt;=95,15,IF(L164&gt;=90,10,IF(L164&gt;=80,5,0))))</f>
        <v/>
      </c>
      <c r="O164" s="32" t="n">
        <v>65.01000000000001</v>
      </c>
      <c r="P164" s="32" t="n">
        <v>22.79</v>
      </c>
      <c r="Q164" s="32" t="n">
        <v>145.45</v>
      </c>
      <c r="R164" s="31" t="inlineStr">
        <is>
          <t>Earnings / Momentum Support</t>
        </is>
      </c>
      <c r="S164" s="31" t="inlineStr">
        <is>
          <t>Nifty Pharma</t>
        </is>
      </c>
      <c r="T164" s="32" t="n">
        <v>12.5</v>
      </c>
      <c r="U164" s="32" t="n">
        <v>-2.42</v>
      </c>
      <c r="V164" s="32" t="n">
        <v>-13.26</v>
      </c>
      <c r="W164" s="32" t="n">
        <v>11.94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Yes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No</t>
        </is>
      </c>
      <c r="AQ164" s="31">
        <f>IF(AP164="Yes",10,0)</f>
        <v/>
      </c>
      <c r="AR164" s="31" t="inlineStr">
        <is>
          <t>Higher Annuity, Lower One Time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20 to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Less than 1.5</t>
        </is>
      </c>
      <c r="BU164" s="31">
        <f>IF(BT164="Above 2",0,IF(BT164="Between 1.5 to 2",5,IF(BT164="Less than 1.5",10,0)))</f>
        <v/>
      </c>
      <c r="BV164" s="31" t="inlineStr">
        <is>
          <t>Between 50% to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IF(B165=0,"",RANK(B165,$B$2:$B$379,0))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HMVL</t>
        </is>
      </c>
      <c r="D165" s="31" t="inlineStr">
        <is>
          <t>Hindustan Media Ventures Limited</t>
        </is>
      </c>
      <c r="E165" s="31" t="inlineStr">
        <is>
          <t>media</t>
        </is>
      </c>
      <c r="F165" s="31" t="inlineStr">
        <is>
          <t>entertainment / electronic media software</t>
        </is>
      </c>
      <c r="G165" s="31" t="inlineStr">
        <is>
          <t>smallcap</t>
        </is>
      </c>
      <c r="H165" s="32" t="n">
        <v>636.37</v>
      </c>
      <c r="I165" s="32" t="n">
        <v>87.17</v>
      </c>
      <c r="J165" s="32" t="n">
        <v>0.91</v>
      </c>
      <c r="K165" s="32" t="n">
        <v>59106</v>
      </c>
      <c r="L165" s="31" t="n">
        <v>34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67.69</v>
      </c>
      <c r="P165" s="32" t="n">
        <v>27.63</v>
      </c>
      <c r="Q165" s="32" t="n">
        <v>66.78</v>
      </c>
      <c r="R165" s="31" t="inlineStr">
        <is>
          <t>Near 52W High Breakout</t>
        </is>
      </c>
      <c r="S165" s="31" t="inlineStr">
        <is>
          <t>Nifty IT</t>
        </is>
      </c>
      <c r="T165" s="32" t="n">
        <v>-34.2</v>
      </c>
      <c r="U165" s="32" t="n">
        <v>-2.24</v>
      </c>
      <c r="V165" s="32" t="n">
        <v>48.58</v>
      </c>
      <c r="W165" s="32" t="n">
        <v>9.720000000000001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Annuity, Lower One Time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Less than 12%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Between 50% to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IF(B166=0,"",RANK(B166,$B$2:$B$379,0))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3" t="inlineStr">
        <is>
          <t>RAINBOW</t>
        </is>
      </c>
      <c r="D166" s="33" t="inlineStr">
        <is>
          <t>Rainbow Childrens Medicare Ltd</t>
        </is>
      </c>
      <c r="E166" s="31" t="inlineStr">
        <is>
          <t>healthcare</t>
        </is>
      </c>
      <c r="F166" s="31" t="inlineStr">
        <is>
          <t>healthcare</t>
        </is>
      </c>
      <c r="G166" s="31" t="inlineStr">
        <is>
          <t>midcap</t>
        </is>
      </c>
      <c r="H166" s="32" t="n">
        <v>14362.5</v>
      </c>
      <c r="I166" s="32" t="n">
        <v>1422.3</v>
      </c>
      <c r="J166" s="32" t="n">
        <v>0.57</v>
      </c>
      <c r="K166" s="32" t="n">
        <v>68028</v>
      </c>
      <c r="L166" s="31" t="n">
        <v>8</v>
      </c>
      <c r="M166" s="31" t="inlineStr">
        <is>
          <t>Underperforming</t>
        </is>
      </c>
      <c r="N166" s="32">
        <f>IF(M166="Underperforming",-5,IF(L166&gt;=95,15,IF(L166&gt;=90,10,IF(L166&gt;=80,5,0))))</f>
        <v/>
      </c>
      <c r="O166" s="32" t="n">
        <v>61.75</v>
      </c>
      <c r="P166" s="32" t="n">
        <v>27.1</v>
      </c>
      <c r="Q166" s="32" t="n">
        <v>1236.68</v>
      </c>
      <c r="R166" s="31" t="inlineStr">
        <is>
          <t>Earnings / Momentum Support</t>
        </is>
      </c>
      <c r="S166" s="31" t="inlineStr">
        <is>
          <t>Nifty Pharma</t>
        </is>
      </c>
      <c r="T166" s="32" t="n">
        <v>12.5</v>
      </c>
      <c r="U166" s="32" t="n">
        <v>-11.07</v>
      </c>
      <c r="V166" s="32" t="n">
        <v>-20.95</v>
      </c>
      <c r="W166" s="32" t="n">
        <v>3.34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Yes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No</t>
        </is>
      </c>
      <c r="AQ166" s="31">
        <f>IF(AP166="Yes",10,0)</f>
        <v/>
      </c>
      <c r="AR166" s="31" t="inlineStr">
        <is>
          <t>Higher Annuity, Lower One Time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Less than 1.5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IF(B167=0,"",RANK(B167,$B$2:$B$379,0))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3" t="inlineStr">
        <is>
          <t>SUNPHARMA</t>
        </is>
      </c>
      <c r="D167" s="33" t="inlineStr">
        <is>
          <t>Sun Pharmaceuticals Industries Limited</t>
        </is>
      </c>
      <c r="E167" s="31" t="inlineStr">
        <is>
          <t>healthcare</t>
        </is>
      </c>
      <c r="F167" s="31" t="inlineStr">
        <is>
          <t>pharmaceuticals - indian - bulk drugs &amp; formln</t>
        </is>
      </c>
      <c r="G167" s="31" t="inlineStr">
        <is>
          <t>largecap</t>
        </is>
      </c>
      <c r="H167" s="32" t="n">
        <v>446876.14</v>
      </c>
      <c r="I167" s="32" t="n">
        <v>1866.2</v>
      </c>
      <c r="J167" s="32" t="n">
        <v>0.2</v>
      </c>
      <c r="K167" s="32" t="n">
        <v>1230360</v>
      </c>
      <c r="L167" s="31" t="n">
        <v>12</v>
      </c>
      <c r="M167" s="31" t="inlineStr">
        <is>
          <t>Underperforming</t>
        </is>
      </c>
      <c r="N167" s="32">
        <f>IF(M167="Underperforming",-5,IF(L167&gt;=95,15,IF(L167&gt;=90,10,IF(L167&gt;=80,5,0))))</f>
        <v/>
      </c>
      <c r="O167" s="32" t="n">
        <v>59.97</v>
      </c>
      <c r="P167" s="32" t="n">
        <v>14.7</v>
      </c>
      <c r="Q167" s="32" t="n">
        <v>1650.2</v>
      </c>
      <c r="R167" s="31" t="inlineStr">
        <is>
          <t>Near 52W High Breakout</t>
        </is>
      </c>
      <c r="S167" s="31" t="inlineStr">
        <is>
          <t>Nifty Pharma</t>
        </is>
      </c>
      <c r="T167" s="32" t="n">
        <v>12.5</v>
      </c>
      <c r="U167" s="32" t="n">
        <v>12.42</v>
      </c>
      <c r="V167" s="32" t="n">
        <v>-0.07000000000000001</v>
      </c>
      <c r="W167" s="32" t="n">
        <v>4.52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Yes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Annuity, Lower One Time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0 to 20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Blue sky scenario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Between 1.5 to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IF(B168=0,"",RANK(B168,$B$2:$B$379,0))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YATHARTH</t>
        </is>
      </c>
      <c r="D168" s="31" t="inlineStr">
        <is>
          <t>Yatharth Hospital &amp; Trauma Care Services Ltd</t>
        </is>
      </c>
      <c r="E168" s="31" t="inlineStr">
        <is>
          <t>healthcare</t>
        </is>
      </c>
      <c r="F168" s="31" t="inlineStr">
        <is>
          <t>healthcare</t>
        </is>
      </c>
      <c r="G168" s="31" t="inlineStr">
        <is>
          <t>midcap</t>
        </is>
      </c>
      <c r="H168" s="32" t="n">
        <v>8272.99</v>
      </c>
      <c r="I168" s="32" t="n">
        <v>856.85</v>
      </c>
      <c r="J168" s="32" t="n">
        <v>-0.2</v>
      </c>
      <c r="K168" s="32" t="n">
        <v>242553</v>
      </c>
      <c r="L168" s="31" t="n">
        <v>55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61.58</v>
      </c>
      <c r="P168" s="32" t="n">
        <v>29.41</v>
      </c>
      <c r="Q168" s="32" t="n">
        <v>679.61</v>
      </c>
      <c r="R168" s="31" t="inlineStr">
        <is>
          <t>Near 52W High Breakout</t>
        </is>
      </c>
      <c r="S168" s="31" t="inlineStr">
        <is>
          <t>Nifty Pharma</t>
        </is>
      </c>
      <c r="T168" s="32" t="n">
        <v>12.5</v>
      </c>
      <c r="U168" s="32" t="n">
        <v>48.93</v>
      </c>
      <c r="V168" s="32" t="n">
        <v>32.38</v>
      </c>
      <c r="W168" s="32" t="n">
        <v>14.91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Yes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Annuity, Lower One Time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Blue sky scenario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Between 12 to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Between 50% to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IF(B169=0,"",RANK(B169,$B$2:$B$379,0))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AJANTPHARM</t>
        </is>
      </c>
      <c r="D169" s="31" t="inlineStr">
        <is>
          <t>Ajanta Pharma Limited</t>
        </is>
      </c>
      <c r="E169" s="31" t="inlineStr">
        <is>
          <t>healthcare</t>
        </is>
      </c>
      <c r="F169" s="31" t="inlineStr">
        <is>
          <t>pharmaceuticals - indian - formulations</t>
        </is>
      </c>
      <c r="G169" s="31" t="inlineStr">
        <is>
          <t>largecap</t>
        </is>
      </c>
      <c r="H169" s="32" t="n">
        <v>42761.72</v>
      </c>
      <c r="I169" s="32" t="n">
        <v>3347.5</v>
      </c>
      <c r="J169" s="32" t="n">
        <v>-2.2</v>
      </c>
      <c r="K169" s="32" t="n">
        <v>99496</v>
      </c>
      <c r="L169" s="31" t="n">
        <v>33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67.34</v>
      </c>
      <c r="P169" s="32" t="n">
        <v>35.75</v>
      </c>
      <c r="Q169" s="32" t="n">
        <v>2749.85</v>
      </c>
      <c r="R169" s="31" t="inlineStr">
        <is>
          <t>Volume Spike &amp; Near 52W High Breakout</t>
        </is>
      </c>
      <c r="S169" s="31" t="inlineStr">
        <is>
          <t>Nifty Pharma</t>
        </is>
      </c>
      <c r="T169" s="32" t="n">
        <v>12.5</v>
      </c>
      <c r="U169" s="32" t="n">
        <v>25.58</v>
      </c>
      <c r="V169" s="32" t="n">
        <v>11.63</v>
      </c>
      <c r="W169" s="32" t="n">
        <v>9.56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Yes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Annuity, Lower One Time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Blue sky scenario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Between 12 to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Less than 50%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IF(B170=0,"",RANK(B170,$B$2:$B$379,0))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CAPLIPOINT</t>
        </is>
      </c>
      <c r="D170" s="31" t="inlineStr">
        <is>
          <t>Caplin Point Laboratories Limited</t>
        </is>
      </c>
      <c r="E170" s="31" t="inlineStr">
        <is>
          <t>healthcare</t>
        </is>
      </c>
      <c r="F170" s="31" t="inlineStr">
        <is>
          <t>pharmaceuticals - indian - formulations</t>
        </is>
      </c>
      <c r="G170" s="31" t="inlineStr">
        <is>
          <t>midcap</t>
        </is>
      </c>
      <c r="H170" s="32" t="n">
        <v>19960.67</v>
      </c>
      <c r="I170" s="32" t="n">
        <v>2564</v>
      </c>
      <c r="J170" s="32" t="n">
        <v>-2.36</v>
      </c>
      <c r="K170" s="32" t="n">
        <v>92137</v>
      </c>
      <c r="L170" s="31" t="n">
        <v>73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79.89</v>
      </c>
      <c r="P170" s="32" t="n">
        <v>29.12</v>
      </c>
      <c r="Q170" s="32" t="n">
        <v>2108.19</v>
      </c>
      <c r="R170" s="31" t="inlineStr">
        <is>
          <t>Near 52W High Breakout</t>
        </is>
      </c>
      <c r="S170" s="31" t="inlineStr">
        <is>
          <t>Nifty Pharma</t>
        </is>
      </c>
      <c r="T170" s="32" t="n">
        <v>12.5</v>
      </c>
      <c r="U170" s="32" t="n">
        <v>27.49</v>
      </c>
      <c r="V170" s="32" t="n">
        <v>13.33</v>
      </c>
      <c r="W170" s="32" t="n">
        <v>20.92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Yes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Annuity, Lower One Time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Above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Blue sky scenario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Between 12 to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Between 1.5 to 2</t>
        </is>
      </c>
      <c r="BU170" s="31">
        <f>IF(BT170="Above 2",0,IF(BT170="Between 1.5 to 2",5,IF(BT170="Less than 1.5",10,0)))</f>
        <v/>
      </c>
      <c r="BV170" s="31" t="inlineStr">
        <is>
          <t>Between 50% to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IF(B171=0,"",RANK(B171,$B$2:$B$379,0))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PANSARI</t>
        </is>
      </c>
      <c r="D171" s="31" t="inlineStr">
        <is>
          <t>Pansari Developers Ltd</t>
        </is>
      </c>
      <c r="E171" s="31" t="inlineStr">
        <is>
          <t>realty</t>
        </is>
      </c>
      <c r="F171" s="31" t="inlineStr">
        <is>
          <t>construction</t>
        </is>
      </c>
      <c r="G171" s="31" t="inlineStr">
        <is>
          <t>smallcap</t>
        </is>
      </c>
      <c r="H171" s="32" t="n">
        <v>505.7</v>
      </c>
      <c r="I171" s="32" t="n">
        <v>308.2</v>
      </c>
      <c r="J171" s="32" t="n">
        <v>6.33</v>
      </c>
      <c r="K171" s="32" t="n">
        <v>195679</v>
      </c>
      <c r="L171" s="31" t="n">
        <v>28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54.84</v>
      </c>
      <c r="P171" s="32" t="n">
        <v>22.77</v>
      </c>
      <c r="Q171" s="32" t="n">
        <v>211.77</v>
      </c>
      <c r="R171" s="31" t="inlineStr">
        <is>
          <t>Volume Spike &amp; Near 52W High Breakout</t>
        </is>
      </c>
      <c r="S171" s="31" t="inlineStr">
        <is>
          <t>Nifty Realty</t>
        </is>
      </c>
      <c r="T171" s="32" t="n">
        <v>-11.6</v>
      </c>
      <c r="U171" s="32" t="n">
        <v>19.98</v>
      </c>
      <c r="V171" s="32" t="n">
        <v>35.71</v>
      </c>
      <c r="W171" s="32" t="n">
        <v>8.42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Headwind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Blue sky scenario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Less than 1.5</t>
        </is>
      </c>
      <c r="BU171" s="31">
        <f>IF(BT171="Above 2",0,IF(BT171="Between 1.5 to 2",5,IF(BT171="Less than 1.5",10,0)))</f>
        <v/>
      </c>
      <c r="BV171" s="31" t="inlineStr">
        <is>
          <t>Negative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IF(B172=0,"",RANK(B172,$B$2:$B$379,0))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SIGMAADV</t>
        </is>
      </c>
      <c r="D172" s="31" t="inlineStr">
        <is>
          <t>Sigma Advanced System Ltd</t>
        </is>
      </c>
      <c r="E172" s="31" t="inlineStr">
        <is>
          <t>aerospace &amp; defence</t>
        </is>
      </c>
      <c r="F172" s="31" t="inlineStr">
        <is>
          <t>electronics - components</t>
        </is>
      </c>
      <c r="G172" s="31" t="inlineStr">
        <is>
          <t>midcap</t>
        </is>
      </c>
      <c r="H172" s="32" t="n">
        <v>9783.07</v>
      </c>
      <c r="I172" s="32" t="n">
        <v>581.35</v>
      </c>
      <c r="J172" s="32" t="n">
        <v>4.73</v>
      </c>
      <c r="K172" s="32" t="n">
        <v>815063</v>
      </c>
      <c r="L172" s="31" t="n">
        <v>99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83.26000000000001</v>
      </c>
      <c r="P172" s="32" t="n">
        <v>54.69</v>
      </c>
      <c r="Q172" s="32" t="n">
        <v>464.16</v>
      </c>
      <c r="R172" s="31" t="inlineStr">
        <is>
          <t>Earnings / Momentum Support</t>
        </is>
      </c>
      <c r="S172" s="31" t="inlineStr">
        <is>
          <t>Nifty 50</t>
        </is>
      </c>
      <c r="T172" s="32" t="n">
        <v>-5.72</v>
      </c>
      <c r="U172" s="32" t="n">
        <v>463.6</v>
      </c>
      <c r="V172" s="32" t="n">
        <v>497.76</v>
      </c>
      <c r="W172" s="32" t="n">
        <v>119.52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Above 40</t>
        </is>
      </c>
      <c r="AY172" s="31">
        <f>IF(AX172="Above 40",20,IF(AX172="20 to 40",10,IF(AX172="0 to 20",-5,0)))</f>
        <v/>
      </c>
      <c r="AZ172" s="31" t="inlineStr">
        <is>
          <t>Above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Less than 1.5</t>
        </is>
      </c>
      <c r="BU172" s="31">
        <f>IF(BT172="Above 2",0,IF(BT172="Between 1.5 to 2",5,IF(BT172="Less than 1.5",10,0)))</f>
        <v/>
      </c>
      <c r="BV172" s="31" t="inlineStr">
        <is>
          <t>Negative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Between 0.7 to 1.2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IF(B173=0,"",RANK(B173,$B$2:$B$379,0))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WELSPUNLIV</t>
        </is>
      </c>
      <c r="D173" s="31" t="inlineStr">
        <is>
          <t>Welspun Living Ltd</t>
        </is>
      </c>
      <c r="E173" s="31" t="inlineStr">
        <is>
          <t>textiles</t>
        </is>
      </c>
      <c r="F173" s="31" t="inlineStr">
        <is>
          <t>textiles - products</t>
        </is>
      </c>
      <c r="G173" s="31" t="inlineStr">
        <is>
          <t>midcap</t>
        </is>
      </c>
      <c r="H173" s="32" t="n">
        <v>15235.18</v>
      </c>
      <c r="I173" s="32" t="n">
        <v>165.26</v>
      </c>
      <c r="J173" s="32" t="n">
        <v>4.04</v>
      </c>
      <c r="K173" s="32" t="n">
        <v>5057278</v>
      </c>
      <c r="L173" s="31" t="n">
        <v>52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69.33</v>
      </c>
      <c r="P173" s="32" t="n">
        <v>22.63</v>
      </c>
      <c r="Q173" s="32" t="n">
        <v>131.96</v>
      </c>
      <c r="R173" s="31" t="inlineStr">
        <is>
          <t>Near 52W High Breakout</t>
        </is>
      </c>
      <c r="S173" s="31" t="inlineStr">
        <is>
          <t>Nifty 50</t>
        </is>
      </c>
      <c r="T173" s="32" t="n">
        <v>-5.72</v>
      </c>
      <c r="U173" s="32" t="n">
        <v>14.4</v>
      </c>
      <c r="V173" s="32" t="n">
        <v>21.33</v>
      </c>
      <c r="W173" s="32" t="n">
        <v>13.34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Less than 12%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IF(B174=0,"",RANK(B174,$B$2:$B$379,0))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SWANDEF</t>
        </is>
      </c>
      <c r="D174" s="31" t="inlineStr">
        <is>
          <t>Swan Defence and Heavy Industries Ltd</t>
        </is>
      </c>
      <c r="E174" s="31" t="inlineStr">
        <is>
          <t>transportation</t>
        </is>
      </c>
      <c r="F174" s="31" t="inlineStr">
        <is>
          <t>miscellaneous</t>
        </is>
      </c>
      <c r="G174" s="31" t="inlineStr">
        <is>
          <t>midcap</t>
        </is>
      </c>
      <c r="H174" s="32" t="n">
        <v>11574.8</v>
      </c>
      <c r="I174" s="32" t="n">
        <v>2255.4</v>
      </c>
      <c r="J174" s="32" t="n">
        <v>2.65</v>
      </c>
      <c r="K174" s="32" t="n">
        <v>10451</v>
      </c>
      <c r="L174" s="31" t="n">
        <v>98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68.06</v>
      </c>
      <c r="P174" s="32" t="n">
        <v>41.81</v>
      </c>
      <c r="Q174" s="32" t="n">
        <v>1740.38</v>
      </c>
      <c r="R174" s="31" t="inlineStr">
        <is>
          <t>Earnings / Momentum Support</t>
        </is>
      </c>
      <c r="S174" s="31" t="inlineStr">
        <is>
          <t>Nifty 50</t>
        </is>
      </c>
      <c r="T174" s="32" t="n">
        <v>-5.72</v>
      </c>
      <c r="U174" s="32" t="n">
        <v>795.0700000000001</v>
      </c>
      <c r="V174" s="32" t="n">
        <v>849.33</v>
      </c>
      <c r="W174" s="32" t="n">
        <v>75.34999999999999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Above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Less than 1.5</t>
        </is>
      </c>
      <c r="BU174" s="31">
        <f>IF(BT174="Above 2",0,IF(BT174="Between 1.5 to 2",5,IF(BT174="Less than 1.5",10,0)))</f>
        <v/>
      </c>
      <c r="BV174" s="31" t="inlineStr">
        <is>
          <t>Negative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More than 1.2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IF(B175=0,"",RANK(B175,$B$2:$B$379,0))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MARINE</t>
        </is>
      </c>
      <c r="D175" s="31" t="inlineStr">
        <is>
          <t>Marine Electricals (India) Ltd</t>
        </is>
      </c>
      <c r="E175" s="31" t="inlineStr">
        <is>
          <t>industrials</t>
        </is>
      </c>
      <c r="F175" s="31" t="inlineStr">
        <is>
          <t>electric equipment</t>
        </is>
      </c>
      <c r="G175" s="31" t="inlineStr">
        <is>
          <t>smallcap</t>
        </is>
      </c>
      <c r="H175" s="32" t="n">
        <v>695.63</v>
      </c>
      <c r="I175" s="32" t="n">
        <v>290.95</v>
      </c>
      <c r="J175" s="32" t="n">
        <v>2.61</v>
      </c>
      <c r="K175" s="32" t="n">
        <v>979790</v>
      </c>
      <c r="L175" s="31" t="n">
        <v>81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67.79000000000001</v>
      </c>
      <c r="P175" s="32" t="n">
        <v>27.04</v>
      </c>
      <c r="Q175" s="32" t="n">
        <v>211.81</v>
      </c>
      <c r="R175" s="31" t="inlineStr">
        <is>
          <t>Near 52W High Breakout</t>
        </is>
      </c>
      <c r="S175" s="31" t="inlineStr">
        <is>
          <t>Nifty 50</t>
        </is>
      </c>
      <c r="T175" s="32" t="n">
        <v>-5.72</v>
      </c>
      <c r="U175" s="32" t="n">
        <v>42.49</v>
      </c>
      <c r="V175" s="32" t="n">
        <v>51.13</v>
      </c>
      <c r="W175" s="32" t="n">
        <v>24.7</v>
      </c>
      <c r="X175" s="31" t="inlineStr">
        <is>
          <t>Cyclical in an Upturn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Blue sky scenario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Between 1.5 to 2</t>
        </is>
      </c>
      <c r="BU175" s="31">
        <f>IF(BT175="Above 2",0,IF(BT175="Between 1.5 to 2",5,IF(BT175="Less than 1.5",10,0)))</f>
        <v/>
      </c>
      <c r="BV175" s="31" t="inlineStr">
        <is>
          <t>Negative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IF(B176=0,"",RANK(B176,$B$2:$B$379,0))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JSWINFRA</t>
        </is>
      </c>
      <c r="D176" s="31" t="inlineStr">
        <is>
          <t>JSW Infrastructure Ltd</t>
        </is>
      </c>
      <c r="E176" s="31" t="inlineStr">
        <is>
          <t>transportation</t>
        </is>
      </c>
      <c r="F176" s="31" t="inlineStr">
        <is>
          <t>miscellaneous</t>
        </is>
      </c>
      <c r="G176" s="31" t="inlineStr">
        <is>
          <t>largecap</t>
        </is>
      </c>
      <c r="H176" s="32" t="n">
        <v>67651.55</v>
      </c>
      <c r="I176" s="32" t="n">
        <v>330.45</v>
      </c>
      <c r="J176" s="32" t="n">
        <v>2.58</v>
      </c>
      <c r="K176" s="32" t="n">
        <v>7567125</v>
      </c>
      <c r="L176" s="31" t="n">
        <v>38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70.84999999999999</v>
      </c>
      <c r="P176" s="32" t="n">
        <v>26.97</v>
      </c>
      <c r="Q176" s="32" t="n">
        <v>268.36</v>
      </c>
      <c r="R176" s="31" t="inlineStr">
        <is>
          <t>Near 52W High Breakout</t>
        </is>
      </c>
      <c r="S176" s="31" t="inlineStr">
        <is>
          <t>Nifty 500</t>
        </is>
      </c>
      <c r="T176" s="32" t="n">
        <v>-1.91</v>
      </c>
      <c r="U176" s="32" t="n">
        <v>8.699999999999999</v>
      </c>
      <c r="V176" s="32" t="n">
        <v>10.82</v>
      </c>
      <c r="W176" s="32" t="n">
        <v>10.65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Less than 12%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IF(B177=0,"",RANK(B177,$B$2:$B$379,0))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CGPOWER</t>
        </is>
      </c>
      <c r="D177" s="31" t="inlineStr">
        <is>
          <t>CG Power and Industrial Solutions Ltd</t>
        </is>
      </c>
      <c r="E177" s="31" t="inlineStr">
        <is>
          <t>industrials</t>
        </is>
      </c>
      <c r="F177" s="31" t="inlineStr">
        <is>
          <t>electric equipment</t>
        </is>
      </c>
      <c r="G177" s="31" t="inlineStr">
        <is>
          <t>largecap</t>
        </is>
      </c>
      <c r="H177" s="32" t="n">
        <v>149956.13</v>
      </c>
      <c r="I177" s="32" t="n">
        <v>976.5</v>
      </c>
      <c r="J177" s="32" t="n">
        <v>2.56</v>
      </c>
      <c r="K177" s="32" t="n">
        <v>3489753</v>
      </c>
      <c r="L177" s="31" t="n">
        <v>67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71.29000000000001</v>
      </c>
      <c r="P177" s="32" t="n">
        <v>33.33</v>
      </c>
      <c r="Q177" s="32" t="n">
        <v>811.86</v>
      </c>
      <c r="R177" s="31" t="inlineStr">
        <is>
          <t>Near 52W High Breakout</t>
        </is>
      </c>
      <c r="S177" s="31" t="inlineStr">
        <is>
          <t>Nifty 500</t>
        </is>
      </c>
      <c r="T177" s="32" t="n">
        <v>-1.91</v>
      </c>
      <c r="U177" s="32" t="n">
        <v>44.64</v>
      </c>
      <c r="V177" s="32" t="n">
        <v>47.46</v>
      </c>
      <c r="W177" s="32" t="n">
        <v>17.9</v>
      </c>
      <c r="X177" s="31" t="inlineStr">
        <is>
          <t>Cyclical in an Upturn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20 to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Blue sky scenario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Less than 50%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IF(B178=0,"",RANK(B178,$B$2:$B$379,0))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JAMNAAUTO</t>
        </is>
      </c>
      <c r="D178" s="31" t="inlineStr">
        <is>
          <t>Jamna Auto Industries Limited</t>
        </is>
      </c>
      <c r="E178" s="31" t="inlineStr">
        <is>
          <t>auto</t>
        </is>
      </c>
      <c r="F178" s="31" t="inlineStr">
        <is>
          <t>auto ancillaries</t>
        </is>
      </c>
      <c r="G178" s="31" t="inlineStr">
        <is>
          <t>midcap</t>
        </is>
      </c>
      <c r="H178" s="32" t="n">
        <v>5251.01</v>
      </c>
      <c r="I178" s="32" t="n">
        <v>134.59</v>
      </c>
      <c r="J178" s="32" t="n">
        <v>2.45</v>
      </c>
      <c r="K178" s="32" t="n">
        <v>2100248</v>
      </c>
      <c r="L178" s="31" t="n">
        <v>46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57.58</v>
      </c>
      <c r="P178" s="32" t="n">
        <v>17.63</v>
      </c>
      <c r="Q178" s="32" t="n">
        <v>101.5</v>
      </c>
      <c r="R178" s="31" t="inlineStr">
        <is>
          <t>Earnings / Momentum Support</t>
        </is>
      </c>
      <c r="S178" s="31" t="inlineStr">
        <is>
          <t>Nifty Auto</t>
        </is>
      </c>
      <c r="T178" s="32" t="n">
        <v>11.69</v>
      </c>
      <c r="U178" s="32" t="n">
        <v>44.91</v>
      </c>
      <c r="V178" s="32" t="n">
        <v>29.75</v>
      </c>
      <c r="W178" s="32" t="n">
        <v>11.92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No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0 to 20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Less than 1.5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IF(B179=0,"",RANK(B179,$B$2:$B$379,0))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XPROINDIA</t>
        </is>
      </c>
      <c r="D179" s="31" t="inlineStr">
        <is>
          <t>Xpro India Limited</t>
        </is>
      </c>
      <c r="E179" s="31" t="inlineStr">
        <is>
          <t>industrials</t>
        </is>
      </c>
      <c r="F179" s="31" t="inlineStr">
        <is>
          <t>packaging</t>
        </is>
      </c>
      <c r="G179" s="31" t="inlineStr">
        <is>
          <t>smallcap</t>
        </is>
      </c>
      <c r="H179" s="32" t="n">
        <v>3274.82</v>
      </c>
      <c r="I179" s="32" t="n">
        <v>1427.4</v>
      </c>
      <c r="J179" s="32" t="n">
        <v>2.3</v>
      </c>
      <c r="K179" s="32" t="n">
        <v>38846</v>
      </c>
      <c r="L179" s="31" t="n">
        <v>46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69.78</v>
      </c>
      <c r="P179" s="32" t="n">
        <v>29.87</v>
      </c>
      <c r="Q179" s="32" t="n">
        <v>1078.05</v>
      </c>
      <c r="R179" s="31" t="inlineStr">
        <is>
          <t>Near 52W High Breakout</t>
        </is>
      </c>
      <c r="S179" s="31" t="inlineStr">
        <is>
          <t>Nifty 50</t>
        </is>
      </c>
      <c r="T179" s="32" t="n">
        <v>-5.72</v>
      </c>
      <c r="U179" s="32" t="n">
        <v>15.27</v>
      </c>
      <c r="V179" s="32" t="n">
        <v>22.26</v>
      </c>
      <c r="W179" s="32" t="n">
        <v>11.88</v>
      </c>
      <c r="X179" s="31" t="inlineStr">
        <is>
          <t>Cyclical in an Upturn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Yes</t>
        </is>
      </c>
      <c r="BS179" s="31">
        <f>IF(BR179="NO",5,0)</f>
        <v/>
      </c>
      <c r="BT179" s="31" t="inlineStr">
        <is>
          <t>Between 1.5 to 2</t>
        </is>
      </c>
      <c r="BU179" s="31">
        <f>IF(BT179="Above 2",0,IF(BT179="Between 1.5 to 2",5,IF(BT179="Less than 1.5",10,0)))</f>
        <v/>
      </c>
      <c r="BV179" s="31" t="inlineStr">
        <is>
          <t>Less than 50%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IF(B180=0,"",RANK(B180,$B$2:$B$379,0))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TTKPRESTIG</t>
        </is>
      </c>
      <c r="D180" s="31" t="inlineStr">
        <is>
          <t>Ttk Prestige Limited</t>
        </is>
      </c>
      <c r="E180" s="31" t="inlineStr">
        <is>
          <t>consumer discretionary</t>
        </is>
      </c>
      <c r="F180" s="31" t="inlineStr">
        <is>
          <t>domestic appliances</t>
        </is>
      </c>
      <c r="G180" s="31" t="inlineStr">
        <is>
          <t>midcap</t>
        </is>
      </c>
      <c r="H180" s="32" t="n">
        <v>8441.66</v>
      </c>
      <c r="I180" s="32" t="n">
        <v>630.45</v>
      </c>
      <c r="J180" s="32" t="n">
        <v>2.28</v>
      </c>
      <c r="K180" s="32" t="n">
        <v>266965</v>
      </c>
      <c r="L180" s="31" t="n">
        <v>40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65.48</v>
      </c>
      <c r="P180" s="32" t="n">
        <v>26.85</v>
      </c>
      <c r="Q180" s="32" t="n">
        <v>494.82</v>
      </c>
      <c r="R180" s="31" t="inlineStr">
        <is>
          <t>Earnings / Momentum Support</t>
        </is>
      </c>
      <c r="S180" s="31" t="inlineStr">
        <is>
          <t>Nifty 50</t>
        </is>
      </c>
      <c r="T180" s="32" t="n">
        <v>-5.72</v>
      </c>
      <c r="U180" s="32" t="n">
        <v>0.77</v>
      </c>
      <c r="V180" s="32" t="n">
        <v>6.88</v>
      </c>
      <c r="W180" s="32" t="n">
        <v>10.96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No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Yes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IF(B181=0,"",RANK(B181,$B$2:$B$379,0))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OBEROIRLTY</t>
        </is>
      </c>
      <c r="D181" s="31" t="inlineStr">
        <is>
          <t>Oberoi Realty Limited</t>
        </is>
      </c>
      <c r="E181" s="31" t="inlineStr">
        <is>
          <t>realty</t>
        </is>
      </c>
      <c r="F181" s="31" t="inlineStr">
        <is>
          <t>construction</t>
        </is>
      </c>
      <c r="G181" s="31" t="inlineStr">
        <is>
          <t>largecap</t>
        </is>
      </c>
      <c r="H181" s="32" t="n">
        <v>64328.51</v>
      </c>
      <c r="I181" s="32" t="n">
        <v>1804.6</v>
      </c>
      <c r="J181" s="32" t="n">
        <v>2</v>
      </c>
      <c r="K181" s="32" t="n">
        <v>580890</v>
      </c>
      <c r="L181" s="31" t="n">
        <v>11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62.73</v>
      </c>
      <c r="P181" s="32" t="n">
        <v>12.54</v>
      </c>
      <c r="Q181" s="32" t="n">
        <v>1517.57</v>
      </c>
      <c r="R181" s="31" t="inlineStr">
        <is>
          <t>Near 52W High Breakout</t>
        </is>
      </c>
      <c r="S181" s="31" t="inlineStr">
        <is>
          <t>Nifty Realty</t>
        </is>
      </c>
      <c r="T181" s="32" t="n">
        <v>-11.6</v>
      </c>
      <c r="U181" s="32" t="n">
        <v>-3</v>
      </c>
      <c r="V181" s="32" t="n">
        <v>9.73</v>
      </c>
      <c r="W181" s="32" t="n">
        <v>4.18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0 to 20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Less than 1.5</t>
        </is>
      </c>
      <c r="BU181" s="31">
        <f>IF(BT181="Above 2",0,IF(BT181="Between 1.5 to 2",5,IF(BT181="Less than 1.5",10,0)))</f>
        <v/>
      </c>
      <c r="BV181" s="31" t="inlineStr">
        <is>
          <t>Less than 50%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IF(B182=0,"",RANK(B182,$B$2:$B$379,0))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SCHNEIDER</t>
        </is>
      </c>
      <c r="D182" s="31" t="inlineStr">
        <is>
          <t>Schneider Electric Infrastructure Limited</t>
        </is>
      </c>
      <c r="E182" s="31" t="inlineStr">
        <is>
          <t>industrials</t>
        </is>
      </c>
      <c r="F182" s="31" t="inlineStr">
        <is>
          <t>electric equipment</t>
        </is>
      </c>
      <c r="G182" s="31" t="inlineStr">
        <is>
          <t>largecap</t>
        </is>
      </c>
      <c r="H182" s="32" t="n">
        <v>32522.93</v>
      </c>
      <c r="I182" s="32" t="n">
        <v>1387</v>
      </c>
      <c r="J182" s="32" t="n">
        <v>1.97</v>
      </c>
      <c r="K182" s="32" t="n">
        <v>405697</v>
      </c>
      <c r="L182" s="31" t="n">
        <v>80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68.79000000000001</v>
      </c>
      <c r="P182" s="32" t="n">
        <v>41.83</v>
      </c>
      <c r="Q182" s="32" t="n">
        <v>1014.89</v>
      </c>
      <c r="R182" s="31" t="inlineStr">
        <is>
          <t>Near 52W High Breakout</t>
        </is>
      </c>
      <c r="S182" s="31" t="inlineStr">
        <is>
          <t>Nifty 50</t>
        </is>
      </c>
      <c r="T182" s="32" t="n">
        <v>-5.72</v>
      </c>
      <c r="U182" s="32" t="n">
        <v>69.34999999999999</v>
      </c>
      <c r="V182" s="32" t="n">
        <v>79.62</v>
      </c>
      <c r="W182" s="32" t="n">
        <v>24.16</v>
      </c>
      <c r="X182" s="31" t="inlineStr">
        <is>
          <t>Cyclical in an Upturn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Above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Blue sky scenario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Less than 12%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Between 50% to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Between 0.7 to 1.2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IF(B183=0,"",RANK(B183,$B$2:$B$379,0))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BORORENEW</t>
        </is>
      </c>
      <c r="D183" s="31" t="inlineStr">
        <is>
          <t>Borosil Renewables Ltd</t>
        </is>
      </c>
      <c r="E183" s="31" t="inlineStr">
        <is>
          <t>building materials</t>
        </is>
      </c>
      <c r="F183" s="31" t="inlineStr">
        <is>
          <t>glass &amp; glass products</t>
        </is>
      </c>
      <c r="G183" s="31" t="inlineStr">
        <is>
          <t>midcap</t>
        </is>
      </c>
      <c r="H183" s="32" t="n">
        <v>8442.870000000001</v>
      </c>
      <c r="I183" s="32" t="n">
        <v>612.2</v>
      </c>
      <c r="J183" s="32" t="n">
        <v>1.65</v>
      </c>
      <c r="K183" s="32" t="n">
        <v>415852</v>
      </c>
      <c r="L183" s="31" t="n">
        <v>63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63.27</v>
      </c>
      <c r="P183" s="32" t="n">
        <v>23.21</v>
      </c>
      <c r="Q183" s="32" t="n">
        <v>476.67</v>
      </c>
      <c r="R183" s="31" t="inlineStr">
        <is>
          <t>Earnings / Momentum Support</t>
        </is>
      </c>
      <c r="S183" s="31" t="inlineStr">
        <is>
          <t>Nifty Infra</t>
        </is>
      </c>
      <c r="T183" s="32" t="n">
        <v>0.09</v>
      </c>
      <c r="U183" s="32" t="n">
        <v>23.15</v>
      </c>
      <c r="V183" s="32" t="n">
        <v>23.05</v>
      </c>
      <c r="W183" s="32" t="n">
        <v>16.87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No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IF(B184=0,"",RANK(B184,$B$2:$B$379,0))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GMRAIRPORT</t>
        </is>
      </c>
      <c r="D184" s="31" t="inlineStr">
        <is>
          <t>GMR Airports Ltd</t>
        </is>
      </c>
      <c r="E184" s="31" t="inlineStr">
        <is>
          <t>miscellaneous</t>
        </is>
      </c>
      <c r="F184" s="31" t="inlineStr">
        <is>
          <t>miscellaneous</t>
        </is>
      </c>
      <c r="G184" s="31" t="inlineStr">
        <is>
          <t>largecap</t>
        </is>
      </c>
      <c r="H184" s="32" t="n">
        <v>118355.56</v>
      </c>
      <c r="I184" s="32" t="n">
        <v>113.53</v>
      </c>
      <c r="J184" s="32" t="n">
        <v>1.28</v>
      </c>
      <c r="K184" s="32" t="n">
        <v>20998345</v>
      </c>
      <c r="L184" s="31" t="n">
        <v>42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67.53</v>
      </c>
      <c r="P184" s="32" t="n">
        <v>16.6</v>
      </c>
      <c r="Q184" s="32" t="n">
        <v>94.31999999999999</v>
      </c>
      <c r="R184" s="31" t="inlineStr">
        <is>
          <t>Near 52W High Breakout</t>
        </is>
      </c>
      <c r="S184" s="31" t="inlineStr">
        <is>
          <t>Nifty 500</t>
        </is>
      </c>
      <c r="T184" s="32" t="n">
        <v>-1.91</v>
      </c>
      <c r="U184" s="32" t="n">
        <v>26.27</v>
      </c>
      <c r="V184" s="32" t="n">
        <v>28.73</v>
      </c>
      <c r="W184" s="32" t="n">
        <v>11.46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0 to 20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Blue sky scenario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IF(B185=0,"",RANK(B185,$B$2:$B$379,0))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KPRMILL</t>
        </is>
      </c>
      <c r="D185" s="31" t="inlineStr">
        <is>
          <t>K.p.r. Mill Limited</t>
        </is>
      </c>
      <c r="E185" s="31" t="inlineStr">
        <is>
          <t>consumer discretionary</t>
        </is>
      </c>
      <c r="F185" s="31" t="inlineStr">
        <is>
          <t>textiles - products</t>
        </is>
      </c>
      <c r="G185" s="31" t="inlineStr">
        <is>
          <t>largecap</t>
        </is>
      </c>
      <c r="H185" s="32" t="n">
        <v>40241.76</v>
      </c>
      <c r="I185" s="32" t="n">
        <v>1191.6</v>
      </c>
      <c r="J185" s="32" t="n">
        <v>1.21</v>
      </c>
      <c r="K185" s="32" t="n">
        <v>1036306</v>
      </c>
      <c r="L185" s="31" t="n">
        <v>39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71.59999999999999</v>
      </c>
      <c r="P185" s="32" t="n">
        <v>34.41</v>
      </c>
      <c r="Q185" s="32" t="n">
        <v>906.9</v>
      </c>
      <c r="R185" s="31" t="inlineStr">
        <is>
          <t>Near 52W High Breakout</t>
        </is>
      </c>
      <c r="S185" s="31" t="inlineStr">
        <is>
          <t>Nifty 50</t>
        </is>
      </c>
      <c r="T185" s="32" t="n">
        <v>-5.72</v>
      </c>
      <c r="U185" s="32" t="n">
        <v>0.66</v>
      </c>
      <c r="V185" s="32" t="n">
        <v>6.76</v>
      </c>
      <c r="W185" s="32" t="n">
        <v>10.76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Less than 12%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IF(B186=0,"",RANK(B186,$B$2:$B$379,0))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OLECTRA</t>
        </is>
      </c>
      <c r="D186" s="31" t="inlineStr">
        <is>
          <t>Olectra Greentech Ltd</t>
        </is>
      </c>
      <c r="E186" s="31" t="inlineStr">
        <is>
          <t>auto</t>
        </is>
      </c>
      <c r="F186" s="31" t="inlineStr">
        <is>
          <t>automobiles - lcvs / hcvs</t>
        </is>
      </c>
      <c r="G186" s="31" t="inlineStr">
        <is>
          <t>midcap</t>
        </is>
      </c>
      <c r="H186" s="32" t="n">
        <v>12308.83</v>
      </c>
      <c r="I186" s="32" t="n">
        <v>1512.4</v>
      </c>
      <c r="J186" s="32" t="n">
        <v>0.85</v>
      </c>
      <c r="K186" s="32" t="n">
        <v>1229584</v>
      </c>
      <c r="L186" s="31" t="n">
        <v>65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64.93000000000001</v>
      </c>
      <c r="P186" s="32" t="n">
        <v>27.91</v>
      </c>
      <c r="Q186" s="32" t="n">
        <v>1144.11</v>
      </c>
      <c r="R186" s="31" t="inlineStr">
        <is>
          <t>Earnings / Momentum Support</t>
        </is>
      </c>
      <c r="S186" s="31" t="inlineStr">
        <is>
          <t>Nifty Auto</t>
        </is>
      </c>
      <c r="T186" s="32" t="n">
        <v>11.69</v>
      </c>
      <c r="U186" s="32" t="n">
        <v>26.13</v>
      </c>
      <c r="V186" s="32" t="n">
        <v>12.93</v>
      </c>
      <c r="W186" s="32" t="n">
        <v>17.58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20 to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IF(B187=0,"",RANK(B187,$B$2:$B$379,0))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UFBL</t>
        </is>
      </c>
      <c r="D187" s="31" t="inlineStr">
        <is>
          <t>United Foodbrands Ltd</t>
        </is>
      </c>
      <c r="E187" s="31" t="inlineStr">
        <is>
          <t>consumer discretionary</t>
        </is>
      </c>
      <c r="F187" s="31" t="inlineStr">
        <is>
          <t>hotels</t>
        </is>
      </c>
      <c r="G187" s="31" t="inlineStr">
        <is>
          <t>smallcap</t>
        </is>
      </c>
      <c r="H187" s="32" t="n">
        <v>2491.56</v>
      </c>
      <c r="I187" s="32" t="n">
        <v>640.95</v>
      </c>
      <c r="J187" s="32" t="n">
        <v>0.55</v>
      </c>
      <c r="K187" s="32" t="n">
        <v>279845</v>
      </c>
      <c r="L187" s="31" t="n">
        <v>98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76.59</v>
      </c>
      <c r="P187" s="32" t="n">
        <v>47.86</v>
      </c>
      <c r="Q187" s="32" t="n">
        <v>512.92</v>
      </c>
      <c r="R187" s="31" t="inlineStr">
        <is>
          <t>Earnings / Momentum Support</t>
        </is>
      </c>
      <c r="S187" s="31" t="inlineStr">
        <is>
          <t>Nifty 50</t>
        </is>
      </c>
      <c r="T187" s="32" t="n">
        <v>-5.72</v>
      </c>
      <c r="U187" s="32" t="n">
        <v>102.54</v>
      </c>
      <c r="V187" s="32" t="n">
        <v>114.82</v>
      </c>
      <c r="W187" s="32" t="n">
        <v>73.5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Above 40</t>
        </is>
      </c>
      <c r="AY187" s="31">
        <f>IF(AX187="Above 40",20,IF(AX187="20 to 40",10,IF(AX187="0 to 20",-5,0)))</f>
        <v/>
      </c>
      <c r="AZ187" s="31" t="inlineStr">
        <is>
          <t>Above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No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More than 1.2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IF(B188=0,"",RANK(B188,$B$2:$B$379,0))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KSB</t>
        </is>
      </c>
      <c r="D188" s="31" t="inlineStr">
        <is>
          <t>KSB Ltd</t>
        </is>
      </c>
      <c r="E188" s="31" t="inlineStr">
        <is>
          <t>industrials</t>
        </is>
      </c>
      <c r="F188" s="31" t="inlineStr">
        <is>
          <t>pumps</t>
        </is>
      </c>
      <c r="G188" s="31" t="inlineStr">
        <is>
          <t>midcap</t>
        </is>
      </c>
      <c r="H188" s="32" t="n">
        <v>16686.01</v>
      </c>
      <c r="I188" s="32" t="n">
        <v>962.55</v>
      </c>
      <c r="J188" s="32" t="n">
        <v>0.4</v>
      </c>
      <c r="K188" s="32" t="n">
        <v>114083</v>
      </c>
      <c r="L188" s="31" t="n">
        <v>20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65.13</v>
      </c>
      <c r="P188" s="32" t="n">
        <v>28.29</v>
      </c>
      <c r="Q188" s="32" t="n">
        <v>788.5</v>
      </c>
      <c r="R188" s="31" t="inlineStr">
        <is>
          <t>Near 52W High Breakout</t>
        </is>
      </c>
      <c r="S188" s="31" t="inlineStr">
        <is>
          <t>Nifty 50</t>
        </is>
      </c>
      <c r="T188" s="32" t="n">
        <v>-5.72</v>
      </c>
      <c r="U188" s="32" t="n">
        <v>16.58</v>
      </c>
      <c r="V188" s="32" t="n">
        <v>23.64</v>
      </c>
      <c r="W188" s="32" t="n">
        <v>6.54</v>
      </c>
      <c r="X188" s="31" t="inlineStr">
        <is>
          <t>Cyclical in an Upturn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Blue sky scenario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Less than 12%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IF(B189=0,"",RANK(B189,$B$2:$B$379,0))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SONACOMS</t>
        </is>
      </c>
      <c r="D189" s="31" t="inlineStr">
        <is>
          <t>Sona BLW Precision Forgings Ltd</t>
        </is>
      </c>
      <c r="E189" s="31" t="inlineStr">
        <is>
          <t>auto</t>
        </is>
      </c>
      <c r="F189" s="31" t="inlineStr">
        <is>
          <t>auto ancillaries</t>
        </is>
      </c>
      <c r="G189" s="31" t="inlineStr">
        <is>
          <t>largecap</t>
        </is>
      </c>
      <c r="H189" s="32" t="n">
        <v>38548.29</v>
      </c>
      <c r="I189" s="32" t="n">
        <v>619.4</v>
      </c>
      <c r="J189" s="32" t="n">
        <v>-0.08</v>
      </c>
      <c r="K189" s="32" t="n">
        <v>967427</v>
      </c>
      <c r="L189" s="31" t="n">
        <v>42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64.8</v>
      </c>
      <c r="P189" s="32" t="n">
        <v>31.86</v>
      </c>
      <c r="Q189" s="32" t="n">
        <v>516.76</v>
      </c>
      <c r="R189" s="31" t="inlineStr">
        <is>
          <t>Near 52W High Breakout</t>
        </is>
      </c>
      <c r="S189" s="31" t="inlineStr">
        <is>
          <t>Nifty Auto</t>
        </is>
      </c>
      <c r="T189" s="32" t="n">
        <v>11.69</v>
      </c>
      <c r="U189" s="32" t="n">
        <v>30.71</v>
      </c>
      <c r="V189" s="32" t="n">
        <v>17.03</v>
      </c>
      <c r="W189" s="32" t="n">
        <v>11.31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Between 12 to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Between 50% to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IF(B190=0,"",RANK(B190,$B$2:$B$379,0))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INGERRAND</t>
        </is>
      </c>
      <c r="D190" s="31" t="inlineStr">
        <is>
          <t>Ingersoll Rand (india) Limited</t>
        </is>
      </c>
      <c r="E190" s="31" t="inlineStr">
        <is>
          <t>industrials</t>
        </is>
      </c>
      <c r="F190" s="31" t="inlineStr">
        <is>
          <t>compressors / drilling equipment</t>
        </is>
      </c>
      <c r="G190" s="31" t="inlineStr">
        <is>
          <t>midcap</t>
        </is>
      </c>
      <c r="H190" s="32" t="n">
        <v>14208.13</v>
      </c>
      <c r="I190" s="32" t="n">
        <v>4495.9</v>
      </c>
      <c r="J190" s="32" t="n">
        <v>-0.11</v>
      </c>
      <c r="K190" s="32" t="n">
        <v>8267</v>
      </c>
      <c r="L190" s="31" t="n">
        <v>27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59.74</v>
      </c>
      <c r="P190" s="32" t="n">
        <v>26.83</v>
      </c>
      <c r="Q190" s="32" t="n">
        <v>3718.42</v>
      </c>
      <c r="R190" s="31" t="inlineStr">
        <is>
          <t>Near 52W High Breakout</t>
        </is>
      </c>
      <c r="S190" s="31" t="inlineStr">
        <is>
          <t>Nifty Infra</t>
        </is>
      </c>
      <c r="T190" s="32" t="n">
        <v>0.09</v>
      </c>
      <c r="U190" s="32" t="n">
        <v>13.42</v>
      </c>
      <c r="V190" s="32" t="n">
        <v>13.33</v>
      </c>
      <c r="W190" s="32" t="n">
        <v>7.88</v>
      </c>
      <c r="X190" s="31" t="inlineStr">
        <is>
          <t>Cyclical in an Upturn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Blue sky scenario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Less than 12%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IF(B191=0,"",RANK(B191,$B$2:$B$379,0))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3" t="inlineStr">
        <is>
          <t>HONAUT</t>
        </is>
      </c>
      <c r="D191" s="33" t="inlineStr">
        <is>
          <t>Honeywell Automation India Limited</t>
        </is>
      </c>
      <c r="E191" s="31" t="inlineStr">
        <is>
          <t>consumer discretionary</t>
        </is>
      </c>
      <c r="F191" s="31" t="inlineStr">
        <is>
          <t>electronics - components</t>
        </is>
      </c>
      <c r="G191" s="31" t="inlineStr">
        <is>
          <t>largecap</t>
        </is>
      </c>
      <c r="H191" s="32" t="n">
        <v>35131.79</v>
      </c>
      <c r="I191" s="32" t="n">
        <v>39655</v>
      </c>
      <c r="J191" s="32" t="n">
        <v>-0.2</v>
      </c>
      <c r="K191" s="32" t="n">
        <v>7055</v>
      </c>
      <c r="L191" s="31" t="n">
        <v>41</v>
      </c>
      <c r="M191" s="31" t="inlineStr">
        <is>
          <t>Underperforming</t>
        </is>
      </c>
      <c r="N191" s="32">
        <f>IF(M191="Underperforming",-5,IF(L191&gt;=95,15,IF(L191&gt;=90,10,IF(L191&gt;=80,5,0))))</f>
        <v/>
      </c>
      <c r="O191" s="32" t="n">
        <v>67.05</v>
      </c>
      <c r="P191" s="32" t="n">
        <v>21.9</v>
      </c>
      <c r="Q191" s="32" t="n">
        <v>32793.45</v>
      </c>
      <c r="R191" s="31" t="inlineStr">
        <is>
          <t>Near 52W High Breakout</t>
        </is>
      </c>
      <c r="S191" s="31" t="inlineStr">
        <is>
          <t>Nifty 500</t>
        </is>
      </c>
      <c r="T191" s="32" t="n">
        <v>-1.91</v>
      </c>
      <c r="U191" s="32" t="n">
        <v>-3.23</v>
      </c>
      <c r="V191" s="32" t="n">
        <v>-1.35</v>
      </c>
      <c r="W191" s="32" t="n">
        <v>11.25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Between 12 to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IF(B192=0,"",RANK(B192,$B$2:$B$379,0))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SKYGOLD</t>
        </is>
      </c>
      <c r="D192" s="31" t="inlineStr">
        <is>
          <t>Sky Gold Ltd</t>
        </is>
      </c>
      <c r="E192" s="31" t="inlineStr">
        <is>
          <t>consumer discretionary</t>
        </is>
      </c>
      <c r="F192" s="31" t="inlineStr">
        <is>
          <t>diamond cutting / jewellery</t>
        </is>
      </c>
      <c r="G192" s="31" t="inlineStr">
        <is>
          <t>midcap</t>
        </is>
      </c>
      <c r="H192" s="32" t="n">
        <v>8247.809999999999</v>
      </c>
      <c r="I192" s="32" t="n">
        <v>528.9</v>
      </c>
      <c r="J192" s="32" t="n">
        <v>-0.6899999999999999</v>
      </c>
      <c r="K192" s="32" t="n">
        <v>408637</v>
      </c>
      <c r="L192" s="31" t="n">
        <v>79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65.11</v>
      </c>
      <c r="P192" s="32" t="n">
        <v>45.6</v>
      </c>
      <c r="Q192" s="32" t="n">
        <v>392.87</v>
      </c>
      <c r="R192" s="31" t="inlineStr">
        <is>
          <t>Near 52W High Breakout</t>
        </is>
      </c>
      <c r="S192" s="31" t="inlineStr">
        <is>
          <t>Nifty 50</t>
        </is>
      </c>
      <c r="T192" s="32" t="n">
        <v>-5.72</v>
      </c>
      <c r="U192" s="32" t="n">
        <v>66.69</v>
      </c>
      <c r="V192" s="32" t="n">
        <v>76.79000000000001</v>
      </c>
      <c r="W192" s="32" t="n">
        <v>23.98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Above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Blue sky scenario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Negative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Between 0.7 to 1.2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IF(B193=0,"",RANK(B193,$B$2:$B$379,0))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AEROENTER</t>
        </is>
      </c>
      <c r="D193" s="31" t="inlineStr">
        <is>
          <t>Aeroflex Enterprises Ltd</t>
        </is>
      </c>
      <c r="E193" s="31" t="inlineStr">
        <is>
          <t>metals &amp; mining</t>
        </is>
      </c>
      <c r="F193" s="31" t="inlineStr">
        <is>
          <t>steel - medium / small</t>
        </is>
      </c>
      <c r="G193" s="31" t="inlineStr">
        <is>
          <t>smallcap</t>
        </is>
      </c>
      <c r="H193" s="32" t="n">
        <v>1597.33</v>
      </c>
      <c r="I193" s="32" t="n">
        <v>139.89</v>
      </c>
      <c r="J193" s="32" t="n">
        <v>-0.96</v>
      </c>
      <c r="K193" s="32" t="n">
        <v>920779</v>
      </c>
      <c r="L193" s="31" t="n">
        <v>88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76.28</v>
      </c>
      <c r="P193" s="32" t="n">
        <v>45.15</v>
      </c>
      <c r="Q193" s="32" t="n">
        <v>104.29</v>
      </c>
      <c r="R193" s="31" t="inlineStr">
        <is>
          <t>Near 52W High Breakout</t>
        </is>
      </c>
      <c r="S193" s="31" t="inlineStr">
        <is>
          <t>Nifty Metal</t>
        </is>
      </c>
      <c r="T193" s="32" t="n">
        <v>29.38</v>
      </c>
      <c r="U193" s="32" t="n">
        <v>40.95</v>
      </c>
      <c r="V193" s="32" t="n">
        <v>8.949999999999999</v>
      </c>
      <c r="W193" s="32" t="n">
        <v>32.24</v>
      </c>
      <c r="X193" s="31" t="inlineStr">
        <is>
          <t>Cyclical in an Upturn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Cyclical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Volatile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Above 40</t>
        </is>
      </c>
      <c r="AY193" s="31">
        <f>IF(AX193="Above 40",20,IF(AX193="20 to 40",10,IF(AX193="0 to 20",-5,0)))</f>
        <v/>
      </c>
      <c r="AZ193" s="31" t="inlineStr">
        <is>
          <t>Above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Blue sky scenario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Less than 1.5</t>
        </is>
      </c>
      <c r="BU193" s="31">
        <f>IF(BT193="Above 2",0,IF(BT193="Between 1.5 to 2",5,IF(BT193="Less than 1.5",10,0)))</f>
        <v/>
      </c>
      <c r="BV193" s="31" t="inlineStr">
        <is>
          <t>Less than 50%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IF(B194=0,"",RANK(B194,$B$2:$B$379,0))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SPAL</t>
        </is>
      </c>
      <c r="D194" s="31" t="inlineStr">
        <is>
          <t>S. P. Apparels Limited</t>
        </is>
      </c>
      <c r="E194" s="31" t="inlineStr">
        <is>
          <t>consumer discretionary</t>
        </is>
      </c>
      <c r="F194" s="31" t="inlineStr">
        <is>
          <t>textiles - products</t>
        </is>
      </c>
      <c r="G194" s="31" t="inlineStr">
        <is>
          <t>smallcap</t>
        </is>
      </c>
      <c r="H194" s="32" t="n">
        <v>2861.18</v>
      </c>
      <c r="I194" s="32" t="n">
        <v>1118.8</v>
      </c>
      <c r="J194" s="32" t="n">
        <v>-1.7</v>
      </c>
      <c r="K194" s="32" t="n">
        <v>200276</v>
      </c>
      <c r="L194" s="31" t="n">
        <v>69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80.31999999999999</v>
      </c>
      <c r="P194" s="32" t="n">
        <v>32.21</v>
      </c>
      <c r="Q194" s="32" t="n">
        <v>835.55</v>
      </c>
      <c r="R194" s="31" t="inlineStr">
        <is>
          <t>Near 52W High Breakout</t>
        </is>
      </c>
      <c r="S194" s="31" t="inlineStr">
        <is>
          <t>Nifty 50</t>
        </is>
      </c>
      <c r="T194" s="32" t="n">
        <v>-5.72</v>
      </c>
      <c r="U194" s="32" t="n">
        <v>31.32</v>
      </c>
      <c r="V194" s="32" t="n">
        <v>39.28</v>
      </c>
      <c r="W194" s="32" t="n">
        <v>19.19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Above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Blue sky scenario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Less than 12%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IF(B195=0,"",RANK(B195,$B$2:$B$379,0))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3" t="inlineStr">
        <is>
          <t>KABRAEXTRU</t>
        </is>
      </c>
      <c r="D195" s="33" t="inlineStr">
        <is>
          <t>Kabra Extrusion Technik Limited</t>
        </is>
      </c>
      <c r="E195" s="31" t="inlineStr">
        <is>
          <t>industrials</t>
        </is>
      </c>
      <c r="F195" s="31" t="inlineStr">
        <is>
          <t>engineering</t>
        </is>
      </c>
      <c r="G195" s="31" t="inlineStr">
        <is>
          <t>smallcap</t>
        </is>
      </c>
      <c r="H195" s="32" t="n">
        <v>942.9</v>
      </c>
      <c r="I195" s="32" t="n">
        <v>265</v>
      </c>
      <c r="J195" s="32" t="n">
        <v>-1.71</v>
      </c>
      <c r="K195" s="32" t="n">
        <v>83267</v>
      </c>
      <c r="L195" s="31" t="n">
        <v>13</v>
      </c>
      <c r="M195" s="31" t="inlineStr">
        <is>
          <t>Underperforming</t>
        </is>
      </c>
      <c r="N195" s="32">
        <f>IF(M195="Underperforming",-5,IF(L195&gt;=95,15,IF(L195&gt;=90,10,IF(L195&gt;=80,5,0))))</f>
        <v/>
      </c>
      <c r="O195" s="32" t="n">
        <v>59.2</v>
      </c>
      <c r="P195" s="32" t="n">
        <v>11.08</v>
      </c>
      <c r="Q195" s="32" t="n">
        <v>190.76</v>
      </c>
      <c r="R195" s="31" t="inlineStr">
        <is>
          <t>Volume Spike / Accumulation</t>
        </is>
      </c>
      <c r="S195" s="31" t="inlineStr">
        <is>
          <t>Nifty 50</t>
        </is>
      </c>
      <c r="T195" s="32" t="n">
        <v>-5.72</v>
      </c>
      <c r="U195" s="32" t="n">
        <v>-8.93</v>
      </c>
      <c r="V195" s="32" t="n">
        <v>-3.41</v>
      </c>
      <c r="W195" s="32" t="n">
        <v>4.74</v>
      </c>
      <c r="X195" s="31" t="inlineStr">
        <is>
          <t>Cyclical in an Upturn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0 to 20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Less than 1.5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IF(B196=0,"",RANK(B196,$B$2:$B$379,0))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AVL</t>
        </is>
      </c>
      <c r="D196" s="31" t="inlineStr">
        <is>
          <t>Aditya Vision Ltd</t>
        </is>
      </c>
      <c r="E196" s="31" t="inlineStr">
        <is>
          <t>consumer discretionary</t>
        </is>
      </c>
      <c r="F196" s="31" t="inlineStr">
        <is>
          <t>trading</t>
        </is>
      </c>
      <c r="G196" s="31" t="inlineStr">
        <is>
          <t>midcap</t>
        </is>
      </c>
      <c r="H196" s="32" t="n">
        <v>8499.219999999999</v>
      </c>
      <c r="I196" s="32" t="n">
        <v>646.65</v>
      </c>
      <c r="J196" s="32" t="n">
        <v>-1.75</v>
      </c>
      <c r="K196" s="32" t="n">
        <v>591226</v>
      </c>
      <c r="L196" s="31" t="n">
        <v>78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68.48999999999999</v>
      </c>
      <c r="P196" s="32" t="n">
        <v>30.56</v>
      </c>
      <c r="Q196" s="32" t="n">
        <v>518.09</v>
      </c>
      <c r="R196" s="31" t="inlineStr">
        <is>
          <t>Near 52W High Breakout</t>
        </is>
      </c>
      <c r="S196" s="31" t="inlineStr">
        <is>
          <t>Nifty 50</t>
        </is>
      </c>
      <c r="T196" s="32" t="n">
        <v>-5.72</v>
      </c>
      <c r="U196" s="32" t="n">
        <v>79.58</v>
      </c>
      <c r="V196" s="32" t="n">
        <v>90.45999999999999</v>
      </c>
      <c r="W196" s="32" t="n">
        <v>23.64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Blue sky scenario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Between 1.5 to 2</t>
        </is>
      </c>
      <c r="BU196" s="31">
        <f>IF(BT196="Above 2",0,IF(BT196="Between 1.5 to 2",5,IF(BT196="Less than 1.5",10,0)))</f>
        <v/>
      </c>
      <c r="BV196" s="31" t="inlineStr">
        <is>
          <t>Less than 50%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Between 0.7 to 1.2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IF(B197=0,"",RANK(B197,$B$2:$B$379,0))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JNKINDIA</t>
        </is>
      </c>
      <c r="D197" s="31" t="inlineStr">
        <is>
          <t>JNK India Ltd</t>
        </is>
      </c>
      <c r="E197" s="31" t="inlineStr">
        <is>
          <t>realty</t>
        </is>
      </c>
      <c r="F197" s="31" t="inlineStr">
        <is>
          <t>engineering - turnkey services</t>
        </is>
      </c>
      <c r="G197" s="31" t="inlineStr">
        <is>
          <t>smallcap</t>
        </is>
      </c>
      <c r="H197" s="32" t="n">
        <v>2823.71</v>
      </c>
      <c r="I197" s="32" t="n">
        <v>492.7</v>
      </c>
      <c r="J197" s="32" t="n">
        <v>-2.37</v>
      </c>
      <c r="K197" s="32" t="n">
        <v>391861</v>
      </c>
      <c r="L197" s="31" t="n">
        <v>90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72.53</v>
      </c>
      <c r="P197" s="32" t="n">
        <v>39.42</v>
      </c>
      <c r="Q197" s="32" t="n">
        <v>356.73</v>
      </c>
      <c r="R197" s="31" t="inlineStr">
        <is>
          <t>Near 52W High Breakout</t>
        </is>
      </c>
      <c r="S197" s="31" t="inlineStr">
        <is>
          <t>Nifty Realty</t>
        </is>
      </c>
      <c r="T197" s="32" t="n">
        <v>-11.6</v>
      </c>
      <c r="U197" s="32" t="n">
        <v>47.46</v>
      </c>
      <c r="V197" s="32" t="n">
        <v>66.8</v>
      </c>
      <c r="W197" s="32" t="n">
        <v>34.18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Negative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IF(B198=0,"",RANK(B198,$B$2:$B$379,0))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KMEW</t>
        </is>
      </c>
      <c r="D198" s="31" t="inlineStr">
        <is>
          <t>Knowledge Marine &amp; Engineering Works Ltd</t>
        </is>
      </c>
      <c r="E198" s="31" t="inlineStr">
        <is>
          <t>transportation</t>
        </is>
      </c>
      <c r="F198" s="31" t="inlineStr">
        <is>
          <t>miscellaneous</t>
        </is>
      </c>
      <c r="G198" s="31" t="inlineStr">
        <is>
          <t>midcap</t>
        </is>
      </c>
      <c r="H198" s="32" t="n">
        <v>5602.35</v>
      </c>
      <c r="I198" s="32" t="n">
        <v>2189.1</v>
      </c>
      <c r="J198" s="32" t="n">
        <v>-4.49</v>
      </c>
      <c r="K198" s="32" t="n">
        <v>124997</v>
      </c>
      <c r="L198" s="31" t="n">
        <v>89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64.51000000000001</v>
      </c>
      <c r="P198" s="32" t="n">
        <v>38.94</v>
      </c>
      <c r="Q198" s="32" t="n">
        <v>1559.59</v>
      </c>
      <c r="R198" s="31" t="inlineStr">
        <is>
          <t>Near 52W High Breakout</t>
        </is>
      </c>
      <c r="S198" s="31" t="inlineStr">
        <is>
          <t>Nifty 50</t>
        </is>
      </c>
      <c r="T198" s="32" t="n">
        <v>-5.72</v>
      </c>
      <c r="U198" s="32" t="n">
        <v>165.97</v>
      </c>
      <c r="V198" s="32" t="n">
        <v>182.1</v>
      </c>
      <c r="W198" s="32" t="n">
        <v>32.7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Blue sky scenario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Yes</t>
        </is>
      </c>
      <c r="BS198" s="31">
        <f>IF(BR198="NO",5,0)</f>
        <v/>
      </c>
      <c r="BT198" s="31" t="inlineStr">
        <is>
          <t>Above 2</t>
        </is>
      </c>
      <c r="BU198" s="31">
        <f>IF(BT198="Above 2",0,IF(BT198="Between 1.5 to 2",5,IF(BT198="Less than 1.5",10,0)))</f>
        <v/>
      </c>
      <c r="BV198" s="31" t="inlineStr">
        <is>
          <t>Negative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IF(B199=0,"",RANK(B199,$B$2:$B$379,0))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JBCHEPHARM</t>
        </is>
      </c>
      <c r="D199" s="31" t="inlineStr">
        <is>
          <t>Jb Chemicals &amp; Pharmaceuticals Limited</t>
        </is>
      </c>
      <c r="E199" s="31" t="inlineStr">
        <is>
          <t>healthcare</t>
        </is>
      </c>
      <c r="F199" s="31" t="inlineStr">
        <is>
          <t>pharmaceuticals - indian - bulk drugs &amp; formln</t>
        </is>
      </c>
      <c r="G199" s="31" t="inlineStr">
        <is>
          <t>largecap</t>
        </is>
      </c>
      <c r="H199" s="32" t="n">
        <v>36862.67</v>
      </c>
      <c r="I199" s="32" t="n">
        <v>2298</v>
      </c>
      <c r="J199" s="32" t="n">
        <v>0.09</v>
      </c>
      <c r="K199" s="32" t="n">
        <v>218779</v>
      </c>
      <c r="L199" s="31" t="n">
        <v>41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70.61</v>
      </c>
      <c r="P199" s="32" t="n">
        <v>37.76</v>
      </c>
      <c r="Q199" s="32" t="n">
        <v>1973.67</v>
      </c>
      <c r="R199" s="31" t="inlineStr">
        <is>
          <t>Near 52W High Breakout</t>
        </is>
      </c>
      <c r="S199" s="31" t="inlineStr">
        <is>
          <t>Nifty Pharma</t>
        </is>
      </c>
      <c r="T199" s="32" t="n">
        <v>12.5</v>
      </c>
      <c r="U199" s="32" t="n">
        <v>42.37</v>
      </c>
      <c r="V199" s="32" t="n">
        <v>26.55</v>
      </c>
      <c r="W199" s="32" t="n">
        <v>11.04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Yes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Yes</t>
        </is>
      </c>
      <c r="AQ199" s="31">
        <f>IF(AP199="Yes",10,0)</f>
        <v/>
      </c>
      <c r="AR199" s="31" t="inlineStr">
        <is>
          <t>Higher Annuity, Lower One Time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Blue sky scenario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Less than 12%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Between 50% to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IF(B200=0,"",RANK(B200,$B$2:$B$379,0))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3" t="inlineStr">
        <is>
          <t>VSTIND</t>
        </is>
      </c>
      <c r="D200" s="33" t="inlineStr">
        <is>
          <t>Vst Industries Limited</t>
        </is>
      </c>
      <c r="E200" s="31" t="inlineStr">
        <is>
          <t>fmcg</t>
        </is>
      </c>
      <c r="F200" s="31" t="inlineStr">
        <is>
          <t>cigarettes</t>
        </is>
      </c>
      <c r="G200" s="31" t="inlineStr">
        <is>
          <t>smallcap</t>
        </is>
      </c>
      <c r="H200" s="32" t="n">
        <v>4421.49</v>
      </c>
      <c r="I200" s="32" t="n">
        <v>260.3</v>
      </c>
      <c r="J200" s="32" t="n">
        <v>0</v>
      </c>
      <c r="K200" s="32" t="n">
        <v>277046</v>
      </c>
      <c r="L200" s="31" t="n">
        <v>5</v>
      </c>
      <c r="M200" s="31" t="inlineStr">
        <is>
          <t>Underperforming</t>
        </is>
      </c>
      <c r="N200" s="32">
        <f>IF(M200="Underperforming",-5,IF(L200&gt;=95,15,IF(L200&gt;=90,10,IF(L200&gt;=80,5,0))))</f>
        <v/>
      </c>
      <c r="O200" s="32" t="n">
        <v>56.96</v>
      </c>
      <c r="P200" s="32" t="n">
        <v>23.19</v>
      </c>
      <c r="Q200" s="32" t="n">
        <v>225.32</v>
      </c>
      <c r="R200" s="31" t="inlineStr">
        <is>
          <t>Earnings / Momentum Support</t>
        </is>
      </c>
      <c r="S200" s="31" t="inlineStr">
        <is>
          <t>Nifty FMCG</t>
        </is>
      </c>
      <c r="T200" s="32" t="n">
        <v>-9</v>
      </c>
      <c r="U200" s="32" t="n">
        <v>-10.06</v>
      </c>
      <c r="V200" s="32" t="n">
        <v>-1.15</v>
      </c>
      <c r="W200" s="32" t="n">
        <v>2.69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B2C</t>
        </is>
      </c>
      <c r="AO200" s="31">
        <f>IF(AN200="B2C",10,IF(AN200="B2B",5,0))</f>
        <v/>
      </c>
      <c r="AP200" s="31" t="inlineStr">
        <is>
          <t>No</t>
        </is>
      </c>
      <c r="AQ200" s="31">
        <f>IF(AP200="Yes",10,0)</f>
        <v/>
      </c>
      <c r="AR200" s="31" t="inlineStr">
        <is>
          <t>Higher Annuity, Lower One Time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More than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Less than 50%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IF(B201=0,"",RANK(B201,$B$2:$B$379,0))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3" t="inlineStr">
        <is>
          <t>ZIMLAB</t>
        </is>
      </c>
      <c r="D201" s="33" t="inlineStr">
        <is>
          <t>Zim Laboratories Ltd</t>
        </is>
      </c>
      <c r="E201" s="31" t="inlineStr">
        <is>
          <t>healthcare</t>
        </is>
      </c>
      <c r="F201" s="31" t="inlineStr">
        <is>
          <t>pharmaceuticals - indian - bulk drugs &amp; formln</t>
        </is>
      </c>
      <c r="G201" s="31" t="inlineStr">
        <is>
          <t>smallcap</t>
        </is>
      </c>
      <c r="H201" s="32" t="n">
        <v>663.4</v>
      </c>
      <c r="I201" s="32" t="n">
        <v>122.5</v>
      </c>
      <c r="J201" s="32" t="n">
        <v>-1.21</v>
      </c>
      <c r="K201" s="32" t="n">
        <v>11917</v>
      </c>
      <c r="L201" s="31" t="n">
        <v>80</v>
      </c>
      <c r="M201" s="31" t="inlineStr">
        <is>
          <t>Underperforming</t>
        </is>
      </c>
      <c r="N201" s="32">
        <f>IF(M201="Underperforming",-5,IF(L201&gt;=95,15,IF(L201&gt;=90,10,IF(L201&gt;=80,5,0))))</f>
        <v/>
      </c>
      <c r="O201" s="32" t="n">
        <v>76.89</v>
      </c>
      <c r="P201" s="32" t="n">
        <v>56.46</v>
      </c>
      <c r="Q201" s="32" t="n">
        <v>91.84999999999999</v>
      </c>
      <c r="R201" s="31" t="inlineStr">
        <is>
          <t>Near 52W High Breakout</t>
        </is>
      </c>
      <c r="S201" s="31" t="inlineStr">
        <is>
          <t>Nifty Pharma</t>
        </is>
      </c>
      <c r="T201" s="32" t="n">
        <v>12.5</v>
      </c>
      <c r="U201" s="32" t="n">
        <v>10.47</v>
      </c>
      <c r="V201" s="32" t="n">
        <v>-1.8</v>
      </c>
      <c r="W201" s="32" t="n">
        <v>24.38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Yes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Higher Annuity, Lower One Time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Above 40</t>
        </is>
      </c>
      <c r="AY201" s="31">
        <f>IF(AX201="Above 40",20,IF(AX201="20 to 40",10,IF(AX201="0 to 20",-5,0)))</f>
        <v/>
      </c>
      <c r="AZ201" s="31" t="inlineStr">
        <is>
          <t>Above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Blue sky scenario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Less than 12%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Yes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IF(B202=0,"",RANK(B202,$B$2:$B$379,0))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3" t="inlineStr">
        <is>
          <t>MANKIND</t>
        </is>
      </c>
      <c r="D202" s="33" t="inlineStr">
        <is>
          <t>Mankind Pharma Ltd</t>
        </is>
      </c>
      <c r="E202" s="31" t="inlineStr">
        <is>
          <t>healthcare</t>
        </is>
      </c>
      <c r="F202" s="31" t="inlineStr">
        <is>
          <t>pharmaceuticals - indian - bulk drugs &amp; formln</t>
        </is>
      </c>
      <c r="G202" s="31" t="inlineStr">
        <is>
          <t>largecap</t>
        </is>
      </c>
      <c r="H202" s="32" t="n">
        <v>105089.58</v>
      </c>
      <c r="I202" s="32" t="n">
        <v>2490.3</v>
      </c>
      <c r="J202" s="32" t="n">
        <v>-2.17</v>
      </c>
      <c r="K202" s="32" t="n">
        <v>211335</v>
      </c>
      <c r="L202" s="31" t="n">
        <v>18</v>
      </c>
      <c r="M202" s="31" t="inlineStr">
        <is>
          <t>Underperforming</t>
        </is>
      </c>
      <c r="N202" s="32">
        <f>IF(M202="Underperforming",-5,IF(L202&gt;=95,15,IF(L202&gt;=90,10,IF(L202&gt;=80,5,0))))</f>
        <v/>
      </c>
      <c r="O202" s="32" t="n">
        <v>61.85</v>
      </c>
      <c r="P202" s="32" t="n">
        <v>23.16</v>
      </c>
      <c r="Q202" s="32" t="n">
        <v>2084.7</v>
      </c>
      <c r="R202" s="31" t="inlineStr">
        <is>
          <t>Earnings / Momentum Support</t>
        </is>
      </c>
      <c r="S202" s="31" t="inlineStr">
        <is>
          <t>Nifty Pharma</t>
        </is>
      </c>
      <c r="T202" s="32" t="n">
        <v>12.5</v>
      </c>
      <c r="U202" s="32" t="n">
        <v>2.12</v>
      </c>
      <c r="V202" s="32" t="n">
        <v>-9.220000000000001</v>
      </c>
      <c r="W202" s="32" t="n">
        <v>6.06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Yes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No</t>
        </is>
      </c>
      <c r="AQ202" s="31">
        <f>IF(AP202="Yes",10,0)</f>
        <v/>
      </c>
      <c r="AR202" s="31" t="inlineStr">
        <is>
          <t>Higher Annuity, Lower One Time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Yes</t>
        </is>
      </c>
      <c r="BS202" s="31">
        <f>IF(BR202="NO",5,0)</f>
        <v/>
      </c>
      <c r="BT202" s="31" t="inlineStr">
        <is>
          <t>Between 1.5 to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IF(B203=0,"",RANK(B203,$B$2:$B$379,0))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3" t="inlineStr">
        <is>
          <t>SUVEN</t>
        </is>
      </c>
      <c r="D203" s="33" t="inlineStr">
        <is>
          <t>Suven Life Sciences Limited</t>
        </is>
      </c>
      <c r="E203" s="31" t="inlineStr">
        <is>
          <t>healthcare</t>
        </is>
      </c>
      <c r="F203" s="31" t="inlineStr">
        <is>
          <t>miscellaneous</t>
        </is>
      </c>
      <c r="G203" s="31" t="inlineStr">
        <is>
          <t>midcap</t>
        </is>
      </c>
      <c r="H203" s="32" t="n">
        <v>7401.32</v>
      </c>
      <c r="I203" s="32" t="n">
        <v>273.85</v>
      </c>
      <c r="J203" s="32" t="n">
        <v>-2.42</v>
      </c>
      <c r="K203" s="32" t="n">
        <v>474055</v>
      </c>
      <c r="L203" s="31" t="n">
        <v>72</v>
      </c>
      <c r="M203" s="31" t="inlineStr">
        <is>
          <t>Underperforming</t>
        </is>
      </c>
      <c r="N203" s="32">
        <f>IF(M203="Underperforming",-5,IF(L203&gt;=95,15,IF(L203&gt;=90,10,IF(L203&gt;=80,5,0))))</f>
        <v/>
      </c>
      <c r="O203" s="32" t="n">
        <v>67.11</v>
      </c>
      <c r="P203" s="32" t="n">
        <v>38.11</v>
      </c>
      <c r="Q203" s="32" t="n">
        <v>195.35</v>
      </c>
      <c r="R203" s="31" t="inlineStr">
        <is>
          <t>Earnings / Momentum Support</t>
        </is>
      </c>
      <c r="S203" s="31" t="inlineStr">
        <is>
          <t>Nifty Pharma</t>
        </is>
      </c>
      <c r="T203" s="32" t="n">
        <v>12.5</v>
      </c>
      <c r="U203" s="32" t="n">
        <v>7.35</v>
      </c>
      <c r="V203" s="32" t="n">
        <v>-4.58</v>
      </c>
      <c r="W203" s="32" t="n">
        <v>20.67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Yes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Annuity, Lower One Time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IF(B204=0,"",RANK(B204,$B$2:$B$379,0))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GUFICBIO</t>
        </is>
      </c>
      <c r="D204" s="31" t="inlineStr">
        <is>
          <t>Gufic Biosciences Limited</t>
        </is>
      </c>
      <c r="E204" s="31" t="inlineStr">
        <is>
          <t>healthcare</t>
        </is>
      </c>
      <c r="F204" s="31" t="inlineStr">
        <is>
          <t>pharmaceuticals - indian - bulk drugs &amp; formln</t>
        </is>
      </c>
      <c r="G204" s="31" t="inlineStr">
        <is>
          <t>smallcap</t>
        </is>
      </c>
      <c r="H204" s="32" t="n">
        <v>4082</v>
      </c>
      <c r="I204" s="32" t="n">
        <v>394.35</v>
      </c>
      <c r="J204" s="32" t="n">
        <v>-3.12</v>
      </c>
      <c r="K204" s="32" t="n">
        <v>479905</v>
      </c>
      <c r="L204" s="31" t="n">
        <v>42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67.61</v>
      </c>
      <c r="P204" s="32" t="n">
        <v>28.1</v>
      </c>
      <c r="Q204" s="32" t="n">
        <v>297.77</v>
      </c>
      <c r="R204" s="31" t="inlineStr">
        <is>
          <t>Volume Spike &amp; Near 52W High Breakout</t>
        </is>
      </c>
      <c r="S204" s="31" t="inlineStr">
        <is>
          <t>Nifty Pharma</t>
        </is>
      </c>
      <c r="T204" s="32" t="n">
        <v>12.5</v>
      </c>
      <c r="U204" s="32" t="n">
        <v>14.15</v>
      </c>
      <c r="V204" s="32" t="n">
        <v>1.47</v>
      </c>
      <c r="W204" s="32" t="n">
        <v>11.34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Yes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Annuity, Lower One Time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Less than 50%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IF(B205=0,"",RANK(B205,$B$2:$B$379,0))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YASHO</t>
        </is>
      </c>
      <c r="D205" s="31" t="inlineStr">
        <is>
          <t>Yasho Industries Ltd</t>
        </is>
      </c>
      <c r="E205" s="31" t="inlineStr">
        <is>
          <t>chemicals</t>
        </is>
      </c>
      <c r="F205" s="31" t="inlineStr">
        <is>
          <t>chemicals</t>
        </is>
      </c>
      <c r="G205" s="31" t="inlineStr">
        <is>
          <t>smallcap</t>
        </is>
      </c>
      <c r="H205" s="32" t="n">
        <v>3525.37</v>
      </c>
      <c r="I205" s="32" t="n">
        <v>3064.7</v>
      </c>
      <c r="J205" s="32" t="n">
        <v>4.82</v>
      </c>
      <c r="K205" s="32" t="n">
        <v>44984</v>
      </c>
      <c r="L205" s="31" t="n">
        <v>92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85.09</v>
      </c>
      <c r="P205" s="32" t="n">
        <v>36.42</v>
      </c>
      <c r="Q205" s="32" t="n">
        <v>2318.31</v>
      </c>
      <c r="R205" s="31" t="inlineStr">
        <is>
          <t>Near 52W High Breakout</t>
        </is>
      </c>
      <c r="S205" s="31" t="inlineStr">
        <is>
          <t>Nifty 50</t>
        </is>
      </c>
      <c r="T205" s="32" t="n">
        <v>-5.72</v>
      </c>
      <c r="U205" s="32" t="n">
        <v>45.45</v>
      </c>
      <c r="V205" s="32" t="n">
        <v>54.26</v>
      </c>
      <c r="W205" s="32" t="n">
        <v>40.19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Above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Blue sky scenario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More than 1.2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IF(B206=0,"",RANK(B206,$B$2:$B$379,0))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MGEL</t>
        </is>
      </c>
      <c r="D206" s="31" t="inlineStr">
        <is>
          <t>Mangalam Global Enterprise Ltd</t>
        </is>
      </c>
      <c r="E206" s="31" t="inlineStr">
        <is>
          <t>services</t>
        </is>
      </c>
      <c r="F206" s="31" t="inlineStr">
        <is>
          <t>trading</t>
        </is>
      </c>
      <c r="G206" s="31" t="inlineStr">
        <is>
          <t>smallcap</t>
        </is>
      </c>
      <c r="H206" s="32" t="n">
        <v>524.3200000000001</v>
      </c>
      <c r="I206" s="32" t="n">
        <v>16.52</v>
      </c>
      <c r="J206" s="32" t="n">
        <v>3.83</v>
      </c>
      <c r="K206" s="32" t="n">
        <v>387589</v>
      </c>
      <c r="L206" s="31" t="n">
        <v>54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64.88</v>
      </c>
      <c r="P206" s="32" t="n">
        <v>32.71</v>
      </c>
      <c r="Q206" s="32" t="n">
        <v>11.85</v>
      </c>
      <c r="R206" s="31" t="inlineStr">
        <is>
          <t>Earnings / Momentum Support</t>
        </is>
      </c>
      <c r="S206" s="31" t="inlineStr">
        <is>
          <t>Nifty 50</t>
        </is>
      </c>
      <c r="T206" s="32" t="n">
        <v>-5.72</v>
      </c>
      <c r="U206" s="32" t="n">
        <v>9.25</v>
      </c>
      <c r="V206" s="32" t="n">
        <v>15.87</v>
      </c>
      <c r="W206" s="32" t="n">
        <v>14.47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No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Between 0.7 to 1.2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IF(B207=0,"",RANK(B207,$B$2:$B$379,0))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RML</t>
        </is>
      </c>
      <c r="D207" s="31" t="inlineStr">
        <is>
          <t>Rane (madras) Limited</t>
        </is>
      </c>
      <c r="E207" s="31" t="inlineStr">
        <is>
          <t>auto</t>
        </is>
      </c>
      <c r="F207" s="31" t="inlineStr">
        <is>
          <t>auto ancillaries</t>
        </is>
      </c>
      <c r="G207" s="31" t="inlineStr">
        <is>
          <t>smallcap</t>
        </is>
      </c>
      <c r="H207" s="32" t="n">
        <v>3194.44</v>
      </c>
      <c r="I207" s="32" t="n">
        <v>1199</v>
      </c>
      <c r="J207" s="32" t="n">
        <v>3.73</v>
      </c>
      <c r="K207" s="32" t="n">
        <v>369813</v>
      </c>
      <c r="L207" s="31" t="n">
        <v>82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71.93000000000001</v>
      </c>
      <c r="P207" s="32" t="n">
        <v>29.38</v>
      </c>
      <c r="Q207" s="32" t="n">
        <v>924.6799999999999</v>
      </c>
      <c r="R207" s="31" t="inlineStr">
        <is>
          <t>Near 52W High Breakout</t>
        </is>
      </c>
      <c r="S207" s="31" t="inlineStr">
        <is>
          <t>Nifty Auto</t>
        </is>
      </c>
      <c r="T207" s="32" t="n">
        <v>11.69</v>
      </c>
      <c r="U207" s="32" t="n">
        <v>33.1</v>
      </c>
      <c r="V207" s="32" t="n">
        <v>19.17</v>
      </c>
      <c r="W207" s="32" t="n">
        <v>26.26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Less than 12%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Between 50% to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Between 0.7 to 1.2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IF(B208=0,"",RANK(B208,$B$2:$B$379,0))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3" t="inlineStr">
        <is>
          <t>QUADFUTURE</t>
        </is>
      </c>
      <c r="D208" s="33" t="inlineStr">
        <is>
          <t>Quadrant Future Tek Ltd</t>
        </is>
      </c>
      <c r="E208" s="31" t="inlineStr">
        <is>
          <t>industrials</t>
        </is>
      </c>
      <c r="F208" s="31" t="inlineStr">
        <is>
          <t>cables - power</t>
        </is>
      </c>
      <c r="G208" s="31" t="inlineStr">
        <is>
          <t>smallcap</t>
        </is>
      </c>
      <c r="H208" s="32" t="n">
        <v>1730.2</v>
      </c>
      <c r="I208" s="32" t="n">
        <v>442.25</v>
      </c>
      <c r="J208" s="32" t="n">
        <v>2.24</v>
      </c>
      <c r="K208" s="32" t="n">
        <v>605427</v>
      </c>
      <c r="L208" s="31" t="n">
        <v>49</v>
      </c>
      <c r="M208" s="31" t="inlineStr">
        <is>
          <t>Underperforming</t>
        </is>
      </c>
      <c r="N208" s="32">
        <f>IF(M208="Underperforming",-5,IF(L208&gt;=95,15,IF(L208&gt;=90,10,IF(L208&gt;=80,5,0))))</f>
        <v/>
      </c>
      <c r="O208" s="32" t="n">
        <v>68.95999999999999</v>
      </c>
      <c r="P208" s="32" t="n">
        <v>23.38</v>
      </c>
      <c r="Q208" s="32" t="n">
        <v>322.12</v>
      </c>
      <c r="R208" s="31" t="inlineStr">
        <is>
          <t>Earnings / Momentum Support</t>
        </is>
      </c>
      <c r="S208" s="31" t="inlineStr">
        <is>
          <t>Nifty Energy</t>
        </is>
      </c>
      <c r="T208" s="32" t="n">
        <v>8.92</v>
      </c>
      <c r="U208" s="32" t="n">
        <v>-6.19</v>
      </c>
      <c r="V208" s="32" t="n">
        <v>-13.87</v>
      </c>
      <c r="W208" s="32" t="n">
        <v>12.58</v>
      </c>
      <c r="X208" s="31" t="inlineStr">
        <is>
          <t>Cyclical in an Upturn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Less than 12%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No</t>
        </is>
      </c>
      <c r="BS208" s="31">
        <f>IF(BR208="NO",5,0)</f>
        <v/>
      </c>
      <c r="BT208" s="31" t="inlineStr">
        <is>
          <t>Less than 1.5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IF(B209=0,"",RANK(B209,$B$2:$B$379,0))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3" t="inlineStr">
        <is>
          <t>KKCL</t>
        </is>
      </c>
      <c r="D209" s="33" t="inlineStr">
        <is>
          <t>Kewal Kiran Clothing Limited</t>
        </is>
      </c>
      <c r="E209" s="31" t="inlineStr">
        <is>
          <t>consumer discretionary</t>
        </is>
      </c>
      <c r="F209" s="31" t="inlineStr">
        <is>
          <t>textiles - products</t>
        </is>
      </c>
      <c r="G209" s="31" t="inlineStr">
        <is>
          <t>smallcap</t>
        </is>
      </c>
      <c r="H209" s="32" t="n">
        <v>3061.23</v>
      </c>
      <c r="I209" s="32" t="n">
        <v>503.65</v>
      </c>
      <c r="J209" s="32" t="n">
        <v>1.39</v>
      </c>
      <c r="K209" s="32" t="n">
        <v>49292</v>
      </c>
      <c r="L209" s="31" t="n">
        <v>2</v>
      </c>
      <c r="M209" s="31" t="inlineStr">
        <is>
          <t>Underperforming</t>
        </is>
      </c>
      <c r="N209" s="32">
        <f>IF(M209="Underperforming",-5,IF(L209&gt;=95,15,IF(L209&gt;=90,10,IF(L209&gt;=80,5,0))))</f>
        <v/>
      </c>
      <c r="O209" s="32" t="n">
        <v>57.06</v>
      </c>
      <c r="P209" s="32" t="n">
        <v>11.32</v>
      </c>
      <c r="Q209" s="32" t="n">
        <v>405.77</v>
      </c>
      <c r="R209" s="31" t="inlineStr">
        <is>
          <t>Earnings / Momentum Support</t>
        </is>
      </c>
      <c r="S209" s="31" t="inlineStr">
        <is>
          <t>Nifty 50</t>
        </is>
      </c>
      <c r="T209" s="32" t="n">
        <v>-5.72</v>
      </c>
      <c r="U209" s="32" t="n">
        <v>-12.25</v>
      </c>
      <c r="V209" s="32" t="n">
        <v>-6.93</v>
      </c>
      <c r="W209" s="32" t="n">
        <v>0.73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0 to 20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Less than 1.5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IF(B210=0,"",RANK(B210,$B$2:$B$379,0))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IDEA</t>
        </is>
      </c>
      <c r="D210" s="31" t="inlineStr">
        <is>
          <t>Vodafone Idea Ltd</t>
        </is>
      </c>
      <c r="E210" s="31" t="inlineStr">
        <is>
          <t>telecom-service</t>
        </is>
      </c>
      <c r="F210" s="31" t="inlineStr">
        <is>
          <t>telecommunications - service provider</t>
        </is>
      </c>
      <c r="G210" s="31" t="inlineStr">
        <is>
          <t>largecap</t>
        </is>
      </c>
      <c r="H210" s="32" t="n">
        <v>156664.03</v>
      </c>
      <c r="I210" s="32" t="n">
        <v>14.64</v>
      </c>
      <c r="J210" s="32" t="n">
        <v>1.24</v>
      </c>
      <c r="K210" s="32" t="n">
        <v>423814945</v>
      </c>
      <c r="L210" s="31" t="n">
        <v>89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68.98</v>
      </c>
      <c r="P210" s="32" t="n">
        <v>31.86</v>
      </c>
      <c r="Q210" s="32" t="n">
        <v>11.73</v>
      </c>
      <c r="R210" s="31" t="inlineStr">
        <is>
          <t>Near 52W High Breakout</t>
        </is>
      </c>
      <c r="S210" s="31" t="inlineStr">
        <is>
          <t>Nifty 50</t>
        </is>
      </c>
      <c r="T210" s="32" t="n">
        <v>-5.72</v>
      </c>
      <c r="U210" s="32" t="n">
        <v>98.91</v>
      </c>
      <c r="V210" s="32" t="n">
        <v>110.97</v>
      </c>
      <c r="W210" s="32" t="n">
        <v>33.5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Oligopoly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Yes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Negative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No</t>
        </is>
      </c>
      <c r="BS210" s="31">
        <f>IF(BR210="NO",5,0)</f>
        <v/>
      </c>
      <c r="BT210" s="31" t="inlineStr">
        <is>
          <t>Less than 1.5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IF(B211=0,"",RANK(B211,$B$2:$B$379,0))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3" t="inlineStr">
        <is>
          <t>NELCO</t>
        </is>
      </c>
      <c r="D211" s="33" t="inlineStr">
        <is>
          <t>Nelco Limited</t>
        </is>
      </c>
      <c r="E211" s="31" t="inlineStr">
        <is>
          <t>telecom</t>
        </is>
      </c>
      <c r="F211" s="31" t="inlineStr">
        <is>
          <t>telecommunications - service provider</t>
        </is>
      </c>
      <c r="G211" s="31" t="inlineStr">
        <is>
          <t>smallcap</t>
        </is>
      </c>
      <c r="H211" s="32" t="n">
        <v>2121.65</v>
      </c>
      <c r="I211" s="32" t="n">
        <v>941.15</v>
      </c>
      <c r="J211" s="32" t="n">
        <v>1.22</v>
      </c>
      <c r="K211" s="32" t="n">
        <v>352598</v>
      </c>
      <c r="L211" s="31" t="n">
        <v>62</v>
      </c>
      <c r="M211" s="31" t="inlineStr">
        <is>
          <t>Underperforming</t>
        </is>
      </c>
      <c r="N211" s="32">
        <f>IF(M211="Underperforming",-5,IF(L211&gt;=95,15,IF(L211&gt;=90,10,IF(L211&gt;=80,5,0))))</f>
        <v/>
      </c>
      <c r="O211" s="32" t="n">
        <v>67.08</v>
      </c>
      <c r="P211" s="32" t="n">
        <v>20.39</v>
      </c>
      <c r="Q211" s="32" t="n">
        <v>692.92</v>
      </c>
      <c r="R211" s="31" t="inlineStr">
        <is>
          <t>Near 52W High Breakout</t>
        </is>
      </c>
      <c r="S211" s="31" t="inlineStr">
        <is>
          <t>Nifty 50</t>
        </is>
      </c>
      <c r="T211" s="32" t="n">
        <v>-5.72</v>
      </c>
      <c r="U211" s="32" t="n">
        <v>-5.91</v>
      </c>
      <c r="V211" s="32" t="n">
        <v>-0.2</v>
      </c>
      <c r="W211" s="32" t="n">
        <v>16.82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Oligopoly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Yes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20 to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Yes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Between 50% to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IF(B212=0,"",RANK(B212,$B$2:$B$379,0))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DLINKINDIA</t>
        </is>
      </c>
      <c r="D212" s="31" t="inlineStr">
        <is>
          <t>D-link (india) Limited</t>
        </is>
      </c>
      <c r="E212" s="31" t="inlineStr">
        <is>
          <t>services</t>
        </is>
      </c>
      <c r="F212" s="31" t="inlineStr">
        <is>
          <t>trading</t>
        </is>
      </c>
      <c r="G212" s="31" t="inlineStr">
        <is>
          <t>smallcap</t>
        </is>
      </c>
      <c r="H212" s="32" t="n">
        <v>1827.26</v>
      </c>
      <c r="I212" s="32" t="n">
        <v>517.5</v>
      </c>
      <c r="J212" s="32" t="n">
        <v>0.55</v>
      </c>
      <c r="K212" s="32" t="n">
        <v>128594</v>
      </c>
      <c r="L212" s="31" t="n">
        <v>17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66.59</v>
      </c>
      <c r="P212" s="32" t="n">
        <v>35.34</v>
      </c>
      <c r="Q212" s="32" t="n">
        <v>433.96</v>
      </c>
      <c r="R212" s="31" t="inlineStr">
        <is>
          <t>Near 52W High Breakout</t>
        </is>
      </c>
      <c r="S212" s="31" t="inlineStr">
        <is>
          <t>Nifty 50</t>
        </is>
      </c>
      <c r="T212" s="32" t="n">
        <v>-5.72</v>
      </c>
      <c r="U212" s="32" t="n">
        <v>-5.53</v>
      </c>
      <c r="V212" s="32" t="n">
        <v>0.2</v>
      </c>
      <c r="W212" s="32" t="n">
        <v>5.79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Less than 12%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Less than 50%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IF(B213=0,"",RANK(B213,$B$2:$B$379,0))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SHREEPUSHK</t>
        </is>
      </c>
      <c r="D213" s="31" t="inlineStr">
        <is>
          <t>Shree Pushkar Chemicals &amp; Fertilisers Limited</t>
        </is>
      </c>
      <c r="E213" s="31" t="inlineStr">
        <is>
          <t>chemicals</t>
        </is>
      </c>
      <c r="F213" s="31" t="inlineStr">
        <is>
          <t>dyes and pigments</t>
        </is>
      </c>
      <c r="G213" s="31" t="inlineStr">
        <is>
          <t>smallcap</t>
        </is>
      </c>
      <c r="H213" s="32" t="n">
        <v>1317.76</v>
      </c>
      <c r="I213" s="32" t="n">
        <v>407.3</v>
      </c>
      <c r="J213" s="32" t="n">
        <v>-0.05</v>
      </c>
      <c r="K213" s="32" t="n">
        <v>25314</v>
      </c>
      <c r="L213" s="31" t="n">
        <v>45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60</v>
      </c>
      <c r="P213" s="32" t="n">
        <v>30.08</v>
      </c>
      <c r="Q213" s="32" t="n">
        <v>297.37</v>
      </c>
      <c r="R213" s="31" t="inlineStr">
        <is>
          <t>Earnings / Momentum Support</t>
        </is>
      </c>
      <c r="S213" s="31" t="inlineStr">
        <is>
          <t>Nifty 50</t>
        </is>
      </c>
      <c r="T213" s="32" t="n">
        <v>-5.72</v>
      </c>
      <c r="U213" s="32" t="n">
        <v>19.85</v>
      </c>
      <c r="V213" s="32" t="n">
        <v>27.11</v>
      </c>
      <c r="W213" s="32" t="n">
        <v>11.83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20 to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Less than 12%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IF(B214=0,"",RANK(B214,$B$2:$B$379,0))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3" t="inlineStr">
        <is>
          <t>JSWDULUX</t>
        </is>
      </c>
      <c r="D214" s="33" t="inlineStr">
        <is>
          <t>JSW Dulux Ltd</t>
        </is>
      </c>
      <c r="E214" s="31" t="inlineStr">
        <is>
          <t>building materials</t>
        </is>
      </c>
      <c r="F214" s="31" t="inlineStr">
        <is>
          <t>paints / varnishes</t>
        </is>
      </c>
      <c r="G214" s="31" t="inlineStr">
        <is>
          <t>midcap</t>
        </is>
      </c>
      <c r="H214" s="32" t="n">
        <v>14700.87</v>
      </c>
      <c r="I214" s="32" t="n">
        <v>3224</v>
      </c>
      <c r="J214" s="32" t="n">
        <v>-0.13</v>
      </c>
      <c r="K214" s="32" t="n">
        <v>54805</v>
      </c>
      <c r="L214" s="31" t="n">
        <v>3</v>
      </c>
      <c r="M214" s="31" t="inlineStr">
        <is>
          <t>Underperforming</t>
        </is>
      </c>
      <c r="N214" s="32">
        <f>IF(M214="Underperforming",-5,IF(L214&gt;=95,15,IF(L214&gt;=90,10,IF(L214&gt;=80,5,0))))</f>
        <v/>
      </c>
      <c r="O214" s="32" t="n">
        <v>57.04</v>
      </c>
      <c r="P214" s="32" t="n">
        <v>16.98</v>
      </c>
      <c r="Q214" s="32" t="n">
        <v>2742.56</v>
      </c>
      <c r="R214" s="31" t="inlineStr">
        <is>
          <t>Earnings / Momentum Support</t>
        </is>
      </c>
      <c r="S214" s="31" t="inlineStr">
        <is>
          <t>Nifty Infra</t>
        </is>
      </c>
      <c r="T214" s="32" t="n">
        <v>0.09</v>
      </c>
      <c r="U214" s="32" t="n">
        <v>-1.37</v>
      </c>
      <c r="V214" s="32" t="n">
        <v>-1.45</v>
      </c>
      <c r="W214" s="32" t="n">
        <v>1.4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No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0 to 20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Less than 1.5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IF(B215=0,"",RANK(B215,$B$2:$B$379,0))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MACPOWER</t>
        </is>
      </c>
      <c r="D215" s="31" t="inlineStr">
        <is>
          <t>Macpower CNC Machines Ltd</t>
        </is>
      </c>
      <c r="E215" s="31" t="inlineStr">
        <is>
          <t>industrials</t>
        </is>
      </c>
      <c r="F215" s="31" t="inlineStr">
        <is>
          <t>engineering</t>
        </is>
      </c>
      <c r="G215" s="31" t="inlineStr">
        <is>
          <t>midcap</t>
        </is>
      </c>
      <c r="H215" s="32" t="n">
        <v>11266.33</v>
      </c>
      <c r="I215" s="32" t="n">
        <v>1343.9</v>
      </c>
      <c r="J215" s="32" t="n">
        <v>-0.22</v>
      </c>
      <c r="K215" s="32" t="n">
        <v>47018</v>
      </c>
      <c r="L215" s="31" t="n">
        <v>73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66.23999999999999</v>
      </c>
      <c r="P215" s="32" t="n">
        <v>24.28</v>
      </c>
      <c r="Q215" s="32" t="n">
        <v>929.3200000000001</v>
      </c>
      <c r="R215" s="31" t="inlineStr">
        <is>
          <t>Volume Spike &amp; Near 52W High Breakout</t>
        </is>
      </c>
      <c r="S215" s="31" t="inlineStr">
        <is>
          <t>Nifty 50</t>
        </is>
      </c>
      <c r="T215" s="32" t="n">
        <v>-5.72</v>
      </c>
      <c r="U215" s="32" t="n">
        <v>38.42</v>
      </c>
      <c r="V215" s="32" t="n">
        <v>46.81</v>
      </c>
      <c r="W215" s="32" t="n">
        <v>21.13</v>
      </c>
      <c r="X215" s="31" t="inlineStr">
        <is>
          <t>Cyclical in an Upturn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Between 12 to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No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Less than 50%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IF(B216=0,"",RANK(B216,$B$2:$B$379,0))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DIACABS</t>
        </is>
      </c>
      <c r="D216" s="31" t="inlineStr">
        <is>
          <t>Diamond Power Infrastructure Ltd</t>
        </is>
      </c>
      <c r="E216" s="31" t="inlineStr">
        <is>
          <t>industrials</t>
        </is>
      </c>
      <c r="F216" s="31" t="inlineStr">
        <is>
          <t>cables - power</t>
        </is>
      </c>
      <c r="G216" s="31" t="inlineStr">
        <is>
          <t>midcap</t>
        </is>
      </c>
      <c r="H216" s="32" t="n">
        <v>11031.61</v>
      </c>
      <c r="I216" s="32" t="n">
        <v>208.73</v>
      </c>
      <c r="J216" s="32" t="n">
        <v>-0.29</v>
      </c>
      <c r="K216" s="32" t="n">
        <v>1956053</v>
      </c>
      <c r="L216" s="31" t="n">
        <v>81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75.27</v>
      </c>
      <c r="P216" s="32" t="n">
        <v>42.35</v>
      </c>
      <c r="Q216" s="32" t="n">
        <v>158.15</v>
      </c>
      <c r="R216" s="31" t="inlineStr">
        <is>
          <t>Near 52W High Breakout</t>
        </is>
      </c>
      <c r="S216" s="31" t="inlineStr">
        <is>
          <t>Nifty Energy</t>
        </is>
      </c>
      <c r="T216" s="32" t="n">
        <v>8.92</v>
      </c>
      <c r="U216" s="32" t="n">
        <v>49.65</v>
      </c>
      <c r="V216" s="32" t="n">
        <v>37.4</v>
      </c>
      <c r="W216" s="32" t="n">
        <v>24.7</v>
      </c>
      <c r="X216" s="31" t="inlineStr">
        <is>
          <t>Cyclical in an Upturn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Above 40</t>
        </is>
      </c>
      <c r="AY216" s="31">
        <f>IF(AX216="Above 40",20,IF(AX216="20 to 40",10,IF(AX216="0 to 20",-5,0)))</f>
        <v/>
      </c>
      <c r="AZ216" s="31" t="inlineStr">
        <is>
          <t>Above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Blue sky scenario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Negative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IF(B217=0,"",RANK(B217,$B$2:$B$379,0))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3" t="inlineStr">
        <is>
          <t>JINDALSAW</t>
        </is>
      </c>
      <c r="D217" s="33" t="inlineStr">
        <is>
          <t>Jindal Saw Limited</t>
        </is>
      </c>
      <c r="E217" s="31" t="inlineStr">
        <is>
          <t>industrials</t>
        </is>
      </c>
      <c r="F217" s="31" t="inlineStr">
        <is>
          <t>steel - large</t>
        </is>
      </c>
      <c r="G217" s="31" t="inlineStr">
        <is>
          <t>midcap</t>
        </is>
      </c>
      <c r="H217" s="32" t="n">
        <v>16722.5</v>
      </c>
      <c r="I217" s="32" t="n">
        <v>260.25</v>
      </c>
      <c r="J217" s="32" t="n">
        <v>-0.47</v>
      </c>
      <c r="K217" s="32" t="n">
        <v>799115</v>
      </c>
      <c r="L217" s="31" t="n">
        <v>43</v>
      </c>
      <c r="M217" s="31" t="inlineStr">
        <is>
          <t>Underperforming</t>
        </is>
      </c>
      <c r="N217" s="32">
        <f>IF(M217="Underperforming",-5,IF(L217&gt;=95,15,IF(L217&gt;=90,10,IF(L217&gt;=80,5,0))))</f>
        <v/>
      </c>
      <c r="O217" s="32" t="n">
        <v>64.26000000000001</v>
      </c>
      <c r="P217" s="32" t="n">
        <v>34.28</v>
      </c>
      <c r="Q217" s="32" t="n">
        <v>197.7</v>
      </c>
      <c r="R217" s="31" t="inlineStr">
        <is>
          <t>Near 52W High Breakout</t>
        </is>
      </c>
      <c r="S217" s="31" t="inlineStr">
        <is>
          <t>Nifty Metal</t>
        </is>
      </c>
      <c r="T217" s="32" t="n">
        <v>29.38</v>
      </c>
      <c r="U217" s="32" t="n">
        <v>12.78</v>
      </c>
      <c r="V217" s="32" t="n">
        <v>-12.83</v>
      </c>
      <c r="W217" s="32" t="n">
        <v>11.52</v>
      </c>
      <c r="X217" s="31" t="inlineStr">
        <is>
          <t>Cyclical in an Upturn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Less than 12%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IF(B218=0,"",RANK(B218,$B$2:$B$379,0))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3" t="inlineStr">
        <is>
          <t>NH</t>
        </is>
      </c>
      <c r="D218" s="33" t="inlineStr">
        <is>
          <t>Narayana Hrudayalaya Ltd.</t>
        </is>
      </c>
      <c r="E218" s="31" t="inlineStr">
        <is>
          <t>healthcare</t>
        </is>
      </c>
      <c r="F218" s="31" t="inlineStr">
        <is>
          <t>healthcare</t>
        </is>
      </c>
      <c r="G218" s="31" t="inlineStr">
        <is>
          <t>largecap</t>
        </is>
      </c>
      <c r="H218" s="32" t="n">
        <v>40293.82</v>
      </c>
      <c r="I218" s="32" t="n">
        <v>1959.6</v>
      </c>
      <c r="J218" s="32" t="n">
        <v>-0.61</v>
      </c>
      <c r="K218" s="32" t="n">
        <v>216981</v>
      </c>
      <c r="L218" s="31" t="n">
        <v>12</v>
      </c>
      <c r="M218" s="31" t="inlineStr">
        <is>
          <t>Underperforming</t>
        </is>
      </c>
      <c r="N218" s="32">
        <f>IF(M218="Underperforming",-5,IF(L218&gt;=95,15,IF(L218&gt;=90,10,IF(L218&gt;=80,5,0))))</f>
        <v/>
      </c>
      <c r="O218" s="32" t="n">
        <v>59.71</v>
      </c>
      <c r="P218" s="32" t="n">
        <v>20.5</v>
      </c>
      <c r="Q218" s="32" t="n">
        <v>1628.7</v>
      </c>
      <c r="R218" s="31" t="inlineStr">
        <is>
          <t>Near 52W High Breakout</t>
        </is>
      </c>
      <c r="S218" s="31" t="inlineStr">
        <is>
          <t>Nifty Pharma</t>
        </is>
      </c>
      <c r="T218" s="32" t="n">
        <v>12.5</v>
      </c>
      <c r="U218" s="32" t="n">
        <v>-2.35</v>
      </c>
      <c r="V218" s="32" t="n">
        <v>-13.2</v>
      </c>
      <c r="W218" s="32" t="n">
        <v>4.54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Yes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Shallow Cyclical (2 to 3 Years Growth)</t>
        </is>
      </c>
      <c r="AG218" s="31">
        <f>IF(AF218="Structural (10 Years Consistency)",10,IF(AF218="Shallow Cyclical (2 to 3 years growth)",5,0))</f>
        <v/>
      </c>
      <c r="AH218" s="31" t="inlineStr">
        <is>
          <t>Yes due to Product Mix change or Operating Leverage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B2C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Between 12 to 20%</t>
        </is>
      </c>
      <c r="BO218" s="31">
        <f>IF(BN218="More than 20%",10,IF(BN218="Between 12 to 20%",5,IF(BN218="Less than 12%",0,0)))</f>
        <v/>
      </c>
      <c r="BP218" s="31" t="inlineStr">
        <is>
          <t>Yes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Less than 1.5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IF(B219=0,"",RANK(B219,$B$2:$B$379,0))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THERMAX</t>
        </is>
      </c>
      <c r="D219" s="31" t="inlineStr">
        <is>
          <t>Thermax Limited</t>
        </is>
      </c>
      <c r="E219" s="31" t="inlineStr">
        <is>
          <t>industrials</t>
        </is>
      </c>
      <c r="F219" s="31" t="inlineStr">
        <is>
          <t>electric equipment</t>
        </is>
      </c>
      <c r="G219" s="31" t="inlineStr">
        <is>
          <t>largecap</t>
        </is>
      </c>
      <c r="H219" s="32" t="n">
        <v>61478.69</v>
      </c>
      <c r="I219" s="32" t="n">
        <v>5120.5</v>
      </c>
      <c r="J219" s="32" t="n">
        <v>-0.76</v>
      </c>
      <c r="K219" s="32" t="n">
        <v>148232</v>
      </c>
      <c r="L219" s="31" t="n">
        <v>74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75.23</v>
      </c>
      <c r="P219" s="32" t="n">
        <v>48.03</v>
      </c>
      <c r="Q219" s="32" t="n">
        <v>4116</v>
      </c>
      <c r="R219" s="31" t="inlineStr">
        <is>
          <t>Near 52W High Breakout</t>
        </is>
      </c>
      <c r="S219" s="31" t="inlineStr">
        <is>
          <t>Nifty 500</t>
        </is>
      </c>
      <c r="T219" s="32" t="n">
        <v>-1.91</v>
      </c>
      <c r="U219" s="32" t="n">
        <v>48.65</v>
      </c>
      <c r="V219" s="32" t="n">
        <v>51.55</v>
      </c>
      <c r="W219" s="32" t="n">
        <v>21.42</v>
      </c>
      <c r="X219" s="31" t="inlineStr">
        <is>
          <t>Cyclical in an Upturn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Above 40</t>
        </is>
      </c>
      <c r="AY219" s="31">
        <f>IF(AX219="Above 40",20,IF(AX219="20 to 40",10,IF(AX219="0 to 20",-5,0)))</f>
        <v/>
      </c>
      <c r="AZ219" s="31" t="inlineStr">
        <is>
          <t>Above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Between 12 to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Yes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Between 50% to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IF(B220=0,"",RANK(B220,$B$2:$B$379,0))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3" t="inlineStr">
        <is>
          <t>BHAGCHEM</t>
        </is>
      </c>
      <c r="D220" s="33" t="inlineStr">
        <is>
          <t>Bhagiradha Chemicals &amp; Industries Ltd</t>
        </is>
      </c>
      <c r="E220" s="31" t="inlineStr">
        <is>
          <t>chemicals</t>
        </is>
      </c>
      <c r="F220" s="31" t="inlineStr">
        <is>
          <t>pesticides / agrochemicals - indian</t>
        </is>
      </c>
      <c r="G220" s="31" t="inlineStr">
        <is>
          <t>smallcap</t>
        </is>
      </c>
      <c r="H220" s="32" t="n">
        <v>3774.02</v>
      </c>
      <c r="I220" s="32" t="n">
        <v>288.7</v>
      </c>
      <c r="J220" s="32" t="n">
        <v>-0.8100000000000001</v>
      </c>
      <c r="K220" s="32" t="n">
        <v>85147</v>
      </c>
      <c r="L220" s="31" t="n">
        <v>37</v>
      </c>
      <c r="M220" s="31" t="inlineStr">
        <is>
          <t>Underperforming</t>
        </is>
      </c>
      <c r="N220" s="32">
        <f>IF(M220="Underperforming",-5,IF(L220&gt;=95,15,IF(L220&gt;=90,10,IF(L220&gt;=80,5,0))))</f>
        <v/>
      </c>
      <c r="O220" s="32" t="n">
        <v>67.31</v>
      </c>
      <c r="P220" s="32" t="n">
        <v>23.12</v>
      </c>
      <c r="Q220" s="32" t="n">
        <v>215.67</v>
      </c>
      <c r="R220" s="31" t="inlineStr">
        <is>
          <t>Near 52W High Breakout</t>
        </is>
      </c>
      <c r="S220" s="31" t="inlineStr">
        <is>
          <t>Nifty 50</t>
        </is>
      </c>
      <c r="T220" s="32" t="n">
        <v>-5.72</v>
      </c>
      <c r="U220" s="32" t="n">
        <v>-6.25</v>
      </c>
      <c r="V220" s="32" t="n">
        <v>-0.5600000000000001</v>
      </c>
      <c r="W220" s="32" t="n">
        <v>10.54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Yes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Less than 50%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IF(B221=0,"",RANK(B221,$B$2:$B$379,0))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CRAFTSMAN</t>
        </is>
      </c>
      <c r="D221" s="31" t="inlineStr">
        <is>
          <t>Craftsman Automation Ltd</t>
        </is>
      </c>
      <c r="E221" s="31" t="inlineStr">
        <is>
          <t>auto</t>
        </is>
      </c>
      <c r="F221" s="31" t="inlineStr">
        <is>
          <t>auto ancillaries</t>
        </is>
      </c>
      <c r="G221" s="31" t="inlineStr">
        <is>
          <t>largecap</t>
        </is>
      </c>
      <c r="H221" s="32" t="n">
        <v>24742.09</v>
      </c>
      <c r="I221" s="32" t="n">
        <v>9305</v>
      </c>
      <c r="J221" s="32" t="n">
        <v>-1.64</v>
      </c>
      <c r="K221" s="32" t="n">
        <v>25509</v>
      </c>
      <c r="L221" s="31" t="n">
        <v>67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63.37</v>
      </c>
      <c r="P221" s="32" t="n">
        <v>45.8</v>
      </c>
      <c r="Q221" s="32" t="n">
        <v>7818.09</v>
      </c>
      <c r="R221" s="31" t="inlineStr">
        <is>
          <t>Earnings / Momentum Support</t>
        </is>
      </c>
      <c r="S221" s="31" t="inlineStr">
        <is>
          <t>Nifty Auto</t>
        </is>
      </c>
      <c r="T221" s="32" t="n">
        <v>11.69</v>
      </c>
      <c r="U221" s="32" t="n">
        <v>57.76</v>
      </c>
      <c r="V221" s="32" t="n">
        <v>41.25</v>
      </c>
      <c r="W221" s="32" t="n">
        <v>18.4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Above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Less than 1.5</t>
        </is>
      </c>
      <c r="BU221" s="31">
        <f>IF(BT221="Above 2",0,IF(BT221="Between 1.5 to 2",5,IF(BT221="Less than 1.5",10,0)))</f>
        <v/>
      </c>
      <c r="BV221" s="31" t="inlineStr">
        <is>
          <t>Less than 50% and Borrowings are increasing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Between 0.7 to 1.2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IF(B222=0,"",RANK(B222,$B$2:$B$379,0))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INOXINDIA</t>
        </is>
      </c>
      <c r="D222" s="31" t="inlineStr">
        <is>
          <t>Inox India Ltd</t>
        </is>
      </c>
      <c r="E222" s="31" t="inlineStr">
        <is>
          <t>industrials</t>
        </is>
      </c>
      <c r="F222" s="31" t="inlineStr">
        <is>
          <t>packaging</t>
        </is>
      </c>
      <c r="G222" s="31" t="inlineStr">
        <is>
          <t>midcap</t>
        </is>
      </c>
      <c r="H222" s="32" t="n">
        <v>17775.12</v>
      </c>
      <c r="I222" s="32" t="n">
        <v>1905</v>
      </c>
      <c r="J222" s="32" t="n">
        <v>-2.73</v>
      </c>
      <c r="K222" s="32" t="n">
        <v>244636</v>
      </c>
      <c r="L222" s="31" t="n">
        <v>74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80.17</v>
      </c>
      <c r="P222" s="32" t="n">
        <v>62.9</v>
      </c>
      <c r="Q222" s="32" t="n">
        <v>1478.66</v>
      </c>
      <c r="R222" s="31" t="inlineStr">
        <is>
          <t>Near 52W High Breakout</t>
        </is>
      </c>
      <c r="S222" s="31" t="inlineStr">
        <is>
          <t>Nifty 50</t>
        </is>
      </c>
      <c r="T222" s="32" t="n">
        <v>-5.72</v>
      </c>
      <c r="U222" s="32" t="n">
        <v>51.65</v>
      </c>
      <c r="V222" s="32" t="n">
        <v>60.84</v>
      </c>
      <c r="W222" s="32" t="n">
        <v>21.32</v>
      </c>
      <c r="X222" s="31" t="inlineStr">
        <is>
          <t>Cyclical in an Upturn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Yes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Above 40</t>
        </is>
      </c>
      <c r="AY222" s="31">
        <f>IF(AX222="Above 40",20,IF(AX222="20 to 40",10,IF(AX222="0 to 20",-5,0)))</f>
        <v/>
      </c>
      <c r="AZ222" s="31" t="inlineStr">
        <is>
          <t>Above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Blue sky scenario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Between 12 to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Yes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Less than 50%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IF(B223=0,"",RANK(B223,$B$2:$B$379,0))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BOROSCI</t>
        </is>
      </c>
      <c r="D223" s="31" t="inlineStr">
        <is>
          <t>Borosil Scientific Ltd</t>
        </is>
      </c>
      <c r="E223" s="31" t="inlineStr">
        <is>
          <t>building materials</t>
        </is>
      </c>
      <c r="F223" s="31" t="inlineStr">
        <is>
          <t>glass &amp; glass products</t>
        </is>
      </c>
      <c r="G223" s="31" t="inlineStr">
        <is>
          <t>smallcap</t>
        </is>
      </c>
      <c r="H223" s="32" t="n">
        <v>1543.41</v>
      </c>
      <c r="I223" s="32" t="n">
        <v>168.58</v>
      </c>
      <c r="J223" s="32" t="n">
        <v>-2.85</v>
      </c>
      <c r="K223" s="32" t="n">
        <v>349146</v>
      </c>
      <c r="L223" s="31" t="n">
        <v>51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75.81</v>
      </c>
      <c r="P223" s="32" t="n">
        <v>31.05</v>
      </c>
      <c r="Q223" s="32" t="n">
        <v>129.62</v>
      </c>
      <c r="R223" s="31" t="inlineStr">
        <is>
          <t>Volume Spike / Accumulation</t>
        </is>
      </c>
      <c r="S223" s="31" t="inlineStr">
        <is>
          <t>Nifty Infra</t>
        </is>
      </c>
      <c r="T223" s="32" t="n">
        <v>0.09</v>
      </c>
      <c r="U223" s="32" t="n">
        <v>2.07</v>
      </c>
      <c r="V223" s="32" t="n">
        <v>1.98</v>
      </c>
      <c r="W223" s="32" t="n">
        <v>13.29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Above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Between 50% to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IF(B224=0,"",RANK(B224,$B$2:$B$379,0))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VIYASH</t>
        </is>
      </c>
      <c r="D224" s="31" t="inlineStr">
        <is>
          <t>Viyash Scientific Ltd</t>
        </is>
      </c>
      <c r="E224" s="31" t="inlineStr">
        <is>
          <t>healthcare</t>
        </is>
      </c>
      <c r="F224" s="31" t="inlineStr">
        <is>
          <t>pharmaceuticals - indian - bulk drugs &amp; formln</t>
        </is>
      </c>
      <c r="G224" s="31" t="inlineStr">
        <is>
          <t>midcap</t>
        </is>
      </c>
      <c r="H224" s="32" t="n">
        <v>12089.85</v>
      </c>
      <c r="I224" s="32" t="n">
        <v>288.2</v>
      </c>
      <c r="J224" s="32" t="n">
        <v>4.14</v>
      </c>
      <c r="K224" s="32" t="n">
        <v>5492486</v>
      </c>
      <c r="L224" s="31" t="n">
        <v>72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75.02</v>
      </c>
      <c r="P224" s="32" t="n">
        <v>38.19</v>
      </c>
      <c r="Q224" s="32" t="n">
        <v>223.31</v>
      </c>
      <c r="R224" s="31" t="inlineStr">
        <is>
          <t>Near 52W High Breakout</t>
        </is>
      </c>
      <c r="S224" s="31" t="inlineStr">
        <is>
          <t>Nifty Pharma</t>
        </is>
      </c>
      <c r="T224" s="32" t="n">
        <v>12.5</v>
      </c>
      <c r="U224" s="32" t="n">
        <v>52.99</v>
      </c>
      <c r="V224" s="32" t="n">
        <v>35.99</v>
      </c>
      <c r="W224" s="32" t="n">
        <v>20.62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Yes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Yes</t>
        </is>
      </c>
      <c r="AQ224" s="31">
        <f>IF(AP224="Yes",10,0)</f>
        <v/>
      </c>
      <c r="AR224" s="31" t="inlineStr">
        <is>
          <t>Higher Annuity, Lower One Time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Above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Blue sky scenario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Yes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Less than 50%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IF(B225=0,"",RANK(B225,$B$2:$B$379,0))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EIFFL</t>
        </is>
      </c>
      <c r="D225" s="31" t="inlineStr">
        <is>
          <t>Euro India Fresh Foods Ltd</t>
        </is>
      </c>
      <c r="E225" s="31" t="inlineStr">
        <is>
          <t>fmcg</t>
        </is>
      </c>
      <c r="F225" s="31" t="inlineStr">
        <is>
          <t>food - processing - indian</t>
        </is>
      </c>
      <c r="G225" s="31" t="inlineStr">
        <is>
          <t>smallcap</t>
        </is>
      </c>
      <c r="H225" s="32" t="n">
        <v>800.52</v>
      </c>
      <c r="I225" s="32" t="n">
        <v>330.15</v>
      </c>
      <c r="J225" s="32" t="n">
        <v>2.28</v>
      </c>
      <c r="K225" s="32" t="n">
        <v>14897</v>
      </c>
      <c r="L225" s="31" t="n">
        <v>64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70.66</v>
      </c>
      <c r="P225" s="32" t="n">
        <v>19.83</v>
      </c>
      <c r="Q225" s="32" t="n">
        <v>255.88</v>
      </c>
      <c r="R225" s="31" t="inlineStr">
        <is>
          <t>Near 52W High Breakout</t>
        </is>
      </c>
      <c r="S225" s="31" t="inlineStr">
        <is>
          <t>Nifty FMCG</t>
        </is>
      </c>
      <c r="T225" s="32" t="n">
        <v>-9</v>
      </c>
      <c r="U225" s="32" t="n">
        <v>31.14</v>
      </c>
      <c r="V225" s="32" t="n">
        <v>44.12</v>
      </c>
      <c r="W225" s="32" t="n">
        <v>17.11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B2C</t>
        </is>
      </c>
      <c r="AO225" s="31">
        <f>IF(AN225="B2C",10,IF(AN225="B2B",5,0))</f>
        <v/>
      </c>
      <c r="AP225" s="31" t="inlineStr">
        <is>
          <t>Yes</t>
        </is>
      </c>
      <c r="AQ225" s="31">
        <f>IF(AP225="Yes",10,0)</f>
        <v/>
      </c>
      <c r="AR225" s="31" t="inlineStr">
        <is>
          <t>Higher Annuity, Lower One Time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0 to 20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Blue sky scenario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More than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Yes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Between 50% to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Between 0.7 to 1.2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IF(B226=0,"",RANK(B226,$B$2:$B$379,0))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3" t="inlineStr">
        <is>
          <t>FDC</t>
        </is>
      </c>
      <c r="D226" s="33" t="inlineStr">
        <is>
          <t>Fdc Limited</t>
        </is>
      </c>
      <c r="E226" s="31" t="inlineStr">
        <is>
          <t>healthcare</t>
        </is>
      </c>
      <c r="F226" s="31" t="inlineStr">
        <is>
          <t>pharmaceuticals - indian - bulk drugs &amp; formln</t>
        </is>
      </c>
      <c r="G226" s="31" t="inlineStr">
        <is>
          <t>midcap</t>
        </is>
      </c>
      <c r="H226" s="32" t="n">
        <v>6900.71</v>
      </c>
      <c r="I226" s="32" t="n">
        <v>430.55</v>
      </c>
      <c r="J226" s="32" t="n">
        <v>1.58</v>
      </c>
      <c r="K226" s="32" t="n">
        <v>262214</v>
      </c>
      <c r="L226" s="31" t="n">
        <v>13</v>
      </c>
      <c r="M226" s="31" t="inlineStr">
        <is>
          <t>Underperforming</t>
        </is>
      </c>
      <c r="N226" s="32">
        <f>IF(M226="Underperforming",-5,IF(L226&gt;=95,15,IF(L226&gt;=90,10,IF(L226&gt;=80,5,0))))</f>
        <v/>
      </c>
      <c r="O226" s="32" t="n">
        <v>62.96</v>
      </c>
      <c r="P226" s="32" t="n">
        <v>22.74</v>
      </c>
      <c r="Q226" s="32" t="n">
        <v>344.47</v>
      </c>
      <c r="R226" s="31" t="inlineStr">
        <is>
          <t>Earnings / Momentum Support</t>
        </is>
      </c>
      <c r="S226" s="31" t="inlineStr">
        <is>
          <t>Nifty Pharma</t>
        </is>
      </c>
      <c r="T226" s="32" t="n">
        <v>12.5</v>
      </c>
      <c r="U226" s="32" t="n">
        <v>-10.9</v>
      </c>
      <c r="V226" s="32" t="n">
        <v>-20.8</v>
      </c>
      <c r="W226" s="32" t="n">
        <v>4.81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Yes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Annuity, Lower One Time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Between 50% to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IF(B227=0,"",RANK(B227,$B$2:$B$379,0))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VIJAYA</t>
        </is>
      </c>
      <c r="D227" s="31" t="inlineStr">
        <is>
          <t>Vijaya Diagnostic Centre Ltd</t>
        </is>
      </c>
      <c r="E227" s="31" t="inlineStr">
        <is>
          <t>healthcare</t>
        </is>
      </c>
      <c r="F227" s="31" t="inlineStr">
        <is>
          <t>healthcare</t>
        </is>
      </c>
      <c r="G227" s="31" t="inlineStr">
        <is>
          <t>midcap</t>
        </is>
      </c>
      <c r="H227" s="32" t="n">
        <v>13917.81</v>
      </c>
      <c r="I227" s="32" t="n">
        <v>1369.9</v>
      </c>
      <c r="J227" s="32" t="n">
        <v>1.28</v>
      </c>
      <c r="K227" s="32" t="n">
        <v>228246</v>
      </c>
      <c r="L227" s="31" t="n">
        <v>68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67.06999999999999</v>
      </c>
      <c r="P227" s="32" t="n">
        <v>40.29</v>
      </c>
      <c r="Q227" s="32" t="n">
        <v>1070.05</v>
      </c>
      <c r="R227" s="31" t="inlineStr">
        <is>
          <t>Volume Spike &amp; Near 52W High Breakout</t>
        </is>
      </c>
      <c r="S227" s="31" t="inlineStr">
        <is>
          <t>Nifty Pharma</t>
        </is>
      </c>
      <c r="T227" s="32" t="n">
        <v>12.5</v>
      </c>
      <c r="U227" s="32" t="n">
        <v>34.51</v>
      </c>
      <c r="V227" s="32" t="n">
        <v>19.56</v>
      </c>
      <c r="W227" s="32" t="n">
        <v>18.83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Yes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Annuity, Lower One Time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Above 40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Negative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Blue sky scenario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IF(B228=0,"",RANK(B228,$B$2:$B$379,0))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3" t="inlineStr">
        <is>
          <t>GPTHEALTH</t>
        </is>
      </c>
      <c r="D228" s="33" t="inlineStr">
        <is>
          <t>GPT Healthcare Ltd</t>
        </is>
      </c>
      <c r="E228" s="31" t="inlineStr">
        <is>
          <t>healthcare</t>
        </is>
      </c>
      <c r="F228" s="31" t="inlineStr">
        <is>
          <t>healthcare</t>
        </is>
      </c>
      <c r="G228" s="31" t="inlineStr">
        <is>
          <t>smallcap</t>
        </is>
      </c>
      <c r="H228" s="32" t="n">
        <v>1218.6</v>
      </c>
      <c r="I228" s="32" t="n">
        <v>150.06</v>
      </c>
      <c r="J228" s="32" t="n">
        <v>1.04</v>
      </c>
      <c r="K228" s="32" t="n">
        <v>212702</v>
      </c>
      <c r="L228" s="31" t="n">
        <v>13</v>
      </c>
      <c r="M228" s="31" t="inlineStr">
        <is>
          <t>Underperforming</t>
        </is>
      </c>
      <c r="N228" s="32">
        <f>IF(M228="Underperforming",-5,IF(L228&gt;=95,15,IF(L228&gt;=90,10,IF(L228&gt;=80,5,0))))</f>
        <v/>
      </c>
      <c r="O228" s="32" t="n">
        <v>62.04</v>
      </c>
      <c r="P228" s="32" t="n">
        <v>26.78</v>
      </c>
      <c r="Q228" s="32" t="n">
        <v>122.52</v>
      </c>
      <c r="R228" s="31" t="inlineStr">
        <is>
          <t>Earnings / Momentum Support</t>
        </is>
      </c>
      <c r="S228" s="31" t="inlineStr">
        <is>
          <t>Nifty Pharma</t>
        </is>
      </c>
      <c r="T228" s="32" t="n">
        <v>12.5</v>
      </c>
      <c r="U228" s="32" t="n">
        <v>-1.47</v>
      </c>
      <c r="V228" s="32" t="n">
        <v>-12.42</v>
      </c>
      <c r="W228" s="32" t="n">
        <v>4.66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Yes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Annuity, Lower One Time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20 to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Between 12 to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IF(B229=0,"",RANK(B229,$B$2:$B$379,0))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NOVARTIND</t>
        </is>
      </c>
      <c r="D229" s="31" t="inlineStr">
        <is>
          <t>Novartis India Ltd</t>
        </is>
      </c>
      <c r="E229" s="31" t="inlineStr">
        <is>
          <t>healthcare</t>
        </is>
      </c>
      <c r="F229" s="31" t="inlineStr">
        <is>
          <t>pharmaceuticals - multinational</t>
        </is>
      </c>
      <c r="G229" s="31" t="inlineStr">
        <is>
          <t>smallcap</t>
        </is>
      </c>
      <c r="H229" s="32" t="n">
        <v>3541.65</v>
      </c>
      <c r="I229" s="32" t="n">
        <v>1444.4</v>
      </c>
      <c r="J229" s="32" t="n">
        <v>0.7</v>
      </c>
      <c r="K229" s="32" t="n">
        <v>6413</v>
      </c>
      <c r="L229" s="31" t="n">
        <v>66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68.45</v>
      </c>
      <c r="P229" s="32" t="n">
        <v>66.45</v>
      </c>
      <c r="Q229" s="32" t="n">
        <v>1202.22</v>
      </c>
      <c r="R229" s="31" t="inlineStr">
        <is>
          <t>Earnings / Momentum Support</t>
        </is>
      </c>
      <c r="S229" s="31" t="inlineStr">
        <is>
          <t>Nifty Pharma</t>
        </is>
      </c>
      <c r="T229" s="32" t="n">
        <v>12.5</v>
      </c>
      <c r="U229" s="32" t="n">
        <v>42.21</v>
      </c>
      <c r="V229" s="32" t="n">
        <v>26.41</v>
      </c>
      <c r="W229" s="32" t="n">
        <v>17.7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Yes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No</t>
        </is>
      </c>
      <c r="AQ229" s="31">
        <f>IF(AP229="Yes",10,0)</f>
        <v/>
      </c>
      <c r="AR229" s="31" t="inlineStr">
        <is>
          <t>Higher Annuity, Lower One Time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Above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Less than 12%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No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Less than 50%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IF(B230=0,"",RANK(B230,$B$2:$B$379,0))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APOLLOHOSP</t>
        </is>
      </c>
      <c r="D230" s="31" t="inlineStr">
        <is>
          <t>Apollo Hospitals Enterprise Limited</t>
        </is>
      </c>
      <c r="E230" s="31" t="inlineStr">
        <is>
          <t>healthcare</t>
        </is>
      </c>
      <c r="F230" s="31" t="inlineStr">
        <is>
          <t>healthcare</t>
        </is>
      </c>
      <c r="G230" s="31" t="inlineStr">
        <is>
          <t>largecap</t>
        </is>
      </c>
      <c r="H230" s="32" t="n">
        <v>124833.84</v>
      </c>
      <c r="I230" s="32" t="n">
        <v>8618.5</v>
      </c>
      <c r="J230" s="32" t="n">
        <v>-0.73</v>
      </c>
      <c r="K230" s="32" t="n">
        <v>163174</v>
      </c>
      <c r="L230" s="31" t="n">
        <v>20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68.31</v>
      </c>
      <c r="P230" s="32" t="n">
        <v>18.08</v>
      </c>
      <c r="Q230" s="32" t="n">
        <v>7607.11</v>
      </c>
      <c r="R230" s="31" t="inlineStr">
        <is>
          <t>Near 52W High Breakout</t>
        </is>
      </c>
      <c r="S230" s="31" t="inlineStr">
        <is>
          <t>Nifty Pharma</t>
        </is>
      </c>
      <c r="T230" s="32" t="n">
        <v>12.5</v>
      </c>
      <c r="U230" s="32" t="n">
        <v>14.4</v>
      </c>
      <c r="V230" s="32" t="n">
        <v>1.69</v>
      </c>
      <c r="W230" s="32" t="n">
        <v>6.56</v>
      </c>
      <c r="X230" s="31" t="inlineStr">
        <is>
          <t>Cyclical in an Upturn</t>
        </is>
      </c>
      <c r="Y230" s="31">
        <f>IF(X230="Growing Industry",10,IF(X230="Cyclical in an Upturn",5,0))</f>
        <v/>
      </c>
      <c r="Z230" s="31" t="inlineStr">
        <is>
          <t>Oligopoly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Cyclical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B2C</t>
        </is>
      </c>
      <c r="AO230" s="31">
        <f>IF(AN230="B2C",10,IF(AN230="B2B",5,0))</f>
        <v/>
      </c>
      <c r="AP230" s="31" t="inlineStr">
        <is>
          <t>Yes</t>
        </is>
      </c>
      <c r="AQ230" s="31">
        <f>IF(AP230="Yes",10,0)</f>
        <v/>
      </c>
      <c r="AR230" s="31" t="inlineStr">
        <is>
          <t>Fully One Time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Above 40</t>
        </is>
      </c>
      <c r="AY230" s="31">
        <f>IF(AX230="Above 40",20,IF(AX230="20 to 40",10,IF(AX230="0 to 20",-5,0)))</f>
        <v/>
      </c>
      <c r="AZ230" s="31" t="inlineStr">
        <is>
          <t>Above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Yes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Between 1.5 to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IF(B231=0,"",RANK(B231,$B$2:$B$379,0))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3" t="inlineStr">
        <is>
          <t>DRREDDY</t>
        </is>
      </c>
      <c r="D231" s="33" t="inlineStr">
        <is>
          <t>Dr. Reddy's Laboratories Limited</t>
        </is>
      </c>
      <c r="E231" s="31" t="inlineStr">
        <is>
          <t>healthcare</t>
        </is>
      </c>
      <c r="F231" s="31" t="inlineStr">
        <is>
          <t>pharmaceuticals - indian - bulk drugs &amp; formln</t>
        </is>
      </c>
      <c r="G231" s="31" t="inlineStr">
        <is>
          <t>largecap</t>
        </is>
      </c>
      <c r="H231" s="32" t="n">
        <v>113271.3</v>
      </c>
      <c r="I231" s="32" t="n">
        <v>1339.9</v>
      </c>
      <c r="J231" s="32" t="n">
        <v>-1.27</v>
      </c>
      <c r="K231" s="32" t="n">
        <v>1423120</v>
      </c>
      <c r="L231" s="31" t="n">
        <v>6</v>
      </c>
      <c r="M231" s="31" t="inlineStr">
        <is>
          <t>Underperforming</t>
        </is>
      </c>
      <c r="N231" s="32">
        <f>IF(M231="Underperforming",-5,IF(L231&gt;=95,15,IF(L231&gt;=90,10,IF(L231&gt;=80,5,0))))</f>
        <v/>
      </c>
      <c r="O231" s="32" t="n">
        <v>58.16</v>
      </c>
      <c r="P231" s="32" t="n">
        <v>14.42</v>
      </c>
      <c r="Q231" s="32" t="n">
        <v>1151.45</v>
      </c>
      <c r="R231" s="31" t="inlineStr">
        <is>
          <t>Near 52W High Breakout</t>
        </is>
      </c>
      <c r="S231" s="31" t="inlineStr">
        <is>
          <t>Nifty Pharma</t>
        </is>
      </c>
      <c r="T231" s="32" t="n">
        <v>12.5</v>
      </c>
      <c r="U231" s="32" t="n">
        <v>3.14</v>
      </c>
      <c r="V231" s="32" t="n">
        <v>-8.32</v>
      </c>
      <c r="W231" s="32" t="n">
        <v>2.75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Yes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Annuity, Lower One Time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0 to 20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Blue sky scenario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Less than 12%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Between 1.5 to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IF(B232=0,"",RANK(B232,$B$2:$B$379,0))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3" t="inlineStr">
        <is>
          <t>HINDCOMPOS</t>
        </is>
      </c>
      <c r="D232" s="33" t="inlineStr">
        <is>
          <t>Hindustan Composites Limited</t>
        </is>
      </c>
      <c r="E232" s="31" t="inlineStr">
        <is>
          <t>auto</t>
        </is>
      </c>
      <c r="F232" s="31" t="inlineStr">
        <is>
          <t>auto ancillaries</t>
        </is>
      </c>
      <c r="G232" s="31" t="inlineStr">
        <is>
          <t>smallcap</t>
        </is>
      </c>
      <c r="H232" s="32" t="n">
        <v>621.11</v>
      </c>
      <c r="I232" s="32" t="n">
        <v>465.25</v>
      </c>
      <c r="J232" s="32" t="n">
        <v>10.63</v>
      </c>
      <c r="K232" s="32" t="n">
        <v>198072</v>
      </c>
      <c r="L232" s="31" t="n">
        <v>18</v>
      </c>
      <c r="M232" s="31" t="inlineStr">
        <is>
          <t>Underperforming</t>
        </is>
      </c>
      <c r="N232" s="32">
        <f>IF(M232="Underperforming",-5,IF(L232&gt;=95,15,IF(L232&gt;=90,10,IF(L232&gt;=80,5,0))))</f>
        <v/>
      </c>
      <c r="O232" s="32" t="n">
        <v>57.25</v>
      </c>
      <c r="P232" s="32" t="n">
        <v>23.88</v>
      </c>
      <c r="Q232" s="32" t="n">
        <v>366.41</v>
      </c>
      <c r="R232" s="31" t="inlineStr">
        <is>
          <t>Volume Spike / Accumulation</t>
        </is>
      </c>
      <c r="S232" s="31" t="inlineStr">
        <is>
          <t>Nifty Auto</t>
        </is>
      </c>
      <c r="T232" s="32" t="n">
        <v>11.69</v>
      </c>
      <c r="U232" s="32" t="n">
        <v>-3.55</v>
      </c>
      <c r="V232" s="32" t="n">
        <v>-13.65</v>
      </c>
      <c r="W232" s="32" t="n">
        <v>5.9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1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No</t>
        </is>
      </c>
      <c r="BS232" s="31">
        <f>IF(BR232="NO",5,0)</f>
        <v/>
      </c>
      <c r="BT232" s="31" t="inlineStr">
        <is>
          <t>Less than 1.5</t>
        </is>
      </c>
      <c r="BU232" s="31">
        <f>IF(BT232="Above 2",0,IF(BT232="Between 1.5 to 2",5,IF(BT232="Less than 1.5",10,0)))</f>
        <v/>
      </c>
      <c r="BV232" s="31" t="inlineStr">
        <is>
          <t>Less than 50%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IF(B233=0,"",RANK(B233,$B$2:$B$379,0))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DELHIVERY</t>
        </is>
      </c>
      <c r="D233" s="31" t="inlineStr">
        <is>
          <t>Delhivery Ltd</t>
        </is>
      </c>
      <c r="E233" s="31" t="inlineStr">
        <is>
          <t>transportation</t>
        </is>
      </c>
      <c r="F233" s="31" t="inlineStr">
        <is>
          <t>miscellaneous</t>
        </is>
      </c>
      <c r="G233" s="31" t="inlineStr">
        <is>
          <t>largecap</t>
        </is>
      </c>
      <c r="H233" s="32" t="n">
        <v>35338.05</v>
      </c>
      <c r="I233" s="32" t="n">
        <v>507.7</v>
      </c>
      <c r="J233" s="32" t="n">
        <v>7.55</v>
      </c>
      <c r="K233" s="32" t="n">
        <v>18031256</v>
      </c>
      <c r="L233" s="31" t="n">
        <v>33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66.18000000000001</v>
      </c>
      <c r="P233" s="32" t="n">
        <v>12.2</v>
      </c>
      <c r="Q233" s="32" t="n">
        <v>419.21</v>
      </c>
      <c r="R233" s="31" t="inlineStr">
        <is>
          <t>Volume Spike &amp; Near 52W High Breakout</t>
        </is>
      </c>
      <c r="S233" s="31" t="inlineStr">
        <is>
          <t>Nifty 50</t>
        </is>
      </c>
      <c r="T233" s="32" t="n">
        <v>-5.72</v>
      </c>
      <c r="U233" s="32" t="n">
        <v>30.15</v>
      </c>
      <c r="V233" s="32" t="n">
        <v>38.04</v>
      </c>
      <c r="W233" s="32" t="n">
        <v>9.640000000000001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0 to 20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Blue sky scenario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Less than 12%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Yes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IF(B234=0,"",RANK(B234,$B$2:$B$379,0))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3" t="inlineStr">
        <is>
          <t>SSWL</t>
        </is>
      </c>
      <c r="D234" s="33" t="inlineStr">
        <is>
          <t>Steel Strips Wheels Limited</t>
        </is>
      </c>
      <c r="E234" s="31" t="inlineStr">
        <is>
          <t>auto</t>
        </is>
      </c>
      <c r="F234" s="31" t="inlineStr">
        <is>
          <t>auto ancillaries</t>
        </is>
      </c>
      <c r="G234" s="31" t="inlineStr">
        <is>
          <t>smallcap</t>
        </is>
      </c>
      <c r="H234" s="32" t="n">
        <v>3625.84</v>
      </c>
      <c r="I234" s="32" t="n">
        <v>246.98</v>
      </c>
      <c r="J234" s="32" t="n">
        <v>7.07</v>
      </c>
      <c r="K234" s="32" t="n">
        <v>2674928</v>
      </c>
      <c r="L234" s="31" t="n">
        <v>22</v>
      </c>
      <c r="M234" s="31" t="inlineStr">
        <is>
          <t>Underperforming</t>
        </is>
      </c>
      <c r="N234" s="32">
        <f>IF(M234="Underperforming",-5,IF(L234&gt;=95,15,IF(L234&gt;=90,10,IF(L234&gt;=80,5,0))))</f>
        <v/>
      </c>
      <c r="O234" s="32" t="n">
        <v>64.14</v>
      </c>
      <c r="P234" s="32" t="n">
        <v>9.550000000000001</v>
      </c>
      <c r="Q234" s="32" t="n">
        <v>190.96</v>
      </c>
      <c r="R234" s="31" t="inlineStr">
        <is>
          <t>Near 52W High Breakout</t>
        </is>
      </c>
      <c r="S234" s="31" t="inlineStr">
        <is>
          <t>Nifty Auto</t>
        </is>
      </c>
      <c r="T234" s="32" t="n">
        <v>11.69</v>
      </c>
      <c r="U234" s="32" t="n">
        <v>-1.83</v>
      </c>
      <c r="V234" s="32" t="n">
        <v>-12.11</v>
      </c>
      <c r="W234" s="32" t="n">
        <v>6.77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0 to 20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Less than 12%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Less than 1.5</t>
        </is>
      </c>
      <c r="BU234" s="31">
        <f>IF(BT234="Above 2",0,IF(BT234="Between 1.5 to 2",5,IF(BT234="Less than 1.5",10,0)))</f>
        <v/>
      </c>
      <c r="BV234" s="31" t="inlineStr">
        <is>
          <t>Between 50% to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IF(B235=0,"",RANK(B235,$B$2:$B$379,0))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MBAPL</t>
        </is>
      </c>
      <c r="D235" s="31" t="inlineStr">
        <is>
          <t>Madhya Bharat Agro Products Ltd</t>
        </is>
      </c>
      <c r="E235" s="31" t="inlineStr">
        <is>
          <t>chemicals</t>
        </is>
      </c>
      <c r="F235" s="31" t="inlineStr">
        <is>
          <t>fertilizers</t>
        </is>
      </c>
      <c r="G235" s="31" t="inlineStr">
        <is>
          <t>smallcap</t>
        </is>
      </c>
      <c r="H235" s="32" t="n">
        <v>4924.63</v>
      </c>
      <c r="I235" s="32" t="n">
        <v>593.25</v>
      </c>
      <c r="J235" s="32" t="n">
        <v>5.56</v>
      </c>
      <c r="K235" s="32" t="n">
        <v>512052</v>
      </c>
      <c r="L235" s="31" t="n">
        <v>34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71.77</v>
      </c>
      <c r="P235" s="32" t="n">
        <v>52.31</v>
      </c>
      <c r="Q235" s="32" t="n">
        <v>473.18</v>
      </c>
      <c r="R235" s="31" t="inlineStr">
        <is>
          <t>Near 52W High Breakout</t>
        </is>
      </c>
      <c r="S235" s="31" t="inlineStr">
        <is>
          <t>Nifty 50</t>
        </is>
      </c>
      <c r="T235" s="32" t="n">
        <v>-5.72</v>
      </c>
      <c r="U235" s="32" t="n">
        <v>40.65</v>
      </c>
      <c r="V235" s="32" t="n">
        <v>49.18</v>
      </c>
      <c r="W235" s="32" t="n">
        <v>9.890000000000001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Yes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Above 40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Blue sky scenario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No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Negative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More than 1.2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IF(B236=0,"",RANK(B236,$B$2:$B$379,0))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ADANIENT</t>
        </is>
      </c>
      <c r="D236" s="31" t="inlineStr">
        <is>
          <t>Adani Enterprises Limited</t>
        </is>
      </c>
      <c r="E236" s="31" t="inlineStr">
        <is>
          <t>services</t>
        </is>
      </c>
      <c r="F236" s="31" t="inlineStr">
        <is>
          <t>trading</t>
        </is>
      </c>
      <c r="G236" s="31" t="inlineStr">
        <is>
          <t>largecap</t>
        </is>
      </c>
      <c r="H236" s="32" t="n">
        <v>392458.38</v>
      </c>
      <c r="I236" s="32" t="n">
        <v>3143.6</v>
      </c>
      <c r="J236" s="32" t="n">
        <v>3.54</v>
      </c>
      <c r="K236" s="32" t="n">
        <v>3415655</v>
      </c>
      <c r="L236" s="31" t="n">
        <v>76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73.31</v>
      </c>
      <c r="P236" s="32" t="n">
        <v>33.66</v>
      </c>
      <c r="Q236" s="32" t="n">
        <v>2611.53</v>
      </c>
      <c r="R236" s="31" t="inlineStr">
        <is>
          <t>Near 52W High Breakout</t>
        </is>
      </c>
      <c r="S236" s="31" t="inlineStr">
        <is>
          <t>Nifty 50</t>
        </is>
      </c>
      <c r="T236" s="32" t="n">
        <v>-5.72</v>
      </c>
      <c r="U236" s="32" t="n">
        <v>21</v>
      </c>
      <c r="V236" s="32" t="n">
        <v>28.34</v>
      </c>
      <c r="W236" s="32" t="n">
        <v>22.21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20 to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Blue sky scenario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Less than 50% and Borrowings are increasing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Between 0.7 to 1.2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IF(B237=0,"",RANK(B237,$B$2:$B$379,0))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3" t="inlineStr">
        <is>
          <t>ATULAUTO</t>
        </is>
      </c>
      <c r="D237" s="33" t="inlineStr">
        <is>
          <t>Atul Auto Limited</t>
        </is>
      </c>
      <c r="E237" s="31" t="inlineStr">
        <is>
          <t>auto</t>
        </is>
      </c>
      <c r="F237" s="31" t="inlineStr">
        <is>
          <t>automobiles - scooters and 3 - wheelers</t>
        </is>
      </c>
      <c r="G237" s="31" t="inlineStr">
        <is>
          <t>smallcap</t>
        </is>
      </c>
      <c r="H237" s="32" t="n">
        <v>1337.06</v>
      </c>
      <c r="I237" s="32" t="n">
        <v>491.5</v>
      </c>
      <c r="J237" s="32" t="n">
        <v>2.01</v>
      </c>
      <c r="K237" s="32" t="n">
        <v>769437</v>
      </c>
      <c r="L237" s="31" t="n">
        <v>19</v>
      </c>
      <c r="M237" s="31" t="inlineStr">
        <is>
          <t>Underperforming</t>
        </is>
      </c>
      <c r="N237" s="32">
        <f>IF(M237="Underperforming",-5,IF(L237&gt;=95,15,IF(L237&gt;=90,10,IF(L237&gt;=80,5,0))))</f>
        <v/>
      </c>
      <c r="O237" s="32" t="n">
        <v>54.8</v>
      </c>
      <c r="P237" s="32" t="n">
        <v>23.33</v>
      </c>
      <c r="Q237" s="32" t="n">
        <v>392.67</v>
      </c>
      <c r="R237" s="31" t="inlineStr">
        <is>
          <t>Earnings / Momentum Support</t>
        </is>
      </c>
      <c r="S237" s="31" t="inlineStr">
        <is>
          <t>Nifty Auto</t>
        </is>
      </c>
      <c r="T237" s="32" t="n">
        <v>11.69</v>
      </c>
      <c r="U237" s="32" t="n">
        <v>8.09</v>
      </c>
      <c r="V237" s="32" t="n">
        <v>-3.22</v>
      </c>
      <c r="W237" s="32" t="n">
        <v>6.2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1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No</t>
        </is>
      </c>
      <c r="BS237" s="31">
        <f>IF(BR237="NO",5,0)</f>
        <v/>
      </c>
      <c r="BT237" s="31" t="inlineStr">
        <is>
          <t>Less than 1.5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IF(B238=0,"",RANK(B238,$B$2:$B$379,0))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KRISHANA</t>
        </is>
      </c>
      <c r="D238" s="31" t="inlineStr">
        <is>
          <t>Krishana Phoschem Ltd</t>
        </is>
      </c>
      <c r="E238" s="31" t="inlineStr">
        <is>
          <t>chemicals</t>
        </is>
      </c>
      <c r="F238" s="31" t="inlineStr">
        <is>
          <t>fertilizers</t>
        </is>
      </c>
      <c r="G238" s="31" t="inlineStr">
        <is>
          <t>smallcap</t>
        </is>
      </c>
      <c r="H238" s="32" t="n">
        <v>4253.74</v>
      </c>
      <c r="I238" s="32" t="n">
        <v>697.65</v>
      </c>
      <c r="J238" s="32" t="n">
        <v>1.4</v>
      </c>
      <c r="K238" s="32" t="n">
        <v>362021</v>
      </c>
      <c r="L238" s="31" t="n">
        <v>58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66.01000000000001</v>
      </c>
      <c r="P238" s="32" t="n">
        <v>44.82</v>
      </c>
      <c r="Q238" s="32" t="n">
        <v>559.21</v>
      </c>
      <c r="R238" s="31" t="inlineStr">
        <is>
          <t>Near 52W High Breakout</t>
        </is>
      </c>
      <c r="S238" s="31" t="inlineStr">
        <is>
          <t>Nifty 50</t>
        </is>
      </c>
      <c r="T238" s="32" t="n">
        <v>-5.72</v>
      </c>
      <c r="U238" s="32" t="n">
        <v>56.35</v>
      </c>
      <c r="V238" s="32" t="n">
        <v>65.83</v>
      </c>
      <c r="W238" s="32" t="n">
        <v>15.76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Yes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Above 40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Blue sky scenario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Negative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More than 1.2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IF(B239=0,"",RANK(B239,$B$2:$B$379,0))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MSTCLTD</t>
        </is>
      </c>
      <c r="D239" s="31" t="inlineStr">
        <is>
          <t>MSTC Ltd</t>
        </is>
      </c>
      <c r="E239" s="31" t="inlineStr">
        <is>
          <t>i.t</t>
        </is>
      </c>
      <c r="F239" s="31" t="inlineStr">
        <is>
          <t>trading</t>
        </is>
      </c>
      <c r="G239" s="31" t="inlineStr">
        <is>
          <t>smallcap</t>
        </is>
      </c>
      <c r="H239" s="32" t="n">
        <v>4994.18</v>
      </c>
      <c r="I239" s="32" t="n">
        <v>715.8</v>
      </c>
      <c r="J239" s="32" t="n">
        <v>0.9</v>
      </c>
      <c r="K239" s="32" t="n">
        <v>734603</v>
      </c>
      <c r="L239" s="31" t="n">
        <v>81</v>
      </c>
      <c r="M239" s="31" t="inlineStr">
        <is>
          <t>Outperforming</t>
        </is>
      </c>
      <c r="N239" s="32">
        <f>IF(M239="Underperforming",-5,IF(L239&gt;=95,15,IF(L239&gt;=90,10,IF(L239&gt;=80,5,0))))</f>
        <v/>
      </c>
      <c r="O239" s="32" t="n">
        <v>72.44</v>
      </c>
      <c r="P239" s="32" t="n">
        <v>23.98</v>
      </c>
      <c r="Q239" s="32" t="n">
        <v>547.3099999999999</v>
      </c>
      <c r="R239" s="31" t="inlineStr">
        <is>
          <t>Near 52W High Breakout</t>
        </is>
      </c>
      <c r="S239" s="31" t="inlineStr">
        <is>
          <t>Nifty IT</t>
        </is>
      </c>
      <c r="T239" s="32" t="n">
        <v>-34.2</v>
      </c>
      <c r="U239" s="32" t="n">
        <v>32.14</v>
      </c>
      <c r="V239" s="32" t="n">
        <v>100.83</v>
      </c>
      <c r="W239" s="32" t="n">
        <v>25.16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Yes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20 to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Less than 12%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Negative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IF(B240=0,"",RANK(B240,$B$2:$B$379,0))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CYIENTDLM</t>
        </is>
      </c>
      <c r="D240" s="31" t="inlineStr">
        <is>
          <t>Cyient DLM Ltd</t>
        </is>
      </c>
      <c r="E240" s="31" t="inlineStr">
        <is>
          <t>consumer discretionary</t>
        </is>
      </c>
      <c r="F240" s="31" t="inlineStr">
        <is>
          <t>electronics - components</t>
        </is>
      </c>
      <c r="G240" s="31" t="inlineStr">
        <is>
          <t>smallcap</t>
        </is>
      </c>
      <c r="H240" s="32" t="n">
        <v>3653.14</v>
      </c>
      <c r="I240" s="32" t="n">
        <v>464.25</v>
      </c>
      <c r="J240" s="32" t="n">
        <v>0.86</v>
      </c>
      <c r="K240" s="32" t="n">
        <v>140133</v>
      </c>
      <c r="L240" s="31" t="n">
        <v>62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64.28</v>
      </c>
      <c r="P240" s="32" t="n">
        <v>35.25</v>
      </c>
      <c r="Q240" s="32" t="n">
        <v>365.47</v>
      </c>
      <c r="R240" s="31" t="inlineStr">
        <is>
          <t>Near 52W High Breakout</t>
        </is>
      </c>
      <c r="S240" s="31" t="inlineStr">
        <is>
          <t>Nifty 50</t>
        </is>
      </c>
      <c r="T240" s="32" t="n">
        <v>-5.72</v>
      </c>
      <c r="U240" s="32" t="n">
        <v>-4.22</v>
      </c>
      <c r="V240" s="32" t="n">
        <v>1.59</v>
      </c>
      <c r="W240" s="32" t="n">
        <v>16.83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Yes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Less than 12%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Yes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Less than 50%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IF(B241=0,"",RANK(B241,$B$2:$B$379,0))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VARROC</t>
        </is>
      </c>
      <c r="D241" s="31" t="inlineStr">
        <is>
          <t>Varroc Engineering Ltd</t>
        </is>
      </c>
      <c r="E241" s="31" t="inlineStr">
        <is>
          <t>auto</t>
        </is>
      </c>
      <c r="F241" s="31" t="inlineStr">
        <is>
          <t>auto ancillaries</t>
        </is>
      </c>
      <c r="G241" s="31" t="inlineStr">
        <is>
          <t>midcap</t>
        </is>
      </c>
      <c r="H241" s="32" t="n">
        <v>9671.379999999999</v>
      </c>
      <c r="I241" s="32" t="n">
        <v>637.15</v>
      </c>
      <c r="J241" s="32" t="n">
        <v>0.66</v>
      </c>
      <c r="K241" s="32" t="n">
        <v>169209</v>
      </c>
      <c r="L241" s="31" t="n">
        <v>33</v>
      </c>
      <c r="M241" s="31" t="inlineStr">
        <is>
          <t>Outperforming</t>
        </is>
      </c>
      <c r="N241" s="32">
        <f>IF(M241="Underperforming",-5,IF(L241&gt;=95,15,IF(L241&gt;=90,10,IF(L241&gt;=80,5,0))))</f>
        <v/>
      </c>
      <c r="O241" s="32" t="n">
        <v>65.33</v>
      </c>
      <c r="P241" s="32" t="n">
        <v>19.11</v>
      </c>
      <c r="Q241" s="32" t="n">
        <v>511.4</v>
      </c>
      <c r="R241" s="31" t="inlineStr">
        <is>
          <t>Near 52W High Breakout</t>
        </is>
      </c>
      <c r="S241" s="31" t="inlineStr">
        <is>
          <t>Nifty Auto</t>
        </is>
      </c>
      <c r="T241" s="32" t="n">
        <v>11.69</v>
      </c>
      <c r="U241" s="32" t="n">
        <v>12.26</v>
      </c>
      <c r="V241" s="32" t="n">
        <v>0.51</v>
      </c>
      <c r="W241" s="32" t="n">
        <v>9.609999999999999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Yes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0 to 20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Between 50% to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IF(B242=0,"",RANK(B242,$B$2:$B$379,0))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3" t="inlineStr">
        <is>
          <t>HCC</t>
        </is>
      </c>
      <c r="D242" s="33" t="inlineStr">
        <is>
          <t>Hindustan Construction Company Limited</t>
        </is>
      </c>
      <c r="E242" s="31" t="inlineStr">
        <is>
          <t>realty</t>
        </is>
      </c>
      <c r="F242" s="31" t="inlineStr">
        <is>
          <t>construction</t>
        </is>
      </c>
      <c r="G242" s="31" t="inlineStr">
        <is>
          <t>midcap</t>
        </is>
      </c>
      <c r="H242" s="32" t="n">
        <v>6718.94</v>
      </c>
      <c r="I242" s="32" t="n">
        <v>25.7</v>
      </c>
      <c r="J242" s="32" t="n">
        <v>0.19</v>
      </c>
      <c r="K242" s="32" t="n">
        <v>29087744</v>
      </c>
      <c r="L242" s="31" t="n">
        <v>57</v>
      </c>
      <c r="M242" s="31" t="inlineStr">
        <is>
          <t>Underperforming</t>
        </is>
      </c>
      <c r="N242" s="32">
        <f>IF(M242="Underperforming",-5,IF(L242&gt;=95,15,IF(L242&gt;=90,10,IF(L242&gt;=80,5,0))))</f>
        <v/>
      </c>
      <c r="O242" s="32" t="n">
        <v>60.63</v>
      </c>
      <c r="P242" s="32" t="n">
        <v>24.1</v>
      </c>
      <c r="Q242" s="32" t="n">
        <v>19.74</v>
      </c>
      <c r="R242" s="31" t="inlineStr">
        <is>
          <t>Earnings / Momentum Support</t>
        </is>
      </c>
      <c r="S242" s="31" t="inlineStr">
        <is>
          <t>Nifty Realty</t>
        </is>
      </c>
      <c r="T242" s="32" t="n">
        <v>-11.6</v>
      </c>
      <c r="U242" s="32" t="n">
        <v>-14.16</v>
      </c>
      <c r="V242" s="32" t="n">
        <v>-2.9</v>
      </c>
      <c r="W242" s="32" t="n">
        <v>15.3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20 to 40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Less than 12%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No</t>
        </is>
      </c>
      <c r="BS242" s="31">
        <f>IF(BR242="NO",5,0)</f>
        <v/>
      </c>
      <c r="BT242" s="31" t="inlineStr">
        <is>
          <t>Above 2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IF(B243=0,"",RANK(B243,$B$2:$B$379,0))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NAZARA</t>
        </is>
      </c>
      <c r="D243" s="31" t="inlineStr">
        <is>
          <t>Nazara Technologies Ltd</t>
        </is>
      </c>
      <c r="E243" s="31" t="inlineStr">
        <is>
          <t>i.t</t>
        </is>
      </c>
      <c r="F243" s="31" t="inlineStr">
        <is>
          <t>telecommunications - service provider</t>
        </is>
      </c>
      <c r="G243" s="31" t="inlineStr">
        <is>
          <t>midcap</t>
        </is>
      </c>
      <c r="H243" s="32" t="n">
        <v>11228.79</v>
      </c>
      <c r="I243" s="32" t="n">
        <v>302.8</v>
      </c>
      <c r="J243" s="32" t="n">
        <v>-0.1</v>
      </c>
      <c r="K243" s="32" t="n">
        <v>1441728</v>
      </c>
      <c r="L243" s="31" t="n">
        <v>13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60.34</v>
      </c>
      <c r="P243" s="32" t="n">
        <v>14.67</v>
      </c>
      <c r="Q243" s="32" t="n">
        <v>234.95</v>
      </c>
      <c r="R243" s="31" t="inlineStr">
        <is>
          <t>Earnings / Momentum Support</t>
        </is>
      </c>
      <c r="S243" s="31" t="inlineStr">
        <is>
          <t>Nifty IT</t>
        </is>
      </c>
      <c r="T243" s="32" t="n">
        <v>-34.2</v>
      </c>
      <c r="U243" s="32" t="n">
        <v>-12.56</v>
      </c>
      <c r="V243" s="32" t="n">
        <v>32.9</v>
      </c>
      <c r="W243" s="32" t="n">
        <v>4.57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Oligopoly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Yes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0 to 20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No</t>
        </is>
      </c>
      <c r="BS243" s="31">
        <f>IF(BR243="NO",5,0)</f>
        <v/>
      </c>
      <c r="BT243" s="31" t="inlineStr">
        <is>
          <t>Less than 1.5</t>
        </is>
      </c>
      <c r="BU243" s="31">
        <f>IF(BT243="Above 2",0,IF(BT243="Between 1.5 to 2",5,IF(BT243="Less than 1.5",10,0)))</f>
        <v/>
      </c>
      <c r="BV243" s="31" t="inlineStr">
        <is>
          <t>Between 50% to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IF(B244=0,"",RANK(B244,$B$2:$B$379,0))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KAJARIACER</t>
        </is>
      </c>
      <c r="D244" s="31" t="inlineStr">
        <is>
          <t>Kajaria Ceramics Limited</t>
        </is>
      </c>
      <c r="E244" s="31" t="inlineStr">
        <is>
          <t>building materials</t>
        </is>
      </c>
      <c r="F244" s="31" t="inlineStr">
        <is>
          <t>ceramics - tiles / sanitaryware</t>
        </is>
      </c>
      <c r="G244" s="31" t="inlineStr">
        <is>
          <t>midcap</t>
        </is>
      </c>
      <c r="H244" s="32" t="n">
        <v>19278.32</v>
      </c>
      <c r="I244" s="32" t="n">
        <v>1203.6</v>
      </c>
      <c r="J244" s="32" t="n">
        <v>-0.5600000000000001</v>
      </c>
      <c r="K244" s="32" t="n">
        <v>225298</v>
      </c>
      <c r="L244" s="31" t="n">
        <v>22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63.48</v>
      </c>
      <c r="P244" s="32" t="n">
        <v>19.84</v>
      </c>
      <c r="Q244" s="32" t="n">
        <v>989.62</v>
      </c>
      <c r="R244" s="31" t="inlineStr">
        <is>
          <t>Earnings / Momentum Support</t>
        </is>
      </c>
      <c r="S244" s="31" t="inlineStr">
        <is>
          <t>Nifty Infra</t>
        </is>
      </c>
      <c r="T244" s="32" t="n">
        <v>0.09</v>
      </c>
      <c r="U244" s="32" t="n">
        <v>5.66</v>
      </c>
      <c r="V244" s="32" t="n">
        <v>5.57</v>
      </c>
      <c r="W244" s="32" t="n">
        <v>6.7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No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0 to 20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No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IF(B245=0,"",RANK(B245,$B$2:$B$379,0))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3" t="inlineStr">
        <is>
          <t>JASH</t>
        </is>
      </c>
      <c r="D245" s="33" t="inlineStr">
        <is>
          <t>Jash Engineering Ltd</t>
        </is>
      </c>
      <c r="E245" s="31" t="inlineStr">
        <is>
          <t>industrials</t>
        </is>
      </c>
      <c r="F245" s="31" t="inlineStr">
        <is>
          <t>engineering</t>
        </is>
      </c>
      <c r="G245" s="31" t="inlineStr">
        <is>
          <t>smallcap</t>
        </is>
      </c>
      <c r="H245" s="32" t="n">
        <v>3205.82</v>
      </c>
      <c r="I245" s="32" t="n">
        <v>504.1</v>
      </c>
      <c r="J245" s="32" t="n">
        <v>-0.63</v>
      </c>
      <c r="K245" s="32" t="n">
        <v>269431</v>
      </c>
      <c r="L245" s="31" t="n">
        <v>20</v>
      </c>
      <c r="M245" s="31" t="inlineStr">
        <is>
          <t>Underperforming</t>
        </is>
      </c>
      <c r="N245" s="32">
        <f>IF(M245="Underperforming",-5,IF(L245&gt;=95,15,IF(L245&gt;=90,10,IF(L245&gt;=80,5,0))))</f>
        <v/>
      </c>
      <c r="O245" s="32" t="n">
        <v>60.93</v>
      </c>
      <c r="P245" s="32" t="n">
        <v>15.87</v>
      </c>
      <c r="Q245" s="32" t="n">
        <v>417.62</v>
      </c>
      <c r="R245" s="31" t="inlineStr">
        <is>
          <t>Volume Spike / Accumulation</t>
        </is>
      </c>
      <c r="S245" s="31" t="inlineStr">
        <is>
          <t>Nifty 50</t>
        </is>
      </c>
      <c r="T245" s="32" t="n">
        <v>-5.72</v>
      </c>
      <c r="U245" s="32" t="n">
        <v>-12.8</v>
      </c>
      <c r="V245" s="32" t="n">
        <v>-7.51</v>
      </c>
      <c r="W245" s="32" t="n">
        <v>6.48</v>
      </c>
      <c r="X245" s="31" t="inlineStr">
        <is>
          <t>Cyclical in an Upturn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Yes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0 to 20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More than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Yes</t>
        </is>
      </c>
      <c r="BS245" s="31">
        <f>IF(BR245="NO",5,0)</f>
        <v/>
      </c>
      <c r="BT245" s="31" t="inlineStr">
        <is>
          <t>Less than 1.5</t>
        </is>
      </c>
      <c r="BU245" s="31">
        <f>IF(BT245="Above 2",0,IF(BT245="Between 1.5 to 2",5,IF(BT245="Less than 1.5",10,0)))</f>
        <v/>
      </c>
      <c r="BV245" s="31" t="inlineStr">
        <is>
          <t>Between 50% to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IF(B246=0,"",RANK(B246,$B$2:$B$379,0))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CARBORUNIV</t>
        </is>
      </c>
      <c r="D246" s="31" t="inlineStr">
        <is>
          <t>Carborundum Universal Limited</t>
        </is>
      </c>
      <c r="E246" s="31" t="inlineStr">
        <is>
          <t>industrials</t>
        </is>
      </c>
      <c r="F246" s="31" t="inlineStr">
        <is>
          <t>abrasives and grinding wheels</t>
        </is>
      </c>
      <c r="G246" s="31" t="inlineStr">
        <is>
          <t>largecap</t>
        </is>
      </c>
      <c r="H246" s="32" t="n">
        <v>22443.83</v>
      </c>
      <c r="I246" s="32" t="n">
        <v>1163.9</v>
      </c>
      <c r="J246" s="32" t="n">
        <v>-1.21</v>
      </c>
      <c r="K246" s="32" t="n">
        <v>111576</v>
      </c>
      <c r="L246" s="31" t="n">
        <v>44</v>
      </c>
      <c r="M246" s="31" t="inlineStr">
        <is>
          <t>Outperforming</t>
        </is>
      </c>
      <c r="N246" s="32">
        <f>IF(M246="Underperforming",-5,IF(L246&gt;=95,15,IF(L246&gt;=90,10,IF(L246&gt;=80,5,0))))</f>
        <v/>
      </c>
      <c r="O246" s="32" t="n">
        <v>65.47</v>
      </c>
      <c r="P246" s="32" t="n">
        <v>39.91</v>
      </c>
      <c r="Q246" s="32" t="n">
        <v>977.17</v>
      </c>
      <c r="R246" s="31" t="inlineStr">
        <is>
          <t>Earnings / Momentum Support</t>
        </is>
      </c>
      <c r="S246" s="31" t="inlineStr">
        <is>
          <t>Nifty 50</t>
        </is>
      </c>
      <c r="T246" s="32" t="n">
        <v>-5.72</v>
      </c>
      <c r="U246" s="32" t="n">
        <v>17.1</v>
      </c>
      <c r="V246" s="32" t="n">
        <v>24.2</v>
      </c>
      <c r="W246" s="32" t="n">
        <v>11.59</v>
      </c>
      <c r="X246" s="31" t="inlineStr">
        <is>
          <t>Cyclical in an Upturn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No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20 to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Yes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Between 50% to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IF(B247=0,"",RANK(B247,$B$2:$B$379,0))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INDNIPPON</t>
        </is>
      </c>
      <c r="D247" s="31" t="inlineStr">
        <is>
          <t>India Nippon Electricals Limited</t>
        </is>
      </c>
      <c r="E247" s="31" t="inlineStr">
        <is>
          <t>auto</t>
        </is>
      </c>
      <c r="F247" s="31" t="inlineStr">
        <is>
          <t>auto ancillaries</t>
        </is>
      </c>
      <c r="G247" s="31" t="inlineStr">
        <is>
          <t>smallcap</t>
        </is>
      </c>
      <c r="H247" s="32" t="n">
        <v>2265.31</v>
      </c>
      <c r="I247" s="32" t="n">
        <v>975.1</v>
      </c>
      <c r="J247" s="32" t="n">
        <v>-2.63</v>
      </c>
      <c r="K247" s="32" t="n">
        <v>35819</v>
      </c>
      <c r="L247" s="31" t="n">
        <v>58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65.92</v>
      </c>
      <c r="P247" s="32" t="n">
        <v>18.85</v>
      </c>
      <c r="Q247" s="32" t="n">
        <v>773.58</v>
      </c>
      <c r="R247" s="31" t="inlineStr">
        <is>
          <t>Earnings / Momentum Support</t>
        </is>
      </c>
      <c r="S247" s="31" t="inlineStr">
        <is>
          <t>Nifty Auto</t>
        </is>
      </c>
      <c r="T247" s="32" t="n">
        <v>11.69</v>
      </c>
      <c r="U247" s="32" t="n">
        <v>29.35</v>
      </c>
      <c r="V247" s="32" t="n">
        <v>15.81</v>
      </c>
      <c r="W247" s="32" t="n">
        <v>15.61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No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0 to 20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Less than 1.5</t>
        </is>
      </c>
      <c r="BU247" s="31">
        <f>IF(BT247="Above 2",0,IF(BT247="Between 1.5 to 2",5,IF(BT247="Less than 1.5",10,0)))</f>
        <v/>
      </c>
      <c r="BV247" s="31" t="inlineStr">
        <is>
          <t>Less than 50%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IF(B248=0,"",RANK(B248,$B$2:$B$379,0))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3" t="inlineStr">
        <is>
          <t>RBA</t>
        </is>
      </c>
      <c r="D248" s="33" t="inlineStr">
        <is>
          <t>Restaurant Brands Asia Ltd</t>
        </is>
      </c>
      <c r="E248" s="31" t="inlineStr">
        <is>
          <t>consumer discretionary</t>
        </is>
      </c>
      <c r="F248" s="31" t="inlineStr">
        <is>
          <t>hotels</t>
        </is>
      </c>
      <c r="G248" s="31" t="inlineStr">
        <is>
          <t>midcap</t>
        </is>
      </c>
      <c r="H248" s="32" t="n">
        <v>5633.24</v>
      </c>
      <c r="I248" s="32" t="n">
        <v>77.09</v>
      </c>
      <c r="J248" s="32" t="n">
        <v>-2.64</v>
      </c>
      <c r="K248" s="32" t="n">
        <v>4473822</v>
      </c>
      <c r="L248" s="31" t="n">
        <v>15</v>
      </c>
      <c r="M248" s="31" t="inlineStr">
        <is>
          <t>Underperforming</t>
        </is>
      </c>
      <c r="N248" s="32">
        <f>IF(M248="Underperforming",-5,IF(L248&gt;=95,15,IF(L248&gt;=90,10,IF(L248&gt;=80,5,0))))</f>
        <v/>
      </c>
      <c r="O248" s="32" t="n">
        <v>67.73</v>
      </c>
      <c r="P248" s="32" t="n">
        <v>23.79</v>
      </c>
      <c r="Q248" s="32" t="n">
        <v>67.64</v>
      </c>
      <c r="R248" s="31" t="inlineStr">
        <is>
          <t>Earnings / Momentum Support</t>
        </is>
      </c>
      <c r="S248" s="31" t="inlineStr">
        <is>
          <t>Nifty 50</t>
        </is>
      </c>
      <c r="T248" s="32" t="n">
        <v>-5.72</v>
      </c>
      <c r="U248" s="32" t="n">
        <v>-5.8</v>
      </c>
      <c r="V248" s="32" t="n">
        <v>-0.09</v>
      </c>
      <c r="W248" s="32" t="n">
        <v>5.05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20 to 40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Less than 1.5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More than 1.2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IF(B249=0,"",RANK(B249,$B$2:$B$379,0))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LLOYDSENGG</t>
        </is>
      </c>
      <c r="D249" s="31" t="inlineStr">
        <is>
          <t>Lloyds Engineering Works Ltd</t>
        </is>
      </c>
      <c r="E249" s="31" t="inlineStr">
        <is>
          <t>industrials</t>
        </is>
      </c>
      <c r="F249" s="31" t="inlineStr">
        <is>
          <t>engineering</t>
        </is>
      </c>
      <c r="G249" s="31" t="inlineStr">
        <is>
          <t>midcap</t>
        </is>
      </c>
      <c r="H249" s="32" t="n">
        <v>12807.15</v>
      </c>
      <c r="I249" s="32" t="n">
        <v>84.2</v>
      </c>
      <c r="J249" s="32" t="n">
        <v>-2.69</v>
      </c>
      <c r="K249" s="32" t="n">
        <v>10410715</v>
      </c>
      <c r="L249" s="31" t="n">
        <v>84</v>
      </c>
      <c r="M249" s="31" t="inlineStr">
        <is>
          <t>Outperforming</t>
        </is>
      </c>
      <c r="N249" s="32">
        <f>IF(M249="Underperforming",-5,IF(L249&gt;=95,15,IF(L249&gt;=90,10,IF(L249&gt;=80,5,0))))</f>
        <v/>
      </c>
      <c r="O249" s="32" t="n">
        <v>71.94</v>
      </c>
      <c r="P249" s="32" t="n">
        <v>33.07</v>
      </c>
      <c r="Q249" s="32" t="n">
        <v>65</v>
      </c>
      <c r="R249" s="31" t="inlineStr">
        <is>
          <t>Near 52W High Breakout</t>
        </is>
      </c>
      <c r="S249" s="31" t="inlineStr">
        <is>
          <t>Nifty 50</t>
        </is>
      </c>
      <c r="T249" s="32" t="n">
        <v>-5.72</v>
      </c>
      <c r="U249" s="32" t="n">
        <v>5.04</v>
      </c>
      <c r="V249" s="32" t="n">
        <v>11.41</v>
      </c>
      <c r="W249" s="32" t="n">
        <v>28.6</v>
      </c>
      <c r="X249" s="31" t="inlineStr">
        <is>
          <t>Cyclical in an Upturn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Yes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20 to 40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Yes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Negative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IF(B250=0,"",RANK(B250,$B$2:$B$379,0))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TORNTPHARM</t>
        </is>
      </c>
      <c r="D250" s="31" t="inlineStr">
        <is>
          <t>Torrent Pharmaceuticals Limited</t>
        </is>
      </c>
      <c r="E250" s="31" t="inlineStr">
        <is>
          <t>healthcare</t>
        </is>
      </c>
      <c r="F250" s="31" t="inlineStr">
        <is>
          <t>pharmaceuticals - indian - formulations</t>
        </is>
      </c>
      <c r="G250" s="31" t="inlineStr">
        <is>
          <t>largecap</t>
        </is>
      </c>
      <c r="H250" s="32" t="n">
        <v>156365.18</v>
      </c>
      <c r="I250" s="32" t="n">
        <v>4640.8</v>
      </c>
      <c r="J250" s="32" t="n">
        <v>0.45</v>
      </c>
      <c r="K250" s="32" t="n">
        <v>200344</v>
      </c>
      <c r="L250" s="31" t="n">
        <v>36</v>
      </c>
      <c r="M250" s="31" t="inlineStr">
        <is>
          <t>Outperforming</t>
        </is>
      </c>
      <c r="N250" s="32">
        <f>IF(M250="Underperforming",-5,IF(L250&gt;=95,15,IF(L250&gt;=90,10,IF(L250&gt;=80,5,0))))</f>
        <v/>
      </c>
      <c r="O250" s="32" t="n">
        <v>67.25</v>
      </c>
      <c r="P250" s="32" t="n">
        <v>28.68</v>
      </c>
      <c r="Q250" s="32" t="n">
        <v>3978</v>
      </c>
      <c r="R250" s="31" t="inlineStr">
        <is>
          <t>Near 52W High Breakout</t>
        </is>
      </c>
      <c r="S250" s="31" t="inlineStr">
        <is>
          <t>Nifty Pharma</t>
        </is>
      </c>
      <c r="T250" s="32" t="n">
        <v>12.5</v>
      </c>
      <c r="U250" s="32" t="n">
        <v>39.01</v>
      </c>
      <c r="V250" s="32" t="n">
        <v>23.57</v>
      </c>
      <c r="W250" s="32" t="n">
        <v>10.29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Yes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Yes</t>
        </is>
      </c>
      <c r="AQ250" s="31">
        <f>IF(AP250="Yes",10,0)</f>
        <v/>
      </c>
      <c r="AR250" s="31" t="inlineStr">
        <is>
          <t>Higher Annuity, Lower One Time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20 to 40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Blue sky scenario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Less than 12%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Yes</t>
        </is>
      </c>
      <c r="BS250" s="31">
        <f>IF(BR250="NO",5,0)</f>
        <v/>
      </c>
      <c r="BT250" s="31" t="inlineStr">
        <is>
          <t>Above 2</t>
        </is>
      </c>
      <c r="BU250" s="31">
        <f>IF(BT250="Above 2",0,IF(BT250="Between 1.5 to 2",5,IF(BT250="Less than 1.5",10,0)))</f>
        <v/>
      </c>
      <c r="BV250" s="31" t="inlineStr">
        <is>
          <t>Between 50% to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Between 0.7 to 1.2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IF(B251=0,"",RANK(B251,$B$2:$B$379,0))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3" t="inlineStr">
        <is>
          <t>ZYDUSLIFE</t>
        </is>
      </c>
      <c r="D251" s="33" t="inlineStr">
        <is>
          <t>Zydus Lifesciences Ltd</t>
        </is>
      </c>
      <c r="E251" s="31" t="inlineStr">
        <is>
          <t>healthcare</t>
        </is>
      </c>
      <c r="F251" s="31" t="inlineStr">
        <is>
          <t>pharmaceuticals - indian - bulk drugs &amp; formln</t>
        </is>
      </c>
      <c r="G251" s="31" t="inlineStr">
        <is>
          <t>largecap</t>
        </is>
      </c>
      <c r="H251" s="32" t="n">
        <v>110982.28</v>
      </c>
      <c r="I251" s="32" t="n">
        <v>1109.2</v>
      </c>
      <c r="J251" s="32" t="n">
        <v>-0.31</v>
      </c>
      <c r="K251" s="32" t="n">
        <v>1005311</v>
      </c>
      <c r="L251" s="31" t="n">
        <v>30</v>
      </c>
      <c r="M251" s="31" t="inlineStr">
        <is>
          <t>Underperforming</t>
        </is>
      </c>
      <c r="N251" s="32">
        <f>IF(M251="Underperforming",-5,IF(L251&gt;=95,15,IF(L251&gt;=90,10,IF(L251&gt;=80,5,0))))</f>
        <v/>
      </c>
      <c r="O251" s="32" t="n">
        <v>68.86</v>
      </c>
      <c r="P251" s="32" t="n">
        <v>27.03</v>
      </c>
      <c r="Q251" s="32" t="n">
        <v>947.63</v>
      </c>
      <c r="R251" s="31" t="inlineStr">
        <is>
          <t>Near 52W High Breakout</t>
        </is>
      </c>
      <c r="S251" s="31" t="inlineStr">
        <is>
          <t>Nifty Pharma</t>
        </is>
      </c>
      <c r="T251" s="32" t="n">
        <v>12.5</v>
      </c>
      <c r="U251" s="32" t="n">
        <v>12.08</v>
      </c>
      <c r="V251" s="32" t="n">
        <v>-0.37</v>
      </c>
      <c r="W251" s="32" t="n">
        <v>8.720000000000001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Yes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Yes</t>
        </is>
      </c>
      <c r="AQ251" s="31">
        <f>IF(AP251="Yes",10,0)</f>
        <v/>
      </c>
      <c r="AR251" s="31" t="inlineStr">
        <is>
          <t>Higher Annuity, Lower One Time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Less than 12%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No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Less than 50%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IF(B252=0,"",RANK(B252,$B$2:$B$379,0))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INDSWFTLAB</t>
        </is>
      </c>
      <c r="D252" s="31" t="inlineStr">
        <is>
          <t>Ind-swift Laboratories Limited</t>
        </is>
      </c>
      <c r="E252" s="31" t="inlineStr">
        <is>
          <t>healthcare</t>
        </is>
      </c>
      <c r="F252" s="31" t="inlineStr">
        <is>
          <t>pharmaceuticals - indian - bulk drugs &amp; formln</t>
        </is>
      </c>
      <c r="G252" s="31" t="inlineStr">
        <is>
          <t>smallcap</t>
        </is>
      </c>
      <c r="H252" s="32" t="n">
        <v>1767.38</v>
      </c>
      <c r="I252" s="32" t="n">
        <v>200.73</v>
      </c>
      <c r="J252" s="32" t="n">
        <v>-1.38</v>
      </c>
      <c r="K252" s="32" t="n">
        <v>701538</v>
      </c>
      <c r="L252" s="31" t="n">
        <v>80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82.76000000000001</v>
      </c>
      <c r="P252" s="32" t="n">
        <v>40.75</v>
      </c>
      <c r="Q252" s="32" t="n">
        <v>151.66</v>
      </c>
      <c r="R252" s="31" t="inlineStr">
        <is>
          <t>Near 52W High Breakout</t>
        </is>
      </c>
      <c r="S252" s="31" t="inlineStr">
        <is>
          <t>Nifty Pharma</t>
        </is>
      </c>
      <c r="T252" s="32" t="n">
        <v>12.5</v>
      </c>
      <c r="U252" s="32" t="n">
        <v>76.02</v>
      </c>
      <c r="V252" s="32" t="n">
        <v>56.46</v>
      </c>
      <c r="W252" s="32" t="n">
        <v>24.04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Yes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Yes</t>
        </is>
      </c>
      <c r="AQ252" s="31">
        <f>IF(AP252="Yes",10,0)</f>
        <v/>
      </c>
      <c r="AR252" s="31" t="inlineStr">
        <is>
          <t>Higher Annuity, Lower One Time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Above 40</t>
        </is>
      </c>
      <c r="AY252" s="31">
        <f>IF(AX252="Above 40",20,IF(AX252="20 to 40",10,IF(AX252="0 to 20",-5,0)))</f>
        <v/>
      </c>
      <c r="AZ252" s="31" t="inlineStr">
        <is>
          <t>Above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Blue sky scenario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Less than 12%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Yes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Negative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IF(B253=0,"",RANK(B253,$B$2:$B$379,0))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SETL</t>
        </is>
      </c>
      <c r="D253" s="31" t="inlineStr">
        <is>
          <t>Standard Enginnering Technology Ltd</t>
        </is>
      </c>
      <c r="E253" s="31" t="inlineStr">
        <is>
          <t>industrials</t>
        </is>
      </c>
      <c r="F253" s="31" t="inlineStr">
        <is>
          <t>engineering</t>
        </is>
      </c>
      <c r="G253" s="31" t="inlineStr">
        <is>
          <t>midcap</t>
        </is>
      </c>
      <c r="H253" s="32" t="n">
        <v>5122.35</v>
      </c>
      <c r="I253" s="32" t="n">
        <v>282.45</v>
      </c>
      <c r="J253" s="32" t="n">
        <v>10</v>
      </c>
      <c r="K253" s="32" t="n">
        <v>5805500</v>
      </c>
      <c r="L253" s="31" t="n">
        <v>93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86.05</v>
      </c>
      <c r="P253" s="32" t="n">
        <v>19.91</v>
      </c>
      <c r="Q253" s="32" t="n">
        <v>218.66</v>
      </c>
      <c r="R253" s="31" t="inlineStr">
        <is>
          <t>Volume Spike &amp; Near 52W High Breakout</t>
        </is>
      </c>
      <c r="S253" s="31" t="inlineStr">
        <is>
          <t>Nifty 50</t>
        </is>
      </c>
      <c r="T253" s="32" t="n">
        <v>-5.72</v>
      </c>
      <c r="U253" s="32" t="n">
        <v>66.48</v>
      </c>
      <c r="V253" s="32" t="n">
        <v>76.56999999999999</v>
      </c>
      <c r="W253" s="32" t="n">
        <v>44.04</v>
      </c>
      <c r="X253" s="31" t="inlineStr">
        <is>
          <t>Cyclical in an Upturn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Yes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0 to 20</t>
        </is>
      </c>
      <c r="AY253" s="31">
        <f>IF(AX253="Above 40",20,IF(AX253="20 to 40",10,IF(AX253="0 to 20",-5,0)))</f>
        <v/>
      </c>
      <c r="AZ253" s="31" t="inlineStr">
        <is>
          <t>Above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Blue sky scenario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Yes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Less than 50%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IF(B254=0,"",RANK(B254,$B$2:$B$379,0))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ONMOBILE</t>
        </is>
      </c>
      <c r="D254" s="31" t="inlineStr">
        <is>
          <t>Onmobile Global Limited</t>
        </is>
      </c>
      <c r="E254" s="31" t="inlineStr">
        <is>
          <t>telecom-service</t>
        </is>
      </c>
      <c r="F254" s="31" t="inlineStr">
        <is>
          <t>telecommunications - service provider</t>
        </is>
      </c>
      <c r="G254" s="31" t="inlineStr">
        <is>
          <t>smallcap</t>
        </is>
      </c>
      <c r="H254" s="32" t="n">
        <v>653.34</v>
      </c>
      <c r="I254" s="32" t="n">
        <v>64.73999999999999</v>
      </c>
      <c r="J254" s="32" t="n">
        <v>5.35</v>
      </c>
      <c r="K254" s="32" t="n">
        <v>1224666</v>
      </c>
      <c r="L254" s="31" t="n">
        <v>63</v>
      </c>
      <c r="M254" s="31" t="inlineStr">
        <is>
          <t>Outperforming</t>
        </is>
      </c>
      <c r="N254" s="32">
        <f>IF(M254="Underperforming",-5,IF(L254&gt;=95,15,IF(L254&gt;=90,10,IF(L254&gt;=80,5,0))))</f>
        <v/>
      </c>
      <c r="O254" s="32" t="n">
        <v>65.5</v>
      </c>
      <c r="P254" s="32" t="n">
        <v>19.55</v>
      </c>
      <c r="Q254" s="32" t="n">
        <v>48.24</v>
      </c>
      <c r="R254" s="31" t="inlineStr">
        <is>
          <t>Volume Spike / Accumulation</t>
        </is>
      </c>
      <c r="S254" s="31" t="inlineStr">
        <is>
          <t>Nifty 50</t>
        </is>
      </c>
      <c r="T254" s="32" t="n">
        <v>-5.72</v>
      </c>
      <c r="U254" s="32" t="n">
        <v>21.55</v>
      </c>
      <c r="V254" s="32" t="n">
        <v>28.92</v>
      </c>
      <c r="W254" s="32" t="n">
        <v>16.92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Oligopoly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Yes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Yes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0 to 20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More than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Less than 1.5</t>
        </is>
      </c>
      <c r="BU254" s="31">
        <f>IF(BT254="Above 2",0,IF(BT254="Between 1.5 to 2",5,IF(BT254="Less than 1.5",10,0)))</f>
        <v/>
      </c>
      <c r="BV254" s="31" t="inlineStr">
        <is>
          <t>Negative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IF(B255=0,"",RANK(B255,$B$2:$B$379,0))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LOKESHMACH</t>
        </is>
      </c>
      <c r="D255" s="31" t="inlineStr">
        <is>
          <t>Lokesh Machines Limited</t>
        </is>
      </c>
      <c r="E255" s="31" t="inlineStr">
        <is>
          <t>industrials</t>
        </is>
      </c>
      <c r="F255" s="31" t="inlineStr">
        <is>
          <t>engineering</t>
        </is>
      </c>
      <c r="G255" s="31" t="inlineStr">
        <is>
          <t>smallcap</t>
        </is>
      </c>
      <c r="H255" s="32" t="n">
        <v>579.49</v>
      </c>
      <c r="I255" s="32" t="n">
        <v>285.7</v>
      </c>
      <c r="J255" s="32" t="n">
        <v>5</v>
      </c>
      <c r="K255" s="32" t="n">
        <v>14358</v>
      </c>
      <c r="L255" s="31" t="n">
        <v>54</v>
      </c>
      <c r="M255" s="31" t="inlineStr">
        <is>
          <t>Outperforming</t>
        </is>
      </c>
      <c r="N255" s="32">
        <f>IF(M255="Underperforming",-5,IF(L255&gt;=95,15,IF(L255&gt;=90,10,IF(L255&gt;=80,5,0))))</f>
        <v/>
      </c>
      <c r="O255" s="32" t="n">
        <v>67.05</v>
      </c>
      <c r="P255" s="32" t="n">
        <v>41.62</v>
      </c>
      <c r="Q255" s="32" t="n">
        <v>206.08</v>
      </c>
      <c r="R255" s="31" t="inlineStr">
        <is>
          <t>Near 52W High Breakout</t>
        </is>
      </c>
      <c r="S255" s="31" t="inlineStr">
        <is>
          <t>Nifty 50</t>
        </is>
      </c>
      <c r="T255" s="32" t="n">
        <v>-5.72</v>
      </c>
      <c r="U255" s="32" t="n">
        <v>35.1</v>
      </c>
      <c r="V255" s="32" t="n">
        <v>43.29</v>
      </c>
      <c r="W255" s="32" t="n">
        <v>14.44</v>
      </c>
      <c r="X255" s="31" t="inlineStr">
        <is>
          <t>Cyclical in an Upturn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Yes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Above 40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Yes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Negative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Between 0.7 to 1.2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IF(B256=0,"",RANK(B256,$B$2:$B$379,0))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MSPL</t>
        </is>
      </c>
      <c r="D256" s="31" t="inlineStr">
        <is>
          <t>Msp Steel &amp; Power Limited</t>
        </is>
      </c>
      <c r="E256" s="31" t="inlineStr">
        <is>
          <t>metals &amp; mining</t>
        </is>
      </c>
      <c r="F256" s="31" t="inlineStr">
        <is>
          <t>steel - medium / small</t>
        </is>
      </c>
      <c r="G256" s="31" t="inlineStr">
        <is>
          <t>smallcap</t>
        </is>
      </c>
      <c r="H256" s="32" t="n">
        <v>2304.6</v>
      </c>
      <c r="I256" s="32" t="n">
        <v>42.61</v>
      </c>
      <c r="J256" s="32" t="n">
        <v>4.8</v>
      </c>
      <c r="K256" s="32" t="n">
        <v>1347092</v>
      </c>
      <c r="L256" s="31" t="n">
        <v>69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62.02</v>
      </c>
      <c r="P256" s="32" t="n">
        <v>24.55</v>
      </c>
      <c r="Q256" s="32" t="n">
        <v>33.98</v>
      </c>
      <c r="R256" s="31" t="inlineStr">
        <is>
          <t>Near 52W High Breakout</t>
        </is>
      </c>
      <c r="S256" s="31" t="inlineStr">
        <is>
          <t>Nifty Metal</t>
        </is>
      </c>
      <c r="T256" s="32" t="n">
        <v>29.38</v>
      </c>
      <c r="U256" s="32" t="n">
        <v>56.94</v>
      </c>
      <c r="V256" s="32" t="n">
        <v>21.31</v>
      </c>
      <c r="W256" s="32" t="n">
        <v>18.97</v>
      </c>
      <c r="X256" s="31" t="inlineStr">
        <is>
          <t>Cyclical in an Upturn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Cyclical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Volatile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Yes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20 to 40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More than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Yes</t>
        </is>
      </c>
      <c r="BS256" s="31">
        <f>IF(BR256="NO",5,0)</f>
        <v/>
      </c>
      <c r="BT256" s="31" t="inlineStr">
        <is>
          <t>Above 2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IF(B257=0,"",RANK(B257,$B$2:$B$379,0))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ASIANPAINT</t>
        </is>
      </c>
      <c r="D257" s="31" t="inlineStr">
        <is>
          <t>Asian Paints Limited</t>
        </is>
      </c>
      <c r="E257" s="31" t="inlineStr">
        <is>
          <t>building materials</t>
        </is>
      </c>
      <c r="F257" s="31" t="inlineStr">
        <is>
          <t>paints / varnishes</t>
        </is>
      </c>
      <c r="G257" s="31" t="inlineStr">
        <is>
          <t>largecap</t>
        </is>
      </c>
      <c r="H257" s="32" t="n">
        <v>252815.76</v>
      </c>
      <c r="I257" s="32" t="n">
        <v>2716.4</v>
      </c>
      <c r="J257" s="32" t="n">
        <v>3.06</v>
      </c>
      <c r="K257" s="32" t="n">
        <v>1097512</v>
      </c>
      <c r="L257" s="31" t="n">
        <v>32</v>
      </c>
      <c r="M257" s="31" t="inlineStr">
        <is>
          <t>Outperforming</t>
        </is>
      </c>
      <c r="N257" s="32">
        <f>IF(M257="Underperforming",-5,IF(L257&gt;=95,15,IF(L257&gt;=90,10,IF(L257&gt;=80,5,0))))</f>
        <v/>
      </c>
      <c r="O257" s="32" t="n">
        <v>60.69</v>
      </c>
      <c r="P257" s="32" t="n">
        <v>18.99</v>
      </c>
      <c r="Q257" s="32" t="n">
        <v>2319.85</v>
      </c>
      <c r="R257" s="31" t="inlineStr">
        <is>
          <t>Earnings / Momentum Support</t>
        </is>
      </c>
      <c r="S257" s="31" t="inlineStr">
        <is>
          <t>Nifty Infra</t>
        </is>
      </c>
      <c r="T257" s="32" t="n">
        <v>0.09</v>
      </c>
      <c r="U257" s="32" t="n">
        <v>13.2</v>
      </c>
      <c r="V257" s="32" t="n">
        <v>13.1</v>
      </c>
      <c r="W257" s="32" t="n">
        <v>9.18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Headwind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No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0 to 20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More than 20%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Yes</t>
        </is>
      </c>
      <c r="BS257" s="31">
        <f>IF(BR257="NO",5,0)</f>
        <v/>
      </c>
      <c r="BT257" s="31" t="inlineStr">
        <is>
          <t>Less than 1.5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IF(B258=0,"",RANK(B258,$B$2:$B$379,0))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DEEPAKFERT</t>
        </is>
      </c>
      <c r="D258" s="31" t="inlineStr">
        <is>
          <t>Deepak Fertilizers And Petrochemicals Corporation Limited</t>
        </is>
      </c>
      <c r="E258" s="31" t="inlineStr">
        <is>
          <t>chemicals</t>
        </is>
      </c>
      <c r="F258" s="31" t="inlineStr">
        <is>
          <t>chemicals</t>
        </is>
      </c>
      <c r="G258" s="31" t="inlineStr">
        <is>
          <t>midcap</t>
        </is>
      </c>
      <c r="H258" s="32" t="n">
        <v>19669.12</v>
      </c>
      <c r="I258" s="32" t="n">
        <v>1604.6</v>
      </c>
      <c r="J258" s="32" t="n">
        <v>2.98</v>
      </c>
      <c r="K258" s="32" t="n">
        <v>234471</v>
      </c>
      <c r="L258" s="31" t="n">
        <v>56</v>
      </c>
      <c r="M258" s="31" t="inlineStr">
        <is>
          <t>Outperforming</t>
        </is>
      </c>
      <c r="N258" s="32">
        <f>IF(M258="Underperforming",-5,IF(L258&gt;=95,15,IF(L258&gt;=90,10,IF(L258&gt;=80,5,0))))</f>
        <v/>
      </c>
      <c r="O258" s="32" t="n">
        <v>71.39</v>
      </c>
      <c r="P258" s="32" t="n">
        <v>35.27</v>
      </c>
      <c r="Q258" s="32" t="n">
        <v>1260.98</v>
      </c>
      <c r="R258" s="31" t="inlineStr">
        <is>
          <t>Near 52W High Breakout</t>
        </is>
      </c>
      <c r="S258" s="31" t="inlineStr">
        <is>
          <t>Nifty 50</t>
        </is>
      </c>
      <c r="T258" s="32" t="n">
        <v>-5.72</v>
      </c>
      <c r="U258" s="32" t="n">
        <v>-5.49</v>
      </c>
      <c r="V258" s="32" t="n">
        <v>0.24</v>
      </c>
      <c r="W258" s="32" t="n">
        <v>14.96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Yes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20 to 40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Less than 12%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No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Less than 50%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Between 0.7 to 1.2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IF(B259=0,"",RANK(B259,$B$2:$B$379,0))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1" t="inlineStr">
        <is>
          <t>TVSSRICHAK</t>
        </is>
      </c>
      <c r="D259" s="31" t="inlineStr">
        <is>
          <t>Tvs Srichakra Limited</t>
        </is>
      </c>
      <c r="E259" s="31" t="inlineStr">
        <is>
          <t>auto</t>
        </is>
      </c>
      <c r="F259" s="31" t="inlineStr">
        <is>
          <t>tyres</t>
        </is>
      </c>
      <c r="G259" s="31" t="inlineStr">
        <is>
          <t>smallcap</t>
        </is>
      </c>
      <c r="H259" s="32" t="n">
        <v>3145.13</v>
      </c>
      <c r="I259" s="32" t="n">
        <v>4187.3</v>
      </c>
      <c r="J259" s="32" t="n">
        <v>1.94</v>
      </c>
      <c r="K259" s="32" t="n">
        <v>5194</v>
      </c>
      <c r="L259" s="31" t="n">
        <v>39</v>
      </c>
      <c r="M259" s="31" t="inlineStr">
        <is>
          <t>Outperforming</t>
        </is>
      </c>
      <c r="N259" s="32">
        <f>IF(M259="Underperforming",-5,IF(L259&gt;=95,15,IF(L259&gt;=90,10,IF(L259&gt;=80,5,0))))</f>
        <v/>
      </c>
      <c r="O259" s="32" t="n">
        <v>58.46</v>
      </c>
      <c r="P259" s="32" t="n">
        <v>13.31</v>
      </c>
      <c r="Q259" s="32" t="n">
        <v>3298.15</v>
      </c>
      <c r="R259" s="31" t="inlineStr">
        <is>
          <t>Earnings / Momentum Support</t>
        </is>
      </c>
      <c r="S259" s="31" t="inlineStr">
        <is>
          <t>Nifty Auto</t>
        </is>
      </c>
      <c r="T259" s="32" t="n">
        <v>11.69</v>
      </c>
      <c r="U259" s="32" t="n">
        <v>30.25</v>
      </c>
      <c r="V259" s="32" t="n">
        <v>16.62</v>
      </c>
      <c r="W259" s="32" t="n">
        <v>10.7</v>
      </c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No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0 to 20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Yes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IF(B260=0,"",RANK(B260,$B$2:$B$379,0))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SBC</t>
        </is>
      </c>
      <c r="D260" s="31" t="inlineStr">
        <is>
          <t>SBC Exports Ltd</t>
        </is>
      </c>
      <c r="E260" s="31" t="inlineStr">
        <is>
          <t>textiles</t>
        </is>
      </c>
      <c r="F260" s="31" t="inlineStr">
        <is>
          <t>textiles - products</t>
        </is>
      </c>
      <c r="G260" s="31" t="inlineStr">
        <is>
          <t>smallcap</t>
        </is>
      </c>
      <c r="H260" s="32" t="n">
        <v>1970.47</v>
      </c>
      <c r="I260" s="32" t="n">
        <v>42</v>
      </c>
      <c r="J260" s="32" t="n">
        <v>1.5</v>
      </c>
      <c r="K260" s="32" t="n">
        <v>7545732</v>
      </c>
      <c r="L260" s="31" t="n">
        <v>88</v>
      </c>
      <c r="M260" s="31" t="inlineStr">
        <is>
          <t>Outperforming</t>
        </is>
      </c>
      <c r="N260" s="32">
        <f>IF(M260="Underperforming",-5,IF(L260&gt;=95,15,IF(L260&gt;=90,10,IF(L260&gt;=80,5,0))))</f>
        <v/>
      </c>
      <c r="O260" s="32" t="n">
        <v>73.06999999999999</v>
      </c>
      <c r="P260" s="32" t="n">
        <v>32.7</v>
      </c>
      <c r="Q260" s="32" t="n">
        <v>35.84</v>
      </c>
      <c r="R260" s="31" t="inlineStr">
        <is>
          <t>Near 52W High Breakout</t>
        </is>
      </c>
      <c r="S260" s="31" t="inlineStr">
        <is>
          <t>Nifty 50</t>
        </is>
      </c>
      <c r="T260" s="32" t="n">
        <v>-5.72</v>
      </c>
      <c r="U260" s="32" t="n">
        <v>181.12</v>
      </c>
      <c r="V260" s="32" t="n">
        <v>198.17</v>
      </c>
      <c r="W260" s="32" t="n">
        <v>31.79</v>
      </c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Yes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20 to 40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Blue sky scenario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More than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Yes</t>
        </is>
      </c>
      <c r="BS260" s="31">
        <f>IF(BR260="NO",5,0)</f>
        <v/>
      </c>
      <c r="BT260" s="31" t="inlineStr">
        <is>
          <t>Between 1.5 to 2</t>
        </is>
      </c>
      <c r="BU260" s="31">
        <f>IF(BT260="Above 2",0,IF(BT260="Between 1.5 to 2",5,IF(BT260="Less than 1.5",10,0)))</f>
        <v/>
      </c>
      <c r="BV260" s="31" t="inlineStr">
        <is>
          <t>Negative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More than 1.2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IF(B261=0,"",RANK(B261,$B$2:$B$379,0))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GRASIM</t>
        </is>
      </c>
      <c r="D261" s="31" t="inlineStr">
        <is>
          <t>Grasim Industries Limited</t>
        </is>
      </c>
      <c r="E261" s="31" t="inlineStr">
        <is>
          <t>textiles</t>
        </is>
      </c>
      <c r="F261" s="31" t="inlineStr">
        <is>
          <t>textiles - manmade</t>
        </is>
      </c>
      <c r="G261" s="31" t="inlineStr">
        <is>
          <t>largecap</t>
        </is>
      </c>
      <c r="H261" s="32" t="n">
        <v>210979.98</v>
      </c>
      <c r="I261" s="32" t="n">
        <v>3140.4</v>
      </c>
      <c r="J261" s="32" t="n">
        <v>1.3</v>
      </c>
      <c r="K261" s="32" t="n">
        <v>490262</v>
      </c>
      <c r="L261" s="31" t="n">
        <v>24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65.08</v>
      </c>
      <c r="P261" s="32" t="n">
        <v>25.19</v>
      </c>
      <c r="Q261" s="32" t="n">
        <v>2773.47</v>
      </c>
      <c r="R261" s="31" t="inlineStr">
        <is>
          <t>Near 52W High Breakout</t>
        </is>
      </c>
      <c r="S261" s="31" t="inlineStr">
        <is>
          <t>Nifty 50</t>
        </is>
      </c>
      <c r="T261" s="32" t="n">
        <v>-5.72</v>
      </c>
      <c r="U261" s="32" t="n">
        <v>12.33</v>
      </c>
      <c r="V261" s="32" t="n">
        <v>19.14</v>
      </c>
      <c r="W261" s="32" t="n">
        <v>7.38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Yes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20 to 40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Blue sky scenario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Yes</t>
        </is>
      </c>
      <c r="BS261" s="31">
        <f>IF(BR261="NO",5,0)</f>
        <v/>
      </c>
      <c r="BT261" s="31" t="inlineStr">
        <is>
          <t>Less than 1.5</t>
        </is>
      </c>
      <c r="BU261" s="31">
        <f>IF(BT261="Above 2",0,IF(BT261="Between 1.5 to 2",5,IF(BT261="Less than 1.5",10,0)))</f>
        <v/>
      </c>
      <c r="BV261" s="31" t="inlineStr">
        <is>
          <t>Negative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More than 1.2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IF(B262=0,"",RANK(B262,$B$2:$B$379,0))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TITAGARH</t>
        </is>
      </c>
      <c r="D262" s="31" t="inlineStr">
        <is>
          <t>Titagarh Rail Systems Ltd</t>
        </is>
      </c>
      <c r="E262" s="31" t="inlineStr">
        <is>
          <t>industrials</t>
        </is>
      </c>
      <c r="F262" s="31" t="inlineStr">
        <is>
          <t>engineering</t>
        </is>
      </c>
      <c r="G262" s="31" t="inlineStr">
        <is>
          <t>midcap</t>
        </is>
      </c>
      <c r="H262" s="32" t="n">
        <v>11860.72</v>
      </c>
      <c r="I262" s="32" t="n">
        <v>890.7</v>
      </c>
      <c r="J262" s="32" t="n">
        <v>1.14</v>
      </c>
      <c r="K262" s="32" t="n">
        <v>598797</v>
      </c>
      <c r="L262" s="31" t="n">
        <v>39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60.09</v>
      </c>
      <c r="P262" s="32" t="n">
        <v>22.82</v>
      </c>
      <c r="Q262" s="32" t="n">
        <v>721.4299999999999</v>
      </c>
      <c r="R262" s="31" t="inlineStr">
        <is>
          <t>Earnings / Momentum Support</t>
        </is>
      </c>
      <c r="S262" s="31" t="inlineStr">
        <is>
          <t>Nifty 50</t>
        </is>
      </c>
      <c r="T262" s="32" t="n">
        <v>-5.72</v>
      </c>
      <c r="U262" s="32" t="n">
        <v>-5.25</v>
      </c>
      <c r="V262" s="32" t="n">
        <v>0.49</v>
      </c>
      <c r="W262" s="32" t="n">
        <v>10.7</v>
      </c>
      <c r="X262" s="31" t="inlineStr">
        <is>
          <t>Cyclical in an Upturn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No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20 to 40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Less than 12%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Yes</t>
        </is>
      </c>
      <c r="BS262" s="31">
        <f>IF(BR262="NO",5,0)</f>
        <v/>
      </c>
      <c r="BT262" s="31" t="inlineStr">
        <is>
          <t>Above 2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IF(B263=0,"",RANK(B263,$B$2:$B$379,0))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MANINDS</t>
        </is>
      </c>
      <c r="D263" s="31" t="inlineStr">
        <is>
          <t>Man Industries (india) Limited</t>
        </is>
      </c>
      <c r="E263" s="31" t="inlineStr">
        <is>
          <t>metals &amp; mining</t>
        </is>
      </c>
      <c r="F263" s="31" t="inlineStr">
        <is>
          <t>steel - medium / small</t>
        </is>
      </c>
      <c r="G263" s="31" t="inlineStr">
        <is>
          <t>smallcap</t>
        </is>
      </c>
      <c r="H263" s="32" t="n">
        <v>4362.93</v>
      </c>
      <c r="I263" s="32" t="n">
        <v>583.3</v>
      </c>
      <c r="J263" s="32" t="n">
        <v>0.28</v>
      </c>
      <c r="K263" s="32" t="n">
        <v>190555</v>
      </c>
      <c r="L263" s="31" t="n">
        <v>77</v>
      </c>
      <c r="M263" s="31" t="inlineStr">
        <is>
          <t>Outperforming</t>
        </is>
      </c>
      <c r="N263" s="32">
        <f>IF(M263="Underperforming",-5,IF(L263&gt;=95,15,IF(L263&gt;=90,10,IF(L263&gt;=80,5,0))))</f>
        <v/>
      </c>
      <c r="O263" s="32" t="n">
        <v>62.58</v>
      </c>
      <c r="P263" s="32" t="n">
        <v>30.85</v>
      </c>
      <c r="Q263" s="32" t="n">
        <v>417.06</v>
      </c>
      <c r="R263" s="31" t="inlineStr">
        <is>
          <t>Near 52W High Breakout</t>
        </is>
      </c>
      <c r="S263" s="31" t="inlineStr">
        <is>
          <t>Nifty Metal</t>
        </is>
      </c>
      <c r="T263" s="32" t="n">
        <v>29.38</v>
      </c>
      <c r="U263" s="32" t="n">
        <v>34.9</v>
      </c>
      <c r="V263" s="32" t="n">
        <v>4.27</v>
      </c>
      <c r="W263" s="32" t="n">
        <v>22.74</v>
      </c>
      <c r="X263" s="31" t="inlineStr">
        <is>
          <t>Cyclical in an Upturn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Cyclical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Volatile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Yes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20 to 40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Blue sky scenario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Less than 12%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No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IF(B264=0,"",RANK(B264,$B$2:$B$379,0))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SUYOG</t>
        </is>
      </c>
      <c r="D264" s="31" t="inlineStr">
        <is>
          <t>Suyog Telematics Ltd</t>
        </is>
      </c>
      <c r="E264" s="31" t="inlineStr">
        <is>
          <t>telecom</t>
        </is>
      </c>
      <c r="F264" s="31" t="inlineStr">
        <is>
          <t>transmisson line towers / equipment</t>
        </is>
      </c>
      <c r="G264" s="31" t="inlineStr">
        <is>
          <t>smallcap</t>
        </is>
      </c>
      <c r="H264" s="32" t="n">
        <v>979.3200000000001</v>
      </c>
      <c r="I264" s="32" t="n">
        <v>838.15</v>
      </c>
      <c r="J264" s="32" t="n">
        <v>0.28</v>
      </c>
      <c r="K264" s="32" t="n">
        <v>37322</v>
      </c>
      <c r="L264" s="31" t="n">
        <v>16</v>
      </c>
      <c r="M264" s="31" t="inlineStr">
        <is>
          <t>Outperforming</t>
        </is>
      </c>
      <c r="N264" s="32">
        <f>IF(M264="Underperforming",-5,IF(L264&gt;=95,15,IF(L264&gt;=90,10,IF(L264&gt;=80,5,0))))</f>
        <v/>
      </c>
      <c r="O264" s="32" t="n">
        <v>58.12</v>
      </c>
      <c r="P264" s="32" t="n">
        <v>15.84</v>
      </c>
      <c r="Q264" s="32" t="n">
        <v>600.71</v>
      </c>
      <c r="R264" s="31" t="inlineStr">
        <is>
          <t>Near 52W High Breakout</t>
        </is>
      </c>
      <c r="S264" s="31" t="inlineStr">
        <is>
          <t>Nifty 50</t>
        </is>
      </c>
      <c r="T264" s="32" t="n">
        <v>-5.72</v>
      </c>
      <c r="U264" s="32" t="n">
        <v>-5.64</v>
      </c>
      <c r="V264" s="32" t="n">
        <v>0.08</v>
      </c>
      <c r="W264" s="32" t="n">
        <v>5.45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Oligopoly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Yes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Yes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0 to 20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2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More than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Less than 1.5</t>
        </is>
      </c>
      <c r="BU264" s="31">
        <f>IF(BT264="Above 2",0,IF(BT264="Between 1.5 to 2",5,IF(BT264="Less than 1.5",10,0)))</f>
        <v/>
      </c>
      <c r="BV264" s="31" t="inlineStr">
        <is>
          <t>Less than 50%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Between 0.7 to 1.2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IF(B265=0,"",RANK(B265,$B$2:$B$379,0))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TIRUPATIFL</t>
        </is>
      </c>
      <c r="D265" s="31" t="inlineStr">
        <is>
          <t>Tirupati Forge Ltd</t>
        </is>
      </c>
      <c r="E265" s="31" t="inlineStr">
        <is>
          <t>industrials</t>
        </is>
      </c>
      <c r="F265" s="31" t="inlineStr">
        <is>
          <t>castings &amp; forgings</t>
        </is>
      </c>
      <c r="G265" s="31" t="inlineStr">
        <is>
          <t>smallcap</t>
        </is>
      </c>
      <c r="H265" s="32" t="n">
        <v>827.72</v>
      </c>
      <c r="I265" s="32" t="n">
        <v>63.98</v>
      </c>
      <c r="J265" s="32" t="n">
        <v>-0.14</v>
      </c>
      <c r="K265" s="32" t="n">
        <v>2755886</v>
      </c>
      <c r="L265" s="31" t="n">
        <v>67</v>
      </c>
      <c r="M265" s="31" t="inlineStr">
        <is>
          <t>Outperforming</t>
        </is>
      </c>
      <c r="N265" s="32">
        <f>IF(M265="Underperforming",-5,IF(L265&gt;=95,15,IF(L265&gt;=90,10,IF(L265&gt;=80,5,0))))</f>
        <v/>
      </c>
      <c r="O265" s="32" t="n">
        <v>75.93000000000001</v>
      </c>
      <c r="P265" s="32" t="n">
        <v>31.19</v>
      </c>
      <c r="Q265" s="32" t="n">
        <v>46.04</v>
      </c>
      <c r="R265" s="31" t="inlineStr">
        <is>
          <t>Volume Spike &amp; Near 52W High Breakout</t>
        </is>
      </c>
      <c r="S265" s="31" t="inlineStr">
        <is>
          <t>Nifty 50</t>
        </is>
      </c>
      <c r="T265" s="32" t="n">
        <v>-5.72</v>
      </c>
      <c r="U265" s="32" t="n">
        <v>38.07</v>
      </c>
      <c r="V265" s="32" t="n">
        <v>46.44</v>
      </c>
      <c r="W265" s="32" t="n">
        <v>18.27</v>
      </c>
      <c r="X265" s="31" t="inlineStr">
        <is>
          <t>Cyclical in an Upturn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Yes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20 to 40</t>
        </is>
      </c>
      <c r="AY265" s="31">
        <f>IF(AX265="Above 40",20,IF(AX265="20 to 40",10,IF(AX265="0 to 20",-5,0)))</f>
        <v/>
      </c>
      <c r="AZ265" s="31" t="inlineStr">
        <is>
          <t>Above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Less than 12%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Yes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IF(B266=0,"",RANK(B266,$B$2:$B$379,0))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3" t="inlineStr">
        <is>
          <t>CERA</t>
        </is>
      </c>
      <c r="D266" s="33" t="inlineStr">
        <is>
          <t>Cera Sanitaryware Limited</t>
        </is>
      </c>
      <c r="E266" s="31" t="inlineStr">
        <is>
          <t>building materials</t>
        </is>
      </c>
      <c r="F266" s="31" t="inlineStr">
        <is>
          <t>ceramics - tiles / sanitaryware</t>
        </is>
      </c>
      <c r="G266" s="31" t="inlineStr">
        <is>
          <t>midcap</t>
        </is>
      </c>
      <c r="H266" s="32" t="n">
        <v>8320.85</v>
      </c>
      <c r="I266" s="32" t="n">
        <v>6441</v>
      </c>
      <c r="J266" s="32" t="n">
        <v>-0.16</v>
      </c>
      <c r="K266" s="32" t="n">
        <v>9882</v>
      </c>
      <c r="L266" s="31" t="n">
        <v>28</v>
      </c>
      <c r="M266" s="31" t="inlineStr">
        <is>
          <t>Underperforming</t>
        </is>
      </c>
      <c r="N266" s="32">
        <f>IF(M266="Underperforming",-5,IF(L266&gt;=95,15,IF(L266&gt;=90,10,IF(L266&gt;=80,5,0))))</f>
        <v/>
      </c>
      <c r="O266" s="32" t="n">
        <v>67.05</v>
      </c>
      <c r="P266" s="32" t="n">
        <v>32.76</v>
      </c>
      <c r="Q266" s="32" t="n">
        <v>5299.67</v>
      </c>
      <c r="R266" s="31" t="inlineStr">
        <is>
          <t>Earnings / Momentum Support</t>
        </is>
      </c>
      <c r="S266" s="31" t="inlineStr">
        <is>
          <t>Nifty Infra</t>
        </is>
      </c>
      <c r="T266" s="32" t="n">
        <v>0.09</v>
      </c>
      <c r="U266" s="32" t="n">
        <v>-3.67</v>
      </c>
      <c r="V266" s="32" t="n">
        <v>-3.75</v>
      </c>
      <c r="W266" s="32" t="n">
        <v>8.369999999999999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No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20 to 40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Less than 12%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Yes</t>
        </is>
      </c>
      <c r="BS266" s="31">
        <f>IF(BR266="NO",5,0)</f>
        <v/>
      </c>
      <c r="BT266" s="31" t="inlineStr">
        <is>
          <t>Above 2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IF(B267=0,"",RANK(B267,$B$2:$B$379,0))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GOODLUCK</t>
        </is>
      </c>
      <c r="D267" s="31" t="inlineStr">
        <is>
          <t>Goodluck India Limited</t>
        </is>
      </c>
      <c r="E267" s="31" t="inlineStr">
        <is>
          <t>metals &amp; mining</t>
        </is>
      </c>
      <c r="F267" s="31" t="inlineStr">
        <is>
          <t>steel - medium / small</t>
        </is>
      </c>
      <c r="G267" s="31" t="inlineStr">
        <is>
          <t>smallcap</t>
        </is>
      </c>
      <c r="H267" s="32" t="n">
        <v>4942.57</v>
      </c>
      <c r="I267" s="32" t="n">
        <v>1474.8</v>
      </c>
      <c r="J267" s="32" t="n">
        <v>-0.82</v>
      </c>
      <c r="K267" s="32" t="n">
        <v>91814</v>
      </c>
      <c r="L267" s="31" t="n">
        <v>57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62.81</v>
      </c>
      <c r="P267" s="32" t="n">
        <v>28.98</v>
      </c>
      <c r="Q267" s="32" t="n">
        <v>1100.36</v>
      </c>
      <c r="R267" s="31" t="inlineStr">
        <is>
          <t>Volume Spike &amp; Near 52W High Breakout</t>
        </is>
      </c>
      <c r="S267" s="31" t="inlineStr">
        <is>
          <t>Nifty Metal</t>
        </is>
      </c>
      <c r="T267" s="32" t="n">
        <v>29.38</v>
      </c>
      <c r="U267" s="32" t="n">
        <v>31.47</v>
      </c>
      <c r="V267" s="32" t="n">
        <v>1.62</v>
      </c>
      <c r="W267" s="32" t="n">
        <v>15.56</v>
      </c>
      <c r="X267" s="31" t="inlineStr">
        <is>
          <t>Cyclical in an Upturn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Cyclical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Volatile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Yes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20 to 40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Blue sky scenario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More than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Less than 1.5</t>
        </is>
      </c>
      <c r="BU267" s="31">
        <f>IF(BT267="Above 2",0,IF(BT267="Between 1.5 to 2",5,IF(BT267="Less than 1.5",10,0)))</f>
        <v/>
      </c>
      <c r="BV267" s="31" t="inlineStr">
        <is>
          <t>Less than 50%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Between 0.7 to 1.2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IF(B268=0,"",RANK(B268,$B$2:$B$379,0))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GREENLAM</t>
        </is>
      </c>
      <c r="D268" s="31" t="inlineStr">
        <is>
          <t>Greenlam Industries Limited</t>
        </is>
      </c>
      <c r="E268" s="31" t="inlineStr">
        <is>
          <t>building materials</t>
        </is>
      </c>
      <c r="F268" s="31" t="inlineStr">
        <is>
          <t>miscellaneous</t>
        </is>
      </c>
      <c r="G268" s="31" t="inlineStr">
        <is>
          <t>midcap</t>
        </is>
      </c>
      <c r="H268" s="32" t="n">
        <v>6588.93</v>
      </c>
      <c r="I268" s="32" t="n">
        <v>255.4</v>
      </c>
      <c r="J268" s="32" t="n">
        <v>-1.1</v>
      </c>
      <c r="K268" s="32" t="n">
        <v>49769</v>
      </c>
      <c r="L268" s="31" t="n">
        <v>11</v>
      </c>
      <c r="M268" s="31" t="inlineStr">
        <is>
          <t>Outperforming</t>
        </is>
      </c>
      <c r="N268" s="32">
        <f>IF(M268="Underperforming",-5,IF(L268&gt;=95,15,IF(L268&gt;=90,10,IF(L268&gt;=80,5,0))))</f>
        <v/>
      </c>
      <c r="O268" s="32" t="n">
        <v>59.14</v>
      </c>
      <c r="P268" s="32" t="n">
        <v>19.69</v>
      </c>
      <c r="Q268" s="32" t="n">
        <v>197.73</v>
      </c>
      <c r="R268" s="31" t="inlineStr">
        <is>
          <t>Near 52W High Breakout</t>
        </is>
      </c>
      <c r="S268" s="31" t="inlineStr">
        <is>
          <t>Nifty Infra</t>
        </is>
      </c>
      <c r="T268" s="32" t="n">
        <v>0.09</v>
      </c>
      <c r="U268" s="32" t="n">
        <v>3.25</v>
      </c>
      <c r="V268" s="32" t="n">
        <v>3.16</v>
      </c>
      <c r="W268" s="32" t="n">
        <v>4.23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Yes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0 to 20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Yes</t>
        </is>
      </c>
      <c r="BS268" s="31">
        <f>IF(BR268="NO",5,0)</f>
        <v/>
      </c>
      <c r="BT268" s="31" t="inlineStr">
        <is>
          <t>Above 2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Between 0.7 to 1.2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IF(B269=0,"",RANK(B269,$B$2:$B$379,0))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NAVINFLUOR</t>
        </is>
      </c>
      <c r="D269" s="31" t="inlineStr">
        <is>
          <t>Navin Fluorine International Limited</t>
        </is>
      </c>
      <c r="E269" s="31" t="inlineStr">
        <is>
          <t>chemicals</t>
        </is>
      </c>
      <c r="F269" s="31" t="inlineStr">
        <is>
          <t>chemicals</t>
        </is>
      </c>
      <c r="G269" s="31" t="inlineStr">
        <is>
          <t>largecap</t>
        </is>
      </c>
      <c r="H269" s="32" t="n">
        <v>39394.78</v>
      </c>
      <c r="I269" s="32" t="n">
        <v>7585</v>
      </c>
      <c r="J269" s="32" t="n">
        <v>-1.33</v>
      </c>
      <c r="K269" s="32" t="n">
        <v>57765</v>
      </c>
      <c r="L269" s="31" t="n">
        <v>59</v>
      </c>
      <c r="M269" s="31" t="inlineStr">
        <is>
          <t>Outperforming</t>
        </is>
      </c>
      <c r="N269" s="32">
        <f>IF(M269="Underperforming",-5,IF(L269&gt;=95,15,IF(L269&gt;=90,10,IF(L269&gt;=80,5,0))))</f>
        <v/>
      </c>
      <c r="O269" s="32" t="n">
        <v>72.38</v>
      </c>
      <c r="P269" s="32" t="n">
        <v>40.58</v>
      </c>
      <c r="Q269" s="32" t="n">
        <v>6273.39</v>
      </c>
      <c r="R269" s="31" t="inlineStr">
        <is>
          <t>Near 52W High Breakout</t>
        </is>
      </c>
      <c r="S269" s="31" t="inlineStr">
        <is>
          <t>Nifty 50</t>
        </is>
      </c>
      <c r="T269" s="32" t="n">
        <v>-5.72</v>
      </c>
      <c r="U269" s="32" t="n">
        <v>54.33</v>
      </c>
      <c r="V269" s="32" t="n">
        <v>63.68</v>
      </c>
      <c r="W269" s="32" t="n">
        <v>15.89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Oligopoly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Shallow Cyclical (2 to 3 Years Growth)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Yes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20 to 40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3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More than 20%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Yes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Between 50% to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IF(B270=0,"",RANK(B270,$B$2:$B$379,0))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3" t="inlineStr">
        <is>
          <t>TPLPLASTEH</t>
        </is>
      </c>
      <c r="D270" s="33" t="inlineStr">
        <is>
          <t>Tpl Plastech Limited</t>
        </is>
      </c>
      <c r="E270" s="31" t="inlineStr">
        <is>
          <t>industrials</t>
        </is>
      </c>
      <c r="F270" s="31" t="inlineStr">
        <is>
          <t>packaging</t>
        </is>
      </c>
      <c r="G270" s="31" t="inlineStr">
        <is>
          <t>smallcap</t>
        </is>
      </c>
      <c r="H270" s="32" t="n">
        <v>570.59</v>
      </c>
      <c r="I270" s="32" t="n">
        <v>72.11</v>
      </c>
      <c r="J270" s="32" t="n">
        <v>-1.42</v>
      </c>
      <c r="K270" s="32" t="n">
        <v>67217</v>
      </c>
      <c r="L270" s="31" t="n">
        <v>4</v>
      </c>
      <c r="M270" s="31" t="inlineStr">
        <is>
          <t>Underperforming</t>
        </is>
      </c>
      <c r="N270" s="32">
        <f>IF(M270="Underperforming",-5,IF(L270&gt;=95,15,IF(L270&gt;=90,10,IF(L270&gt;=80,5,0))))</f>
        <v/>
      </c>
      <c r="O270" s="32" t="n">
        <v>55.73</v>
      </c>
      <c r="P270" s="32" t="n">
        <v>13.75</v>
      </c>
      <c r="Q270" s="32" t="n">
        <v>53.64</v>
      </c>
      <c r="R270" s="31" t="inlineStr">
        <is>
          <t>Earnings / Momentum Support</t>
        </is>
      </c>
      <c r="S270" s="31" t="inlineStr">
        <is>
          <t>Nifty 50</t>
        </is>
      </c>
      <c r="T270" s="32" t="n">
        <v>-5.72</v>
      </c>
      <c r="U270" s="32" t="n">
        <v>-11.59</v>
      </c>
      <c r="V270" s="32" t="n">
        <v>-6.23</v>
      </c>
      <c r="W270" s="32" t="n">
        <v>2.4</v>
      </c>
      <c r="X270" s="31" t="inlineStr">
        <is>
          <t>Cyclical in an Upturn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No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0 to 20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Between 12 to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No</t>
        </is>
      </c>
      <c r="BS270" s="31">
        <f>IF(BR270="NO",5,0)</f>
        <v/>
      </c>
      <c r="BT270" s="31" t="inlineStr">
        <is>
          <t>Less than 1.5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IF(B271=0,"",RANK(B271,$B$2:$B$379,0))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BHARATFORG</t>
        </is>
      </c>
      <c r="D271" s="31" t="inlineStr">
        <is>
          <t>Bharat Forge Limited</t>
        </is>
      </c>
      <c r="E271" s="31" t="inlineStr">
        <is>
          <t>industrials</t>
        </is>
      </c>
      <c r="F271" s="31" t="inlineStr">
        <is>
          <t>castings &amp; forgings</t>
        </is>
      </c>
      <c r="G271" s="31" t="inlineStr">
        <is>
          <t>largecap</t>
        </is>
      </c>
      <c r="H271" s="32" t="n">
        <v>102506.98</v>
      </c>
      <c r="I271" s="32" t="n">
        <v>2108.8</v>
      </c>
      <c r="J271" s="32" t="n">
        <v>-1.65</v>
      </c>
      <c r="K271" s="32" t="n">
        <v>1124785</v>
      </c>
      <c r="L271" s="31" t="n">
        <v>60</v>
      </c>
      <c r="M271" s="31" t="inlineStr">
        <is>
          <t>Outperforming</t>
        </is>
      </c>
      <c r="N271" s="32">
        <f>IF(M271="Underperforming",-5,IF(L271&gt;=95,15,IF(L271&gt;=90,10,IF(L271&gt;=80,5,0))))</f>
        <v/>
      </c>
      <c r="O271" s="32" t="n">
        <v>69.17</v>
      </c>
      <c r="P271" s="32" t="n">
        <v>38.4</v>
      </c>
      <c r="Q271" s="32" t="n">
        <v>1775.78</v>
      </c>
      <c r="R271" s="31" t="inlineStr">
        <is>
          <t>Volume Spike &amp; Near 52W High Breakout</t>
        </is>
      </c>
      <c r="S271" s="31" t="inlineStr">
        <is>
          <t>Nifty 50</t>
        </is>
      </c>
      <c r="T271" s="32" t="n">
        <v>-5.72</v>
      </c>
      <c r="U271" s="32" t="n">
        <v>61.35</v>
      </c>
      <c r="V271" s="32" t="n">
        <v>71.14</v>
      </c>
      <c r="W271" s="32" t="n">
        <v>16.48</v>
      </c>
      <c r="X271" s="31" t="inlineStr">
        <is>
          <t>Cyclical in an Upturn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Yes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20 to 40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Blue sky scenario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Less than 12%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Yes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Between 50% to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Between 0.7 to 1.2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IF(B272=0,"",RANK(B272,$B$2:$B$379,0))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1" t="inlineStr">
        <is>
          <t>TBZ</t>
        </is>
      </c>
      <c r="D272" s="31" t="inlineStr">
        <is>
          <t>Tribhovandas Bhimji Zaveri Limited</t>
        </is>
      </c>
      <c r="E272" s="31" t="inlineStr">
        <is>
          <t>consumer discretionary</t>
        </is>
      </c>
      <c r="F272" s="31" t="inlineStr">
        <is>
          <t>diamond cutting / jewellery</t>
        </is>
      </c>
      <c r="G272" s="31" t="inlineStr">
        <is>
          <t>smallcap</t>
        </is>
      </c>
      <c r="H272" s="32" t="n">
        <v>1302.05</v>
      </c>
      <c r="I272" s="32" t="n">
        <v>191.27</v>
      </c>
      <c r="J272" s="32" t="n">
        <v>-1.97</v>
      </c>
      <c r="K272" s="32" t="n">
        <v>659765</v>
      </c>
      <c r="L272" s="31" t="n">
        <v>47</v>
      </c>
      <c r="M272" s="31" t="inlineStr">
        <is>
          <t>Outperforming</t>
        </is>
      </c>
      <c r="N272" s="32">
        <f>IF(M272="Underperforming",-5,IF(L272&gt;=95,15,IF(L272&gt;=90,10,IF(L272&gt;=80,5,0))))</f>
        <v/>
      </c>
      <c r="O272" s="32" t="n">
        <v>63.85</v>
      </c>
      <c r="P272" s="32" t="n">
        <v>18.3</v>
      </c>
      <c r="Q272" s="32" t="n">
        <v>140.98</v>
      </c>
      <c r="R272" s="31" t="inlineStr">
        <is>
          <t>Near 52W High Breakout</t>
        </is>
      </c>
      <c r="S272" s="31" t="inlineStr">
        <is>
          <t>Nifty 50</t>
        </is>
      </c>
      <c r="T272" s="32" t="n">
        <v>-5.72</v>
      </c>
      <c r="U272" s="32" t="n">
        <v>-0.51</v>
      </c>
      <c r="V272" s="32" t="n">
        <v>5.52</v>
      </c>
      <c r="W272" s="32" t="n">
        <v>12.29</v>
      </c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Yes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0 to 20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More than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No</t>
        </is>
      </c>
      <c r="BS272" s="31">
        <f>IF(BR272="NO",5,0)</f>
        <v/>
      </c>
      <c r="BT272" s="31" t="inlineStr">
        <is>
          <t>Less than 1.5</t>
        </is>
      </c>
      <c r="BU272" s="31">
        <f>IF(BT272="Above 2",0,IF(BT272="Between 1.5 to 2",5,IF(BT272="Less than 1.5",10,0)))</f>
        <v/>
      </c>
      <c r="BV272" s="31" t="inlineStr">
        <is>
          <t>Less than 50% and Borrowings are increasing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Between 0.7 to 1.2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IF(B273=0,"",RANK(B273,$B$2:$B$379,0))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3" t="inlineStr">
        <is>
          <t>UNIMECH</t>
        </is>
      </c>
      <c r="D273" s="33" t="inlineStr">
        <is>
          <t>Unimech Aerospace and Manufacturing Ltd</t>
        </is>
      </c>
      <c r="E273" s="31" t="inlineStr">
        <is>
          <t>aerospace &amp; defence</t>
        </is>
      </c>
      <c r="F273" s="31" t="inlineStr">
        <is>
          <t>engineering</t>
        </is>
      </c>
      <c r="G273" s="31" t="inlineStr">
        <is>
          <t>midcap</t>
        </is>
      </c>
      <c r="H273" s="32" t="n">
        <v>5958.65</v>
      </c>
      <c r="I273" s="32" t="n">
        <v>1144.3</v>
      </c>
      <c r="J273" s="32" t="n">
        <v>-2.33</v>
      </c>
      <c r="K273" s="32" t="n">
        <v>97855</v>
      </c>
      <c r="L273" s="31" t="n">
        <v>48</v>
      </c>
      <c r="M273" s="31" t="inlineStr">
        <is>
          <t>Underperforming</t>
        </is>
      </c>
      <c r="N273" s="32">
        <f>IF(M273="Underperforming",-5,IF(L273&gt;=95,15,IF(L273&gt;=90,10,IF(L273&gt;=80,5,0))))</f>
        <v/>
      </c>
      <c r="O273" s="32" t="n">
        <v>61.24</v>
      </c>
      <c r="P273" s="32" t="n">
        <v>24.97</v>
      </c>
      <c r="Q273" s="32" t="n">
        <v>874.14</v>
      </c>
      <c r="R273" s="31" t="inlineStr">
        <is>
          <t>Earnings / Momentum Support</t>
        </is>
      </c>
      <c r="S273" s="31" t="inlineStr">
        <is>
          <t>Nifty 50</t>
        </is>
      </c>
      <c r="T273" s="32" t="n">
        <v>-5.72</v>
      </c>
      <c r="U273" s="32" t="n">
        <v>-11.42</v>
      </c>
      <c r="V273" s="32" t="n">
        <v>-6.05</v>
      </c>
      <c r="W273" s="32" t="n">
        <v>12.33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No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20 to 40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Less than 12%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Yes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IF(B274=0,"",RANK(B274,$B$2:$B$379,0))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AVADHSUGAR</t>
        </is>
      </c>
      <c r="D274" s="31" t="inlineStr">
        <is>
          <t>Avadh Sugar &amp; Energy</t>
        </is>
      </c>
      <c r="E274" s="31" t="inlineStr">
        <is>
          <t>fmcg</t>
        </is>
      </c>
      <c r="F274" s="31" t="inlineStr">
        <is>
          <t>sugar</t>
        </is>
      </c>
      <c r="G274" s="31" t="inlineStr">
        <is>
          <t>smallcap</t>
        </is>
      </c>
      <c r="H274" s="32" t="n">
        <v>928.05</v>
      </c>
      <c r="I274" s="32" t="n">
        <v>481.35</v>
      </c>
      <c r="J274" s="32" t="n">
        <v>3.83</v>
      </c>
      <c r="K274" s="32" t="n">
        <v>15435</v>
      </c>
      <c r="L274" s="31" t="n">
        <v>2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60.37</v>
      </c>
      <c r="P274" s="32" t="n">
        <v>32.6</v>
      </c>
      <c r="Q274" s="32" t="n">
        <v>390.1</v>
      </c>
      <c r="R274" s="31" t="inlineStr">
        <is>
          <t>Earnings / Momentum Support</t>
        </is>
      </c>
      <c r="S274" s="31" t="inlineStr">
        <is>
          <t>Nifty FMCG</t>
        </is>
      </c>
      <c r="T274" s="32" t="n">
        <v>-9</v>
      </c>
      <c r="U274" s="32" t="n">
        <v>-1.48</v>
      </c>
      <c r="V274" s="32" t="n">
        <v>8.27</v>
      </c>
      <c r="W274" s="32" t="n">
        <v>1.17</v>
      </c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B2C</t>
        </is>
      </c>
      <c r="AO274" s="31">
        <f>IF(AN274="B2C",10,IF(AN274="B2B",5,0))</f>
        <v/>
      </c>
      <c r="AP274" s="31" t="inlineStr">
        <is>
          <t>No</t>
        </is>
      </c>
      <c r="AQ274" s="31">
        <f>IF(AP274="Yes",10,0)</f>
        <v/>
      </c>
      <c r="AR274" s="31" t="inlineStr">
        <is>
          <t>Higher Annuity, Lower One Time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20 to 40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Less than 12%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No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More than 1.2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IF(B275=0,"",RANK(B275,$B$2:$B$379,0))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3" t="inlineStr">
        <is>
          <t>WANBURY</t>
        </is>
      </c>
      <c r="D275" s="33" t="inlineStr">
        <is>
          <t>Wanbury Limited</t>
        </is>
      </c>
      <c r="E275" s="31" t="inlineStr">
        <is>
          <t>healthcare</t>
        </is>
      </c>
      <c r="F275" s="31" t="inlineStr">
        <is>
          <t>pharmaceuticals - indian - bulk drugs &amp; formln</t>
        </is>
      </c>
      <c r="G275" s="31" t="inlineStr">
        <is>
          <t>smallcap</t>
        </is>
      </c>
      <c r="H275" s="32" t="n">
        <v>981.27</v>
      </c>
      <c r="I275" s="32" t="n">
        <v>287.55</v>
      </c>
      <c r="J275" s="32" t="n">
        <v>2.39</v>
      </c>
      <c r="K275" s="32" t="n">
        <v>359708</v>
      </c>
      <c r="L275" s="31" t="n">
        <v>20</v>
      </c>
      <c r="M275" s="31" t="inlineStr">
        <is>
          <t>Underperforming</t>
        </is>
      </c>
      <c r="N275" s="32">
        <f>IF(M275="Underperforming",-5,IF(L275&gt;=95,15,IF(L275&gt;=90,10,IF(L275&gt;=80,5,0))))</f>
        <v/>
      </c>
      <c r="O275" s="32" t="n">
        <v>57.72</v>
      </c>
      <c r="P275" s="32" t="n">
        <v>13.93</v>
      </c>
      <c r="Q275" s="32" t="n">
        <v>217.24</v>
      </c>
      <c r="R275" s="31" t="inlineStr">
        <is>
          <t>Earnings / Momentum Support</t>
        </is>
      </c>
      <c r="S275" s="31" t="inlineStr">
        <is>
          <t>Nifty Pharma</t>
        </is>
      </c>
      <c r="T275" s="32" t="n">
        <v>12.5</v>
      </c>
      <c r="U275" s="32" t="n">
        <v>3.88</v>
      </c>
      <c r="V275" s="32" t="n">
        <v>-7.66</v>
      </c>
      <c r="W275" s="32" t="n">
        <v>6.38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Yes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Annuity, Lower One Time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0 to 20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More than 20%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No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IF(B276=0,"",RANK(B276,$B$2:$B$379,0))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3" t="inlineStr">
        <is>
          <t>MEDANTA</t>
        </is>
      </c>
      <c r="D276" s="33" t="inlineStr">
        <is>
          <t>Global Health Ltd</t>
        </is>
      </c>
      <c r="E276" s="31" t="inlineStr">
        <is>
          <t>healthcare</t>
        </is>
      </c>
      <c r="F276" s="31" t="inlineStr">
        <is>
          <t>healthcare</t>
        </is>
      </c>
      <c r="G276" s="31" t="inlineStr">
        <is>
          <t>largecap</t>
        </is>
      </c>
      <c r="H276" s="32" t="n">
        <v>35313.68</v>
      </c>
      <c r="I276" s="32" t="n">
        <v>1328</v>
      </c>
      <c r="J276" s="32" t="n">
        <v>1.08</v>
      </c>
      <c r="K276" s="32" t="n">
        <v>217139</v>
      </c>
      <c r="L276" s="31" t="n">
        <v>36</v>
      </c>
      <c r="M276" s="31" t="inlineStr">
        <is>
          <t>Underperforming</t>
        </is>
      </c>
      <c r="N276" s="32">
        <f>IF(M276="Underperforming",-5,IF(L276&gt;=95,15,IF(L276&gt;=90,10,IF(L276&gt;=80,5,0))))</f>
        <v/>
      </c>
      <c r="O276" s="32" t="n">
        <v>65.25</v>
      </c>
      <c r="P276" s="32" t="n">
        <v>15.08</v>
      </c>
      <c r="Q276" s="32" t="n">
        <v>1101.96</v>
      </c>
      <c r="R276" s="31" t="inlineStr">
        <is>
          <t>Earnings / Momentum Support</t>
        </is>
      </c>
      <c r="S276" s="31" t="inlineStr">
        <is>
          <t>Nifty Pharma</t>
        </is>
      </c>
      <c r="T276" s="32" t="n">
        <v>12.5</v>
      </c>
      <c r="U276" s="32" t="n">
        <v>12.22</v>
      </c>
      <c r="V276" s="32" t="n">
        <v>-0.25</v>
      </c>
      <c r="W276" s="32" t="n">
        <v>10.31</v>
      </c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Yes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Annuity, Lower One Time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0 to 20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Yes</t>
        </is>
      </c>
      <c r="BS276" s="31">
        <f>IF(BR276="NO",5,0)</f>
        <v/>
      </c>
      <c r="BT276" s="31" t="inlineStr">
        <is>
          <t>Between 1.5 to 2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IF(B277=0,"",RANK(B277,$B$2:$B$379,0))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3" t="inlineStr">
        <is>
          <t>MAXHEALTH</t>
        </is>
      </c>
      <c r="D277" s="33" t="inlineStr">
        <is>
          <t>Max Healthcare Institute Ltd</t>
        </is>
      </c>
      <c r="E277" s="31" t="inlineStr">
        <is>
          <t>healthcare</t>
        </is>
      </c>
      <c r="F277" s="31" t="inlineStr">
        <is>
          <t>healthcare</t>
        </is>
      </c>
      <c r="G277" s="31" t="inlineStr">
        <is>
          <t>largecap</t>
        </is>
      </c>
      <c r="H277" s="32" t="n">
        <v>109891.27</v>
      </c>
      <c r="I277" s="32" t="n">
        <v>1139.9</v>
      </c>
      <c r="J277" s="32" t="n">
        <v>0.9399999999999999</v>
      </c>
      <c r="K277" s="32" t="n">
        <v>1329751</v>
      </c>
      <c r="L277" s="31" t="n">
        <v>5</v>
      </c>
      <c r="M277" s="31" t="inlineStr">
        <is>
          <t>Underperforming</t>
        </is>
      </c>
      <c r="N277" s="32">
        <f>IF(M277="Underperforming",-5,IF(L277&gt;=95,15,IF(L277&gt;=90,10,IF(L277&gt;=80,5,0))))</f>
        <v/>
      </c>
      <c r="O277" s="32" t="n">
        <v>61.38</v>
      </c>
      <c r="P277" s="32" t="n">
        <v>22.56</v>
      </c>
      <c r="Q277" s="32" t="n">
        <v>947.67</v>
      </c>
      <c r="R277" s="31" t="inlineStr">
        <is>
          <t>Earnings / Momentum Support</t>
        </is>
      </c>
      <c r="S277" s="31" t="inlineStr">
        <is>
          <t>Nifty Pharma</t>
        </is>
      </c>
      <c r="T277" s="32" t="n">
        <v>12.5</v>
      </c>
      <c r="U277" s="32" t="n">
        <v>-12.09</v>
      </c>
      <c r="V277" s="32" t="n">
        <v>-21.86</v>
      </c>
      <c r="W277" s="32" t="n">
        <v>2.42</v>
      </c>
      <c r="X277" s="31" t="inlineStr">
        <is>
          <t>Growing Industry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Yes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No</t>
        </is>
      </c>
      <c r="AQ277" s="31">
        <f>IF(AP277="Yes",10,0)</f>
        <v/>
      </c>
      <c r="AR277" s="31" t="inlineStr">
        <is>
          <t>Higher Annuity, Lower One Time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20 to 40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Less than 12%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Yes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IF(B278=0,"",RANK(B278,$B$2:$B$379,0))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3" t="inlineStr">
        <is>
          <t>KOVAI</t>
        </is>
      </c>
      <c r="D278" s="33" t="inlineStr">
        <is>
          <t>Kovai Medical Center &amp; Hospital Ltd</t>
        </is>
      </c>
      <c r="E278" s="31" t="inlineStr">
        <is>
          <t>healthcare</t>
        </is>
      </c>
      <c r="F278" s="31" t="inlineStr">
        <is>
          <t>healthcare</t>
        </is>
      </c>
      <c r="G278" s="31" t="inlineStr">
        <is>
          <t>midcap</t>
        </is>
      </c>
      <c r="H278" s="32" t="n">
        <v>6563.72</v>
      </c>
      <c r="I278" s="32" t="n">
        <v>6050</v>
      </c>
      <c r="J278" s="32" t="n">
        <v>0.86</v>
      </c>
      <c r="K278" s="32" t="n">
        <v>9812</v>
      </c>
      <c r="L278" s="31" t="n">
        <v>10</v>
      </c>
      <c r="M278" s="31" t="inlineStr">
        <is>
          <t>Underperforming</t>
        </is>
      </c>
      <c r="N278" s="32">
        <f>IF(M278="Underperforming",-5,IF(L278&gt;=95,15,IF(L278&gt;=90,10,IF(L278&gt;=80,5,0))))</f>
        <v/>
      </c>
      <c r="O278" s="32" t="n">
        <v>64.86</v>
      </c>
      <c r="P278" s="32" t="n">
        <v>18.56</v>
      </c>
      <c r="Q278" s="32" t="n">
        <v>5065.19</v>
      </c>
      <c r="R278" s="31" t="inlineStr">
        <is>
          <t>Earnings / Momentum Support</t>
        </is>
      </c>
      <c r="S278" s="31" t="inlineStr">
        <is>
          <t>Nifty Pharma</t>
        </is>
      </c>
      <c r="T278" s="32" t="n">
        <v>12.5</v>
      </c>
      <c r="U278" s="32" t="n">
        <v>-1.17</v>
      </c>
      <c r="V278" s="32" t="n">
        <v>-12.15</v>
      </c>
      <c r="W278" s="32" t="n">
        <v>4.05</v>
      </c>
      <c r="X278" s="31" t="inlineStr">
        <is>
          <t>Growing Industry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Yes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No</t>
        </is>
      </c>
      <c r="AQ278" s="31">
        <f>IF(AP278="Yes",10,0)</f>
        <v/>
      </c>
      <c r="AR278" s="31" t="inlineStr">
        <is>
          <t>Higher Annuity, Lower One Time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0 to 20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Between 12 to 20%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No</t>
        </is>
      </c>
      <c r="BS278" s="31">
        <f>IF(BR278="NO",5,0)</f>
        <v/>
      </c>
      <c r="BT278" s="31" t="inlineStr">
        <is>
          <t>Between 1.5 to 2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IF(B279=0,"",RANK(B279,$B$2:$B$379,0))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SOFTTECH</t>
        </is>
      </c>
      <c r="D279" s="31" t="inlineStr">
        <is>
          <t>Softtech Engineers Ltd</t>
        </is>
      </c>
      <c r="E279" s="31" t="inlineStr">
        <is>
          <t>i.t</t>
        </is>
      </c>
      <c r="F279" s="31" t="inlineStr">
        <is>
          <t>computers - software - medium / small</t>
        </is>
      </c>
      <c r="G279" s="31" t="inlineStr">
        <is>
          <t>smallcap</t>
        </is>
      </c>
      <c r="H279" s="32" t="n">
        <v>615.49</v>
      </c>
      <c r="I279" s="32" t="n">
        <v>445</v>
      </c>
      <c r="J279" s="32" t="n">
        <v>0.08</v>
      </c>
      <c r="K279" s="32" t="n">
        <v>628</v>
      </c>
      <c r="L279" s="31" t="n">
        <v>76</v>
      </c>
      <c r="M279" s="31" t="inlineStr">
        <is>
          <t>Outperforming</t>
        </is>
      </c>
      <c r="N279" s="32">
        <f>IF(M279="Underperforming",-5,IF(L279&gt;=95,15,IF(L279&gt;=90,10,IF(L279&gt;=80,5,0))))</f>
        <v/>
      </c>
      <c r="O279" s="32" t="n">
        <v>63.86</v>
      </c>
      <c r="P279" s="32" t="n">
        <v>33.68</v>
      </c>
      <c r="Q279" s="32" t="n">
        <v>345.71</v>
      </c>
      <c r="R279" s="31" t="inlineStr">
        <is>
          <t>Near 52W High Breakout</t>
        </is>
      </c>
      <c r="S279" s="31" t="inlineStr">
        <is>
          <t>Nifty IT</t>
        </is>
      </c>
      <c r="T279" s="32" t="n">
        <v>-34.2</v>
      </c>
      <c r="U279" s="32" t="n">
        <v>13.84</v>
      </c>
      <c r="V279" s="32" t="n">
        <v>73.02</v>
      </c>
      <c r="W279" s="32" t="n">
        <v>22.53</v>
      </c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Yes</t>
        </is>
      </c>
      <c r="AQ279" s="31">
        <f>IF(AP279="Yes",10,0)</f>
        <v/>
      </c>
      <c r="AR279" s="31" t="inlineStr">
        <is>
          <t>Higher Annuity, Lower One Time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20 to 40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Negative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More than 20%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Yes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IF(B280=0,"",RANK(B280,$B$2:$B$379,0))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3" t="inlineStr">
        <is>
          <t>CIPLA</t>
        </is>
      </c>
      <c r="D280" s="33" t="inlineStr">
        <is>
          <t>Cipla Limited</t>
        </is>
      </c>
      <c r="E280" s="31" t="inlineStr">
        <is>
          <t>healthcare</t>
        </is>
      </c>
      <c r="F280" s="31" t="inlineStr">
        <is>
          <t>pharmaceuticals - indian - bulk drugs &amp; formln</t>
        </is>
      </c>
      <c r="G280" s="31" t="inlineStr">
        <is>
          <t>largecap</t>
        </is>
      </c>
      <c r="H280" s="32" t="n">
        <v>118372.47</v>
      </c>
      <c r="I280" s="32" t="n">
        <v>1456.7</v>
      </c>
      <c r="J280" s="32" t="n">
        <v>-0.59</v>
      </c>
      <c r="K280" s="32" t="n">
        <v>753439</v>
      </c>
      <c r="L280" s="31" t="n">
        <v>15</v>
      </c>
      <c r="M280" s="31" t="inlineStr">
        <is>
          <t>Underperforming</t>
        </is>
      </c>
      <c r="N280" s="32">
        <f>IF(M280="Underperforming",-5,IF(L280&gt;=95,15,IF(L280&gt;=90,10,IF(L280&gt;=80,5,0))))</f>
        <v/>
      </c>
      <c r="O280" s="32" t="n">
        <v>61.06</v>
      </c>
      <c r="P280" s="32" t="n">
        <v>20.56</v>
      </c>
      <c r="Q280" s="32" t="n">
        <v>1263.58</v>
      </c>
      <c r="R280" s="31" t="inlineStr">
        <is>
          <t>Earnings / Momentum Support</t>
        </is>
      </c>
      <c r="S280" s="31" t="inlineStr">
        <is>
          <t>Nifty Pharma</t>
        </is>
      </c>
      <c r="T280" s="32" t="n">
        <v>12.5</v>
      </c>
      <c r="U280" s="32" t="n">
        <v>-2.84</v>
      </c>
      <c r="V280" s="32" t="n">
        <v>-13.63</v>
      </c>
      <c r="W280" s="32" t="n">
        <v>5.08</v>
      </c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Yes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Annuity, Lower One Time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20 to 40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Less than 12%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No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Between 50% to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IF(B281=0,"",RANK(B281,$B$2:$B$379,0))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3" t="inlineStr">
        <is>
          <t>ELECON</t>
        </is>
      </c>
      <c r="D281" s="33" t="inlineStr">
        <is>
          <t>Elecon Engineering Company Limited</t>
        </is>
      </c>
      <c r="E281" s="31" t="inlineStr">
        <is>
          <t>industrials</t>
        </is>
      </c>
      <c r="F281" s="31" t="inlineStr">
        <is>
          <t>engineering</t>
        </is>
      </c>
      <c r="G281" s="31" t="inlineStr">
        <is>
          <t>midcap</t>
        </is>
      </c>
      <c r="H281" s="32" t="n">
        <v>11978.47</v>
      </c>
      <c r="I281" s="32" t="n">
        <v>549.95</v>
      </c>
      <c r="J281" s="32" t="n">
        <v>3.03</v>
      </c>
      <c r="K281" s="32" t="n">
        <v>578160</v>
      </c>
      <c r="L281" s="31" t="n">
        <v>25</v>
      </c>
      <c r="M281" s="31" t="inlineStr">
        <is>
          <t>Underperforming</t>
        </is>
      </c>
      <c r="N281" s="32">
        <f>IF(M281="Underperforming",-5,IF(L281&gt;=95,15,IF(L281&gt;=90,10,IF(L281&gt;=80,5,0))))</f>
        <v/>
      </c>
      <c r="O281" s="32" t="n">
        <v>58.85</v>
      </c>
      <c r="P281" s="32" t="n">
        <v>24.42</v>
      </c>
      <c r="Q281" s="32" t="n">
        <v>407.28</v>
      </c>
      <c r="R281" s="31" t="inlineStr">
        <is>
          <t>Earnings / Momentum Support</t>
        </is>
      </c>
      <c r="S281" s="31" t="inlineStr">
        <is>
          <t>Nifty 50</t>
        </is>
      </c>
      <c r="T281" s="32" t="n">
        <v>-5.72</v>
      </c>
      <c r="U281" s="32" t="n">
        <v>-14.56</v>
      </c>
      <c r="V281" s="32" t="n">
        <v>-9.380000000000001</v>
      </c>
      <c r="W281" s="32" t="n">
        <v>7.58</v>
      </c>
      <c r="X281" s="31" t="inlineStr">
        <is>
          <t>Cyclical in an Upturn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No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20 to 40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Less than 12%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No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Between 50% to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IF(B282=0,"",RANK(B282,$B$2:$B$379,0))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3" t="inlineStr">
        <is>
          <t>RESPONIND</t>
        </is>
      </c>
      <c r="D282" s="33" t="inlineStr">
        <is>
          <t>Responsive Industries Limited</t>
        </is>
      </c>
      <c r="E282" s="31" t="inlineStr">
        <is>
          <t>plastic products</t>
        </is>
      </c>
      <c r="F282" s="31" t="inlineStr">
        <is>
          <t>plastics products</t>
        </is>
      </c>
      <c r="G282" s="31" t="inlineStr">
        <is>
          <t>midcap</t>
        </is>
      </c>
      <c r="H282" s="32" t="n">
        <v>5211.93</v>
      </c>
      <c r="I282" s="32" t="n">
        <v>200.88</v>
      </c>
      <c r="J282" s="32" t="n">
        <v>2.76</v>
      </c>
      <c r="K282" s="32" t="n">
        <v>83900</v>
      </c>
      <c r="L282" s="31" t="n">
        <v>43</v>
      </c>
      <c r="M282" s="31" t="inlineStr">
        <is>
          <t>Underperforming</t>
        </is>
      </c>
      <c r="N282" s="32">
        <f>IF(M282="Underperforming",-5,IF(L282&gt;=95,15,IF(L282&gt;=90,10,IF(L282&gt;=80,5,0))))</f>
        <v/>
      </c>
      <c r="O282" s="32" t="n">
        <v>59.01</v>
      </c>
      <c r="P282" s="32" t="n">
        <v>22.32</v>
      </c>
      <c r="Q282" s="32" t="n">
        <v>135.7</v>
      </c>
      <c r="R282" s="31" t="inlineStr">
        <is>
          <t>Earnings / Momentum Support</t>
        </is>
      </c>
      <c r="S282" s="31" t="inlineStr">
        <is>
          <t>Nifty 50</t>
        </is>
      </c>
      <c r="T282" s="32" t="n">
        <v>-5.72</v>
      </c>
      <c r="U282" s="32" t="n">
        <v>-17.34</v>
      </c>
      <c r="V282" s="32" t="n">
        <v>-12.33</v>
      </c>
      <c r="W282" s="32" t="n">
        <v>11.49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20 to 40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Less than 12%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No</t>
        </is>
      </c>
      <c r="BS282" s="31">
        <f>IF(BR282="NO",5,0)</f>
        <v/>
      </c>
      <c r="BT282" s="31" t="inlineStr">
        <is>
          <t>Above 2</t>
        </is>
      </c>
      <c r="BU282" s="31">
        <f>IF(BT282="Above 2",0,IF(BT282="Between 1.5 to 2",5,IF(BT282="Less than 1.5",10,0)))</f>
        <v/>
      </c>
      <c r="BV282" s="31" t="inlineStr">
        <is>
          <t>Less than 50%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IF(B283=0,"",RANK(B283,$B$2:$B$379,0))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ACMESOLAR</t>
        </is>
      </c>
      <c r="D283" s="31" t="inlineStr">
        <is>
          <t>ACME Solar Holdings Ltd</t>
        </is>
      </c>
      <c r="E283" s="31" t="inlineStr">
        <is>
          <t>realty</t>
        </is>
      </c>
      <c r="F283" s="31" t="inlineStr">
        <is>
          <t>engineering - turnkey services</t>
        </is>
      </c>
      <c r="G283" s="31" t="inlineStr">
        <is>
          <t>largecap</t>
        </is>
      </c>
      <c r="H283" s="32" t="n">
        <v>26872.56</v>
      </c>
      <c r="I283" s="32" t="n">
        <v>390.8</v>
      </c>
      <c r="J283" s="32" t="n">
        <v>2.69</v>
      </c>
      <c r="K283" s="32" t="n">
        <v>3091827</v>
      </c>
      <c r="L283" s="31" t="n">
        <v>70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73.29000000000001</v>
      </c>
      <c r="P283" s="32" t="n">
        <v>27.58</v>
      </c>
      <c r="Q283" s="32" t="n">
        <v>306.05</v>
      </c>
      <c r="R283" s="31" t="inlineStr">
        <is>
          <t>Near 52W High Breakout</t>
        </is>
      </c>
      <c r="S283" s="31" t="inlineStr">
        <is>
          <t>Nifty Realty</t>
        </is>
      </c>
      <c r="T283" s="32" t="n">
        <v>-11.6</v>
      </c>
      <c r="U283" s="32" t="n">
        <v>56.73</v>
      </c>
      <c r="V283" s="32" t="n">
        <v>77.28</v>
      </c>
      <c r="W283" s="32" t="n">
        <v>19.52</v>
      </c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Yes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20 to 40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2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Blue sky scenario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Less than 12%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Between 50% to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More than 1.2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IF(B284=0,"",RANK(B284,$B$2:$B$379,0))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TEXINFRA</t>
        </is>
      </c>
      <c r="D284" s="31" t="inlineStr">
        <is>
          <t>Texmaco Infrastructure &amp; Holdings Limited</t>
        </is>
      </c>
      <c r="E284" s="31" t="inlineStr">
        <is>
          <t>realty</t>
        </is>
      </c>
      <c r="F284" s="31" t="inlineStr">
        <is>
          <t>construction</t>
        </is>
      </c>
      <c r="G284" s="31" t="inlineStr">
        <is>
          <t>smallcap</t>
        </is>
      </c>
      <c r="H284" s="32" t="n">
        <v>1386.66</v>
      </c>
      <c r="I284" s="32" t="n">
        <v>110.33</v>
      </c>
      <c r="J284" s="32" t="n">
        <v>1.39</v>
      </c>
      <c r="K284" s="32" t="n">
        <v>370869</v>
      </c>
      <c r="L284" s="31" t="n">
        <v>10</v>
      </c>
      <c r="M284" s="31" t="inlineStr">
        <is>
          <t>Outperforming</t>
        </is>
      </c>
      <c r="N284" s="32">
        <f>IF(M284="Underperforming",-5,IF(L284&gt;=95,15,IF(L284&gt;=90,10,IF(L284&gt;=80,5,0))))</f>
        <v/>
      </c>
      <c r="O284" s="32" t="n">
        <v>64.63</v>
      </c>
      <c r="P284" s="32" t="n">
        <v>20.93</v>
      </c>
      <c r="Q284" s="32" t="n">
        <v>88.44</v>
      </c>
      <c r="R284" s="31" t="inlineStr">
        <is>
          <t>Near 52W High Breakout</t>
        </is>
      </c>
      <c r="S284" s="31" t="inlineStr">
        <is>
          <t>Nifty Realty</t>
        </is>
      </c>
      <c r="T284" s="32" t="n">
        <v>-11.6</v>
      </c>
      <c r="U284" s="32" t="n">
        <v>6.47</v>
      </c>
      <c r="V284" s="32" t="n">
        <v>20.44</v>
      </c>
      <c r="W284" s="32" t="n">
        <v>4.03</v>
      </c>
      <c r="X284" s="31" t="inlineStr">
        <is>
          <t>Growing Industry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Yes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20 to 40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Less than 12%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Yes</t>
        </is>
      </c>
      <c r="BS284" s="31">
        <f>IF(BR284="NO",5,0)</f>
        <v/>
      </c>
      <c r="BT284" s="31" t="inlineStr">
        <is>
          <t>Above 2</t>
        </is>
      </c>
      <c r="BU284" s="31">
        <f>IF(BT284="Above 2",0,IF(BT284="Between 1.5 to 2",5,IF(BT284="Less than 1.5",10,0)))</f>
        <v/>
      </c>
      <c r="BV284" s="31" t="inlineStr">
        <is>
          <t>Negative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IF(B285=0,"",RANK(B285,$B$2:$B$379,0))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FAZE3Q</t>
        </is>
      </c>
      <c r="D285" s="31" t="inlineStr">
        <is>
          <t>Faze Three Ltd</t>
        </is>
      </c>
      <c r="E285" s="31" t="inlineStr">
        <is>
          <t>textiles</t>
        </is>
      </c>
      <c r="F285" s="31" t="inlineStr">
        <is>
          <t>textiles - processing</t>
        </is>
      </c>
      <c r="G285" s="31" t="inlineStr">
        <is>
          <t>smallcap</t>
        </is>
      </c>
      <c r="H285" s="32" t="n">
        <v>1456.59</v>
      </c>
      <c r="I285" s="32" t="n">
        <v>607.05</v>
      </c>
      <c r="J285" s="32" t="n">
        <v>1.35</v>
      </c>
      <c r="K285" s="32" t="n">
        <v>15982</v>
      </c>
      <c r="L285" s="31" t="n">
        <v>45</v>
      </c>
      <c r="M285" s="31" t="inlineStr">
        <is>
          <t>Outperforming</t>
        </is>
      </c>
      <c r="N285" s="32">
        <f>IF(M285="Underperforming",-5,IF(L285&gt;=95,15,IF(L285&gt;=90,10,IF(L285&gt;=80,5,0))))</f>
        <v/>
      </c>
      <c r="O285" s="32" t="n">
        <v>63.69</v>
      </c>
      <c r="P285" s="32" t="n">
        <v>15.72</v>
      </c>
      <c r="Q285" s="32" t="n">
        <v>449.42</v>
      </c>
      <c r="R285" s="31" t="inlineStr">
        <is>
          <t>Earnings / Momentum Support</t>
        </is>
      </c>
      <c r="S285" s="31" t="inlineStr">
        <is>
          <t>Nifty 50</t>
        </is>
      </c>
      <c r="T285" s="32" t="n">
        <v>-5.72</v>
      </c>
      <c r="U285" s="32" t="n">
        <v>1.44</v>
      </c>
      <c r="V285" s="32" t="n">
        <v>7.59</v>
      </c>
      <c r="W285" s="32" t="n">
        <v>11.8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Tailwind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No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0 to 20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Positive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Between 12 to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Yes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IF(B286=0,"",RANK(B286,$B$2:$B$379,0))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1" t="inlineStr">
        <is>
          <t>SPECIALITY</t>
        </is>
      </c>
      <c r="D286" s="31" t="inlineStr">
        <is>
          <t>Speciality Restaurants Limited</t>
        </is>
      </c>
      <c r="E286" s="31" t="inlineStr">
        <is>
          <t>services</t>
        </is>
      </c>
      <c r="F286" s="31" t="inlineStr">
        <is>
          <t>hotels</t>
        </is>
      </c>
      <c r="G286" s="31" t="inlineStr">
        <is>
          <t>smallcap</t>
        </is>
      </c>
      <c r="H286" s="32" t="n">
        <v>611.6799999999999</v>
      </c>
      <c r="I286" s="32" t="n">
        <v>127.8</v>
      </c>
      <c r="J286" s="32" t="n">
        <v>0.78</v>
      </c>
      <c r="K286" s="32" t="n">
        <v>30898</v>
      </c>
      <c r="L286" s="31" t="n">
        <v>30</v>
      </c>
      <c r="M286" s="31" t="inlineStr">
        <is>
          <t>Outperforming</t>
        </is>
      </c>
      <c r="N286" s="32">
        <f>IF(M286="Underperforming",-5,IF(L286&gt;=95,15,IF(L286&gt;=90,10,IF(L286&gt;=80,5,0))))</f>
        <v/>
      </c>
      <c r="O286" s="32" t="n">
        <v>63.83</v>
      </c>
      <c r="P286" s="32" t="n">
        <v>17.78</v>
      </c>
      <c r="Q286" s="32" t="n">
        <v>92.91</v>
      </c>
      <c r="R286" s="31" t="inlineStr">
        <is>
          <t>Earnings / Momentum Support</t>
        </is>
      </c>
      <c r="S286" s="31" t="inlineStr">
        <is>
          <t>Nifty 50</t>
        </is>
      </c>
      <c r="T286" s="32" t="n">
        <v>-5.72</v>
      </c>
      <c r="U286" s="32" t="n">
        <v>2.36</v>
      </c>
      <c r="V286" s="32" t="n">
        <v>8.56</v>
      </c>
      <c r="W286" s="32" t="n">
        <v>8.699999999999999</v>
      </c>
      <c r="X286" s="31" t="inlineStr">
        <is>
          <t>Growing Industry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No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0 to 20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Positive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Less than 12%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No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Less than 0.7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IF(B287=0,"",RANK(B287,$B$2:$B$379,0))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1" t="inlineStr">
        <is>
          <t>INDHOTEL</t>
        </is>
      </c>
      <c r="D287" s="31" t="inlineStr">
        <is>
          <t>The Indian Hotels Company Limited</t>
        </is>
      </c>
      <c r="E287" s="31" t="inlineStr">
        <is>
          <t>services</t>
        </is>
      </c>
      <c r="F287" s="31" t="inlineStr">
        <is>
          <t>hotels</t>
        </is>
      </c>
      <c r="G287" s="31" t="inlineStr">
        <is>
          <t>largecap</t>
        </is>
      </c>
      <c r="H287" s="32" t="n">
        <v>101625.94</v>
      </c>
      <c r="I287" s="32" t="n">
        <v>718.75</v>
      </c>
      <c r="J287" s="32" t="n">
        <v>0.67</v>
      </c>
      <c r="K287" s="32" t="n">
        <v>2804750</v>
      </c>
      <c r="L287" s="31" t="n">
        <v>16</v>
      </c>
      <c r="M287" s="31" t="inlineStr">
        <is>
          <t>Outperforming</t>
        </is>
      </c>
      <c r="N287" s="32">
        <f>IF(M287="Underperforming",-5,IF(L287&gt;=95,15,IF(L287&gt;=90,10,IF(L287&gt;=80,5,0))))</f>
        <v/>
      </c>
      <c r="O287" s="32" t="n">
        <v>59.64</v>
      </c>
      <c r="P287" s="32" t="n">
        <v>14.15</v>
      </c>
      <c r="Q287" s="32" t="n">
        <v>611.76</v>
      </c>
      <c r="R287" s="31" t="inlineStr">
        <is>
          <t>Earnings / Momentum Support</t>
        </is>
      </c>
      <c r="S287" s="31" t="inlineStr">
        <is>
          <t>Nifty 50</t>
        </is>
      </c>
      <c r="T287" s="32" t="n">
        <v>-5.72</v>
      </c>
      <c r="U287" s="32" t="n">
        <v>-3.14</v>
      </c>
      <c r="V287" s="32" t="n">
        <v>2.73</v>
      </c>
      <c r="W287" s="32" t="n">
        <v>5.23</v>
      </c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No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0 to 20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Between 12 to 20%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Yes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Less than 0.7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IF(B288=0,"",RANK(B288,$B$2:$B$379,0))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1" t="inlineStr">
        <is>
          <t>MANGLMCEM</t>
        </is>
      </c>
      <c r="D288" s="31" t="inlineStr">
        <is>
          <t>Mangalam Cement Limited</t>
        </is>
      </c>
      <c r="E288" s="31" t="inlineStr">
        <is>
          <t>building materials</t>
        </is>
      </c>
      <c r="F288" s="31" t="inlineStr">
        <is>
          <t>cement - north india</t>
        </is>
      </c>
      <c r="G288" s="31" t="inlineStr">
        <is>
          <t>smallcap</t>
        </is>
      </c>
      <c r="H288" s="32" t="n">
        <v>2511.19</v>
      </c>
      <c r="I288" s="32" t="n">
        <v>912.75</v>
      </c>
      <c r="J288" s="32" t="n">
        <v>-0.05</v>
      </c>
      <c r="K288" s="32" t="n">
        <v>12062</v>
      </c>
      <c r="L288" s="31" t="n">
        <v>22</v>
      </c>
      <c r="M288" s="31" t="inlineStr">
        <is>
          <t>Outperforming</t>
        </is>
      </c>
      <c r="N288" s="32">
        <f>IF(M288="Underperforming",-5,IF(L288&gt;=95,15,IF(L288&gt;=90,10,IF(L288&gt;=80,5,0))))</f>
        <v/>
      </c>
      <c r="O288" s="32" t="n">
        <v>59.31</v>
      </c>
      <c r="P288" s="32" t="n">
        <v>18.26</v>
      </c>
      <c r="Q288" s="32" t="n">
        <v>760.13</v>
      </c>
      <c r="R288" s="31" t="inlineStr">
        <is>
          <t>Near 52W High Breakout</t>
        </is>
      </c>
      <c r="S288" s="31" t="inlineStr">
        <is>
          <t>Nifty Infra</t>
        </is>
      </c>
      <c r="T288" s="32" t="n">
        <v>0.09</v>
      </c>
      <c r="U288" s="32" t="n">
        <v>22.22</v>
      </c>
      <c r="V288" s="32" t="n">
        <v>22.12</v>
      </c>
      <c r="W288" s="32" t="n">
        <v>6.9</v>
      </c>
      <c r="X288" s="31" t="inlineStr">
        <is>
          <t>Growing Industry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Structural (10 Years Consistency)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Yes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0 to 20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2</t>
        </is>
      </c>
      <c r="BC288" s="31">
        <f>IF(BB288="Stage 2",20,IF(BB288="Stage 1",0,IF(BB288="Stage 3",5,IF(BB288="Stage 4",-5,0))))</f>
        <v/>
      </c>
      <c r="BD288" s="31" t="inlineStr">
        <is>
          <t>Positive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More than 20%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No</t>
        </is>
      </c>
      <c r="BS288" s="31">
        <f>IF(BR288="NO",5,0)</f>
        <v/>
      </c>
      <c r="BT288" s="31" t="inlineStr">
        <is>
          <t>Above 2</t>
        </is>
      </c>
      <c r="BU288" s="31">
        <f>IF(BT288="Above 2",0,IF(BT288="Between 1.5 to 2",5,IF(BT288="Less than 1.5",10,0)))</f>
        <v/>
      </c>
      <c r="BV288" s="31" t="inlineStr">
        <is>
          <t>Less than 50%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Between 0.7 to 1.2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IF(B289=0,"",RANK(B289,$B$2:$B$379,0))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1" t="inlineStr">
        <is>
          <t>NIBE</t>
        </is>
      </c>
      <c r="D289" s="31" t="inlineStr">
        <is>
          <t>NIBE Ltd</t>
        </is>
      </c>
      <c r="E289" s="31" t="inlineStr">
        <is>
          <t>aerospace &amp; defence</t>
        </is>
      </c>
      <c r="F289" s="31" t="inlineStr">
        <is>
          <t>engineering</t>
        </is>
      </c>
      <c r="G289" s="31" t="inlineStr">
        <is>
          <t>smallcap</t>
        </is>
      </c>
      <c r="H289" s="32" t="n">
        <v>2539.32</v>
      </c>
      <c r="I289" s="32" t="n">
        <v>1656.2</v>
      </c>
      <c r="J289" s="32" t="n">
        <v>-0.46</v>
      </c>
      <c r="K289" s="32" t="n">
        <v>44282</v>
      </c>
      <c r="L289" s="31" t="n">
        <v>74</v>
      </c>
      <c r="M289" s="31" t="inlineStr">
        <is>
          <t>Outperforming</t>
        </is>
      </c>
      <c r="N289" s="32">
        <f>IF(M289="Underperforming",-5,IF(L289&gt;=95,15,IF(L289&gt;=90,10,IF(L289&gt;=80,5,0))))</f>
        <v/>
      </c>
      <c r="O289" s="32" t="n">
        <v>65.41</v>
      </c>
      <c r="P289" s="32" t="n">
        <v>27.29</v>
      </c>
      <c r="Q289" s="32" t="n">
        <v>1325.71</v>
      </c>
      <c r="R289" s="31" t="inlineStr">
        <is>
          <t>Earnings / Momentum Support</t>
        </is>
      </c>
      <c r="S289" s="31" t="inlineStr">
        <is>
          <t>Nifty 50</t>
        </is>
      </c>
      <c r="T289" s="32" t="n">
        <v>-5.72</v>
      </c>
      <c r="U289" s="32" t="n">
        <v>-1.03</v>
      </c>
      <c r="V289" s="32" t="n">
        <v>4.97</v>
      </c>
      <c r="W289" s="32" t="n">
        <v>21.42</v>
      </c>
      <c r="X289" s="31" t="inlineStr">
        <is>
          <t>Growing Industry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No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20 to 40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2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More than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Yes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Negative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Less than 0.7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IF(B290=0,"",RANK(B290,$B$2:$B$379,0))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3" t="inlineStr">
        <is>
          <t>PDSL</t>
        </is>
      </c>
      <c r="D290" s="33" t="inlineStr">
        <is>
          <t>PDS Ltd</t>
        </is>
      </c>
      <c r="E290" s="31" t="inlineStr">
        <is>
          <t>textiles</t>
        </is>
      </c>
      <c r="F290" s="31" t="inlineStr">
        <is>
          <t>trading</t>
        </is>
      </c>
      <c r="G290" s="31" t="inlineStr">
        <is>
          <t>midcap</t>
        </is>
      </c>
      <c r="H290" s="32" t="n">
        <v>5168.3</v>
      </c>
      <c r="I290" s="32" t="n">
        <v>362.3</v>
      </c>
      <c r="J290" s="32" t="n">
        <v>-0.85</v>
      </c>
      <c r="K290" s="32" t="n">
        <v>92828</v>
      </c>
      <c r="L290" s="31" t="n">
        <v>16</v>
      </c>
      <c r="M290" s="31" t="inlineStr">
        <is>
          <t>Underperforming</t>
        </is>
      </c>
      <c r="N290" s="32">
        <f>IF(M290="Underperforming",-5,IF(L290&gt;=95,15,IF(L290&gt;=90,10,IF(L290&gt;=80,5,0))))</f>
        <v/>
      </c>
      <c r="O290" s="32" t="n">
        <v>60.84</v>
      </c>
      <c r="P290" s="32" t="n">
        <v>14.14</v>
      </c>
      <c r="Q290" s="32" t="n">
        <v>265.24</v>
      </c>
      <c r="R290" s="31" t="inlineStr">
        <is>
          <t>Earnings / Momentum Support</t>
        </is>
      </c>
      <c r="S290" s="31" t="inlineStr">
        <is>
          <t>Nifty 50</t>
        </is>
      </c>
      <c r="T290" s="32" t="n">
        <v>-5.72</v>
      </c>
      <c r="U290" s="32" t="n">
        <v>-9.210000000000001</v>
      </c>
      <c r="V290" s="32" t="n">
        <v>-3.7</v>
      </c>
      <c r="W290" s="32" t="n">
        <v>5.47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0 to 20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2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More than 20%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Yes</t>
        </is>
      </c>
      <c r="BS290" s="31">
        <f>IF(BR290="NO",5,0)</f>
        <v/>
      </c>
      <c r="BT290" s="31" t="inlineStr">
        <is>
          <t>Above 2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Less than 0.7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IF(B291=0,"",RANK(B291,$B$2:$B$379,0))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1" t="inlineStr">
        <is>
          <t>KIRLOSENG</t>
        </is>
      </c>
      <c r="D291" s="31" t="inlineStr">
        <is>
          <t>Kirloskar Oil Engines Limited</t>
        </is>
      </c>
      <c r="E291" s="31" t="inlineStr">
        <is>
          <t>industrials</t>
        </is>
      </c>
      <c r="F291" s="31" t="inlineStr">
        <is>
          <t>engines</t>
        </is>
      </c>
      <c r="G291" s="31" t="inlineStr">
        <is>
          <t>largecap</t>
        </is>
      </c>
      <c r="H291" s="32" t="n">
        <v>34362.92</v>
      </c>
      <c r="I291" s="32" t="n">
        <v>2341.1</v>
      </c>
      <c r="J291" s="32" t="n">
        <v>-0.97</v>
      </c>
      <c r="K291" s="32" t="n">
        <v>876198</v>
      </c>
      <c r="L291" s="31" t="n">
        <v>91</v>
      </c>
      <c r="M291" s="31" t="inlineStr">
        <is>
          <t>Outperforming</t>
        </is>
      </c>
      <c r="N291" s="32">
        <f>IF(M291="Underperforming",-5,IF(L291&gt;=95,15,IF(L291&gt;=90,10,IF(L291&gt;=80,5,0))))</f>
        <v/>
      </c>
      <c r="O291" s="32" t="n">
        <v>75.98999999999999</v>
      </c>
      <c r="P291" s="32" t="n">
        <v>44.39</v>
      </c>
      <c r="Q291" s="32" t="n">
        <v>1928</v>
      </c>
      <c r="R291" s="31" t="inlineStr">
        <is>
          <t>Earnings / Momentum Support</t>
        </is>
      </c>
      <c r="S291" s="31" t="inlineStr">
        <is>
          <t>Nifty 50</t>
        </is>
      </c>
      <c r="T291" s="32" t="n">
        <v>-5.72</v>
      </c>
      <c r="U291" s="32" t="n">
        <v>175.35</v>
      </c>
      <c r="V291" s="32" t="n">
        <v>192.04</v>
      </c>
      <c r="W291" s="32" t="n">
        <v>38.8</v>
      </c>
      <c r="X291" s="31" t="inlineStr">
        <is>
          <t>Cyclical in an Upturn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No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Above 40</t>
        </is>
      </c>
      <c r="AY291" s="31">
        <f>IF(AX291="Above 40",20,IF(AX291="20 to 40",10,IF(AX291="0 to 20",-5,0)))</f>
        <v/>
      </c>
      <c r="AZ291" s="31" t="inlineStr">
        <is>
          <t>Above 75</t>
        </is>
      </c>
      <c r="BA291" s="31">
        <f>IF(AZ291="Between 50 to 75",10,IF(AZ291="Above 75",0,0))</f>
        <v/>
      </c>
      <c r="BB291" s="31" t="inlineStr">
        <is>
          <t>Stage 2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More than 20%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Yes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Between 50% to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More than 1.2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IF(B292=0,"",RANK(B292,$B$2:$B$379,0))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1" t="inlineStr">
        <is>
          <t>POKARNA</t>
        </is>
      </c>
      <c r="D292" s="31" t="inlineStr">
        <is>
          <t>Pokarna Limited</t>
        </is>
      </c>
      <c r="E292" s="31" t="inlineStr">
        <is>
          <t>consumer discretionary</t>
        </is>
      </c>
      <c r="F292" s="31" t="inlineStr">
        <is>
          <t>miscellaneous</t>
        </is>
      </c>
      <c r="G292" s="31" t="inlineStr">
        <is>
          <t>smallcap</t>
        </is>
      </c>
      <c r="H292" s="32" t="n">
        <v>3215.73</v>
      </c>
      <c r="I292" s="32" t="n">
        <v>1023.3</v>
      </c>
      <c r="J292" s="32" t="n">
        <v>-1.34</v>
      </c>
      <c r="K292" s="32" t="n">
        <v>50172</v>
      </c>
      <c r="L292" s="31" t="n">
        <v>9</v>
      </c>
      <c r="M292" s="31" t="inlineStr">
        <is>
          <t>Outperforming</t>
        </is>
      </c>
      <c r="N292" s="32">
        <f>IF(M292="Underperforming",-5,IF(L292&gt;=95,15,IF(L292&gt;=90,10,IF(L292&gt;=80,5,0))))</f>
        <v/>
      </c>
      <c r="O292" s="32" t="n">
        <v>59.08</v>
      </c>
      <c r="P292" s="32" t="n">
        <v>14.66</v>
      </c>
      <c r="Q292" s="32" t="n">
        <v>788.22</v>
      </c>
      <c r="R292" s="31" t="inlineStr">
        <is>
          <t>Earnings / Momentum Support</t>
        </is>
      </c>
      <c r="S292" s="31" t="inlineStr">
        <is>
          <t>Nifty 50</t>
        </is>
      </c>
      <c r="T292" s="32" t="n">
        <v>-5.72</v>
      </c>
      <c r="U292" s="32" t="n">
        <v>-3.88</v>
      </c>
      <c r="V292" s="32" t="n">
        <v>1.94</v>
      </c>
      <c r="W292" s="32" t="n">
        <v>3.94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No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0 to 20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2</t>
        </is>
      </c>
      <c r="BC292" s="31">
        <f>IF(BB292="Stage 2",20,IF(BB292="Stage 1",0,IF(BB292="Stage 3",5,IF(BB292="Stage 4",-5,0))))</f>
        <v/>
      </c>
      <c r="BD292" s="31" t="inlineStr">
        <is>
          <t>Positive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Close to 52 week high or retracement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Less than 12%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No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Above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IF(B293=0,"",RANK(B293,$B$2:$B$379,0))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3" t="inlineStr">
        <is>
          <t>RPGLIFE</t>
        </is>
      </c>
      <c r="D293" s="33" t="inlineStr">
        <is>
          <t>Rpg Life Sciences Limited</t>
        </is>
      </c>
      <c r="E293" s="31" t="inlineStr">
        <is>
          <t>healthcare</t>
        </is>
      </c>
      <c r="F293" s="31" t="inlineStr">
        <is>
          <t>pharmaceuticals - indian - bulk drugs &amp; formln</t>
        </is>
      </c>
      <c r="G293" s="31" t="inlineStr">
        <is>
          <t>smallcap</t>
        </is>
      </c>
      <c r="H293" s="32" t="n">
        <v>3791.57</v>
      </c>
      <c r="I293" s="32" t="n">
        <v>2352.6</v>
      </c>
      <c r="J293" s="32" t="n">
        <v>2.62</v>
      </c>
      <c r="K293" s="32" t="n">
        <v>16371</v>
      </c>
      <c r="L293" s="31" t="n">
        <v>10</v>
      </c>
      <c r="M293" s="31" t="inlineStr">
        <is>
          <t>Underperforming</t>
        </is>
      </c>
      <c r="N293" s="32">
        <f>IF(M293="Underperforming",-5,IF(L293&gt;=95,15,IF(L293&gt;=90,10,IF(L293&gt;=80,5,0))))</f>
        <v/>
      </c>
      <c r="O293" s="32" t="n">
        <v>59.79</v>
      </c>
      <c r="P293" s="32" t="n">
        <v>20.61</v>
      </c>
      <c r="Q293" s="32" t="n">
        <v>1980.1</v>
      </c>
      <c r="R293" s="31" t="inlineStr">
        <is>
          <t>Earnings / Momentum Support</t>
        </is>
      </c>
      <c r="S293" s="31" t="inlineStr">
        <is>
          <t>Nifty Pharma</t>
        </is>
      </c>
      <c r="T293" s="32" t="n">
        <v>12.5</v>
      </c>
      <c r="U293" s="32" t="n">
        <v>-6.64</v>
      </c>
      <c r="V293" s="32" t="n">
        <v>-17.01</v>
      </c>
      <c r="W293" s="32" t="n">
        <v>3.99</v>
      </c>
      <c r="X293" s="31" t="inlineStr">
        <is>
          <t>Growing Industry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Yes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Structural (10 Years Consistency)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No</t>
        </is>
      </c>
      <c r="AQ293" s="31">
        <f>IF(AP293="Yes",10,0)</f>
        <v/>
      </c>
      <c r="AR293" s="31" t="inlineStr">
        <is>
          <t>Higher Annuity, Lower One Time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20 to 40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2</t>
        </is>
      </c>
      <c r="BC293" s="31">
        <f>IF(BB293="Stage 2",20,IF(BB293="Stage 1",0,IF(BB293="Stage 3",5,IF(BB293="Stage 4",-5,0))))</f>
        <v/>
      </c>
      <c r="BD293" s="31" t="inlineStr">
        <is>
          <t>Positive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Less than 12%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Less than 50%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Less than 0.7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IF(B294=0,"",RANK(B294,$B$2:$B$379,0))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1" t="inlineStr">
        <is>
          <t>PRICOLLTD</t>
        </is>
      </c>
      <c r="D294" s="31" t="inlineStr">
        <is>
          <t>Pricol Ltd.</t>
        </is>
      </c>
      <c r="E294" s="31" t="inlineStr">
        <is>
          <t>auto</t>
        </is>
      </c>
      <c r="F294" s="31" t="inlineStr">
        <is>
          <t>auto ancillaries</t>
        </is>
      </c>
      <c r="G294" s="31" t="inlineStr">
        <is>
          <t>midcap</t>
        </is>
      </c>
      <c r="H294" s="32" t="n">
        <v>7340.92</v>
      </c>
      <c r="I294" s="32" t="n">
        <v>616.3</v>
      </c>
      <c r="J294" s="32" t="n">
        <v>2.32</v>
      </c>
      <c r="K294" s="32" t="n">
        <v>636994</v>
      </c>
      <c r="L294" s="31" t="n">
        <v>41</v>
      </c>
      <c r="M294" s="31" t="inlineStr">
        <is>
          <t>Outperforming</t>
        </is>
      </c>
      <c r="N294" s="32">
        <f>IF(M294="Underperforming",-5,IF(L294&gt;=95,15,IF(L294&gt;=90,10,IF(L294&gt;=80,5,0))))</f>
        <v/>
      </c>
      <c r="O294" s="32" t="n">
        <v>57.47</v>
      </c>
      <c r="P294" s="32" t="n">
        <v>16.4</v>
      </c>
      <c r="Q294" s="32" t="n">
        <v>482.8</v>
      </c>
      <c r="R294" s="31" t="inlineStr">
        <is>
          <t>Earnings / Momentum Support</t>
        </is>
      </c>
      <c r="S294" s="31" t="inlineStr">
        <is>
          <t>Nifty Auto</t>
        </is>
      </c>
      <c r="T294" s="32" t="n">
        <v>11.69</v>
      </c>
      <c r="U294" s="32" t="n">
        <v>34.8</v>
      </c>
      <c r="V294" s="32" t="n">
        <v>20.69</v>
      </c>
      <c r="W294" s="32" t="n">
        <v>11.02</v>
      </c>
      <c r="X294" s="31" t="inlineStr">
        <is>
          <t>Cyclical in an Upturn</t>
        </is>
      </c>
      <c r="Y294" s="31">
        <f>IF(X294="Growing Industry",10,IF(X294="Cyclical in an Upturn",5,0))</f>
        <v/>
      </c>
      <c r="Z294" s="31" t="inlineStr">
        <is>
          <t>Oligopoly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No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Shallow Cyclical (2 to 3 Years Growth)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Stable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Yes</t>
        </is>
      </c>
      <c r="AQ294" s="31">
        <f>IF(AP294="Yes",10,0)</f>
        <v/>
      </c>
      <c r="AR294" s="31" t="inlineStr">
        <is>
          <t>Fully One Time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Allocated capital in Non-core Areas</t>
        </is>
      </c>
      <c r="AU294" s="31">
        <f>IF(AT294="Good",10,0)</f>
        <v/>
      </c>
      <c r="AV294" s="31" t="inlineStr">
        <is>
          <t>Yes only for next 1 to 2 years</t>
        </is>
      </c>
      <c r="AW294" s="31">
        <f>IF(AV294="Yes for more than 2 years",10,IF(AV294="Yes only for next 1 to 2 years",5,0))</f>
        <v/>
      </c>
      <c r="AX294" s="31" t="inlineStr">
        <is>
          <t>20 to 40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2</t>
        </is>
      </c>
      <c r="BC294" s="31">
        <f>IF(BB294="Stage 2",20,IF(BB294="Stage 1",0,IF(BB294="Stage 3",5,IF(BB294="Stage 4",-5,0))))</f>
        <v/>
      </c>
      <c r="BD294" s="31" t="inlineStr">
        <is>
          <t>Positive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Blue sky scenario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Between 12 to 20%</t>
        </is>
      </c>
      <c r="BO294" s="31">
        <f>IF(BN294="More than 20%",10,IF(BN294="Between 12 to 20%",5,IF(BN294="Less than 12%",0,0)))</f>
        <v/>
      </c>
      <c r="BP294" s="31" t="inlineStr">
        <is>
          <t>Yes</t>
        </is>
      </c>
      <c r="BQ294" s="31">
        <f>IF(BP294="No",10,0)</f>
        <v/>
      </c>
      <c r="BR294" s="31" t="inlineStr">
        <is>
          <t>No</t>
        </is>
      </c>
      <c r="BS294" s="31">
        <f>IF(BR294="NO",5,0)</f>
        <v/>
      </c>
      <c r="BT294" s="31" t="inlineStr">
        <is>
          <t>Between 1.5 to 2</t>
        </is>
      </c>
      <c r="BU294" s="31">
        <f>IF(BT294="Above 2",0,IF(BT294="Between 1.5 to 2",5,IF(BT294="Less than 1.5",10,0)))</f>
        <v/>
      </c>
      <c r="BV294" s="31" t="inlineStr">
        <is>
          <t>Between 50% to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Less than 0.7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IF(B295=0,"",RANK(B295,$B$2:$B$379,0))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1" t="inlineStr">
        <is>
          <t>KIMS</t>
        </is>
      </c>
      <c r="D295" s="31" t="inlineStr">
        <is>
          <t>Krishna Institute of Medical Sciences Ltd</t>
        </is>
      </c>
      <c r="E295" s="31" t="inlineStr">
        <is>
          <t>healthcare</t>
        </is>
      </c>
      <c r="F295" s="31" t="inlineStr">
        <is>
          <t>healthcare</t>
        </is>
      </c>
      <c r="G295" s="31" t="inlineStr">
        <is>
          <t>largecap</t>
        </is>
      </c>
      <c r="H295" s="32" t="n">
        <v>32595.32</v>
      </c>
      <c r="I295" s="32" t="n">
        <v>831</v>
      </c>
      <c r="J295" s="32" t="n">
        <v>2.01</v>
      </c>
      <c r="K295" s="32" t="n">
        <v>361616</v>
      </c>
      <c r="L295" s="31" t="n">
        <v>42</v>
      </c>
      <c r="M295" s="31" t="inlineStr">
        <is>
          <t>Outperforming</t>
        </is>
      </c>
      <c r="N295" s="32">
        <f>IF(M295="Underperforming",-5,IF(L295&gt;=95,15,IF(L295&gt;=90,10,IF(L295&gt;=80,5,0))))</f>
        <v/>
      </c>
      <c r="O295" s="32" t="n">
        <v>68.23999999999999</v>
      </c>
      <c r="P295" s="32" t="n">
        <v>29.39</v>
      </c>
      <c r="Q295" s="32" t="n">
        <v>677.9</v>
      </c>
      <c r="R295" s="31" t="inlineStr">
        <is>
          <t>Near 52W High Breakout</t>
        </is>
      </c>
      <c r="S295" s="31" t="inlineStr">
        <is>
          <t>Nifty Pharma</t>
        </is>
      </c>
      <c r="T295" s="32" t="n">
        <v>12.5</v>
      </c>
      <c r="U295" s="32" t="n">
        <v>21.13</v>
      </c>
      <c r="V295" s="32" t="n">
        <v>7.67</v>
      </c>
      <c r="W295" s="32" t="n">
        <v>11.33</v>
      </c>
      <c r="X295" s="31" t="inlineStr">
        <is>
          <t>Growing Industry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Yes</t>
        </is>
      </c>
      <c r="AC295" s="31">
        <f>IF(AB295="No",5,0)</f>
        <v/>
      </c>
      <c r="AD295" s="31" t="inlineStr">
        <is>
          <t>Tailwind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Yes</t>
        </is>
      </c>
      <c r="AQ295" s="31">
        <f>IF(AP295="Yes",10,0)</f>
        <v/>
      </c>
      <c r="AR295" s="31" t="inlineStr">
        <is>
          <t>Higher Annuity, Lower One Time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20 to 40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2</t>
        </is>
      </c>
      <c r="BC295" s="31">
        <f>IF(BB295="Stage 2",20,IF(BB295="Stage 1",0,IF(BB295="Stage 3",5,IF(BB295="Stage 4",-5,0))))</f>
        <v/>
      </c>
      <c r="BD295" s="31" t="inlineStr">
        <is>
          <t>Positive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Blue sky scenario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Less than 12%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Yes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Between 50% to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More than 1.2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IF(B296=0,"",RANK(B296,$B$2:$B$379,0))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1" t="inlineStr">
        <is>
          <t>IRISDOREME</t>
        </is>
      </c>
      <c r="D296" s="31" t="inlineStr">
        <is>
          <t>Iris Clothings Ltd</t>
        </is>
      </c>
      <c r="E296" s="31" t="inlineStr">
        <is>
          <t>consumer discretionary</t>
        </is>
      </c>
      <c r="F296" s="31" t="inlineStr">
        <is>
          <t>textiles - products</t>
        </is>
      </c>
      <c r="G296" s="31" t="inlineStr">
        <is>
          <t>smallcap</t>
        </is>
      </c>
      <c r="H296" s="32" t="n">
        <v>793.11</v>
      </c>
      <c r="I296" s="32" t="n">
        <v>44.33</v>
      </c>
      <c r="J296" s="32" t="n">
        <v>6.38</v>
      </c>
      <c r="K296" s="32" t="n">
        <v>2705740</v>
      </c>
      <c r="L296" s="31" t="n">
        <v>55</v>
      </c>
      <c r="M296" s="31" t="inlineStr">
        <is>
          <t>Outperforming</t>
        </is>
      </c>
      <c r="N296" s="32">
        <f>IF(M296="Underperforming",-5,IF(L296&gt;=95,15,IF(L296&gt;=90,10,IF(L296&gt;=80,5,0))))</f>
        <v/>
      </c>
      <c r="O296" s="32" t="n">
        <v>70.98999999999999</v>
      </c>
      <c r="P296" s="32" t="n">
        <v>18.97</v>
      </c>
      <c r="Q296" s="32" t="n">
        <v>32.5</v>
      </c>
      <c r="R296" s="31" t="inlineStr">
        <is>
          <t>Volume Spike &amp; Near 52W High Breakout</t>
        </is>
      </c>
      <c r="S296" s="31" t="inlineStr">
        <is>
          <t>Nifty 50</t>
        </is>
      </c>
      <c r="T296" s="32" t="n">
        <v>-5.72</v>
      </c>
      <c r="U296" s="32" t="n">
        <v>26.37</v>
      </c>
      <c r="V296" s="32" t="n">
        <v>34.03</v>
      </c>
      <c r="W296" s="32" t="n">
        <v>14.94</v>
      </c>
      <c r="X296" s="31" t="inlineStr">
        <is>
          <t>Growing Industry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Tailwind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Yes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0 to 20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2</t>
        </is>
      </c>
      <c r="BC296" s="31">
        <f>IF(BB296="Stage 2",20,IF(BB296="Stage 1",0,IF(BB296="Stage 3",5,IF(BB296="Stage 4",-5,0))))</f>
        <v/>
      </c>
      <c r="BD296" s="31" t="inlineStr">
        <is>
          <t>Positive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More than 20%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Yes</t>
        </is>
      </c>
      <c r="BS296" s="31">
        <f>IF(BR296="NO",5,0)</f>
        <v/>
      </c>
      <c r="BT296" s="31" t="inlineStr">
        <is>
          <t>Above 2</t>
        </is>
      </c>
      <c r="BU296" s="31">
        <f>IF(BT296="Above 2",0,IF(BT296="Between 1.5 to 2",5,IF(BT296="Less than 1.5",10,0)))</f>
        <v/>
      </c>
      <c r="BV296" s="31" t="inlineStr">
        <is>
          <t>Negative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IF(B297=0,"",RANK(B297,$B$2:$B$379,0))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1" t="inlineStr">
        <is>
          <t>DEEDEV</t>
        </is>
      </c>
      <c r="D297" s="31" t="inlineStr">
        <is>
          <t>DEE Development Engineers Ltd</t>
        </is>
      </c>
      <c r="E297" s="31" t="inlineStr">
        <is>
          <t>metals &amp; mining</t>
        </is>
      </c>
      <c r="F297" s="31" t="inlineStr">
        <is>
          <t>steel - medium / small</t>
        </is>
      </c>
      <c r="G297" s="31" t="inlineStr">
        <is>
          <t>smallcap</t>
        </is>
      </c>
      <c r="H297" s="32" t="n">
        <v>4456.4</v>
      </c>
      <c r="I297" s="32" t="n">
        <v>675.55</v>
      </c>
      <c r="J297" s="32" t="n">
        <v>5</v>
      </c>
      <c r="K297" s="32" t="n">
        <v>64611</v>
      </c>
      <c r="L297" s="31" t="n">
        <v>95</v>
      </c>
      <c r="M297" s="31" t="inlineStr">
        <is>
          <t>Outperforming</t>
        </is>
      </c>
      <c r="N297" s="32">
        <f>IF(M297="Underperforming",-5,IF(L297&gt;=95,15,IF(L297&gt;=90,10,IF(L297&gt;=80,5,0))))</f>
        <v/>
      </c>
      <c r="O297" s="32" t="n">
        <v>79.44</v>
      </c>
      <c r="P297" s="32" t="n">
        <v>64.33</v>
      </c>
      <c r="Q297" s="32" t="n">
        <v>533.84</v>
      </c>
      <c r="R297" s="31" t="inlineStr">
        <is>
          <t>Near 52W High Breakout</t>
        </is>
      </c>
      <c r="S297" s="31" t="inlineStr">
        <is>
          <t>Nifty Metal</t>
        </is>
      </c>
      <c r="T297" s="32" t="n">
        <v>29.38</v>
      </c>
      <c r="U297" s="32" t="n">
        <v>115.8</v>
      </c>
      <c r="V297" s="32" t="n">
        <v>66.8</v>
      </c>
      <c r="W297" s="32" t="n">
        <v>50.98</v>
      </c>
      <c r="X297" s="31" t="inlineStr">
        <is>
          <t>Cyclical in an Upturn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Cyclical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Volatile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Yes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Above 40</t>
        </is>
      </c>
      <c r="AY297" s="31">
        <f>IF(AX297="Above 40",20,IF(AX297="20 to 40",10,IF(AX297="0 to 20",-5,0)))</f>
        <v/>
      </c>
      <c r="AZ297" s="31" t="inlineStr">
        <is>
          <t>Above 75</t>
        </is>
      </c>
      <c r="BA297" s="31">
        <f>IF(AZ297="Between 50 to 75",10,IF(AZ297="Above 75",0,0))</f>
        <v/>
      </c>
      <c r="BB297" s="31" t="inlineStr">
        <is>
          <t>Stage 2</t>
        </is>
      </c>
      <c r="BC297" s="31">
        <f>IF(BB297="Stage 2",20,IF(BB297="Stage 1",0,IF(BB297="Stage 3",5,IF(BB297="Stage 4",-5,0))))</f>
        <v/>
      </c>
      <c r="BD297" s="31" t="inlineStr">
        <is>
          <t>Positive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Blue sky scenario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Less than 12%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Yes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Less than 50%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Between 0.7 to 1.2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IF(B298=0,"",RANK(B298,$B$2:$B$379,0))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1" t="inlineStr">
        <is>
          <t>NAVNETEDUL</t>
        </is>
      </c>
      <c r="D298" s="31" t="inlineStr">
        <is>
          <t>Navneet Education Limited</t>
        </is>
      </c>
      <c r="E298" s="31" t="inlineStr">
        <is>
          <t>miscellaneous</t>
        </is>
      </c>
      <c r="F298" s="31" t="inlineStr">
        <is>
          <t>printing &amp; stationery</t>
        </is>
      </c>
      <c r="G298" s="31" t="inlineStr">
        <is>
          <t>smallcap</t>
        </is>
      </c>
      <c r="H298" s="32" t="n">
        <v>3132.82</v>
      </c>
      <c r="I298" s="32" t="n">
        <v>148.43</v>
      </c>
      <c r="J298" s="32" t="n">
        <v>4.81</v>
      </c>
      <c r="K298" s="32" t="n">
        <v>687662</v>
      </c>
      <c r="L298" s="31" t="n">
        <v>15</v>
      </c>
      <c r="M298" s="31" t="inlineStr">
        <is>
          <t>Outperforming</t>
        </is>
      </c>
      <c r="N298" s="32">
        <f>IF(M298="Underperforming",-5,IF(L298&gt;=95,15,IF(L298&gt;=90,10,IF(L298&gt;=80,5,0))))</f>
        <v/>
      </c>
      <c r="O298" s="32" t="n">
        <v>55.2</v>
      </c>
      <c r="P298" s="32" t="n">
        <v>24.99</v>
      </c>
      <c r="Q298" s="32" t="n">
        <v>126.76</v>
      </c>
      <c r="R298" s="31" t="inlineStr">
        <is>
          <t>Earnings / Momentum Support</t>
        </is>
      </c>
      <c r="S298" s="31" t="inlineStr">
        <is>
          <t>Nifty 50</t>
        </is>
      </c>
      <c r="T298" s="32" t="n">
        <v>-5.72</v>
      </c>
      <c r="U298" s="32" t="n">
        <v>6.71</v>
      </c>
      <c r="V298" s="32" t="n">
        <v>13.18</v>
      </c>
      <c r="W298" s="32" t="n">
        <v>5.1</v>
      </c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Tailwind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No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20 to 40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1</t>
        </is>
      </c>
      <c r="BC298" s="31">
        <f>IF(BB298="Stage 2",20,IF(BB298="Stage 1",0,IF(BB298="Stage 3",5,IF(BB298="Stage 4",-5,0))))</f>
        <v/>
      </c>
      <c r="BD298" s="31" t="inlineStr">
        <is>
          <t>Positive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Less than 12%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No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Less than 0.7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IF(B299=0,"",RANK(B299,$B$2:$B$379,0))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3" t="inlineStr">
        <is>
          <t>BANSALWIRE</t>
        </is>
      </c>
      <c r="D299" s="33" t="inlineStr">
        <is>
          <t>Bansal Wire Industries Ltd</t>
        </is>
      </c>
      <c r="E299" s="31" t="inlineStr">
        <is>
          <t>metals &amp; mining</t>
        </is>
      </c>
      <c r="F299" s="31" t="inlineStr">
        <is>
          <t>steel - medium / small</t>
        </is>
      </c>
      <c r="G299" s="31" t="inlineStr">
        <is>
          <t>midcap</t>
        </is>
      </c>
      <c r="H299" s="32" t="n">
        <v>5328.38</v>
      </c>
      <c r="I299" s="32" t="n">
        <v>354</v>
      </c>
      <c r="J299" s="32" t="n">
        <v>4.01</v>
      </c>
      <c r="K299" s="32" t="n">
        <v>642350</v>
      </c>
      <c r="L299" s="31" t="n">
        <v>29</v>
      </c>
      <c r="M299" s="31" t="inlineStr">
        <is>
          <t>Underperforming</t>
        </is>
      </c>
      <c r="N299" s="32">
        <f>IF(M299="Underperforming",-5,IF(L299&gt;=95,15,IF(L299&gt;=90,10,IF(L299&gt;=80,5,0))))</f>
        <v/>
      </c>
      <c r="O299" s="32" t="n">
        <v>66.01000000000001</v>
      </c>
      <c r="P299" s="32" t="n">
        <v>10.75</v>
      </c>
      <c r="Q299" s="32" t="n">
        <v>271.82</v>
      </c>
      <c r="R299" s="31" t="inlineStr">
        <is>
          <t>Volume Spike / Accumulation</t>
        </is>
      </c>
      <c r="S299" s="31" t="inlineStr">
        <is>
          <t>Nifty Metal</t>
        </is>
      </c>
      <c r="T299" s="32" t="n">
        <v>29.38</v>
      </c>
      <c r="U299" s="32" t="n">
        <v>-7.55</v>
      </c>
      <c r="V299" s="32" t="n">
        <v>-28.54</v>
      </c>
      <c r="W299" s="32" t="n">
        <v>8.43</v>
      </c>
      <c r="X299" s="31" t="inlineStr">
        <is>
          <t>Cyclical in an Upturn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Cyclical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Volatile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Yes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0 to 20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2</t>
        </is>
      </c>
      <c r="BC299" s="31">
        <f>IF(BB299="Stage 2",20,IF(BB299="Stage 1",0,IF(BB299="Stage 3",5,IF(BB299="Stage 4",-5,0))))</f>
        <v/>
      </c>
      <c r="BD299" s="31" t="inlineStr">
        <is>
          <t>Positive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More than 20%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No</t>
        </is>
      </c>
      <c r="BS299" s="31">
        <f>IF(BR299="NO",5,0)</f>
        <v/>
      </c>
      <c r="BT299" s="31" t="inlineStr">
        <is>
          <t>Between 1.5 to 2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Less than 0.7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IF(B300=0,"",RANK(B300,$B$2:$B$379,0))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1" t="inlineStr">
        <is>
          <t>PRESTIGE</t>
        </is>
      </c>
      <c r="D300" s="31" t="inlineStr">
        <is>
          <t>Prestige Estates Projects Limited</t>
        </is>
      </c>
      <c r="E300" s="31" t="inlineStr">
        <is>
          <t>realty</t>
        </is>
      </c>
      <c r="F300" s="31" t="inlineStr">
        <is>
          <t>construction</t>
        </is>
      </c>
      <c r="G300" s="31" t="inlineStr">
        <is>
          <t>largecap</t>
        </is>
      </c>
      <c r="H300" s="32" t="n">
        <v>67392.05</v>
      </c>
      <c r="I300" s="32" t="n">
        <v>1625.3</v>
      </c>
      <c r="J300" s="32" t="n">
        <v>3.88</v>
      </c>
      <c r="K300" s="32" t="n">
        <v>1058054</v>
      </c>
      <c r="L300" s="31" t="n">
        <v>39</v>
      </c>
      <c r="M300" s="31" t="inlineStr">
        <is>
          <t>Outperforming</t>
        </is>
      </c>
      <c r="N300" s="32">
        <f>IF(M300="Underperforming",-5,IF(L300&gt;=95,15,IF(L300&gt;=90,10,IF(L300&gt;=80,5,0))))</f>
        <v/>
      </c>
      <c r="O300" s="32" t="n">
        <v>61.63</v>
      </c>
      <c r="P300" s="32" t="n">
        <v>13.41</v>
      </c>
      <c r="Q300" s="32" t="n">
        <v>1296.5</v>
      </c>
      <c r="R300" s="31" t="inlineStr">
        <is>
          <t>Earnings / Momentum Support</t>
        </is>
      </c>
      <c r="S300" s="31" t="inlineStr">
        <is>
          <t>Nifty Realty</t>
        </is>
      </c>
      <c r="T300" s="32" t="n">
        <v>-11.6</v>
      </c>
      <c r="U300" s="32" t="n">
        <v>0.88</v>
      </c>
      <c r="V300" s="32" t="n">
        <v>14.11</v>
      </c>
      <c r="W300" s="32" t="n">
        <v>10.82</v>
      </c>
      <c r="X300" s="31" t="inlineStr">
        <is>
          <t>Growing Industry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Tailwind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No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0 to 20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2</t>
        </is>
      </c>
      <c r="BC300" s="31">
        <f>IF(BB300="Stage 2",20,IF(BB300="Stage 1",0,IF(BB300="Stage 3",5,IF(BB300="Stage 4",-5,0))))</f>
        <v/>
      </c>
      <c r="BD300" s="31" t="inlineStr">
        <is>
          <t>Positive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More than 20%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Yes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Above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Between 0.7 to 1.2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IF(B301=0,"",RANK(B301,$B$2:$B$379,0))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1" t="inlineStr">
        <is>
          <t>TVSSCS</t>
        </is>
      </c>
      <c r="D301" s="31" t="inlineStr">
        <is>
          <t>TVS Supply Chain Solutions Ltd</t>
        </is>
      </c>
      <c r="E301" s="31" t="inlineStr">
        <is>
          <t>transportation</t>
        </is>
      </c>
      <c r="F301" s="31" t="inlineStr">
        <is>
          <t>miscellaneous</t>
        </is>
      </c>
      <c r="G301" s="31" t="inlineStr">
        <is>
          <t>midcap</t>
        </is>
      </c>
      <c r="H301" s="32" t="n">
        <v>5932.11</v>
      </c>
      <c r="I301" s="32" t="n">
        <v>137.92</v>
      </c>
      <c r="J301" s="32" t="n">
        <v>2.57</v>
      </c>
      <c r="K301" s="32" t="n">
        <v>1160785</v>
      </c>
      <c r="L301" s="31" t="n">
        <v>35</v>
      </c>
      <c r="M301" s="31" t="inlineStr">
        <is>
          <t>Outperforming</t>
        </is>
      </c>
      <c r="N301" s="32">
        <f>IF(M301="Underperforming",-5,IF(L301&gt;=95,15,IF(L301&gt;=90,10,IF(L301&gt;=80,5,0))))</f>
        <v/>
      </c>
      <c r="O301" s="32" t="n">
        <v>59.94</v>
      </c>
      <c r="P301" s="32" t="n">
        <v>13.05</v>
      </c>
      <c r="Q301" s="32" t="n">
        <v>105.58</v>
      </c>
      <c r="R301" s="31" t="inlineStr">
        <is>
          <t>Near 52W High Breakout</t>
        </is>
      </c>
      <c r="S301" s="31" t="inlineStr">
        <is>
          <t>Nifty 50</t>
        </is>
      </c>
      <c r="T301" s="32" t="n">
        <v>-5.72</v>
      </c>
      <c r="U301" s="32" t="n">
        <v>4.53</v>
      </c>
      <c r="V301" s="32" t="n">
        <v>10.87</v>
      </c>
      <c r="W301" s="32" t="n">
        <v>10.06</v>
      </c>
      <c r="X301" s="31" t="inlineStr">
        <is>
          <t>Growing Industry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Structural (10 Years Consistency)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Yes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0 to 20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2</t>
        </is>
      </c>
      <c r="BC301" s="31">
        <f>IF(BB301="Stage 2",20,IF(BB301="Stage 1",0,IF(BB301="Stage 3",5,IF(BB301="Stage 4",-5,0))))</f>
        <v/>
      </c>
      <c r="BD301" s="31" t="inlineStr">
        <is>
          <t>Positive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More than 20%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Yes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More than 1.2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IF(B302=0,"",RANK(B302,$B$2:$B$379,0))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3" t="inlineStr">
        <is>
          <t>GANDHAR</t>
        </is>
      </c>
      <c r="D302" s="33" t="inlineStr">
        <is>
          <t>Gandhar Oil Refinery (India) Ltd</t>
        </is>
      </c>
      <c r="E302" s="31" t="inlineStr">
        <is>
          <t>energy</t>
        </is>
      </c>
      <c r="F302" s="31" t="inlineStr">
        <is>
          <t>refineries</t>
        </is>
      </c>
      <c r="G302" s="31" t="inlineStr">
        <is>
          <t>smallcap</t>
        </is>
      </c>
      <c r="H302" s="32" t="n">
        <v>1795.6</v>
      </c>
      <c r="I302" s="32" t="n">
        <v>184.39</v>
      </c>
      <c r="J302" s="32" t="n">
        <v>0.51</v>
      </c>
      <c r="K302" s="32" t="n">
        <v>616596</v>
      </c>
      <c r="L302" s="31" t="n">
        <v>50</v>
      </c>
      <c r="M302" s="31" t="inlineStr">
        <is>
          <t>Underperforming</t>
        </is>
      </c>
      <c r="N302" s="32">
        <f>IF(M302="Underperforming",-5,IF(L302&gt;=95,15,IF(L302&gt;=90,10,IF(L302&gt;=80,5,0))))</f>
        <v/>
      </c>
      <c r="O302" s="32" t="n">
        <v>66.02</v>
      </c>
      <c r="P302" s="32" t="n">
        <v>34.28</v>
      </c>
      <c r="Q302" s="32" t="n">
        <v>139.11</v>
      </c>
      <c r="R302" s="31" t="inlineStr">
        <is>
          <t>Near 52W High Breakout</t>
        </is>
      </c>
      <c r="S302" s="31" t="inlineStr">
        <is>
          <t>Nifty Energy</t>
        </is>
      </c>
      <c r="T302" s="32" t="n">
        <v>8.92</v>
      </c>
      <c r="U302" s="32" t="n">
        <v>6.45</v>
      </c>
      <c r="V302" s="32" t="n">
        <v>-2.27</v>
      </c>
      <c r="W302" s="32" t="n">
        <v>12.72</v>
      </c>
      <c r="X302" s="31" t="inlineStr">
        <is>
          <t>Cyclical in an Upturn</t>
        </is>
      </c>
      <c r="Y302" s="31">
        <f>IF(X302="Growing Industry",10,IF(X302="Cyclical in an Upturn",5,0))</f>
        <v/>
      </c>
      <c r="Z302" s="31" t="inlineStr">
        <is>
          <t>Oligopoly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Yes</t>
        </is>
      </c>
      <c r="AC302" s="31">
        <f>IF(AB302="No",5,0)</f>
        <v/>
      </c>
      <c r="AD302" s="31" t="inlineStr">
        <is>
          <t>Tailwind</t>
        </is>
      </c>
      <c r="AE302" s="31">
        <f>IF(AD302="Tailwind",10,0)</f>
        <v/>
      </c>
      <c r="AF302" s="31" t="inlineStr">
        <is>
          <t>Cyclical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Volatile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Yes</t>
        </is>
      </c>
      <c r="AQ302" s="31">
        <f>IF(AP302="Yes",10,0)</f>
        <v/>
      </c>
      <c r="AR302" s="31" t="inlineStr">
        <is>
          <t>Higher One Time, Lower Annuity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20 to 40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2</t>
        </is>
      </c>
      <c r="BC302" s="31">
        <f>IF(BB302="Stage 2",20,IF(BB302="Stage 1",0,IF(BB302="Stage 3",5,IF(BB302="Stage 4",-5,0))))</f>
        <v/>
      </c>
      <c r="BD302" s="31" t="inlineStr">
        <is>
          <t>Positive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More than 20%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No</t>
        </is>
      </c>
      <c r="BS302" s="31">
        <f>IF(BR302="NO",5,0)</f>
        <v/>
      </c>
      <c r="BT302" s="31" t="inlineStr">
        <is>
          <t>Above 2</t>
        </is>
      </c>
      <c r="BU302" s="31">
        <f>IF(BT302="Above 2",0,IF(BT302="Between 1.5 to 2",5,IF(BT302="Less than 1.5",10,0)))</f>
        <v/>
      </c>
      <c r="BV302" s="31" t="inlineStr">
        <is>
          <t>Between 50% to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IF(B303=0,"",RANK(B303,$B$2:$B$379,0))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1" t="inlineStr">
        <is>
          <t>GALAPREC</t>
        </is>
      </c>
      <c r="D303" s="31" t="inlineStr">
        <is>
          <t>Gala Precision Engineering Ltd</t>
        </is>
      </c>
      <c r="E303" s="31" t="inlineStr">
        <is>
          <t>industrials</t>
        </is>
      </c>
      <c r="F303" s="31" t="inlineStr">
        <is>
          <t>fasteners</t>
        </is>
      </c>
      <c r="G303" s="31" t="inlineStr">
        <is>
          <t>smallcap</t>
        </is>
      </c>
      <c r="H303" s="32" t="n">
        <v>1411.52</v>
      </c>
      <c r="I303" s="32" t="n">
        <v>1112.5</v>
      </c>
      <c r="J303" s="32" t="n">
        <v>0.49</v>
      </c>
      <c r="K303" s="32" t="n">
        <v>31548</v>
      </c>
      <c r="L303" s="31" t="n">
        <v>66</v>
      </c>
      <c r="M303" s="31" t="inlineStr">
        <is>
          <t>Outperforming</t>
        </is>
      </c>
      <c r="N303" s="32">
        <f>IF(M303="Underperforming",-5,IF(L303&gt;=95,15,IF(L303&gt;=90,10,IF(L303&gt;=80,5,0))))</f>
        <v/>
      </c>
      <c r="O303" s="32" t="n">
        <v>76.95999999999999</v>
      </c>
      <c r="P303" s="32" t="n">
        <v>32.05</v>
      </c>
      <c r="Q303" s="32" t="n">
        <v>857.5</v>
      </c>
      <c r="R303" s="31" t="inlineStr">
        <is>
          <t>Near 52W High Breakout</t>
        </is>
      </c>
      <c r="S303" s="31" t="inlineStr">
        <is>
          <t>Nifty 50</t>
        </is>
      </c>
      <c r="T303" s="32" t="n">
        <v>-5.72</v>
      </c>
      <c r="U303" s="32" t="n">
        <v>30.76</v>
      </c>
      <c r="V303" s="32" t="n">
        <v>38.69</v>
      </c>
      <c r="W303" s="32" t="n">
        <v>17.88</v>
      </c>
      <c r="X303" s="31" t="inlineStr">
        <is>
          <t>Cyclical in an Upturn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Yes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20 to 40</t>
        </is>
      </c>
      <c r="AY303" s="31">
        <f>IF(AX303="Above 40",20,IF(AX303="20 to 40",10,IF(AX303="0 to 20",-5,0)))</f>
        <v/>
      </c>
      <c r="AZ303" s="31" t="inlineStr">
        <is>
          <t>Above 75</t>
        </is>
      </c>
      <c r="BA303" s="31">
        <f>IF(AZ303="Between 50 to 75",10,IF(AZ303="Above 75",0,0))</f>
        <v/>
      </c>
      <c r="BB303" s="31" t="inlineStr">
        <is>
          <t>Stage 2</t>
        </is>
      </c>
      <c r="BC303" s="31">
        <f>IF(BB303="Stage 2",20,IF(BB303="Stage 1",0,IF(BB303="Stage 3",5,IF(BB303="Stage 4",-5,0))))</f>
        <v/>
      </c>
      <c r="BD303" s="31" t="inlineStr">
        <is>
          <t>Positive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Less than 12%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Yes</t>
        </is>
      </c>
      <c r="BS303" s="31">
        <f>IF(BR303="NO",5,0)</f>
        <v/>
      </c>
      <c r="BT303" s="31" t="inlineStr">
        <is>
          <t>Above 2</t>
        </is>
      </c>
      <c r="BU303" s="31">
        <f>IF(BT303="Above 2",0,IF(BT303="Between 1.5 to 2",5,IF(BT303="Less than 1.5",10,0)))</f>
        <v/>
      </c>
      <c r="BV303" s="31" t="inlineStr">
        <is>
          <t>Less than 50%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Less than 0.7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IF(B304=0,"",RANK(B304,$B$2:$B$379,0))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3" t="inlineStr">
        <is>
          <t>ELECTHERM</t>
        </is>
      </c>
      <c r="D304" s="33" t="inlineStr">
        <is>
          <t>Electrotherm (india) Limited</t>
        </is>
      </c>
      <c r="E304" s="31" t="inlineStr">
        <is>
          <t>metals &amp; mining</t>
        </is>
      </c>
      <c r="F304" s="31" t="inlineStr">
        <is>
          <t>steel - medium / small</t>
        </is>
      </c>
      <c r="G304" s="31" t="inlineStr">
        <is>
          <t>smallcap</t>
        </is>
      </c>
      <c r="H304" s="32" t="n">
        <v>1399.03</v>
      </c>
      <c r="I304" s="32" t="n">
        <v>1100.5</v>
      </c>
      <c r="J304" s="32" t="n">
        <v>0.24</v>
      </c>
      <c r="K304" s="32" t="n">
        <v>17494</v>
      </c>
      <c r="L304" s="31" t="n">
        <v>79</v>
      </c>
      <c r="M304" s="31" t="inlineStr">
        <is>
          <t>Underperforming</t>
        </is>
      </c>
      <c r="N304" s="32">
        <f>IF(M304="Underperforming",-5,IF(L304&gt;=95,15,IF(L304&gt;=90,10,IF(L304&gt;=80,5,0))))</f>
        <v/>
      </c>
      <c r="O304" s="32" t="n">
        <v>61.99</v>
      </c>
      <c r="P304" s="32" t="n">
        <v>31.6</v>
      </c>
      <c r="Q304" s="32" t="n">
        <v>759.1799999999999</v>
      </c>
      <c r="R304" s="31" t="inlineStr">
        <is>
          <t>Earnings / Momentum Support</t>
        </is>
      </c>
      <c r="S304" s="31" t="inlineStr">
        <is>
          <t>Nifty Metal</t>
        </is>
      </c>
      <c r="T304" s="32" t="n">
        <v>29.38</v>
      </c>
      <c r="U304" s="32" t="n">
        <v>2.35</v>
      </c>
      <c r="V304" s="32" t="n">
        <v>-20.89</v>
      </c>
      <c r="W304" s="32" t="n">
        <v>23.93</v>
      </c>
      <c r="X304" s="31" t="inlineStr">
        <is>
          <t>Cyclical in an Upturn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Tailwind</t>
        </is>
      </c>
      <c r="AE304" s="31">
        <f>IF(AD304="Tailwind",10,0)</f>
        <v/>
      </c>
      <c r="AF304" s="31" t="inlineStr">
        <is>
          <t>Cyclical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Volatile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No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20 to 40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2</t>
        </is>
      </c>
      <c r="BC304" s="31">
        <f>IF(BB304="Stage 2",20,IF(BB304="Stage 1",0,IF(BB304="Stage 3",5,IF(BB304="Stage 4",-5,0))))</f>
        <v/>
      </c>
      <c r="BD304" s="31" t="inlineStr">
        <is>
          <t>Positive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Less than 12%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No</t>
        </is>
      </c>
      <c r="BS304" s="31">
        <f>IF(BR304="NO",5,0)</f>
        <v/>
      </c>
      <c r="BT304" s="31" t="inlineStr">
        <is>
          <t>Less than 1.5</t>
        </is>
      </c>
      <c r="BU304" s="31">
        <f>IF(BT304="Above 2",0,IF(BT304="Between 1.5 to 2",5,IF(BT304="Less than 1.5",10,0)))</f>
        <v/>
      </c>
      <c r="BV304" s="31" t="inlineStr">
        <is>
          <t>Above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Less than 0.7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IF(B305=0,"",RANK(B305,$B$2:$B$379,0))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1" t="inlineStr">
        <is>
          <t>LIKHITHA</t>
        </is>
      </c>
      <c r="D305" s="31" t="inlineStr">
        <is>
          <t>Likhitha Infrastructure Ltd</t>
        </is>
      </c>
      <c r="E305" s="31" t="inlineStr">
        <is>
          <t>realty</t>
        </is>
      </c>
      <c r="F305" s="31" t="inlineStr">
        <is>
          <t>construction</t>
        </is>
      </c>
      <c r="G305" s="31" t="inlineStr">
        <is>
          <t>smallcap</t>
        </is>
      </c>
      <c r="H305" s="32" t="n">
        <v>1048.03</v>
      </c>
      <c r="I305" s="32" t="n">
        <v>266.1</v>
      </c>
      <c r="J305" s="32" t="n">
        <v>0.17</v>
      </c>
      <c r="K305" s="32" t="n">
        <v>96171</v>
      </c>
      <c r="L305" s="31" t="n">
        <v>48</v>
      </c>
      <c r="M305" s="31" t="inlineStr">
        <is>
          <t>Outperforming</t>
        </is>
      </c>
      <c r="N305" s="32">
        <f>IF(M305="Underperforming",-5,IF(L305&gt;=95,15,IF(L305&gt;=90,10,IF(L305&gt;=80,5,0))))</f>
        <v/>
      </c>
      <c r="O305" s="32" t="n">
        <v>68.03</v>
      </c>
      <c r="P305" s="32" t="n">
        <v>29.46</v>
      </c>
      <c r="Q305" s="32" t="n">
        <v>197.42</v>
      </c>
      <c r="R305" s="31" t="inlineStr">
        <is>
          <t>Earnings / Momentum Support</t>
        </is>
      </c>
      <c r="S305" s="31" t="inlineStr">
        <is>
          <t>Nifty Realty</t>
        </is>
      </c>
      <c r="T305" s="32" t="n">
        <v>-11.6</v>
      </c>
      <c r="U305" s="32" t="n">
        <v>-7.64</v>
      </c>
      <c r="V305" s="32" t="n">
        <v>4.48</v>
      </c>
      <c r="W305" s="32" t="n">
        <v>12.38</v>
      </c>
      <c r="X305" s="31" t="inlineStr">
        <is>
          <t>Growing Industry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Tailwind</t>
        </is>
      </c>
      <c r="AE305" s="31">
        <f>IF(AD305="Tailwind",10,0)</f>
        <v/>
      </c>
      <c r="AF305" s="31" t="inlineStr">
        <is>
          <t>Structural (10 Years Consistency)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Stable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No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20 to 40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2</t>
        </is>
      </c>
      <c r="BC305" s="31">
        <f>IF(BB305="Stage 2",20,IF(BB305="Stage 1",0,IF(BB305="Stage 3",5,IF(BB305="Stage 4",-5,0))))</f>
        <v/>
      </c>
      <c r="BD305" s="31" t="inlineStr">
        <is>
          <t>Positive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Less than 12%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No</t>
        </is>
      </c>
      <c r="BS305" s="31">
        <f>IF(BR305="NO",5,0)</f>
        <v/>
      </c>
      <c r="BT305" s="31" t="inlineStr">
        <is>
          <t>Above 2</t>
        </is>
      </c>
      <c r="BU305" s="31">
        <f>IF(BT305="Above 2",0,IF(BT305="Between 1.5 to 2",5,IF(BT305="Less than 1.5",10,0)))</f>
        <v/>
      </c>
      <c r="BV305" s="31" t="inlineStr">
        <is>
          <t>Negative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Less than 0.7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IF(B306=0,"",RANK(B306,$B$2:$B$379,0))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1" t="inlineStr">
        <is>
          <t>TITAN</t>
        </is>
      </c>
      <c r="D306" s="31" t="inlineStr">
        <is>
          <t>Titan Company Limited</t>
        </is>
      </c>
      <c r="E306" s="31" t="inlineStr">
        <is>
          <t>consumer discretionary</t>
        </is>
      </c>
      <c r="F306" s="31" t="inlineStr">
        <is>
          <t>diamond cutting / jewellery</t>
        </is>
      </c>
      <c r="G306" s="31" t="inlineStr">
        <is>
          <t>largecap</t>
        </is>
      </c>
      <c r="H306" s="32" t="n">
        <v>390981.02</v>
      </c>
      <c r="I306" s="32" t="n">
        <v>4398.6</v>
      </c>
      <c r="J306" s="32" t="n">
        <v>-0.12</v>
      </c>
      <c r="K306" s="32" t="n">
        <v>1168751</v>
      </c>
      <c r="L306" s="31" t="n">
        <v>16</v>
      </c>
      <c r="M306" s="31" t="inlineStr">
        <is>
          <t>Outperforming</t>
        </is>
      </c>
      <c r="N306" s="32">
        <f>IF(M306="Underperforming",-5,IF(L306&gt;=95,15,IF(L306&gt;=90,10,IF(L306&gt;=80,5,0))))</f>
        <v/>
      </c>
      <c r="O306" s="32" t="n">
        <v>57.01</v>
      </c>
      <c r="P306" s="32" t="n">
        <v>13.85</v>
      </c>
      <c r="Q306" s="32" t="n">
        <v>3838.66</v>
      </c>
      <c r="R306" s="31" t="inlineStr">
        <is>
          <t>Near 52W High Breakout</t>
        </is>
      </c>
      <c r="S306" s="31" t="inlineStr">
        <is>
          <t>Nifty 50</t>
        </is>
      </c>
      <c r="T306" s="32" t="n">
        <v>-5.72</v>
      </c>
      <c r="U306" s="32" t="n">
        <v>19.66</v>
      </c>
      <c r="V306" s="32" t="n">
        <v>26.92</v>
      </c>
      <c r="W306" s="32" t="n">
        <v>5.42</v>
      </c>
      <c r="X306" s="31" t="inlineStr">
        <is>
          <t>Growing Industry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Tailwind</t>
        </is>
      </c>
      <c r="AE306" s="31">
        <f>IF(AD306="Tailwind",10,0)</f>
        <v/>
      </c>
      <c r="AF306" s="31" t="inlineStr">
        <is>
          <t>Structural (10 Years Consistency)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Stable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Yes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0 to 20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2</t>
        </is>
      </c>
      <c r="BC306" s="31">
        <f>IF(BB306="Stage 2",20,IF(BB306="Stage 1",0,IF(BB306="Stage 3",5,IF(BB306="Stage 4",-5,0))))</f>
        <v/>
      </c>
      <c r="BD306" s="31" t="inlineStr">
        <is>
          <t>Positive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Blue sky scenario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More than 20%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Yes</t>
        </is>
      </c>
      <c r="BS306" s="31">
        <f>IF(BR306="NO",5,0)</f>
        <v/>
      </c>
      <c r="BT306" s="31" t="inlineStr">
        <is>
          <t>Above 2</t>
        </is>
      </c>
      <c r="BU306" s="31">
        <f>IF(BT306="Above 2",0,IF(BT306="Between 1.5 to 2",5,IF(BT306="Less than 1.5",10,0)))</f>
        <v/>
      </c>
      <c r="BV306" s="31" t="inlineStr">
        <is>
          <t>Between 50% to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More than 1.2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IF(B307=0,"",RANK(B307,$B$2:$B$379,0))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3" t="inlineStr">
        <is>
          <t>SUZLON</t>
        </is>
      </c>
      <c r="D307" s="33" t="inlineStr">
        <is>
          <t>Suzlon Energy Limited</t>
        </is>
      </c>
      <c r="E307" s="31" t="inlineStr">
        <is>
          <t>industrials</t>
        </is>
      </c>
      <c r="F307" s="31" t="inlineStr">
        <is>
          <t>electric equipment</t>
        </is>
      </c>
      <c r="G307" s="31" t="inlineStr">
        <is>
          <t>largecap</t>
        </is>
      </c>
      <c r="H307" s="32" t="n">
        <v>80779.48</v>
      </c>
      <c r="I307" s="32" t="n">
        <v>58.35</v>
      </c>
      <c r="J307" s="32" t="n">
        <v>-0.93</v>
      </c>
      <c r="K307" s="32" t="n">
        <v>58782670</v>
      </c>
      <c r="L307" s="31" t="n">
        <v>31</v>
      </c>
      <c r="M307" s="31" t="inlineStr">
        <is>
          <t>Underperforming</t>
        </is>
      </c>
      <c r="N307" s="32">
        <f>IF(M307="Underperforming",-5,IF(L307&gt;=95,15,IF(L307&gt;=90,10,IF(L307&gt;=80,5,0))))</f>
        <v/>
      </c>
      <c r="O307" s="32" t="n">
        <v>61.17</v>
      </c>
      <c r="P307" s="32" t="n">
        <v>26.95</v>
      </c>
      <c r="Q307" s="32" t="n">
        <v>47.68</v>
      </c>
      <c r="R307" s="31" t="inlineStr">
        <is>
          <t>Earnings / Momentum Support</t>
        </is>
      </c>
      <c r="S307" s="31" t="inlineStr">
        <is>
          <t>Nifty 50</t>
        </is>
      </c>
      <c r="T307" s="32" t="n">
        <v>-5.72</v>
      </c>
      <c r="U307" s="32" t="n">
        <v>-10.96</v>
      </c>
      <c r="V307" s="32" t="n">
        <v>-5.56</v>
      </c>
      <c r="W307" s="32" t="n">
        <v>8.82</v>
      </c>
      <c r="X307" s="31" t="inlineStr">
        <is>
          <t>Cyclical in an Upturn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No</t>
        </is>
      </c>
      <c r="AC307" s="31">
        <f>IF(AB307="No",5,0)</f>
        <v/>
      </c>
      <c r="AD307" s="31" t="inlineStr">
        <is>
          <t>Tailwind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No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20 to 40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2</t>
        </is>
      </c>
      <c r="BC307" s="31">
        <f>IF(BB307="Stage 2",20,IF(BB307="Stage 1",0,IF(BB307="Stage 3",5,IF(BB307="Stage 4",-5,0))))</f>
        <v/>
      </c>
      <c r="BD307" s="31" t="inlineStr">
        <is>
          <t>Positive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Less than 12%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No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Less than 50%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Less than 0.7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IF(B308=0,"",RANK(B308,$B$2:$B$379,0))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DMART</t>
        </is>
      </c>
      <c r="D308" s="31" t="inlineStr">
        <is>
          <t>Avenue Supermarts Ltd</t>
        </is>
      </c>
      <c r="E308" s="31" t="inlineStr">
        <is>
          <t>consumer discretionary</t>
        </is>
      </c>
      <c r="F308" s="31" t="inlineStr">
        <is>
          <t>trading</t>
        </is>
      </c>
      <c r="G308" s="31" t="inlineStr">
        <is>
          <t>largecap</t>
        </is>
      </c>
      <c r="H308" s="32" t="n">
        <v>285603.73</v>
      </c>
      <c r="I308" s="32" t="n">
        <v>4328.6</v>
      </c>
      <c r="J308" s="32" t="n">
        <v>-1.19</v>
      </c>
      <c r="K308" s="32" t="n">
        <v>930654</v>
      </c>
      <c r="L308" s="31" t="n">
        <v>2</v>
      </c>
      <c r="M308" s="31" t="inlineStr">
        <is>
          <t>Outperforming</t>
        </is>
      </c>
      <c r="N308" s="32">
        <f>IF(M308="Underperforming",-5,IF(L308&gt;=95,15,IF(L308&gt;=90,10,IF(L308&gt;=80,5,0))))</f>
        <v/>
      </c>
      <c r="O308" s="32" t="n">
        <v>55.37</v>
      </c>
      <c r="P308" s="32" t="n">
        <v>12</v>
      </c>
      <c r="Q308" s="32" t="n">
        <v>3945.59</v>
      </c>
      <c r="R308" s="31" t="inlineStr">
        <is>
          <t>Earnings / Momentum Support</t>
        </is>
      </c>
      <c r="S308" s="31" t="inlineStr">
        <is>
          <t>Nifty 50</t>
        </is>
      </c>
      <c r="T308" s="32" t="n">
        <v>-5.72</v>
      </c>
      <c r="U308" s="32" t="n">
        <v>1.58</v>
      </c>
      <c r="V308" s="32" t="n">
        <v>7.74</v>
      </c>
      <c r="W308" s="32" t="n">
        <v>0.72</v>
      </c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Tailwind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0 to 20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2</t>
        </is>
      </c>
      <c r="BC308" s="31">
        <f>IF(BB308="Stage 2",20,IF(BB308="Stage 1",0,IF(BB308="Stage 3",5,IF(BB308="Stage 4",-5,0))))</f>
        <v/>
      </c>
      <c r="BD308" s="31" t="inlineStr">
        <is>
          <t>Positive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Between 12 to 20%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Yes</t>
        </is>
      </c>
      <c r="BS308" s="31">
        <f>IF(BR308="NO",5,0)</f>
        <v/>
      </c>
      <c r="BT308" s="31" t="inlineStr">
        <is>
          <t>Above 2</t>
        </is>
      </c>
      <c r="BU308" s="31">
        <f>IF(BT308="Above 2",0,IF(BT308="Between 1.5 to 2",5,IF(BT308="Less than 1.5",10,0)))</f>
        <v/>
      </c>
      <c r="BV308" s="31" t="inlineStr">
        <is>
          <t>Between 50% to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Less than 0.7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IF(B309=0,"",RANK(B309,$B$2:$B$379,0))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3" t="inlineStr">
        <is>
          <t>PATELENG</t>
        </is>
      </c>
      <c r="D309" s="33" t="inlineStr">
        <is>
          <t>Patel Engineering Limited</t>
        </is>
      </c>
      <c r="E309" s="31" t="inlineStr">
        <is>
          <t>realty</t>
        </is>
      </c>
      <c r="F309" s="31" t="inlineStr">
        <is>
          <t>construction</t>
        </is>
      </c>
      <c r="G309" s="31" t="inlineStr">
        <is>
          <t>smallcap</t>
        </is>
      </c>
      <c r="H309" s="32" t="n">
        <v>3465.55</v>
      </c>
      <c r="I309" s="32" t="n">
        <v>34.44</v>
      </c>
      <c r="J309" s="32" t="n">
        <v>-1.4</v>
      </c>
      <c r="K309" s="32" t="n">
        <v>8827730</v>
      </c>
      <c r="L309" s="31" t="n">
        <v>23</v>
      </c>
      <c r="M309" s="31" t="inlineStr">
        <is>
          <t>Underperforming</t>
        </is>
      </c>
      <c r="N309" s="32">
        <f>IF(M309="Underperforming",-5,IF(L309&gt;=95,15,IF(L309&gt;=90,10,IF(L309&gt;=80,5,0))))</f>
        <v/>
      </c>
      <c r="O309" s="32" t="n">
        <v>63.64</v>
      </c>
      <c r="P309" s="32" t="n">
        <v>16.21</v>
      </c>
      <c r="Q309" s="32" t="n">
        <v>26.36</v>
      </c>
      <c r="R309" s="31" t="inlineStr">
        <is>
          <t>Earnings / Momentum Support</t>
        </is>
      </c>
      <c r="S309" s="31" t="inlineStr">
        <is>
          <t>Nifty Realty</t>
        </is>
      </c>
      <c r="T309" s="32" t="n">
        <v>-11.6</v>
      </c>
      <c r="U309" s="32" t="n">
        <v>-15.42</v>
      </c>
      <c r="V309" s="32" t="n">
        <v>-4.33</v>
      </c>
      <c r="W309" s="32" t="n">
        <v>7.23</v>
      </c>
      <c r="X309" s="31" t="inlineStr">
        <is>
          <t>Growing Industry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Tailwind</t>
        </is>
      </c>
      <c r="AE309" s="31">
        <f>IF(AD309="Tailwind",10,0)</f>
        <v/>
      </c>
      <c r="AF309" s="31" t="inlineStr">
        <is>
          <t>Structural (10 Years Consistency)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No</t>
        </is>
      </c>
      <c r="AQ309" s="31">
        <f>IF(AP309="Yes",10,0)</f>
        <v/>
      </c>
      <c r="AR309" s="31" t="inlineStr">
        <is>
          <t>Higher One Time, Lower Annuity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0 to 20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2</t>
        </is>
      </c>
      <c r="BC309" s="31">
        <f>IF(BB309="Stage 2",20,IF(BB309="Stage 1",0,IF(BB309="Stage 3",5,IF(BB309="Stage 4",-5,0))))</f>
        <v/>
      </c>
      <c r="BD309" s="31" t="inlineStr">
        <is>
          <t>Positive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Less than 12%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No</t>
        </is>
      </c>
      <c r="BS309" s="31">
        <f>IF(BR309="NO",5,0)</f>
        <v/>
      </c>
      <c r="BT309" s="31" t="inlineStr">
        <is>
          <t>Above 2</t>
        </is>
      </c>
      <c r="BU309" s="31">
        <f>IF(BT309="Above 2",0,IF(BT309="Between 1.5 to 2",5,IF(BT309="Less than 1.5",10,0)))</f>
        <v/>
      </c>
      <c r="BV309" s="31" t="inlineStr">
        <is>
          <t>Above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Less than 0.7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IF(B310=0,"",RANK(B310,$B$2:$B$379,0))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1" t="inlineStr">
        <is>
          <t>RUBYMILLS</t>
        </is>
      </c>
      <c r="D310" s="31" t="inlineStr">
        <is>
          <t>The Ruby Mills Limited</t>
        </is>
      </c>
      <c r="E310" s="31" t="inlineStr">
        <is>
          <t>textiles</t>
        </is>
      </c>
      <c r="F310" s="31" t="inlineStr">
        <is>
          <t>textiles - composite</t>
        </is>
      </c>
      <c r="G310" s="31" t="inlineStr">
        <is>
          <t>smallcap</t>
        </is>
      </c>
      <c r="H310" s="32" t="n">
        <v>1086.8</v>
      </c>
      <c r="I310" s="32" t="n">
        <v>320</v>
      </c>
      <c r="J310" s="32" t="n">
        <v>-1.54</v>
      </c>
      <c r="K310" s="32" t="n">
        <v>24421</v>
      </c>
      <c r="L310" s="31" t="n">
        <v>68</v>
      </c>
      <c r="M310" s="31" t="inlineStr">
        <is>
          <t>Outperforming</t>
        </is>
      </c>
      <c r="N310" s="32">
        <f>IF(M310="Underperforming",-5,IF(L310&gt;=95,15,IF(L310&gt;=90,10,IF(L310&gt;=80,5,0))))</f>
        <v/>
      </c>
      <c r="O310" s="32" t="n">
        <v>68</v>
      </c>
      <c r="P310" s="32" t="n">
        <v>45.88</v>
      </c>
      <c r="Q310" s="32" t="n">
        <v>253.94</v>
      </c>
      <c r="R310" s="31" t="inlineStr">
        <is>
          <t>Earnings / Momentum Support</t>
        </is>
      </c>
      <c r="S310" s="31" t="inlineStr">
        <is>
          <t>Nifty 50</t>
        </is>
      </c>
      <c r="T310" s="32" t="n">
        <v>-5.72</v>
      </c>
      <c r="U310" s="32" t="n">
        <v>30.28</v>
      </c>
      <c r="V310" s="32" t="n">
        <v>38.18</v>
      </c>
      <c r="W310" s="32" t="n">
        <v>18.5</v>
      </c>
      <c r="X310" s="31" t="inlineStr">
        <is>
          <t>Growing Industry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Tailwind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No</t>
        </is>
      </c>
      <c r="AQ310" s="31">
        <f>IF(AP310="Yes",10,0)</f>
        <v/>
      </c>
      <c r="AR310" s="31" t="inlineStr">
        <is>
          <t>Higher One Time, Lower Annuity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Above 40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2</t>
        </is>
      </c>
      <c r="BC310" s="31">
        <f>IF(BB310="Stage 2",20,IF(BB310="Stage 1",0,IF(BB310="Stage 3",5,IF(BB310="Stage 4",-5,0))))</f>
        <v/>
      </c>
      <c r="BD310" s="31" t="inlineStr">
        <is>
          <t>Negative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Less than 12%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No</t>
        </is>
      </c>
      <c r="BS310" s="31">
        <f>IF(BR310="NO",5,0)</f>
        <v/>
      </c>
      <c r="BT310" s="31" t="inlineStr">
        <is>
          <t>Above 2</t>
        </is>
      </c>
      <c r="BU310" s="31">
        <f>IF(BT310="Above 2",0,IF(BT310="Between 1.5 to 2",5,IF(BT310="Less than 1.5",10,0)))</f>
        <v/>
      </c>
      <c r="BV310" s="31" t="inlineStr">
        <is>
          <t>Above 70%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Less than 0.7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IF(B311=0,"",RANK(B311,$B$2:$B$379,0))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3" t="inlineStr">
        <is>
          <t>JLHL</t>
        </is>
      </c>
      <c r="D311" s="33" t="inlineStr">
        <is>
          <t>Jupiter Life Line Hospitals Ltd</t>
        </is>
      </c>
      <c r="E311" s="31" t="inlineStr">
        <is>
          <t>healthcare</t>
        </is>
      </c>
      <c r="F311" s="31" t="inlineStr">
        <is>
          <t>healthcare</t>
        </is>
      </c>
      <c r="G311" s="31" t="inlineStr">
        <is>
          <t>midcap</t>
        </is>
      </c>
      <c r="H311" s="32" t="n">
        <v>9316.280000000001</v>
      </c>
      <c r="I311" s="32" t="n">
        <v>1444.5</v>
      </c>
      <c r="J311" s="32" t="n">
        <v>1.66</v>
      </c>
      <c r="K311" s="32" t="n">
        <v>32770</v>
      </c>
      <c r="L311" s="31" t="n">
        <v>7</v>
      </c>
      <c r="M311" s="31" t="inlineStr">
        <is>
          <t>Underperforming</t>
        </is>
      </c>
      <c r="N311" s="32">
        <f>IF(M311="Underperforming",-5,IF(L311&gt;=95,15,IF(L311&gt;=90,10,IF(L311&gt;=80,5,0))))</f>
        <v/>
      </c>
      <c r="O311" s="32" t="n">
        <v>63.74</v>
      </c>
      <c r="P311" s="32" t="n">
        <v>18.49</v>
      </c>
      <c r="Q311" s="32" t="n">
        <v>1207.77</v>
      </c>
      <c r="R311" s="31" t="inlineStr">
        <is>
          <t>Earnings / Momentum Support</t>
        </is>
      </c>
      <c r="S311" s="31" t="inlineStr">
        <is>
          <t>Nifty Pharma</t>
        </is>
      </c>
      <c r="T311" s="32" t="n">
        <v>12.5</v>
      </c>
      <c r="U311" s="32" t="n">
        <v>-3.98</v>
      </c>
      <c r="V311" s="32" t="n">
        <v>-14.65</v>
      </c>
      <c r="W311" s="32" t="n">
        <v>3.19</v>
      </c>
      <c r="X311" s="31" t="inlineStr">
        <is>
          <t>Growing Industry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Yes</t>
        </is>
      </c>
      <c r="AC311" s="31">
        <f>IF(AB311="No",5,0)</f>
        <v/>
      </c>
      <c r="AD311" s="31" t="inlineStr">
        <is>
          <t>Tailwind</t>
        </is>
      </c>
      <c r="AE311" s="31">
        <f>IF(AD311="Tailwind",10,0)</f>
        <v/>
      </c>
      <c r="AF311" s="31" t="inlineStr">
        <is>
          <t>Structural (10 Years Consistency)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Stable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No</t>
        </is>
      </c>
      <c r="AQ311" s="31">
        <f>IF(AP311="Yes",10,0)</f>
        <v/>
      </c>
      <c r="AR311" s="31" t="inlineStr">
        <is>
          <t>Higher Annuity, Lower One Time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0 to 20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2</t>
        </is>
      </c>
      <c r="BC311" s="31">
        <f>IF(BB311="Stage 2",20,IF(BB311="Stage 1",0,IF(BB311="Stage 3",5,IF(BB311="Stage 4",-5,0))))</f>
        <v/>
      </c>
      <c r="BD311" s="31" t="inlineStr">
        <is>
          <t>Positive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Close to 52 week high or retracement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Between 12 to 20%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Yes</t>
        </is>
      </c>
      <c r="BS311" s="31">
        <f>IF(BR311="NO",5,0)</f>
        <v/>
      </c>
      <c r="BT311" s="31" t="inlineStr">
        <is>
          <t>Above 2</t>
        </is>
      </c>
      <c r="BU311" s="31">
        <f>IF(BT311="Above 2",0,IF(BT311="Between 1.5 to 2",5,IF(BT311="Less than 1.5",10,0)))</f>
        <v/>
      </c>
      <c r="BV311" s="31" t="inlineStr">
        <is>
          <t>Above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Less than 0.7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IF(B312=0,"",RANK(B312,$B$2:$B$379,0))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3" t="inlineStr">
        <is>
          <t>VENUSPIPES</t>
        </is>
      </c>
      <c r="D312" s="33" t="inlineStr">
        <is>
          <t>Venus Pipes &amp; Tubes Ltd</t>
        </is>
      </c>
      <c r="E312" s="31" t="inlineStr">
        <is>
          <t>metals &amp; mining</t>
        </is>
      </c>
      <c r="F312" s="31" t="inlineStr">
        <is>
          <t>steel - medium / small</t>
        </is>
      </c>
      <c r="G312" s="31" t="inlineStr">
        <is>
          <t>smallcap</t>
        </is>
      </c>
      <c r="H312" s="32" t="n">
        <v>3584.92</v>
      </c>
      <c r="I312" s="32" t="n">
        <v>1807</v>
      </c>
      <c r="J312" s="32" t="n">
        <v>4.42</v>
      </c>
      <c r="K312" s="32" t="n">
        <v>283248</v>
      </c>
      <c r="L312" s="31" t="n">
        <v>82</v>
      </c>
      <c r="M312" s="31" t="inlineStr">
        <is>
          <t>Underperforming</t>
        </is>
      </c>
      <c r="N312" s="32">
        <f>IF(M312="Underperforming",-5,IF(L312&gt;=95,15,IF(L312&gt;=90,10,IF(L312&gt;=80,5,0))))</f>
        <v/>
      </c>
      <c r="O312" s="32" t="n">
        <v>74.3</v>
      </c>
      <c r="P312" s="32" t="n">
        <v>20.82</v>
      </c>
      <c r="Q312" s="32" t="n">
        <v>1389.54</v>
      </c>
      <c r="R312" s="31" t="inlineStr">
        <is>
          <t>Near 52W High Breakout</t>
        </is>
      </c>
      <c r="S312" s="31" t="inlineStr">
        <is>
          <t>Nifty Metal</t>
        </is>
      </c>
      <c r="T312" s="32" t="n">
        <v>29.38</v>
      </c>
      <c r="U312" s="32" t="n">
        <v>24.07</v>
      </c>
      <c r="V312" s="32" t="n">
        <v>-4.1</v>
      </c>
      <c r="W312" s="32" t="n">
        <v>26.13</v>
      </c>
      <c r="X312" s="31" t="inlineStr">
        <is>
          <t>Cyclical in an Upturn</t>
        </is>
      </c>
      <c r="Y312" s="31">
        <f>IF(X312="Growing Industry",10,IF(X312="Cyclical in an Upturn",5,0))</f>
        <v/>
      </c>
      <c r="Z312" s="31" t="inlineStr">
        <is>
          <t>Too Many Players with High ROCE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No</t>
        </is>
      </c>
      <c r="AC312" s="31">
        <f>IF(AB312="No",5,0)</f>
        <v/>
      </c>
      <c r="AD312" s="31" t="inlineStr">
        <is>
          <t>Tailwind</t>
        </is>
      </c>
      <c r="AE312" s="31">
        <f>IF(AD312="Tailwind",10,0)</f>
        <v/>
      </c>
      <c r="AF312" s="31" t="inlineStr">
        <is>
          <t>Cyclical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Volatile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Yes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20 to 40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2</t>
        </is>
      </c>
      <c r="BC312" s="31">
        <f>IF(BB312="Stage 2",20,IF(BB312="Stage 1",0,IF(BB312="Stage 3",5,IF(BB312="Stage 4",-5,0))))</f>
        <v/>
      </c>
      <c r="BD312" s="31" t="inlineStr">
        <is>
          <t>Positive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Less than 12%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No</t>
        </is>
      </c>
      <c r="BS312" s="31">
        <f>IF(BR312="NO",5,0)</f>
        <v/>
      </c>
      <c r="BT312" s="31" t="inlineStr">
        <is>
          <t>Above 2</t>
        </is>
      </c>
      <c r="BU312" s="31">
        <f>IF(BT312="Above 2",0,IF(BT312="Between 1.5 to 2",5,IF(BT312="Less than 1.5",10,0)))</f>
        <v/>
      </c>
      <c r="BV312" s="31" t="inlineStr">
        <is>
          <t>Between 50% to 70%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Less than 0.7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IF(B313=0,"",RANK(B313,$B$2:$B$379,0))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3" t="inlineStr">
        <is>
          <t>KAMDHENU</t>
        </is>
      </c>
      <c r="D313" s="33" t="inlineStr">
        <is>
          <t>Kamdhenu Limited</t>
        </is>
      </c>
      <c r="E313" s="31" t="inlineStr">
        <is>
          <t>metals &amp; mining</t>
        </is>
      </c>
      <c r="F313" s="31" t="inlineStr">
        <is>
          <t>steel - medium / small</t>
        </is>
      </c>
      <c r="G313" s="31" t="inlineStr">
        <is>
          <t>smallcap</t>
        </is>
      </c>
      <c r="H313" s="32" t="n">
        <v>844.52</v>
      </c>
      <c r="I313" s="32" t="n">
        <v>31.1</v>
      </c>
      <c r="J313" s="32" t="n">
        <v>3.81</v>
      </c>
      <c r="K313" s="32" t="n">
        <v>1613549</v>
      </c>
      <c r="L313" s="31" t="n">
        <v>60</v>
      </c>
      <c r="M313" s="31" t="inlineStr">
        <is>
          <t>Underperforming</t>
        </is>
      </c>
      <c r="N313" s="32">
        <f>IF(M313="Underperforming",-5,IF(L313&gt;=95,15,IF(L313&gt;=90,10,IF(L313&gt;=80,5,0))))</f>
        <v/>
      </c>
      <c r="O313" s="32" t="n">
        <v>65.86</v>
      </c>
      <c r="P313" s="32" t="n">
        <v>23.17</v>
      </c>
      <c r="Q313" s="32" t="n">
        <v>22.3</v>
      </c>
      <c r="R313" s="31" t="inlineStr">
        <is>
          <t>Near 52W High Breakout</t>
        </is>
      </c>
      <c r="S313" s="31" t="inlineStr">
        <is>
          <t>Nifty Metal</t>
        </is>
      </c>
      <c r="T313" s="32" t="n">
        <v>29.38</v>
      </c>
      <c r="U313" s="32" t="n">
        <v>1.02</v>
      </c>
      <c r="V313" s="32" t="n">
        <v>-21.92</v>
      </c>
      <c r="W313" s="32" t="n">
        <v>16.5</v>
      </c>
      <c r="X313" s="31" t="inlineStr">
        <is>
          <t>Cyclical in an Upturn</t>
        </is>
      </c>
      <c r="Y313" s="31">
        <f>IF(X313="Growing Industry",10,IF(X313="Cyclical in an Upturn",5,0))</f>
        <v/>
      </c>
      <c r="Z313" s="31" t="inlineStr">
        <is>
          <t>Too Many Players with High ROCE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No</t>
        </is>
      </c>
      <c r="AC313" s="31">
        <f>IF(AB313="No",5,0)</f>
        <v/>
      </c>
      <c r="AD313" s="31" t="inlineStr">
        <is>
          <t>Tailwind</t>
        </is>
      </c>
      <c r="AE313" s="31">
        <f>IF(AD313="Tailwind",10,0)</f>
        <v/>
      </c>
      <c r="AF313" s="31" t="inlineStr">
        <is>
          <t>Cyclical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Volatile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Yes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20 to 40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2</t>
        </is>
      </c>
      <c r="BC313" s="31">
        <f>IF(BB313="Stage 2",20,IF(BB313="Stage 1",0,IF(BB313="Stage 3",5,IF(BB313="Stage 4",-5,0))))</f>
        <v/>
      </c>
      <c r="BD313" s="31" t="inlineStr">
        <is>
          <t>Positive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Close to 52 week high or retracement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Less than 12%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No</t>
        </is>
      </c>
      <c r="BS313" s="31">
        <f>IF(BR313="NO",5,0)</f>
        <v/>
      </c>
      <c r="BT313" s="31" t="inlineStr">
        <is>
          <t>Above 2</t>
        </is>
      </c>
      <c r="BU313" s="31">
        <f>IF(BT313="Above 2",0,IF(BT313="Between 1.5 to 2",5,IF(BT313="Less than 1.5",10,0)))</f>
        <v/>
      </c>
      <c r="BV313" s="31" t="inlineStr">
        <is>
          <t>Between 50% to 70%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Less than 0.7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IF(B314=0,"",RANK(B314,$B$2:$B$379,0))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1" t="inlineStr">
        <is>
          <t>ADANIENSOL</t>
        </is>
      </c>
      <c r="D314" s="31" t="inlineStr">
        <is>
          <t>Adani Energy Solutions Ltd</t>
        </is>
      </c>
      <c r="E314" s="31" t="inlineStr">
        <is>
          <t>power &amp; utilities</t>
        </is>
      </c>
      <c r="F314" s="31" t="inlineStr">
        <is>
          <t>power generation and supply</t>
        </is>
      </c>
      <c r="G314" s="31" t="inlineStr">
        <is>
          <t>largecap</t>
        </is>
      </c>
      <c r="H314" s="32" t="n">
        <v>179159.29</v>
      </c>
      <c r="I314" s="32" t="n">
        <v>1521.4</v>
      </c>
      <c r="J314" s="32" t="n">
        <v>2.01</v>
      </c>
      <c r="K314" s="32" t="n">
        <v>2095932</v>
      </c>
      <c r="L314" s="31" t="n">
        <v>83</v>
      </c>
      <c r="M314" s="31" t="inlineStr">
        <is>
          <t>Outperforming</t>
        </is>
      </c>
      <c r="N314" s="32">
        <f>IF(M314="Underperforming",-5,IF(L314&gt;=95,15,IF(L314&gt;=90,10,IF(L314&gt;=80,5,0))))</f>
        <v/>
      </c>
      <c r="O314" s="32" t="n">
        <v>69.03</v>
      </c>
      <c r="P314" s="32" t="n">
        <v>44.61</v>
      </c>
      <c r="Q314" s="32" t="n">
        <v>1249.48</v>
      </c>
      <c r="R314" s="31" t="inlineStr">
        <is>
          <t>Near 52W High Breakout</t>
        </is>
      </c>
      <c r="S314" s="31" t="inlineStr">
        <is>
          <t>Nifty IT</t>
        </is>
      </c>
      <c r="T314" s="32" t="n">
        <v>-34.2</v>
      </c>
      <c r="U314" s="32" t="n">
        <v>73.44</v>
      </c>
      <c r="V314" s="32" t="n">
        <v>163.6</v>
      </c>
      <c r="W314" s="32" t="n">
        <v>26.41</v>
      </c>
      <c r="X314" s="31" t="inlineStr">
        <is>
          <t>Growing Industry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No</t>
        </is>
      </c>
      <c r="AC314" s="31">
        <f>IF(AB314="No",5,0)</f>
        <v/>
      </c>
      <c r="AD314" s="31" t="inlineStr">
        <is>
          <t>Tailwind</t>
        </is>
      </c>
      <c r="AE314" s="31">
        <f>IF(AD314="Tailwind",10,0)</f>
        <v/>
      </c>
      <c r="AF314" s="31" t="inlineStr">
        <is>
          <t>Structural (10 Years Consistency)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Stable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Yes</t>
        </is>
      </c>
      <c r="AQ314" s="31">
        <f>IF(AP314="Yes",10,0)</f>
        <v/>
      </c>
      <c r="AR314" s="31" t="inlineStr">
        <is>
          <t>Higher One Time, Lower Annuity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Above 40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2</t>
        </is>
      </c>
      <c r="BC314" s="31">
        <f>IF(BB314="Stage 2",20,IF(BB314="Stage 1",0,IF(BB314="Stage 3",5,IF(BB314="Stage 4",-5,0))))</f>
        <v/>
      </c>
      <c r="BD314" s="31" t="inlineStr">
        <is>
          <t>Negative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Blue sky scenario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Less than 12%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Yes</t>
        </is>
      </c>
      <c r="BS314" s="31">
        <f>IF(BR314="NO",5,0)</f>
        <v/>
      </c>
      <c r="BT314" s="31" t="inlineStr">
        <is>
          <t>Above 2</t>
        </is>
      </c>
      <c r="BU314" s="31">
        <f>IF(BT314="Above 2",0,IF(BT314="Between 1.5 to 2",5,IF(BT314="Less than 1.5",10,0)))</f>
        <v/>
      </c>
      <c r="BV314" s="31" t="inlineStr">
        <is>
          <t>Above 70%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More than 1.2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IF(B315=0,"",RANK(B315,$B$2:$B$379,0))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3" t="inlineStr">
        <is>
          <t>MANALIPETC</t>
        </is>
      </c>
      <c r="D315" s="33" t="inlineStr">
        <is>
          <t>Manali Petrochemicals Limited</t>
        </is>
      </c>
      <c r="E315" s="31" t="inlineStr">
        <is>
          <t>energy</t>
        </is>
      </c>
      <c r="F315" s="31" t="inlineStr">
        <is>
          <t>petrochemicals</t>
        </is>
      </c>
      <c r="G315" s="31" t="inlineStr">
        <is>
          <t>smallcap</t>
        </is>
      </c>
      <c r="H315" s="32" t="n">
        <v>1102.52</v>
      </c>
      <c r="I315" s="32" t="n">
        <v>65.38</v>
      </c>
      <c r="J315" s="32" t="n">
        <v>2</v>
      </c>
      <c r="K315" s="32" t="n">
        <v>223299</v>
      </c>
      <c r="L315" s="31" t="n">
        <v>46</v>
      </c>
      <c r="M315" s="31" t="inlineStr">
        <is>
          <t>Underperforming</t>
        </is>
      </c>
      <c r="N315" s="32">
        <f>IF(M315="Underperforming",-5,IF(L315&gt;=95,15,IF(L315&gt;=90,10,IF(L315&gt;=80,5,0))))</f>
        <v/>
      </c>
      <c r="O315" s="32" t="n">
        <v>59.08</v>
      </c>
      <c r="P315" s="32" t="n">
        <v>21.19</v>
      </c>
      <c r="Q315" s="32" t="n">
        <v>47.92</v>
      </c>
      <c r="R315" s="31" t="inlineStr">
        <is>
          <t>Earnings / Momentum Support</t>
        </is>
      </c>
      <c r="S315" s="31" t="inlineStr">
        <is>
          <t>Nifty Energy</t>
        </is>
      </c>
      <c r="T315" s="32" t="n">
        <v>8.92</v>
      </c>
      <c r="U315" s="32" t="n">
        <v>-9.529999999999999</v>
      </c>
      <c r="V315" s="32" t="n">
        <v>-16.93</v>
      </c>
      <c r="W315" s="32" t="n">
        <v>11.97</v>
      </c>
      <c r="X315" s="31" t="inlineStr">
        <is>
          <t>Cyclical in an Upturn</t>
        </is>
      </c>
      <c r="Y315" s="31">
        <f>IF(X315="Growing Industry",10,IF(X315="Cyclical in an Upturn",5,0))</f>
        <v/>
      </c>
      <c r="Z315" s="31" t="inlineStr">
        <is>
          <t>Oligopoly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Yes</t>
        </is>
      </c>
      <c r="AC315" s="31">
        <f>IF(AB315="No",5,0)</f>
        <v/>
      </c>
      <c r="AD315" s="31" t="inlineStr">
        <is>
          <t>Tailwind</t>
        </is>
      </c>
      <c r="AE315" s="31">
        <f>IF(AD315="Tailwind",10,0)</f>
        <v/>
      </c>
      <c r="AF315" s="31" t="inlineStr">
        <is>
          <t>Cyclical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Volatile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No</t>
        </is>
      </c>
      <c r="AQ315" s="31">
        <f>IF(AP315="Yes",10,0)</f>
        <v/>
      </c>
      <c r="AR315" s="31" t="inlineStr">
        <is>
          <t>Higher One Time, Lower Annuity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20 to 40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2</t>
        </is>
      </c>
      <c r="BC315" s="31">
        <f>IF(BB315="Stage 2",20,IF(BB315="Stage 1",0,IF(BB315="Stage 3",5,IF(BB315="Stage 4",-5,0))))</f>
        <v/>
      </c>
      <c r="BD315" s="31" t="inlineStr">
        <is>
          <t>Positive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Close to 52 week high or retracement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More than 20%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No</t>
        </is>
      </c>
      <c r="BS315" s="31">
        <f>IF(BR315="NO",5,0)</f>
        <v/>
      </c>
      <c r="BT315" s="31" t="inlineStr">
        <is>
          <t>Above 2</t>
        </is>
      </c>
      <c r="BU315" s="31">
        <f>IF(BT315="Above 2",0,IF(BT315="Between 1.5 to 2",5,IF(BT315="Less than 1.5",10,0)))</f>
        <v/>
      </c>
      <c r="BV315" s="31" t="inlineStr">
        <is>
          <t>Above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Less than 0.7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IF(B316=0,"",RANK(B316,$B$2:$B$379,0))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3" t="inlineStr">
        <is>
          <t>INDIGO</t>
        </is>
      </c>
      <c r="D316" s="33" t="inlineStr">
        <is>
          <t>Interglobe Aviation Limited</t>
        </is>
      </c>
      <c r="E316" s="31" t="inlineStr">
        <is>
          <t>transportation</t>
        </is>
      </c>
      <c r="F316" s="31" t="inlineStr">
        <is>
          <t>transport - airlines</t>
        </is>
      </c>
      <c r="G316" s="31" t="inlineStr">
        <is>
          <t>largecap</t>
        </is>
      </c>
      <c r="H316" s="32" t="n">
        <v>207549.32</v>
      </c>
      <c r="I316" s="32" t="n">
        <v>5399</v>
      </c>
      <c r="J316" s="32" t="n">
        <v>0.57</v>
      </c>
      <c r="K316" s="32" t="n">
        <v>668810</v>
      </c>
      <c r="L316" s="31" t="n">
        <v>17</v>
      </c>
      <c r="M316" s="31" t="inlineStr">
        <is>
          <t>Underperforming</t>
        </is>
      </c>
      <c r="N316" s="32">
        <f>IF(M316="Underperforming",-5,IF(L316&gt;=95,15,IF(L316&gt;=90,10,IF(L316&gt;=80,5,0))))</f>
        <v/>
      </c>
      <c r="O316" s="32" t="n">
        <v>63.27</v>
      </c>
      <c r="P316" s="32" t="n">
        <v>29.24</v>
      </c>
      <c r="Q316" s="32" t="n">
        <v>4451.73</v>
      </c>
      <c r="R316" s="31" t="inlineStr">
        <is>
          <t>Earnings / Momentum Support</t>
        </is>
      </c>
      <c r="S316" s="31" t="inlineStr">
        <is>
          <t>Nifty 50</t>
        </is>
      </c>
      <c r="T316" s="32" t="n">
        <v>-5.72</v>
      </c>
      <c r="U316" s="32" t="n">
        <v>-5.99</v>
      </c>
      <c r="V316" s="32" t="n">
        <v>-0.3</v>
      </c>
      <c r="W316" s="32" t="n">
        <v>5.68</v>
      </c>
      <c r="X316" s="31" t="inlineStr">
        <is>
          <t>Growing Industry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Tailwind</t>
        </is>
      </c>
      <c r="AE316" s="31">
        <f>IF(AD316="Tailwind",10,0)</f>
        <v/>
      </c>
      <c r="AF316" s="31" t="inlineStr">
        <is>
          <t>Structural (10 Years Consistency)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Stable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No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20 to 40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2</t>
        </is>
      </c>
      <c r="BC316" s="31">
        <f>IF(BB316="Stage 2",20,IF(BB316="Stage 1",0,IF(BB316="Stage 3",5,IF(BB316="Stage 4",-5,0))))</f>
        <v/>
      </c>
      <c r="BD316" s="31" t="inlineStr">
        <is>
          <t>Positive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Close to 52 week high or retracement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Less than 12%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No</t>
        </is>
      </c>
      <c r="BS316" s="31">
        <f>IF(BR316="NO",5,0)</f>
        <v/>
      </c>
      <c r="BT316" s="31" t="inlineStr">
        <is>
          <t>Above 2</t>
        </is>
      </c>
      <c r="BU316" s="31">
        <f>IF(BT316="Above 2",0,IF(BT316="Between 1.5 to 2",5,IF(BT316="Less than 1.5",10,0)))</f>
        <v/>
      </c>
      <c r="BV316" s="31" t="inlineStr">
        <is>
          <t>Above 70%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More than 1.2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IF(B317=0,"",RANK(B317,$B$2:$B$379,0))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1" t="inlineStr">
        <is>
          <t>VINCOFE</t>
        </is>
      </c>
      <c r="D317" s="31" t="inlineStr">
        <is>
          <t>Vintage Coffee &amp; Beverages Ltd</t>
        </is>
      </c>
      <c r="E317" s="31" t="inlineStr">
        <is>
          <t>consumer discretionary</t>
        </is>
      </c>
      <c r="F317" s="31" t="inlineStr">
        <is>
          <t>trading</t>
        </is>
      </c>
      <c r="G317" s="31" t="inlineStr">
        <is>
          <t>smallcap</t>
        </is>
      </c>
      <c r="H317" s="32" t="n">
        <v>2255.99</v>
      </c>
      <c r="I317" s="32" t="n">
        <v>155.34</v>
      </c>
      <c r="J317" s="32" t="n">
        <v>0.32</v>
      </c>
      <c r="K317" s="32" t="n">
        <v>2463178</v>
      </c>
      <c r="L317" s="31" t="n">
        <v>18</v>
      </c>
      <c r="M317" s="31" t="inlineStr">
        <is>
          <t>Outperforming</t>
        </is>
      </c>
      <c r="N317" s="32">
        <f>IF(M317="Underperforming",-5,IF(L317&gt;=95,15,IF(L317&gt;=90,10,IF(L317&gt;=80,5,0))))</f>
        <v/>
      </c>
      <c r="O317" s="32" t="n">
        <v>57.32</v>
      </c>
      <c r="P317" s="32" t="n">
        <v>15.96</v>
      </c>
      <c r="Q317" s="32" t="n">
        <v>117.55</v>
      </c>
      <c r="R317" s="31" t="inlineStr">
        <is>
          <t>Earnings / Momentum Support</t>
        </is>
      </c>
      <c r="S317" s="31" t="inlineStr">
        <is>
          <t>Nifty 50</t>
        </is>
      </c>
      <c r="T317" s="32" t="n">
        <v>-5.72</v>
      </c>
      <c r="U317" s="32" t="n">
        <v>9.710000000000001</v>
      </c>
      <c r="V317" s="32" t="n">
        <v>16.36</v>
      </c>
      <c r="W317" s="32" t="n">
        <v>5.92</v>
      </c>
      <c r="X317" s="31" t="inlineStr">
        <is>
          <t>Growing Industry</t>
        </is>
      </c>
      <c r="Y317" s="31">
        <f>IF(X317="Growing Industry",10,IF(X317="Cyclical in an Upturn",5,0))</f>
        <v/>
      </c>
      <c r="Z317" s="31" t="inlineStr">
        <is>
          <t>Too Many Players with High ROCE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No</t>
        </is>
      </c>
      <c r="AC317" s="31">
        <f>IF(AB317="No",5,0)</f>
        <v/>
      </c>
      <c r="AD317" s="31" t="inlineStr">
        <is>
          <t>Headwind</t>
        </is>
      </c>
      <c r="AE317" s="31">
        <f>IF(AD317="Tailwind",10,0)</f>
        <v/>
      </c>
      <c r="AF317" s="31" t="inlineStr">
        <is>
          <t>Structural (10 Years Consistency)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Stable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No</t>
        </is>
      </c>
      <c r="AQ317" s="31">
        <f>IF(AP317="Yes",10,0)</f>
        <v/>
      </c>
      <c r="AR317" s="31" t="inlineStr">
        <is>
          <t>Higher One Time, Lower Annuity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0 to 20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2</t>
        </is>
      </c>
      <c r="BC317" s="31">
        <f>IF(BB317="Stage 2",20,IF(BB317="Stage 1",0,IF(BB317="Stage 3",5,IF(BB317="Stage 4",-5,0))))</f>
        <v/>
      </c>
      <c r="BD317" s="31" t="inlineStr">
        <is>
          <t>Positive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Close to 52 week high or retracement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Between 12 to 20%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No</t>
        </is>
      </c>
      <c r="BS317" s="31">
        <f>IF(BR317="NO",5,0)</f>
        <v/>
      </c>
      <c r="BT317" s="31" t="inlineStr">
        <is>
          <t>Between 1.5 to 2</t>
        </is>
      </c>
      <c r="BU317" s="31">
        <f>IF(BT317="Above 2",0,IF(BT317="Between 1.5 to 2",5,IF(BT317="Less than 1.5",10,0)))</f>
        <v/>
      </c>
      <c r="BV317" s="31" t="inlineStr">
        <is>
          <t>Less than 50%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Less than 0.7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IF(B318=0,"",RANK(B318,$B$2:$B$379,0))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1" t="inlineStr">
        <is>
          <t>KRYSTAL</t>
        </is>
      </c>
      <c r="D318" s="31" t="inlineStr">
        <is>
          <t>Krystal Integrated Services Ltd</t>
        </is>
      </c>
      <c r="E318" s="31" t="inlineStr">
        <is>
          <t>miscellaneous</t>
        </is>
      </c>
      <c r="F318" s="31" t="inlineStr">
        <is>
          <t>miscellaneous</t>
        </is>
      </c>
      <c r="G318" s="31" t="inlineStr">
        <is>
          <t>smallcap</t>
        </is>
      </c>
      <c r="H318" s="32" t="n">
        <v>838.39</v>
      </c>
      <c r="I318" s="32" t="n">
        <v>600</v>
      </c>
      <c r="J318" s="32" t="n">
        <v>-0.01</v>
      </c>
      <c r="K318" s="32" t="n">
        <v>4508</v>
      </c>
      <c r="L318" s="31" t="n">
        <v>6</v>
      </c>
      <c r="M318" s="31" t="inlineStr">
        <is>
          <t>Outperforming</t>
        </is>
      </c>
      <c r="N318" s="32">
        <f>IF(M318="Underperforming",-5,IF(L318&gt;=95,15,IF(L318&gt;=90,10,IF(L318&gt;=80,5,0))))</f>
        <v/>
      </c>
      <c r="O318" s="32" t="n">
        <v>53.27</v>
      </c>
      <c r="P318" s="32" t="n">
        <v>18.08</v>
      </c>
      <c r="Q318" s="32" t="n">
        <v>490.84</v>
      </c>
      <c r="R318" s="31" t="inlineStr">
        <is>
          <t>Earnings / Momentum Support</t>
        </is>
      </c>
      <c r="S318" s="31" t="inlineStr">
        <is>
          <t>Nifty 50</t>
        </is>
      </c>
      <c r="T318" s="32" t="n">
        <v>-5.72</v>
      </c>
      <c r="U318" s="32" t="n">
        <v>-1.12</v>
      </c>
      <c r="V318" s="32" t="n">
        <v>4.87</v>
      </c>
      <c r="W318" s="32" t="n">
        <v>2.87</v>
      </c>
      <c r="X318" s="31" t="inlineStr">
        <is>
          <t>Growing Industry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Headwind</t>
        </is>
      </c>
      <c r="AE318" s="31">
        <f>IF(AD318="Tailwind",10,0)</f>
        <v/>
      </c>
      <c r="AF318" s="31" t="inlineStr">
        <is>
          <t>Structural (10 Years Consistency)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Stable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No</t>
        </is>
      </c>
      <c r="AQ318" s="31">
        <f>IF(AP318="Yes",10,0)</f>
        <v/>
      </c>
      <c r="AR318" s="31" t="inlineStr">
        <is>
          <t>Higher One Time, Lower Annuity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0 to 20</t>
        </is>
      </c>
      <c r="AY318" s="31">
        <f>IF(AX318="Above 40",20,IF(AX318="20 to 40",10,IF(AX318="0 to 20",-5,0)))</f>
        <v/>
      </c>
      <c r="AZ318" s="31" t="inlineStr">
        <is>
          <t>Between 50 to 75</t>
        </is>
      </c>
      <c r="BA318" s="31">
        <f>IF(AZ318="Between 50 to 75",10,IF(AZ318="Above 75",0,0))</f>
        <v/>
      </c>
      <c r="BB318" s="31" t="inlineStr">
        <is>
          <t>Stage 1</t>
        </is>
      </c>
      <c r="BC318" s="31">
        <f>IF(BB318="Stage 2",20,IF(BB318="Stage 1",0,IF(BB318="Stage 3",5,IF(BB318="Stage 4",-5,0))))</f>
        <v/>
      </c>
      <c r="BD318" s="31" t="inlineStr">
        <is>
          <t>Positive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More than 20%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No</t>
        </is>
      </c>
      <c r="BS318" s="31">
        <f>IF(BR318="NO",5,0)</f>
        <v/>
      </c>
      <c r="BT318" s="31" t="inlineStr">
        <is>
          <t>Less than 1.5</t>
        </is>
      </c>
      <c r="BU318" s="31">
        <f>IF(BT318="Above 2",0,IF(BT318="Between 1.5 to 2",5,IF(BT318="Less than 1.5",10,0)))</f>
        <v/>
      </c>
      <c r="BV318" s="31" t="inlineStr">
        <is>
          <t>Above 70%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Less than 0.7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IF(B319=0,"",RANK(B319,$B$2:$B$379,0))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1" t="inlineStr">
        <is>
          <t>NEOGEN</t>
        </is>
      </c>
      <c r="D319" s="31" t="inlineStr">
        <is>
          <t>Neogen Chemicals Ltd</t>
        </is>
      </c>
      <c r="E319" s="31" t="inlineStr">
        <is>
          <t>chemicals</t>
        </is>
      </c>
      <c r="F319" s="31" t="inlineStr">
        <is>
          <t>chemicals</t>
        </is>
      </c>
      <c r="G319" s="31" t="inlineStr">
        <is>
          <t>midcap</t>
        </is>
      </c>
      <c r="H319" s="32" t="n">
        <v>5544.52</v>
      </c>
      <c r="I319" s="32" t="n">
        <v>2013.6</v>
      </c>
      <c r="J319" s="32" t="n">
        <v>-0.5600000000000001</v>
      </c>
      <c r="K319" s="32" t="n">
        <v>60031</v>
      </c>
      <c r="L319" s="31" t="n">
        <v>75</v>
      </c>
      <c r="M319" s="31" t="inlineStr">
        <is>
          <t>Outperforming</t>
        </is>
      </c>
      <c r="N319" s="32">
        <f>IF(M319="Underperforming",-5,IF(L319&gt;=95,15,IF(L319&gt;=90,10,IF(L319&gt;=80,5,0))))</f>
        <v/>
      </c>
      <c r="O319" s="32" t="n">
        <v>66.70999999999999</v>
      </c>
      <c r="P319" s="32" t="n">
        <v>39.66</v>
      </c>
      <c r="Q319" s="32" t="n">
        <v>1519.41</v>
      </c>
      <c r="R319" s="31" t="inlineStr">
        <is>
          <t>Volume Spike &amp; Near 52W High Breakout</t>
        </is>
      </c>
      <c r="S319" s="31" t="inlineStr">
        <is>
          <t>Nifty 50</t>
        </is>
      </c>
      <c r="T319" s="32" t="n">
        <v>-5.72</v>
      </c>
      <c r="U319" s="32" t="n">
        <v>24.65</v>
      </c>
      <c r="V319" s="32" t="n">
        <v>32.21</v>
      </c>
      <c r="W319" s="32" t="n">
        <v>22.08</v>
      </c>
      <c r="X319" s="31" t="inlineStr">
        <is>
          <t>Growing Industry</t>
        </is>
      </c>
      <c r="Y319" s="31">
        <f>IF(X319="Growing Industry",10,IF(X319="Cyclical in an Upturn",5,0))</f>
        <v/>
      </c>
      <c r="Z319" s="31" t="inlineStr">
        <is>
          <t>Too Many Players with High ROCE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No</t>
        </is>
      </c>
      <c r="AC319" s="31">
        <f>IF(AB319="No",5,0)</f>
        <v/>
      </c>
      <c r="AD319" s="31" t="inlineStr">
        <is>
          <t>Tailwind</t>
        </is>
      </c>
      <c r="AE319" s="31">
        <f>IF(AD319="Tailwind",10,0)</f>
        <v/>
      </c>
      <c r="AF319" s="31" t="inlineStr">
        <is>
          <t>Structural (10 Years Consistency)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Stable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Yes</t>
        </is>
      </c>
      <c r="AQ319" s="31">
        <f>IF(AP319="Yes",10,0)</f>
        <v/>
      </c>
      <c r="AR319" s="31" t="inlineStr">
        <is>
          <t>Higher One Time, Lower Annuity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20 to 40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2</t>
        </is>
      </c>
      <c r="BC319" s="31">
        <f>IF(BB319="Stage 2",20,IF(BB319="Stage 1",0,IF(BB319="Stage 3",5,IF(BB319="Stage 4",-5,0))))</f>
        <v/>
      </c>
      <c r="BD319" s="31" t="inlineStr">
        <is>
          <t>Positive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Close to 52 week high or retracement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More than 20%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Yes</t>
        </is>
      </c>
      <c r="BS319" s="31">
        <f>IF(BR319="NO",5,0)</f>
        <v/>
      </c>
      <c r="BT319" s="31" t="inlineStr">
        <is>
          <t>Above 2</t>
        </is>
      </c>
      <c r="BU319" s="31">
        <f>IF(BT319="Above 2",0,IF(BT319="Between 1.5 to 2",5,IF(BT319="Less than 1.5",10,0)))</f>
        <v/>
      </c>
      <c r="BV319" s="31" t="inlineStr">
        <is>
          <t>Negative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More than 1.2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IF(B320=0,"",RANK(B320,$B$2:$B$379,0))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3" t="inlineStr">
        <is>
          <t>NOCIL</t>
        </is>
      </c>
      <c r="D320" s="33" t="inlineStr">
        <is>
          <t>Nocil Limited</t>
        </is>
      </c>
      <c r="E320" s="31" t="inlineStr">
        <is>
          <t>chemicals</t>
        </is>
      </c>
      <c r="F320" s="31" t="inlineStr">
        <is>
          <t>chemicals</t>
        </is>
      </c>
      <c r="G320" s="31" t="inlineStr">
        <is>
          <t>smallcap</t>
        </is>
      </c>
      <c r="H320" s="32" t="n">
        <v>3003.28</v>
      </c>
      <c r="I320" s="32" t="n">
        <v>178.79</v>
      </c>
      <c r="J320" s="32" t="n">
        <v>-0.57</v>
      </c>
      <c r="K320" s="32" t="n">
        <v>419568</v>
      </c>
      <c r="L320" s="31" t="n">
        <v>1</v>
      </c>
      <c r="M320" s="31" t="inlineStr">
        <is>
          <t>Underperforming</t>
        </is>
      </c>
      <c r="N320" s="32">
        <f>IF(M320="Underperforming",-5,IF(L320&gt;=95,15,IF(L320&gt;=90,10,IF(L320&gt;=80,5,0))))</f>
        <v/>
      </c>
      <c r="O320" s="32" t="n">
        <v>57.5</v>
      </c>
      <c r="P320" s="32" t="n">
        <v>19.55</v>
      </c>
      <c r="Q320" s="32" t="n">
        <v>139.52</v>
      </c>
      <c r="R320" s="31" t="inlineStr">
        <is>
          <t>Earnings / Momentum Support</t>
        </is>
      </c>
      <c r="S320" s="31" t="inlineStr">
        <is>
          <t>Nifty 50</t>
        </is>
      </c>
      <c r="T320" s="32" t="n">
        <v>-5.72</v>
      </c>
      <c r="U320" s="32" t="n">
        <v>-9.81</v>
      </c>
      <c r="V320" s="32" t="n">
        <v>-4.34</v>
      </c>
      <c r="W320" s="32" t="n">
        <v>0.09</v>
      </c>
      <c r="X320" s="31" t="inlineStr">
        <is>
          <t>Growing Industry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No</t>
        </is>
      </c>
      <c r="AC320" s="31">
        <f>IF(AB320="No",5,0)</f>
        <v/>
      </c>
      <c r="AD320" s="31" t="inlineStr">
        <is>
          <t>Tailwind</t>
        </is>
      </c>
      <c r="AE320" s="31">
        <f>IF(AD320="Tailwind",10,0)</f>
        <v/>
      </c>
      <c r="AF320" s="31" t="inlineStr">
        <is>
          <t>Structural (10 Years Consistency)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Stable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No</t>
        </is>
      </c>
      <c r="AQ320" s="31">
        <f>IF(AP320="Yes",10,0)</f>
        <v/>
      </c>
      <c r="AR320" s="31" t="inlineStr">
        <is>
          <t>Higher One Time, Lower Annuity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0 to 20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2</t>
        </is>
      </c>
      <c r="BC320" s="31">
        <f>IF(BB320="Stage 2",20,IF(BB320="Stage 1",0,IF(BB320="Stage 3",5,IF(BB320="Stage 4",-5,0))))</f>
        <v/>
      </c>
      <c r="BD320" s="31" t="inlineStr">
        <is>
          <t>Positive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Close to 52 week high or retracement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Less than 12%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Yes</t>
        </is>
      </c>
      <c r="BS320" s="31">
        <f>IF(BR320="NO",5,0)</f>
        <v/>
      </c>
      <c r="BT320" s="31" t="inlineStr">
        <is>
          <t>Above 2</t>
        </is>
      </c>
      <c r="BU320" s="31">
        <f>IF(BT320="Above 2",0,IF(BT320="Between 1.5 to 2",5,IF(BT320="Less than 1.5",10,0)))</f>
        <v/>
      </c>
      <c r="BV320" s="31" t="inlineStr">
        <is>
          <t>Above 70%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Less than 0.7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IF(B321=0,"",RANK(B321,$B$2:$B$379,0))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3" t="inlineStr">
        <is>
          <t>ACE</t>
        </is>
      </c>
      <c r="D321" s="33" t="inlineStr">
        <is>
          <t>Action Construction Equipment Limited</t>
        </is>
      </c>
      <c r="E321" s="31" t="inlineStr">
        <is>
          <t>industrials</t>
        </is>
      </c>
      <c r="F321" s="31" t="inlineStr">
        <is>
          <t>engineering</t>
        </is>
      </c>
      <c r="G321" s="31" t="inlineStr">
        <is>
          <t>midcap</t>
        </is>
      </c>
      <c r="H321" s="32" t="n">
        <v>12194.12</v>
      </c>
      <c r="I321" s="32" t="n">
        <v>999.1</v>
      </c>
      <c r="J321" s="32" t="n">
        <v>-2.43</v>
      </c>
      <c r="K321" s="32" t="n">
        <v>546067</v>
      </c>
      <c r="L321" s="31" t="n">
        <v>3</v>
      </c>
      <c r="M321" s="31" t="inlineStr">
        <is>
          <t>Underperforming</t>
        </is>
      </c>
      <c r="N321" s="32">
        <f>IF(M321="Underperforming",-5,IF(L321&gt;=95,15,IF(L321&gt;=90,10,IF(L321&gt;=80,5,0))))</f>
        <v/>
      </c>
      <c r="O321" s="32" t="n">
        <v>58.82</v>
      </c>
      <c r="P321" s="32" t="n">
        <v>12.25</v>
      </c>
      <c r="Q321" s="32" t="n">
        <v>799.26</v>
      </c>
      <c r="R321" s="31" t="inlineStr">
        <is>
          <t>Earnings / Momentum Support</t>
        </is>
      </c>
      <c r="S321" s="31" t="inlineStr">
        <is>
          <t>Nifty 50</t>
        </is>
      </c>
      <c r="T321" s="32" t="n">
        <v>-5.72</v>
      </c>
      <c r="U321" s="32" t="n">
        <v>-15.72</v>
      </c>
      <c r="V321" s="32" t="n">
        <v>-10.61</v>
      </c>
      <c r="W321" s="32" t="n">
        <v>1.93</v>
      </c>
      <c r="X321" s="31" t="inlineStr">
        <is>
          <t>Cyclical in an Upturn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Tailwind</t>
        </is>
      </c>
      <c r="AE321" s="31">
        <f>IF(AD321="Tailwind",10,0)</f>
        <v/>
      </c>
      <c r="AF321" s="31" t="inlineStr">
        <is>
          <t>Structural (10 Years Consistency)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Stable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No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0 to 20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2</t>
        </is>
      </c>
      <c r="BC321" s="31">
        <f>IF(BB321="Stage 2",20,IF(BB321="Stage 1",0,IF(BB321="Stage 3",5,IF(BB321="Stage 4",-5,0))))</f>
        <v/>
      </c>
      <c r="BD321" s="31" t="inlineStr">
        <is>
          <t>Positive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Close to 52 week high or retracement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Less than 12%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No</t>
        </is>
      </c>
      <c r="BS321" s="31">
        <f>IF(BR321="NO",5,0)</f>
        <v/>
      </c>
      <c r="BT321" s="31" t="inlineStr">
        <is>
          <t>Above 2</t>
        </is>
      </c>
      <c r="BU321" s="31">
        <f>IF(BT321="Above 2",0,IF(BT321="Between 1.5 to 2",5,IF(BT321="Less than 1.5",10,0)))</f>
        <v/>
      </c>
      <c r="BV321" s="31" t="inlineStr">
        <is>
          <t>Above 70%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Less than 0.7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IF(B322=0,"",RANK(B322,$B$2:$B$379,0))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1" t="inlineStr">
        <is>
          <t>PANACHE</t>
        </is>
      </c>
      <c r="D322" s="31" t="inlineStr">
        <is>
          <t>Panache Digilife Ltd</t>
        </is>
      </c>
      <c r="E322" s="31" t="inlineStr">
        <is>
          <t>i.t</t>
        </is>
      </c>
      <c r="F322" s="31" t="inlineStr">
        <is>
          <t>computers - hardware</t>
        </is>
      </c>
      <c r="G322" s="31" t="inlineStr">
        <is>
          <t>smallcap</t>
        </is>
      </c>
      <c r="H322" s="32" t="n">
        <v>692.21</v>
      </c>
      <c r="I322" s="32" t="n">
        <v>411.25</v>
      </c>
      <c r="J322" s="32" t="n">
        <v>-4.86</v>
      </c>
      <c r="K322" s="32" t="n">
        <v>36627</v>
      </c>
      <c r="L322" s="31" t="n">
        <v>83</v>
      </c>
      <c r="M322" s="31" t="inlineStr">
        <is>
          <t>Outperforming</t>
        </is>
      </c>
      <c r="N322" s="32">
        <f>IF(M322="Underperforming",-5,IF(L322&gt;=95,15,IF(L322&gt;=90,10,IF(L322&gt;=80,5,0))))</f>
        <v/>
      </c>
      <c r="O322" s="32" t="n">
        <v>61.32</v>
      </c>
      <c r="P322" s="32" t="n">
        <v>17.78</v>
      </c>
      <c r="Q322" s="32" t="n">
        <v>309.13</v>
      </c>
      <c r="R322" s="31" t="inlineStr">
        <is>
          <t>Earnings / Momentum Support</t>
        </is>
      </c>
      <c r="S322" s="31" t="inlineStr">
        <is>
          <t>Nifty IT</t>
        </is>
      </c>
      <c r="T322" s="32" t="n">
        <v>-34.2</v>
      </c>
      <c r="U322" s="32" t="n">
        <v>86.93000000000001</v>
      </c>
      <c r="V322" s="32" t="n">
        <v>184.11</v>
      </c>
      <c r="W322" s="32" t="n">
        <v>27.75</v>
      </c>
      <c r="X322" s="31" t="inlineStr">
        <is>
          <t>Growing Industry</t>
        </is>
      </c>
      <c r="Y322" s="31">
        <f>IF(X322="Growing Industry",10,IF(X322="Cyclical in an Upturn",5,0))</f>
        <v/>
      </c>
      <c r="Z322" s="31" t="inlineStr">
        <is>
          <t>Too Many Players with High ROCE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No</t>
        </is>
      </c>
      <c r="AC322" s="31">
        <f>IF(AB322="No",5,0)</f>
        <v/>
      </c>
      <c r="AD322" s="31" t="inlineStr">
        <is>
          <t>Tailwind</t>
        </is>
      </c>
      <c r="AE322" s="31">
        <f>IF(AD322="Tailwind",10,0)</f>
        <v/>
      </c>
      <c r="AF322" s="31" t="inlineStr">
        <is>
          <t>Structural (10 Years Consistency)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Stable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No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0 to 20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2</t>
        </is>
      </c>
      <c r="BC322" s="31">
        <f>IF(BB322="Stage 2",20,IF(BB322="Stage 1",0,IF(BB322="Stage 3",5,IF(BB322="Stage 4",-5,0))))</f>
        <v/>
      </c>
      <c r="BD322" s="31" t="inlineStr">
        <is>
          <t>Positive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Close to 52 week high or retracement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More than 20%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Yes</t>
        </is>
      </c>
      <c r="BS322" s="31">
        <f>IF(BR322="NO",5,0)</f>
        <v/>
      </c>
      <c r="BT322" s="31" t="inlineStr">
        <is>
          <t>Above 2</t>
        </is>
      </c>
      <c r="BU322" s="31">
        <f>IF(BT322="Above 2",0,IF(BT322="Between 1.5 to 2",5,IF(BT322="Less than 1.5",10,0)))</f>
        <v/>
      </c>
      <c r="BV322" s="31" t="inlineStr">
        <is>
          <t>Negative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Less than 0.7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IF(B323=0,"",RANK(B323,$B$2:$B$379,0))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1" t="inlineStr">
        <is>
          <t>ZOTA</t>
        </is>
      </c>
      <c r="D323" s="31" t="inlineStr">
        <is>
          <t>Zota Health Care Ltd</t>
        </is>
      </c>
      <c r="E323" s="31" t="inlineStr">
        <is>
          <t>healthcare</t>
        </is>
      </c>
      <c r="F323" s="31" t="inlineStr">
        <is>
          <t>pharmaceuticals - indian - bulk drugs &amp; formln</t>
        </is>
      </c>
      <c r="G323" s="31" t="inlineStr">
        <is>
          <t>smallcap</t>
        </is>
      </c>
      <c r="H323" s="32" t="n">
        <v>4906.74</v>
      </c>
      <c r="I323" s="32" t="n">
        <v>1430.6</v>
      </c>
      <c r="J323" s="32" t="n">
        <v>0.97</v>
      </c>
      <c r="K323" s="32" t="n">
        <v>80882</v>
      </c>
      <c r="L323" s="31" t="n">
        <v>43</v>
      </c>
      <c r="M323" s="31" t="inlineStr">
        <is>
          <t>Outperforming</t>
        </is>
      </c>
      <c r="N323" s="32">
        <f>IF(M323="Underperforming",-5,IF(L323&gt;=95,15,IF(L323&gt;=90,10,IF(L323&gt;=80,5,0))))</f>
        <v/>
      </c>
      <c r="O323" s="32" t="n">
        <v>58.94</v>
      </c>
      <c r="P323" s="32" t="n">
        <v>11.58</v>
      </c>
      <c r="Q323" s="32" t="n">
        <v>1082.93</v>
      </c>
      <c r="R323" s="31" t="inlineStr">
        <is>
          <t>Earnings / Momentum Support</t>
        </is>
      </c>
      <c r="S323" s="31" t="inlineStr">
        <is>
          <t>Nifty Pharma</t>
        </is>
      </c>
      <c r="T323" s="32" t="n">
        <v>12.5</v>
      </c>
      <c r="U323" s="32" t="n">
        <v>19.32</v>
      </c>
      <c r="V323" s="32" t="n">
        <v>6.06</v>
      </c>
      <c r="W323" s="32" t="n">
        <v>11.54</v>
      </c>
      <c r="X323" s="31" t="inlineStr">
        <is>
          <t>Growing Industry</t>
        </is>
      </c>
      <c r="Y323" s="31">
        <f>IF(X323="Growing Industry",10,IF(X323="Cyclical in an Upturn",5,0))</f>
        <v/>
      </c>
      <c r="Z323" s="31" t="inlineStr">
        <is>
          <t>Too Many Players with High ROCE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Yes</t>
        </is>
      </c>
      <c r="AC323" s="31">
        <f>IF(AB323="No",5,0)</f>
        <v/>
      </c>
      <c r="AD323" s="31" t="inlineStr">
        <is>
          <t>Headwind</t>
        </is>
      </c>
      <c r="AE323" s="31">
        <f>IF(AD323="Tailwind",10,0)</f>
        <v/>
      </c>
      <c r="AF323" s="31" t="inlineStr">
        <is>
          <t>Structural (10 Years Consistency)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Stable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No</t>
        </is>
      </c>
      <c r="AQ323" s="31">
        <f>IF(AP323="Yes",10,0)</f>
        <v/>
      </c>
      <c r="AR323" s="31" t="inlineStr">
        <is>
          <t>Higher Annuity, Lower One Time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0 to 20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2</t>
        </is>
      </c>
      <c r="BC323" s="31">
        <f>IF(BB323="Stage 2",20,IF(BB323="Stage 1",0,IF(BB323="Stage 3",5,IF(BB323="Stage 4",-5,0))))</f>
        <v/>
      </c>
      <c r="BD323" s="31" t="inlineStr">
        <is>
          <t>Positive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Close to 52 week high or retracement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More than 20%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No</t>
        </is>
      </c>
      <c r="BS323" s="31">
        <f>IF(BR323="NO",5,0)</f>
        <v/>
      </c>
      <c r="BT323" s="31" t="inlineStr">
        <is>
          <t>Less than 1.5</t>
        </is>
      </c>
      <c r="BU323" s="31">
        <f>IF(BT323="Above 2",0,IF(BT323="Between 1.5 to 2",5,IF(BT323="Less than 1.5",10,0)))</f>
        <v/>
      </c>
      <c r="BV323" s="31" t="inlineStr">
        <is>
          <t>Negative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Less than 0.7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IF(B324=0,"",RANK(B324,$B$2:$B$379,0))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1" t="inlineStr">
        <is>
          <t>UNITDSPR</t>
        </is>
      </c>
      <c r="D324" s="31" t="inlineStr">
        <is>
          <t>United Spirits Ltd</t>
        </is>
      </c>
      <c r="E324" s="31" t="inlineStr">
        <is>
          <t>fmcg</t>
        </is>
      </c>
      <c r="F324" s="31" t="inlineStr">
        <is>
          <t>breweries &amp; distilleries</t>
        </is>
      </c>
      <c r="G324" s="31" t="inlineStr">
        <is>
          <t>largecap</t>
        </is>
      </c>
      <c r="H324" s="32" t="n">
        <v>98221.46000000001</v>
      </c>
      <c r="I324" s="32" t="n">
        <v>1352.4</v>
      </c>
      <c r="J324" s="32" t="n">
        <v>0.15</v>
      </c>
      <c r="K324" s="32" t="n">
        <v>447614</v>
      </c>
      <c r="L324" s="31" t="n">
        <v>4</v>
      </c>
      <c r="M324" s="31" t="inlineStr">
        <is>
          <t>Outperforming</t>
        </is>
      </c>
      <c r="N324" s="32">
        <f>IF(M324="Underperforming",-5,IF(L324&gt;=95,15,IF(L324&gt;=90,10,IF(L324&gt;=80,5,0))))</f>
        <v/>
      </c>
      <c r="O324" s="32" t="n">
        <v>52.69</v>
      </c>
      <c r="P324" s="32" t="n">
        <v>16.15</v>
      </c>
      <c r="Q324" s="32" t="n">
        <v>1177.66</v>
      </c>
      <c r="R324" s="31" t="inlineStr">
        <is>
          <t>Earnings / Momentum Support</t>
        </is>
      </c>
      <c r="S324" s="31" t="inlineStr">
        <is>
          <t>Nifty FMCG</t>
        </is>
      </c>
      <c r="T324" s="32" t="n">
        <v>-9</v>
      </c>
      <c r="U324" s="32" t="n">
        <v>-0.84</v>
      </c>
      <c r="V324" s="32" t="n">
        <v>8.98</v>
      </c>
      <c r="W324" s="32" t="n">
        <v>2.23</v>
      </c>
      <c r="X324" s="31" t="inlineStr">
        <is>
          <t>Growing Industry</t>
        </is>
      </c>
      <c r="Y324" s="31">
        <f>IF(X324="Growing Industry",10,IF(X324="Cyclical in an Upturn",5,0))</f>
        <v/>
      </c>
      <c r="Z324" s="31" t="inlineStr">
        <is>
          <t>Too Many Players with High ROCE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No</t>
        </is>
      </c>
      <c r="AC324" s="31">
        <f>IF(AB324="No",5,0)</f>
        <v/>
      </c>
      <c r="AD324" s="31" t="inlineStr">
        <is>
          <t>Tailwind</t>
        </is>
      </c>
      <c r="AE324" s="31">
        <f>IF(AD324="Tailwind",10,0)</f>
        <v/>
      </c>
      <c r="AF324" s="31" t="inlineStr">
        <is>
          <t>Structural (10 Years Consistency)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Stable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B2C</t>
        </is>
      </c>
      <c r="AO324" s="31">
        <f>IF(AN324="B2C",10,IF(AN324="B2B",5,0))</f>
        <v/>
      </c>
      <c r="AP324" s="31" t="inlineStr">
        <is>
          <t>No</t>
        </is>
      </c>
      <c r="AQ324" s="31">
        <f>IF(AP324="Yes",10,0)</f>
        <v/>
      </c>
      <c r="AR324" s="31" t="inlineStr">
        <is>
          <t>Higher Annuity, Lower One Time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0 to 20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1</t>
        </is>
      </c>
      <c r="BC324" s="31">
        <f>IF(BB324="Stage 2",20,IF(BB324="Stage 1",0,IF(BB324="Stage 3",5,IF(BB324="Stage 4",-5,0))))</f>
        <v/>
      </c>
      <c r="BD324" s="31" t="inlineStr">
        <is>
          <t>Positive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Close to 52 week high or retracement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More than 20%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Yes</t>
        </is>
      </c>
      <c r="BS324" s="31">
        <f>IF(BR324="NO",5,0)</f>
        <v/>
      </c>
      <c r="BT324" s="31" t="inlineStr">
        <is>
          <t>Above 2</t>
        </is>
      </c>
      <c r="BU324" s="31">
        <f>IF(BT324="Above 2",0,IF(BT324="Between 1.5 to 2",5,IF(BT324="Less than 1.5",10,0)))</f>
        <v/>
      </c>
      <c r="BV324" s="31" t="inlineStr">
        <is>
          <t>Between 50% to 70%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Less than 0.7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IF(B325=0,"",RANK(B325,$B$2:$B$379,0))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3" t="inlineStr">
        <is>
          <t>PAGEIND</t>
        </is>
      </c>
      <c r="D325" s="33" t="inlineStr">
        <is>
          <t>Page Industries Limited</t>
        </is>
      </c>
      <c r="E325" s="31" t="inlineStr">
        <is>
          <t>consumer discretionary</t>
        </is>
      </c>
      <c r="F325" s="31" t="inlineStr">
        <is>
          <t>textiles - products</t>
        </is>
      </c>
      <c r="G325" s="31" t="inlineStr">
        <is>
          <t>largecap</t>
        </is>
      </c>
      <c r="H325" s="32" t="n">
        <v>46143.58</v>
      </c>
      <c r="I325" s="32" t="n">
        <v>43610</v>
      </c>
      <c r="J325" s="32" t="n">
        <v>5.41</v>
      </c>
      <c r="K325" s="32" t="n">
        <v>86856</v>
      </c>
      <c r="L325" s="31" t="n">
        <v>14</v>
      </c>
      <c r="M325" s="31" t="inlineStr">
        <is>
          <t>Underperforming</t>
        </is>
      </c>
      <c r="N325" s="32">
        <f>IF(M325="Underperforming",-5,IF(L325&gt;=95,15,IF(L325&gt;=90,10,IF(L325&gt;=80,5,0))))</f>
        <v/>
      </c>
      <c r="O325" s="32" t="n">
        <v>69.64</v>
      </c>
      <c r="P325" s="32" t="n">
        <v>14.18</v>
      </c>
      <c r="Q325" s="32" t="n">
        <v>36658.55</v>
      </c>
      <c r="R325" s="31" t="inlineStr">
        <is>
          <t>Earnings / Momentum Support</t>
        </is>
      </c>
      <c r="S325" s="31" t="inlineStr">
        <is>
          <t>Nifty 50</t>
        </is>
      </c>
      <c r="T325" s="32" t="n">
        <v>-5.72</v>
      </c>
      <c r="U325" s="32" t="n">
        <v>-9.199999999999999</v>
      </c>
      <c r="V325" s="32" t="n">
        <v>-3.69</v>
      </c>
      <c r="W325" s="32" t="n">
        <v>5.04</v>
      </c>
      <c r="X325" s="31" t="inlineStr">
        <is>
          <t>Growing Industry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No</t>
        </is>
      </c>
      <c r="AC325" s="31">
        <f>IF(AB325="No",5,0)</f>
        <v/>
      </c>
      <c r="AD325" s="31" t="inlineStr">
        <is>
          <t>Tailwind</t>
        </is>
      </c>
      <c r="AE325" s="31">
        <f>IF(AD325="Tailwind",10,0)</f>
        <v/>
      </c>
      <c r="AF325" s="31" t="inlineStr">
        <is>
          <t>Structural (10 Years Consistency)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Stable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No</t>
        </is>
      </c>
      <c r="AQ325" s="31">
        <f>IF(AP325="Yes",10,0)</f>
        <v/>
      </c>
      <c r="AR325" s="31" t="inlineStr">
        <is>
          <t>Higher One Time, Lower Annuity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0 to 20</t>
        </is>
      </c>
      <c r="AY325" s="31">
        <f>IF(AX325="Above 40",20,IF(AX325="20 to 40",10,IF(AX325="0 to 20",-5,0)))</f>
        <v/>
      </c>
      <c r="AZ325" s="31" t="inlineStr">
        <is>
          <t>Between 50 to 75</t>
        </is>
      </c>
      <c r="BA325" s="31">
        <f>IF(AZ325="Between 50 to 75",10,IF(AZ325="Above 75",0,0))</f>
        <v/>
      </c>
      <c r="BB325" s="31" t="inlineStr">
        <is>
          <t>Stage 2</t>
        </is>
      </c>
      <c r="BC325" s="31">
        <f>IF(BB325="Stage 2",20,IF(BB325="Stage 1",0,IF(BB325="Stage 3",5,IF(BB325="Stage 4",-5,0))))</f>
        <v/>
      </c>
      <c r="BD325" s="31" t="inlineStr">
        <is>
          <t>Positive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Close to 52 week high or retracement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Less than 12%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Yes</t>
        </is>
      </c>
      <c r="BS325" s="31">
        <f>IF(BR325="NO",5,0)</f>
        <v/>
      </c>
      <c r="BT325" s="31" t="inlineStr">
        <is>
          <t>Above 2</t>
        </is>
      </c>
      <c r="BU325" s="31">
        <f>IF(BT325="Above 2",0,IF(BT325="Between 1.5 to 2",5,IF(BT325="Less than 1.5",10,0)))</f>
        <v/>
      </c>
      <c r="BV325" s="31" t="inlineStr">
        <is>
          <t>Between 50% to 70%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Less than 0.7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IF(B326=0,"",RANK(B326,$B$2:$B$379,0))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1" t="inlineStr">
        <is>
          <t>VMART</t>
        </is>
      </c>
      <c r="D326" s="31" t="inlineStr">
        <is>
          <t>V-mart Retail Limited</t>
        </is>
      </c>
      <c r="E326" s="31" t="inlineStr">
        <is>
          <t>consumer discretionary</t>
        </is>
      </c>
      <c r="F326" s="31" t="inlineStr">
        <is>
          <t>trading</t>
        </is>
      </c>
      <c r="G326" s="31" t="inlineStr">
        <is>
          <t>midcap</t>
        </is>
      </c>
      <c r="H326" s="32" t="n">
        <v>6190.2</v>
      </c>
      <c r="I326" s="32" t="n">
        <v>796.55</v>
      </c>
      <c r="J326" s="32" t="n">
        <v>2.25</v>
      </c>
      <c r="K326" s="32" t="n">
        <v>256732</v>
      </c>
      <c r="L326" s="31" t="n">
        <v>47</v>
      </c>
      <c r="M326" s="31" t="inlineStr">
        <is>
          <t>Outperforming</t>
        </is>
      </c>
      <c r="N326" s="32">
        <f>IF(M326="Underperforming",-5,IF(L326&gt;=95,15,IF(L326&gt;=90,10,IF(L326&gt;=80,5,0))))</f>
        <v/>
      </c>
      <c r="O326" s="32" t="n">
        <v>65.23</v>
      </c>
      <c r="P326" s="32" t="n">
        <v>19.51</v>
      </c>
      <c r="Q326" s="32" t="n">
        <v>625.4400000000001</v>
      </c>
      <c r="R326" s="31" t="inlineStr">
        <is>
          <t>Earnings / Momentum Support</t>
        </is>
      </c>
      <c r="S326" s="31" t="inlineStr">
        <is>
          <t>Nifty 50</t>
        </is>
      </c>
      <c r="T326" s="32" t="n">
        <v>-5.72</v>
      </c>
      <c r="U326" s="32" t="n">
        <v>0.77</v>
      </c>
      <c r="V326" s="32" t="n">
        <v>6.87</v>
      </c>
      <c r="W326" s="32" t="n">
        <v>11.98</v>
      </c>
      <c r="X326" s="31" t="inlineStr">
        <is>
          <t>Growing Industry</t>
        </is>
      </c>
      <c r="Y326" s="31">
        <f>IF(X326="Growing Industry",10,IF(X326="Cyclical in an Upturn",5,0))</f>
        <v/>
      </c>
      <c r="Z326" s="31" t="inlineStr">
        <is>
          <t>Too Many Players with High ROCE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No</t>
        </is>
      </c>
      <c r="AC326" s="31">
        <f>IF(AB326="No",5,0)</f>
        <v/>
      </c>
      <c r="AD326" s="31" t="inlineStr">
        <is>
          <t>Tailwind</t>
        </is>
      </c>
      <c r="AE326" s="31">
        <f>IF(AD326="Tailwind",10,0)</f>
        <v/>
      </c>
      <c r="AF326" s="31" t="inlineStr">
        <is>
          <t>Structural (10 Years Consistency)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Stable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No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0 to 20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2</t>
        </is>
      </c>
      <c r="BC326" s="31">
        <f>IF(BB326="Stage 2",20,IF(BB326="Stage 1",0,IF(BB326="Stage 3",5,IF(BB326="Stage 4",-5,0))))</f>
        <v/>
      </c>
      <c r="BD326" s="31" t="inlineStr">
        <is>
          <t>Positive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Close to 52 week high or retracement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Less than 12%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Yes</t>
        </is>
      </c>
      <c r="BS326" s="31">
        <f>IF(BR326="NO",5,0)</f>
        <v/>
      </c>
      <c r="BT326" s="31" t="inlineStr">
        <is>
          <t>Above 2</t>
        </is>
      </c>
      <c r="BU326" s="31">
        <f>IF(BT326="Above 2",0,IF(BT326="Between 1.5 to 2",5,IF(BT326="Less than 1.5",10,0)))</f>
        <v/>
      </c>
      <c r="BV326" s="31" t="inlineStr">
        <is>
          <t>Above 70%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Between 0.7 to 1.2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IF(B327=0,"",RANK(B327,$B$2:$B$379,0))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1" t="inlineStr">
        <is>
          <t>GODREJIND</t>
        </is>
      </c>
      <c r="D327" s="31" t="inlineStr">
        <is>
          <t>Godrej Industries Limited</t>
        </is>
      </c>
      <c r="E327" s="31" t="inlineStr">
        <is>
          <t>chemicals</t>
        </is>
      </c>
      <c r="F327" s="31" t="inlineStr">
        <is>
          <t>chemicals</t>
        </is>
      </c>
      <c r="G327" s="31" t="inlineStr">
        <is>
          <t>largecap</t>
        </is>
      </c>
      <c r="H327" s="32" t="n">
        <v>39564.46</v>
      </c>
      <c r="I327" s="32" t="n">
        <v>1197.4</v>
      </c>
      <c r="J327" s="32" t="n">
        <v>1.93</v>
      </c>
      <c r="K327" s="32" t="n">
        <v>177212</v>
      </c>
      <c r="L327" s="31" t="n">
        <v>40</v>
      </c>
      <c r="M327" s="31" t="inlineStr">
        <is>
          <t>Outperforming</t>
        </is>
      </c>
      <c r="N327" s="32">
        <f>IF(M327="Underperforming",-5,IF(L327&gt;=95,15,IF(L327&gt;=90,10,IF(L327&gt;=80,5,0))))</f>
        <v/>
      </c>
      <c r="O327" s="32" t="n">
        <v>61.59</v>
      </c>
      <c r="P327" s="32" t="n">
        <v>28.16</v>
      </c>
      <c r="Q327" s="32" t="n">
        <v>930.78</v>
      </c>
      <c r="R327" s="31" t="inlineStr">
        <is>
          <t>Earnings / Momentum Support</t>
        </is>
      </c>
      <c r="S327" s="31" t="inlineStr">
        <is>
          <t>Nifty 50</t>
        </is>
      </c>
      <c r="T327" s="32" t="n">
        <v>-5.72</v>
      </c>
      <c r="U327" s="32" t="n">
        <v>2.75</v>
      </c>
      <c r="V327" s="32" t="n">
        <v>8.98</v>
      </c>
      <c r="W327" s="32" t="n">
        <v>10.9</v>
      </c>
      <c r="X327" s="31" t="inlineStr">
        <is>
          <t>Growing Industry</t>
        </is>
      </c>
      <c r="Y327" s="31">
        <f>IF(X327="Growing Industry",10,IF(X327="Cyclical in an Upturn",5,0))</f>
        <v/>
      </c>
      <c r="Z327" s="31" t="inlineStr">
        <is>
          <t>Too Many Players with High ROCE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No</t>
        </is>
      </c>
      <c r="AC327" s="31">
        <f>IF(AB327="No",5,0)</f>
        <v/>
      </c>
      <c r="AD327" s="31" t="inlineStr">
        <is>
          <t>Tailwind</t>
        </is>
      </c>
      <c r="AE327" s="31">
        <f>IF(AD327="Tailwind",10,0)</f>
        <v/>
      </c>
      <c r="AF327" s="31" t="inlineStr">
        <is>
          <t>Structural (10 Years Consistency)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Stable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No</t>
        </is>
      </c>
      <c r="AQ327" s="31">
        <f>IF(AP327="Yes",10,0)</f>
        <v/>
      </c>
      <c r="AR327" s="31" t="inlineStr">
        <is>
          <t>Higher One Time, Lower Annuity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20 to 40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2</t>
        </is>
      </c>
      <c r="BC327" s="31">
        <f>IF(BB327="Stage 2",20,IF(BB327="Stage 1",0,IF(BB327="Stage 3",5,IF(BB327="Stage 4",-5,0))))</f>
        <v/>
      </c>
      <c r="BD327" s="31" t="inlineStr">
        <is>
          <t>Positive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Close to 52 week high or retracement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More than 20%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No</t>
        </is>
      </c>
      <c r="BS327" s="31">
        <f>IF(BR327="NO",5,0)</f>
        <v/>
      </c>
      <c r="BT327" s="31" t="inlineStr">
        <is>
          <t>Above 2</t>
        </is>
      </c>
      <c r="BU327" s="31">
        <f>IF(BT327="Above 2",0,IF(BT327="Between 1.5 to 2",5,IF(BT327="Less than 1.5",10,0)))</f>
        <v/>
      </c>
      <c r="BV327" s="31" t="inlineStr">
        <is>
          <t>Negative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More than 1.2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IF(B328=0,"",RANK(B328,$B$2:$B$379,0))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1" t="inlineStr">
        <is>
          <t>GOKEX</t>
        </is>
      </c>
      <c r="D328" s="31" t="inlineStr">
        <is>
          <t>Gokaldas Exports Limited</t>
        </is>
      </c>
      <c r="E328" s="31" t="inlineStr">
        <is>
          <t>consumer discretionary</t>
        </is>
      </c>
      <c r="F328" s="31" t="inlineStr">
        <is>
          <t>textiles - products</t>
        </is>
      </c>
      <c r="G328" s="31" t="inlineStr">
        <is>
          <t>midcap</t>
        </is>
      </c>
      <c r="H328" s="32" t="n">
        <v>6396.31</v>
      </c>
      <c r="I328" s="32" t="n">
        <v>888.7</v>
      </c>
      <c r="J328" s="32" t="n">
        <v>1.77</v>
      </c>
      <c r="K328" s="32" t="n">
        <v>715828</v>
      </c>
      <c r="L328" s="31" t="n">
        <v>38</v>
      </c>
      <c r="M328" s="31" t="inlineStr">
        <is>
          <t>Outperforming</t>
        </is>
      </c>
      <c r="N328" s="32">
        <f>IF(M328="Underperforming",-5,IF(L328&gt;=95,15,IF(L328&gt;=90,10,IF(L328&gt;=80,5,0))))</f>
        <v/>
      </c>
      <c r="O328" s="32" t="n">
        <v>64.25</v>
      </c>
      <c r="P328" s="32" t="n">
        <v>13.65</v>
      </c>
      <c r="Q328" s="32" t="n">
        <v>654.65</v>
      </c>
      <c r="R328" s="31" t="inlineStr">
        <is>
          <t>Earnings / Momentum Support</t>
        </is>
      </c>
      <c r="S328" s="31" t="inlineStr">
        <is>
          <t>Nifty 50</t>
        </is>
      </c>
      <c r="T328" s="32" t="n">
        <v>-5.72</v>
      </c>
      <c r="U328" s="32" t="n">
        <v>-4.55</v>
      </c>
      <c r="V328" s="32" t="n">
        <v>1.23</v>
      </c>
      <c r="W328" s="32" t="n">
        <v>10.69</v>
      </c>
      <c r="X328" s="31" t="inlineStr">
        <is>
          <t>Growing Industry</t>
        </is>
      </c>
      <c r="Y328" s="31">
        <f>IF(X328="Growing Industry",10,IF(X328="Cyclical in an Upturn",5,0))</f>
        <v/>
      </c>
      <c r="Z328" s="31" t="inlineStr">
        <is>
          <t>Too Many Players with High ROCE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No</t>
        </is>
      </c>
      <c r="AC328" s="31">
        <f>IF(AB328="No",5,0)</f>
        <v/>
      </c>
      <c r="AD328" s="31" t="inlineStr">
        <is>
          <t>Tailwind</t>
        </is>
      </c>
      <c r="AE328" s="31">
        <f>IF(AD328="Tailwind",10,0)</f>
        <v/>
      </c>
      <c r="AF328" s="31" t="inlineStr">
        <is>
          <t>Structural (10 Years Consistency)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Stable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No</t>
        </is>
      </c>
      <c r="AQ328" s="31">
        <f>IF(AP328="Yes",10,0)</f>
        <v/>
      </c>
      <c r="AR328" s="31" t="inlineStr">
        <is>
          <t>Higher One Time, Lower Annuity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0 to 20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2</t>
        </is>
      </c>
      <c r="BC328" s="31">
        <f>IF(BB328="Stage 2",20,IF(BB328="Stage 1",0,IF(BB328="Stage 3",5,IF(BB328="Stage 4",-5,0))))</f>
        <v/>
      </c>
      <c r="BD328" s="31" t="inlineStr">
        <is>
          <t>Positive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Less than 12%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Yes</t>
        </is>
      </c>
      <c r="BS328" s="31">
        <f>IF(BR328="NO",5,0)</f>
        <v/>
      </c>
      <c r="BT328" s="31" t="inlineStr">
        <is>
          <t>Above 2</t>
        </is>
      </c>
      <c r="BU328" s="31">
        <f>IF(BT328="Above 2",0,IF(BT328="Between 1.5 to 2",5,IF(BT328="Less than 1.5",10,0)))</f>
        <v/>
      </c>
      <c r="BV328" s="31" t="inlineStr">
        <is>
          <t>Less than 50%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Less than 0.7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IF(B329=0,"",RANK(B329,$B$2:$B$379,0))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1" t="inlineStr">
        <is>
          <t>ELGIEQUIP</t>
        </is>
      </c>
      <c r="D329" s="31" t="inlineStr">
        <is>
          <t>Elgi Equipments Limited</t>
        </is>
      </c>
      <c r="E329" s="31" t="inlineStr">
        <is>
          <t>industrials</t>
        </is>
      </c>
      <c r="F329" s="31" t="inlineStr">
        <is>
          <t>compressors / drilling equipment</t>
        </is>
      </c>
      <c r="G329" s="31" t="inlineStr">
        <is>
          <t>midcap</t>
        </is>
      </c>
      <c r="H329" s="32" t="n">
        <v>18954.33</v>
      </c>
      <c r="I329" s="32" t="n">
        <v>605.85</v>
      </c>
      <c r="J329" s="32" t="n">
        <v>1.3</v>
      </c>
      <c r="K329" s="32" t="n">
        <v>411033</v>
      </c>
      <c r="L329" s="31" t="n">
        <v>29</v>
      </c>
      <c r="M329" s="31" t="inlineStr">
        <is>
          <t>Outperforming</t>
        </is>
      </c>
      <c r="N329" s="32">
        <f>IF(M329="Underperforming",-5,IF(L329&gt;=95,15,IF(L329&gt;=90,10,IF(L329&gt;=80,5,0))))</f>
        <v/>
      </c>
      <c r="O329" s="32" t="n">
        <v>64.15000000000001</v>
      </c>
      <c r="P329" s="32" t="n">
        <v>17.33</v>
      </c>
      <c r="Q329" s="32" t="n">
        <v>494.32</v>
      </c>
      <c r="R329" s="31" t="inlineStr">
        <is>
          <t>Near 52W High Breakout</t>
        </is>
      </c>
      <c r="S329" s="31" t="inlineStr">
        <is>
          <t>Nifty 50</t>
        </is>
      </c>
      <c r="T329" s="32" t="n">
        <v>-5.72</v>
      </c>
      <c r="U329" s="32" t="n">
        <v>14.54</v>
      </c>
      <c r="V329" s="32" t="n">
        <v>21.48</v>
      </c>
      <c r="W329" s="32" t="n">
        <v>8.609999999999999</v>
      </c>
      <c r="X329" s="31" t="inlineStr">
        <is>
          <t>Cyclical in an Upturn</t>
        </is>
      </c>
      <c r="Y329" s="31">
        <f>IF(X329="Growing Industry",10,IF(X329="Cyclical in an Upturn",5,0))</f>
        <v/>
      </c>
      <c r="Z329" s="31" t="inlineStr">
        <is>
          <t>Too Many Players with High ROCE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No</t>
        </is>
      </c>
      <c r="AC329" s="31">
        <f>IF(AB329="No",5,0)</f>
        <v/>
      </c>
      <c r="AD329" s="31" t="inlineStr">
        <is>
          <t>Tailwind</t>
        </is>
      </c>
      <c r="AE329" s="31">
        <f>IF(AD329="Tailwind",10,0)</f>
        <v/>
      </c>
      <c r="AF329" s="31" t="inlineStr">
        <is>
          <t>Structural (10 Years Consistency)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Stable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Yes</t>
        </is>
      </c>
      <c r="AQ329" s="31">
        <f>IF(AP329="Yes",10,0)</f>
        <v/>
      </c>
      <c r="AR329" s="31" t="inlineStr">
        <is>
          <t>Higher One Time, Lower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0 to 20</t>
        </is>
      </c>
      <c r="AY329" s="31">
        <f>IF(AX329="Above 40",20,IF(AX329="20 to 40",10,IF(AX329="0 to 20",-5,0)))</f>
        <v/>
      </c>
      <c r="AZ329" s="31" t="inlineStr">
        <is>
          <t>Between 50 to 75</t>
        </is>
      </c>
      <c r="BA329" s="31">
        <f>IF(AZ329="Between 50 to 75",10,IF(AZ329="Above 75",0,0))</f>
        <v/>
      </c>
      <c r="BB329" s="31" t="inlineStr">
        <is>
          <t>Stage 2</t>
        </is>
      </c>
      <c r="BC329" s="31">
        <f>IF(BB329="Stage 2",20,IF(BB329="Stage 1",0,IF(BB329="Stage 3",5,IF(BB329="Stage 4",-5,0))))</f>
        <v/>
      </c>
      <c r="BD329" s="31" t="inlineStr">
        <is>
          <t>Negative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More than 20%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Yes</t>
        </is>
      </c>
      <c r="BS329" s="31">
        <f>IF(BR329="NO",5,0)</f>
        <v/>
      </c>
      <c r="BT329" s="31" t="inlineStr">
        <is>
          <t>Between 1.5 to 2</t>
        </is>
      </c>
      <c r="BU329" s="31">
        <f>IF(BT329="Above 2",0,IF(BT329="Between 1.5 to 2",5,IF(BT329="Less than 1.5",10,0)))</f>
        <v/>
      </c>
      <c r="BV329" s="31" t="inlineStr">
        <is>
          <t>Above 70%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Less than 0.7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IF(B330=0,"",RANK(B330,$B$2:$B$379,0))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3" t="inlineStr">
        <is>
          <t>EXIDEIND</t>
        </is>
      </c>
      <c r="D330" s="33" t="inlineStr">
        <is>
          <t>Exide Industries Limited</t>
        </is>
      </c>
      <c r="E330" s="31" t="inlineStr">
        <is>
          <t>auto</t>
        </is>
      </c>
      <c r="F330" s="31" t="inlineStr">
        <is>
          <t>auto ancillaries</t>
        </is>
      </c>
      <c r="G330" s="31" t="inlineStr">
        <is>
          <t>largecap</t>
        </is>
      </c>
      <c r="H330" s="32" t="n">
        <v>32946</v>
      </c>
      <c r="I330" s="32" t="n">
        <v>390.35</v>
      </c>
      <c r="J330" s="32" t="n">
        <v>0.71</v>
      </c>
      <c r="K330" s="32" t="n">
        <v>1543936</v>
      </c>
      <c r="L330" s="31" t="n">
        <v>26</v>
      </c>
      <c r="M330" s="31" t="inlineStr">
        <is>
          <t>Underperforming</t>
        </is>
      </c>
      <c r="N330" s="32">
        <f>IF(M330="Underperforming",-5,IF(L330&gt;=95,15,IF(L330&gt;=90,10,IF(L330&gt;=80,5,0))))</f>
        <v/>
      </c>
      <c r="O330" s="32" t="n">
        <v>60.72</v>
      </c>
      <c r="P330" s="32" t="n">
        <v>28.51</v>
      </c>
      <c r="Q330" s="32" t="n">
        <v>329.34</v>
      </c>
      <c r="R330" s="31" t="inlineStr">
        <is>
          <t>Earnings / Momentum Support</t>
        </is>
      </c>
      <c r="S330" s="31" t="inlineStr">
        <is>
          <t>Nifty Auto</t>
        </is>
      </c>
      <c r="T330" s="32" t="n">
        <v>11.69</v>
      </c>
      <c r="U330" s="32" t="n">
        <v>2.33</v>
      </c>
      <c r="V330" s="32" t="n">
        <v>-8.380000000000001</v>
      </c>
      <c r="W330" s="32" t="n">
        <v>7.8</v>
      </c>
      <c r="X330" s="31" t="inlineStr">
        <is>
          <t>Growing Industry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No</t>
        </is>
      </c>
      <c r="AC330" s="31">
        <f>IF(AB330="No",5,0)</f>
        <v/>
      </c>
      <c r="AD330" s="31" t="inlineStr">
        <is>
          <t>Tailwind</t>
        </is>
      </c>
      <c r="AE330" s="31">
        <f>IF(AD330="Tailwind",10,0)</f>
        <v/>
      </c>
      <c r="AF330" s="31" t="inlineStr">
        <is>
          <t>Structural (10 Years Consistency)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Stable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No</t>
        </is>
      </c>
      <c r="AQ330" s="31">
        <f>IF(AP330="Yes",10,0)</f>
        <v/>
      </c>
      <c r="AR330" s="31" t="inlineStr">
        <is>
          <t>Higher One Time, Lower Annuity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20 to 40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2</t>
        </is>
      </c>
      <c r="BC330" s="31">
        <f>IF(BB330="Stage 2",20,IF(BB330="Stage 1",0,IF(BB330="Stage 3",5,IF(BB330="Stage 4",-5,0))))</f>
        <v/>
      </c>
      <c r="BD330" s="31" t="inlineStr">
        <is>
          <t>Negative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Between 12 to 20%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No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Above 70%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Less than 0.7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IF(B331=0,"",RANK(B331,$B$2:$B$379,0))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3" t="inlineStr">
        <is>
          <t>LLOYDSME</t>
        </is>
      </c>
      <c r="D331" s="33" t="inlineStr">
        <is>
          <t>Lloyds Metals &amp; Energy Ltd</t>
        </is>
      </c>
      <c r="E331" s="31" t="inlineStr">
        <is>
          <t>metals &amp; mining</t>
        </is>
      </c>
      <c r="F331" s="31" t="inlineStr">
        <is>
          <t>mining / minerals / metals</t>
        </is>
      </c>
      <c r="G331" s="31" t="inlineStr">
        <is>
          <t>largecap</t>
        </is>
      </c>
      <c r="H331" s="32" t="n">
        <v>101886.61</v>
      </c>
      <c r="I331" s="32" t="n">
        <v>1805.9</v>
      </c>
      <c r="J331" s="32" t="n">
        <v>-0.25</v>
      </c>
      <c r="K331" s="32" t="n">
        <v>523486</v>
      </c>
      <c r="L331" s="31" t="n">
        <v>35</v>
      </c>
      <c r="M331" s="31" t="inlineStr">
        <is>
          <t>Underperforming</t>
        </is>
      </c>
      <c r="N331" s="32">
        <f>IF(M331="Underperforming",-5,IF(L331&gt;=95,15,IF(L331&gt;=90,10,IF(L331&gt;=80,5,0))))</f>
        <v/>
      </c>
      <c r="O331" s="32" t="n">
        <v>68.72</v>
      </c>
      <c r="P331" s="32" t="n">
        <v>43.81</v>
      </c>
      <c r="Q331" s="32" t="n">
        <v>1463.94</v>
      </c>
      <c r="R331" s="31" t="inlineStr">
        <is>
          <t>Near 52W High Breakout</t>
        </is>
      </c>
      <c r="S331" s="31" t="inlineStr">
        <is>
          <t>Nifty Metal</t>
        </is>
      </c>
      <c r="T331" s="32" t="n">
        <v>29.38</v>
      </c>
      <c r="U331" s="32" t="n">
        <v>16.3</v>
      </c>
      <c r="V331" s="32" t="n">
        <v>-10.11</v>
      </c>
      <c r="W331" s="32" t="n">
        <v>10.1</v>
      </c>
      <c r="X331" s="31" t="inlineStr">
        <is>
          <t>Cyclical in an Upturn</t>
        </is>
      </c>
      <c r="Y331" s="31">
        <f>IF(X331="Growing Industry",10,IF(X331="Cyclical in an Upturn",5,0))</f>
        <v/>
      </c>
      <c r="Z331" s="31" t="inlineStr">
        <is>
          <t>Too Many Players with High ROCE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No</t>
        </is>
      </c>
      <c r="AC331" s="31">
        <f>IF(AB331="No",5,0)</f>
        <v/>
      </c>
      <c r="AD331" s="31" t="inlineStr">
        <is>
          <t>Tailwind</t>
        </is>
      </c>
      <c r="AE331" s="31">
        <f>IF(AD331="Tailwind",10,0)</f>
        <v/>
      </c>
      <c r="AF331" s="31" t="inlineStr">
        <is>
          <t>Cyclical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Volatile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Yes</t>
        </is>
      </c>
      <c r="AQ331" s="31">
        <f>IF(AP331="Yes",10,0)</f>
        <v/>
      </c>
      <c r="AR331" s="31" t="inlineStr">
        <is>
          <t>Higher One Time, Lower Annuity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Above 40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2</t>
        </is>
      </c>
      <c r="BC331" s="31">
        <f>IF(BB331="Stage 2",20,IF(BB331="Stage 1",0,IF(BB331="Stage 3",5,IF(BB331="Stage 4",-5,0))))</f>
        <v/>
      </c>
      <c r="BD331" s="31" t="inlineStr">
        <is>
          <t>Positive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Blue sky scenario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More than 20%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No</t>
        </is>
      </c>
      <c r="BS331" s="31">
        <f>IF(BR331="NO",5,0)</f>
        <v/>
      </c>
      <c r="BT331" s="31" t="inlineStr">
        <is>
          <t>Above 2</t>
        </is>
      </c>
      <c r="BU331" s="31">
        <f>IF(BT331="Above 2",0,IF(BT331="Between 1.5 to 2",5,IF(BT331="Less than 1.5",10,0)))</f>
        <v/>
      </c>
      <c r="BV331" s="31" t="inlineStr">
        <is>
          <t>Less than 50% and Borrowings are increasing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More than 1.2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IF(B332=0,"",RANK(B332,$B$2:$B$379,0))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1" t="inlineStr">
        <is>
          <t>RELTD</t>
        </is>
      </c>
      <c r="D332" s="31" t="inlineStr">
        <is>
          <t>Ravindra Energy Ltd</t>
        </is>
      </c>
      <c r="E332" s="31" t="inlineStr">
        <is>
          <t>industrials</t>
        </is>
      </c>
      <c r="F332" s="31" t="inlineStr">
        <is>
          <t>electric equipment</t>
        </is>
      </c>
      <c r="G332" s="31" t="inlineStr">
        <is>
          <t>smallcap</t>
        </is>
      </c>
      <c r="H332" s="32" t="n">
        <v>2952.31</v>
      </c>
      <c r="I332" s="32" t="n">
        <v>164.23</v>
      </c>
      <c r="J332" s="32" t="n">
        <v>-0.64</v>
      </c>
      <c r="K332" s="32" t="n">
        <v>759867</v>
      </c>
      <c r="L332" s="31" t="n">
        <v>36</v>
      </c>
      <c r="M332" s="31" t="inlineStr">
        <is>
          <t>Outperforming</t>
        </is>
      </c>
      <c r="N332" s="32">
        <f>IF(M332="Underperforming",-5,IF(L332&gt;=95,15,IF(L332&gt;=90,10,IF(L332&gt;=80,5,0))))</f>
        <v/>
      </c>
      <c r="O332" s="32" t="n">
        <v>60.24</v>
      </c>
      <c r="P332" s="32" t="n">
        <v>14.02</v>
      </c>
      <c r="Q332" s="32" t="n">
        <v>117.96</v>
      </c>
      <c r="R332" s="31" t="inlineStr">
        <is>
          <t>Earnings / Momentum Support</t>
        </is>
      </c>
      <c r="S332" s="31" t="inlineStr">
        <is>
          <t>Nifty 50</t>
        </is>
      </c>
      <c r="T332" s="32" t="n">
        <v>-5.72</v>
      </c>
      <c r="U332" s="32" t="n">
        <v>23.95</v>
      </c>
      <c r="V332" s="32" t="n">
        <v>31.46</v>
      </c>
      <c r="W332" s="32" t="n">
        <v>10.46</v>
      </c>
      <c r="X332" s="31" t="inlineStr">
        <is>
          <t>Cyclical in an Upturn</t>
        </is>
      </c>
      <c r="Y332" s="31">
        <f>IF(X332="Growing Industry",10,IF(X332="Cyclical in an Upturn",5,0))</f>
        <v/>
      </c>
      <c r="Z332" s="31" t="inlineStr">
        <is>
          <t>Too Many Players with High ROCE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No</t>
        </is>
      </c>
      <c r="AC332" s="31">
        <f>IF(AB332="No",5,0)</f>
        <v/>
      </c>
      <c r="AD332" s="31" t="inlineStr">
        <is>
          <t>Tailwind</t>
        </is>
      </c>
      <c r="AE332" s="31">
        <f>IF(AD332="Tailwind",10,0)</f>
        <v/>
      </c>
      <c r="AF332" s="31" t="inlineStr">
        <is>
          <t>Structural (10 Years Consistency)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Stable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No</t>
        </is>
      </c>
      <c r="AQ332" s="31">
        <f>IF(AP332="Yes",10,0)</f>
        <v/>
      </c>
      <c r="AR332" s="31" t="inlineStr">
        <is>
          <t>Higher One Time, Lower Annuity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0 to 20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2</t>
        </is>
      </c>
      <c r="BC332" s="31">
        <f>IF(BB332="Stage 2",20,IF(BB332="Stage 1",0,IF(BB332="Stage 3",5,IF(BB332="Stage 4",-5,0))))</f>
        <v/>
      </c>
      <c r="BD332" s="31" t="inlineStr">
        <is>
          <t>Positive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Close to 52 week high or retracement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More than 20%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No</t>
        </is>
      </c>
      <c r="BS332" s="31">
        <f>IF(BR332="NO",5,0)</f>
        <v/>
      </c>
      <c r="BT332" s="31" t="inlineStr">
        <is>
          <t>Above 2</t>
        </is>
      </c>
      <c r="BU332" s="31">
        <f>IF(BT332="Above 2",0,IF(BT332="Between 1.5 to 2",5,IF(BT332="Less than 1.5",10,0)))</f>
        <v/>
      </c>
      <c r="BV332" s="31" t="inlineStr">
        <is>
          <t>Above 70%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More than 1.2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IF(B333=0,"",RANK(B333,$B$2:$B$379,0))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1" t="inlineStr">
        <is>
          <t>MAHLOG</t>
        </is>
      </c>
      <c r="D333" s="31" t="inlineStr">
        <is>
          <t>Mahindra Logistics Ltd</t>
        </is>
      </c>
      <c r="E333" s="31" t="inlineStr">
        <is>
          <t>transportation</t>
        </is>
      </c>
      <c r="F333" s="31" t="inlineStr">
        <is>
          <t>miscellaneous</t>
        </is>
      </c>
      <c r="G333" s="31" t="inlineStr">
        <is>
          <t>smallcap</t>
        </is>
      </c>
      <c r="H333" s="32" t="n">
        <v>3709.93</v>
      </c>
      <c r="I333" s="32" t="n">
        <v>371.4</v>
      </c>
      <c r="J333" s="32" t="n">
        <v>-0.67</v>
      </c>
      <c r="K333" s="32" t="n">
        <v>81252</v>
      </c>
      <c r="L333" s="31" t="n">
        <v>5</v>
      </c>
      <c r="M333" s="31" t="inlineStr">
        <is>
          <t>Outperforming</t>
        </is>
      </c>
      <c r="N333" s="32">
        <f>IF(M333="Underperforming",-5,IF(L333&gt;=95,15,IF(L333&gt;=90,10,IF(L333&gt;=80,5,0))))</f>
        <v/>
      </c>
      <c r="O333" s="32" t="n">
        <v>52.4</v>
      </c>
      <c r="P333" s="32" t="n">
        <v>16.06</v>
      </c>
      <c r="Q333" s="32" t="n">
        <v>342.14</v>
      </c>
      <c r="R333" s="31" t="inlineStr">
        <is>
          <t>Earnings / Momentum Support</t>
        </is>
      </c>
      <c r="S333" s="31" t="inlineStr">
        <is>
          <t>Nifty 50</t>
        </is>
      </c>
      <c r="T333" s="32" t="n">
        <v>-5.72</v>
      </c>
      <c r="U333" s="32" t="n">
        <v>5.79</v>
      </c>
      <c r="V333" s="32" t="n">
        <v>12.2</v>
      </c>
      <c r="W333" s="32" t="n">
        <v>2.71</v>
      </c>
      <c r="X333" s="31" t="inlineStr">
        <is>
          <t>Growing Industry</t>
        </is>
      </c>
      <c r="Y333" s="31">
        <f>IF(X333="Growing Industry",10,IF(X333="Cyclical in an Upturn",5,0))</f>
        <v/>
      </c>
      <c r="Z333" s="31" t="inlineStr">
        <is>
          <t>Too Many Players with High ROCE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No</t>
        </is>
      </c>
      <c r="AC333" s="31">
        <f>IF(AB333="No",5,0)</f>
        <v/>
      </c>
      <c r="AD333" s="31" t="inlineStr">
        <is>
          <t>Tailwind</t>
        </is>
      </c>
      <c r="AE333" s="31">
        <f>IF(AD333="Tailwind",10,0)</f>
        <v/>
      </c>
      <c r="AF333" s="31" t="inlineStr">
        <is>
          <t>Structural (10 Years Consistency)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Stable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No</t>
        </is>
      </c>
      <c r="AQ333" s="31">
        <f>IF(AP333="Yes",10,0)</f>
        <v/>
      </c>
      <c r="AR333" s="31" t="inlineStr">
        <is>
          <t>Higher One Time, Lower Annuity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0 to 20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1</t>
        </is>
      </c>
      <c r="BC333" s="31">
        <f>IF(BB333="Stage 2",20,IF(BB333="Stage 1",0,IF(BB333="Stage 3",5,IF(BB333="Stage 4",-5,0))))</f>
        <v/>
      </c>
      <c r="BD333" s="31" t="inlineStr">
        <is>
          <t>Positive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Close to 52 week high or retracement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More than 20%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Yes</t>
        </is>
      </c>
      <c r="BS333" s="31">
        <f>IF(BR333="NO",5,0)</f>
        <v/>
      </c>
      <c r="BT333" s="31" t="inlineStr">
        <is>
          <t>Above 2</t>
        </is>
      </c>
      <c r="BU333" s="31">
        <f>IF(BT333="Above 2",0,IF(BT333="Between 1.5 to 2",5,IF(BT333="Less than 1.5",10,0)))</f>
        <v/>
      </c>
      <c r="BV333" s="31" t="inlineStr">
        <is>
          <t>Above 70%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Less than 0.7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IF(B334=0,"",RANK(B334,$B$2:$B$379,0))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1" t="inlineStr">
        <is>
          <t>PANAMAPET</t>
        </is>
      </c>
      <c r="D334" s="31" t="inlineStr">
        <is>
          <t>Panama Petrochem Limited</t>
        </is>
      </c>
      <c r="E334" s="31" t="inlineStr">
        <is>
          <t>energy</t>
        </is>
      </c>
      <c r="F334" s="31" t="inlineStr">
        <is>
          <t>petrochemicals</t>
        </is>
      </c>
      <c r="G334" s="31" t="inlineStr">
        <is>
          <t>smallcap</t>
        </is>
      </c>
      <c r="H334" s="32" t="n">
        <v>2544.06</v>
      </c>
      <c r="I334" s="32" t="n">
        <v>417.05</v>
      </c>
      <c r="J334" s="32" t="n">
        <v>-0.83</v>
      </c>
      <c r="K334" s="32" t="n">
        <v>195277</v>
      </c>
      <c r="L334" s="31" t="n">
        <v>65</v>
      </c>
      <c r="M334" s="31" t="inlineStr">
        <is>
          <t>Outperforming</t>
        </is>
      </c>
      <c r="N334" s="32">
        <f>IF(M334="Underperforming",-5,IF(L334&gt;=95,15,IF(L334&gt;=90,10,IF(L334&gt;=80,5,0))))</f>
        <v/>
      </c>
      <c r="O334" s="32" t="n">
        <v>64.28</v>
      </c>
      <c r="P334" s="32" t="n">
        <v>30.07</v>
      </c>
      <c r="Q334" s="32" t="n">
        <v>355.65</v>
      </c>
      <c r="R334" s="31" t="inlineStr">
        <is>
          <t>Earnings / Momentum Support</t>
        </is>
      </c>
      <c r="S334" s="31" t="inlineStr">
        <is>
          <t>Nifty Energy</t>
        </is>
      </c>
      <c r="T334" s="32" t="n">
        <v>8.92</v>
      </c>
      <c r="U334" s="32" t="n">
        <v>18.8</v>
      </c>
      <c r="V334" s="32" t="n">
        <v>9.07</v>
      </c>
      <c r="W334" s="32" t="n">
        <v>17.6</v>
      </c>
      <c r="X334" s="31" t="inlineStr">
        <is>
          <t>Cyclical in an Upturn</t>
        </is>
      </c>
      <c r="Y334" s="31">
        <f>IF(X334="Growing Industry",10,IF(X334="Cyclical in an Upturn",5,0))</f>
        <v/>
      </c>
      <c r="Z334" s="31" t="inlineStr">
        <is>
          <t>Oligopoly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Yes</t>
        </is>
      </c>
      <c r="AC334" s="31">
        <f>IF(AB334="No",5,0)</f>
        <v/>
      </c>
      <c r="AD334" s="31" t="inlineStr">
        <is>
          <t>Tailwind</t>
        </is>
      </c>
      <c r="AE334" s="31">
        <f>IF(AD334="Tailwind",10,0)</f>
        <v/>
      </c>
      <c r="AF334" s="31" t="inlineStr">
        <is>
          <t>Cyclical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Volatile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No</t>
        </is>
      </c>
      <c r="AQ334" s="31">
        <f>IF(AP334="Yes",10,0)</f>
        <v/>
      </c>
      <c r="AR334" s="31" t="inlineStr">
        <is>
          <t>Higher One Time, Lower Annuity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20 to 40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2</t>
        </is>
      </c>
      <c r="BC334" s="31">
        <f>IF(BB334="Stage 2",20,IF(BB334="Stage 1",0,IF(BB334="Stage 3",5,IF(BB334="Stage 4",-5,0))))</f>
        <v/>
      </c>
      <c r="BD334" s="31" t="inlineStr">
        <is>
          <t>Positive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Close to 52 week high or retracement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More than 20%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No</t>
        </is>
      </c>
      <c r="BS334" s="31">
        <f>IF(BR334="NO",5,0)</f>
        <v/>
      </c>
      <c r="BT334" s="31" t="inlineStr">
        <is>
          <t>Less than 1.5</t>
        </is>
      </c>
      <c r="BU334" s="31">
        <f>IF(BT334="Above 2",0,IF(BT334="Between 1.5 to 2",5,IF(BT334="Less than 1.5",10,0)))</f>
        <v/>
      </c>
      <c r="BV334" s="31" t="inlineStr">
        <is>
          <t>Negative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Less than 0.7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IF(B335=0,"",RANK(B335,$B$2:$B$379,0))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3" t="inlineStr">
        <is>
          <t>TEJASNET</t>
        </is>
      </c>
      <c r="D335" s="33" t="inlineStr">
        <is>
          <t>Tejas Networks Ltd</t>
        </is>
      </c>
      <c r="E335" s="31" t="inlineStr">
        <is>
          <t>telecom</t>
        </is>
      </c>
      <c r="F335" s="31" t="inlineStr">
        <is>
          <t>telecommunications - equipment</t>
        </is>
      </c>
      <c r="G335" s="31" t="inlineStr">
        <is>
          <t>midcap</t>
        </is>
      </c>
      <c r="H335" s="32" t="n">
        <v>10886.69</v>
      </c>
      <c r="I335" s="32" t="n">
        <v>607.1</v>
      </c>
      <c r="J335" s="32" t="n">
        <v>-0.88</v>
      </c>
      <c r="K335" s="32" t="n">
        <v>2410909</v>
      </c>
      <c r="L335" s="31" t="n">
        <v>29</v>
      </c>
      <c r="M335" s="31" t="inlineStr">
        <is>
          <t>Underperforming</t>
        </is>
      </c>
      <c r="N335" s="32">
        <f>IF(M335="Underperforming",-5,IF(L335&gt;=95,15,IF(L335&gt;=90,10,IF(L335&gt;=80,5,0))))</f>
        <v/>
      </c>
      <c r="O335" s="32" t="n">
        <v>62.85</v>
      </c>
      <c r="P335" s="32" t="n">
        <v>26.87</v>
      </c>
      <c r="Q335" s="32" t="n">
        <v>454.82</v>
      </c>
      <c r="R335" s="31" t="inlineStr">
        <is>
          <t>Earnings / Momentum Support</t>
        </is>
      </c>
      <c r="S335" s="31" t="inlineStr">
        <is>
          <t>Nifty 50</t>
        </is>
      </c>
      <c r="T335" s="32" t="n">
        <v>-5.72</v>
      </c>
      <c r="U335" s="32" t="n">
        <v>-13.94</v>
      </c>
      <c r="V335" s="32" t="n">
        <v>-8.720000000000001</v>
      </c>
      <c r="W335" s="32" t="n">
        <v>8.52</v>
      </c>
      <c r="X335" s="31" t="inlineStr">
        <is>
          <t>Growing Industry</t>
        </is>
      </c>
      <c r="Y335" s="31">
        <f>IF(X335="Growing Industry",10,IF(X335="Cyclical in an Upturn",5,0))</f>
        <v/>
      </c>
      <c r="Z335" s="31" t="inlineStr">
        <is>
          <t>Oligopoly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Yes</t>
        </is>
      </c>
      <c r="AC335" s="31">
        <f>IF(AB335="No",5,0)</f>
        <v/>
      </c>
      <c r="AD335" s="31" t="inlineStr">
        <is>
          <t>Tailwind</t>
        </is>
      </c>
      <c r="AE335" s="31">
        <f>IF(AD335="Tailwind",10,0)</f>
        <v/>
      </c>
      <c r="AF335" s="31" t="inlineStr">
        <is>
          <t>Structural (10 Years Consistency)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Stable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No</t>
        </is>
      </c>
      <c r="AQ335" s="31">
        <f>IF(AP335="Yes",10,0)</f>
        <v/>
      </c>
      <c r="AR335" s="31" t="inlineStr">
        <is>
          <t>Higher One Time, Lower Annuity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20 to 40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2</t>
        </is>
      </c>
      <c r="BC335" s="31">
        <f>IF(BB335="Stage 2",20,IF(BB335="Stage 1",0,IF(BB335="Stage 3",5,IF(BB335="Stage 4",-5,0))))</f>
        <v/>
      </c>
      <c r="BD335" s="31" t="inlineStr">
        <is>
          <t>Positive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Close to 52 week high or retracement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More than 20%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No</t>
        </is>
      </c>
      <c r="BS335" s="31">
        <f>IF(BR335="NO",5,0)</f>
        <v/>
      </c>
      <c r="BT335" s="31" t="inlineStr">
        <is>
          <t>Less than 1.5</t>
        </is>
      </c>
      <c r="BU335" s="31">
        <f>IF(BT335="Above 2",0,IF(BT335="Between 1.5 to 2",5,IF(BT335="Less than 1.5",10,0)))</f>
        <v/>
      </c>
      <c r="BV335" s="31" t="inlineStr">
        <is>
          <t>Negative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More than 1.2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IF(B336=0,"",RANK(B336,$B$2:$B$379,0))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3" t="inlineStr">
        <is>
          <t>REDINGTON</t>
        </is>
      </c>
      <c r="D336" s="33" t="inlineStr">
        <is>
          <t>Redington (india) Limited</t>
        </is>
      </c>
      <c r="E336" s="31" t="inlineStr">
        <is>
          <t>services</t>
        </is>
      </c>
      <c r="F336" s="31" t="inlineStr">
        <is>
          <t>trading</t>
        </is>
      </c>
      <c r="G336" s="31" t="inlineStr">
        <is>
          <t>largecap</t>
        </is>
      </c>
      <c r="H336" s="32" t="n">
        <v>21591.05</v>
      </c>
      <c r="I336" s="32" t="n">
        <v>273.65</v>
      </c>
      <c r="J336" s="32" t="n">
        <v>-0.92</v>
      </c>
      <c r="K336" s="32" t="n">
        <v>3397021</v>
      </c>
      <c r="L336" s="31" t="n">
        <v>23</v>
      </c>
      <c r="M336" s="31" t="inlineStr">
        <is>
          <t>Underperforming</t>
        </is>
      </c>
      <c r="N336" s="32">
        <f>IF(M336="Underperforming",-5,IF(L336&gt;=95,15,IF(L336&gt;=90,10,IF(L336&gt;=80,5,0))))</f>
        <v/>
      </c>
      <c r="O336" s="32" t="n">
        <v>58.49</v>
      </c>
      <c r="P336" s="32" t="n">
        <v>14.89</v>
      </c>
      <c r="Q336" s="32" t="n">
        <v>217.86</v>
      </c>
      <c r="R336" s="31" t="inlineStr">
        <is>
          <t>Earnings / Momentum Support</t>
        </is>
      </c>
      <c r="S336" s="31" t="inlineStr">
        <is>
          <t>Nifty 50</t>
        </is>
      </c>
      <c r="T336" s="32" t="n">
        <v>-5.72</v>
      </c>
      <c r="U336" s="32" t="n">
        <v>-10.34</v>
      </c>
      <c r="V336" s="32" t="n">
        <v>-4.9</v>
      </c>
      <c r="W336" s="32" t="n">
        <v>7.07</v>
      </c>
      <c r="X336" s="31" t="inlineStr">
        <is>
          <t>Growing Industry</t>
        </is>
      </c>
      <c r="Y336" s="31">
        <f>IF(X336="Growing Industry",10,IF(X336="Cyclical in an Upturn",5,0))</f>
        <v/>
      </c>
      <c r="Z336" s="31" t="inlineStr">
        <is>
          <t>Too Many Players with High ROCE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No</t>
        </is>
      </c>
      <c r="AC336" s="31">
        <f>IF(AB336="No",5,0)</f>
        <v/>
      </c>
      <c r="AD336" s="31" t="inlineStr">
        <is>
          <t>Tailwind</t>
        </is>
      </c>
      <c r="AE336" s="31">
        <f>IF(AD336="Tailwind",10,0)</f>
        <v/>
      </c>
      <c r="AF336" s="31" t="inlineStr">
        <is>
          <t>Structural (10 Years Consistency)</t>
        </is>
      </c>
      <c r="AG336" s="31">
        <f>IF(AF336="Structural (10 Years Consistency)",10,IF(AF336="Shallow Cyclical (2 to 3 years growth)",5,0))</f>
        <v/>
      </c>
      <c r="AH336" s="31" t="inlineStr">
        <is>
          <t>No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Stable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No</t>
        </is>
      </c>
      <c r="AQ336" s="31">
        <f>IF(AP336="Yes",10,0)</f>
        <v/>
      </c>
      <c r="AR336" s="31" t="inlineStr">
        <is>
          <t>Higher One Time, Lower Annuity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Good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0 to 20</t>
        </is>
      </c>
      <c r="AY336" s="31">
        <f>IF(AX336="Above 40",20,IF(AX336="20 to 40",10,IF(AX336="0 to 20",-5,0)))</f>
        <v/>
      </c>
      <c r="AZ336" s="31" t="inlineStr">
        <is>
          <t>Between 50 to 75</t>
        </is>
      </c>
      <c r="BA336" s="31">
        <f>IF(AZ336="Between 50 to 75",10,IF(AZ336="Above 75",0,0))</f>
        <v/>
      </c>
      <c r="BB336" s="31" t="inlineStr">
        <is>
          <t>Stage 2</t>
        </is>
      </c>
      <c r="BC336" s="31">
        <f>IF(BB336="Stage 2",20,IF(BB336="Stage 1",0,IF(BB336="Stage 3",5,IF(BB336="Stage 4",-5,0))))</f>
        <v/>
      </c>
      <c r="BD336" s="31" t="inlineStr">
        <is>
          <t>Positive Trend</t>
        </is>
      </c>
      <c r="BE336" s="31">
        <f>IF(BD336="Positive Trend",20,IF(BD336="Negative Trend",-10,0))</f>
        <v/>
      </c>
      <c r="BF336" s="31" t="inlineStr">
        <is>
          <t>Uptrend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Close to 52 week high or retracement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Less than 12%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No</t>
        </is>
      </c>
      <c r="BS336" s="31">
        <f>IF(BR336="NO",5,0)</f>
        <v/>
      </c>
      <c r="BT336" s="31" t="inlineStr">
        <is>
          <t>Above 2</t>
        </is>
      </c>
      <c r="BU336" s="31">
        <f>IF(BT336="Above 2",0,IF(BT336="Between 1.5 to 2",5,IF(BT336="Less than 1.5",10,0)))</f>
        <v/>
      </c>
      <c r="BV336" s="31" t="inlineStr">
        <is>
          <t>Less than 50%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Less than 0.7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Less than 15%</t>
        </is>
      </c>
      <c r="CC336" s="31">
        <f>IF(CB336="More than 15%",-10,IF(CB336="Less than 15%",10,0))</f>
        <v/>
      </c>
      <c r="CD336" s="31" t="inlineStr">
        <is>
          <t>No</t>
        </is>
      </c>
      <c r="CE336" s="31">
        <f>IF(CD336="Yes, more than 10%",-10,IF(CD336="No",10,0))</f>
        <v/>
      </c>
    </row>
    <row r="337">
      <c r="A337" s="31">
        <f>IF(B337=0,"",RANK(B337,$B$2:$B$379,0))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3" t="inlineStr">
        <is>
          <t>MOREPENLAB</t>
        </is>
      </c>
      <c r="D337" s="33" t="inlineStr">
        <is>
          <t>Morepen Laboratories Limited</t>
        </is>
      </c>
      <c r="E337" s="31" t="inlineStr">
        <is>
          <t>healthcare</t>
        </is>
      </c>
      <c r="F337" s="31" t="inlineStr">
        <is>
          <t>pharmaceuticals - indian - bulk drugs &amp; formln</t>
        </is>
      </c>
      <c r="G337" s="31" t="inlineStr">
        <is>
          <t>smallcap</t>
        </is>
      </c>
      <c r="H337" s="32" t="n">
        <v>3239.5</v>
      </c>
      <c r="I337" s="32" t="n">
        <v>62.68</v>
      </c>
      <c r="J337" s="32" t="n">
        <v>6.02</v>
      </c>
      <c r="K337" s="32" t="n">
        <v>39665563</v>
      </c>
      <c r="L337" s="31" t="n">
        <v>61</v>
      </c>
      <c r="M337" s="31" t="inlineStr">
        <is>
          <t>Underperforming</t>
        </is>
      </c>
      <c r="N337" s="32">
        <f>IF(M337="Underperforming",-5,IF(L337&gt;=95,15,IF(L337&gt;=90,10,IF(L337&gt;=80,5,0))))</f>
        <v/>
      </c>
      <c r="O337" s="32" t="n">
        <v>75.63</v>
      </c>
      <c r="P337" s="32" t="n">
        <v>17.83</v>
      </c>
      <c r="Q337" s="32" t="n">
        <v>47.16</v>
      </c>
      <c r="R337" s="31" t="inlineStr">
        <is>
          <t>Volume Spike &amp; Near 52W High Breakout</t>
        </is>
      </c>
      <c r="S337" s="31" t="inlineStr">
        <is>
          <t>Nifty Pharma</t>
        </is>
      </c>
      <c r="T337" s="32" t="n">
        <v>12.5</v>
      </c>
      <c r="U337" s="32" t="n">
        <v>-3.69</v>
      </c>
      <c r="V337" s="32" t="n">
        <v>-14.39</v>
      </c>
      <c r="W337" s="32" t="n">
        <v>16.51</v>
      </c>
      <c r="X337" s="31" t="inlineStr">
        <is>
          <t>Growing Industry</t>
        </is>
      </c>
      <c r="Y337" s="31">
        <f>IF(X337="Growing Industry",10,IF(X337="Cyclical in an Upturn",5,0))</f>
        <v/>
      </c>
      <c r="Z337" s="31" t="inlineStr">
        <is>
          <t>Too Many Players with High ROCE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Yes</t>
        </is>
      </c>
      <c r="AC337" s="31">
        <f>IF(AB337="No",5,0)</f>
        <v/>
      </c>
      <c r="AD337" s="31" t="inlineStr">
        <is>
          <t>Tailwind</t>
        </is>
      </c>
      <c r="AE337" s="31">
        <f>IF(AD337="Tailwind",10,0)</f>
        <v/>
      </c>
      <c r="AF337" s="31" t="inlineStr">
        <is>
          <t>Structural (10 Years Consistency)</t>
        </is>
      </c>
      <c r="AG337" s="31">
        <f>IF(AF337="Structural (10 Years Consistency)",10,IF(AF337="Shallow Cyclical (2 to 3 years growth)",5,0))</f>
        <v/>
      </c>
      <c r="AH337" s="31" t="inlineStr">
        <is>
          <t>No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Stable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Yes</t>
        </is>
      </c>
      <c r="AQ337" s="31">
        <f>IF(AP337="Yes",10,0)</f>
        <v/>
      </c>
      <c r="AR337" s="31" t="inlineStr">
        <is>
          <t>Higher Annuity, Lower One Time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Good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0 to 20</t>
        </is>
      </c>
      <c r="AY337" s="31">
        <f>IF(AX337="Above 40",20,IF(AX337="20 to 40",10,IF(AX337="0 to 20",-5,0)))</f>
        <v/>
      </c>
      <c r="AZ337" s="31" t="inlineStr">
        <is>
          <t>Above 75</t>
        </is>
      </c>
      <c r="BA337" s="31">
        <f>IF(AZ337="Between 50 to 75",10,IF(AZ337="Above 75",0,0))</f>
        <v/>
      </c>
      <c r="BB337" s="31" t="inlineStr">
        <is>
          <t>Stage 2</t>
        </is>
      </c>
      <c r="BC337" s="31">
        <f>IF(BB337="Stage 2",20,IF(BB337="Stage 1",0,IF(BB337="Stage 3",5,IF(BB337="Stage 4",-5,0))))</f>
        <v/>
      </c>
      <c r="BD337" s="31" t="inlineStr">
        <is>
          <t>Positive Trend</t>
        </is>
      </c>
      <c r="BE337" s="31">
        <f>IF(BD337="Positive Trend",20,IF(BD337="Negative Trend",-10,0))</f>
        <v/>
      </c>
      <c r="BF337" s="31" t="inlineStr">
        <is>
          <t>Uptrend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Close to 52 week high or retracement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Less than 12%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No</t>
        </is>
      </c>
      <c r="BS337" s="31">
        <f>IF(BR337="NO",5,0)</f>
        <v/>
      </c>
      <c r="BT337" s="31" t="inlineStr">
        <is>
          <t>Above 2</t>
        </is>
      </c>
      <c r="BU337" s="31">
        <f>IF(BT337="Above 2",0,IF(BT337="Between 1.5 to 2",5,IF(BT337="Less than 1.5",10,0)))</f>
        <v/>
      </c>
      <c r="BV337" s="31" t="inlineStr">
        <is>
          <t>Less than 50%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Less than 0.7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Less than 15%</t>
        </is>
      </c>
      <c r="CC337" s="31">
        <f>IF(CB337="More than 15%",-10,IF(CB337="Less than 15%",10,0))</f>
        <v/>
      </c>
      <c r="CD337" s="31" t="inlineStr">
        <is>
          <t>No</t>
        </is>
      </c>
      <c r="CE337" s="31">
        <f>IF(CD337="Yes, more than 10%",-10,IF(CD337="No",10,0))</f>
        <v/>
      </c>
    </row>
    <row r="338">
      <c r="A338" s="31">
        <f>IF(B338=0,"",RANK(B338,$B$2:$B$379,0))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1" t="inlineStr">
        <is>
          <t>MARUTI</t>
        </is>
      </c>
      <c r="D338" s="31" t="inlineStr">
        <is>
          <t>Maruti Suzuki India Limited</t>
        </is>
      </c>
      <c r="E338" s="31" t="inlineStr">
        <is>
          <t>auto</t>
        </is>
      </c>
      <c r="F338" s="31" t="inlineStr">
        <is>
          <t>automobiles - passenger cars</t>
        </is>
      </c>
      <c r="G338" s="31" t="inlineStr">
        <is>
          <t>largecap</t>
        </is>
      </c>
      <c r="H338" s="32" t="n">
        <v>443779.23</v>
      </c>
      <c r="I338" s="32" t="n">
        <v>14395</v>
      </c>
      <c r="J338" s="32" t="n">
        <v>1.98</v>
      </c>
      <c r="K338" s="32" t="n">
        <v>1397790</v>
      </c>
      <c r="L338" s="31" t="n">
        <v>23</v>
      </c>
      <c r="M338" s="31" t="inlineStr">
        <is>
          <t>Outperforming</t>
        </is>
      </c>
      <c r="N338" s="32">
        <f>IF(M338="Underperforming",-5,IF(L338&gt;=95,15,IF(L338&gt;=90,10,IF(L338&gt;=80,5,0))))</f>
        <v/>
      </c>
      <c r="O338" s="32" t="n">
        <v>55.62</v>
      </c>
      <c r="P338" s="32" t="n">
        <v>17.81</v>
      </c>
      <c r="Q338" s="32" t="n">
        <v>12207.98</v>
      </c>
      <c r="R338" s="31" t="inlineStr">
        <is>
          <t>Volume Spike / Accumulation</t>
        </is>
      </c>
      <c r="S338" s="31" t="inlineStr">
        <is>
          <t>Nifty Auto</t>
        </is>
      </c>
      <c r="T338" s="32" t="n">
        <v>11.69</v>
      </c>
      <c r="U338" s="32" t="n">
        <v>15.06</v>
      </c>
      <c r="V338" s="32" t="n">
        <v>3.02</v>
      </c>
      <c r="W338" s="32" t="n">
        <v>7.21</v>
      </c>
      <c r="X338" s="31" t="inlineStr">
        <is>
          <t>Growing Industry</t>
        </is>
      </c>
      <c r="Y338" s="31">
        <f>IF(X338="Growing Industry",10,IF(X338="Cyclical in an Upturn",5,0))</f>
        <v/>
      </c>
      <c r="Z338" s="31" t="inlineStr">
        <is>
          <t>Too Many Players with High ROCE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No</t>
        </is>
      </c>
      <c r="AC338" s="31">
        <f>IF(AB338="No",5,0)</f>
        <v/>
      </c>
      <c r="AD338" s="31" t="inlineStr">
        <is>
          <t>Headwind</t>
        </is>
      </c>
      <c r="AE338" s="31">
        <f>IF(AD338="Tailwind",10,0)</f>
        <v/>
      </c>
      <c r="AF338" s="31" t="inlineStr">
        <is>
          <t>Structural (10 Years Consistency)</t>
        </is>
      </c>
      <c r="AG338" s="31">
        <f>IF(AF338="Structural (10 Years Consistency)",10,IF(AF338="Shallow Cyclical (2 to 3 years growth)",5,0))</f>
        <v/>
      </c>
      <c r="AH338" s="31" t="inlineStr">
        <is>
          <t>No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Stable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Yes</t>
        </is>
      </c>
      <c r="AQ338" s="31">
        <f>IF(AP338="Yes",10,0)</f>
        <v/>
      </c>
      <c r="AR338" s="31" t="inlineStr">
        <is>
          <t>Higher One Time, Lower Annuity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Good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0 to 20</t>
        </is>
      </c>
      <c r="AY338" s="31">
        <f>IF(AX338="Above 40",20,IF(AX338="20 to 40",10,IF(AX338="0 to 20",-5,0)))</f>
        <v/>
      </c>
      <c r="AZ338" s="31" t="inlineStr">
        <is>
          <t>Between 50 to 75</t>
        </is>
      </c>
      <c r="BA338" s="31">
        <f>IF(AZ338="Between 50 to 75",10,IF(AZ338="Above 75",0,0))</f>
        <v/>
      </c>
      <c r="BB338" s="31" t="inlineStr">
        <is>
          <t>Stage 1</t>
        </is>
      </c>
      <c r="BC338" s="31">
        <f>IF(BB338="Stage 2",20,IF(BB338="Stage 1",0,IF(BB338="Stage 3",5,IF(BB338="Stage 4",-5,0))))</f>
        <v/>
      </c>
      <c r="BD338" s="31" t="inlineStr">
        <is>
          <t>Positive Trend</t>
        </is>
      </c>
      <c r="BE338" s="31">
        <f>IF(BD338="Positive Trend",20,IF(BD338="Negative Trend",-10,0))</f>
        <v/>
      </c>
      <c r="BF338" s="31" t="inlineStr">
        <is>
          <t>Uptrend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Close to 52 week high or retracement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Less than 12%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No</t>
        </is>
      </c>
      <c r="BS338" s="31">
        <f>IF(BR338="NO",5,0)</f>
        <v/>
      </c>
      <c r="BT338" s="31" t="inlineStr">
        <is>
          <t>Above 2</t>
        </is>
      </c>
      <c r="BU338" s="31">
        <f>IF(BT338="Above 2",0,IF(BT338="Between 1.5 to 2",5,IF(BT338="Less than 1.5",10,0)))</f>
        <v/>
      </c>
      <c r="BV338" s="31" t="inlineStr">
        <is>
          <t>Above 70%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Less than 0.7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Less than 15%</t>
        </is>
      </c>
      <c r="CC338" s="31">
        <f>IF(CB338="More than 15%",-10,IF(CB338="Less than 15%",10,0))</f>
        <v/>
      </c>
      <c r="CD338" s="31" t="inlineStr">
        <is>
          <t>No</t>
        </is>
      </c>
      <c r="CE338" s="31">
        <f>IF(CD338="Yes, more than 10%",-10,IF(CD338="No",10,0))</f>
        <v/>
      </c>
    </row>
    <row r="339">
      <c r="A339" s="31">
        <f>IF(B339=0,"",RANK(B339,$B$2:$B$379,0))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1" t="inlineStr">
        <is>
          <t>AVANTEL</t>
        </is>
      </c>
      <c r="D339" s="31" t="inlineStr">
        <is>
          <t>Avantel Ltd</t>
        </is>
      </c>
      <c r="E339" s="31" t="inlineStr">
        <is>
          <t>aerospace &amp; defence</t>
        </is>
      </c>
      <c r="F339" s="31" t="inlineStr">
        <is>
          <t>telecommunications - equipment</t>
        </is>
      </c>
      <c r="G339" s="31" t="inlineStr">
        <is>
          <t>smallcap</t>
        </is>
      </c>
      <c r="H339" s="32" t="n">
        <v>4759.41</v>
      </c>
      <c r="I339" s="32" t="n">
        <v>179.37</v>
      </c>
      <c r="J339" s="32" t="n">
        <v>0.14</v>
      </c>
      <c r="K339" s="32" t="n">
        <v>3958362</v>
      </c>
      <c r="L339" s="31" t="n">
        <v>43</v>
      </c>
      <c r="M339" s="31" t="inlineStr">
        <is>
          <t>Outperforming</t>
        </is>
      </c>
      <c r="N339" s="32">
        <f>IF(M339="Underperforming",-5,IF(L339&gt;=95,15,IF(L339&gt;=90,10,IF(L339&gt;=80,5,0))))</f>
        <v/>
      </c>
      <c r="O339" s="32" t="n">
        <v>58.93</v>
      </c>
      <c r="P339" s="32" t="n">
        <v>12.38</v>
      </c>
      <c r="Q339" s="32" t="n">
        <v>128.8</v>
      </c>
      <c r="R339" s="31" t="inlineStr">
        <is>
          <t>Earnings / Momentum Support</t>
        </is>
      </c>
      <c r="S339" s="31" t="inlineStr">
        <is>
          <t>Nifty 50</t>
        </is>
      </c>
      <c r="T339" s="32" t="n">
        <v>-5.72</v>
      </c>
      <c r="U339" s="32" t="n">
        <v>12.64</v>
      </c>
      <c r="V339" s="32" t="n">
        <v>19.47</v>
      </c>
      <c r="W339" s="32" t="n">
        <v>11.55</v>
      </c>
      <c r="X339" s="31" t="inlineStr">
        <is>
          <t>Growing Industry</t>
        </is>
      </c>
      <c r="Y339" s="31">
        <f>IF(X339="Growing Industry",10,IF(X339="Cyclical in an Upturn",5,0))</f>
        <v/>
      </c>
      <c r="Z339" s="31" t="inlineStr">
        <is>
          <t>Oligopoly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Yes</t>
        </is>
      </c>
      <c r="AC339" s="31">
        <f>IF(AB339="No",5,0)</f>
        <v/>
      </c>
      <c r="AD339" s="31" t="inlineStr">
        <is>
          <t>Tailwind</t>
        </is>
      </c>
      <c r="AE339" s="31">
        <f>IF(AD339="Tailwind",10,0)</f>
        <v/>
      </c>
      <c r="AF339" s="31" t="inlineStr">
        <is>
          <t>Structural (10 Years Consistency)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Stable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B2B</t>
        </is>
      </c>
      <c r="AO339" s="31">
        <f>IF(AN339="B2C",10,IF(AN339="B2B",5,0))</f>
        <v/>
      </c>
      <c r="AP339" s="31" t="inlineStr">
        <is>
          <t>No</t>
        </is>
      </c>
      <c r="AQ339" s="31">
        <f>IF(AP339="Yes",10,0)</f>
        <v/>
      </c>
      <c r="AR339" s="31" t="inlineStr">
        <is>
          <t>Higher One Time, Lower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Good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0 to 20</t>
        </is>
      </c>
      <c r="AY339" s="31">
        <f>IF(AX339="Above 40",20,IF(AX339="20 to 40",10,IF(AX339="0 to 20",-5,0)))</f>
        <v/>
      </c>
      <c r="AZ339" s="31" t="inlineStr">
        <is>
          <t>Between 50 to 75</t>
        </is>
      </c>
      <c r="BA339" s="31">
        <f>IF(AZ339="Between 50 to 75",10,IF(AZ339="Above 75",0,0))</f>
        <v/>
      </c>
      <c r="BB339" s="31" t="inlineStr">
        <is>
          <t>Stage 2</t>
        </is>
      </c>
      <c r="BC339" s="31">
        <f>IF(BB339="Stage 2",20,IF(BB339="Stage 1",0,IF(BB339="Stage 3",5,IF(BB339="Stage 4",-5,0))))</f>
        <v/>
      </c>
      <c r="BD339" s="31" t="inlineStr">
        <is>
          <t>Positive Trend</t>
        </is>
      </c>
      <c r="BE339" s="31">
        <f>IF(BD339="Positive Trend",20,IF(BD339="Negative Trend",-10,0))</f>
        <v/>
      </c>
      <c r="BF339" s="31" t="inlineStr">
        <is>
          <t>Uptrend</t>
        </is>
      </c>
      <c r="BG339" s="31">
        <f>IF(BF339="Uptrend",10,IF(BF339="Sideways",5,0))</f>
        <v/>
      </c>
      <c r="BH339" s="31" t="inlineStr">
        <is>
          <t>Uptrend</t>
        </is>
      </c>
      <c r="BI339" s="31">
        <f>IF(BH339="Uptrend",10,IF(BH339="Sideways",5,0))</f>
        <v/>
      </c>
      <c r="BJ339" s="31" t="inlineStr">
        <is>
          <t>Close to 52 week high or retracement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Yes</t>
        </is>
      </c>
      <c r="BM339" s="31">
        <f>IF(BL339="Yes",10,0)</f>
        <v/>
      </c>
      <c r="BN339" s="31" t="inlineStr">
        <is>
          <t>Less than 12%</t>
        </is>
      </c>
      <c r="BO339" s="31">
        <f>IF(BN339="More than 20%",10,IF(BN339="Between 12 to 20%",5,IF(BN339="Less than 12%",0,0)))</f>
        <v/>
      </c>
      <c r="BP339" s="31" t="inlineStr">
        <is>
          <t>No</t>
        </is>
      </c>
      <c r="BQ339" s="31">
        <f>IF(BP339="No",10,0)</f>
        <v/>
      </c>
      <c r="BR339" s="31" t="inlineStr">
        <is>
          <t>Yes</t>
        </is>
      </c>
      <c r="BS339" s="31">
        <f>IF(BR339="NO",5,0)</f>
        <v/>
      </c>
      <c r="BT339" s="31" t="inlineStr">
        <is>
          <t>Above 2</t>
        </is>
      </c>
      <c r="BU339" s="31">
        <f>IF(BT339="Above 2",0,IF(BT339="Between 1.5 to 2",5,IF(BT339="Less than 1.5",10,0)))</f>
        <v/>
      </c>
      <c r="BV339" s="31" t="inlineStr">
        <is>
          <t>Less than 50%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Less than 0.7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  <row r="340">
      <c r="A340" s="31">
        <f>IF(B340=0,"",RANK(B340,$B$2:$B$379,0))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3" t="inlineStr">
        <is>
          <t>RAJRILTD</t>
        </is>
      </c>
      <c r="D340" s="33" t="inlineStr">
        <is>
          <t>Raj Rayon Industries Ltd</t>
        </is>
      </c>
      <c r="E340" s="31" t="inlineStr">
        <is>
          <t>textiles</t>
        </is>
      </c>
      <c r="F340" s="31" t="inlineStr">
        <is>
          <t>textiles - manmade</t>
        </is>
      </c>
      <c r="G340" s="31" t="inlineStr">
        <is>
          <t>smallcap</t>
        </is>
      </c>
      <c r="H340" s="32" t="n">
        <v>1348.5</v>
      </c>
      <c r="I340" s="32" t="n">
        <v>24.21</v>
      </c>
      <c r="J340" s="32" t="n">
        <v>-0.17</v>
      </c>
      <c r="K340" s="32" t="n">
        <v>29933</v>
      </c>
      <c r="L340" s="31" t="n">
        <v>3</v>
      </c>
      <c r="M340" s="31" t="inlineStr">
        <is>
          <t>Underperforming</t>
        </is>
      </c>
      <c r="N340" s="32">
        <f>IF(M340="Underperforming",-5,IF(L340&gt;=95,15,IF(L340&gt;=90,10,IF(L340&gt;=80,5,0))))</f>
        <v/>
      </c>
      <c r="O340" s="32" t="n">
        <v>61.26</v>
      </c>
      <c r="P340" s="32" t="n">
        <v>13.23</v>
      </c>
      <c r="Q340" s="32" t="n">
        <v>19.92</v>
      </c>
      <c r="R340" s="31" t="inlineStr">
        <is>
          <t>Volume Spike / Accumulation</t>
        </is>
      </c>
      <c r="S340" s="31" t="inlineStr">
        <is>
          <t>Nifty 50</t>
        </is>
      </c>
      <c r="T340" s="32" t="n">
        <v>-5.72</v>
      </c>
      <c r="U340" s="32" t="n">
        <v>-15.5</v>
      </c>
      <c r="V340" s="32" t="n">
        <v>-10.38</v>
      </c>
      <c r="W340" s="32" t="n">
        <v>1.33</v>
      </c>
      <c r="X340" s="31" t="inlineStr">
        <is>
          <t>Growing Industry</t>
        </is>
      </c>
      <c r="Y340" s="31">
        <f>IF(X340="Growing Industry",10,IF(X340="Cyclical in an Upturn",5,0))</f>
        <v/>
      </c>
      <c r="Z340" s="31" t="inlineStr">
        <is>
          <t>Too Many Players with High ROCE</t>
        </is>
      </c>
      <c r="AA340" s="31">
        <f>IF(Z340="Monopoly",10,IF(Z340="Oligopoly",5,IF(Z340="Duopoly that cooperate",10,IF(Z340="Duopoly that compete",5,IF(Z340="Too many players with High ROCE",5,0)))))</f>
        <v/>
      </c>
      <c r="AB340" s="31" t="inlineStr">
        <is>
          <t>No</t>
        </is>
      </c>
      <c r="AC340" s="31">
        <f>IF(AB340="No",5,0)</f>
        <v/>
      </c>
      <c r="AD340" s="31" t="inlineStr">
        <is>
          <t>Tailwind</t>
        </is>
      </c>
      <c r="AE340" s="31">
        <f>IF(AD340="Tailwind",10,0)</f>
        <v/>
      </c>
      <c r="AF340" s="31" t="inlineStr">
        <is>
          <t>Structural (10 Years Consistency)</t>
        </is>
      </c>
      <c r="AG340" s="31">
        <f>IF(AF340="Structural (10 Years Consistency)",10,IF(AF340="Shallow Cyclical (2 to 3 years growth)",5,0))</f>
        <v/>
      </c>
      <c r="AH340" s="31" t="inlineStr">
        <is>
          <t>No</t>
        </is>
      </c>
      <c r="AI340" s="31">
        <f>IF(AH340="Yes due to Product Mix change or Operating Leverage",10,IF(AH340="Yes, these are peak margins",-5,IF(AH340="No",5,0)))</f>
        <v/>
      </c>
      <c r="AJ340" s="31" t="inlineStr">
        <is>
          <t>Stable</t>
        </is>
      </c>
      <c r="AK340" s="31">
        <f>IF(AJ340="Stable",10,0)</f>
        <v/>
      </c>
      <c r="AL340" s="31" t="inlineStr">
        <is>
          <t>Yes</t>
        </is>
      </c>
      <c r="AM340" s="31">
        <f>IF(AL340="Yes",10,0)</f>
        <v/>
      </c>
      <c r="AN340" s="31" t="inlineStr">
        <is>
          <t>B2B</t>
        </is>
      </c>
      <c r="AO340" s="31">
        <f>IF(AN340="B2C",10,IF(AN340="B2B",5,0))</f>
        <v/>
      </c>
      <c r="AP340" s="31" t="inlineStr">
        <is>
          <t>Yes</t>
        </is>
      </c>
      <c r="AQ340" s="31">
        <f>IF(AP340="Yes",10,0)</f>
        <v/>
      </c>
      <c r="AR340" s="31" t="inlineStr">
        <is>
          <t>Higher One Time, Lower Annuity</t>
        </is>
      </c>
      <c r="AS340" s="31">
        <f>IF(AR340="Fully Annuity",10,IF(AR340="Higher Annuity, Lower One Time",5,IF(AR340="Higher One Time, Lower Annuity",3,0)))</f>
        <v/>
      </c>
      <c r="AT340" s="31" t="inlineStr">
        <is>
          <t>Good</t>
        </is>
      </c>
      <c r="AU340" s="31">
        <f>IF(AT340="Good",10,0)</f>
        <v/>
      </c>
      <c r="AV340" s="31" t="inlineStr">
        <is>
          <t>Yes for more than 2 years</t>
        </is>
      </c>
      <c r="AW340" s="31">
        <f>IF(AV340="Yes for more than 2 years",10,IF(AV340="Yes only for next 1 to 2 years",5,0))</f>
        <v/>
      </c>
      <c r="AX340" s="31" t="inlineStr">
        <is>
          <t>0 to 20</t>
        </is>
      </c>
      <c r="AY340" s="31">
        <f>IF(AX340="Above 40",20,IF(AX340="20 to 40",10,IF(AX340="0 to 20",-5,0)))</f>
        <v/>
      </c>
      <c r="AZ340" s="31" t="inlineStr">
        <is>
          <t>Between 50 to 75</t>
        </is>
      </c>
      <c r="BA340" s="31">
        <f>IF(AZ340="Between 50 to 75",10,IF(AZ340="Above 75",0,0))</f>
        <v/>
      </c>
      <c r="BB340" s="31" t="inlineStr">
        <is>
          <t>Stage 2</t>
        </is>
      </c>
      <c r="BC340" s="31">
        <f>IF(BB340="Stage 2",20,IF(BB340="Stage 1",0,IF(BB340="Stage 3",5,IF(BB340="Stage 4",-5,0))))</f>
        <v/>
      </c>
      <c r="BD340" s="31" t="inlineStr">
        <is>
          <t>Positive Trend</t>
        </is>
      </c>
      <c r="BE340" s="31">
        <f>IF(BD340="Positive Trend",20,IF(BD340="Negative Trend",-10,0))</f>
        <v/>
      </c>
      <c r="BF340" s="31" t="inlineStr">
        <is>
          <t>Uptrend</t>
        </is>
      </c>
      <c r="BG340" s="31">
        <f>IF(BF340="Uptrend",10,IF(BF340="Sideways",5,0))</f>
        <v/>
      </c>
      <c r="BH340" s="31" t="inlineStr">
        <is>
          <t>Uptrend</t>
        </is>
      </c>
      <c r="BI340" s="31">
        <f>IF(BH340="Uptrend",10,IF(BH340="Sideways",5,0))</f>
        <v/>
      </c>
      <c r="BJ340" s="31" t="inlineStr">
        <is>
          <t>Close to 52 week high or retracement</t>
        </is>
      </c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inlineStr">
        <is>
          <t>Yes</t>
        </is>
      </c>
      <c r="BM340" s="31">
        <f>IF(BL340="Yes",10,0)</f>
        <v/>
      </c>
      <c r="BN340" s="31" t="inlineStr">
        <is>
          <t>Less than 12%</t>
        </is>
      </c>
      <c r="BO340" s="31">
        <f>IF(BN340="More than 20%",10,IF(BN340="Between 12 to 20%",5,IF(BN340="Less than 12%",0,0)))</f>
        <v/>
      </c>
      <c r="BP340" s="31" t="inlineStr">
        <is>
          <t>No</t>
        </is>
      </c>
      <c r="BQ340" s="31">
        <f>IF(BP340="No",10,0)</f>
        <v/>
      </c>
      <c r="BR340" s="31" t="inlineStr">
        <is>
          <t>Yes</t>
        </is>
      </c>
      <c r="BS340" s="31">
        <f>IF(BR340="NO",5,0)</f>
        <v/>
      </c>
      <c r="BT340" s="31" t="inlineStr">
        <is>
          <t>Above 2</t>
        </is>
      </c>
      <c r="BU340" s="31">
        <f>IF(BT340="Above 2",0,IF(BT340="Between 1.5 to 2",5,IF(BT340="Less than 1.5",10,0)))</f>
        <v/>
      </c>
      <c r="BV340" s="31" t="inlineStr">
        <is>
          <t>Above 70%</t>
        </is>
      </c>
      <c r="BW340" s="31">
        <f>IF(BV340="Above 70%",10,IF(BV340="Between 50% to 70%",5,IF(BV340="Less than 50%",0,IF(BV340="Negative",-10,IF(BV340="Less than 50% and Borrowings are increasing",-5,0)))))</f>
        <v/>
      </c>
      <c r="BX340" s="31" t="inlineStr">
        <is>
          <t>More than 1.2</t>
        </is>
      </c>
      <c r="BY340" s="31">
        <f>IF(BX340="More than 1.2",-10,IF(BX340="Between 0.7 to 1.2",0,IF(BX340="Less than 0.7",10,0)))</f>
        <v/>
      </c>
      <c r="BZ340" s="31" t="inlineStr">
        <is>
          <t>No</t>
        </is>
      </c>
      <c r="CA340" s="31">
        <f>IF(BZ340="Yes",-10,0)</f>
        <v/>
      </c>
      <c r="CB340" s="31" t="inlineStr">
        <is>
          <t>Less than 15%</t>
        </is>
      </c>
      <c r="CC340" s="31">
        <f>IF(CB340="More than 15%",-10,IF(CB340="Less than 15%",10,0))</f>
        <v/>
      </c>
      <c r="CD340" s="31" t="inlineStr">
        <is>
          <t>No</t>
        </is>
      </c>
      <c r="CE340" s="31">
        <f>IF(CD340="Yes, more than 10%",-10,IF(CD340="No",10,0))</f>
        <v/>
      </c>
    </row>
    <row r="341">
      <c r="A341" s="31">
        <f>IF(B341=0,"",RANK(B341,$B$2:$B$379,0))</f>
        <v/>
      </c>
      <c r="B341" s="32">
        <f>SUM(N341,Y341,AA341,AC341,AE341,AG341,AI341,AK341,AM341,AO341,AQ341,AS341,AU341,AW341,AY341,BA341,BC341,BE341,BG341,BI341,BK341,BM341,BO341,BQ341,BS341,BU341,BW341,BY341,CA341,CC341,CE341)</f>
        <v/>
      </c>
      <c r="C341" s="33" t="inlineStr">
        <is>
          <t>KSL</t>
        </is>
      </c>
      <c r="D341" s="33" t="inlineStr">
        <is>
          <t>Kalyani Steels Limited</t>
        </is>
      </c>
      <c r="E341" s="31" t="inlineStr">
        <is>
          <t>metals &amp; mining</t>
        </is>
      </c>
      <c r="F341" s="31" t="inlineStr">
        <is>
          <t>steel - medium / small</t>
        </is>
      </c>
      <c r="G341" s="31" t="inlineStr">
        <is>
          <t>smallcap</t>
        </is>
      </c>
      <c r="H341" s="32" t="n">
        <v>3841.25</v>
      </c>
      <c r="I341" s="32" t="n">
        <v>867.8</v>
      </c>
      <c r="J341" s="32" t="n">
        <v>-1.38</v>
      </c>
      <c r="K341" s="32" t="n">
        <v>49038</v>
      </c>
      <c r="L341" s="31" t="n">
        <v>26</v>
      </c>
      <c r="M341" s="31" t="inlineStr">
        <is>
          <t>Underperforming</t>
        </is>
      </c>
      <c r="N341" s="32">
        <f>IF(M341="Underperforming",-5,IF(L341&gt;=95,15,IF(L341&gt;=90,10,IF(L341&gt;=80,5,0))))</f>
        <v/>
      </c>
      <c r="O341" s="32" t="n">
        <v>62.05</v>
      </c>
      <c r="P341" s="32" t="n">
        <v>19.34</v>
      </c>
      <c r="Q341" s="32" t="n">
        <v>690.01</v>
      </c>
      <c r="R341" s="31" t="inlineStr">
        <is>
          <t>Near 52W High Breakout</t>
        </is>
      </c>
      <c r="S341" s="31" t="inlineStr">
        <is>
          <t>Nifty Metal</t>
        </is>
      </c>
      <c r="T341" s="32" t="n">
        <v>29.38</v>
      </c>
      <c r="U341" s="32" t="n">
        <v>-8.539999999999999</v>
      </c>
      <c r="V341" s="32" t="n">
        <v>-29.31</v>
      </c>
      <c r="W341" s="32" t="n">
        <v>7.84</v>
      </c>
      <c r="X341" s="31" t="inlineStr">
        <is>
          <t>Cyclical in an Upturn</t>
        </is>
      </c>
      <c r="Y341" s="31">
        <f>IF(X341="Growing Industry",10,IF(X341="Cyclical in an Upturn",5,0))</f>
        <v/>
      </c>
      <c r="Z341" s="31" t="inlineStr">
        <is>
          <t>Too Many Players with High ROCE</t>
        </is>
      </c>
      <c r="AA341" s="31">
        <f>IF(Z341="Monopoly",10,IF(Z341="Oligopoly",5,IF(Z341="Duopoly that cooperate",10,IF(Z341="Duopoly that compete",5,IF(Z341="Too many players with High ROCE",5,0)))))</f>
        <v/>
      </c>
      <c r="AB341" s="31" t="inlineStr">
        <is>
          <t>No</t>
        </is>
      </c>
      <c r="AC341" s="31">
        <f>IF(AB341="No",5,0)</f>
        <v/>
      </c>
      <c r="AD341" s="31" t="inlineStr">
        <is>
          <t>Tailwind</t>
        </is>
      </c>
      <c r="AE341" s="31">
        <f>IF(AD341="Tailwind",10,0)</f>
        <v/>
      </c>
      <c r="AF341" s="31" t="inlineStr">
        <is>
          <t>Cyclical</t>
        </is>
      </c>
      <c r="AG341" s="31">
        <f>IF(AF341="Structural (10 Years Consistency)",10,IF(AF341="Shallow Cyclical (2 to 3 years growth)",5,0))</f>
        <v/>
      </c>
      <c r="AH341" s="31" t="inlineStr">
        <is>
          <t>No</t>
        </is>
      </c>
      <c r="AI341" s="31">
        <f>IF(AH341="Yes due to Product Mix change or Operating Leverage",10,IF(AH341="Yes, these are peak margins",-5,IF(AH341="No",5,0)))</f>
        <v/>
      </c>
      <c r="AJ341" s="31" t="inlineStr">
        <is>
          <t>Volatile</t>
        </is>
      </c>
      <c r="AK341" s="31">
        <f>IF(AJ341="Stable",10,0)</f>
        <v/>
      </c>
      <c r="AL341" s="31" t="inlineStr">
        <is>
          <t>Yes</t>
        </is>
      </c>
      <c r="AM341" s="31">
        <f>IF(AL341="Yes",10,0)</f>
        <v/>
      </c>
      <c r="AN341" s="31" t="inlineStr">
        <is>
          <t>B2B</t>
        </is>
      </c>
      <c r="AO341" s="31">
        <f>IF(AN341="B2C",10,IF(AN341="B2B",5,0))</f>
        <v/>
      </c>
      <c r="AP341" s="31" t="inlineStr">
        <is>
          <t>Yes</t>
        </is>
      </c>
      <c r="AQ341" s="31">
        <f>IF(AP341="Yes",10,0)</f>
        <v/>
      </c>
      <c r="AR341" s="31" t="inlineStr">
        <is>
          <t>Higher One Time, Lower Annuity</t>
        </is>
      </c>
      <c r="AS341" s="31">
        <f>IF(AR341="Fully Annuity",10,IF(AR341="Higher Annuity, Lower One Time",5,IF(AR341="Higher One Time, Lower Annuity",3,0)))</f>
        <v/>
      </c>
      <c r="AT341" s="31" t="inlineStr">
        <is>
          <t>Good</t>
        </is>
      </c>
      <c r="AU341" s="31">
        <f>IF(AT341="Good",10,0)</f>
        <v/>
      </c>
      <c r="AV341" s="31" t="inlineStr">
        <is>
          <t>Yes for more than 2 years</t>
        </is>
      </c>
      <c r="AW341" s="31">
        <f>IF(AV341="Yes for more than 2 years",10,IF(AV341="Yes only for next 1 to 2 years",5,0))</f>
        <v/>
      </c>
      <c r="AX341" s="31" t="inlineStr">
        <is>
          <t>0 to 20</t>
        </is>
      </c>
      <c r="AY341" s="31">
        <f>IF(AX341="Above 40",20,IF(AX341="20 to 40",10,IF(AX341="0 to 20",-5,0)))</f>
        <v/>
      </c>
      <c r="AZ341" s="31" t="inlineStr">
        <is>
          <t>Between 50 to 75</t>
        </is>
      </c>
      <c r="BA341" s="31">
        <f>IF(AZ341="Between 50 to 75",10,IF(AZ341="Above 75",0,0))</f>
        <v/>
      </c>
      <c r="BB341" s="31" t="inlineStr">
        <is>
          <t>Stage 2</t>
        </is>
      </c>
      <c r="BC341" s="31">
        <f>IF(BB341="Stage 2",20,IF(BB341="Stage 1",0,IF(BB341="Stage 3",5,IF(BB341="Stage 4",-5,0))))</f>
        <v/>
      </c>
      <c r="BD341" s="31" t="inlineStr">
        <is>
          <t>Positive Trend</t>
        </is>
      </c>
      <c r="BE341" s="31">
        <f>IF(BD341="Positive Trend",20,IF(BD341="Negative Trend",-10,0))</f>
        <v/>
      </c>
      <c r="BF341" s="31" t="inlineStr">
        <is>
          <t>Uptrend</t>
        </is>
      </c>
      <c r="BG341" s="31">
        <f>IF(BF341="Uptrend",10,IF(BF341="Sideways",5,0))</f>
        <v/>
      </c>
      <c r="BH341" s="31" t="inlineStr">
        <is>
          <t>Uptrend</t>
        </is>
      </c>
      <c r="BI341" s="31">
        <f>IF(BH341="Uptrend",10,IF(BH341="Sideways",5,0))</f>
        <v/>
      </c>
      <c r="BJ341" s="31" t="inlineStr">
        <is>
          <t>Close to 52 week high or retracement</t>
        </is>
      </c>
      <c r="BK341" s="31">
        <f>IF(BJ341="Overhead supply in last 2 years in last 2 years",-5,IF(BJ341="Close to 52 week high or retracement",5,IF(BJ341="Blue sky scenario",10,IF(BJ341="Long term Downtrend",-10,0))))</f>
        <v/>
      </c>
      <c r="BL341" s="31" t="inlineStr">
        <is>
          <t>Yes</t>
        </is>
      </c>
      <c r="BM341" s="31">
        <f>IF(BL341="Yes",10,0)</f>
        <v/>
      </c>
      <c r="BN341" s="31" t="inlineStr">
        <is>
          <t>Less than 12%</t>
        </is>
      </c>
      <c r="BO341" s="31">
        <f>IF(BN341="More than 20%",10,IF(BN341="Between 12 to 20%",5,IF(BN341="Less than 12%",0,0)))</f>
        <v/>
      </c>
      <c r="BP341" s="31" t="inlineStr">
        <is>
          <t>No</t>
        </is>
      </c>
      <c r="BQ341" s="31">
        <f>IF(BP341="No",10,0)</f>
        <v/>
      </c>
      <c r="BR341" s="31" t="inlineStr">
        <is>
          <t>No</t>
        </is>
      </c>
      <c r="BS341" s="31">
        <f>IF(BR341="NO",5,0)</f>
        <v/>
      </c>
      <c r="BT341" s="31" t="inlineStr">
        <is>
          <t>Above 2</t>
        </is>
      </c>
      <c r="BU341" s="31">
        <f>IF(BT341="Above 2",0,IF(BT341="Between 1.5 to 2",5,IF(BT341="Less than 1.5",10,0)))</f>
        <v/>
      </c>
      <c r="BV341" s="31" t="inlineStr">
        <is>
          <t>Above 70%</t>
        </is>
      </c>
      <c r="BW341" s="31">
        <f>IF(BV341="Above 70%",10,IF(BV341="Between 50% to 70%",5,IF(BV341="Less than 50%",0,IF(BV341="Negative",-10,IF(BV341="Less than 50% and Borrowings are increasing",-5,0)))))</f>
        <v/>
      </c>
      <c r="BX341" s="31" t="inlineStr">
        <is>
          <t>Less than 0.7</t>
        </is>
      </c>
      <c r="BY341" s="31">
        <f>IF(BX341="More than 1.2",-10,IF(BX341="Between 0.7 to 1.2",0,IF(BX341="Less than 0.7",10,0)))</f>
        <v/>
      </c>
      <c r="BZ341" s="31" t="inlineStr">
        <is>
          <t>No</t>
        </is>
      </c>
      <c r="CA341" s="31">
        <f>IF(BZ341="Yes",-10,0)</f>
        <v/>
      </c>
      <c r="CB341" s="31" t="inlineStr">
        <is>
          <t>Less than 15%</t>
        </is>
      </c>
      <c r="CC341" s="31">
        <f>IF(CB341="More than 15%",-10,IF(CB341="Less than 15%",10,0))</f>
        <v/>
      </c>
      <c r="CD341" s="31" t="inlineStr">
        <is>
          <t>No</t>
        </is>
      </c>
      <c r="CE341" s="31">
        <f>IF(CD341="Yes, more than 10%",-10,IF(CD341="No",10,0))</f>
        <v/>
      </c>
    </row>
    <row r="342">
      <c r="A342" s="31">
        <f>IF(B342=0,"",RANK(B342,$B$2:$B$379,0))</f>
        <v/>
      </c>
      <c r="B342" s="32">
        <f>SUM(N342,Y342,AA342,AC342,AE342,AG342,AI342,AK342,AM342,AO342,AQ342,AS342,AU342,AW342,AY342,BA342,BC342,BE342,BG342,BI342,BK342,BM342,BO342,BQ342,BS342,BU342,BW342,BY342,CA342,CC342,CE342)</f>
        <v/>
      </c>
      <c r="C342" s="33" t="inlineStr">
        <is>
          <t>SADHNANIQ</t>
        </is>
      </c>
      <c r="D342" s="33" t="inlineStr">
        <is>
          <t>Sadhana Nitro Chem Ltd</t>
        </is>
      </c>
      <c r="E342" s="31" t="inlineStr">
        <is>
          <t>chemicals</t>
        </is>
      </c>
      <c r="F342" s="31" t="inlineStr">
        <is>
          <t>chemicals</t>
        </is>
      </c>
      <c r="G342" s="31" t="inlineStr">
        <is>
          <t>smallcap</t>
        </is>
      </c>
      <c r="H342" s="32" t="n">
        <v>850.87</v>
      </c>
      <c r="I342" s="32" t="n">
        <v>2.82</v>
      </c>
      <c r="J342" s="32" t="n">
        <v>-1.74</v>
      </c>
      <c r="K342" s="32" t="n">
        <v>885231</v>
      </c>
      <c r="L342" s="31" t="n">
        <v>72</v>
      </c>
      <c r="M342" s="31" t="inlineStr">
        <is>
          <t>Underperforming</t>
        </is>
      </c>
      <c r="N342" s="32">
        <f>IF(M342="Underperforming",-5,IF(L342&gt;=95,15,IF(L342&gt;=90,10,IF(L342&gt;=80,5,0))))</f>
        <v/>
      </c>
      <c r="O342" s="32" t="n">
        <v>41.58</v>
      </c>
      <c r="P342" s="32" t="n">
        <v>22.39</v>
      </c>
      <c r="Q342" s="32" t="n">
        <v>1.27</v>
      </c>
      <c r="R342" s="31" t="inlineStr">
        <is>
          <t>Earnings / Momentum Support</t>
        </is>
      </c>
      <c r="S342" s="31" t="inlineStr">
        <is>
          <t>Nifty 50</t>
        </is>
      </c>
      <c r="T342" s="32" t="n">
        <v>-5.72</v>
      </c>
      <c r="U342" s="32" t="n">
        <v>-61.1</v>
      </c>
      <c r="V342" s="32" t="n">
        <v>-58.75</v>
      </c>
      <c r="W342" s="32" t="n">
        <v>20.61</v>
      </c>
      <c r="X342" s="31" t="inlineStr">
        <is>
          <t>Growing Industry</t>
        </is>
      </c>
      <c r="Y342" s="31">
        <f>IF(X342="Growing Industry",10,IF(X342="Cyclical in an Upturn",5,0))</f>
        <v/>
      </c>
      <c r="Z342" s="31" t="inlineStr">
        <is>
          <t>Too Many Players with High ROCE</t>
        </is>
      </c>
      <c r="AA342" s="31">
        <f>IF(Z342="Monopoly",10,IF(Z342="Oligopoly",5,IF(Z342="Duopoly that cooperate",10,IF(Z342="Duopoly that compete",5,IF(Z342="Too many players with High ROCE",5,0)))))</f>
        <v/>
      </c>
      <c r="AB342" s="31" t="inlineStr">
        <is>
          <t>No</t>
        </is>
      </c>
      <c r="AC342" s="31">
        <f>IF(AB342="No",5,0)</f>
        <v/>
      </c>
      <c r="AD342" s="31" t="inlineStr">
        <is>
          <t>Headwind</t>
        </is>
      </c>
      <c r="AE342" s="31">
        <f>IF(AD342="Tailwind",10,0)</f>
        <v/>
      </c>
      <c r="AF342" s="31" t="inlineStr">
        <is>
          <t>Structural (10 Years Consistency)</t>
        </is>
      </c>
      <c r="AG342" s="31">
        <f>IF(AF342="Structural (10 Years Consistency)",10,IF(AF342="Shallow Cyclical (2 to 3 years growth)",5,0))</f>
        <v/>
      </c>
      <c r="AH342" s="31" t="inlineStr">
        <is>
          <t>No</t>
        </is>
      </c>
      <c r="AI342" s="31">
        <f>IF(AH342="Yes due to Product Mix change or Operating Leverage",10,IF(AH342="Yes, these are peak margins",-5,IF(AH342="No",5,0)))</f>
        <v/>
      </c>
      <c r="AJ342" s="31" t="inlineStr">
        <is>
          <t>Stable</t>
        </is>
      </c>
      <c r="AK342" s="31">
        <f>IF(AJ342="Stable",10,0)</f>
        <v/>
      </c>
      <c r="AL342" s="31" t="inlineStr">
        <is>
          <t>Yes</t>
        </is>
      </c>
      <c r="AM342" s="31">
        <f>IF(AL342="Yes",10,0)</f>
        <v/>
      </c>
      <c r="AN342" s="31" t="inlineStr">
        <is>
          <t>B2B</t>
        </is>
      </c>
      <c r="AO342" s="31">
        <f>IF(AN342="B2C",10,IF(AN342="B2B",5,0))</f>
        <v/>
      </c>
      <c r="AP342" s="31" t="inlineStr">
        <is>
          <t>No</t>
        </is>
      </c>
      <c r="AQ342" s="31">
        <f>IF(AP342="Yes",10,0)</f>
        <v/>
      </c>
      <c r="AR342" s="31" t="inlineStr">
        <is>
          <t>Higher One Time, Lower Annuity</t>
        </is>
      </c>
      <c r="AS342" s="31">
        <f>IF(AR342="Fully Annuity",10,IF(AR342="Higher Annuity, Lower One Time",5,IF(AR342="Higher One Time, Lower Annuity",3,0)))</f>
        <v/>
      </c>
      <c r="AT342" s="31" t="inlineStr">
        <is>
          <t>Good</t>
        </is>
      </c>
      <c r="AU342" s="31">
        <f>IF(AT342="Good",10,0)</f>
        <v/>
      </c>
      <c r="AV342" s="31" t="inlineStr">
        <is>
          <t>Yes for more than 2 years</t>
        </is>
      </c>
      <c r="AW342" s="31">
        <f>IF(AV342="Yes for more than 2 years",10,IF(AV342="Yes only for next 1 to 2 years",5,0))</f>
        <v/>
      </c>
      <c r="AX342" s="31" t="inlineStr">
        <is>
          <t>20 to 40</t>
        </is>
      </c>
      <c r="AY342" s="31">
        <f>IF(AX342="Above 40",20,IF(AX342="20 to 40",10,IF(AX342="0 to 20",-5,0)))</f>
        <v/>
      </c>
      <c r="AZ342" s="31" t="inlineStr">
        <is>
          <t>Below 45</t>
        </is>
      </c>
      <c r="BA342" s="31">
        <f>IF(AZ342="Between 50 to 75",10,IF(AZ342="Above 75",0,0))</f>
        <v/>
      </c>
      <c r="BB342" s="31" t="inlineStr">
        <is>
          <t>Stage 4</t>
        </is>
      </c>
      <c r="BC342" s="31">
        <f>IF(BB342="Stage 2",20,IF(BB342="Stage 1",0,IF(BB342="Stage 3",5,IF(BB342="Stage 4",-5,0))))</f>
        <v/>
      </c>
      <c r="BD342" s="31" t="inlineStr">
        <is>
          <t>Positive Trend</t>
        </is>
      </c>
      <c r="BE342" s="31">
        <f>IF(BD342="Positive Trend",20,IF(BD342="Negative Trend",-10,0))</f>
        <v/>
      </c>
      <c r="BF342" s="31" t="inlineStr">
        <is>
          <t>Uptrend</t>
        </is>
      </c>
      <c r="BG342" s="31">
        <f>IF(BF342="Uptrend",10,IF(BF342="Sideways",5,0))</f>
        <v/>
      </c>
      <c r="BH342" s="31" t="inlineStr">
        <is>
          <t>Uptrend</t>
        </is>
      </c>
      <c r="BI342" s="31">
        <f>IF(BH342="Uptrend",10,IF(BH342="Sideways",5,0))</f>
        <v/>
      </c>
      <c r="BJ342" s="31" t="inlineStr">
        <is>
          <t>Close to 52 week high or retracement</t>
        </is>
      </c>
      <c r="BK342" s="31">
        <f>IF(BJ342="Overhead supply in last 2 years in last 2 years",-5,IF(BJ342="Close to 52 week high or retracement",5,IF(BJ342="Blue sky scenario",10,IF(BJ342="Long term Downtrend",-10,0))))</f>
        <v/>
      </c>
      <c r="BL342" s="31" t="inlineStr">
        <is>
          <t>Yes</t>
        </is>
      </c>
      <c r="BM342" s="31">
        <f>IF(BL342="Yes",10,0)</f>
        <v/>
      </c>
      <c r="BN342" s="31" t="inlineStr">
        <is>
          <t>More than 20%</t>
        </is>
      </c>
      <c r="BO342" s="31">
        <f>IF(BN342="More than 20%",10,IF(BN342="Between 12 to 20%",5,IF(BN342="Less than 12%",0,0)))</f>
        <v/>
      </c>
      <c r="BP342" s="31" t="inlineStr">
        <is>
          <t>No</t>
        </is>
      </c>
      <c r="BQ342" s="31">
        <f>IF(BP342="No",10,0)</f>
        <v/>
      </c>
      <c r="BR342" s="31" t="inlineStr">
        <is>
          <t>No</t>
        </is>
      </c>
      <c r="BS342" s="31">
        <f>IF(BR342="NO",5,0)</f>
        <v/>
      </c>
      <c r="BT342" s="31" t="inlineStr">
        <is>
          <t>Less than 1.5</t>
        </is>
      </c>
      <c r="BU342" s="31">
        <f>IF(BT342="Above 2",0,IF(BT342="Between 1.5 to 2",5,IF(BT342="Less than 1.5",10,0)))</f>
        <v/>
      </c>
      <c r="BV342" s="31" t="inlineStr">
        <is>
          <t>Between 50% to 70%</t>
        </is>
      </c>
      <c r="BW342" s="31">
        <f>IF(BV342="Above 70%",10,IF(BV342="Between 50% to 70%",5,IF(BV342="Less than 50%",0,IF(BV342="Negative",-10,IF(BV342="Less than 50% and Borrowings are increasing",-5,0)))))</f>
        <v/>
      </c>
      <c r="BX342" s="31" t="inlineStr">
        <is>
          <t>Less than 0.7</t>
        </is>
      </c>
      <c r="BY342" s="31">
        <f>IF(BX342="More than 1.2",-10,IF(BX342="Between 0.7 to 1.2",0,IF(BX342="Less than 0.7",10,0)))</f>
        <v/>
      </c>
      <c r="BZ342" s="31" t="inlineStr">
        <is>
          <t>No</t>
        </is>
      </c>
      <c r="CA342" s="31">
        <f>IF(BZ342="Yes",-10,0)</f>
        <v/>
      </c>
      <c r="CB342" s="31" t="inlineStr">
        <is>
          <t>Less than 15%</t>
        </is>
      </c>
      <c r="CC342" s="31">
        <f>IF(CB342="More than 15%",-10,IF(CB342="Less than 15%",10,0))</f>
        <v/>
      </c>
      <c r="CD342" s="31" t="inlineStr">
        <is>
          <t>No</t>
        </is>
      </c>
      <c r="CE342" s="31">
        <f>IF(CD342="Yes, more than 10%",-10,IF(CD342="No",10,0))</f>
        <v/>
      </c>
    </row>
    <row r="343">
      <c r="A343" s="31">
        <f>IF(B343=0,"",RANK(B343,$B$2:$B$379,0))</f>
        <v/>
      </c>
      <c r="B343" s="32">
        <f>SUM(N343,Y343,AA343,AC343,AE343,AG343,AI343,AK343,AM343,AO343,AQ343,AS343,AU343,AW343,AY343,BA343,BC343,BE343,BG343,BI343,BK343,BM343,BO343,BQ343,BS343,BU343,BW343,BY343,CA343,CC343,CE343)</f>
        <v/>
      </c>
      <c r="C343" s="33" t="inlineStr">
        <is>
          <t>KIRLOSBROS</t>
        </is>
      </c>
      <c r="D343" s="33" t="inlineStr">
        <is>
          <t>Kirloskar Brothers Limited</t>
        </is>
      </c>
      <c r="E343" s="31" t="inlineStr">
        <is>
          <t>industrials</t>
        </is>
      </c>
      <c r="F343" s="31" t="inlineStr">
        <is>
          <t>pumps</t>
        </is>
      </c>
      <c r="G343" s="31" t="inlineStr">
        <is>
          <t>midcap</t>
        </is>
      </c>
      <c r="H343" s="32" t="n">
        <v>16305.83</v>
      </c>
      <c r="I343" s="32" t="n">
        <v>1984.5</v>
      </c>
      <c r="J343" s="32" t="n">
        <v>-3.36</v>
      </c>
      <c r="K343" s="32" t="n">
        <v>122331</v>
      </c>
      <c r="L343" s="31" t="n">
        <v>24</v>
      </c>
      <c r="M343" s="31" t="inlineStr">
        <is>
          <t>Underperforming</t>
        </is>
      </c>
      <c r="N343" s="32">
        <f>IF(M343="Underperforming",-5,IF(L343&gt;=95,15,IF(L343&gt;=90,10,IF(L343&gt;=80,5,0))))</f>
        <v/>
      </c>
      <c r="O343" s="32" t="n">
        <v>63.69</v>
      </c>
      <c r="P343" s="32" t="n">
        <v>19.51</v>
      </c>
      <c r="Q343" s="32" t="n">
        <v>1543.34</v>
      </c>
      <c r="R343" s="31" t="inlineStr">
        <is>
          <t>Earnings / Momentum Support</t>
        </is>
      </c>
      <c r="S343" s="31" t="inlineStr">
        <is>
          <t>Nifty 50</t>
        </is>
      </c>
      <c r="T343" s="32" t="n">
        <v>-5.72</v>
      </c>
      <c r="U343" s="32" t="n">
        <v>-14.65</v>
      </c>
      <c r="V343" s="32" t="n">
        <v>-9.470000000000001</v>
      </c>
      <c r="W343" s="32" t="n">
        <v>7.27</v>
      </c>
      <c r="X343" s="31" t="inlineStr">
        <is>
          <t>Cyclical in an Upturn</t>
        </is>
      </c>
      <c r="Y343" s="31">
        <f>IF(X343="Growing Industry",10,IF(X343="Cyclical in an Upturn",5,0))</f>
        <v/>
      </c>
      <c r="Z343" s="31" t="inlineStr">
        <is>
          <t>Too Many Players with High ROCE</t>
        </is>
      </c>
      <c r="AA343" s="31">
        <f>IF(Z343="Monopoly",10,IF(Z343="Oligopoly",5,IF(Z343="Duopoly that cooperate",10,IF(Z343="Duopoly that compete",5,IF(Z343="Too many players with High ROCE",5,0)))))</f>
        <v/>
      </c>
      <c r="AB343" s="31" t="inlineStr">
        <is>
          <t>No</t>
        </is>
      </c>
      <c r="AC343" s="31">
        <f>IF(AB343="No",5,0)</f>
        <v/>
      </c>
      <c r="AD343" s="31" t="inlineStr">
        <is>
          <t>Tailwind</t>
        </is>
      </c>
      <c r="AE343" s="31">
        <f>IF(AD343="Tailwind",10,0)</f>
        <v/>
      </c>
      <c r="AF343" s="31" t="inlineStr">
        <is>
          <t>Structural (10 Years Consistency)</t>
        </is>
      </c>
      <c r="AG343" s="31">
        <f>IF(AF343="Structural (10 Years Consistency)",10,IF(AF343="Shallow Cyclical (2 to 3 years growth)",5,0))</f>
        <v/>
      </c>
      <c r="AH343" s="31" t="inlineStr">
        <is>
          <t>No</t>
        </is>
      </c>
      <c r="AI343" s="31">
        <f>IF(AH343="Yes due to Product Mix change or Operating Leverage",10,IF(AH343="Yes, these are peak margins",-5,IF(AH343="No",5,0)))</f>
        <v/>
      </c>
      <c r="AJ343" s="31" t="inlineStr">
        <is>
          <t>Stable</t>
        </is>
      </c>
      <c r="AK343" s="31">
        <f>IF(AJ343="Stable",10,0)</f>
        <v/>
      </c>
      <c r="AL343" s="31" t="inlineStr">
        <is>
          <t>Yes</t>
        </is>
      </c>
      <c r="AM343" s="31">
        <f>IF(AL343="Yes",10,0)</f>
        <v/>
      </c>
      <c r="AN343" s="31" t="inlineStr">
        <is>
          <t>B2B</t>
        </is>
      </c>
      <c r="AO343" s="31">
        <f>IF(AN343="B2C",10,IF(AN343="B2B",5,0))</f>
        <v/>
      </c>
      <c r="AP343" s="31" t="inlineStr">
        <is>
          <t>No</t>
        </is>
      </c>
      <c r="AQ343" s="31">
        <f>IF(AP343="Yes",10,0)</f>
        <v/>
      </c>
      <c r="AR343" s="31" t="inlineStr">
        <is>
          <t>Higher One Time, Lower Annuity</t>
        </is>
      </c>
      <c r="AS343" s="31">
        <f>IF(AR343="Fully Annuity",10,IF(AR343="Higher Annuity, Lower One Time",5,IF(AR343="Higher One Time, Lower Annuity",3,0)))</f>
        <v/>
      </c>
      <c r="AT343" s="31" t="inlineStr">
        <is>
          <t>Good</t>
        </is>
      </c>
      <c r="AU343" s="31">
        <f>IF(AT343="Good",10,0)</f>
        <v/>
      </c>
      <c r="AV343" s="31" t="inlineStr">
        <is>
          <t>Yes for more than 2 years</t>
        </is>
      </c>
      <c r="AW343" s="31">
        <f>IF(AV343="Yes for more than 2 years",10,IF(AV343="Yes only for next 1 to 2 years",5,0))</f>
        <v/>
      </c>
      <c r="AX343" s="31" t="inlineStr">
        <is>
          <t>0 to 20</t>
        </is>
      </c>
      <c r="AY343" s="31">
        <f>IF(AX343="Above 40",20,IF(AX343="20 to 40",10,IF(AX343="0 to 20",-5,0)))</f>
        <v/>
      </c>
      <c r="AZ343" s="31" t="inlineStr">
        <is>
          <t>Between 50 to 75</t>
        </is>
      </c>
      <c r="BA343" s="31">
        <f>IF(AZ343="Between 50 to 75",10,IF(AZ343="Above 75",0,0))</f>
        <v/>
      </c>
      <c r="BB343" s="31" t="inlineStr">
        <is>
          <t>Stage 2</t>
        </is>
      </c>
      <c r="BC343" s="31">
        <f>IF(BB343="Stage 2",20,IF(BB343="Stage 1",0,IF(BB343="Stage 3",5,IF(BB343="Stage 4",-5,0))))</f>
        <v/>
      </c>
      <c r="BD343" s="31" t="inlineStr">
        <is>
          <t>Positive Trend</t>
        </is>
      </c>
      <c r="BE343" s="31">
        <f>IF(BD343="Positive Trend",20,IF(BD343="Negative Trend",-10,0))</f>
        <v/>
      </c>
      <c r="BF343" s="31" t="inlineStr">
        <is>
          <t>Uptrend</t>
        </is>
      </c>
      <c r="BG343" s="31">
        <f>IF(BF343="Uptrend",10,IF(BF343="Sideways",5,0))</f>
        <v/>
      </c>
      <c r="BH343" s="31" t="inlineStr">
        <is>
          <t>Uptrend</t>
        </is>
      </c>
      <c r="BI343" s="31">
        <f>IF(BH343="Uptrend",10,IF(BH343="Sideways",5,0))</f>
        <v/>
      </c>
      <c r="BJ343" s="31" t="inlineStr">
        <is>
          <t>Close to 52 week high or retracement</t>
        </is>
      </c>
      <c r="BK343" s="31">
        <f>IF(BJ343="Overhead supply in last 2 years in last 2 years",-5,IF(BJ343="Close to 52 week high or retracement",5,IF(BJ343="Blue sky scenario",10,IF(BJ343="Long term Downtrend",-10,0))))</f>
        <v/>
      </c>
      <c r="BL343" s="31" t="inlineStr">
        <is>
          <t>Yes</t>
        </is>
      </c>
      <c r="BM343" s="31">
        <f>IF(BL343="Yes",10,0)</f>
        <v/>
      </c>
      <c r="BN343" s="31" t="inlineStr">
        <is>
          <t>Less than 12%</t>
        </is>
      </c>
      <c r="BO343" s="31">
        <f>IF(BN343="More than 20%",10,IF(BN343="Between 12 to 20%",5,IF(BN343="Less than 12%",0,0)))</f>
        <v/>
      </c>
      <c r="BP343" s="31" t="inlineStr">
        <is>
          <t>No</t>
        </is>
      </c>
      <c r="BQ343" s="31">
        <f>IF(BP343="No",10,0)</f>
        <v/>
      </c>
      <c r="BR343" s="31" t="inlineStr">
        <is>
          <t>Yes</t>
        </is>
      </c>
      <c r="BS343" s="31">
        <f>IF(BR343="NO",5,0)</f>
        <v/>
      </c>
      <c r="BT343" s="31" t="inlineStr">
        <is>
          <t>Above 2</t>
        </is>
      </c>
      <c r="BU343" s="31">
        <f>IF(BT343="Above 2",0,IF(BT343="Between 1.5 to 2",5,IF(BT343="Less than 1.5",10,0)))</f>
        <v/>
      </c>
      <c r="BV343" s="31" t="inlineStr">
        <is>
          <t>Between 50% to 70%</t>
        </is>
      </c>
      <c r="BW343" s="31">
        <f>IF(BV343="Above 70%",10,IF(BV343="Between 50% to 70%",5,IF(BV343="Less than 50%",0,IF(BV343="Negative",-10,IF(BV343="Less than 50% and Borrowings are increasing",-5,0)))))</f>
        <v/>
      </c>
      <c r="BX343" s="31" t="inlineStr">
        <is>
          <t>Less than 0.7</t>
        </is>
      </c>
      <c r="BY343" s="31">
        <f>IF(BX343="More than 1.2",-10,IF(BX343="Between 0.7 to 1.2",0,IF(BX343="Less than 0.7",10,0)))</f>
        <v/>
      </c>
      <c r="BZ343" s="31" t="inlineStr">
        <is>
          <t>No</t>
        </is>
      </c>
      <c r="CA343" s="31">
        <f>IF(BZ343="Yes",-10,0)</f>
        <v/>
      </c>
      <c r="CB343" s="31" t="inlineStr">
        <is>
          <t>Less than 15%</t>
        </is>
      </c>
      <c r="CC343" s="31">
        <f>IF(CB343="More than 15%",-10,IF(CB343="Less than 15%",10,0))</f>
        <v/>
      </c>
      <c r="CD343" s="31" t="inlineStr">
        <is>
          <t>No</t>
        </is>
      </c>
      <c r="CE343" s="31">
        <f>IF(CD343="Yes, more than 10%",-10,IF(CD343="No",10,0))</f>
        <v/>
      </c>
    </row>
    <row r="344">
      <c r="A344" s="31">
        <f>IF(B344=0,"",RANK(B344,$B$2:$B$379,0))</f>
        <v/>
      </c>
      <c r="B344" s="32">
        <f>SUM(N344,Y344,AA344,AC344,AE344,AG344,AI344,AK344,AM344,AO344,AQ344,AS344,AU344,AW344,AY344,BA344,BC344,BE344,BG344,BI344,BK344,BM344,BO344,BQ344,BS344,BU344,BW344,BY344,CA344,CC344,CE344)</f>
        <v/>
      </c>
      <c r="C344" s="31" t="inlineStr">
        <is>
          <t>V2RETAIL</t>
        </is>
      </c>
      <c r="D344" s="31" t="inlineStr">
        <is>
          <t>V2 Retail Limited</t>
        </is>
      </c>
      <c r="E344" s="31" t="inlineStr">
        <is>
          <t>consumer discretionary</t>
        </is>
      </c>
      <c r="F344" s="31" t="inlineStr">
        <is>
          <t>textiles - products</t>
        </is>
      </c>
      <c r="G344" s="31" t="inlineStr">
        <is>
          <t>midcap</t>
        </is>
      </c>
      <c r="H344" s="32" t="n">
        <v>8269.620000000001</v>
      </c>
      <c r="I344" s="32" t="n">
        <v>238.44</v>
      </c>
      <c r="J344" s="32" t="n">
        <v>5.14</v>
      </c>
      <c r="K344" s="32" t="n">
        <v>2132979</v>
      </c>
      <c r="L344" s="31" t="n">
        <v>37</v>
      </c>
      <c r="M344" s="31" t="inlineStr">
        <is>
          <t>Outperforming</t>
        </is>
      </c>
      <c r="N344" s="32">
        <f>IF(M344="Underperforming",-5,IF(L344&gt;=95,15,IF(L344&gt;=90,10,IF(L344&gt;=80,5,0))))</f>
        <v/>
      </c>
      <c r="O344" s="32" t="n">
        <v>57.9</v>
      </c>
      <c r="P344" s="32" t="n">
        <v>34.29</v>
      </c>
      <c r="Q344" s="32" t="n">
        <v>181.37</v>
      </c>
      <c r="R344" s="31" t="inlineStr">
        <is>
          <t>Near 52W High Breakout</t>
        </is>
      </c>
      <c r="S344" s="31" t="inlineStr">
        <is>
          <t>Nifty 50</t>
        </is>
      </c>
      <c r="T344" s="32" t="n">
        <v>-5.72</v>
      </c>
      <c r="U344" s="32" t="n">
        <v>23.94</v>
      </c>
      <c r="V344" s="32" t="n">
        <v>31.45</v>
      </c>
      <c r="W344" s="32" t="n">
        <v>10.52</v>
      </c>
      <c r="X344" s="31" t="inlineStr">
        <is>
          <t>Growing Industry</t>
        </is>
      </c>
      <c r="Y344" s="31">
        <f>IF(X344="Growing Industry",10,IF(X344="Cyclical in an Upturn",5,0))</f>
        <v/>
      </c>
      <c r="Z344" s="31" t="inlineStr">
        <is>
          <t>Too Many Players with High ROCE</t>
        </is>
      </c>
      <c r="AA344" s="31">
        <f>IF(Z344="Monopoly",10,IF(Z344="Oligopoly",5,IF(Z344="Duopoly that cooperate",10,IF(Z344="Duopoly that compete",5,IF(Z344="Too many players with High ROCE",5,0)))))</f>
        <v/>
      </c>
      <c r="AB344" s="31" t="inlineStr">
        <is>
          <t>No</t>
        </is>
      </c>
      <c r="AC344" s="31">
        <f>IF(AB344="No",5,0)</f>
        <v/>
      </c>
      <c r="AD344" s="31" t="inlineStr">
        <is>
          <t>Tailwind</t>
        </is>
      </c>
      <c r="AE344" s="31">
        <f>IF(AD344="Tailwind",10,0)</f>
        <v/>
      </c>
      <c r="AF344" s="31" t="inlineStr">
        <is>
          <t>Structural (10 Years Consistency)</t>
        </is>
      </c>
      <c r="AG344" s="31">
        <f>IF(AF344="Structural (10 Years Consistency)",10,IF(AF344="Shallow Cyclical (2 to 3 years growth)",5,0))</f>
        <v/>
      </c>
      <c r="AH344" s="31" t="inlineStr">
        <is>
          <t>No</t>
        </is>
      </c>
      <c r="AI344" s="31">
        <f>IF(AH344="Yes due to Product Mix change or Operating Leverage",10,IF(AH344="Yes, these are peak margins",-5,IF(AH344="No",5,0)))</f>
        <v/>
      </c>
      <c r="AJ344" s="31" t="inlineStr">
        <is>
          <t>Stable</t>
        </is>
      </c>
      <c r="AK344" s="31">
        <f>IF(AJ344="Stable",10,0)</f>
        <v/>
      </c>
      <c r="AL344" s="31" t="inlineStr">
        <is>
          <t>Yes</t>
        </is>
      </c>
      <c r="AM344" s="31">
        <f>IF(AL344="Yes",10,0)</f>
        <v/>
      </c>
      <c r="AN344" s="31" t="inlineStr">
        <is>
          <t>B2B</t>
        </is>
      </c>
      <c r="AO344" s="31">
        <f>IF(AN344="B2C",10,IF(AN344="B2B",5,0))</f>
        <v/>
      </c>
      <c r="AP344" s="31" t="inlineStr">
        <is>
          <t>Yes</t>
        </is>
      </c>
      <c r="AQ344" s="31">
        <f>IF(AP344="Yes",10,0)</f>
        <v/>
      </c>
      <c r="AR344" s="31" t="inlineStr">
        <is>
          <t>Higher One Time, Lower Annuity</t>
        </is>
      </c>
      <c r="AS344" s="31">
        <f>IF(AR344="Fully Annuity",10,IF(AR344="Higher Annuity, Lower One Time",5,IF(AR344="Higher One Time, Lower Annuity",3,0)))</f>
        <v/>
      </c>
      <c r="AT344" s="31" t="inlineStr">
        <is>
          <t>Good</t>
        </is>
      </c>
      <c r="AU344" s="31">
        <f>IF(AT344="Good",10,0)</f>
        <v/>
      </c>
      <c r="AV344" s="31" t="inlineStr">
        <is>
          <t>Yes for more than 2 years</t>
        </is>
      </c>
      <c r="AW344" s="31">
        <f>IF(AV344="Yes for more than 2 years",10,IF(AV344="Yes only for next 1 to 2 years",5,0))</f>
        <v/>
      </c>
      <c r="AX344" s="31" t="inlineStr">
        <is>
          <t>20 to 40</t>
        </is>
      </c>
      <c r="AY344" s="31">
        <f>IF(AX344="Above 40",20,IF(AX344="20 to 40",10,IF(AX344="0 to 20",-5,0)))</f>
        <v/>
      </c>
      <c r="AZ344" s="31" t="inlineStr">
        <is>
          <t>Between 50 to 75</t>
        </is>
      </c>
      <c r="BA344" s="31">
        <f>IF(AZ344="Between 50 to 75",10,IF(AZ344="Above 75",0,0))</f>
        <v/>
      </c>
      <c r="BB344" s="31" t="inlineStr">
        <is>
          <t>Stage 2</t>
        </is>
      </c>
      <c r="BC344" s="31">
        <f>IF(BB344="Stage 2",20,IF(BB344="Stage 1",0,IF(BB344="Stage 3",5,IF(BB344="Stage 4",-5,0))))</f>
        <v/>
      </c>
      <c r="BD344" s="31" t="inlineStr">
        <is>
          <t>Negative Trend</t>
        </is>
      </c>
      <c r="BE344" s="31">
        <f>IF(BD344="Positive Trend",20,IF(BD344="Negative Trend",-10,0))</f>
        <v/>
      </c>
      <c r="BF344" s="31" t="inlineStr">
        <is>
          <t>Uptrend</t>
        </is>
      </c>
      <c r="BG344" s="31">
        <f>IF(BF344="Uptrend",10,IF(BF344="Sideways",5,0))</f>
        <v/>
      </c>
      <c r="BH344" s="31" t="inlineStr">
        <is>
          <t>Uptrend</t>
        </is>
      </c>
      <c r="BI344" s="31">
        <f>IF(BH344="Uptrend",10,IF(BH344="Sideways",5,0))</f>
        <v/>
      </c>
      <c r="BJ344" s="31" t="inlineStr">
        <is>
          <t>Blue sky scenario</t>
        </is>
      </c>
      <c r="BK344" s="31">
        <f>IF(BJ344="Overhead supply in last 2 years in last 2 years",-5,IF(BJ344="Close to 52 week high or retracement",5,IF(BJ344="Blue sky scenario",10,IF(BJ344="Long term Downtrend",-10,0))))</f>
        <v/>
      </c>
      <c r="BL344" s="31" t="inlineStr">
        <is>
          <t>Yes</t>
        </is>
      </c>
      <c r="BM344" s="31">
        <f>IF(BL344="Yes",10,0)</f>
        <v/>
      </c>
      <c r="BN344" s="31" t="inlineStr">
        <is>
          <t>More than 20%</t>
        </is>
      </c>
      <c r="BO344" s="31">
        <f>IF(BN344="More than 20%",10,IF(BN344="Between 12 to 20%",5,IF(BN344="Less than 12%",0,0)))</f>
        <v/>
      </c>
      <c r="BP344" s="31" t="inlineStr">
        <is>
          <t>No</t>
        </is>
      </c>
      <c r="BQ344" s="31">
        <f>IF(BP344="No",10,0)</f>
        <v/>
      </c>
      <c r="BR344" s="31" t="inlineStr">
        <is>
          <t>Yes</t>
        </is>
      </c>
      <c r="BS344" s="31">
        <f>IF(BR344="NO",5,0)</f>
        <v/>
      </c>
      <c r="BT344" s="31" t="inlineStr">
        <is>
          <t>Above 2</t>
        </is>
      </c>
      <c r="BU344" s="31">
        <f>IF(BT344="Above 2",0,IF(BT344="Between 1.5 to 2",5,IF(BT344="Less than 1.5",10,0)))</f>
        <v/>
      </c>
      <c r="BV344" s="31" t="inlineStr">
        <is>
          <t>Negative</t>
        </is>
      </c>
      <c r="BW344" s="31">
        <f>IF(BV344="Above 70%",10,IF(BV344="Between 50% to 70%",5,IF(BV344="Less than 50%",0,IF(BV344="Negative",-10,IF(BV344="Less than 50% and Borrowings are increasing",-5,0)))))</f>
        <v/>
      </c>
      <c r="BX344" s="31" t="inlineStr">
        <is>
          <t>Between 0.7 to 1.2</t>
        </is>
      </c>
      <c r="BY344" s="31">
        <f>IF(BX344="More than 1.2",-10,IF(BX344="Between 0.7 to 1.2",0,IF(BX344="Less than 0.7",10,0)))</f>
        <v/>
      </c>
      <c r="BZ344" s="31" t="inlineStr">
        <is>
          <t>No</t>
        </is>
      </c>
      <c r="CA344" s="31">
        <f>IF(BZ344="Yes",-10,0)</f>
        <v/>
      </c>
      <c r="CB344" s="31" t="inlineStr">
        <is>
          <t>Less than 15%</t>
        </is>
      </c>
      <c r="CC344" s="31">
        <f>IF(CB344="More than 15%",-10,IF(CB344="Less than 15%",10,0))</f>
        <v/>
      </c>
      <c r="CD344" s="31" t="inlineStr">
        <is>
          <t>No</t>
        </is>
      </c>
      <c r="CE344" s="31">
        <f>IF(CD344="Yes, more than 10%",-10,IF(CD344="No",10,0))</f>
        <v/>
      </c>
    </row>
    <row r="345">
      <c r="A345" s="31">
        <f>IF(B345=0,"",RANK(B345,$B$2:$B$379,0))</f>
        <v/>
      </c>
      <c r="B345" s="32">
        <f>SUM(N345,Y345,AA345,AC345,AE345,AG345,AI345,AK345,AM345,AO345,AQ345,AS345,AU345,AW345,AY345,BA345,BC345,BE345,BG345,BI345,BK345,BM345,BO345,BQ345,BS345,BU345,BW345,BY345,CA345,CC345,CE345)</f>
        <v/>
      </c>
      <c r="C345" s="33" t="inlineStr">
        <is>
          <t>CEATLTD</t>
        </is>
      </c>
      <c r="D345" s="33" t="inlineStr">
        <is>
          <t>Ceat Limited</t>
        </is>
      </c>
      <c r="E345" s="31" t="inlineStr">
        <is>
          <t>auto</t>
        </is>
      </c>
      <c r="F345" s="31" t="inlineStr">
        <is>
          <t>tyres</t>
        </is>
      </c>
      <c r="G345" s="31" t="inlineStr">
        <is>
          <t>midcap</t>
        </is>
      </c>
      <c r="H345" s="32" t="n">
        <v>14087.15</v>
      </c>
      <c r="I345" s="32" t="n">
        <v>3634.8</v>
      </c>
      <c r="J345" s="32" t="n">
        <v>4.37</v>
      </c>
      <c r="K345" s="32" t="n">
        <v>289501</v>
      </c>
      <c r="L345" s="31" t="n">
        <v>4</v>
      </c>
      <c r="M345" s="31" t="inlineStr">
        <is>
          <t>Underperforming</t>
        </is>
      </c>
      <c r="N345" s="32">
        <f>IF(M345="Underperforming",-5,IF(L345&gt;=95,15,IF(L345&gt;=90,10,IF(L345&gt;=80,5,0))))</f>
        <v/>
      </c>
      <c r="O345" s="32" t="n">
        <v>55.24</v>
      </c>
      <c r="P345" s="32" t="n">
        <v>6.07</v>
      </c>
      <c r="Q345" s="32" t="n">
        <v>2954.08</v>
      </c>
      <c r="R345" s="31" t="inlineStr">
        <is>
          <t>Earnings / Momentum Support</t>
        </is>
      </c>
      <c r="S345" s="31" t="inlineStr">
        <is>
          <t>Nifty Auto</t>
        </is>
      </c>
      <c r="T345" s="32" t="n">
        <v>11.69</v>
      </c>
      <c r="U345" s="32" t="n">
        <v>1.64</v>
      </c>
      <c r="V345" s="32" t="n">
        <v>-8.99</v>
      </c>
      <c r="W345" s="32" t="n">
        <v>2.27</v>
      </c>
      <c r="X345" s="31" t="inlineStr">
        <is>
          <t>Growing Industry</t>
        </is>
      </c>
      <c r="Y345" s="31">
        <f>IF(X345="Growing Industry",10,IF(X345="Cyclical in an Upturn",5,0))</f>
        <v/>
      </c>
      <c r="Z345" s="31" t="inlineStr">
        <is>
          <t>Too Many Players with High ROCE</t>
        </is>
      </c>
      <c r="AA345" s="31">
        <f>IF(Z345="Monopoly",10,IF(Z345="Oligopoly",5,IF(Z345="Duopoly that cooperate",10,IF(Z345="Duopoly that compete",5,IF(Z345="Too many players with High ROCE",5,0)))))</f>
        <v/>
      </c>
      <c r="AB345" s="31" t="inlineStr">
        <is>
          <t>No</t>
        </is>
      </c>
      <c r="AC345" s="31">
        <f>IF(AB345="No",5,0)</f>
        <v/>
      </c>
      <c r="AD345" s="31" t="inlineStr">
        <is>
          <t>Headwind</t>
        </is>
      </c>
      <c r="AE345" s="31">
        <f>IF(AD345="Tailwind",10,0)</f>
        <v/>
      </c>
      <c r="AF345" s="31" t="inlineStr">
        <is>
          <t>Structural (10 Years Consistency)</t>
        </is>
      </c>
      <c r="AG345" s="31">
        <f>IF(AF345="Structural (10 Years Consistency)",10,IF(AF345="Shallow Cyclical (2 to 3 years growth)",5,0))</f>
        <v/>
      </c>
      <c r="AH345" s="31" t="inlineStr">
        <is>
          <t>No</t>
        </is>
      </c>
      <c r="AI345" s="31">
        <f>IF(AH345="Yes due to Product Mix change or Operating Leverage",10,IF(AH345="Yes, these are peak margins",-5,IF(AH345="No",5,0)))</f>
        <v/>
      </c>
      <c r="AJ345" s="31" t="inlineStr">
        <is>
          <t>Stable</t>
        </is>
      </c>
      <c r="AK345" s="31">
        <f>IF(AJ345="Stable",10,0)</f>
        <v/>
      </c>
      <c r="AL345" s="31" t="inlineStr">
        <is>
          <t>Yes</t>
        </is>
      </c>
      <c r="AM345" s="31">
        <f>IF(AL345="Yes",10,0)</f>
        <v/>
      </c>
      <c r="AN345" s="31" t="inlineStr">
        <is>
          <t>B2B</t>
        </is>
      </c>
      <c r="AO345" s="31">
        <f>IF(AN345="B2C",10,IF(AN345="B2B",5,0))</f>
        <v/>
      </c>
      <c r="AP345" s="31" t="inlineStr">
        <is>
          <t>No</t>
        </is>
      </c>
      <c r="AQ345" s="31">
        <f>IF(AP345="Yes",10,0)</f>
        <v/>
      </c>
      <c r="AR345" s="31" t="inlineStr">
        <is>
          <t>Higher One Time, Lower Annuity</t>
        </is>
      </c>
      <c r="AS345" s="31">
        <f>IF(AR345="Fully Annuity",10,IF(AR345="Higher Annuity, Lower One Time",5,IF(AR345="Higher One Time, Lower Annuity",3,0)))</f>
        <v/>
      </c>
      <c r="AT345" s="31" t="inlineStr">
        <is>
          <t>Good</t>
        </is>
      </c>
      <c r="AU345" s="31">
        <f>IF(AT345="Good",10,0)</f>
        <v/>
      </c>
      <c r="AV345" s="31" t="inlineStr">
        <is>
          <t>Yes for more than 2 years</t>
        </is>
      </c>
      <c r="AW345" s="31">
        <f>IF(AV345="Yes for more than 2 years",10,IF(AV345="Yes only for next 1 to 2 years",5,0))</f>
        <v/>
      </c>
      <c r="AX345" s="31" t="inlineStr">
        <is>
          <t>0 to 20</t>
        </is>
      </c>
      <c r="AY345" s="31">
        <f>IF(AX345="Above 40",20,IF(AX345="20 to 40",10,IF(AX345="0 to 20",-5,0)))</f>
        <v/>
      </c>
      <c r="AZ345" s="31" t="inlineStr">
        <is>
          <t>Between 50 to 75</t>
        </is>
      </c>
      <c r="BA345" s="31">
        <f>IF(AZ345="Between 50 to 75",10,IF(AZ345="Above 75",0,0))</f>
        <v/>
      </c>
      <c r="BB345" s="31" t="inlineStr">
        <is>
          <t>Stage 1</t>
        </is>
      </c>
      <c r="BC345" s="31">
        <f>IF(BB345="Stage 2",20,IF(BB345="Stage 1",0,IF(BB345="Stage 3",5,IF(BB345="Stage 4",-5,0))))</f>
        <v/>
      </c>
      <c r="BD345" s="31" t="inlineStr">
        <is>
          <t>Positive Trend</t>
        </is>
      </c>
      <c r="BE345" s="31">
        <f>IF(BD345="Positive Trend",20,IF(BD345="Negative Trend",-10,0))</f>
        <v/>
      </c>
      <c r="BF345" s="31" t="inlineStr">
        <is>
          <t>Uptrend</t>
        </is>
      </c>
      <c r="BG345" s="31">
        <f>IF(BF345="Uptrend",10,IF(BF345="Sideways",5,0))</f>
        <v/>
      </c>
      <c r="BH345" s="31" t="inlineStr">
        <is>
          <t>Uptrend</t>
        </is>
      </c>
      <c r="BI345" s="31">
        <f>IF(BH345="Uptrend",10,IF(BH345="Sideways",5,0))</f>
        <v/>
      </c>
      <c r="BJ345" s="31" t="inlineStr">
        <is>
          <t>Close to 52 week high or retracement</t>
        </is>
      </c>
      <c r="BK345" s="31">
        <f>IF(BJ345="Overhead supply in last 2 years in last 2 years",-5,IF(BJ345="Close to 52 week high or retracement",5,IF(BJ345="Blue sky scenario",10,IF(BJ345="Long term Downtrend",-10,0))))</f>
        <v/>
      </c>
      <c r="BL345" s="31" t="inlineStr">
        <is>
          <t>Yes</t>
        </is>
      </c>
      <c r="BM345" s="31">
        <f>IF(BL345="Yes",10,0)</f>
        <v/>
      </c>
      <c r="BN345" s="31" t="inlineStr">
        <is>
          <t>More than 20%</t>
        </is>
      </c>
      <c r="BO345" s="31">
        <f>IF(BN345="More than 20%",10,IF(BN345="Between 12 to 20%",5,IF(BN345="Less than 12%",0,0)))</f>
        <v/>
      </c>
      <c r="BP345" s="31" t="inlineStr">
        <is>
          <t>No</t>
        </is>
      </c>
      <c r="BQ345" s="31">
        <f>IF(BP345="No",10,0)</f>
        <v/>
      </c>
      <c r="BR345" s="31" t="inlineStr">
        <is>
          <t>No</t>
        </is>
      </c>
      <c r="BS345" s="31">
        <f>IF(BR345="NO",5,0)</f>
        <v/>
      </c>
      <c r="BT345" s="31" t="inlineStr">
        <is>
          <t>Above 2</t>
        </is>
      </c>
      <c r="BU345" s="31">
        <f>IF(BT345="Above 2",0,IF(BT345="Between 1.5 to 2",5,IF(BT345="Less than 1.5",10,0)))</f>
        <v/>
      </c>
      <c r="BV345" s="31" t="inlineStr">
        <is>
          <t>Above 70%</t>
        </is>
      </c>
      <c r="BW345" s="31">
        <f>IF(BV345="Above 70%",10,IF(BV345="Between 50% to 70%",5,IF(BV345="Less than 50%",0,IF(BV345="Negative",-10,IF(BV345="Less than 50% and Borrowings are increasing",-5,0)))))</f>
        <v/>
      </c>
      <c r="BX345" s="31" t="inlineStr">
        <is>
          <t>Less than 0.7</t>
        </is>
      </c>
      <c r="BY345" s="31">
        <f>IF(BX345="More than 1.2",-10,IF(BX345="Between 0.7 to 1.2",0,IF(BX345="Less than 0.7",10,0)))</f>
        <v/>
      </c>
      <c r="BZ345" s="31" t="inlineStr">
        <is>
          <t>No</t>
        </is>
      </c>
      <c r="CA345" s="31">
        <f>IF(BZ345="Yes",-10,0)</f>
        <v/>
      </c>
      <c r="CB345" s="31" t="inlineStr">
        <is>
          <t>Less than 15%</t>
        </is>
      </c>
      <c r="CC345" s="31">
        <f>IF(CB345="More than 15%",-10,IF(CB345="Less than 15%",10,0))</f>
        <v/>
      </c>
      <c r="CD345" s="31" t="inlineStr">
        <is>
          <t>No</t>
        </is>
      </c>
      <c r="CE345" s="31">
        <f>IF(CD345="Yes, more than 10%",-10,IF(CD345="No",10,0))</f>
        <v/>
      </c>
    </row>
    <row r="346">
      <c r="A346" s="31">
        <f>IF(B346=0,"",RANK(B346,$B$2:$B$379,0))</f>
        <v/>
      </c>
      <c r="B346" s="32">
        <f>SUM(N346,Y346,AA346,AC346,AE346,AG346,AI346,AK346,AM346,AO346,AQ346,AS346,AU346,AW346,AY346,BA346,BC346,BE346,BG346,BI346,BK346,BM346,BO346,BQ346,BS346,BU346,BW346,BY346,CA346,CC346,CE346)</f>
        <v/>
      </c>
      <c r="C346" s="31" t="inlineStr">
        <is>
          <t>KAPSTON</t>
        </is>
      </c>
      <c r="D346" s="31" t="inlineStr">
        <is>
          <t>Kapston Services Ltd</t>
        </is>
      </c>
      <c r="E346" s="31" t="inlineStr">
        <is>
          <t>miscellaneous</t>
        </is>
      </c>
      <c r="F346" s="31" t="inlineStr">
        <is>
          <t>miscellaneous</t>
        </is>
      </c>
      <c r="G346" s="31" t="inlineStr">
        <is>
          <t>smallcap</t>
        </is>
      </c>
      <c r="H346" s="32" t="n">
        <v>1121.58</v>
      </c>
      <c r="I346" s="32" t="n">
        <v>375.95</v>
      </c>
      <c r="J346" s="32" t="n">
        <v>2.01</v>
      </c>
      <c r="K346" s="32" t="n">
        <v>53795</v>
      </c>
      <c r="L346" s="31" t="n">
        <v>59</v>
      </c>
      <c r="M346" s="31" t="inlineStr">
        <is>
          <t>Outperforming</t>
        </is>
      </c>
      <c r="N346" s="32">
        <f>IF(M346="Underperforming",-5,IF(L346&gt;=95,15,IF(L346&gt;=90,10,IF(L346&gt;=80,5,0))))</f>
        <v/>
      </c>
      <c r="O346" s="32" t="n">
        <v>62.04</v>
      </c>
      <c r="P346" s="32" t="n">
        <v>14.05</v>
      </c>
      <c r="Q346" s="32" t="n">
        <v>275.18</v>
      </c>
      <c r="R346" s="31" t="inlineStr">
        <is>
          <t>Earnings / Momentum Support</t>
        </is>
      </c>
      <c r="S346" s="31" t="inlineStr">
        <is>
          <t>Nifty 50</t>
        </is>
      </c>
      <c r="T346" s="32" t="n">
        <v>-5.72</v>
      </c>
      <c r="U346" s="32" t="n">
        <v>49.62</v>
      </c>
      <c r="V346" s="32" t="n">
        <v>58.69</v>
      </c>
      <c r="W346" s="32" t="n">
        <v>16.12</v>
      </c>
      <c r="X346" s="31" t="inlineStr">
        <is>
          <t>Growing Industry</t>
        </is>
      </c>
      <c r="Y346" s="31">
        <f>IF(X346="Growing Industry",10,IF(X346="Cyclical in an Upturn",5,0))</f>
        <v/>
      </c>
      <c r="Z346" s="31" t="inlineStr">
        <is>
          <t>Too Many Players with High ROCE</t>
        </is>
      </c>
      <c r="AA346" s="31">
        <f>IF(Z346="Monopoly",10,IF(Z346="Oligopoly",5,IF(Z346="Duopoly that cooperate",10,IF(Z346="Duopoly that compete",5,IF(Z346="Too many players with High ROCE",5,0)))))</f>
        <v/>
      </c>
      <c r="AB346" s="31" t="inlineStr">
        <is>
          <t>No</t>
        </is>
      </c>
      <c r="AC346" s="31">
        <f>IF(AB346="No",5,0)</f>
        <v/>
      </c>
      <c r="AD346" s="31" t="inlineStr">
        <is>
          <t>Tailwind</t>
        </is>
      </c>
      <c r="AE346" s="31">
        <f>IF(AD346="Tailwind",10,0)</f>
        <v/>
      </c>
      <c r="AF346" s="31" t="inlineStr">
        <is>
          <t>Structural (10 Years Consistency)</t>
        </is>
      </c>
      <c r="AG346" s="31">
        <f>IF(AF346="Structural (10 Years Consistency)",10,IF(AF346="Shallow Cyclical (2 to 3 years growth)",5,0))</f>
        <v/>
      </c>
      <c r="AH346" s="31" t="inlineStr">
        <is>
          <t>No</t>
        </is>
      </c>
      <c r="AI346" s="31">
        <f>IF(AH346="Yes due to Product Mix change or Operating Leverage",10,IF(AH346="Yes, these are peak margins",-5,IF(AH346="No",5,0)))</f>
        <v/>
      </c>
      <c r="AJ346" s="31" t="inlineStr">
        <is>
          <t>Stable</t>
        </is>
      </c>
      <c r="AK346" s="31">
        <f>IF(AJ346="Stable",10,0)</f>
        <v/>
      </c>
      <c r="AL346" s="31" t="inlineStr">
        <is>
          <t>Yes</t>
        </is>
      </c>
      <c r="AM346" s="31">
        <f>IF(AL346="Yes",10,0)</f>
        <v/>
      </c>
      <c r="AN346" s="31" t="inlineStr">
        <is>
          <t>B2B</t>
        </is>
      </c>
      <c r="AO346" s="31">
        <f>IF(AN346="B2C",10,IF(AN346="B2B",5,0))</f>
        <v/>
      </c>
      <c r="AP346" s="31" t="inlineStr">
        <is>
          <t>No</t>
        </is>
      </c>
      <c r="AQ346" s="31">
        <f>IF(AP346="Yes",10,0)</f>
        <v/>
      </c>
      <c r="AR346" s="31" t="inlineStr">
        <is>
          <t>Higher One Time, Lower Annuity</t>
        </is>
      </c>
      <c r="AS346" s="31">
        <f>IF(AR346="Fully Annuity",10,IF(AR346="Higher Annuity, Lower One Time",5,IF(AR346="Higher One Time, Lower Annuity",3,0)))</f>
        <v/>
      </c>
      <c r="AT346" s="31" t="inlineStr">
        <is>
          <t>Good</t>
        </is>
      </c>
      <c r="AU346" s="31">
        <f>IF(AT346="Good",10,0)</f>
        <v/>
      </c>
      <c r="AV346" s="31" t="inlineStr">
        <is>
          <t>Yes for more than 2 years</t>
        </is>
      </c>
      <c r="AW346" s="31">
        <f>IF(AV346="Yes for more than 2 years",10,IF(AV346="Yes only for next 1 to 2 years",5,0))</f>
        <v/>
      </c>
      <c r="AX346" s="31" t="inlineStr">
        <is>
          <t>0 to 20</t>
        </is>
      </c>
      <c r="AY346" s="31">
        <f>IF(AX346="Above 40",20,IF(AX346="20 to 40",10,IF(AX346="0 to 20",-5,0)))</f>
        <v/>
      </c>
      <c r="AZ346" s="31" t="inlineStr">
        <is>
          <t>Between 50 to 75</t>
        </is>
      </c>
      <c r="BA346" s="31">
        <f>IF(AZ346="Between 50 to 75",10,IF(AZ346="Above 75",0,0))</f>
        <v/>
      </c>
      <c r="BB346" s="31" t="inlineStr">
        <is>
          <t>Stage 2</t>
        </is>
      </c>
      <c r="BC346" s="31">
        <f>IF(BB346="Stage 2",20,IF(BB346="Stage 1",0,IF(BB346="Stage 3",5,IF(BB346="Stage 4",-5,0))))</f>
        <v/>
      </c>
      <c r="BD346" s="31" t="inlineStr">
        <is>
          <t>Positive Trend</t>
        </is>
      </c>
      <c r="BE346" s="31">
        <f>IF(BD346="Positive Trend",20,IF(BD346="Negative Trend",-10,0))</f>
        <v/>
      </c>
      <c r="BF346" s="31" t="inlineStr">
        <is>
          <t>Uptrend</t>
        </is>
      </c>
      <c r="BG346" s="31">
        <f>IF(BF346="Uptrend",10,IF(BF346="Sideways",5,0))</f>
        <v/>
      </c>
      <c r="BH346" s="31" t="inlineStr">
        <is>
          <t>Uptrend</t>
        </is>
      </c>
      <c r="BI346" s="31">
        <f>IF(BH346="Uptrend",10,IF(BH346="Sideways",5,0))</f>
        <v/>
      </c>
      <c r="BJ346" s="31" t="inlineStr">
        <is>
          <t>Close to 52 week high or retracement</t>
        </is>
      </c>
      <c r="BK346" s="31">
        <f>IF(BJ346="Overhead supply in last 2 years in last 2 years",-5,IF(BJ346="Close to 52 week high or retracement",5,IF(BJ346="Blue sky scenario",10,IF(BJ346="Long term Downtrend",-10,0))))</f>
        <v/>
      </c>
      <c r="BL346" s="31" t="inlineStr">
        <is>
          <t>Yes</t>
        </is>
      </c>
      <c r="BM346" s="31">
        <f>IF(BL346="Yes",10,0)</f>
        <v/>
      </c>
      <c r="BN346" s="31" t="inlineStr">
        <is>
          <t>More than 20%</t>
        </is>
      </c>
      <c r="BO346" s="31">
        <f>IF(BN346="More than 20%",10,IF(BN346="Between 12 to 20%",5,IF(BN346="Less than 12%",0,0)))</f>
        <v/>
      </c>
      <c r="BP346" s="31" t="inlineStr">
        <is>
          <t>No</t>
        </is>
      </c>
      <c r="BQ346" s="31">
        <f>IF(BP346="No",10,0)</f>
        <v/>
      </c>
      <c r="BR346" s="31" t="inlineStr">
        <is>
          <t>Yes</t>
        </is>
      </c>
      <c r="BS346" s="31">
        <f>IF(BR346="NO",5,0)</f>
        <v/>
      </c>
      <c r="BT346" s="31" t="inlineStr">
        <is>
          <t>Between 1.5 to 2</t>
        </is>
      </c>
      <c r="BU346" s="31">
        <f>IF(BT346="Above 2",0,IF(BT346="Between 1.5 to 2",5,IF(BT346="Less than 1.5",10,0)))</f>
        <v/>
      </c>
      <c r="BV346" s="31" t="inlineStr">
        <is>
          <t>Less than 50% and Borrowings are increasing</t>
        </is>
      </c>
      <c r="BW346" s="31">
        <f>IF(BV346="Above 70%",10,IF(BV346="Between 50% to 70%",5,IF(BV346="Less than 50%",0,IF(BV346="Negative",-10,IF(BV346="Less than 50% and Borrowings are increasing",-5,0)))))</f>
        <v/>
      </c>
      <c r="BX346" s="31" t="inlineStr">
        <is>
          <t>More than 1.2</t>
        </is>
      </c>
      <c r="BY346" s="31">
        <f>IF(BX346="More than 1.2",-10,IF(BX346="Between 0.7 to 1.2",0,IF(BX346="Less than 0.7",10,0)))</f>
        <v/>
      </c>
      <c r="BZ346" s="31" t="inlineStr">
        <is>
          <t>No</t>
        </is>
      </c>
      <c r="CA346" s="31">
        <f>IF(BZ346="Yes",-10,0)</f>
        <v/>
      </c>
      <c r="CB346" s="31" t="inlineStr">
        <is>
          <t>Less than 15%</t>
        </is>
      </c>
      <c r="CC346" s="31">
        <f>IF(CB346="More than 15%",-10,IF(CB346="Less than 15%",10,0))</f>
        <v/>
      </c>
      <c r="CD346" s="31" t="inlineStr">
        <is>
          <t>No</t>
        </is>
      </c>
      <c r="CE346" s="31">
        <f>IF(CD346="Yes, more than 10%",-10,IF(CD346="No",10,0))</f>
        <v/>
      </c>
    </row>
    <row r="347">
      <c r="A347" s="31">
        <f>IF(B347=0,"",RANK(B347,$B$2:$B$379,0))</f>
        <v/>
      </c>
      <c r="B347" s="32">
        <f>SUM(N347,Y347,AA347,AC347,AE347,AG347,AI347,AK347,AM347,AO347,AQ347,AS347,AU347,AW347,AY347,BA347,BC347,BE347,BG347,BI347,BK347,BM347,BO347,BQ347,BS347,BU347,BW347,BY347,CA347,CC347,CE347)</f>
        <v/>
      </c>
      <c r="C347" s="33" t="inlineStr">
        <is>
          <t>JBMA</t>
        </is>
      </c>
      <c r="D347" s="33" t="inlineStr">
        <is>
          <t>Jbm Auto Limited</t>
        </is>
      </c>
      <c r="E347" s="31" t="inlineStr">
        <is>
          <t>auto</t>
        </is>
      </c>
      <c r="F347" s="31" t="inlineStr">
        <is>
          <t>auto ancillaries</t>
        </is>
      </c>
      <c r="G347" s="31" t="inlineStr">
        <is>
          <t>midcap</t>
        </is>
      </c>
      <c r="H347" s="32" t="n">
        <v>16501.39</v>
      </c>
      <c r="I347" s="32" t="n">
        <v>702.7</v>
      </c>
      <c r="J347" s="32" t="n">
        <v>0.71</v>
      </c>
      <c r="K347" s="32" t="n">
        <v>971229</v>
      </c>
      <c r="L347" s="31" t="n">
        <v>25</v>
      </c>
      <c r="M347" s="31" t="inlineStr">
        <is>
          <t>Underperforming</t>
        </is>
      </c>
      <c r="N347" s="32">
        <f>IF(M347="Underperforming",-5,IF(L347&gt;=95,15,IF(L347&gt;=90,10,IF(L347&gt;=80,5,0))))</f>
        <v/>
      </c>
      <c r="O347" s="32" t="n">
        <v>60.8</v>
      </c>
      <c r="P347" s="32" t="n">
        <v>20.68</v>
      </c>
      <c r="Q347" s="32" t="n">
        <v>560.64</v>
      </c>
      <c r="R347" s="31" t="inlineStr">
        <is>
          <t>Near 52W High Breakout</t>
        </is>
      </c>
      <c r="S347" s="31" t="inlineStr">
        <is>
          <t>Nifty Auto</t>
        </is>
      </c>
      <c r="T347" s="32" t="n">
        <v>11.69</v>
      </c>
      <c r="U347" s="32" t="n">
        <v>8.83</v>
      </c>
      <c r="V347" s="32" t="n">
        <v>-2.56</v>
      </c>
      <c r="W347" s="32" t="n">
        <v>7.57</v>
      </c>
      <c r="X347" s="31" t="inlineStr">
        <is>
          <t>Growing Industry</t>
        </is>
      </c>
      <c r="Y347" s="31">
        <f>IF(X347="Growing Industry",10,IF(X347="Cyclical in an Upturn",5,0))</f>
        <v/>
      </c>
      <c r="Z347" s="31" t="inlineStr">
        <is>
          <t>Too Many Players with High ROCE</t>
        </is>
      </c>
      <c r="AA347" s="31">
        <f>IF(Z347="Monopoly",10,IF(Z347="Oligopoly",5,IF(Z347="Duopoly that cooperate",10,IF(Z347="Duopoly that compete",5,IF(Z347="Too many players with High ROCE",5,0)))))</f>
        <v/>
      </c>
      <c r="AB347" s="31" t="inlineStr">
        <is>
          <t>No</t>
        </is>
      </c>
      <c r="AC347" s="31">
        <f>IF(AB347="No",5,0)</f>
        <v/>
      </c>
      <c r="AD347" s="31" t="inlineStr">
        <is>
          <t>Tailwind</t>
        </is>
      </c>
      <c r="AE347" s="31">
        <f>IF(AD347="Tailwind",10,0)</f>
        <v/>
      </c>
      <c r="AF347" s="31" t="inlineStr">
        <is>
          <t>Structural (10 Years Consistency)</t>
        </is>
      </c>
      <c r="AG347" s="31">
        <f>IF(AF347="Structural (10 Years Consistency)",10,IF(AF347="Shallow Cyclical (2 to 3 years growth)",5,0))</f>
        <v/>
      </c>
      <c r="AH347" s="31" t="inlineStr">
        <is>
          <t>No</t>
        </is>
      </c>
      <c r="AI347" s="31">
        <f>IF(AH347="Yes due to Product Mix change or Operating Leverage",10,IF(AH347="Yes, these are peak margins",-5,IF(AH347="No",5,0)))</f>
        <v/>
      </c>
      <c r="AJ347" s="31" t="inlineStr">
        <is>
          <t>Stable</t>
        </is>
      </c>
      <c r="AK347" s="31">
        <f>IF(AJ347="Stable",10,0)</f>
        <v/>
      </c>
      <c r="AL347" s="31" t="inlineStr">
        <is>
          <t>Yes</t>
        </is>
      </c>
      <c r="AM347" s="31">
        <f>IF(AL347="Yes",10,0)</f>
        <v/>
      </c>
      <c r="AN347" s="31" t="inlineStr">
        <is>
          <t>B2B</t>
        </is>
      </c>
      <c r="AO347" s="31">
        <f>IF(AN347="B2C",10,IF(AN347="B2B",5,0))</f>
        <v/>
      </c>
      <c r="AP347" s="31" t="inlineStr">
        <is>
          <t>Yes</t>
        </is>
      </c>
      <c r="AQ347" s="31">
        <f>IF(AP347="Yes",10,0)</f>
        <v/>
      </c>
      <c r="AR347" s="31" t="inlineStr">
        <is>
          <t>Higher One Time, Lower Annuity</t>
        </is>
      </c>
      <c r="AS347" s="31">
        <f>IF(AR347="Fully Annuity",10,IF(AR347="Higher Annuity, Lower One Time",5,IF(AR347="Higher One Time, Lower Annuity",3,0)))</f>
        <v/>
      </c>
      <c r="AT347" s="31" t="inlineStr">
        <is>
          <t>Good</t>
        </is>
      </c>
      <c r="AU347" s="31">
        <f>IF(AT347="Good",10,0)</f>
        <v/>
      </c>
      <c r="AV347" s="31" t="inlineStr">
        <is>
          <t>Yes for more than 2 years</t>
        </is>
      </c>
      <c r="AW347" s="31">
        <f>IF(AV347="Yes for more than 2 years",10,IF(AV347="Yes only for next 1 to 2 years",5,0))</f>
        <v/>
      </c>
      <c r="AX347" s="31" t="inlineStr">
        <is>
          <t>20 to 40</t>
        </is>
      </c>
      <c r="AY347" s="31">
        <f>IF(AX347="Above 40",20,IF(AX347="20 to 40",10,IF(AX347="0 to 20",-5,0)))</f>
        <v/>
      </c>
      <c r="AZ347" s="31" t="inlineStr">
        <is>
          <t>Between 50 to 75</t>
        </is>
      </c>
      <c r="BA347" s="31">
        <f>IF(AZ347="Between 50 to 75",10,IF(AZ347="Above 75",0,0))</f>
        <v/>
      </c>
      <c r="BB347" s="31" t="inlineStr">
        <is>
          <t>Stage 2</t>
        </is>
      </c>
      <c r="BC347" s="31">
        <f>IF(BB347="Stage 2",20,IF(BB347="Stage 1",0,IF(BB347="Stage 3",5,IF(BB347="Stage 4",-5,0))))</f>
        <v/>
      </c>
      <c r="BD347" s="31" t="inlineStr">
        <is>
          <t>Positive Trend</t>
        </is>
      </c>
      <c r="BE347" s="31">
        <f>IF(BD347="Positive Trend",20,IF(BD347="Negative Trend",-10,0))</f>
        <v/>
      </c>
      <c r="BF347" s="31" t="inlineStr">
        <is>
          <t>Uptrend</t>
        </is>
      </c>
      <c r="BG347" s="31">
        <f>IF(BF347="Uptrend",10,IF(BF347="Sideways",5,0))</f>
        <v/>
      </c>
      <c r="BH347" s="31" t="inlineStr">
        <is>
          <t>Uptrend</t>
        </is>
      </c>
      <c r="BI347" s="31">
        <f>IF(BH347="Uptrend",10,IF(BH347="Sideways",5,0))</f>
        <v/>
      </c>
      <c r="BJ347" s="31" t="inlineStr">
        <is>
          <t>Close to 52 week high or retracement</t>
        </is>
      </c>
      <c r="BK347" s="31">
        <f>IF(BJ347="Overhead supply in last 2 years in last 2 years",-5,IF(BJ347="Close to 52 week high or retracement",5,IF(BJ347="Blue sky scenario",10,IF(BJ347="Long term Downtrend",-10,0))))</f>
        <v/>
      </c>
      <c r="BL347" s="31" t="inlineStr">
        <is>
          <t>Yes</t>
        </is>
      </c>
      <c r="BM347" s="31">
        <f>IF(BL347="Yes",10,0)</f>
        <v/>
      </c>
      <c r="BN347" s="31" t="inlineStr">
        <is>
          <t>Less than 12%</t>
        </is>
      </c>
      <c r="BO347" s="31">
        <f>IF(BN347="More than 20%",10,IF(BN347="Between 12 to 20%",5,IF(BN347="Less than 12%",0,0)))</f>
        <v/>
      </c>
      <c r="BP347" s="31" t="inlineStr">
        <is>
          <t>No</t>
        </is>
      </c>
      <c r="BQ347" s="31">
        <f>IF(BP347="No",10,0)</f>
        <v/>
      </c>
      <c r="BR347" s="31" t="inlineStr">
        <is>
          <t>Yes</t>
        </is>
      </c>
      <c r="BS347" s="31">
        <f>IF(BR347="NO",5,0)</f>
        <v/>
      </c>
      <c r="BT347" s="31" t="inlineStr">
        <is>
          <t>Above 2</t>
        </is>
      </c>
      <c r="BU347" s="31">
        <f>IF(BT347="Above 2",0,IF(BT347="Between 1.5 to 2",5,IF(BT347="Less than 1.5",10,0)))</f>
        <v/>
      </c>
      <c r="BV347" s="31" t="inlineStr">
        <is>
          <t>Negative</t>
        </is>
      </c>
      <c r="BW347" s="31">
        <f>IF(BV347="Above 70%",10,IF(BV347="Between 50% to 70%",5,IF(BV347="Less than 50%",0,IF(BV347="Negative",-10,IF(BV347="Less than 50% and Borrowings are increasing",-5,0)))))</f>
        <v/>
      </c>
      <c r="BX347" s="31" t="inlineStr">
        <is>
          <t>More than 1.2</t>
        </is>
      </c>
      <c r="BY347" s="31">
        <f>IF(BX347="More than 1.2",-10,IF(BX347="Between 0.7 to 1.2",0,IF(BX347="Less than 0.7",10,0)))</f>
        <v/>
      </c>
      <c r="BZ347" s="31" t="inlineStr">
        <is>
          <t>No</t>
        </is>
      </c>
      <c r="CA347" s="31">
        <f>IF(BZ347="Yes",-10,0)</f>
        <v/>
      </c>
      <c r="CB347" s="31" t="inlineStr">
        <is>
          <t>Less than 15%</t>
        </is>
      </c>
      <c r="CC347" s="31">
        <f>IF(CB347="More than 15%",-10,IF(CB347="Less than 15%",10,0))</f>
        <v/>
      </c>
      <c r="CD347" s="31" t="inlineStr">
        <is>
          <t>No</t>
        </is>
      </c>
      <c r="CE347" s="31">
        <f>IF(CD347="Yes, more than 10%",-10,IF(CD347="No",10,0))</f>
        <v/>
      </c>
    </row>
    <row r="348">
      <c r="A348" s="31">
        <f>IF(B348=0,"",RANK(B348,$B$2:$B$379,0))</f>
        <v/>
      </c>
      <c r="B348" s="32">
        <f>SUM(N348,Y348,AA348,AC348,AE348,AG348,AI348,AK348,AM348,AO348,AQ348,AS348,AU348,AW348,AY348,BA348,BC348,BE348,BG348,BI348,BK348,BM348,BO348,BQ348,BS348,BU348,BW348,BY348,CA348,CC348,CE348)</f>
        <v/>
      </c>
      <c r="C348" s="33" t="inlineStr">
        <is>
          <t>GAIL</t>
        </is>
      </c>
      <c r="D348" s="33" t="inlineStr">
        <is>
          <t>Gail (india) Limited</t>
        </is>
      </c>
      <c r="E348" s="31" t="inlineStr">
        <is>
          <t>energy</t>
        </is>
      </c>
      <c r="F348" s="31" t="inlineStr">
        <is>
          <t>miscellaneous</t>
        </is>
      </c>
      <c r="G348" s="31" t="inlineStr">
        <is>
          <t>largecap</t>
        </is>
      </c>
      <c r="H348" s="32" t="n">
        <v>114051.68</v>
      </c>
      <c r="I348" s="32" t="n">
        <v>174.5</v>
      </c>
      <c r="J348" s="32" t="n">
        <v>0.6</v>
      </c>
      <c r="K348" s="32" t="n">
        <v>4990189</v>
      </c>
      <c r="L348" s="31" t="n">
        <v>11</v>
      </c>
      <c r="M348" s="31" t="inlineStr">
        <is>
          <t>Underperforming</t>
        </is>
      </c>
      <c r="N348" s="32">
        <f>IF(M348="Underperforming",-5,IF(L348&gt;=95,15,IF(L348&gt;=90,10,IF(L348&gt;=80,5,0))))</f>
        <v/>
      </c>
      <c r="O348" s="32" t="n">
        <v>59.97</v>
      </c>
      <c r="P348" s="32" t="n">
        <v>9.4</v>
      </c>
      <c r="Q348" s="32" t="n">
        <v>148.98</v>
      </c>
      <c r="R348" s="31" t="inlineStr">
        <is>
          <t>Near 52W High Breakout</t>
        </is>
      </c>
      <c r="S348" s="31" t="inlineStr">
        <is>
          <t>Nifty Energy</t>
        </is>
      </c>
      <c r="T348" s="32" t="n">
        <v>8.92</v>
      </c>
      <c r="U348" s="32" t="n">
        <v>-6.43</v>
      </c>
      <c r="V348" s="32" t="n">
        <v>-14.09</v>
      </c>
      <c r="W348" s="32" t="n">
        <v>4.14</v>
      </c>
      <c r="X348" s="31" t="inlineStr">
        <is>
          <t>Cyclical in an Upturn</t>
        </is>
      </c>
      <c r="Y348" s="31">
        <f>IF(X348="Growing Industry",10,IF(X348="Cyclical in an Upturn",5,0))</f>
        <v/>
      </c>
      <c r="Z348" s="31" t="inlineStr">
        <is>
          <t>Oligopoly</t>
        </is>
      </c>
      <c r="AA348" s="31">
        <f>IF(Z348="Monopoly",10,IF(Z348="Oligopoly",5,IF(Z348="Duopoly that cooperate",10,IF(Z348="Duopoly that compete",5,IF(Z348="Too many players with High ROCE",5,0)))))</f>
        <v/>
      </c>
      <c r="AB348" s="31" t="inlineStr">
        <is>
          <t>Yes</t>
        </is>
      </c>
      <c r="AC348" s="31">
        <f>IF(AB348="No",5,0)</f>
        <v/>
      </c>
      <c r="AD348" s="31" t="inlineStr">
        <is>
          <t>Tailwind</t>
        </is>
      </c>
      <c r="AE348" s="31">
        <f>IF(AD348="Tailwind",10,0)</f>
        <v/>
      </c>
      <c r="AF348" s="31" t="inlineStr">
        <is>
          <t>Cyclical</t>
        </is>
      </c>
      <c r="AG348" s="31">
        <f>IF(AF348="Structural (10 Years Consistency)",10,IF(AF348="Shallow Cyclical (2 to 3 years growth)",5,0))</f>
        <v/>
      </c>
      <c r="AH348" s="31" t="inlineStr">
        <is>
          <t>No</t>
        </is>
      </c>
      <c r="AI348" s="31">
        <f>IF(AH348="Yes due to Product Mix change or Operating Leverage",10,IF(AH348="Yes, these are peak margins",-5,IF(AH348="No",5,0)))</f>
        <v/>
      </c>
      <c r="AJ348" s="31" t="inlineStr">
        <is>
          <t>Volatile</t>
        </is>
      </c>
      <c r="AK348" s="31">
        <f>IF(AJ348="Stable",10,0)</f>
        <v/>
      </c>
      <c r="AL348" s="31" t="inlineStr">
        <is>
          <t>Yes</t>
        </is>
      </c>
      <c r="AM348" s="31">
        <f>IF(AL348="Yes",10,0)</f>
        <v/>
      </c>
      <c r="AN348" s="31" t="inlineStr">
        <is>
          <t>B2B</t>
        </is>
      </c>
      <c r="AO348" s="31">
        <f>IF(AN348="B2C",10,IF(AN348="B2B",5,0))</f>
        <v/>
      </c>
      <c r="AP348" s="31" t="inlineStr">
        <is>
          <t>Yes</t>
        </is>
      </c>
      <c r="AQ348" s="31">
        <f>IF(AP348="Yes",10,0)</f>
        <v/>
      </c>
      <c r="AR348" s="31" t="inlineStr">
        <is>
          <t>Higher One Time, Lower Annuity</t>
        </is>
      </c>
      <c r="AS348" s="31">
        <f>IF(AR348="Fully Annuity",10,IF(AR348="Higher Annuity, Lower One Time",5,IF(AR348="Higher One Time, Lower Annuity",3,0)))</f>
        <v/>
      </c>
      <c r="AT348" s="31" t="inlineStr">
        <is>
          <t>Good</t>
        </is>
      </c>
      <c r="AU348" s="31">
        <f>IF(AT348="Good",10,0)</f>
        <v/>
      </c>
      <c r="AV348" s="31" t="inlineStr">
        <is>
          <t>Yes for more than 2 years</t>
        </is>
      </c>
      <c r="AW348" s="31">
        <f>IF(AV348="Yes for more than 2 years",10,IF(AV348="Yes only for next 1 to 2 years",5,0))</f>
        <v/>
      </c>
      <c r="AX348" s="31" t="inlineStr">
        <is>
          <t>0 to 20</t>
        </is>
      </c>
      <c r="AY348" s="31">
        <f>IF(AX348="Above 40",20,IF(AX348="20 to 40",10,IF(AX348="0 to 20",-5,0)))</f>
        <v/>
      </c>
      <c r="AZ348" s="31" t="inlineStr">
        <is>
          <t>Between 50 to 75</t>
        </is>
      </c>
      <c r="BA348" s="31">
        <f>IF(AZ348="Between 50 to 75",10,IF(AZ348="Above 75",0,0))</f>
        <v/>
      </c>
      <c r="BB348" s="31" t="inlineStr">
        <is>
          <t>Stage 2</t>
        </is>
      </c>
      <c r="BC348" s="31">
        <f>IF(BB348="Stage 2",20,IF(BB348="Stage 1",0,IF(BB348="Stage 3",5,IF(BB348="Stage 4",-5,0))))</f>
        <v/>
      </c>
      <c r="BD348" s="31" t="inlineStr">
        <is>
          <t>Positive Trend</t>
        </is>
      </c>
      <c r="BE348" s="31">
        <f>IF(BD348="Positive Trend",20,IF(BD348="Negative Trend",-10,0))</f>
        <v/>
      </c>
      <c r="BF348" s="31" t="inlineStr">
        <is>
          <t>Uptrend</t>
        </is>
      </c>
      <c r="BG348" s="31">
        <f>IF(BF348="Uptrend",10,IF(BF348="Sideways",5,0))</f>
        <v/>
      </c>
      <c r="BH348" s="31" t="inlineStr">
        <is>
          <t>Uptrend</t>
        </is>
      </c>
      <c r="BI348" s="31">
        <f>IF(BH348="Uptrend",10,IF(BH348="Sideways",5,0))</f>
        <v/>
      </c>
      <c r="BJ348" s="31" t="inlineStr">
        <is>
          <t>Close to 52 week high or retracement</t>
        </is>
      </c>
      <c r="BK348" s="31">
        <f>IF(BJ348="Overhead supply in last 2 years in last 2 years",-5,IF(BJ348="Close to 52 week high or retracement",5,IF(BJ348="Blue sky scenario",10,IF(BJ348="Long term Downtrend",-10,0))))</f>
        <v/>
      </c>
      <c r="BL348" s="31" t="inlineStr">
        <is>
          <t>Yes</t>
        </is>
      </c>
      <c r="BM348" s="31">
        <f>IF(BL348="Yes",10,0)</f>
        <v/>
      </c>
      <c r="BN348" s="31" t="inlineStr">
        <is>
          <t>Less than 12%</t>
        </is>
      </c>
      <c r="BO348" s="31">
        <f>IF(BN348="More than 20%",10,IF(BN348="Between 12 to 20%",5,IF(BN348="Less than 12%",0,0)))</f>
        <v/>
      </c>
      <c r="BP348" s="31" t="inlineStr">
        <is>
          <t>No</t>
        </is>
      </c>
      <c r="BQ348" s="31">
        <f>IF(BP348="No",10,0)</f>
        <v/>
      </c>
      <c r="BR348" s="31" t="inlineStr">
        <is>
          <t>No</t>
        </is>
      </c>
      <c r="BS348" s="31">
        <f>IF(BR348="NO",5,0)</f>
        <v/>
      </c>
      <c r="BT348" s="31" t="inlineStr">
        <is>
          <t>Above 2</t>
        </is>
      </c>
      <c r="BU348" s="31">
        <f>IF(BT348="Above 2",0,IF(BT348="Between 1.5 to 2",5,IF(BT348="Less than 1.5",10,0)))</f>
        <v/>
      </c>
      <c r="BV348" s="31" t="inlineStr">
        <is>
          <t>Above 70%</t>
        </is>
      </c>
      <c r="BW348" s="31">
        <f>IF(BV348="Above 70%",10,IF(BV348="Between 50% to 70%",5,IF(BV348="Less than 50%",0,IF(BV348="Negative",-10,IF(BV348="Less than 50% and Borrowings are increasing",-5,0)))))</f>
        <v/>
      </c>
      <c r="BX348" s="31" t="inlineStr">
        <is>
          <t>Less than 0.7</t>
        </is>
      </c>
      <c r="BY348" s="31">
        <f>IF(BX348="More than 1.2",-10,IF(BX348="Between 0.7 to 1.2",0,IF(BX348="Less than 0.7",10,0)))</f>
        <v/>
      </c>
      <c r="BZ348" s="31" t="inlineStr">
        <is>
          <t>No</t>
        </is>
      </c>
      <c r="CA348" s="31">
        <f>IF(BZ348="Yes",-10,0)</f>
        <v/>
      </c>
      <c r="CB348" s="31" t="inlineStr">
        <is>
          <t>Less than 15%</t>
        </is>
      </c>
      <c r="CC348" s="31">
        <f>IF(CB348="More than 15%",-10,IF(CB348="Less than 15%",10,0))</f>
        <v/>
      </c>
      <c r="CD348" s="31" t="inlineStr">
        <is>
          <t>No</t>
        </is>
      </c>
      <c r="CE348" s="31">
        <f>IF(CD348="Yes, more than 10%",-10,IF(CD348="No",10,0))</f>
        <v/>
      </c>
    </row>
    <row r="349">
      <c r="A349" s="31">
        <f>IF(B349=0,"",RANK(B349,$B$2:$B$379,0))</f>
        <v/>
      </c>
      <c r="B349" s="32">
        <f>SUM(N349,Y349,AA349,AC349,AE349,AG349,AI349,AK349,AM349,AO349,AQ349,AS349,AU349,AW349,AY349,BA349,BC349,BE349,BG349,BI349,BK349,BM349,BO349,BQ349,BS349,BU349,BW349,BY349,CA349,CC349,CE349)</f>
        <v/>
      </c>
      <c r="C349" s="31" t="inlineStr">
        <is>
          <t>SIMPLEXINF</t>
        </is>
      </c>
      <c r="D349" s="31" t="inlineStr">
        <is>
          <t>Simplex Infrastructures Limited</t>
        </is>
      </c>
      <c r="E349" s="31" t="inlineStr">
        <is>
          <t>realty</t>
        </is>
      </c>
      <c r="F349" s="31" t="inlineStr">
        <is>
          <t>construction</t>
        </is>
      </c>
      <c r="G349" s="31" t="inlineStr">
        <is>
          <t>smallcap</t>
        </is>
      </c>
      <c r="H349" s="32" t="n">
        <v>2101.56</v>
      </c>
      <c r="I349" s="32" t="n">
        <v>265.9</v>
      </c>
      <c r="J349" s="32" t="n">
        <v>0.08</v>
      </c>
      <c r="K349" s="32" t="n">
        <v>48434</v>
      </c>
      <c r="L349" s="31" t="n">
        <v>71</v>
      </c>
      <c r="M349" s="31" t="inlineStr">
        <is>
          <t>Outperforming</t>
        </is>
      </c>
      <c r="N349" s="32">
        <f>IF(M349="Underperforming",-5,IF(L349&gt;=95,15,IF(L349&gt;=90,10,IF(L349&gt;=80,5,0))))</f>
        <v/>
      </c>
      <c r="O349" s="32" t="n">
        <v>57.38</v>
      </c>
      <c r="P349" s="32" t="n">
        <v>16.53</v>
      </c>
      <c r="Q349" s="32" t="n">
        <v>184.47</v>
      </c>
      <c r="R349" s="31" t="inlineStr">
        <is>
          <t>Earnings / Momentum Support</t>
        </is>
      </c>
      <c r="S349" s="31" t="inlineStr">
        <is>
          <t>Nifty Realty</t>
        </is>
      </c>
      <c r="T349" s="32" t="n">
        <v>-11.6</v>
      </c>
      <c r="U349" s="32" t="n">
        <v>2.78</v>
      </c>
      <c r="V349" s="32" t="n">
        <v>16.26</v>
      </c>
      <c r="W349" s="32" t="n">
        <v>20.23</v>
      </c>
      <c r="X349" s="31" t="inlineStr">
        <is>
          <t>Growing Industry</t>
        </is>
      </c>
      <c r="Y349" s="31">
        <f>IF(X349="Growing Industry",10,IF(X349="Cyclical in an Upturn",5,0))</f>
        <v/>
      </c>
      <c r="Z349" s="31" t="inlineStr">
        <is>
          <t>Too Many Players with High ROCE</t>
        </is>
      </c>
      <c r="AA349" s="31">
        <f>IF(Z349="Monopoly",10,IF(Z349="Oligopoly",5,IF(Z349="Duopoly that cooperate",10,IF(Z349="Duopoly that compete",5,IF(Z349="Too many players with High ROCE",5,0)))))</f>
        <v/>
      </c>
      <c r="AB349" s="31" t="inlineStr">
        <is>
          <t>No</t>
        </is>
      </c>
      <c r="AC349" s="31">
        <f>IF(AB349="No",5,0)</f>
        <v/>
      </c>
      <c r="AD349" s="31" t="inlineStr">
        <is>
          <t>Tailwind</t>
        </is>
      </c>
      <c r="AE349" s="31">
        <f>IF(AD349="Tailwind",10,0)</f>
        <v/>
      </c>
      <c r="AF349" s="31" t="inlineStr">
        <is>
          <t>Structural (10 Years Consistency)</t>
        </is>
      </c>
      <c r="AG349" s="31">
        <f>IF(AF349="Structural (10 Years Consistency)",10,IF(AF349="Shallow Cyclical (2 to 3 years growth)",5,0))</f>
        <v/>
      </c>
      <c r="AH349" s="31" t="inlineStr">
        <is>
          <t>No</t>
        </is>
      </c>
      <c r="AI349" s="31">
        <f>IF(AH349="Yes due to Product Mix change or Operating Leverage",10,IF(AH349="Yes, these are peak margins",-5,IF(AH349="No",5,0)))</f>
        <v/>
      </c>
      <c r="AJ349" s="31" t="inlineStr">
        <is>
          <t>Stable</t>
        </is>
      </c>
      <c r="AK349" s="31">
        <f>IF(AJ349="Stable",10,0)</f>
        <v/>
      </c>
      <c r="AL349" s="31" t="inlineStr">
        <is>
          <t>Yes</t>
        </is>
      </c>
      <c r="AM349" s="31">
        <f>IF(AL349="Yes",10,0)</f>
        <v/>
      </c>
      <c r="AN349" s="31" t="inlineStr">
        <is>
          <t>B2B</t>
        </is>
      </c>
      <c r="AO349" s="31">
        <f>IF(AN349="B2C",10,IF(AN349="B2B",5,0))</f>
        <v/>
      </c>
      <c r="AP349" s="31" t="inlineStr">
        <is>
          <t>No</t>
        </is>
      </c>
      <c r="AQ349" s="31">
        <f>IF(AP349="Yes",10,0)</f>
        <v/>
      </c>
      <c r="AR349" s="31" t="inlineStr">
        <is>
          <t>Higher One Time, Lower Annuity</t>
        </is>
      </c>
      <c r="AS349" s="31">
        <f>IF(AR349="Fully Annuity",10,IF(AR349="Higher Annuity, Lower One Time",5,IF(AR349="Higher One Time, Lower Annuity",3,0)))</f>
        <v/>
      </c>
      <c r="AT349" s="31" t="inlineStr">
        <is>
          <t>Good</t>
        </is>
      </c>
      <c r="AU349" s="31">
        <f>IF(AT349="Good",10,0)</f>
        <v/>
      </c>
      <c r="AV349" s="31" t="inlineStr">
        <is>
          <t>Yes for more than 2 years</t>
        </is>
      </c>
      <c r="AW349" s="31">
        <f>IF(AV349="Yes for more than 2 years",10,IF(AV349="Yes only for next 1 to 2 years",5,0))</f>
        <v/>
      </c>
      <c r="AX349" s="31" t="inlineStr">
        <is>
          <t>0 to 20</t>
        </is>
      </c>
      <c r="AY349" s="31">
        <f>IF(AX349="Above 40",20,IF(AX349="20 to 40",10,IF(AX349="0 to 20",-5,0)))</f>
        <v/>
      </c>
      <c r="AZ349" s="31" t="inlineStr">
        <is>
          <t>Between 50 to 75</t>
        </is>
      </c>
      <c r="BA349" s="31">
        <f>IF(AZ349="Between 50 to 75",10,IF(AZ349="Above 75",0,0))</f>
        <v/>
      </c>
      <c r="BB349" s="31" t="inlineStr">
        <is>
          <t>Stage 2</t>
        </is>
      </c>
      <c r="BC349" s="31">
        <f>IF(BB349="Stage 2",20,IF(BB349="Stage 1",0,IF(BB349="Stage 3",5,IF(BB349="Stage 4",-5,0))))</f>
        <v/>
      </c>
      <c r="BD349" s="31" t="inlineStr">
        <is>
          <t>Positive Trend</t>
        </is>
      </c>
      <c r="BE349" s="31">
        <f>IF(BD349="Positive Trend",20,IF(BD349="Negative Trend",-10,0))</f>
        <v/>
      </c>
      <c r="BF349" s="31" t="inlineStr">
        <is>
          <t>Uptrend</t>
        </is>
      </c>
      <c r="BG349" s="31">
        <f>IF(BF349="Uptrend",10,IF(BF349="Sideways",5,0))</f>
        <v/>
      </c>
      <c r="BH349" s="31" t="inlineStr">
        <is>
          <t>Uptrend</t>
        </is>
      </c>
      <c r="BI349" s="31">
        <f>IF(BH349="Uptrend",10,IF(BH349="Sideways",5,0))</f>
        <v/>
      </c>
      <c r="BJ349" s="31" t="inlineStr">
        <is>
          <t>Close to 52 week high or retracement</t>
        </is>
      </c>
      <c r="BK349" s="31">
        <f>IF(BJ349="Overhead supply in last 2 years in last 2 years",-5,IF(BJ349="Close to 52 week high or retracement",5,IF(BJ349="Blue sky scenario",10,IF(BJ349="Long term Downtrend",-10,0))))</f>
        <v/>
      </c>
      <c r="BL349" s="31" t="inlineStr">
        <is>
          <t>Yes</t>
        </is>
      </c>
      <c r="BM349" s="31">
        <f>IF(BL349="Yes",10,0)</f>
        <v/>
      </c>
      <c r="BN349" s="31" t="inlineStr">
        <is>
          <t>Less than 12%</t>
        </is>
      </c>
      <c r="BO349" s="31">
        <f>IF(BN349="More than 20%",10,IF(BN349="Between 12 to 20%",5,IF(BN349="Less than 12%",0,0)))</f>
        <v/>
      </c>
      <c r="BP349" s="31" t="inlineStr">
        <is>
          <t>No</t>
        </is>
      </c>
      <c r="BQ349" s="31">
        <f>IF(BP349="No",10,0)</f>
        <v/>
      </c>
      <c r="BR349" s="31" t="inlineStr">
        <is>
          <t>Yes</t>
        </is>
      </c>
      <c r="BS349" s="31">
        <f>IF(BR349="NO",5,0)</f>
        <v/>
      </c>
      <c r="BT349" s="31" t="inlineStr">
        <is>
          <t>Above 2</t>
        </is>
      </c>
      <c r="BU349" s="31">
        <f>IF(BT349="Above 2",0,IF(BT349="Between 1.5 to 2",5,IF(BT349="Less than 1.5",10,0)))</f>
        <v/>
      </c>
      <c r="BV349" s="31" t="inlineStr">
        <is>
          <t>Above 70%</t>
        </is>
      </c>
      <c r="BW349" s="31">
        <f>IF(BV349="Above 70%",10,IF(BV349="Between 50% to 70%",5,IF(BV349="Less than 50%",0,IF(BV349="Negative",-10,IF(BV349="Less than 50% and Borrowings are increasing",-5,0)))))</f>
        <v/>
      </c>
      <c r="BX349" s="31" t="inlineStr">
        <is>
          <t>More than 1.2</t>
        </is>
      </c>
      <c r="BY349" s="31">
        <f>IF(BX349="More than 1.2",-10,IF(BX349="Between 0.7 to 1.2",0,IF(BX349="Less than 0.7",10,0)))</f>
        <v/>
      </c>
      <c r="BZ349" s="31" t="inlineStr">
        <is>
          <t>No</t>
        </is>
      </c>
      <c r="CA349" s="31">
        <f>IF(BZ349="Yes",-10,0)</f>
        <v/>
      </c>
      <c r="CB349" s="31" t="inlineStr">
        <is>
          <t>Less than 15%</t>
        </is>
      </c>
      <c r="CC349" s="31">
        <f>IF(CB349="More than 15%",-10,IF(CB349="Less than 15%",10,0))</f>
        <v/>
      </c>
      <c r="CD349" s="31" t="inlineStr">
        <is>
          <t>No</t>
        </is>
      </c>
      <c r="CE349" s="31">
        <f>IF(CD349="Yes, more than 10%",-10,IF(CD349="No",10,0))</f>
        <v/>
      </c>
    </row>
    <row r="350">
      <c r="A350" s="31">
        <f>IF(B350=0,"",RANK(B350,$B$2:$B$379,0))</f>
        <v/>
      </c>
      <c r="B350" s="32">
        <f>SUM(N350,Y350,AA350,AC350,AE350,AG350,AI350,AK350,AM350,AO350,AQ350,AS350,AU350,AW350,AY350,BA350,BC350,BE350,BG350,BI350,BK350,BM350,BO350,BQ350,BS350,BU350,BW350,BY350,CA350,CC350,CE350)</f>
        <v/>
      </c>
      <c r="C350" s="31" t="inlineStr">
        <is>
          <t>NHPC</t>
        </is>
      </c>
      <c r="D350" s="31" t="inlineStr">
        <is>
          <t>Nhpc Limited</t>
        </is>
      </c>
      <c r="E350" s="31" t="inlineStr">
        <is>
          <t>power &amp; utilities</t>
        </is>
      </c>
      <c r="F350" s="31" t="inlineStr">
        <is>
          <t>power generation and supply</t>
        </is>
      </c>
      <c r="G350" s="31" t="inlineStr">
        <is>
          <t>largecap</t>
        </is>
      </c>
      <c r="H350" s="32" t="n">
        <v>81696.27</v>
      </c>
      <c r="I350" s="32" t="n">
        <v>79.56999999999999</v>
      </c>
      <c r="J350" s="32" t="n">
        <v>-2.16</v>
      </c>
      <c r="K350" s="32" t="n">
        <v>7502296</v>
      </c>
      <c r="L350" s="31" t="n">
        <v>1</v>
      </c>
      <c r="M350" s="31" t="inlineStr">
        <is>
          <t>Outperforming</t>
        </is>
      </c>
      <c r="N350" s="32">
        <f>IF(M350="Underperforming",-5,IF(L350&gt;=95,15,IF(L350&gt;=90,10,IF(L350&gt;=80,5,0))))</f>
        <v/>
      </c>
      <c r="O350" s="32" t="n">
        <v>52.9</v>
      </c>
      <c r="P350" s="32" t="n">
        <v>15.97</v>
      </c>
      <c r="Q350" s="32" t="n">
        <v>70.17</v>
      </c>
      <c r="R350" s="31" t="inlineStr">
        <is>
          <t>Earnings / Momentum Support</t>
        </is>
      </c>
      <c r="S350" s="31" t="inlineStr">
        <is>
          <t>Nifty IT</t>
        </is>
      </c>
      <c r="T350" s="32" t="n">
        <v>-34.2</v>
      </c>
      <c r="U350" s="32" t="n">
        <v>-4.17</v>
      </c>
      <c r="V350" s="32" t="n">
        <v>45.65</v>
      </c>
      <c r="W350" s="32" t="n">
        <v>0.4</v>
      </c>
      <c r="X350" s="31" t="inlineStr">
        <is>
          <t>Growing Industry</t>
        </is>
      </c>
      <c r="Y350" s="31">
        <f>IF(X350="Growing Industry",10,IF(X350="Cyclical in an Upturn",5,0))</f>
        <v/>
      </c>
      <c r="Z350" s="31" t="inlineStr">
        <is>
          <t>Too Many Players with High ROCE</t>
        </is>
      </c>
      <c r="AA350" s="31">
        <f>IF(Z350="Monopoly",10,IF(Z350="Oligopoly",5,IF(Z350="Duopoly that cooperate",10,IF(Z350="Duopoly that compete",5,IF(Z350="Too many players with High ROCE",5,0)))))</f>
        <v/>
      </c>
      <c r="AB350" s="31" t="inlineStr">
        <is>
          <t>No</t>
        </is>
      </c>
      <c r="AC350" s="31">
        <f>IF(AB350="No",5,0)</f>
        <v/>
      </c>
      <c r="AD350" s="31" t="inlineStr">
        <is>
          <t>Headwind</t>
        </is>
      </c>
      <c r="AE350" s="31">
        <f>IF(AD350="Tailwind",10,0)</f>
        <v/>
      </c>
      <c r="AF350" s="31" t="inlineStr">
        <is>
          <t>Structural (10 Years Consistency)</t>
        </is>
      </c>
      <c r="AG350" s="31">
        <f>IF(AF350="Structural (10 Years Consistency)",10,IF(AF350="Shallow Cyclical (2 to 3 years growth)",5,0))</f>
        <v/>
      </c>
      <c r="AH350" s="31" t="inlineStr">
        <is>
          <t>No</t>
        </is>
      </c>
      <c r="AI350" s="31">
        <f>IF(AH350="Yes due to Product Mix change or Operating Leverage",10,IF(AH350="Yes, these are peak margins",-5,IF(AH350="No",5,0)))</f>
        <v/>
      </c>
      <c r="AJ350" s="31" t="inlineStr">
        <is>
          <t>Stable</t>
        </is>
      </c>
      <c r="AK350" s="31">
        <f>IF(AJ350="Stable",10,0)</f>
        <v/>
      </c>
      <c r="AL350" s="31" t="inlineStr">
        <is>
          <t>Yes</t>
        </is>
      </c>
      <c r="AM350" s="31">
        <f>IF(AL350="Yes",10,0)</f>
        <v/>
      </c>
      <c r="AN350" s="31" t="inlineStr">
        <is>
          <t>B2B</t>
        </is>
      </c>
      <c r="AO350" s="31">
        <f>IF(AN350="B2C",10,IF(AN350="B2B",5,0))</f>
        <v/>
      </c>
      <c r="AP350" s="31" t="inlineStr">
        <is>
          <t>No</t>
        </is>
      </c>
      <c r="AQ350" s="31">
        <f>IF(AP350="Yes",10,0)</f>
        <v/>
      </c>
      <c r="AR350" s="31" t="inlineStr">
        <is>
          <t>Higher One Time, Lower Annuity</t>
        </is>
      </c>
      <c r="AS350" s="31">
        <f>IF(AR350="Fully Annuity",10,IF(AR350="Higher Annuity, Lower One Time",5,IF(AR350="Higher One Time, Lower Annuity",3,0)))</f>
        <v/>
      </c>
      <c r="AT350" s="31" t="inlineStr">
        <is>
          <t>Good</t>
        </is>
      </c>
      <c r="AU350" s="31">
        <f>IF(AT350="Good",10,0)</f>
        <v/>
      </c>
      <c r="AV350" s="31" t="inlineStr">
        <is>
          <t>Yes for more than 2 years</t>
        </is>
      </c>
      <c r="AW350" s="31">
        <f>IF(AV350="Yes for more than 2 years",10,IF(AV350="Yes only for next 1 to 2 years",5,0))</f>
        <v/>
      </c>
      <c r="AX350" s="31" t="inlineStr">
        <is>
          <t>0 to 20</t>
        </is>
      </c>
      <c r="AY350" s="31">
        <f>IF(AX350="Above 40",20,IF(AX350="20 to 40",10,IF(AX350="0 to 20",-5,0)))</f>
        <v/>
      </c>
      <c r="AZ350" s="31" t="inlineStr">
        <is>
          <t>Between 50 to 75</t>
        </is>
      </c>
      <c r="BA350" s="31">
        <f>IF(AZ350="Between 50 to 75",10,IF(AZ350="Above 75",0,0))</f>
        <v/>
      </c>
      <c r="BB350" s="31" t="inlineStr">
        <is>
          <t>Stage 1</t>
        </is>
      </c>
      <c r="BC350" s="31">
        <f>IF(BB350="Stage 2",20,IF(BB350="Stage 1",0,IF(BB350="Stage 3",5,IF(BB350="Stage 4",-5,0))))</f>
        <v/>
      </c>
      <c r="BD350" s="31" t="inlineStr">
        <is>
          <t>Positive Trend</t>
        </is>
      </c>
      <c r="BE350" s="31">
        <f>IF(BD350="Positive Trend",20,IF(BD350="Negative Trend",-10,0))</f>
        <v/>
      </c>
      <c r="BF350" s="31" t="inlineStr">
        <is>
          <t>Uptrend</t>
        </is>
      </c>
      <c r="BG350" s="31">
        <f>IF(BF350="Uptrend",10,IF(BF350="Sideways",5,0))</f>
        <v/>
      </c>
      <c r="BH350" s="31" t="inlineStr">
        <is>
          <t>Uptrend</t>
        </is>
      </c>
      <c r="BI350" s="31">
        <f>IF(BH350="Uptrend",10,IF(BH350="Sideways",5,0))</f>
        <v/>
      </c>
      <c r="BJ350" s="31" t="inlineStr">
        <is>
          <t>Close to 52 week high or retracement</t>
        </is>
      </c>
      <c r="BK350" s="31">
        <f>IF(BJ350="Overhead supply in last 2 years in last 2 years",-5,IF(BJ350="Close to 52 week high or retracement",5,IF(BJ350="Blue sky scenario",10,IF(BJ350="Long term Downtrend",-10,0))))</f>
        <v/>
      </c>
      <c r="BL350" s="31" t="inlineStr">
        <is>
          <t>Yes</t>
        </is>
      </c>
      <c r="BM350" s="31">
        <f>IF(BL350="Yes",10,0)</f>
        <v/>
      </c>
      <c r="BN350" s="31" t="inlineStr">
        <is>
          <t>More than 20%</t>
        </is>
      </c>
      <c r="BO350" s="31">
        <f>IF(BN350="More than 20%",10,IF(BN350="Between 12 to 20%",5,IF(BN350="Less than 12%",0,0)))</f>
        <v/>
      </c>
      <c r="BP350" s="31" t="inlineStr">
        <is>
          <t>No</t>
        </is>
      </c>
      <c r="BQ350" s="31">
        <f>IF(BP350="No",10,0)</f>
        <v/>
      </c>
      <c r="BR350" s="31" t="inlineStr">
        <is>
          <t>No</t>
        </is>
      </c>
      <c r="BS350" s="31">
        <f>IF(BR350="NO",5,0)</f>
        <v/>
      </c>
      <c r="BT350" s="31" t="inlineStr">
        <is>
          <t>Less than 1.5</t>
        </is>
      </c>
      <c r="BU350" s="31">
        <f>IF(BT350="Above 2",0,IF(BT350="Between 1.5 to 2",5,IF(BT350="Less than 1.5",10,0)))</f>
        <v/>
      </c>
      <c r="BV350" s="31" t="inlineStr">
        <is>
          <t>Between 50% to 70%</t>
        </is>
      </c>
      <c r="BW350" s="31">
        <f>IF(BV350="Above 70%",10,IF(BV350="Between 50% to 70%",5,IF(BV350="Less than 50%",0,IF(BV350="Negative",-10,IF(BV350="Less than 50% and Borrowings are increasing",-5,0)))))</f>
        <v/>
      </c>
      <c r="BX350" s="31" t="inlineStr">
        <is>
          <t>Between 0.7 to 1.2</t>
        </is>
      </c>
      <c r="BY350" s="31">
        <f>IF(BX350="More than 1.2",-10,IF(BX350="Between 0.7 to 1.2",0,IF(BX350="Less than 0.7",10,0)))</f>
        <v/>
      </c>
      <c r="BZ350" s="31" t="inlineStr">
        <is>
          <t>No</t>
        </is>
      </c>
      <c r="CA350" s="31">
        <f>IF(BZ350="Yes",-10,0)</f>
        <v/>
      </c>
      <c r="CB350" s="31" t="inlineStr">
        <is>
          <t>Less than 15%</t>
        </is>
      </c>
      <c r="CC350" s="31">
        <f>IF(CB350="More than 15%",-10,IF(CB350="Less than 15%",10,0))</f>
        <v/>
      </c>
      <c r="CD350" s="31" t="inlineStr">
        <is>
          <t>No</t>
        </is>
      </c>
      <c r="CE350" s="31">
        <f>IF(CD350="Yes, more than 10%",-10,IF(CD350="No",10,0))</f>
        <v/>
      </c>
    </row>
    <row r="351">
      <c r="A351" s="31">
        <f>IF(B351=0,"",RANK(B351,$B$2:$B$379,0))</f>
        <v/>
      </c>
      <c r="B351" s="32">
        <f>SUM(N351,Y351,AA351,AC351,AE351,AG351,AI351,AK351,AM351,AO351,AQ351,AS351,AU351,AW351,AY351,BA351,BC351,BE351,BG351,BI351,BK351,BM351,BO351,BQ351,BS351,BU351,BW351,BY351,CA351,CC351,CE351)</f>
        <v/>
      </c>
      <c r="C351" s="31" t="inlineStr">
        <is>
          <t>ALKEM</t>
        </is>
      </c>
      <c r="D351" s="31" t="inlineStr">
        <is>
          <t>Alkem Laboratories Limited</t>
        </is>
      </c>
      <c r="E351" s="31" t="inlineStr">
        <is>
          <t>healthcare</t>
        </is>
      </c>
      <c r="F351" s="31" t="inlineStr">
        <is>
          <t>pharmaceuticals - indian - bulk drugs &amp; formln</t>
        </is>
      </c>
      <c r="G351" s="31" t="inlineStr">
        <is>
          <t>largecap</t>
        </is>
      </c>
      <c r="H351" s="32" t="n">
        <v>66597.71000000001</v>
      </c>
      <c r="I351" s="32" t="n">
        <v>5567.5</v>
      </c>
      <c r="J351" s="32" t="n">
        <v>-0.04</v>
      </c>
      <c r="K351" s="32" t="n">
        <v>128296</v>
      </c>
      <c r="L351" s="31" t="n">
        <v>11</v>
      </c>
      <c r="M351" s="31" t="inlineStr">
        <is>
          <t>Outperforming</t>
        </is>
      </c>
      <c r="N351" s="32">
        <f>IF(M351="Underperforming",-5,IF(L351&gt;=95,15,IF(L351&gt;=90,10,IF(L351&gt;=80,5,0))))</f>
        <v/>
      </c>
      <c r="O351" s="32" t="n">
        <v>54.32</v>
      </c>
      <c r="P351" s="32" t="n">
        <v>14.19</v>
      </c>
      <c r="Q351" s="32" t="n">
        <v>4741.21</v>
      </c>
      <c r="R351" s="31" t="inlineStr">
        <is>
          <t>Near 52W High Breakout</t>
        </is>
      </c>
      <c r="S351" s="31" t="inlineStr">
        <is>
          <t>Nifty Pharma</t>
        </is>
      </c>
      <c r="T351" s="32" t="n">
        <v>12.5</v>
      </c>
      <c r="U351" s="32" t="n">
        <v>15.05</v>
      </c>
      <c r="V351" s="32" t="n">
        <v>2.27</v>
      </c>
      <c r="W351" s="32" t="n">
        <v>4.17</v>
      </c>
      <c r="X351" s="31" t="inlineStr">
        <is>
          <t>Growing Industry</t>
        </is>
      </c>
      <c r="Y351" s="31">
        <f>IF(X351="Growing Industry",10,IF(X351="Cyclical in an Upturn",5,0))</f>
        <v/>
      </c>
      <c r="Z351" s="31" t="inlineStr">
        <is>
          <t>Too Many Players with High ROCE</t>
        </is>
      </c>
      <c r="AA351" s="31">
        <f>IF(Z351="Monopoly",10,IF(Z351="Oligopoly",5,IF(Z351="Duopoly that cooperate",10,IF(Z351="Duopoly that compete",5,IF(Z351="Too many players with High ROCE",5,0)))))</f>
        <v/>
      </c>
      <c r="AB351" s="31" t="inlineStr">
        <is>
          <t>Yes</t>
        </is>
      </c>
      <c r="AC351" s="31">
        <f>IF(AB351="No",5,0)</f>
        <v/>
      </c>
      <c r="AD351" s="31" t="inlineStr">
        <is>
          <t>Headwind</t>
        </is>
      </c>
      <c r="AE351" s="31">
        <f>IF(AD351="Tailwind",10,0)</f>
        <v/>
      </c>
      <c r="AF351" s="31" t="inlineStr">
        <is>
          <t>Structural (10 Years Consistency)</t>
        </is>
      </c>
      <c r="AG351" s="31">
        <f>IF(AF351="Structural (10 Years Consistency)",10,IF(AF351="Shallow Cyclical (2 to 3 years growth)",5,0))</f>
        <v/>
      </c>
      <c r="AH351" s="31" t="inlineStr">
        <is>
          <t>No</t>
        </is>
      </c>
      <c r="AI351" s="31">
        <f>IF(AH351="Yes due to Product Mix change or Operating Leverage",10,IF(AH351="Yes, these are peak margins",-5,IF(AH351="No",5,0)))</f>
        <v/>
      </c>
      <c r="AJ351" s="31" t="inlineStr">
        <is>
          <t>Stable</t>
        </is>
      </c>
      <c r="AK351" s="31">
        <f>IF(AJ351="Stable",10,0)</f>
        <v/>
      </c>
      <c r="AL351" s="31" t="inlineStr">
        <is>
          <t>Yes</t>
        </is>
      </c>
      <c r="AM351" s="31">
        <f>IF(AL351="Yes",10,0)</f>
        <v/>
      </c>
      <c r="AN351" s="31" t="inlineStr">
        <is>
          <t>B2B</t>
        </is>
      </c>
      <c r="AO351" s="31">
        <f>IF(AN351="B2C",10,IF(AN351="B2B",5,0))</f>
        <v/>
      </c>
      <c r="AP351" s="31" t="inlineStr">
        <is>
          <t>Yes</t>
        </is>
      </c>
      <c r="AQ351" s="31">
        <f>IF(AP351="Yes",10,0)</f>
        <v/>
      </c>
      <c r="AR351" s="31" t="inlineStr">
        <is>
          <t>Higher Annuity, Lower One Time</t>
        </is>
      </c>
      <c r="AS351" s="31">
        <f>IF(AR351="Fully Annuity",10,IF(AR351="Higher Annuity, Lower One Time",5,IF(AR351="Higher One Time, Lower Annuity",3,0)))</f>
        <v/>
      </c>
      <c r="AT351" s="31" t="inlineStr">
        <is>
          <t>Good</t>
        </is>
      </c>
      <c r="AU351" s="31">
        <f>IF(AT351="Good",10,0)</f>
        <v/>
      </c>
      <c r="AV351" s="31" t="inlineStr">
        <is>
          <t>Yes for more than 2 years</t>
        </is>
      </c>
      <c r="AW351" s="31">
        <f>IF(AV351="Yes for more than 2 years",10,IF(AV351="Yes only for next 1 to 2 years",5,0))</f>
        <v/>
      </c>
      <c r="AX351" s="31" t="inlineStr">
        <is>
          <t>0 to 20</t>
        </is>
      </c>
      <c r="AY351" s="31">
        <f>IF(AX351="Above 40",20,IF(AX351="20 to 40",10,IF(AX351="0 to 20",-5,0)))</f>
        <v/>
      </c>
      <c r="AZ351" s="31" t="inlineStr">
        <is>
          <t>Between 50 to 75</t>
        </is>
      </c>
      <c r="BA351" s="31">
        <f>IF(AZ351="Between 50 to 75",10,IF(AZ351="Above 75",0,0))</f>
        <v/>
      </c>
      <c r="BB351" s="31" t="inlineStr">
        <is>
          <t>Stage 1</t>
        </is>
      </c>
      <c r="BC351" s="31">
        <f>IF(BB351="Stage 2",20,IF(BB351="Stage 1",0,IF(BB351="Stage 3",5,IF(BB351="Stage 4",-5,0))))</f>
        <v/>
      </c>
      <c r="BD351" s="31" t="inlineStr">
        <is>
          <t>Positive Trend</t>
        </is>
      </c>
      <c r="BE351" s="31">
        <f>IF(BD351="Positive Trend",20,IF(BD351="Negative Trend",-10,0))</f>
        <v/>
      </c>
      <c r="BF351" s="31" t="inlineStr">
        <is>
          <t>Uptrend</t>
        </is>
      </c>
      <c r="BG351" s="31">
        <f>IF(BF351="Uptrend",10,IF(BF351="Sideways",5,0))</f>
        <v/>
      </c>
      <c r="BH351" s="31" t="inlineStr">
        <is>
          <t>Uptrend</t>
        </is>
      </c>
      <c r="BI351" s="31">
        <f>IF(BH351="Uptrend",10,IF(BH351="Sideways",5,0))</f>
        <v/>
      </c>
      <c r="BJ351" s="31" t="inlineStr">
        <is>
          <t>Close to 52 week high or retracement</t>
        </is>
      </c>
      <c r="BK351" s="31">
        <f>IF(BJ351="Overhead supply in last 2 years in last 2 years",-5,IF(BJ351="Close to 52 week high or retracement",5,IF(BJ351="Blue sky scenario",10,IF(BJ351="Long term Downtrend",-10,0))))</f>
        <v/>
      </c>
      <c r="BL351" s="31" t="inlineStr">
        <is>
          <t>Yes</t>
        </is>
      </c>
      <c r="BM351" s="31">
        <f>IF(BL351="Yes",10,0)</f>
        <v/>
      </c>
      <c r="BN351" s="31" t="inlineStr">
        <is>
          <t>Less than 12%</t>
        </is>
      </c>
      <c r="BO351" s="31">
        <f>IF(BN351="More than 20%",10,IF(BN351="Between 12 to 20%",5,IF(BN351="Less than 12%",0,0)))</f>
        <v/>
      </c>
      <c r="BP351" s="31" t="inlineStr">
        <is>
          <t>No</t>
        </is>
      </c>
      <c r="BQ351" s="31">
        <f>IF(BP351="No",10,0)</f>
        <v/>
      </c>
      <c r="BR351" s="31" t="inlineStr">
        <is>
          <t>No</t>
        </is>
      </c>
      <c r="BS351" s="31">
        <f>IF(BR351="NO",5,0)</f>
        <v/>
      </c>
      <c r="BT351" s="31" t="inlineStr">
        <is>
          <t>Above 2</t>
        </is>
      </c>
      <c r="BU351" s="31">
        <f>IF(BT351="Above 2",0,IF(BT351="Between 1.5 to 2",5,IF(BT351="Less than 1.5",10,0)))</f>
        <v/>
      </c>
      <c r="BV351" s="31" t="inlineStr">
        <is>
          <t>Between 50% to 70%</t>
        </is>
      </c>
      <c r="BW351" s="31">
        <f>IF(BV351="Above 70%",10,IF(BV351="Between 50% to 70%",5,IF(BV351="Less than 50%",0,IF(BV351="Negative",-10,IF(BV351="Less than 50% and Borrowings are increasing",-5,0)))))</f>
        <v/>
      </c>
      <c r="BX351" s="31" t="inlineStr">
        <is>
          <t>Less than 0.7</t>
        </is>
      </c>
      <c r="BY351" s="31">
        <f>IF(BX351="More than 1.2",-10,IF(BX351="Between 0.7 to 1.2",0,IF(BX351="Less than 0.7",10,0)))</f>
        <v/>
      </c>
      <c r="BZ351" s="31" t="inlineStr">
        <is>
          <t>No</t>
        </is>
      </c>
      <c r="CA351" s="31">
        <f>IF(BZ351="Yes",-10,0)</f>
        <v/>
      </c>
      <c r="CB351" s="31" t="inlineStr">
        <is>
          <t>Less than 15%</t>
        </is>
      </c>
      <c r="CC351" s="31">
        <f>IF(CB351="More than 15%",-10,IF(CB351="Less than 15%",10,0))</f>
        <v/>
      </c>
      <c r="CD351" s="31" t="inlineStr">
        <is>
          <t>No</t>
        </is>
      </c>
      <c r="CE351" s="31">
        <f>IF(CD351="Yes, more than 10%",-10,IF(CD351="No",10,0))</f>
        <v/>
      </c>
    </row>
    <row r="352">
      <c r="A352" s="31">
        <f>IF(B352=0,"",RANK(B352,$B$2:$B$379,0))</f>
        <v/>
      </c>
      <c r="B352" s="32">
        <f>SUM(N352,Y352,AA352,AC352,AE352,AG352,AI352,AK352,AM352,AO352,AQ352,AS352,AU352,AW352,AY352,BA352,BC352,BE352,BG352,BI352,BK352,BM352,BO352,BQ352,BS352,BU352,BW352,BY352,CA352,CC352,CE352)</f>
        <v/>
      </c>
      <c r="C352" s="33" t="inlineStr">
        <is>
          <t>JTEKTINDIA</t>
        </is>
      </c>
      <c r="D352" s="33" t="inlineStr">
        <is>
          <t>JTEKT India Ltd</t>
        </is>
      </c>
      <c r="E352" s="31" t="inlineStr">
        <is>
          <t>auto</t>
        </is>
      </c>
      <c r="F352" s="31" t="inlineStr">
        <is>
          <t>auto ancillaries</t>
        </is>
      </c>
      <c r="G352" s="31" t="inlineStr">
        <is>
          <t>smallcap</t>
        </is>
      </c>
      <c r="H352" s="32" t="n">
        <v>3778.98</v>
      </c>
      <c r="I352" s="32" t="n">
        <v>151.98</v>
      </c>
      <c r="J352" s="32" t="n">
        <v>11.56</v>
      </c>
      <c r="K352" s="32" t="n">
        <v>28383044</v>
      </c>
      <c r="L352" s="31" t="n">
        <v>19</v>
      </c>
      <c r="M352" s="31" t="inlineStr">
        <is>
          <t>Underperforming</t>
        </is>
      </c>
      <c r="N352" s="32">
        <f>IF(M352="Underperforming",-5,IF(L352&gt;=95,15,IF(L352&gt;=90,10,IF(L352&gt;=80,5,0))))</f>
        <v/>
      </c>
      <c r="O352" s="32" t="n">
        <v>58.37</v>
      </c>
      <c r="P352" s="32" t="n">
        <v>18.93</v>
      </c>
      <c r="Q352" s="32" t="n">
        <v>113.79</v>
      </c>
      <c r="R352" s="31" t="inlineStr">
        <is>
          <t>Volume Spike / Accumulation</t>
        </is>
      </c>
      <c r="S352" s="31" t="inlineStr">
        <is>
          <t>Nifty Auto</t>
        </is>
      </c>
      <c r="T352" s="32" t="n">
        <v>11.69</v>
      </c>
      <c r="U352" s="32" t="n">
        <v>6.79</v>
      </c>
      <c r="V352" s="32" t="n">
        <v>-4.39</v>
      </c>
      <c r="W352" s="32" t="n">
        <v>6.11</v>
      </c>
      <c r="X352" s="31" t="inlineStr">
        <is>
          <t>Growing Industry</t>
        </is>
      </c>
      <c r="Y352" s="31">
        <f>IF(X352="Growing Industry",10,IF(X352="Cyclical in an Upturn",5,0))</f>
        <v/>
      </c>
      <c r="Z352" s="31" t="inlineStr">
        <is>
          <t>Too Many Players with High ROCE</t>
        </is>
      </c>
      <c r="AA352" s="31">
        <f>IF(Z352="Monopoly",10,IF(Z352="Oligopoly",5,IF(Z352="Duopoly that cooperate",10,IF(Z352="Duopoly that compete",5,IF(Z352="Too many players with High ROCE",5,0)))))</f>
        <v/>
      </c>
      <c r="AB352" s="31" t="inlineStr">
        <is>
          <t>No</t>
        </is>
      </c>
      <c r="AC352" s="31">
        <f>IF(AB352="No",5,0)</f>
        <v/>
      </c>
      <c r="AD352" s="31" t="inlineStr">
        <is>
          <t>Tailwind</t>
        </is>
      </c>
      <c r="AE352" s="31">
        <f>IF(AD352="Tailwind",10,0)</f>
        <v/>
      </c>
      <c r="AF352" s="31" t="inlineStr">
        <is>
          <t>Structural (10 Years Consistency)</t>
        </is>
      </c>
      <c r="AG352" s="31">
        <f>IF(AF352="Structural (10 Years Consistency)",10,IF(AF352="Shallow Cyclical (2 to 3 years growth)",5,0))</f>
        <v/>
      </c>
      <c r="AH352" s="31" t="inlineStr">
        <is>
          <t>No</t>
        </is>
      </c>
      <c r="AI352" s="31">
        <f>IF(AH352="Yes due to Product Mix change or Operating Leverage",10,IF(AH352="Yes, these are peak margins",-5,IF(AH352="No",5,0)))</f>
        <v/>
      </c>
      <c r="AJ352" s="31" t="inlineStr">
        <is>
          <t>Stable</t>
        </is>
      </c>
      <c r="AK352" s="31">
        <f>IF(AJ352="Stable",10,0)</f>
        <v/>
      </c>
      <c r="AL352" s="31" t="inlineStr">
        <is>
          <t>Yes</t>
        </is>
      </c>
      <c r="AM352" s="31">
        <f>IF(AL352="Yes",10,0)</f>
        <v/>
      </c>
      <c r="AN352" s="31" t="inlineStr">
        <is>
          <t>B2B</t>
        </is>
      </c>
      <c r="AO352" s="31">
        <f>IF(AN352="B2C",10,IF(AN352="B2B",5,0))</f>
        <v/>
      </c>
      <c r="AP352" s="31" t="inlineStr">
        <is>
          <t>Yes</t>
        </is>
      </c>
      <c r="AQ352" s="31">
        <f>IF(AP352="Yes",10,0)</f>
        <v/>
      </c>
      <c r="AR352" s="31" t="inlineStr">
        <is>
          <t>Higher One Time, Lower Annuity</t>
        </is>
      </c>
      <c r="AS352" s="31">
        <f>IF(AR352="Fully Annuity",10,IF(AR352="Higher Annuity, Lower One Time",5,IF(AR352="Higher One Time, Lower Annuity",3,0)))</f>
        <v/>
      </c>
      <c r="AT352" s="31" t="inlineStr">
        <is>
          <t>Good</t>
        </is>
      </c>
      <c r="AU352" s="31">
        <f>IF(AT352="Good",10,0)</f>
        <v/>
      </c>
      <c r="AV352" s="31" t="inlineStr">
        <is>
          <t>Yes for more than 2 years</t>
        </is>
      </c>
      <c r="AW352" s="31">
        <f>IF(AV352="Yes for more than 2 years",10,IF(AV352="Yes only for next 1 to 2 years",5,0))</f>
        <v/>
      </c>
      <c r="AX352" s="31" t="inlineStr">
        <is>
          <t>0 to 20</t>
        </is>
      </c>
      <c r="AY352" s="31">
        <f>IF(AX352="Above 40",20,IF(AX352="20 to 40",10,IF(AX352="0 to 20",-5,0)))</f>
        <v/>
      </c>
      <c r="AZ352" s="31" t="inlineStr">
        <is>
          <t>Between 50 to 75</t>
        </is>
      </c>
      <c r="BA352" s="31">
        <f>IF(AZ352="Between 50 to 75",10,IF(AZ352="Above 75",0,0))</f>
        <v/>
      </c>
      <c r="BB352" s="31" t="inlineStr">
        <is>
          <t>Stage 1</t>
        </is>
      </c>
      <c r="BC352" s="31">
        <f>IF(BB352="Stage 2",20,IF(BB352="Stage 1",0,IF(BB352="Stage 3",5,IF(BB352="Stage 4",-5,0))))</f>
        <v/>
      </c>
      <c r="BD352" s="31" t="inlineStr">
        <is>
          <t>Positive Trend</t>
        </is>
      </c>
      <c r="BE352" s="31">
        <f>IF(BD352="Positive Trend",20,IF(BD352="Negative Trend",-10,0))</f>
        <v/>
      </c>
      <c r="BF352" s="31" t="inlineStr">
        <is>
          <t>Uptrend</t>
        </is>
      </c>
      <c r="BG352" s="31">
        <f>IF(BF352="Uptrend",10,IF(BF352="Sideways",5,0))</f>
        <v/>
      </c>
      <c r="BH352" s="31" t="inlineStr">
        <is>
          <t>Uptrend</t>
        </is>
      </c>
      <c r="BI352" s="31">
        <f>IF(BH352="Uptrend",10,IF(BH352="Sideways",5,0))</f>
        <v/>
      </c>
      <c r="BJ352" s="31" t="inlineStr">
        <is>
          <t>Close to 52 week high or retracement</t>
        </is>
      </c>
      <c r="BK352" s="31">
        <f>IF(BJ352="Overhead supply in last 2 years in last 2 years",-5,IF(BJ352="Close to 52 week high or retracement",5,IF(BJ352="Blue sky scenario",10,IF(BJ352="Long term Downtrend",-10,0))))</f>
        <v/>
      </c>
      <c r="BL352" s="31" t="inlineStr">
        <is>
          <t>Yes</t>
        </is>
      </c>
      <c r="BM352" s="31">
        <f>IF(BL352="Yes",10,0)</f>
        <v/>
      </c>
      <c r="BN352" s="31" t="inlineStr">
        <is>
          <t>Less than 12%</t>
        </is>
      </c>
      <c r="BO352" s="31">
        <f>IF(BN352="More than 20%",10,IF(BN352="Between 12 to 20%",5,IF(BN352="Less than 12%",0,0)))</f>
        <v/>
      </c>
      <c r="BP352" s="31" t="inlineStr">
        <is>
          <t>No</t>
        </is>
      </c>
      <c r="BQ352" s="31">
        <f>IF(BP352="No",10,0)</f>
        <v/>
      </c>
      <c r="BR352" s="31" t="inlineStr">
        <is>
          <t>Yes</t>
        </is>
      </c>
      <c r="BS352" s="31">
        <f>IF(BR352="NO",5,0)</f>
        <v/>
      </c>
      <c r="BT352" s="31" t="inlineStr">
        <is>
          <t>Above 2</t>
        </is>
      </c>
      <c r="BU352" s="31">
        <f>IF(BT352="Above 2",0,IF(BT352="Between 1.5 to 2",5,IF(BT352="Less than 1.5",10,0)))</f>
        <v/>
      </c>
      <c r="BV352" s="31" t="inlineStr">
        <is>
          <t>Less than 50%</t>
        </is>
      </c>
      <c r="BW352" s="31">
        <f>IF(BV352="Above 70%",10,IF(BV352="Between 50% to 70%",5,IF(BV352="Less than 50%",0,IF(BV352="Negative",-10,IF(BV352="Less than 50% and Borrowings are increasing",-5,0)))))</f>
        <v/>
      </c>
      <c r="BX352" s="31" t="inlineStr">
        <is>
          <t>Less than 0.7</t>
        </is>
      </c>
      <c r="BY352" s="31">
        <f>IF(BX352="More than 1.2",-10,IF(BX352="Between 0.7 to 1.2",0,IF(BX352="Less than 0.7",10,0)))</f>
        <v/>
      </c>
      <c r="BZ352" s="31" t="inlineStr">
        <is>
          <t>No</t>
        </is>
      </c>
      <c r="CA352" s="31">
        <f>IF(BZ352="Yes",-10,0)</f>
        <v/>
      </c>
      <c r="CB352" s="31" t="inlineStr">
        <is>
          <t>Less than 15%</t>
        </is>
      </c>
      <c r="CC352" s="31">
        <f>IF(CB352="More than 15%",-10,IF(CB352="Less than 15%",10,0))</f>
        <v/>
      </c>
      <c r="CD352" s="31" t="inlineStr">
        <is>
          <t>No</t>
        </is>
      </c>
      <c r="CE352" s="31">
        <f>IF(CD352="Yes, more than 10%",-10,IF(CD352="No",10,0))</f>
        <v/>
      </c>
    </row>
    <row r="353">
      <c r="A353" s="31">
        <f>IF(B353=0,"",RANK(B353,$B$2:$B$379,0))</f>
        <v/>
      </c>
      <c r="B353" s="32">
        <f>SUM(N353,Y353,AA353,AC353,AE353,AG353,AI353,AK353,AM353,AO353,AQ353,AS353,AU353,AW353,AY353,BA353,BC353,BE353,BG353,BI353,BK353,BM353,BO353,BQ353,BS353,BU353,BW353,BY353,CA353,CC353,CE353)</f>
        <v/>
      </c>
      <c r="C353" s="31" t="inlineStr">
        <is>
          <t>MAHLIFE</t>
        </is>
      </c>
      <c r="D353" s="31" t="inlineStr">
        <is>
          <t>Mahindra Lifespace Developers Limited</t>
        </is>
      </c>
      <c r="E353" s="31" t="inlineStr">
        <is>
          <t>realty</t>
        </is>
      </c>
      <c r="F353" s="31" t="inlineStr">
        <is>
          <t>construction</t>
        </is>
      </c>
      <c r="G353" s="31" t="inlineStr">
        <is>
          <t>midcap</t>
        </is>
      </c>
      <c r="H353" s="32" t="n">
        <v>7817.94</v>
      </c>
      <c r="I353" s="32" t="n">
        <v>372.7</v>
      </c>
      <c r="J353" s="32" t="n">
        <v>1.71</v>
      </c>
      <c r="K353" s="32" t="n">
        <v>294438</v>
      </c>
      <c r="L353" s="31" t="n">
        <v>14</v>
      </c>
      <c r="M353" s="31" t="inlineStr">
        <is>
          <t>Outperforming</t>
        </is>
      </c>
      <c r="N353" s="32">
        <f>IF(M353="Underperforming",-5,IF(L353&gt;=95,15,IF(L353&gt;=90,10,IF(L353&gt;=80,5,0))))</f>
        <v/>
      </c>
      <c r="O353" s="32" t="n">
        <v>57.3</v>
      </c>
      <c r="P353" s="32" t="n">
        <v>13.24</v>
      </c>
      <c r="Q353" s="32" t="n">
        <v>300.73</v>
      </c>
      <c r="R353" s="31" t="inlineStr">
        <is>
          <t>Earnings / Momentum Support</t>
        </is>
      </c>
      <c r="S353" s="31" t="inlineStr">
        <is>
          <t>Nifty Realty</t>
        </is>
      </c>
      <c r="T353" s="32" t="n">
        <v>-11.6</v>
      </c>
      <c r="U353" s="32" t="n">
        <v>3.87</v>
      </c>
      <c r="V353" s="32" t="n">
        <v>17.5</v>
      </c>
      <c r="W353" s="32" t="n">
        <v>4.83</v>
      </c>
      <c r="X353" s="31" t="inlineStr">
        <is>
          <t>Growing Industry</t>
        </is>
      </c>
      <c r="Y353" s="31">
        <f>IF(X353="Growing Industry",10,IF(X353="Cyclical in an Upturn",5,0))</f>
        <v/>
      </c>
      <c r="Z353" s="31" t="inlineStr">
        <is>
          <t>Too Many Players with High ROCE</t>
        </is>
      </c>
      <c r="AA353" s="31">
        <f>IF(Z353="Monopoly",10,IF(Z353="Oligopoly",5,IF(Z353="Duopoly that cooperate",10,IF(Z353="Duopoly that compete",5,IF(Z353="Too many players with High ROCE",5,0)))))</f>
        <v/>
      </c>
      <c r="AB353" s="31" t="inlineStr">
        <is>
          <t>No</t>
        </is>
      </c>
      <c r="AC353" s="31">
        <f>IF(AB353="No",5,0)</f>
        <v/>
      </c>
      <c r="AD353" s="31" t="inlineStr">
        <is>
          <t>Headwind</t>
        </is>
      </c>
      <c r="AE353" s="31">
        <f>IF(AD353="Tailwind",10,0)</f>
        <v/>
      </c>
      <c r="AF353" s="31" t="inlineStr">
        <is>
          <t>Structural (10 Years Consistency)</t>
        </is>
      </c>
      <c r="AG353" s="31">
        <f>IF(AF353="Structural (10 Years Consistency)",10,IF(AF353="Shallow Cyclical (2 to 3 years growth)",5,0))</f>
        <v/>
      </c>
      <c r="AH353" s="31" t="inlineStr">
        <is>
          <t>No</t>
        </is>
      </c>
      <c r="AI353" s="31">
        <f>IF(AH353="Yes due to Product Mix change or Operating Leverage",10,IF(AH353="Yes, these are peak margins",-5,IF(AH353="No",5,0)))</f>
        <v/>
      </c>
      <c r="AJ353" s="31" t="inlineStr">
        <is>
          <t>Stable</t>
        </is>
      </c>
      <c r="AK353" s="31">
        <f>IF(AJ353="Stable",10,0)</f>
        <v/>
      </c>
      <c r="AL353" s="31" t="inlineStr">
        <is>
          <t>Yes</t>
        </is>
      </c>
      <c r="AM353" s="31">
        <f>IF(AL353="Yes",10,0)</f>
        <v/>
      </c>
      <c r="AN353" s="31" t="inlineStr">
        <is>
          <t>B2B</t>
        </is>
      </c>
      <c r="AO353" s="31">
        <f>IF(AN353="B2C",10,IF(AN353="B2B",5,0))</f>
        <v/>
      </c>
      <c r="AP353" s="31" t="inlineStr">
        <is>
          <t>No</t>
        </is>
      </c>
      <c r="AQ353" s="31">
        <f>IF(AP353="Yes",10,0)</f>
        <v/>
      </c>
      <c r="AR353" s="31" t="inlineStr">
        <is>
          <t>Higher One Time, Lower Annuity</t>
        </is>
      </c>
      <c r="AS353" s="31">
        <f>IF(AR353="Fully Annuity",10,IF(AR353="Higher Annuity, Lower One Time",5,IF(AR353="Higher One Time, Lower Annuity",3,0)))</f>
        <v/>
      </c>
      <c r="AT353" s="31" t="inlineStr">
        <is>
          <t>Good</t>
        </is>
      </c>
      <c r="AU353" s="31">
        <f>IF(AT353="Good",10,0)</f>
        <v/>
      </c>
      <c r="AV353" s="31" t="inlineStr">
        <is>
          <t>Yes for more than 2 years</t>
        </is>
      </c>
      <c r="AW353" s="31">
        <f>IF(AV353="Yes for more than 2 years",10,IF(AV353="Yes only for next 1 to 2 years",5,0))</f>
        <v/>
      </c>
      <c r="AX353" s="31" t="inlineStr">
        <is>
          <t>0 to 20</t>
        </is>
      </c>
      <c r="AY353" s="31">
        <f>IF(AX353="Above 40",20,IF(AX353="20 to 40",10,IF(AX353="0 to 20",-5,0)))</f>
        <v/>
      </c>
      <c r="AZ353" s="31" t="inlineStr">
        <is>
          <t>Between 50 to 75</t>
        </is>
      </c>
      <c r="BA353" s="31">
        <f>IF(AZ353="Between 50 to 75",10,IF(AZ353="Above 75",0,0))</f>
        <v/>
      </c>
      <c r="BB353" s="31" t="inlineStr">
        <is>
          <t>Stage 1</t>
        </is>
      </c>
      <c r="BC353" s="31">
        <f>IF(BB353="Stage 2",20,IF(BB353="Stage 1",0,IF(BB353="Stage 3",5,IF(BB353="Stage 4",-5,0))))</f>
        <v/>
      </c>
      <c r="BD353" s="31" t="inlineStr">
        <is>
          <t>Positive Trend</t>
        </is>
      </c>
      <c r="BE353" s="31">
        <f>IF(BD353="Positive Trend",20,IF(BD353="Negative Trend",-10,0))</f>
        <v/>
      </c>
      <c r="BF353" s="31" t="inlineStr">
        <is>
          <t>Uptrend</t>
        </is>
      </c>
      <c r="BG353" s="31">
        <f>IF(BF353="Uptrend",10,IF(BF353="Sideways",5,0))</f>
        <v/>
      </c>
      <c r="BH353" s="31" t="inlineStr">
        <is>
          <t>Uptrend</t>
        </is>
      </c>
      <c r="BI353" s="31">
        <f>IF(BH353="Uptrend",10,IF(BH353="Sideways",5,0))</f>
        <v/>
      </c>
      <c r="BJ353" s="31" t="inlineStr">
        <is>
          <t>Close to 52 week high or retracement</t>
        </is>
      </c>
      <c r="BK353" s="31">
        <f>IF(BJ353="Overhead supply in last 2 years in last 2 years",-5,IF(BJ353="Close to 52 week high or retracement",5,IF(BJ353="Blue sky scenario",10,IF(BJ353="Long term Downtrend",-10,0))))</f>
        <v/>
      </c>
      <c r="BL353" s="31" t="inlineStr">
        <is>
          <t>Yes</t>
        </is>
      </c>
      <c r="BM353" s="31">
        <f>IF(BL353="Yes",10,0)</f>
        <v/>
      </c>
      <c r="BN353" s="31" t="inlineStr">
        <is>
          <t>Less than 12%</t>
        </is>
      </c>
      <c r="BO353" s="31">
        <f>IF(BN353="More than 20%",10,IF(BN353="Between 12 to 20%",5,IF(BN353="Less than 12%",0,0)))</f>
        <v/>
      </c>
      <c r="BP353" s="31" t="inlineStr">
        <is>
          <t>No</t>
        </is>
      </c>
      <c r="BQ353" s="31">
        <f>IF(BP353="No",10,0)</f>
        <v/>
      </c>
      <c r="BR353" s="31" t="inlineStr">
        <is>
          <t>No</t>
        </is>
      </c>
      <c r="BS353" s="31">
        <f>IF(BR353="NO",5,0)</f>
        <v/>
      </c>
      <c r="BT353" s="31" t="inlineStr">
        <is>
          <t>Above 2</t>
        </is>
      </c>
      <c r="BU353" s="31">
        <f>IF(BT353="Above 2",0,IF(BT353="Between 1.5 to 2",5,IF(BT353="Less than 1.5",10,0)))</f>
        <v/>
      </c>
      <c r="BV353" s="31" t="inlineStr">
        <is>
          <t>Above 70%</t>
        </is>
      </c>
      <c r="BW353" s="31">
        <f>IF(BV353="Above 70%",10,IF(BV353="Between 50% to 70%",5,IF(BV353="Less than 50%",0,IF(BV353="Negative",-10,IF(BV353="Less than 50% and Borrowings are increasing",-5,0)))))</f>
        <v/>
      </c>
      <c r="BX353" s="31" t="inlineStr">
        <is>
          <t>Less than 0.7</t>
        </is>
      </c>
      <c r="BY353" s="31">
        <f>IF(BX353="More than 1.2",-10,IF(BX353="Between 0.7 to 1.2",0,IF(BX353="Less than 0.7",10,0)))</f>
        <v/>
      </c>
      <c r="BZ353" s="31" t="inlineStr">
        <is>
          <t>No</t>
        </is>
      </c>
      <c r="CA353" s="31">
        <f>IF(BZ353="Yes",-10,0)</f>
        <v/>
      </c>
      <c r="CB353" s="31" t="inlineStr">
        <is>
          <t>Less than 15%</t>
        </is>
      </c>
      <c r="CC353" s="31">
        <f>IF(CB353="More than 15%",-10,IF(CB353="Less than 15%",10,0))</f>
        <v/>
      </c>
      <c r="CD353" s="31" t="inlineStr">
        <is>
          <t>No</t>
        </is>
      </c>
      <c r="CE353" s="31">
        <f>IF(CD353="Yes, more than 10%",-10,IF(CD353="No",10,0))</f>
        <v/>
      </c>
    </row>
    <row r="354">
      <c r="A354" s="31">
        <f>IF(B354=0,"",RANK(B354,$B$2:$B$379,0))</f>
        <v/>
      </c>
      <c r="B354" s="32">
        <f>SUM(N354,Y354,AA354,AC354,AE354,AG354,AI354,AK354,AM354,AO354,AQ354,AS354,AU354,AW354,AY354,BA354,BC354,BE354,BG354,BI354,BK354,BM354,BO354,BQ354,BS354,BU354,BW354,BY354,CA354,CC354,CE354)</f>
        <v/>
      </c>
      <c r="C354" s="31" t="inlineStr">
        <is>
          <t>3MINDIA</t>
        </is>
      </c>
      <c r="D354" s="31" t="inlineStr">
        <is>
          <t>3m India Limited</t>
        </is>
      </c>
      <c r="E354" s="31" t="inlineStr">
        <is>
          <t>miscellaneous</t>
        </is>
      </c>
      <c r="F354" s="31" t="inlineStr">
        <is>
          <t>diversified - large</t>
        </is>
      </c>
      <c r="G354" s="31" t="inlineStr">
        <is>
          <t>largecap</t>
        </is>
      </c>
      <c r="H354" s="32" t="n">
        <v>37062.08</v>
      </c>
      <c r="I354" s="32" t="n">
        <v>33435</v>
      </c>
      <c r="J354" s="32" t="n">
        <v>1.63</v>
      </c>
      <c r="K354" s="32" t="n">
        <v>4012</v>
      </c>
      <c r="L354" s="31" t="n">
        <v>22</v>
      </c>
      <c r="M354" s="31" t="inlineStr">
        <is>
          <t>Outperforming</t>
        </is>
      </c>
      <c r="N354" s="32">
        <f>IF(M354="Underperforming",-5,IF(L354&gt;=95,15,IF(L354&gt;=90,10,IF(L354&gt;=80,5,0))))</f>
        <v/>
      </c>
      <c r="O354" s="32" t="n">
        <v>52.71</v>
      </c>
      <c r="P354" s="32" t="n">
        <v>10</v>
      </c>
      <c r="Q354" s="32" t="n">
        <v>27487.51</v>
      </c>
      <c r="R354" s="31" t="inlineStr">
        <is>
          <t>Earnings / Momentum Support</t>
        </is>
      </c>
      <c r="S354" s="31" t="inlineStr">
        <is>
          <t>Nifty 50</t>
        </is>
      </c>
      <c r="T354" s="32" t="n">
        <v>-5.72</v>
      </c>
      <c r="U354" s="32" t="n">
        <v>17.5</v>
      </c>
      <c r="V354" s="32" t="n">
        <v>24.62</v>
      </c>
      <c r="W354" s="32" t="n">
        <v>6.73</v>
      </c>
      <c r="X354" s="31" t="inlineStr">
        <is>
          <t>Growing Industry</t>
        </is>
      </c>
      <c r="Y354" s="31">
        <f>IF(X354="Growing Industry",10,IF(X354="Cyclical in an Upturn",5,0))</f>
        <v/>
      </c>
      <c r="Z354" s="31" t="inlineStr">
        <is>
          <t>Too Many Players with High ROCE</t>
        </is>
      </c>
      <c r="AA354" s="31">
        <f>IF(Z354="Monopoly",10,IF(Z354="Oligopoly",5,IF(Z354="Duopoly that cooperate",10,IF(Z354="Duopoly that compete",5,IF(Z354="Too many players with High ROCE",5,0)))))</f>
        <v/>
      </c>
      <c r="AB354" s="31" t="inlineStr">
        <is>
          <t>No</t>
        </is>
      </c>
      <c r="AC354" s="31">
        <f>IF(AB354="No",5,0)</f>
        <v/>
      </c>
      <c r="AD354" s="31" t="inlineStr">
        <is>
          <t>Headwind</t>
        </is>
      </c>
      <c r="AE354" s="31">
        <f>IF(AD354="Tailwind",10,0)</f>
        <v/>
      </c>
      <c r="AF354" s="31" t="inlineStr">
        <is>
          <t>Structural (10 Years Consistency)</t>
        </is>
      </c>
      <c r="AG354" s="31">
        <f>IF(AF354="Structural (10 Years Consistency)",10,IF(AF354="Shallow Cyclical (2 to 3 years growth)",5,0))</f>
        <v/>
      </c>
      <c r="AH354" s="31" t="inlineStr">
        <is>
          <t>No</t>
        </is>
      </c>
      <c r="AI354" s="31">
        <f>IF(AH354="Yes due to Product Mix change or Operating Leverage",10,IF(AH354="Yes, these are peak margins",-5,IF(AH354="No",5,0)))</f>
        <v/>
      </c>
      <c r="AJ354" s="31" t="inlineStr">
        <is>
          <t>Stable</t>
        </is>
      </c>
      <c r="AK354" s="31">
        <f>IF(AJ354="Stable",10,0)</f>
        <v/>
      </c>
      <c r="AL354" s="31" t="inlineStr">
        <is>
          <t>Yes</t>
        </is>
      </c>
      <c r="AM354" s="31">
        <f>IF(AL354="Yes",10,0)</f>
        <v/>
      </c>
      <c r="AN354" s="31" t="inlineStr">
        <is>
          <t>B2B</t>
        </is>
      </c>
      <c r="AO354" s="31">
        <f>IF(AN354="B2C",10,IF(AN354="B2B",5,0))</f>
        <v/>
      </c>
      <c r="AP354" s="31" t="inlineStr">
        <is>
          <t>No</t>
        </is>
      </c>
      <c r="AQ354" s="31">
        <f>IF(AP354="Yes",10,0)</f>
        <v/>
      </c>
      <c r="AR354" s="31" t="inlineStr">
        <is>
          <t>Higher One Time, Lower Annuity</t>
        </is>
      </c>
      <c r="AS354" s="31">
        <f>IF(AR354="Fully Annuity",10,IF(AR354="Higher Annuity, Lower One Time",5,IF(AR354="Higher One Time, Lower Annuity",3,0)))</f>
        <v/>
      </c>
      <c r="AT354" s="31" t="inlineStr">
        <is>
          <t>Good</t>
        </is>
      </c>
      <c r="AU354" s="31">
        <f>IF(AT354="Good",10,0)</f>
        <v/>
      </c>
      <c r="AV354" s="31" t="inlineStr">
        <is>
          <t>Yes for more than 2 years</t>
        </is>
      </c>
      <c r="AW354" s="31">
        <f>IF(AV354="Yes for more than 2 years",10,IF(AV354="Yes only for next 1 to 2 years",5,0))</f>
        <v/>
      </c>
      <c r="AX354" s="31" t="inlineStr">
        <is>
          <t>0 to 20</t>
        </is>
      </c>
      <c r="AY354" s="31">
        <f>IF(AX354="Above 40",20,IF(AX354="20 to 40",10,IF(AX354="0 to 20",-5,0)))</f>
        <v/>
      </c>
      <c r="AZ354" s="31" t="inlineStr">
        <is>
          <t>Between 50 to 75</t>
        </is>
      </c>
      <c r="BA354" s="31">
        <f>IF(AZ354="Between 50 to 75",10,IF(AZ354="Above 75",0,0))</f>
        <v/>
      </c>
      <c r="BB354" s="31" t="inlineStr">
        <is>
          <t>Stage 1</t>
        </is>
      </c>
      <c r="BC354" s="31">
        <f>IF(BB354="Stage 2",20,IF(BB354="Stage 1",0,IF(BB354="Stage 3",5,IF(BB354="Stage 4",-5,0))))</f>
        <v/>
      </c>
      <c r="BD354" s="31" t="inlineStr">
        <is>
          <t>Positive Trend</t>
        </is>
      </c>
      <c r="BE354" s="31">
        <f>IF(BD354="Positive Trend",20,IF(BD354="Negative Trend",-10,0))</f>
        <v/>
      </c>
      <c r="BF354" s="31" t="inlineStr">
        <is>
          <t>Uptrend</t>
        </is>
      </c>
      <c r="BG354" s="31">
        <f>IF(BF354="Uptrend",10,IF(BF354="Sideways",5,0))</f>
        <v/>
      </c>
      <c r="BH354" s="31" t="inlineStr">
        <is>
          <t>Uptrend</t>
        </is>
      </c>
      <c r="BI354" s="31">
        <f>IF(BH354="Uptrend",10,IF(BH354="Sideways",5,0))</f>
        <v/>
      </c>
      <c r="BJ354" s="31" t="inlineStr">
        <is>
          <t>Close to 52 week high or retracement</t>
        </is>
      </c>
      <c r="BK354" s="31">
        <f>IF(BJ354="Overhead supply in last 2 years in last 2 years",-5,IF(BJ354="Close to 52 week high or retracement",5,IF(BJ354="Blue sky scenario",10,IF(BJ354="Long term Downtrend",-10,0))))</f>
        <v/>
      </c>
      <c r="BL354" s="31" t="inlineStr">
        <is>
          <t>Yes</t>
        </is>
      </c>
      <c r="BM354" s="31">
        <f>IF(BL354="Yes",10,0)</f>
        <v/>
      </c>
      <c r="BN354" s="31" t="inlineStr">
        <is>
          <t>More than 20%</t>
        </is>
      </c>
      <c r="BO354" s="31">
        <f>IF(BN354="More than 20%",10,IF(BN354="Between 12 to 20%",5,IF(BN354="Less than 12%",0,0)))</f>
        <v/>
      </c>
      <c r="BP354" s="31" t="inlineStr">
        <is>
          <t>No</t>
        </is>
      </c>
      <c r="BQ354" s="31">
        <f>IF(BP354="No",10,0)</f>
        <v/>
      </c>
      <c r="BR354" s="31" t="inlineStr">
        <is>
          <t>Yes</t>
        </is>
      </c>
      <c r="BS354" s="31">
        <f>IF(BR354="NO",5,0)</f>
        <v/>
      </c>
      <c r="BT354" s="31" t="inlineStr">
        <is>
          <t>Above 2</t>
        </is>
      </c>
      <c r="BU354" s="31">
        <f>IF(BT354="Above 2",0,IF(BT354="Between 1.5 to 2",5,IF(BT354="Less than 1.5",10,0)))</f>
        <v/>
      </c>
      <c r="BV354" s="31" t="inlineStr">
        <is>
          <t>Between 50% to 70%</t>
        </is>
      </c>
      <c r="BW354" s="31">
        <f>IF(BV354="Above 70%",10,IF(BV354="Between 50% to 70%",5,IF(BV354="Less than 50%",0,IF(BV354="Negative",-10,IF(BV354="Less than 50% and Borrowings are increasing",-5,0)))))</f>
        <v/>
      </c>
      <c r="BX354" s="31" t="inlineStr">
        <is>
          <t>Less than 0.7</t>
        </is>
      </c>
      <c r="BY354" s="31">
        <f>IF(BX354="More than 1.2",-10,IF(BX354="Between 0.7 to 1.2",0,IF(BX354="Less than 0.7",10,0)))</f>
        <v/>
      </c>
      <c r="BZ354" s="31" t="inlineStr">
        <is>
          <t>No</t>
        </is>
      </c>
      <c r="CA354" s="31">
        <f>IF(BZ354="Yes",-10,0)</f>
        <v/>
      </c>
      <c r="CB354" s="31" t="inlineStr">
        <is>
          <t>Less than 15%</t>
        </is>
      </c>
      <c r="CC354" s="31">
        <f>IF(CB354="More than 15%",-10,IF(CB354="Less than 15%",10,0))</f>
        <v/>
      </c>
      <c r="CD354" s="31" t="inlineStr">
        <is>
          <t>No</t>
        </is>
      </c>
      <c r="CE354" s="31">
        <f>IF(CD354="Yes, more than 10%",-10,IF(CD354="No",10,0))</f>
        <v/>
      </c>
    </row>
    <row r="355">
      <c r="A355" s="31">
        <f>IF(B355=0,"",RANK(B355,$B$2:$B$379,0))</f>
        <v/>
      </c>
      <c r="B355" s="32">
        <f>SUM(N355,Y355,AA355,AC355,AE355,AG355,AI355,AK355,AM355,AO355,AQ355,AS355,AU355,AW355,AY355,BA355,BC355,BE355,BG355,BI355,BK355,BM355,BO355,BQ355,BS355,BU355,BW355,BY355,CA355,CC355,CE355)</f>
        <v/>
      </c>
      <c r="C355" s="33" t="inlineStr">
        <is>
          <t>JTLIND</t>
        </is>
      </c>
      <c r="D355" s="33" t="inlineStr">
        <is>
          <t>JTL Industries Ltd</t>
        </is>
      </c>
      <c r="E355" s="31" t="inlineStr">
        <is>
          <t>metals &amp; mining</t>
        </is>
      </c>
      <c r="F355" s="31" t="inlineStr">
        <is>
          <t>steel - medium / small</t>
        </is>
      </c>
      <c r="G355" s="31" t="inlineStr">
        <is>
          <t>smallcap</t>
        </is>
      </c>
      <c r="H355" s="32" t="n">
        <v>3128.54</v>
      </c>
      <c r="I355" s="32" t="n">
        <v>80.78</v>
      </c>
      <c r="J355" s="32" t="n">
        <v>1.5</v>
      </c>
      <c r="K355" s="32" t="n">
        <v>3658192</v>
      </c>
      <c r="L355" s="31" t="n">
        <v>61</v>
      </c>
      <c r="M355" s="31" t="inlineStr">
        <is>
          <t>Underperforming</t>
        </is>
      </c>
      <c r="N355" s="32">
        <f>IF(M355="Underperforming",-5,IF(L355&gt;=95,15,IF(L355&gt;=90,10,IF(L355&gt;=80,5,0))))</f>
        <v/>
      </c>
      <c r="O355" s="32" t="n">
        <v>59.67</v>
      </c>
      <c r="P355" s="32" t="n">
        <v>12.23</v>
      </c>
      <c r="Q355" s="32" t="n">
        <v>55.48</v>
      </c>
      <c r="R355" s="31" t="inlineStr">
        <is>
          <t>Near 52W High Breakout</t>
        </is>
      </c>
      <c r="S355" s="31" t="inlineStr">
        <is>
          <t>Nifty Metal</t>
        </is>
      </c>
      <c r="T355" s="32" t="n">
        <v>29.38</v>
      </c>
      <c r="U355" s="32" t="n">
        <v>4.02</v>
      </c>
      <c r="V355" s="32" t="n">
        <v>-19.6</v>
      </c>
      <c r="W355" s="32" t="n">
        <v>16.61</v>
      </c>
      <c r="X355" s="31" t="inlineStr">
        <is>
          <t>Cyclical in an Upturn</t>
        </is>
      </c>
      <c r="Y355" s="31">
        <f>IF(X355="Growing Industry",10,IF(X355="Cyclical in an Upturn",5,0))</f>
        <v/>
      </c>
      <c r="Z355" s="31" t="inlineStr">
        <is>
          <t>Too Many Players with High ROCE</t>
        </is>
      </c>
      <c r="AA355" s="31">
        <f>IF(Z355="Monopoly",10,IF(Z355="Oligopoly",5,IF(Z355="Duopoly that cooperate",10,IF(Z355="Duopoly that compete",5,IF(Z355="Too many players with High ROCE",5,0)))))</f>
        <v/>
      </c>
      <c r="AB355" s="31" t="inlineStr">
        <is>
          <t>No</t>
        </is>
      </c>
      <c r="AC355" s="31">
        <f>IF(AB355="No",5,0)</f>
        <v/>
      </c>
      <c r="AD355" s="31" t="inlineStr">
        <is>
          <t>Tailwind</t>
        </is>
      </c>
      <c r="AE355" s="31">
        <f>IF(AD355="Tailwind",10,0)</f>
        <v/>
      </c>
      <c r="AF355" s="31" t="inlineStr">
        <is>
          <t>Cyclical</t>
        </is>
      </c>
      <c r="AG355" s="31">
        <f>IF(AF355="Structural (10 Years Consistency)",10,IF(AF355="Shallow Cyclical (2 to 3 years growth)",5,0))</f>
        <v/>
      </c>
      <c r="AH355" s="31" t="inlineStr">
        <is>
          <t>No</t>
        </is>
      </c>
      <c r="AI355" s="31">
        <f>IF(AH355="Yes due to Product Mix change or Operating Leverage",10,IF(AH355="Yes, these are peak margins",-5,IF(AH355="No",5,0)))</f>
        <v/>
      </c>
      <c r="AJ355" s="31" t="inlineStr">
        <is>
          <t>Volatile</t>
        </is>
      </c>
      <c r="AK355" s="31">
        <f>IF(AJ355="Stable",10,0)</f>
        <v/>
      </c>
      <c r="AL355" s="31" t="inlineStr">
        <is>
          <t>Yes</t>
        </is>
      </c>
      <c r="AM355" s="31">
        <f>IF(AL355="Yes",10,0)</f>
        <v/>
      </c>
      <c r="AN355" s="31" t="inlineStr">
        <is>
          <t>B2B</t>
        </is>
      </c>
      <c r="AO355" s="31">
        <f>IF(AN355="B2C",10,IF(AN355="B2B",5,0))</f>
        <v/>
      </c>
      <c r="AP355" s="31" t="inlineStr">
        <is>
          <t>Yes</t>
        </is>
      </c>
      <c r="AQ355" s="31">
        <f>IF(AP355="Yes",10,0)</f>
        <v/>
      </c>
      <c r="AR355" s="31" t="inlineStr">
        <is>
          <t>Higher One Time, Lower Annuity</t>
        </is>
      </c>
      <c r="AS355" s="31">
        <f>IF(AR355="Fully Annuity",10,IF(AR355="Higher Annuity, Lower One Time",5,IF(AR355="Higher One Time, Lower Annuity",3,0)))</f>
        <v/>
      </c>
      <c r="AT355" s="31" t="inlineStr">
        <is>
          <t>Good</t>
        </is>
      </c>
      <c r="AU355" s="31">
        <f>IF(AT355="Good",10,0)</f>
        <v/>
      </c>
      <c r="AV355" s="31" t="inlineStr">
        <is>
          <t>Yes for more than 2 years</t>
        </is>
      </c>
      <c r="AW355" s="31">
        <f>IF(AV355="Yes for more than 2 years",10,IF(AV355="Yes only for next 1 to 2 years",5,0))</f>
        <v/>
      </c>
      <c r="AX355" s="31" t="inlineStr">
        <is>
          <t>0 to 20</t>
        </is>
      </c>
      <c r="AY355" s="31">
        <f>IF(AX355="Above 40",20,IF(AX355="20 to 40",10,IF(AX355="0 to 20",-5,0)))</f>
        <v/>
      </c>
      <c r="AZ355" s="31" t="inlineStr">
        <is>
          <t>Between 50 to 75</t>
        </is>
      </c>
      <c r="BA355" s="31">
        <f>IF(AZ355="Between 50 to 75",10,IF(AZ355="Above 75",0,0))</f>
        <v/>
      </c>
      <c r="BB355" s="31" t="inlineStr">
        <is>
          <t>Stage 2</t>
        </is>
      </c>
      <c r="BC355" s="31">
        <f>IF(BB355="Stage 2",20,IF(BB355="Stage 1",0,IF(BB355="Stage 3",5,IF(BB355="Stage 4",-5,0))))</f>
        <v/>
      </c>
      <c r="BD355" s="31" t="inlineStr">
        <is>
          <t>Positive Trend</t>
        </is>
      </c>
      <c r="BE355" s="31">
        <f>IF(BD355="Positive Trend",20,IF(BD355="Negative Trend",-10,0))</f>
        <v/>
      </c>
      <c r="BF355" s="31" t="inlineStr">
        <is>
          <t>Uptrend</t>
        </is>
      </c>
      <c r="BG355" s="31">
        <f>IF(BF355="Uptrend",10,IF(BF355="Sideways",5,0))</f>
        <v/>
      </c>
      <c r="BH355" s="31" t="inlineStr">
        <is>
          <t>Uptrend</t>
        </is>
      </c>
      <c r="BI355" s="31">
        <f>IF(BH355="Uptrend",10,IF(BH355="Sideways",5,0))</f>
        <v/>
      </c>
      <c r="BJ355" s="31" t="inlineStr">
        <is>
          <t>Close to 52 week high or retracement</t>
        </is>
      </c>
      <c r="BK355" s="31">
        <f>IF(BJ355="Overhead supply in last 2 years in last 2 years",-5,IF(BJ355="Close to 52 week high or retracement",5,IF(BJ355="Blue sky scenario",10,IF(BJ355="Long term Downtrend",-10,0))))</f>
        <v/>
      </c>
      <c r="BL355" s="31" t="inlineStr">
        <is>
          <t>Yes</t>
        </is>
      </c>
      <c r="BM355" s="31">
        <f>IF(BL355="Yes",10,0)</f>
        <v/>
      </c>
      <c r="BN355" s="31" t="inlineStr">
        <is>
          <t>More than 20%</t>
        </is>
      </c>
      <c r="BO355" s="31">
        <f>IF(BN355="More than 20%",10,IF(BN355="Between 12 to 20%",5,IF(BN355="Less than 12%",0,0)))</f>
        <v/>
      </c>
      <c r="BP355" s="31" t="inlineStr">
        <is>
          <t>No</t>
        </is>
      </c>
      <c r="BQ355" s="31">
        <f>IF(BP355="No",10,0)</f>
        <v/>
      </c>
      <c r="BR355" s="31" t="inlineStr">
        <is>
          <t>No</t>
        </is>
      </c>
      <c r="BS355" s="31">
        <f>IF(BR355="NO",5,0)</f>
        <v/>
      </c>
      <c r="BT355" s="31" t="inlineStr">
        <is>
          <t>Above 2</t>
        </is>
      </c>
      <c r="BU355" s="31">
        <f>IF(BT355="Above 2",0,IF(BT355="Between 1.5 to 2",5,IF(BT355="Less than 1.5",10,0)))</f>
        <v/>
      </c>
      <c r="BV355" s="31" t="inlineStr">
        <is>
          <t>Negative</t>
        </is>
      </c>
      <c r="BW355" s="31">
        <f>IF(BV355="Above 70%",10,IF(BV355="Between 50% to 70%",5,IF(BV355="Less than 50%",0,IF(BV355="Negative",-10,IF(BV355="Less than 50% and Borrowings are increasing",-5,0)))))</f>
        <v/>
      </c>
      <c r="BX355" s="31" t="inlineStr">
        <is>
          <t>Less than 0.7</t>
        </is>
      </c>
      <c r="BY355" s="31">
        <f>IF(BX355="More than 1.2",-10,IF(BX355="Between 0.7 to 1.2",0,IF(BX355="Less than 0.7",10,0)))</f>
        <v/>
      </c>
      <c r="BZ355" s="31" t="inlineStr">
        <is>
          <t>No</t>
        </is>
      </c>
      <c r="CA355" s="31">
        <f>IF(BZ355="Yes",-10,0)</f>
        <v/>
      </c>
      <c r="CB355" s="31" t="inlineStr">
        <is>
          <t>Less than 15%</t>
        </is>
      </c>
      <c r="CC355" s="31">
        <f>IF(CB355="More than 15%",-10,IF(CB355="Less than 15%",10,0))</f>
        <v/>
      </c>
      <c r="CD355" s="31" t="inlineStr">
        <is>
          <t>No</t>
        </is>
      </c>
      <c r="CE355" s="31">
        <f>IF(CD355="Yes, more than 10%",-10,IF(CD355="No",10,0))</f>
        <v/>
      </c>
    </row>
    <row r="356">
      <c r="A356" s="31">
        <f>IF(B356=0,"",RANK(B356,$B$2:$B$379,0))</f>
        <v/>
      </c>
      <c r="B356" s="32">
        <f>SUM(N356,Y356,AA356,AC356,AE356,AG356,AI356,AK356,AM356,AO356,AQ356,AS356,AU356,AW356,AY356,BA356,BC356,BE356,BG356,BI356,BK356,BM356,BO356,BQ356,BS356,BU356,BW356,BY356,CA356,CC356,CE356)</f>
        <v/>
      </c>
      <c r="C356" s="31" t="inlineStr">
        <is>
          <t>SGIL</t>
        </is>
      </c>
      <c r="D356" s="31" t="inlineStr">
        <is>
          <t>Synergy Green Industries Ltd</t>
        </is>
      </c>
      <c r="E356" s="31" t="inlineStr">
        <is>
          <t>industrials</t>
        </is>
      </c>
      <c r="F356" s="31" t="inlineStr">
        <is>
          <t>castings &amp; forgings</t>
        </is>
      </c>
      <c r="G356" s="31" t="inlineStr">
        <is>
          <t>smallcap</t>
        </is>
      </c>
      <c r="H356" s="32" t="n">
        <v>910.35</v>
      </c>
      <c r="I356" s="32" t="n">
        <v>585.45</v>
      </c>
      <c r="J356" s="32" t="n">
        <v>-0.04</v>
      </c>
      <c r="K356" s="32" t="n">
        <v>7860</v>
      </c>
      <c r="L356" s="31" t="n">
        <v>21</v>
      </c>
      <c r="M356" s="31" t="inlineStr">
        <is>
          <t>Outperforming</t>
        </is>
      </c>
      <c r="N356" s="32">
        <f>IF(M356="Underperforming",-5,IF(L356&gt;=95,15,IF(L356&gt;=90,10,IF(L356&gt;=80,5,0))))</f>
        <v/>
      </c>
      <c r="O356" s="32" t="n">
        <v>59.3</v>
      </c>
      <c r="P356" s="32" t="n">
        <v>18.94</v>
      </c>
      <c r="Q356" s="32" t="n">
        <v>438.97</v>
      </c>
      <c r="R356" s="31" t="inlineStr">
        <is>
          <t>Near 52W High Breakout</t>
        </is>
      </c>
      <c r="S356" s="31" t="inlineStr">
        <is>
          <t>Nifty 50</t>
        </is>
      </c>
      <c r="T356" s="32" t="n">
        <v>-5.72</v>
      </c>
      <c r="U356" s="32" t="n">
        <v>11.21</v>
      </c>
      <c r="V356" s="32" t="n">
        <v>17.95</v>
      </c>
      <c r="W356" s="32" t="n">
        <v>6.67</v>
      </c>
      <c r="X356" s="31" t="inlineStr">
        <is>
          <t>Cyclical in an Upturn</t>
        </is>
      </c>
      <c r="Y356" s="31">
        <f>IF(X356="Growing Industry",10,IF(X356="Cyclical in an Upturn",5,0))</f>
        <v/>
      </c>
      <c r="Z356" s="31" t="inlineStr">
        <is>
          <t>Too Many Players with High ROCE</t>
        </is>
      </c>
      <c r="AA356" s="31">
        <f>IF(Z356="Monopoly",10,IF(Z356="Oligopoly",5,IF(Z356="Duopoly that cooperate",10,IF(Z356="Duopoly that compete",5,IF(Z356="Too many players with High ROCE",5,0)))))</f>
        <v/>
      </c>
      <c r="AB356" s="31" t="inlineStr">
        <is>
          <t>No</t>
        </is>
      </c>
      <c r="AC356" s="31">
        <f>IF(AB356="No",5,0)</f>
        <v/>
      </c>
      <c r="AD356" s="31" t="inlineStr">
        <is>
          <t>Tailwind</t>
        </is>
      </c>
      <c r="AE356" s="31">
        <f>IF(AD356="Tailwind",10,0)</f>
        <v/>
      </c>
      <c r="AF356" s="31" t="inlineStr">
        <is>
          <t>Structural (10 Years Consistency)</t>
        </is>
      </c>
      <c r="AG356" s="31">
        <f>IF(AF356="Structural (10 Years Consistency)",10,IF(AF356="Shallow Cyclical (2 to 3 years growth)",5,0))</f>
        <v/>
      </c>
      <c r="AH356" s="31" t="inlineStr">
        <is>
          <t>No</t>
        </is>
      </c>
      <c r="AI356" s="31">
        <f>IF(AH356="Yes due to Product Mix change or Operating Leverage",10,IF(AH356="Yes, these are peak margins",-5,IF(AH356="No",5,0)))</f>
        <v/>
      </c>
      <c r="AJ356" s="31" t="inlineStr">
        <is>
          <t>Stable</t>
        </is>
      </c>
      <c r="AK356" s="31">
        <f>IF(AJ356="Stable",10,0)</f>
        <v/>
      </c>
      <c r="AL356" s="31" t="inlineStr">
        <is>
          <t>Yes</t>
        </is>
      </c>
      <c r="AM356" s="31">
        <f>IF(AL356="Yes",10,0)</f>
        <v/>
      </c>
      <c r="AN356" s="31" t="inlineStr">
        <is>
          <t>B2B</t>
        </is>
      </c>
      <c r="AO356" s="31">
        <f>IF(AN356="B2C",10,IF(AN356="B2B",5,0))</f>
        <v/>
      </c>
      <c r="AP356" s="31" t="inlineStr">
        <is>
          <t>Yes</t>
        </is>
      </c>
      <c r="AQ356" s="31">
        <f>IF(AP356="Yes",10,0)</f>
        <v/>
      </c>
      <c r="AR356" s="31" t="inlineStr">
        <is>
          <t>Higher One Time, Lower Annuity</t>
        </is>
      </c>
      <c r="AS356" s="31">
        <f>IF(AR356="Fully Annuity",10,IF(AR356="Higher Annuity, Lower One Time",5,IF(AR356="Higher One Time, Lower Annuity",3,0)))</f>
        <v/>
      </c>
      <c r="AT356" s="31" t="inlineStr">
        <is>
          <t>Good</t>
        </is>
      </c>
      <c r="AU356" s="31">
        <f>IF(AT356="Good",10,0)</f>
        <v/>
      </c>
      <c r="AV356" s="31" t="inlineStr">
        <is>
          <t>Yes for more than 2 years</t>
        </is>
      </c>
      <c r="AW356" s="31">
        <f>IF(AV356="Yes for more than 2 years",10,IF(AV356="Yes only for next 1 to 2 years",5,0))</f>
        <v/>
      </c>
      <c r="AX356" s="31" t="inlineStr">
        <is>
          <t>0 to 20</t>
        </is>
      </c>
      <c r="AY356" s="31">
        <f>IF(AX356="Above 40",20,IF(AX356="20 to 40",10,IF(AX356="0 to 20",-5,0)))</f>
        <v/>
      </c>
      <c r="AZ356" s="31" t="inlineStr">
        <is>
          <t>Between 50 to 75</t>
        </is>
      </c>
      <c r="BA356" s="31">
        <f>IF(AZ356="Between 50 to 75",10,IF(AZ356="Above 75",0,0))</f>
        <v/>
      </c>
      <c r="BB356" s="31" t="inlineStr">
        <is>
          <t>Stage 2</t>
        </is>
      </c>
      <c r="BC356" s="31">
        <f>IF(BB356="Stage 2",20,IF(BB356="Stage 1",0,IF(BB356="Stage 3",5,IF(BB356="Stage 4",-5,0))))</f>
        <v/>
      </c>
      <c r="BD356" s="31" t="inlineStr">
        <is>
          <t>Positive Trend</t>
        </is>
      </c>
      <c r="BE356" s="31">
        <f>IF(BD356="Positive Trend",20,IF(BD356="Negative Trend",-10,0))</f>
        <v/>
      </c>
      <c r="BF356" s="31" t="inlineStr">
        <is>
          <t>Uptrend</t>
        </is>
      </c>
      <c r="BG356" s="31">
        <f>IF(BF356="Uptrend",10,IF(BF356="Sideways",5,0))</f>
        <v/>
      </c>
      <c r="BH356" s="31" t="inlineStr">
        <is>
          <t>Uptrend</t>
        </is>
      </c>
      <c r="BI356" s="31">
        <f>IF(BH356="Uptrend",10,IF(BH356="Sideways",5,0))</f>
        <v/>
      </c>
      <c r="BJ356" s="31" t="inlineStr">
        <is>
          <t>Blue sky scenario</t>
        </is>
      </c>
      <c r="BK356" s="31">
        <f>IF(BJ356="Overhead supply in last 2 years in last 2 years",-5,IF(BJ356="Close to 52 week high or retracement",5,IF(BJ356="Blue sky scenario",10,IF(BJ356="Long term Downtrend",-10,0))))</f>
        <v/>
      </c>
      <c r="BL356" s="31" t="inlineStr">
        <is>
          <t>Yes</t>
        </is>
      </c>
      <c r="BM356" s="31">
        <f>IF(BL356="Yes",10,0)</f>
        <v/>
      </c>
      <c r="BN356" s="31" t="inlineStr">
        <is>
          <t>Less than 12%</t>
        </is>
      </c>
      <c r="BO356" s="31">
        <f>IF(BN356="More than 20%",10,IF(BN356="Between 12 to 20%",5,IF(BN356="Less than 12%",0,0)))</f>
        <v/>
      </c>
      <c r="BP356" s="31" t="inlineStr">
        <is>
          <t>No</t>
        </is>
      </c>
      <c r="BQ356" s="31">
        <f>IF(BP356="No",10,0)</f>
        <v/>
      </c>
      <c r="BR356" s="31" t="inlineStr">
        <is>
          <t>Yes</t>
        </is>
      </c>
      <c r="BS356" s="31">
        <f>IF(BR356="NO",5,0)</f>
        <v/>
      </c>
      <c r="BT356" s="31" t="inlineStr">
        <is>
          <t>Above 2</t>
        </is>
      </c>
      <c r="BU356" s="31">
        <f>IF(BT356="Above 2",0,IF(BT356="Between 1.5 to 2",5,IF(BT356="Less than 1.5",10,0)))</f>
        <v/>
      </c>
      <c r="BV356" s="31" t="inlineStr">
        <is>
          <t>Less than 50% and Borrowings are increasing</t>
        </is>
      </c>
      <c r="BW356" s="31">
        <f>IF(BV356="Above 70%",10,IF(BV356="Between 50% to 70%",5,IF(BV356="Less than 50%",0,IF(BV356="Negative",-10,IF(BV356="Less than 50% and Borrowings are increasing",-5,0)))))</f>
        <v/>
      </c>
      <c r="BX356" s="31" t="inlineStr">
        <is>
          <t>More than 1.2</t>
        </is>
      </c>
      <c r="BY356" s="31">
        <f>IF(BX356="More than 1.2",-10,IF(BX356="Between 0.7 to 1.2",0,IF(BX356="Less than 0.7",10,0)))</f>
        <v/>
      </c>
      <c r="BZ356" s="31" t="inlineStr">
        <is>
          <t>No</t>
        </is>
      </c>
      <c r="CA356" s="31">
        <f>IF(BZ356="Yes",-10,0)</f>
        <v/>
      </c>
      <c r="CB356" s="31" t="inlineStr">
        <is>
          <t>Less than 15%</t>
        </is>
      </c>
      <c r="CC356" s="31">
        <f>IF(CB356="More than 15%",-10,IF(CB356="Less than 15%",10,0))</f>
        <v/>
      </c>
      <c r="CD356" s="31" t="inlineStr">
        <is>
          <t>No</t>
        </is>
      </c>
      <c r="CE356" s="31">
        <f>IF(CD356="Yes, more than 10%",-10,IF(CD356="No",10,0))</f>
        <v/>
      </c>
    </row>
    <row r="357">
      <c r="A357" s="31">
        <f>IF(B357=0,"",RANK(B357,$B$2:$B$379,0))</f>
        <v/>
      </c>
      <c r="B357" s="32">
        <f>SUM(N357,Y357,AA357,AC357,AE357,AG357,AI357,AK357,AM357,AO357,AQ357,AS357,AU357,AW357,AY357,BA357,BC357,BE357,BG357,BI357,BK357,BM357,BO357,BQ357,BS357,BU357,BW357,BY357,CA357,CC357,CE357)</f>
        <v/>
      </c>
      <c r="C357" s="31" t="inlineStr">
        <is>
          <t>POCL</t>
        </is>
      </c>
      <c r="D357" s="31" t="inlineStr">
        <is>
          <t>Pondy Oxides &amp; Chemicals Ltd</t>
        </is>
      </c>
      <c r="E357" s="31" t="inlineStr">
        <is>
          <t>metals &amp; mining</t>
        </is>
      </c>
      <c r="F357" s="31" t="inlineStr">
        <is>
          <t>mining / minerals / metals</t>
        </is>
      </c>
      <c r="G357" s="31" t="inlineStr">
        <is>
          <t>smallcap</t>
        </is>
      </c>
      <c r="H357" s="32" t="n">
        <v>4195</v>
      </c>
      <c r="I357" s="32" t="n">
        <v>1373.7</v>
      </c>
      <c r="J357" s="32" t="n">
        <v>-0.09</v>
      </c>
      <c r="K357" s="32" t="n">
        <v>272289</v>
      </c>
      <c r="L357" s="31" t="n">
        <v>59</v>
      </c>
      <c r="M357" s="31" t="inlineStr">
        <is>
          <t>Outperforming</t>
        </is>
      </c>
      <c r="N357" s="32">
        <f>IF(M357="Underperforming",-5,IF(L357&gt;=95,15,IF(L357&gt;=90,10,IF(L357&gt;=80,5,0))))</f>
        <v/>
      </c>
      <c r="O357" s="32" t="n">
        <v>56</v>
      </c>
      <c r="P357" s="32" t="n">
        <v>22.33</v>
      </c>
      <c r="Q357" s="32" t="n">
        <v>1120.44</v>
      </c>
      <c r="R357" s="31" t="inlineStr">
        <is>
          <t>Earnings / Momentum Support</t>
        </is>
      </c>
      <c r="S357" s="31" t="inlineStr">
        <is>
          <t>Nifty Metal</t>
        </is>
      </c>
      <c r="T357" s="32" t="n">
        <v>29.38</v>
      </c>
      <c r="U357" s="32" t="n">
        <v>47.63</v>
      </c>
      <c r="V357" s="32" t="n">
        <v>14.11</v>
      </c>
      <c r="W357" s="32" t="n">
        <v>16.24</v>
      </c>
      <c r="X357" s="31" t="inlineStr">
        <is>
          <t>Cyclical in an Upturn</t>
        </is>
      </c>
      <c r="Y357" s="31">
        <f>IF(X357="Growing Industry",10,IF(X357="Cyclical in an Upturn",5,0))</f>
        <v/>
      </c>
      <c r="Z357" s="31" t="inlineStr">
        <is>
          <t>Too Many Players with High ROCE</t>
        </is>
      </c>
      <c r="AA357" s="31">
        <f>IF(Z357="Monopoly",10,IF(Z357="Oligopoly",5,IF(Z357="Duopoly that cooperate",10,IF(Z357="Duopoly that compete",5,IF(Z357="Too many players with High ROCE",5,0)))))</f>
        <v/>
      </c>
      <c r="AB357" s="31" t="inlineStr">
        <is>
          <t>No</t>
        </is>
      </c>
      <c r="AC357" s="31">
        <f>IF(AB357="No",5,0)</f>
        <v/>
      </c>
      <c r="AD357" s="31" t="inlineStr">
        <is>
          <t>Headwind</t>
        </is>
      </c>
      <c r="AE357" s="31">
        <f>IF(AD357="Tailwind",10,0)</f>
        <v/>
      </c>
      <c r="AF357" s="31" t="inlineStr">
        <is>
          <t>Cyclical</t>
        </is>
      </c>
      <c r="AG357" s="31">
        <f>IF(AF357="Structural (10 Years Consistency)",10,IF(AF357="Shallow Cyclical (2 to 3 years growth)",5,0))</f>
        <v/>
      </c>
      <c r="AH357" s="31" t="inlineStr">
        <is>
          <t>No</t>
        </is>
      </c>
      <c r="AI357" s="31">
        <f>IF(AH357="Yes due to Product Mix change or Operating Leverage",10,IF(AH357="Yes, these are peak margins",-5,IF(AH357="No",5,0)))</f>
        <v/>
      </c>
      <c r="AJ357" s="31" t="inlineStr">
        <is>
          <t>Volatile</t>
        </is>
      </c>
      <c r="AK357" s="31">
        <f>IF(AJ357="Stable",10,0)</f>
        <v/>
      </c>
      <c r="AL357" s="31" t="inlineStr">
        <is>
          <t>Yes</t>
        </is>
      </c>
      <c r="AM357" s="31">
        <f>IF(AL357="Yes",10,0)</f>
        <v/>
      </c>
      <c r="AN357" s="31" t="inlineStr">
        <is>
          <t>B2B</t>
        </is>
      </c>
      <c r="AO357" s="31">
        <f>IF(AN357="B2C",10,IF(AN357="B2B",5,0))</f>
        <v/>
      </c>
      <c r="AP357" s="31" t="inlineStr">
        <is>
          <t>No</t>
        </is>
      </c>
      <c r="AQ357" s="31">
        <f>IF(AP357="Yes",10,0)</f>
        <v/>
      </c>
      <c r="AR357" s="31" t="inlineStr">
        <is>
          <t>Higher One Time, Lower Annuity</t>
        </is>
      </c>
      <c r="AS357" s="31">
        <f>IF(AR357="Fully Annuity",10,IF(AR357="Higher Annuity, Lower One Time",5,IF(AR357="Higher One Time, Lower Annuity",3,0)))</f>
        <v/>
      </c>
      <c r="AT357" s="31" t="inlineStr">
        <is>
          <t>Good</t>
        </is>
      </c>
      <c r="AU357" s="31">
        <f>IF(AT357="Good",10,0)</f>
        <v/>
      </c>
      <c r="AV357" s="31" t="inlineStr">
        <is>
          <t>Yes for more than 2 years</t>
        </is>
      </c>
      <c r="AW357" s="31">
        <f>IF(AV357="Yes for more than 2 years",10,IF(AV357="Yes only for next 1 to 2 years",5,0))</f>
        <v/>
      </c>
      <c r="AX357" s="31" t="inlineStr">
        <is>
          <t>20 to 40</t>
        </is>
      </c>
      <c r="AY357" s="31">
        <f>IF(AX357="Above 40",20,IF(AX357="20 to 40",10,IF(AX357="0 to 20",-5,0)))</f>
        <v/>
      </c>
      <c r="AZ357" s="31" t="inlineStr">
        <is>
          <t>Between 50 to 75</t>
        </is>
      </c>
      <c r="BA357" s="31">
        <f>IF(AZ357="Between 50 to 75",10,IF(AZ357="Above 75",0,0))</f>
        <v/>
      </c>
      <c r="BB357" s="31" t="inlineStr">
        <is>
          <t>Stage 2</t>
        </is>
      </c>
      <c r="BC357" s="31">
        <f>IF(BB357="Stage 2",20,IF(BB357="Stage 1",0,IF(BB357="Stage 3",5,IF(BB357="Stage 4",-5,0))))</f>
        <v/>
      </c>
      <c r="BD357" s="31" t="inlineStr">
        <is>
          <t>Positive Trend</t>
        </is>
      </c>
      <c r="BE357" s="31">
        <f>IF(BD357="Positive Trend",20,IF(BD357="Negative Trend",-10,0))</f>
        <v/>
      </c>
      <c r="BF357" s="31" t="inlineStr">
        <is>
          <t>Uptrend</t>
        </is>
      </c>
      <c r="BG357" s="31">
        <f>IF(BF357="Uptrend",10,IF(BF357="Sideways",5,0))</f>
        <v/>
      </c>
      <c r="BH357" s="31" t="inlineStr">
        <is>
          <t>Uptrend</t>
        </is>
      </c>
      <c r="BI357" s="31">
        <f>IF(BH357="Uptrend",10,IF(BH357="Sideways",5,0))</f>
        <v/>
      </c>
      <c r="BJ357" s="31" t="inlineStr">
        <is>
          <t>Close to 52 week high or retracement</t>
        </is>
      </c>
      <c r="BK357" s="31">
        <f>IF(BJ357="Overhead supply in last 2 years in last 2 years",-5,IF(BJ357="Close to 52 week high or retracement",5,IF(BJ357="Blue sky scenario",10,IF(BJ357="Long term Downtrend",-10,0))))</f>
        <v/>
      </c>
      <c r="BL357" s="31" t="inlineStr">
        <is>
          <t>Yes</t>
        </is>
      </c>
      <c r="BM357" s="31">
        <f>IF(BL357="Yes",10,0)</f>
        <v/>
      </c>
      <c r="BN357" s="31" t="inlineStr">
        <is>
          <t>More than 20%</t>
        </is>
      </c>
      <c r="BO357" s="31">
        <f>IF(BN357="More than 20%",10,IF(BN357="Between 12 to 20%",5,IF(BN357="Less than 12%",0,0)))</f>
        <v/>
      </c>
      <c r="BP357" s="31" t="inlineStr">
        <is>
          <t>No</t>
        </is>
      </c>
      <c r="BQ357" s="31">
        <f>IF(BP357="No",10,0)</f>
        <v/>
      </c>
      <c r="BR357" s="31" t="inlineStr">
        <is>
          <t>No</t>
        </is>
      </c>
      <c r="BS357" s="31">
        <f>IF(BR357="NO",5,0)</f>
        <v/>
      </c>
      <c r="BT357" s="31" t="inlineStr">
        <is>
          <t>Above 2</t>
        </is>
      </c>
      <c r="BU357" s="31">
        <f>IF(BT357="Above 2",0,IF(BT357="Between 1.5 to 2",5,IF(BT357="Less than 1.5",10,0)))</f>
        <v/>
      </c>
      <c r="BV357" s="31" t="inlineStr">
        <is>
          <t>Negative</t>
        </is>
      </c>
      <c r="BW357" s="31">
        <f>IF(BV357="Above 70%",10,IF(BV357="Between 50% to 70%",5,IF(BV357="Less than 50%",0,IF(BV357="Negative",-10,IF(BV357="Less than 50% and Borrowings are increasing",-5,0)))))</f>
        <v/>
      </c>
      <c r="BX357" s="31" t="inlineStr">
        <is>
          <t>Less than 0.7</t>
        </is>
      </c>
      <c r="BY357" s="31">
        <f>IF(BX357="More than 1.2",-10,IF(BX357="Between 0.7 to 1.2",0,IF(BX357="Less than 0.7",10,0)))</f>
        <v/>
      </c>
      <c r="BZ357" s="31" t="inlineStr">
        <is>
          <t>No</t>
        </is>
      </c>
      <c r="CA357" s="31">
        <f>IF(BZ357="Yes",-10,0)</f>
        <v/>
      </c>
      <c r="CB357" s="31" t="inlineStr">
        <is>
          <t>Less than 15%</t>
        </is>
      </c>
      <c r="CC357" s="31">
        <f>IF(CB357="More than 15%",-10,IF(CB357="Less than 15%",10,0))</f>
        <v/>
      </c>
      <c r="CD357" s="31" t="inlineStr">
        <is>
          <t>No</t>
        </is>
      </c>
      <c r="CE357" s="31">
        <f>IF(CD357="Yes, more than 10%",-10,IF(CD357="No",10,0))</f>
        <v/>
      </c>
    </row>
    <row r="358">
      <c r="A358" s="31">
        <f>IF(B358=0,"",RANK(B358,$B$2:$B$379,0))</f>
        <v/>
      </c>
      <c r="B358" s="32">
        <f>SUM(N358,Y358,AA358,AC358,AE358,AG358,AI358,AK358,AM358,AO358,AQ358,AS358,AU358,AW358,AY358,BA358,BC358,BE358,BG358,BI358,BK358,BM358,BO358,BQ358,BS358,BU358,BW358,BY358,CA358,CC358,CE358)</f>
        <v/>
      </c>
      <c r="C358" s="33" t="inlineStr">
        <is>
          <t>STEELXIND</t>
        </is>
      </c>
      <c r="D358" s="33" t="inlineStr">
        <is>
          <t>Steel Exchange India Ltd</t>
        </is>
      </c>
      <c r="E358" s="31" t="inlineStr">
        <is>
          <t>metals &amp; mining</t>
        </is>
      </c>
      <c r="F358" s="31" t="inlineStr">
        <is>
          <t>steel - medium / small</t>
        </is>
      </c>
      <c r="G358" s="31" t="inlineStr">
        <is>
          <t>smallcap</t>
        </is>
      </c>
      <c r="H358" s="32" t="n">
        <v>1598.22</v>
      </c>
      <c r="I358" s="32" t="n">
        <v>12.43</v>
      </c>
      <c r="J358" s="32" t="n">
        <v>-0.8</v>
      </c>
      <c r="K358" s="32" t="n">
        <v>5054175</v>
      </c>
      <c r="L358" s="31" t="n">
        <v>73</v>
      </c>
      <c r="M358" s="31" t="inlineStr">
        <is>
          <t>Underperforming</t>
        </is>
      </c>
      <c r="N358" s="32">
        <f>IF(M358="Underperforming",-5,IF(L358&gt;=95,15,IF(L358&gt;=90,10,IF(L358&gt;=80,5,0))))</f>
        <v/>
      </c>
      <c r="O358" s="32" t="n">
        <v>62.96</v>
      </c>
      <c r="P358" s="32" t="n">
        <v>26.19</v>
      </c>
      <c r="Q358" s="32" t="n">
        <v>9.35</v>
      </c>
      <c r="R358" s="31" t="inlineStr">
        <is>
          <t>Earnings / Momentum Support</t>
        </is>
      </c>
      <c r="S358" s="31" t="inlineStr">
        <is>
          <t>Nifty Metal</t>
        </is>
      </c>
      <c r="T358" s="32" t="n">
        <v>29.38</v>
      </c>
      <c r="U358" s="32" t="n">
        <v>24.3</v>
      </c>
      <c r="V358" s="32" t="n">
        <v>-3.92</v>
      </c>
      <c r="W358" s="32" t="n">
        <v>20.79</v>
      </c>
      <c r="X358" s="31" t="inlineStr">
        <is>
          <t>Cyclical in an Upturn</t>
        </is>
      </c>
      <c r="Y358" s="31">
        <f>IF(X358="Growing Industry",10,IF(X358="Cyclical in an Upturn",5,0))</f>
        <v/>
      </c>
      <c r="Z358" s="31" t="inlineStr">
        <is>
          <t>Too Many Players with High ROCE</t>
        </is>
      </c>
      <c r="AA358" s="31">
        <f>IF(Z358="Monopoly",10,IF(Z358="Oligopoly",5,IF(Z358="Duopoly that cooperate",10,IF(Z358="Duopoly that compete",5,IF(Z358="Too many players with High ROCE",5,0)))))</f>
        <v/>
      </c>
      <c r="AB358" s="31" t="inlineStr">
        <is>
          <t>No</t>
        </is>
      </c>
      <c r="AC358" s="31">
        <f>IF(AB358="No",5,0)</f>
        <v/>
      </c>
      <c r="AD358" s="31" t="inlineStr">
        <is>
          <t>Tailwind</t>
        </is>
      </c>
      <c r="AE358" s="31">
        <f>IF(AD358="Tailwind",10,0)</f>
        <v/>
      </c>
      <c r="AF358" s="31" t="inlineStr">
        <is>
          <t>Cyclical</t>
        </is>
      </c>
      <c r="AG358" s="31">
        <f>IF(AF358="Structural (10 Years Consistency)",10,IF(AF358="Shallow Cyclical (2 to 3 years growth)",5,0))</f>
        <v/>
      </c>
      <c r="AH358" s="31" t="inlineStr">
        <is>
          <t>No</t>
        </is>
      </c>
      <c r="AI358" s="31">
        <f>IF(AH358="Yes due to Product Mix change or Operating Leverage",10,IF(AH358="Yes, these are peak margins",-5,IF(AH358="No",5,0)))</f>
        <v/>
      </c>
      <c r="AJ358" s="31" t="inlineStr">
        <is>
          <t>Volatile</t>
        </is>
      </c>
      <c r="AK358" s="31">
        <f>IF(AJ358="Stable",10,0)</f>
        <v/>
      </c>
      <c r="AL358" s="31" t="inlineStr">
        <is>
          <t>Yes</t>
        </is>
      </c>
      <c r="AM358" s="31">
        <f>IF(AL358="Yes",10,0)</f>
        <v/>
      </c>
      <c r="AN358" s="31" t="inlineStr">
        <is>
          <t>B2B</t>
        </is>
      </c>
      <c r="AO358" s="31">
        <f>IF(AN358="B2C",10,IF(AN358="B2B",5,0))</f>
        <v/>
      </c>
      <c r="AP358" s="31" t="inlineStr">
        <is>
          <t>No</t>
        </is>
      </c>
      <c r="AQ358" s="31">
        <f>IF(AP358="Yes",10,0)</f>
        <v/>
      </c>
      <c r="AR358" s="31" t="inlineStr">
        <is>
          <t>Higher One Time, Lower Annuity</t>
        </is>
      </c>
      <c r="AS358" s="31">
        <f>IF(AR358="Fully Annuity",10,IF(AR358="Higher Annuity, Lower One Time",5,IF(AR358="Higher One Time, Lower Annuity",3,0)))</f>
        <v/>
      </c>
      <c r="AT358" s="31" t="inlineStr">
        <is>
          <t>Good</t>
        </is>
      </c>
      <c r="AU358" s="31">
        <f>IF(AT358="Good",10,0)</f>
        <v/>
      </c>
      <c r="AV358" s="31" t="inlineStr">
        <is>
          <t>Yes for more than 2 years</t>
        </is>
      </c>
      <c r="AW358" s="31">
        <f>IF(AV358="Yes for more than 2 years",10,IF(AV358="Yes only for next 1 to 2 years",5,0))</f>
        <v/>
      </c>
      <c r="AX358" s="31" t="inlineStr">
        <is>
          <t>20 to 40</t>
        </is>
      </c>
      <c r="AY358" s="31">
        <f>IF(AX358="Above 40",20,IF(AX358="20 to 40",10,IF(AX358="0 to 20",-5,0)))</f>
        <v/>
      </c>
      <c r="AZ358" s="31" t="inlineStr">
        <is>
          <t>Between 50 to 75</t>
        </is>
      </c>
      <c r="BA358" s="31">
        <f>IF(AZ358="Between 50 to 75",10,IF(AZ358="Above 75",0,0))</f>
        <v/>
      </c>
      <c r="BB358" s="31" t="inlineStr">
        <is>
          <t>Stage 2</t>
        </is>
      </c>
      <c r="BC358" s="31">
        <f>IF(BB358="Stage 2",20,IF(BB358="Stage 1",0,IF(BB358="Stage 3",5,IF(BB358="Stage 4",-5,0))))</f>
        <v/>
      </c>
      <c r="BD358" s="31" t="inlineStr">
        <is>
          <t>Positive Trend</t>
        </is>
      </c>
      <c r="BE358" s="31">
        <f>IF(BD358="Positive Trend",20,IF(BD358="Negative Trend",-10,0))</f>
        <v/>
      </c>
      <c r="BF358" s="31" t="inlineStr">
        <is>
          <t>Uptrend</t>
        </is>
      </c>
      <c r="BG358" s="31">
        <f>IF(BF358="Uptrend",10,IF(BF358="Sideways",5,0))</f>
        <v/>
      </c>
      <c r="BH358" s="31" t="inlineStr">
        <is>
          <t>Uptrend</t>
        </is>
      </c>
      <c r="BI358" s="31">
        <f>IF(BH358="Uptrend",10,IF(BH358="Sideways",5,0))</f>
        <v/>
      </c>
      <c r="BJ358" s="31" t="inlineStr">
        <is>
          <t>Close to 52 week high or retracement</t>
        </is>
      </c>
      <c r="BK358" s="31">
        <f>IF(BJ358="Overhead supply in last 2 years in last 2 years",-5,IF(BJ358="Close to 52 week high or retracement",5,IF(BJ358="Blue sky scenario",10,IF(BJ358="Long term Downtrend",-10,0))))</f>
        <v/>
      </c>
      <c r="BL358" s="31" t="inlineStr">
        <is>
          <t>Yes</t>
        </is>
      </c>
      <c r="BM358" s="31">
        <f>IF(BL358="Yes",10,0)</f>
        <v/>
      </c>
      <c r="BN358" s="31" t="inlineStr">
        <is>
          <t>More than 20%</t>
        </is>
      </c>
      <c r="BO358" s="31">
        <f>IF(BN358="More than 20%",10,IF(BN358="Between 12 to 20%",5,IF(BN358="Less than 12%",0,0)))</f>
        <v/>
      </c>
      <c r="BP358" s="31" t="inlineStr">
        <is>
          <t>No</t>
        </is>
      </c>
      <c r="BQ358" s="31">
        <f>IF(BP358="No",10,0)</f>
        <v/>
      </c>
      <c r="BR358" s="31" t="inlineStr">
        <is>
          <t>Yes</t>
        </is>
      </c>
      <c r="BS358" s="31">
        <f>IF(BR358="NO",5,0)</f>
        <v/>
      </c>
      <c r="BT358" s="31" t="inlineStr">
        <is>
          <t>Above 2</t>
        </is>
      </c>
      <c r="BU358" s="31">
        <f>IF(BT358="Above 2",0,IF(BT358="Between 1.5 to 2",5,IF(BT358="Less than 1.5",10,0)))</f>
        <v/>
      </c>
      <c r="BV358" s="31" t="inlineStr">
        <is>
          <t>Negative</t>
        </is>
      </c>
      <c r="BW358" s="31">
        <f>IF(BV358="Above 70%",10,IF(BV358="Between 50% to 70%",5,IF(BV358="Less than 50%",0,IF(BV358="Negative",-10,IF(BV358="Less than 50% and Borrowings are increasing",-5,0)))))</f>
        <v/>
      </c>
      <c r="BX358" s="31" t="inlineStr">
        <is>
          <t>Less than 0.7</t>
        </is>
      </c>
      <c r="BY358" s="31">
        <f>IF(BX358="More than 1.2",-10,IF(BX358="Between 0.7 to 1.2",0,IF(BX358="Less than 0.7",10,0)))</f>
        <v/>
      </c>
      <c r="BZ358" s="31" t="inlineStr">
        <is>
          <t>No</t>
        </is>
      </c>
      <c r="CA358" s="31">
        <f>IF(BZ358="Yes",-10,0)</f>
        <v/>
      </c>
      <c r="CB358" s="31" t="inlineStr">
        <is>
          <t>Less than 15%</t>
        </is>
      </c>
      <c r="CC358" s="31">
        <f>IF(CB358="More than 15%",-10,IF(CB358="Less than 15%",10,0))</f>
        <v/>
      </c>
      <c r="CD358" s="31" t="inlineStr">
        <is>
          <t>No</t>
        </is>
      </c>
      <c r="CE358" s="31">
        <f>IF(CD358="Yes, more than 10%",-10,IF(CD358="No",10,0))</f>
        <v/>
      </c>
    </row>
    <row r="359">
      <c r="A359" s="31">
        <f>IF(B359=0,"",RANK(B359,$B$2:$B$379,0))</f>
        <v/>
      </c>
      <c r="B359" s="32">
        <f>SUM(N359,Y359,AA359,AC359,AE359,AG359,AI359,AK359,AM359,AO359,AQ359,AS359,AU359,AW359,AY359,BA359,BC359,BE359,BG359,BI359,BK359,BM359,BO359,BQ359,BS359,BU359,BW359,BY359,CA359,CC359,CE359)</f>
        <v/>
      </c>
      <c r="C359" s="31" t="inlineStr">
        <is>
          <t>DIAMONDYD</t>
        </is>
      </c>
      <c r="D359" s="31" t="inlineStr">
        <is>
          <t>Prataap Snacks Ltd</t>
        </is>
      </c>
      <c r="E359" s="31" t="inlineStr">
        <is>
          <t>fmcg</t>
        </is>
      </c>
      <c r="F359" s="31" t="inlineStr">
        <is>
          <t>food - processing - indian</t>
        </is>
      </c>
      <c r="G359" s="31" t="inlineStr">
        <is>
          <t>smallcap</t>
        </is>
      </c>
      <c r="H359" s="32" t="n">
        <v>2750.34</v>
      </c>
      <c r="I359" s="32" t="n">
        <v>1130.8</v>
      </c>
      <c r="J359" s="32" t="n">
        <v>-1.72</v>
      </c>
      <c r="K359" s="32" t="n">
        <v>7654</v>
      </c>
      <c r="L359" s="31" t="n">
        <v>22</v>
      </c>
      <c r="M359" s="31" t="inlineStr">
        <is>
          <t>Outperforming</t>
        </is>
      </c>
      <c r="N359" s="32">
        <f>IF(M359="Underperforming",-5,IF(L359&gt;=95,15,IF(L359&gt;=90,10,IF(L359&gt;=80,5,0))))</f>
        <v/>
      </c>
      <c r="O359" s="32" t="n">
        <v>59.44</v>
      </c>
      <c r="P359" s="32" t="n">
        <v>19.49</v>
      </c>
      <c r="Q359" s="32" t="n">
        <v>933.59</v>
      </c>
      <c r="R359" s="31" t="inlineStr">
        <is>
          <t>Earnings / Momentum Support</t>
        </is>
      </c>
      <c r="S359" s="31" t="inlineStr">
        <is>
          <t>Nifty FMCG</t>
        </is>
      </c>
      <c r="T359" s="32" t="n">
        <v>-9</v>
      </c>
      <c r="U359" s="32" t="n">
        <v>10.12</v>
      </c>
      <c r="V359" s="32" t="n">
        <v>21.02</v>
      </c>
      <c r="W359" s="32" t="n">
        <v>6.69</v>
      </c>
      <c r="X359" s="31" t="inlineStr">
        <is>
          <t>Growing Industry</t>
        </is>
      </c>
      <c r="Y359" s="31">
        <f>IF(X359="Growing Industry",10,IF(X359="Cyclical in an Upturn",5,0))</f>
        <v/>
      </c>
      <c r="Z359" s="31" t="inlineStr">
        <is>
          <t>Too Many Players with High ROCE</t>
        </is>
      </c>
      <c r="AA359" s="31">
        <f>IF(Z359="Monopoly",10,IF(Z359="Oligopoly",5,IF(Z359="Duopoly that cooperate",10,IF(Z359="Duopoly that compete",5,IF(Z359="Too many players with High ROCE",5,0)))))</f>
        <v/>
      </c>
      <c r="AB359" s="31" t="inlineStr">
        <is>
          <t>No</t>
        </is>
      </c>
      <c r="AC359" s="31">
        <f>IF(AB359="No",5,0)</f>
        <v/>
      </c>
      <c r="AD359" s="31" t="inlineStr">
        <is>
          <t>Headwind</t>
        </is>
      </c>
      <c r="AE359" s="31">
        <f>IF(AD359="Tailwind",10,0)</f>
        <v/>
      </c>
      <c r="AF359" s="31" t="inlineStr">
        <is>
          <t>Structural (10 Years Consistency)</t>
        </is>
      </c>
      <c r="AG359" s="31">
        <f>IF(AF359="Structural (10 Years Consistency)",10,IF(AF359="Shallow Cyclical (2 to 3 years growth)",5,0))</f>
        <v/>
      </c>
      <c r="AH359" s="31" t="inlineStr">
        <is>
          <t>No</t>
        </is>
      </c>
      <c r="AI359" s="31">
        <f>IF(AH359="Yes due to Product Mix change or Operating Leverage",10,IF(AH359="Yes, these are peak margins",-5,IF(AH359="No",5,0)))</f>
        <v/>
      </c>
      <c r="AJ359" s="31" t="inlineStr">
        <is>
          <t>Stable</t>
        </is>
      </c>
      <c r="AK359" s="31">
        <f>IF(AJ359="Stable",10,0)</f>
        <v/>
      </c>
      <c r="AL359" s="31" t="inlineStr">
        <is>
          <t>Yes</t>
        </is>
      </c>
      <c r="AM359" s="31">
        <f>IF(AL359="Yes",10,0)</f>
        <v/>
      </c>
      <c r="AN359" s="31" t="inlineStr">
        <is>
          <t>B2C</t>
        </is>
      </c>
      <c r="AO359" s="31">
        <f>IF(AN359="B2C",10,IF(AN359="B2B",5,0))</f>
        <v/>
      </c>
      <c r="AP359" s="31" t="inlineStr">
        <is>
          <t>No</t>
        </is>
      </c>
      <c r="AQ359" s="31">
        <f>IF(AP359="Yes",10,0)</f>
        <v/>
      </c>
      <c r="AR359" s="31" t="inlineStr">
        <is>
          <t>Higher Annuity, Lower One Time</t>
        </is>
      </c>
      <c r="AS359" s="31">
        <f>IF(AR359="Fully Annuity",10,IF(AR359="Higher Annuity, Lower One Time",5,IF(AR359="Higher One Time, Lower Annuity",3,0)))</f>
        <v/>
      </c>
      <c r="AT359" s="31" t="inlineStr">
        <is>
          <t>Good</t>
        </is>
      </c>
      <c r="AU359" s="31">
        <f>IF(AT359="Good",10,0)</f>
        <v/>
      </c>
      <c r="AV359" s="31" t="inlineStr">
        <is>
          <t>Yes for more than 2 years</t>
        </is>
      </c>
      <c r="AW359" s="31">
        <f>IF(AV359="Yes for more than 2 years",10,IF(AV359="Yes only for next 1 to 2 years",5,0))</f>
        <v/>
      </c>
      <c r="AX359" s="31" t="inlineStr">
        <is>
          <t>0 to 20</t>
        </is>
      </c>
      <c r="AY359" s="31">
        <f>IF(AX359="Above 40",20,IF(AX359="20 to 40",10,IF(AX359="0 to 20",-5,0)))</f>
        <v/>
      </c>
      <c r="AZ359" s="31" t="inlineStr">
        <is>
          <t>Between 50 to 75</t>
        </is>
      </c>
      <c r="BA359" s="31">
        <f>IF(AZ359="Between 50 to 75",10,IF(AZ359="Above 75",0,0))</f>
        <v/>
      </c>
      <c r="BB359" s="31" t="inlineStr">
        <is>
          <t>Stage 2</t>
        </is>
      </c>
      <c r="BC359" s="31">
        <f>IF(BB359="Stage 2",20,IF(BB359="Stage 1",0,IF(BB359="Stage 3",5,IF(BB359="Stage 4",-5,0))))</f>
        <v/>
      </c>
      <c r="BD359" s="31" t="inlineStr">
        <is>
          <t>Negative Trend</t>
        </is>
      </c>
      <c r="BE359" s="31">
        <f>IF(BD359="Positive Trend",20,IF(BD359="Negative Trend",-10,0))</f>
        <v/>
      </c>
      <c r="BF359" s="31" t="inlineStr">
        <is>
          <t>Uptrend</t>
        </is>
      </c>
      <c r="BG359" s="31">
        <f>IF(BF359="Uptrend",10,IF(BF359="Sideways",5,0))</f>
        <v/>
      </c>
      <c r="BH359" s="31" t="inlineStr">
        <is>
          <t>Uptrend</t>
        </is>
      </c>
      <c r="BI359" s="31">
        <f>IF(BH359="Uptrend",10,IF(BH359="Sideways",5,0))</f>
        <v/>
      </c>
      <c r="BJ359" s="31" t="inlineStr">
        <is>
          <t>Close to 52 week high or retracement</t>
        </is>
      </c>
      <c r="BK359" s="31">
        <f>IF(BJ359="Overhead supply in last 2 years in last 2 years",-5,IF(BJ359="Close to 52 week high or retracement",5,IF(BJ359="Blue sky scenario",10,IF(BJ359="Long term Downtrend",-10,0))))</f>
        <v/>
      </c>
      <c r="BL359" s="31" t="inlineStr">
        <is>
          <t>Yes</t>
        </is>
      </c>
      <c r="BM359" s="31">
        <f>IF(BL359="Yes",10,0)</f>
        <v/>
      </c>
      <c r="BN359" s="31" t="inlineStr">
        <is>
          <t>More than 20%</t>
        </is>
      </c>
      <c r="BO359" s="31">
        <f>IF(BN359="More than 20%",10,IF(BN359="Between 12 to 20%",5,IF(BN359="Less than 12%",0,0)))</f>
        <v/>
      </c>
      <c r="BP359" s="31" t="inlineStr">
        <is>
          <t>No</t>
        </is>
      </c>
      <c r="BQ359" s="31">
        <f>IF(BP359="No",10,0)</f>
        <v/>
      </c>
      <c r="BR359" s="31" t="inlineStr">
        <is>
          <t>Yes</t>
        </is>
      </c>
      <c r="BS359" s="31">
        <f>IF(BR359="NO",5,0)</f>
        <v/>
      </c>
      <c r="BT359" s="31" t="inlineStr">
        <is>
          <t>Above 2</t>
        </is>
      </c>
      <c r="BU359" s="31">
        <f>IF(BT359="Above 2",0,IF(BT359="Between 1.5 to 2",5,IF(BT359="Less than 1.5",10,0)))</f>
        <v/>
      </c>
      <c r="BV359" s="31" t="inlineStr">
        <is>
          <t>Between 50% to 70%</t>
        </is>
      </c>
      <c r="BW359" s="31">
        <f>IF(BV359="Above 70%",10,IF(BV359="Between 50% to 70%",5,IF(BV359="Less than 50%",0,IF(BV359="Negative",-10,IF(BV359="Less than 50% and Borrowings are increasing",-5,0)))))</f>
        <v/>
      </c>
      <c r="BX359" s="31" t="inlineStr">
        <is>
          <t>Less than 0.7</t>
        </is>
      </c>
      <c r="BY359" s="31">
        <f>IF(BX359="More than 1.2",-10,IF(BX359="Between 0.7 to 1.2",0,IF(BX359="Less than 0.7",10,0)))</f>
        <v/>
      </c>
      <c r="BZ359" s="31" t="inlineStr">
        <is>
          <t>No</t>
        </is>
      </c>
      <c r="CA359" s="31">
        <f>IF(BZ359="Yes",-10,0)</f>
        <v/>
      </c>
      <c r="CB359" s="31" t="inlineStr">
        <is>
          <t>Less than 15%</t>
        </is>
      </c>
      <c r="CC359" s="31">
        <f>IF(CB359="More than 15%",-10,IF(CB359="Less than 15%",10,0))</f>
        <v/>
      </c>
      <c r="CD359" s="31" t="inlineStr">
        <is>
          <t>No</t>
        </is>
      </c>
      <c r="CE359" s="31">
        <f>IF(CD359="Yes, more than 10%",-10,IF(CD359="No",10,0))</f>
        <v/>
      </c>
    </row>
    <row r="360">
      <c r="A360" s="31">
        <f>IF(B360=0,"",RANK(B360,$B$2:$B$379,0))</f>
        <v/>
      </c>
      <c r="B360" s="32">
        <f>SUM(N360,Y360,AA360,AC360,AE360,AG360,AI360,AK360,AM360,AO360,AQ360,AS360,AU360,AW360,AY360,BA360,BC360,BE360,BG360,BI360,BK360,BM360,BO360,BQ360,BS360,BU360,BW360,BY360,CA360,CC360,CE360)</f>
        <v/>
      </c>
      <c r="C360" s="31" t="inlineStr">
        <is>
          <t>TBOTEK</t>
        </is>
      </c>
      <c r="D360" s="31" t="inlineStr">
        <is>
          <t>TBO Tek Ltd</t>
        </is>
      </c>
      <c r="E360" s="31" t="inlineStr">
        <is>
          <t>i.t</t>
        </is>
      </c>
      <c r="F360" s="31" t="inlineStr">
        <is>
          <t>travel agencies</t>
        </is>
      </c>
      <c r="G360" s="31" t="inlineStr">
        <is>
          <t>midcap</t>
        </is>
      </c>
      <c r="H360" s="32" t="n">
        <v>15524.8</v>
      </c>
      <c r="I360" s="32" t="n">
        <v>1512</v>
      </c>
      <c r="J360" s="32" t="n">
        <v>5.76</v>
      </c>
      <c r="K360" s="32" t="n">
        <v>359718</v>
      </c>
      <c r="L360" s="31" t="n">
        <v>44</v>
      </c>
      <c r="M360" s="31" t="inlineStr">
        <is>
          <t>Outperforming</t>
        </is>
      </c>
      <c r="N360" s="32">
        <f>IF(M360="Underperforming",-5,IF(L360&gt;=95,15,IF(L360&gt;=90,10,IF(L360&gt;=80,5,0))))</f>
        <v/>
      </c>
      <c r="O360" s="32" t="n">
        <v>60.79</v>
      </c>
      <c r="P360" s="32" t="n">
        <v>15.28</v>
      </c>
      <c r="Q360" s="32" t="n">
        <v>1147.02</v>
      </c>
      <c r="R360" s="31" t="inlineStr">
        <is>
          <t>Earnings / Momentum Support</t>
        </is>
      </c>
      <c r="S360" s="31" t="inlineStr">
        <is>
          <t>Nifty IT</t>
        </is>
      </c>
      <c r="T360" s="32" t="n">
        <v>-34.2</v>
      </c>
      <c r="U360" s="32" t="n">
        <v>6.08</v>
      </c>
      <c r="V360" s="32" t="n">
        <v>61.23</v>
      </c>
      <c r="W360" s="32" t="n">
        <v>11.6</v>
      </c>
      <c r="X360" s="31" t="inlineStr">
        <is>
          <t>Growing Industry</t>
        </is>
      </c>
      <c r="Y360" s="31">
        <f>IF(X360="Growing Industry",10,IF(X360="Cyclical in an Upturn",5,0))</f>
        <v/>
      </c>
      <c r="Z360" s="31" t="inlineStr">
        <is>
          <t>Too Many Players with High ROCE</t>
        </is>
      </c>
      <c r="AA360" s="31">
        <f>IF(Z360="Monopoly",10,IF(Z360="Oligopoly",5,IF(Z360="Duopoly that cooperate",10,IF(Z360="Duopoly that compete",5,IF(Z360="Too many players with High ROCE",5,0)))))</f>
        <v/>
      </c>
      <c r="AB360" s="31" t="inlineStr">
        <is>
          <t>No</t>
        </is>
      </c>
      <c r="AC360" s="31">
        <f>IF(AB360="No",5,0)</f>
        <v/>
      </c>
      <c r="AD360" s="31" t="inlineStr">
        <is>
          <t>Headwind</t>
        </is>
      </c>
      <c r="AE360" s="31">
        <f>IF(AD360="Tailwind",10,0)</f>
        <v/>
      </c>
      <c r="AF360" s="31" t="inlineStr">
        <is>
          <t>Structural (10 Years Consistency)</t>
        </is>
      </c>
      <c r="AG360" s="31">
        <f>IF(AF360="Structural (10 Years Consistency)",10,IF(AF360="Shallow Cyclical (2 to 3 years growth)",5,0))</f>
        <v/>
      </c>
      <c r="AH360" s="31" t="inlineStr">
        <is>
          <t>No</t>
        </is>
      </c>
      <c r="AI360" s="31">
        <f>IF(AH360="Yes due to Product Mix change or Operating Leverage",10,IF(AH360="Yes, these are peak margins",-5,IF(AH360="No",5,0)))</f>
        <v/>
      </c>
      <c r="AJ360" s="31" t="inlineStr">
        <is>
          <t>Stable</t>
        </is>
      </c>
      <c r="AK360" s="31">
        <f>IF(AJ360="Stable",10,0)</f>
        <v/>
      </c>
      <c r="AL360" s="31" t="inlineStr">
        <is>
          <t>Yes</t>
        </is>
      </c>
      <c r="AM360" s="31">
        <f>IF(AL360="Yes",10,0)</f>
        <v/>
      </c>
      <c r="AN360" s="31" t="inlineStr">
        <is>
          <t>B2B</t>
        </is>
      </c>
      <c r="AO360" s="31">
        <f>IF(AN360="B2C",10,IF(AN360="B2B",5,0))</f>
        <v/>
      </c>
      <c r="AP360" s="31" t="inlineStr">
        <is>
          <t>No</t>
        </is>
      </c>
      <c r="AQ360" s="31">
        <f>IF(AP360="Yes",10,0)</f>
        <v/>
      </c>
      <c r="AR360" s="31" t="inlineStr">
        <is>
          <t>Higher One Time, Lower Annuity</t>
        </is>
      </c>
      <c r="AS360" s="31">
        <f>IF(AR360="Fully Annuity",10,IF(AR360="Higher Annuity, Lower One Time",5,IF(AR360="Higher One Time, Lower Annuity",3,0)))</f>
        <v/>
      </c>
      <c r="AT360" s="31" t="inlineStr">
        <is>
          <t>Good</t>
        </is>
      </c>
      <c r="AU360" s="31">
        <f>IF(AT360="Good",10,0)</f>
        <v/>
      </c>
      <c r="AV360" s="31" t="inlineStr">
        <is>
          <t>Yes for more than 2 years</t>
        </is>
      </c>
      <c r="AW360" s="31">
        <f>IF(AV360="Yes for more than 2 years",10,IF(AV360="Yes only for next 1 to 2 years",5,0))</f>
        <v/>
      </c>
      <c r="AX360" s="31" t="inlineStr">
        <is>
          <t>0 to 20</t>
        </is>
      </c>
      <c r="AY360" s="31">
        <f>IF(AX360="Above 40",20,IF(AX360="20 to 40",10,IF(AX360="0 to 20",-5,0)))</f>
        <v/>
      </c>
      <c r="AZ360" s="31" t="inlineStr">
        <is>
          <t>Between 50 to 75</t>
        </is>
      </c>
      <c r="BA360" s="31">
        <f>IF(AZ360="Between 50 to 75",10,IF(AZ360="Above 75",0,0))</f>
        <v/>
      </c>
      <c r="BB360" s="31" t="inlineStr">
        <is>
          <t>Stage 2</t>
        </is>
      </c>
      <c r="BC360" s="31">
        <f>IF(BB360="Stage 2",20,IF(BB360="Stage 1",0,IF(BB360="Stage 3",5,IF(BB360="Stage 4",-5,0))))</f>
        <v/>
      </c>
      <c r="BD360" s="31" t="inlineStr">
        <is>
          <t>Positive Trend</t>
        </is>
      </c>
      <c r="BE360" s="31">
        <f>IF(BD360="Positive Trend",20,IF(BD360="Negative Trend",-10,0))</f>
        <v/>
      </c>
      <c r="BF360" s="31" t="inlineStr">
        <is>
          <t>Uptrend</t>
        </is>
      </c>
      <c r="BG360" s="31">
        <f>IF(BF360="Uptrend",10,IF(BF360="Sideways",5,0))</f>
        <v/>
      </c>
      <c r="BH360" s="31" t="inlineStr">
        <is>
          <t>Uptrend</t>
        </is>
      </c>
      <c r="BI360" s="31">
        <f>IF(BH360="Uptrend",10,IF(BH360="Sideways",5,0))</f>
        <v/>
      </c>
      <c r="BJ360" s="31" t="inlineStr">
        <is>
          <t>Close to 52 week high or retracement</t>
        </is>
      </c>
      <c r="BK360" s="31">
        <f>IF(BJ360="Overhead supply in last 2 years in last 2 years",-5,IF(BJ360="Close to 52 week high or retracement",5,IF(BJ360="Blue sky scenario",10,IF(BJ360="Long term Downtrend",-10,0))))</f>
        <v/>
      </c>
      <c r="BL360" s="31" t="inlineStr">
        <is>
          <t>Yes</t>
        </is>
      </c>
      <c r="BM360" s="31">
        <f>IF(BL360="Yes",10,0)</f>
        <v/>
      </c>
      <c r="BN360" s="31" t="inlineStr">
        <is>
          <t>Less than 12%</t>
        </is>
      </c>
      <c r="BO360" s="31">
        <f>IF(BN360="More than 20%",10,IF(BN360="Between 12 to 20%",5,IF(BN360="Less than 12%",0,0)))</f>
        <v/>
      </c>
      <c r="BP360" s="31" t="inlineStr">
        <is>
          <t>No</t>
        </is>
      </c>
      <c r="BQ360" s="31">
        <f>IF(BP360="No",10,0)</f>
        <v/>
      </c>
      <c r="BR360" s="31" t="inlineStr">
        <is>
          <t>Yes</t>
        </is>
      </c>
      <c r="BS360" s="31">
        <f>IF(BR360="NO",5,0)</f>
        <v/>
      </c>
      <c r="BT360" s="31" t="inlineStr">
        <is>
          <t>Above 2</t>
        </is>
      </c>
      <c r="BU360" s="31">
        <f>IF(BT360="Above 2",0,IF(BT360="Between 1.5 to 2",5,IF(BT360="Less than 1.5",10,0)))</f>
        <v/>
      </c>
      <c r="BV360" s="31" t="inlineStr">
        <is>
          <t>Negative</t>
        </is>
      </c>
      <c r="BW360" s="31">
        <f>IF(BV360="Above 70%",10,IF(BV360="Between 50% to 70%",5,IF(BV360="Less than 50%",0,IF(BV360="Negative",-10,IF(BV360="Less than 50% and Borrowings are increasing",-5,0)))))</f>
        <v/>
      </c>
      <c r="BX360" s="31" t="inlineStr">
        <is>
          <t>Less than 0.7</t>
        </is>
      </c>
      <c r="BY360" s="31">
        <f>IF(BX360="More than 1.2",-10,IF(BX360="Between 0.7 to 1.2",0,IF(BX360="Less than 0.7",10,0)))</f>
        <v/>
      </c>
      <c r="BZ360" s="31" t="inlineStr">
        <is>
          <t>No</t>
        </is>
      </c>
      <c r="CA360" s="31">
        <f>IF(BZ360="Yes",-10,0)</f>
        <v/>
      </c>
      <c r="CB360" s="31" t="inlineStr">
        <is>
          <t>Less than 15%</t>
        </is>
      </c>
      <c r="CC360" s="31">
        <f>IF(CB360="More than 15%",-10,IF(CB360="Less than 15%",10,0))</f>
        <v/>
      </c>
      <c r="CD360" s="31" t="inlineStr">
        <is>
          <t>No</t>
        </is>
      </c>
      <c r="CE360" s="31">
        <f>IF(CD360="Yes, more than 10%",-10,IF(CD360="No",10,0))</f>
        <v/>
      </c>
    </row>
    <row r="361">
      <c r="A361" s="31">
        <f>IF(B361=0,"",RANK(B361,$B$2:$B$379,0))</f>
        <v/>
      </c>
      <c r="B361" s="32">
        <f>SUM(N361,Y361,AA361,AC361,AE361,AG361,AI361,AK361,AM361,AO361,AQ361,AS361,AU361,AW361,AY361,BA361,BC361,BE361,BG361,BI361,BK361,BM361,BO361,BQ361,BS361,BU361,BW361,BY361,CA361,CC361,CE361)</f>
        <v/>
      </c>
      <c r="C361" s="31" t="inlineStr">
        <is>
          <t>SVLL</t>
        </is>
      </c>
      <c r="D361" s="31" t="inlineStr">
        <is>
          <t>Shree Vasu Logistics Ltd</t>
        </is>
      </c>
      <c r="E361" s="31" t="inlineStr">
        <is>
          <t>transportation</t>
        </is>
      </c>
      <c r="F361" s="31" t="inlineStr">
        <is>
          <t>miscellaneous</t>
        </is>
      </c>
      <c r="G361" s="31" t="inlineStr">
        <is>
          <t>smallcap</t>
        </is>
      </c>
      <c r="H361" s="32" t="n">
        <v>787.78</v>
      </c>
      <c r="I361" s="32" t="n">
        <v>718</v>
      </c>
      <c r="J361" s="32" t="n">
        <v>4.76</v>
      </c>
      <c r="K361" s="32" t="n">
        <v>1907</v>
      </c>
      <c r="L361" s="31" t="n">
        <v>35</v>
      </c>
      <c r="M361" s="31" t="inlineStr">
        <is>
          <t>Outperforming</t>
        </is>
      </c>
      <c r="N361" s="32">
        <f>IF(M361="Underperforming",-5,IF(L361&gt;=95,15,IF(L361&gt;=90,10,IF(L361&gt;=80,5,0))))</f>
        <v/>
      </c>
      <c r="O361" s="32" t="n">
        <v>59.64</v>
      </c>
      <c r="P361" s="32" t="n">
        <v>27.5</v>
      </c>
      <c r="Q361" s="32" t="n">
        <v>492.66</v>
      </c>
      <c r="R361" s="31" t="inlineStr">
        <is>
          <t>Earnings / Momentum Support</t>
        </is>
      </c>
      <c r="S361" s="31" t="inlineStr">
        <is>
          <t>Nifty 50</t>
        </is>
      </c>
      <c r="T361" s="32" t="n">
        <v>-5.72</v>
      </c>
      <c r="U361" s="32" t="n">
        <v>1.51</v>
      </c>
      <c r="V361" s="32" t="n">
        <v>7.66</v>
      </c>
      <c r="W361" s="32" t="n">
        <v>10.21</v>
      </c>
      <c r="X361" s="31" t="inlineStr">
        <is>
          <t>Growing Industry</t>
        </is>
      </c>
      <c r="Y361" s="31">
        <f>IF(X361="Growing Industry",10,IF(X361="Cyclical in an Upturn",5,0))</f>
        <v/>
      </c>
      <c r="Z361" s="31" t="inlineStr">
        <is>
          <t>Too Many Players with High ROCE</t>
        </is>
      </c>
      <c r="AA361" s="31">
        <f>IF(Z361="Monopoly",10,IF(Z361="Oligopoly",5,IF(Z361="Duopoly that cooperate",10,IF(Z361="Duopoly that compete",5,IF(Z361="Too many players with High ROCE",5,0)))))</f>
        <v/>
      </c>
      <c r="AB361" s="31" t="inlineStr">
        <is>
          <t>No</t>
        </is>
      </c>
      <c r="AC361" s="31">
        <f>IF(AB361="No",5,0)</f>
        <v/>
      </c>
      <c r="AD361" s="31" t="inlineStr">
        <is>
          <t>Tailwind</t>
        </is>
      </c>
      <c r="AE361" s="31">
        <f>IF(AD361="Tailwind",10,0)</f>
        <v/>
      </c>
      <c r="AF361" s="31" t="inlineStr">
        <is>
          <t>Structural (10 Years Consistency)</t>
        </is>
      </c>
      <c r="AG361" s="31">
        <f>IF(AF361="Structural (10 Years Consistency)",10,IF(AF361="Shallow Cyclical (2 to 3 years growth)",5,0))</f>
        <v/>
      </c>
      <c r="AH361" s="31" t="inlineStr">
        <is>
          <t>No</t>
        </is>
      </c>
      <c r="AI361" s="31">
        <f>IF(AH361="Yes due to Product Mix change or Operating Leverage",10,IF(AH361="Yes, these are peak margins",-5,IF(AH361="No",5,0)))</f>
        <v/>
      </c>
      <c r="AJ361" s="31" t="inlineStr">
        <is>
          <t>Stable</t>
        </is>
      </c>
      <c r="AK361" s="31">
        <f>IF(AJ361="Stable",10,0)</f>
        <v/>
      </c>
      <c r="AL361" s="31" t="inlineStr">
        <is>
          <t>Yes</t>
        </is>
      </c>
      <c r="AM361" s="31">
        <f>IF(AL361="Yes",10,0)</f>
        <v/>
      </c>
      <c r="AN361" s="31" t="inlineStr">
        <is>
          <t>B2B</t>
        </is>
      </c>
      <c r="AO361" s="31">
        <f>IF(AN361="B2C",10,IF(AN361="B2B",5,0))</f>
        <v/>
      </c>
      <c r="AP361" s="31" t="inlineStr">
        <is>
          <t>No</t>
        </is>
      </c>
      <c r="AQ361" s="31">
        <f>IF(AP361="Yes",10,0)</f>
        <v/>
      </c>
      <c r="AR361" s="31" t="inlineStr">
        <is>
          <t>Higher One Time, Lower Annuity</t>
        </is>
      </c>
      <c r="AS361" s="31">
        <f>IF(AR361="Fully Annuity",10,IF(AR361="Higher Annuity, Lower One Time",5,IF(AR361="Higher One Time, Lower Annuity",3,0)))</f>
        <v/>
      </c>
      <c r="AT361" s="31" t="inlineStr">
        <is>
          <t>Good</t>
        </is>
      </c>
      <c r="AU361" s="31">
        <f>IF(AT361="Good",10,0)</f>
        <v/>
      </c>
      <c r="AV361" s="31" t="inlineStr">
        <is>
          <t>Yes for more than 2 years</t>
        </is>
      </c>
      <c r="AW361" s="31">
        <f>IF(AV361="Yes for more than 2 years",10,IF(AV361="Yes only for next 1 to 2 years",5,0))</f>
        <v/>
      </c>
      <c r="AX361" s="31" t="inlineStr">
        <is>
          <t>20 to 40</t>
        </is>
      </c>
      <c r="AY361" s="31">
        <f>IF(AX361="Above 40",20,IF(AX361="20 to 40",10,IF(AX361="0 to 20",-5,0)))</f>
        <v/>
      </c>
      <c r="AZ361" s="31" t="inlineStr">
        <is>
          <t>Between 50 to 75</t>
        </is>
      </c>
      <c r="BA361" s="31">
        <f>IF(AZ361="Between 50 to 75",10,IF(AZ361="Above 75",0,0))</f>
        <v/>
      </c>
      <c r="BB361" s="31" t="inlineStr">
        <is>
          <t>Stage 2</t>
        </is>
      </c>
      <c r="BC361" s="31">
        <f>IF(BB361="Stage 2",20,IF(BB361="Stage 1",0,IF(BB361="Stage 3",5,IF(BB361="Stage 4",-5,0))))</f>
        <v/>
      </c>
      <c r="BD361" s="31" t="inlineStr">
        <is>
          <t>Negative Trend</t>
        </is>
      </c>
      <c r="BE361" s="31">
        <f>IF(BD361="Positive Trend",20,IF(BD361="Negative Trend",-10,0))</f>
        <v/>
      </c>
      <c r="BF361" s="31" t="inlineStr">
        <is>
          <t>Uptrend</t>
        </is>
      </c>
      <c r="BG361" s="31">
        <f>IF(BF361="Uptrend",10,IF(BF361="Sideways",5,0))</f>
        <v/>
      </c>
      <c r="BH361" s="31" t="inlineStr">
        <is>
          <t>Uptrend</t>
        </is>
      </c>
      <c r="BI361" s="31">
        <f>IF(BH361="Uptrend",10,IF(BH361="Sideways",5,0))</f>
        <v/>
      </c>
      <c r="BJ361" s="31" t="inlineStr">
        <is>
          <t>Close to 52 week high or retracement</t>
        </is>
      </c>
      <c r="BK361" s="31">
        <f>IF(BJ361="Overhead supply in last 2 years in last 2 years",-5,IF(BJ361="Close to 52 week high or retracement",5,IF(BJ361="Blue sky scenario",10,IF(BJ361="Long term Downtrend",-10,0))))</f>
        <v/>
      </c>
      <c r="BL361" s="31" t="inlineStr">
        <is>
          <t>Yes</t>
        </is>
      </c>
      <c r="BM361" s="31">
        <f>IF(BL361="Yes",10,0)</f>
        <v/>
      </c>
      <c r="BN361" s="31" t="inlineStr">
        <is>
          <t>More than 20%</t>
        </is>
      </c>
      <c r="BO361" s="31">
        <f>IF(BN361="More than 20%",10,IF(BN361="Between 12 to 20%",5,IF(BN361="Less than 12%",0,0)))</f>
        <v/>
      </c>
      <c r="BP361" s="31" t="inlineStr">
        <is>
          <t>No</t>
        </is>
      </c>
      <c r="BQ361" s="31">
        <f>IF(BP361="No",10,0)</f>
        <v/>
      </c>
      <c r="BR361" s="31" t="inlineStr">
        <is>
          <t>Yes</t>
        </is>
      </c>
      <c r="BS361" s="31">
        <f>IF(BR361="NO",5,0)</f>
        <v/>
      </c>
      <c r="BT361" s="31" t="inlineStr">
        <is>
          <t>Above 2</t>
        </is>
      </c>
      <c r="BU361" s="31">
        <f>IF(BT361="Above 2",0,IF(BT361="Between 1.5 to 2",5,IF(BT361="Less than 1.5",10,0)))</f>
        <v/>
      </c>
      <c r="BV361" s="31" t="inlineStr">
        <is>
          <t>Between 50% to 70%</t>
        </is>
      </c>
      <c r="BW361" s="31">
        <f>IF(BV361="Above 70%",10,IF(BV361="Between 50% to 70%",5,IF(BV361="Less than 50%",0,IF(BV361="Negative",-10,IF(BV361="Less than 50% and Borrowings are increasing",-5,0)))))</f>
        <v/>
      </c>
      <c r="BX361" s="31" t="inlineStr">
        <is>
          <t>More than 1.2</t>
        </is>
      </c>
      <c r="BY361" s="31">
        <f>IF(BX361="More than 1.2",-10,IF(BX361="Between 0.7 to 1.2",0,IF(BX361="Less than 0.7",10,0)))</f>
        <v/>
      </c>
      <c r="BZ361" s="31" t="inlineStr">
        <is>
          <t>No</t>
        </is>
      </c>
      <c r="CA361" s="31">
        <f>IF(BZ361="Yes",-10,0)</f>
        <v/>
      </c>
      <c r="CB361" s="31" t="inlineStr">
        <is>
          <t>Less than 15%</t>
        </is>
      </c>
      <c r="CC361" s="31">
        <f>IF(CB361="More than 15%",-10,IF(CB361="Less than 15%",10,0))</f>
        <v/>
      </c>
      <c r="CD361" s="31" t="inlineStr">
        <is>
          <t>No</t>
        </is>
      </c>
      <c r="CE361" s="31">
        <f>IF(CD361="Yes, more than 10%",-10,IF(CD361="No",10,0))</f>
        <v/>
      </c>
    </row>
    <row r="362">
      <c r="A362" s="31">
        <f>IF(B362=0,"",RANK(B362,$B$2:$B$379,0))</f>
        <v/>
      </c>
      <c r="B362" s="32">
        <f>SUM(N362,Y362,AA362,AC362,AE362,AG362,AI362,AK362,AM362,AO362,AQ362,AS362,AU362,AW362,AY362,BA362,BC362,BE362,BG362,BI362,BK362,BM362,BO362,BQ362,BS362,BU362,BW362,BY362,CA362,CC362,CE362)</f>
        <v/>
      </c>
      <c r="C362" s="31" t="inlineStr">
        <is>
          <t>TI</t>
        </is>
      </c>
      <c r="D362" s="31" t="inlineStr">
        <is>
          <t>Tilaknagar Industries Limited</t>
        </is>
      </c>
      <c r="E362" s="31" t="inlineStr">
        <is>
          <t>fmcg</t>
        </is>
      </c>
      <c r="F362" s="31" t="inlineStr">
        <is>
          <t>breweries &amp; distilleries</t>
        </is>
      </c>
      <c r="G362" s="31" t="inlineStr">
        <is>
          <t>midcap</t>
        </is>
      </c>
      <c r="H362" s="32" t="n">
        <v>11249.98</v>
      </c>
      <c r="I362" s="32" t="n">
        <v>453.2</v>
      </c>
      <c r="J362" s="32" t="n">
        <v>-0.43</v>
      </c>
      <c r="K362" s="32" t="n">
        <v>402540</v>
      </c>
      <c r="L362" s="31" t="n">
        <v>27</v>
      </c>
      <c r="M362" s="31" t="inlineStr">
        <is>
          <t>Outperforming</t>
        </is>
      </c>
      <c r="N362" s="32">
        <f>IF(M362="Underperforming",-5,IF(L362&gt;=95,15,IF(L362&gt;=90,10,IF(L362&gt;=80,5,0))))</f>
        <v/>
      </c>
      <c r="O362" s="32" t="n">
        <v>52.73</v>
      </c>
      <c r="P362" s="32" t="n">
        <v>8.699999999999999</v>
      </c>
      <c r="Q362" s="32" t="n">
        <v>372.61</v>
      </c>
      <c r="R362" s="31" t="inlineStr">
        <is>
          <t>Earnings / Momentum Support</t>
        </is>
      </c>
      <c r="S362" s="31" t="inlineStr">
        <is>
          <t>Nifty FMCG</t>
        </is>
      </c>
      <c r="T362" s="32" t="n">
        <v>-9</v>
      </c>
      <c r="U362" s="32" t="n">
        <v>33.17</v>
      </c>
      <c r="V362" s="32" t="n">
        <v>46.35</v>
      </c>
      <c r="W362" s="32" t="n">
        <v>8.31</v>
      </c>
      <c r="X362" s="31" t="inlineStr">
        <is>
          <t>Growing Industry</t>
        </is>
      </c>
      <c r="Y362" s="31">
        <f>IF(X362="Growing Industry",10,IF(X362="Cyclical in an Upturn",5,0))</f>
        <v/>
      </c>
      <c r="Z362" s="31" t="inlineStr">
        <is>
          <t>Too Many Players with High ROCE</t>
        </is>
      </c>
      <c r="AA362" s="31">
        <f>IF(Z362="Monopoly",10,IF(Z362="Oligopoly",5,IF(Z362="Duopoly that cooperate",10,IF(Z362="Duopoly that compete",5,IF(Z362="Too many players with High ROCE",5,0)))))</f>
        <v/>
      </c>
      <c r="AB362" s="31" t="inlineStr">
        <is>
          <t>No</t>
        </is>
      </c>
      <c r="AC362" s="31">
        <f>IF(AB362="No",5,0)</f>
        <v/>
      </c>
      <c r="AD362" s="31" t="inlineStr">
        <is>
          <t>Tailwind</t>
        </is>
      </c>
      <c r="AE362" s="31">
        <f>IF(AD362="Tailwind",10,0)</f>
        <v/>
      </c>
      <c r="AF362" s="31" t="inlineStr">
        <is>
          <t>Structural (10 Years Consistency)</t>
        </is>
      </c>
      <c r="AG362" s="31">
        <f>IF(AF362="Structural (10 Years Consistency)",10,IF(AF362="Shallow Cyclical (2 to 3 years growth)",5,0))</f>
        <v/>
      </c>
      <c r="AH362" s="31" t="inlineStr">
        <is>
          <t>No</t>
        </is>
      </c>
      <c r="AI362" s="31">
        <f>IF(AH362="Yes due to Product Mix change or Operating Leverage",10,IF(AH362="Yes, these are peak margins",-5,IF(AH362="No",5,0)))</f>
        <v/>
      </c>
      <c r="AJ362" s="31" t="inlineStr">
        <is>
          <t>Stable</t>
        </is>
      </c>
      <c r="AK362" s="31">
        <f>IF(AJ362="Stable",10,0)</f>
        <v/>
      </c>
      <c r="AL362" s="31" t="inlineStr">
        <is>
          <t>Yes</t>
        </is>
      </c>
      <c r="AM362" s="31">
        <f>IF(AL362="Yes",10,0)</f>
        <v/>
      </c>
      <c r="AN362" s="31" t="inlineStr">
        <is>
          <t>B2C</t>
        </is>
      </c>
      <c r="AO362" s="31">
        <f>IF(AN362="B2C",10,IF(AN362="B2B",5,0))</f>
        <v/>
      </c>
      <c r="AP362" s="31" t="inlineStr">
        <is>
          <t>No</t>
        </is>
      </c>
      <c r="AQ362" s="31">
        <f>IF(AP362="Yes",10,0)</f>
        <v/>
      </c>
      <c r="AR362" s="31" t="inlineStr">
        <is>
          <t>Higher Annuity, Lower One Time</t>
        </is>
      </c>
      <c r="AS362" s="31">
        <f>IF(AR362="Fully Annuity",10,IF(AR362="Higher Annuity, Lower One Time",5,IF(AR362="Higher One Time, Lower Annuity",3,0)))</f>
        <v/>
      </c>
      <c r="AT362" s="31" t="inlineStr">
        <is>
          <t>Good</t>
        </is>
      </c>
      <c r="AU362" s="31">
        <f>IF(AT362="Good",10,0)</f>
        <v/>
      </c>
      <c r="AV362" s="31" t="inlineStr">
        <is>
          <t>Yes for more than 2 years</t>
        </is>
      </c>
      <c r="AW362" s="31">
        <f>IF(AV362="Yes for more than 2 years",10,IF(AV362="Yes only for next 1 to 2 years",5,0))</f>
        <v/>
      </c>
      <c r="AX362" s="31" t="inlineStr">
        <is>
          <t>0 to 20</t>
        </is>
      </c>
      <c r="AY362" s="31">
        <f>IF(AX362="Above 40",20,IF(AX362="20 to 40",10,IF(AX362="0 to 20",-5,0)))</f>
        <v/>
      </c>
      <c r="AZ362" s="31" t="inlineStr">
        <is>
          <t>Between 50 to 75</t>
        </is>
      </c>
      <c r="BA362" s="31">
        <f>IF(AZ362="Between 50 to 75",10,IF(AZ362="Above 75",0,0))</f>
        <v/>
      </c>
      <c r="BB362" s="31" t="inlineStr">
        <is>
          <t>Stage 1</t>
        </is>
      </c>
      <c r="BC362" s="31">
        <f>IF(BB362="Stage 2",20,IF(BB362="Stage 1",0,IF(BB362="Stage 3",5,IF(BB362="Stage 4",-5,0))))</f>
        <v/>
      </c>
      <c r="BD362" s="31" t="inlineStr">
        <is>
          <t>Positive Trend</t>
        </is>
      </c>
      <c r="BE362" s="31">
        <f>IF(BD362="Positive Trend",20,IF(BD362="Negative Trend",-10,0))</f>
        <v/>
      </c>
      <c r="BF362" s="31" t="inlineStr">
        <is>
          <t>Uptrend</t>
        </is>
      </c>
      <c r="BG362" s="31">
        <f>IF(BF362="Uptrend",10,IF(BF362="Sideways",5,0))</f>
        <v/>
      </c>
      <c r="BH362" s="31" t="inlineStr">
        <is>
          <t>Uptrend</t>
        </is>
      </c>
      <c r="BI362" s="31">
        <f>IF(BH362="Uptrend",10,IF(BH362="Sideways",5,0))</f>
        <v/>
      </c>
      <c r="BJ362" s="31" t="inlineStr">
        <is>
          <t>Close to 52 week high or retracement</t>
        </is>
      </c>
      <c r="BK362" s="31">
        <f>IF(BJ362="Overhead supply in last 2 years in last 2 years",-5,IF(BJ362="Close to 52 week high or retracement",5,IF(BJ362="Blue sky scenario",10,IF(BJ362="Long term Downtrend",-10,0))))</f>
        <v/>
      </c>
      <c r="BL362" s="31" t="inlineStr">
        <is>
          <t>Yes</t>
        </is>
      </c>
      <c r="BM362" s="31">
        <f>IF(BL362="Yes",10,0)</f>
        <v/>
      </c>
      <c r="BN362" s="31" t="inlineStr">
        <is>
          <t>More than 20%</t>
        </is>
      </c>
      <c r="BO362" s="31">
        <f>IF(BN362="More than 20%",10,IF(BN362="Between 12 to 20%",5,IF(BN362="Less than 12%",0,0)))</f>
        <v/>
      </c>
      <c r="BP362" s="31" t="inlineStr">
        <is>
          <t>No</t>
        </is>
      </c>
      <c r="BQ362" s="31">
        <f>IF(BP362="No",10,0)</f>
        <v/>
      </c>
      <c r="BR362" s="31" t="inlineStr">
        <is>
          <t>Yes</t>
        </is>
      </c>
      <c r="BS362" s="31">
        <f>IF(BR362="NO",5,0)</f>
        <v/>
      </c>
      <c r="BT362" s="31" t="inlineStr">
        <is>
          <t>Above 2</t>
        </is>
      </c>
      <c r="BU362" s="31">
        <f>IF(BT362="Above 2",0,IF(BT362="Between 1.5 to 2",5,IF(BT362="Less than 1.5",10,0)))</f>
        <v/>
      </c>
      <c r="BV362" s="31" t="inlineStr">
        <is>
          <t>Negative</t>
        </is>
      </c>
      <c r="BW362" s="31">
        <f>IF(BV362="Above 70%",10,IF(BV362="Between 50% to 70%",5,IF(BV362="Less than 50%",0,IF(BV362="Negative",-10,IF(BV362="Less than 50% and Borrowings are increasing",-5,0)))))</f>
        <v/>
      </c>
      <c r="BX362" s="31" t="inlineStr">
        <is>
          <t>Between 0.7 to 1.2</t>
        </is>
      </c>
      <c r="BY362" s="31">
        <f>IF(BX362="More than 1.2",-10,IF(BX362="Between 0.7 to 1.2",0,IF(BX362="Less than 0.7",10,0)))</f>
        <v/>
      </c>
      <c r="BZ362" s="31" t="inlineStr">
        <is>
          <t>No</t>
        </is>
      </c>
      <c r="CA362" s="31">
        <f>IF(BZ362="Yes",-10,0)</f>
        <v/>
      </c>
      <c r="CB362" s="31" t="inlineStr">
        <is>
          <t>Less than 15%</t>
        </is>
      </c>
      <c r="CC362" s="31">
        <f>IF(CB362="More than 15%",-10,IF(CB362="Less than 15%",10,0))</f>
        <v/>
      </c>
      <c r="CD362" s="31" t="inlineStr">
        <is>
          <t>No</t>
        </is>
      </c>
      <c r="CE362" s="31">
        <f>IF(CD362="Yes, more than 10%",-10,IF(CD362="No",10,0))</f>
        <v/>
      </c>
    </row>
    <row r="363">
      <c r="A363" s="31">
        <f>IF(B363=0,"",RANK(B363,$B$2:$B$379,0))</f>
        <v/>
      </c>
      <c r="B363" s="32">
        <f>SUM(N363,Y363,AA363,AC363,AE363,AG363,AI363,AK363,AM363,AO363,AQ363,AS363,AU363,AW363,AY363,BA363,BC363,BE363,BG363,BI363,BK363,BM363,BO363,BQ363,BS363,BU363,BW363,BY363,CA363,CC363,CE363)</f>
        <v/>
      </c>
      <c r="C363" s="31" t="inlineStr">
        <is>
          <t>ATGL</t>
        </is>
      </c>
      <c r="D363" s="31" t="inlineStr">
        <is>
          <t>Adani Total Gas Ltd</t>
        </is>
      </c>
      <c r="E363" s="31" t="inlineStr">
        <is>
          <t>energy</t>
        </is>
      </c>
      <c r="F363" s="31" t="inlineStr">
        <is>
          <t>miscellaneous</t>
        </is>
      </c>
      <c r="G363" s="31" t="inlineStr">
        <is>
          <t>largecap</t>
        </is>
      </c>
      <c r="H363" s="32" t="n">
        <v>80456.61</v>
      </c>
      <c r="I363" s="32" t="n">
        <v>734</v>
      </c>
      <c r="J363" s="32" t="n">
        <v>0.33</v>
      </c>
      <c r="K363" s="32" t="n">
        <v>2668073</v>
      </c>
      <c r="L363" s="31" t="n">
        <v>46</v>
      </c>
      <c r="M363" s="31" t="inlineStr">
        <is>
          <t>Outperforming</t>
        </is>
      </c>
      <c r="N363" s="32">
        <f>IF(M363="Underperforming",-5,IF(L363&gt;=95,15,IF(L363&gt;=90,10,IF(L363&gt;=80,5,0))))</f>
        <v/>
      </c>
      <c r="O363" s="32" t="n">
        <v>64.84</v>
      </c>
      <c r="P363" s="32" t="n">
        <v>52.49</v>
      </c>
      <c r="Q363" s="32" t="n">
        <v>585.95</v>
      </c>
      <c r="R363" s="31" t="inlineStr">
        <is>
          <t>Earnings / Momentum Support</t>
        </is>
      </c>
      <c r="S363" s="31" t="inlineStr">
        <is>
          <t>Nifty Energy</t>
        </is>
      </c>
      <c r="T363" s="32" t="n">
        <v>8.92</v>
      </c>
      <c r="U363" s="32" t="n">
        <v>11.23</v>
      </c>
      <c r="V363" s="32" t="n">
        <v>2.13</v>
      </c>
      <c r="W363" s="32" t="n">
        <v>11.93</v>
      </c>
      <c r="X363" s="31" t="inlineStr">
        <is>
          <t>Cyclical in an Upturn</t>
        </is>
      </c>
      <c r="Y363" s="31">
        <f>IF(X363="Growing Industry",10,IF(X363="Cyclical in an Upturn",5,0))</f>
        <v/>
      </c>
      <c r="Z363" s="31" t="inlineStr">
        <is>
          <t>Oligopoly</t>
        </is>
      </c>
      <c r="AA363" s="31">
        <f>IF(Z363="Monopoly",10,IF(Z363="Oligopoly",5,IF(Z363="Duopoly that cooperate",10,IF(Z363="Duopoly that compete",5,IF(Z363="Too many players with High ROCE",5,0)))))</f>
        <v/>
      </c>
      <c r="AB363" s="31" t="inlineStr">
        <is>
          <t>Yes</t>
        </is>
      </c>
      <c r="AC363" s="31">
        <f>IF(AB363="No",5,0)</f>
        <v/>
      </c>
      <c r="AD363" s="31" t="inlineStr">
        <is>
          <t>Tailwind</t>
        </is>
      </c>
      <c r="AE363" s="31">
        <f>IF(AD363="Tailwind",10,0)</f>
        <v/>
      </c>
      <c r="AF363" s="31" t="inlineStr">
        <is>
          <t>Cyclical</t>
        </is>
      </c>
      <c r="AG363" s="31">
        <f>IF(AF363="Structural (10 Years Consistency)",10,IF(AF363="Shallow Cyclical (2 to 3 years growth)",5,0))</f>
        <v/>
      </c>
      <c r="AH363" s="31" t="inlineStr">
        <is>
          <t>No</t>
        </is>
      </c>
      <c r="AI363" s="31">
        <f>IF(AH363="Yes due to Product Mix change or Operating Leverage",10,IF(AH363="Yes, these are peak margins",-5,IF(AH363="No",5,0)))</f>
        <v/>
      </c>
      <c r="AJ363" s="31" t="inlineStr">
        <is>
          <t>Volatile</t>
        </is>
      </c>
      <c r="AK363" s="31">
        <f>IF(AJ363="Stable",10,0)</f>
        <v/>
      </c>
      <c r="AL363" s="31" t="inlineStr">
        <is>
          <t>Yes</t>
        </is>
      </c>
      <c r="AM363" s="31">
        <f>IF(AL363="Yes",10,0)</f>
        <v/>
      </c>
      <c r="AN363" s="31" t="inlineStr">
        <is>
          <t>B2B</t>
        </is>
      </c>
      <c r="AO363" s="31">
        <f>IF(AN363="B2C",10,IF(AN363="B2B",5,0))</f>
        <v/>
      </c>
      <c r="AP363" s="31" t="inlineStr">
        <is>
          <t>No</t>
        </is>
      </c>
      <c r="AQ363" s="31">
        <f>IF(AP363="Yes",10,0)</f>
        <v/>
      </c>
      <c r="AR363" s="31" t="inlineStr">
        <is>
          <t>Higher One Time, Lower Annuity</t>
        </is>
      </c>
      <c r="AS363" s="31">
        <f>IF(AR363="Fully Annuity",10,IF(AR363="Higher Annuity, Lower One Time",5,IF(AR363="Higher One Time, Lower Annuity",3,0)))</f>
        <v/>
      </c>
      <c r="AT363" s="31" t="inlineStr">
        <is>
          <t>Good</t>
        </is>
      </c>
      <c r="AU363" s="31">
        <f>IF(AT363="Good",10,0)</f>
        <v/>
      </c>
      <c r="AV363" s="31" t="inlineStr">
        <is>
          <t>Yes for more than 2 years</t>
        </is>
      </c>
      <c r="AW363" s="31">
        <f>IF(AV363="Yes for more than 2 years",10,IF(AV363="Yes only for next 1 to 2 years",5,0))</f>
        <v/>
      </c>
      <c r="AX363" s="31" t="inlineStr">
        <is>
          <t>Above 40</t>
        </is>
      </c>
      <c r="AY363" s="31">
        <f>IF(AX363="Above 40",20,IF(AX363="20 to 40",10,IF(AX363="0 to 20",-5,0)))</f>
        <v/>
      </c>
      <c r="AZ363" s="31" t="inlineStr">
        <is>
          <t>Between 50 to 75</t>
        </is>
      </c>
      <c r="BA363" s="31">
        <f>IF(AZ363="Between 50 to 75",10,IF(AZ363="Above 75",0,0))</f>
        <v/>
      </c>
      <c r="BB363" s="31" t="inlineStr">
        <is>
          <t>Stage 2</t>
        </is>
      </c>
      <c r="BC363" s="31">
        <f>IF(BB363="Stage 2",20,IF(BB363="Stage 1",0,IF(BB363="Stage 3",5,IF(BB363="Stage 4",-5,0))))</f>
        <v/>
      </c>
      <c r="BD363" s="31" t="inlineStr">
        <is>
          <t>Negative Trend</t>
        </is>
      </c>
      <c r="BE363" s="31">
        <f>IF(BD363="Positive Trend",20,IF(BD363="Negative Trend",-10,0))</f>
        <v/>
      </c>
      <c r="BF363" s="31" t="inlineStr">
        <is>
          <t>Uptrend</t>
        </is>
      </c>
      <c r="BG363" s="31">
        <f>IF(BF363="Uptrend",10,IF(BF363="Sideways",5,0))</f>
        <v/>
      </c>
      <c r="BH363" s="31" t="inlineStr">
        <is>
          <t>Uptrend</t>
        </is>
      </c>
      <c r="BI363" s="31">
        <f>IF(BH363="Uptrend",10,IF(BH363="Sideways",5,0))</f>
        <v/>
      </c>
      <c r="BJ363" s="31" t="inlineStr">
        <is>
          <t>Close to 52 week high or retracement</t>
        </is>
      </c>
      <c r="BK363" s="31">
        <f>IF(BJ363="Overhead supply in last 2 years in last 2 years",-5,IF(BJ363="Close to 52 week high or retracement",5,IF(BJ363="Blue sky scenario",10,IF(BJ363="Long term Downtrend",-10,0))))</f>
        <v/>
      </c>
      <c r="BL363" s="31" t="inlineStr">
        <is>
          <t>Yes</t>
        </is>
      </c>
      <c r="BM363" s="31">
        <f>IF(BL363="Yes",10,0)</f>
        <v/>
      </c>
      <c r="BN363" s="31" t="inlineStr">
        <is>
          <t>Less than 12%</t>
        </is>
      </c>
      <c r="BO363" s="31">
        <f>IF(BN363="More than 20%",10,IF(BN363="Between 12 to 20%",5,IF(BN363="Less than 12%",0,0)))</f>
        <v/>
      </c>
      <c r="BP363" s="31" t="inlineStr">
        <is>
          <t>No</t>
        </is>
      </c>
      <c r="BQ363" s="31">
        <f>IF(BP363="No",10,0)</f>
        <v/>
      </c>
      <c r="BR363" s="31" t="inlineStr">
        <is>
          <t>Yes</t>
        </is>
      </c>
      <c r="BS363" s="31">
        <f>IF(BR363="NO",5,0)</f>
        <v/>
      </c>
      <c r="BT363" s="31" t="inlineStr">
        <is>
          <t>Above 2</t>
        </is>
      </c>
      <c r="BU363" s="31">
        <f>IF(BT363="Above 2",0,IF(BT363="Between 1.5 to 2",5,IF(BT363="Less than 1.5",10,0)))</f>
        <v/>
      </c>
      <c r="BV363" s="31" t="inlineStr">
        <is>
          <t>Above 70%</t>
        </is>
      </c>
      <c r="BW363" s="31">
        <f>IF(BV363="Above 70%",10,IF(BV363="Between 50% to 70%",5,IF(BV363="Less than 50%",0,IF(BV363="Negative",-10,IF(BV363="Less than 50% and Borrowings are increasing",-5,0)))))</f>
        <v/>
      </c>
      <c r="BX363" s="31" t="inlineStr">
        <is>
          <t>Less than 0.7</t>
        </is>
      </c>
      <c r="BY363" s="31">
        <f>IF(BX363="More than 1.2",-10,IF(BX363="Between 0.7 to 1.2",0,IF(BX363="Less than 0.7",10,0)))</f>
        <v/>
      </c>
      <c r="BZ363" s="31" t="inlineStr">
        <is>
          <t>No</t>
        </is>
      </c>
      <c r="CA363" s="31">
        <f>IF(BZ363="Yes",-10,0)</f>
        <v/>
      </c>
      <c r="CB363" s="31" t="inlineStr">
        <is>
          <t>Less than 15%</t>
        </is>
      </c>
      <c r="CC363" s="31">
        <f>IF(CB363="More than 15%",-10,IF(CB363="Less than 15%",10,0))</f>
        <v/>
      </c>
      <c r="CD363" s="31" t="inlineStr">
        <is>
          <t>No</t>
        </is>
      </c>
      <c r="CE363" s="31">
        <f>IF(CD363="Yes, more than 10%",-10,IF(CD363="No",10,0))</f>
        <v/>
      </c>
    </row>
    <row r="364">
      <c r="A364" s="31">
        <f>IF(B364=0,"",RANK(B364,$B$2:$B$379,0))</f>
        <v/>
      </c>
      <c r="B364" s="32">
        <f>SUM(N364,Y364,AA364,AC364,AE364,AG364,AI364,AK364,AM364,AO364,AQ364,AS364,AU364,AW364,AY364,BA364,BC364,BE364,BG364,BI364,BK364,BM364,BO364,BQ364,BS364,BU364,BW364,BY364,CA364,CC364,CE364)</f>
        <v/>
      </c>
      <c r="C364" s="33" t="inlineStr">
        <is>
          <t>ENTERO</t>
        </is>
      </c>
      <c r="D364" s="33" t="inlineStr">
        <is>
          <t>Entero Healthcare Solutions Ltd</t>
        </is>
      </c>
      <c r="E364" s="31" t="inlineStr">
        <is>
          <t>healthcare</t>
        </is>
      </c>
      <c r="F364" s="31" t="inlineStr">
        <is>
          <t>trading</t>
        </is>
      </c>
      <c r="G364" s="31" t="inlineStr">
        <is>
          <t>midcap</t>
        </is>
      </c>
      <c r="H364" s="32" t="n">
        <v>5177.8</v>
      </c>
      <c r="I364" s="32" t="n">
        <v>1189.5</v>
      </c>
      <c r="J364" s="32" t="n">
        <v>-0.04</v>
      </c>
      <c r="K364" s="32" t="n">
        <v>52735</v>
      </c>
      <c r="L364" s="31" t="n">
        <v>1</v>
      </c>
      <c r="M364" s="31" t="inlineStr">
        <is>
          <t>Underperforming</t>
        </is>
      </c>
      <c r="N364" s="32">
        <f>IF(M364="Underperforming",-5,IF(L364&gt;=95,15,IF(L364&gt;=90,10,IF(L364&gt;=80,5,0))))</f>
        <v/>
      </c>
      <c r="O364" s="32" t="n">
        <v>51.54</v>
      </c>
      <c r="P364" s="32" t="n">
        <v>17.72</v>
      </c>
      <c r="Q364" s="32" t="n">
        <v>1022.97</v>
      </c>
      <c r="R364" s="31" t="inlineStr">
        <is>
          <t>Earnings / Momentum Support</t>
        </is>
      </c>
      <c r="S364" s="31" t="inlineStr">
        <is>
          <t>Nifty Pharma</t>
        </is>
      </c>
      <c r="T364" s="32" t="n">
        <v>12.5</v>
      </c>
      <c r="U364" s="32" t="n">
        <v>-3.51</v>
      </c>
      <c r="V364" s="32" t="n">
        <v>-14.23</v>
      </c>
      <c r="W364" s="32" t="n">
        <v>-1.38</v>
      </c>
      <c r="X364" s="31" t="inlineStr">
        <is>
          <t>Growing Industry</t>
        </is>
      </c>
      <c r="Y364" s="31">
        <f>IF(X364="Growing Industry",10,IF(X364="Cyclical in an Upturn",5,0))</f>
        <v/>
      </c>
      <c r="Z364" s="31" t="inlineStr">
        <is>
          <t>Too Many Players with High ROCE</t>
        </is>
      </c>
      <c r="AA364" s="31">
        <f>IF(Z364="Monopoly",10,IF(Z364="Oligopoly",5,IF(Z364="Duopoly that cooperate",10,IF(Z364="Duopoly that compete",5,IF(Z364="Too many players with High ROCE",5,0)))))</f>
        <v/>
      </c>
      <c r="AB364" s="31" t="inlineStr">
        <is>
          <t>Yes</t>
        </is>
      </c>
      <c r="AC364" s="31">
        <f>IF(AB364="No",5,0)</f>
        <v/>
      </c>
      <c r="AD364" s="31" t="inlineStr">
        <is>
          <t>Tailwind</t>
        </is>
      </c>
      <c r="AE364" s="31">
        <f>IF(AD364="Tailwind",10,0)</f>
        <v/>
      </c>
      <c r="AF364" s="31" t="inlineStr">
        <is>
          <t>Structural (10 Years Consistency)</t>
        </is>
      </c>
      <c r="AG364" s="31">
        <f>IF(AF364="Structural (10 Years Consistency)",10,IF(AF364="Shallow Cyclical (2 to 3 years growth)",5,0))</f>
        <v/>
      </c>
      <c r="AH364" s="31" t="inlineStr">
        <is>
          <t>No</t>
        </is>
      </c>
      <c r="AI364" s="31">
        <f>IF(AH364="Yes due to Product Mix change or Operating Leverage",10,IF(AH364="Yes, these are peak margins",-5,IF(AH364="No",5,0)))</f>
        <v/>
      </c>
      <c r="AJ364" s="31" t="inlineStr">
        <is>
          <t>Stable</t>
        </is>
      </c>
      <c r="AK364" s="31">
        <f>IF(AJ364="Stable",10,0)</f>
        <v/>
      </c>
      <c r="AL364" s="31" t="inlineStr">
        <is>
          <t>Yes</t>
        </is>
      </c>
      <c r="AM364" s="31">
        <f>IF(AL364="Yes",10,0)</f>
        <v/>
      </c>
      <c r="AN364" s="31" t="inlineStr">
        <is>
          <t>B2B</t>
        </is>
      </c>
      <c r="AO364" s="31">
        <f>IF(AN364="B2C",10,IF(AN364="B2B",5,0))</f>
        <v/>
      </c>
      <c r="AP364" s="31" t="inlineStr">
        <is>
          <t>No</t>
        </is>
      </c>
      <c r="AQ364" s="31">
        <f>IF(AP364="Yes",10,0)</f>
        <v/>
      </c>
      <c r="AR364" s="31" t="inlineStr">
        <is>
          <t>Higher Annuity, Lower One Time</t>
        </is>
      </c>
      <c r="AS364" s="31">
        <f>IF(AR364="Fully Annuity",10,IF(AR364="Higher Annuity, Lower One Time",5,IF(AR364="Higher One Time, Lower Annuity",3,0)))</f>
        <v/>
      </c>
      <c r="AT364" s="31" t="inlineStr">
        <is>
          <t>Good</t>
        </is>
      </c>
      <c r="AU364" s="31">
        <f>IF(AT364="Good",10,0)</f>
        <v/>
      </c>
      <c r="AV364" s="31" t="inlineStr">
        <is>
          <t>Yes for more than 2 years</t>
        </is>
      </c>
      <c r="AW364" s="31">
        <f>IF(AV364="Yes for more than 2 years",10,IF(AV364="Yes only for next 1 to 2 years",5,0))</f>
        <v/>
      </c>
      <c r="AX364" s="31" t="inlineStr">
        <is>
          <t>0 to 20</t>
        </is>
      </c>
      <c r="AY364" s="31">
        <f>IF(AX364="Above 40",20,IF(AX364="20 to 40",10,IF(AX364="0 to 20",-5,0)))</f>
        <v/>
      </c>
      <c r="AZ364" s="31" t="inlineStr">
        <is>
          <t>Between 50 to 75</t>
        </is>
      </c>
      <c r="BA364" s="31">
        <f>IF(AZ364="Between 50 to 75",10,IF(AZ364="Above 75",0,0))</f>
        <v/>
      </c>
      <c r="BB364" s="31" t="inlineStr">
        <is>
          <t>Stage 1</t>
        </is>
      </c>
      <c r="BC364" s="31">
        <f>IF(BB364="Stage 2",20,IF(BB364="Stage 1",0,IF(BB364="Stage 3",5,IF(BB364="Stage 4",-5,0))))</f>
        <v/>
      </c>
      <c r="BD364" s="31" t="inlineStr">
        <is>
          <t>Positive Trend</t>
        </is>
      </c>
      <c r="BE364" s="31">
        <f>IF(BD364="Positive Trend",20,IF(BD364="Negative Trend",-10,0))</f>
        <v/>
      </c>
      <c r="BF364" s="31" t="inlineStr">
        <is>
          <t>Uptrend</t>
        </is>
      </c>
      <c r="BG364" s="31">
        <f>IF(BF364="Uptrend",10,IF(BF364="Sideways",5,0))</f>
        <v/>
      </c>
      <c r="BH364" s="31" t="inlineStr">
        <is>
          <t>Uptrend</t>
        </is>
      </c>
      <c r="BI364" s="31">
        <f>IF(BH364="Uptrend",10,IF(BH364="Sideways",5,0))</f>
        <v/>
      </c>
      <c r="BJ364" s="31" t="inlineStr">
        <is>
          <t>Close to 52 week high or retracement</t>
        </is>
      </c>
      <c r="BK364" s="31">
        <f>IF(BJ364="Overhead supply in last 2 years in last 2 years",-5,IF(BJ364="Close to 52 week high or retracement",5,IF(BJ364="Blue sky scenario",10,IF(BJ364="Long term Downtrend",-10,0))))</f>
        <v/>
      </c>
      <c r="BL364" s="31" t="inlineStr">
        <is>
          <t>Yes</t>
        </is>
      </c>
      <c r="BM364" s="31">
        <f>IF(BL364="Yes",10,0)</f>
        <v/>
      </c>
      <c r="BN364" s="31" t="inlineStr">
        <is>
          <t>Less than 12%</t>
        </is>
      </c>
      <c r="BO364" s="31">
        <f>IF(BN364="More than 20%",10,IF(BN364="Between 12 to 20%",5,IF(BN364="Less than 12%",0,0)))</f>
        <v/>
      </c>
      <c r="BP364" s="31" t="inlineStr">
        <is>
          <t>No</t>
        </is>
      </c>
      <c r="BQ364" s="31">
        <f>IF(BP364="No",10,0)</f>
        <v/>
      </c>
      <c r="BR364" s="31" t="inlineStr">
        <is>
          <t>Yes</t>
        </is>
      </c>
      <c r="BS364" s="31">
        <f>IF(BR364="NO",5,0)</f>
        <v/>
      </c>
      <c r="BT364" s="31" t="inlineStr">
        <is>
          <t>Above 2</t>
        </is>
      </c>
      <c r="BU364" s="31">
        <f>IF(BT364="Above 2",0,IF(BT364="Between 1.5 to 2",5,IF(BT364="Less than 1.5",10,0)))</f>
        <v/>
      </c>
      <c r="BV364" s="31" t="inlineStr">
        <is>
          <t>Less than 50%</t>
        </is>
      </c>
      <c r="BW364" s="31">
        <f>IF(BV364="Above 70%",10,IF(BV364="Between 50% to 70%",5,IF(BV364="Less than 50%",0,IF(BV364="Negative",-10,IF(BV364="Less than 50% and Borrowings are increasing",-5,0)))))</f>
        <v/>
      </c>
      <c r="BX364" s="31" t="inlineStr">
        <is>
          <t>Less than 0.7</t>
        </is>
      </c>
      <c r="BY364" s="31">
        <f>IF(BX364="More than 1.2",-10,IF(BX364="Between 0.7 to 1.2",0,IF(BX364="Less than 0.7",10,0)))</f>
        <v/>
      </c>
      <c r="BZ364" s="31" t="inlineStr">
        <is>
          <t>No</t>
        </is>
      </c>
      <c r="CA364" s="31">
        <f>IF(BZ364="Yes",-10,0)</f>
        <v/>
      </c>
      <c r="CB364" s="31" t="inlineStr">
        <is>
          <t>Less than 15%</t>
        </is>
      </c>
      <c r="CC364" s="31">
        <f>IF(CB364="More than 15%",-10,IF(CB364="Less than 15%",10,0))</f>
        <v/>
      </c>
      <c r="CD364" s="31" t="inlineStr">
        <is>
          <t>No</t>
        </is>
      </c>
      <c r="CE364" s="31">
        <f>IF(CD364="Yes, more than 10%",-10,IF(CD364="No",10,0))</f>
        <v/>
      </c>
    </row>
    <row r="365">
      <c r="A365" s="31">
        <f>IF(B365=0,"",RANK(B365,$B$2:$B$379,0))</f>
        <v/>
      </c>
      <c r="B365" s="32">
        <f>SUM(N365,Y365,AA365,AC365,AE365,AG365,AI365,AK365,AM365,AO365,AQ365,AS365,AU365,AW365,AY365,BA365,BC365,BE365,BG365,BI365,BK365,BM365,BO365,BQ365,BS365,BU365,BW365,BY365,CA365,CC365,CE365)</f>
        <v/>
      </c>
      <c r="C365" s="31" t="inlineStr">
        <is>
          <t>PAYTM</t>
        </is>
      </c>
      <c r="D365" s="31" t="inlineStr">
        <is>
          <t>One 97 Communications Ltd</t>
        </is>
      </c>
      <c r="E365" s="31" t="inlineStr">
        <is>
          <t>i.t</t>
        </is>
      </c>
      <c r="F365" s="31" t="inlineStr">
        <is>
          <t>miscellaneous</t>
        </is>
      </c>
      <c r="G365" s="31" t="inlineStr">
        <is>
          <t>largecap</t>
        </is>
      </c>
      <c r="H365" s="32" t="n">
        <v>73061.21000000001</v>
      </c>
      <c r="I365" s="32" t="n">
        <v>1203.7</v>
      </c>
      <c r="J365" s="32" t="n">
        <v>5.45</v>
      </c>
      <c r="K365" s="32" t="n">
        <v>4234770</v>
      </c>
      <c r="L365" s="31" t="n">
        <v>40</v>
      </c>
      <c r="M365" s="31" t="inlineStr">
        <is>
          <t>Outperforming</t>
        </is>
      </c>
      <c r="N365" s="32">
        <f>IF(M365="Underperforming",-5,IF(L365&gt;=95,15,IF(L365&gt;=90,10,IF(L365&gt;=80,5,0))))</f>
        <v/>
      </c>
      <c r="O365" s="32" t="n">
        <v>56.37</v>
      </c>
      <c r="P365" s="32" t="n">
        <v>18.1</v>
      </c>
      <c r="Q365" s="32" t="n">
        <v>931.0599999999999</v>
      </c>
      <c r="R365" s="31" t="inlineStr">
        <is>
          <t>Earnings / Momentum Support</t>
        </is>
      </c>
      <c r="S365" s="31" t="inlineStr">
        <is>
          <t>Nifty IT</t>
        </is>
      </c>
      <c r="T365" s="32" t="n">
        <v>-34.2</v>
      </c>
      <c r="U365" s="32" t="n">
        <v>29.31</v>
      </c>
      <c r="V365" s="32" t="n">
        <v>96.54000000000001</v>
      </c>
      <c r="W365" s="32" t="n">
        <v>10.92</v>
      </c>
      <c r="X365" s="31" t="inlineStr">
        <is>
          <t>Growing Industry</t>
        </is>
      </c>
      <c r="Y365" s="31">
        <f>IF(X365="Growing Industry",10,IF(X365="Cyclical in an Upturn",5,0))</f>
        <v/>
      </c>
      <c r="Z365" s="31" t="inlineStr">
        <is>
          <t>Too Many Players with High ROCE</t>
        </is>
      </c>
      <c r="AA365" s="31">
        <f>IF(Z365="Monopoly",10,IF(Z365="Oligopoly",5,IF(Z365="Duopoly that cooperate",10,IF(Z365="Duopoly that compete",5,IF(Z365="Too many players with High ROCE",5,0)))))</f>
        <v/>
      </c>
      <c r="AB365" s="31" t="inlineStr">
        <is>
          <t>No</t>
        </is>
      </c>
      <c r="AC365" s="31">
        <f>IF(AB365="No",5,0)</f>
        <v/>
      </c>
      <c r="AD365" s="31" t="inlineStr">
        <is>
          <t>Headwind</t>
        </is>
      </c>
      <c r="AE365" s="31">
        <f>IF(AD365="Tailwind",10,0)</f>
        <v/>
      </c>
      <c r="AF365" s="31" t="inlineStr">
        <is>
          <t>Structural (10 Years Consistency)</t>
        </is>
      </c>
      <c r="AG365" s="31">
        <f>IF(AF365="Structural (10 Years Consistency)",10,IF(AF365="Shallow Cyclical (2 to 3 years growth)",5,0))</f>
        <v/>
      </c>
      <c r="AH365" s="31" t="inlineStr">
        <is>
          <t>No</t>
        </is>
      </c>
      <c r="AI365" s="31">
        <f>IF(AH365="Yes due to Product Mix change or Operating Leverage",10,IF(AH365="Yes, these are peak margins",-5,IF(AH365="No",5,0)))</f>
        <v/>
      </c>
      <c r="AJ365" s="31" t="inlineStr">
        <is>
          <t>Stable</t>
        </is>
      </c>
      <c r="AK365" s="31">
        <f>IF(AJ365="Stable",10,0)</f>
        <v/>
      </c>
      <c r="AL365" s="31" t="inlineStr">
        <is>
          <t>Yes</t>
        </is>
      </c>
      <c r="AM365" s="31">
        <f>IF(AL365="Yes",10,0)</f>
        <v/>
      </c>
      <c r="AN365" s="31" t="inlineStr">
        <is>
          <t>B2B</t>
        </is>
      </c>
      <c r="AO365" s="31">
        <f>IF(AN365="B2C",10,IF(AN365="B2B",5,0))</f>
        <v/>
      </c>
      <c r="AP365" s="31" t="inlineStr">
        <is>
          <t>No</t>
        </is>
      </c>
      <c r="AQ365" s="31">
        <f>IF(AP365="Yes",10,0)</f>
        <v/>
      </c>
      <c r="AR365" s="31" t="inlineStr">
        <is>
          <t>Higher One Time, Lower Annuity</t>
        </is>
      </c>
      <c r="AS365" s="31">
        <f>IF(AR365="Fully Annuity",10,IF(AR365="Higher Annuity, Lower One Time",5,IF(AR365="Higher One Time, Lower Annuity",3,0)))</f>
        <v/>
      </c>
      <c r="AT365" s="31" t="inlineStr">
        <is>
          <t>Good</t>
        </is>
      </c>
      <c r="AU365" s="31">
        <f>IF(AT365="Good",10,0)</f>
        <v/>
      </c>
      <c r="AV365" s="31" t="inlineStr">
        <is>
          <t>Yes for more than 2 years</t>
        </is>
      </c>
      <c r="AW365" s="31">
        <f>IF(AV365="Yes for more than 2 years",10,IF(AV365="Yes only for next 1 to 2 years",5,0))</f>
        <v/>
      </c>
      <c r="AX365" s="31" t="inlineStr">
        <is>
          <t>0 to 20</t>
        </is>
      </c>
      <c r="AY365" s="31">
        <f>IF(AX365="Above 40",20,IF(AX365="20 to 40",10,IF(AX365="0 to 20",-5,0)))</f>
        <v/>
      </c>
      <c r="AZ365" s="31" t="inlineStr">
        <is>
          <t>Between 50 to 75</t>
        </is>
      </c>
      <c r="BA365" s="31">
        <f>IF(AZ365="Between 50 to 75",10,IF(AZ365="Above 75",0,0))</f>
        <v/>
      </c>
      <c r="BB365" s="31" t="inlineStr">
        <is>
          <t>Stage 1</t>
        </is>
      </c>
      <c r="BC365" s="31">
        <f>IF(BB365="Stage 2",20,IF(BB365="Stage 1",0,IF(BB365="Stage 3",5,IF(BB365="Stage 4",-5,0))))</f>
        <v/>
      </c>
      <c r="BD365" s="31" t="inlineStr">
        <is>
          <t>Positive Trend</t>
        </is>
      </c>
      <c r="BE365" s="31">
        <f>IF(BD365="Positive Trend",20,IF(BD365="Negative Trend",-10,0))</f>
        <v/>
      </c>
      <c r="BF365" s="31" t="inlineStr">
        <is>
          <t>Uptrend</t>
        </is>
      </c>
      <c r="BG365" s="31">
        <f>IF(BF365="Uptrend",10,IF(BF365="Sideways",5,0))</f>
        <v/>
      </c>
      <c r="BH365" s="31" t="inlineStr">
        <is>
          <t>Uptrend</t>
        </is>
      </c>
      <c r="BI365" s="31">
        <f>IF(BH365="Uptrend",10,IF(BH365="Sideways",5,0))</f>
        <v/>
      </c>
      <c r="BJ365" s="31" t="inlineStr">
        <is>
          <t>Close to 52 week high or retracement</t>
        </is>
      </c>
      <c r="BK365" s="31">
        <f>IF(BJ365="Overhead supply in last 2 years in last 2 years",-5,IF(BJ365="Close to 52 week high or retracement",5,IF(BJ365="Blue sky scenario",10,IF(BJ365="Long term Downtrend",-10,0))))</f>
        <v/>
      </c>
      <c r="BL365" s="31" t="inlineStr">
        <is>
          <t>Yes</t>
        </is>
      </c>
      <c r="BM365" s="31">
        <f>IF(BL365="Yes",10,0)</f>
        <v/>
      </c>
      <c r="BN365" s="31" t="inlineStr">
        <is>
          <t>More than 20%</t>
        </is>
      </c>
      <c r="BO365" s="31">
        <f>IF(BN365="More than 20%",10,IF(BN365="Between 12 to 20%",5,IF(BN365="Less than 12%",0,0)))</f>
        <v/>
      </c>
      <c r="BP365" s="31" t="inlineStr">
        <is>
          <t>No</t>
        </is>
      </c>
      <c r="BQ365" s="31">
        <f>IF(BP365="No",10,0)</f>
        <v/>
      </c>
      <c r="BR365" s="31" t="inlineStr">
        <is>
          <t>Yes</t>
        </is>
      </c>
      <c r="BS365" s="31">
        <f>IF(BR365="NO",5,0)</f>
        <v/>
      </c>
      <c r="BT365" s="31" t="inlineStr">
        <is>
          <t>Above 2</t>
        </is>
      </c>
      <c r="BU365" s="31">
        <f>IF(BT365="Above 2",0,IF(BT365="Between 1.5 to 2",5,IF(BT365="Less than 1.5",10,0)))</f>
        <v/>
      </c>
      <c r="BV365" s="31" t="inlineStr">
        <is>
          <t>Negative</t>
        </is>
      </c>
      <c r="BW365" s="31">
        <f>IF(BV365="Above 70%",10,IF(BV365="Between 50% to 70%",5,IF(BV365="Less than 50%",0,IF(BV365="Negative",-10,IF(BV365="Less than 50% and Borrowings are increasing",-5,0)))))</f>
        <v/>
      </c>
      <c r="BX365" s="31" t="inlineStr">
        <is>
          <t>Less than 0.7</t>
        </is>
      </c>
      <c r="BY365" s="31">
        <f>IF(BX365="More than 1.2",-10,IF(BX365="Between 0.7 to 1.2",0,IF(BX365="Less than 0.7",10,0)))</f>
        <v/>
      </c>
      <c r="BZ365" s="31" t="inlineStr">
        <is>
          <t>No</t>
        </is>
      </c>
      <c r="CA365" s="31">
        <f>IF(BZ365="Yes",-10,0)</f>
        <v/>
      </c>
      <c r="CB365" s="31" t="inlineStr">
        <is>
          <t>Less than 15%</t>
        </is>
      </c>
      <c r="CC365" s="31">
        <f>IF(CB365="More than 15%",-10,IF(CB365="Less than 15%",10,0))</f>
        <v/>
      </c>
      <c r="CD365" s="31" t="inlineStr">
        <is>
          <t>No</t>
        </is>
      </c>
      <c r="CE365" s="31">
        <f>IF(CD365="Yes, more than 10%",-10,IF(CD365="No",10,0))</f>
        <v/>
      </c>
    </row>
    <row r="366">
      <c r="A366" s="31">
        <f>IF(B366=0,"",RANK(B366,$B$2:$B$379,0))</f>
        <v/>
      </c>
      <c r="B366" s="32">
        <f>SUM(N366,Y366,AA366,AC366,AE366,AG366,AI366,AK366,AM366,AO366,AQ366,AS366,AU366,AW366,AY366,BA366,BC366,BE366,BG366,BI366,BK366,BM366,BO366,BQ366,BS366,BU366,BW366,BY366,CA366,CC366,CE366)</f>
        <v/>
      </c>
      <c r="C366" s="33" t="inlineStr">
        <is>
          <t>RAJRATAN</t>
        </is>
      </c>
      <c r="D366" s="33" t="inlineStr">
        <is>
          <t>Rajratan Global Wire Ltd</t>
        </is>
      </c>
      <c r="E366" s="31" t="inlineStr">
        <is>
          <t>metals &amp; mining</t>
        </is>
      </c>
      <c r="F366" s="31" t="inlineStr">
        <is>
          <t>steel - medium / small</t>
        </is>
      </c>
      <c r="G366" s="31" t="inlineStr">
        <is>
          <t>smallcap</t>
        </is>
      </c>
      <c r="H366" s="32" t="n">
        <v>2241.03</v>
      </c>
      <c r="I366" s="32" t="n">
        <v>448.75</v>
      </c>
      <c r="J366" s="32" t="n">
        <v>1.67</v>
      </c>
      <c r="K366" s="32" t="n">
        <v>50511</v>
      </c>
      <c r="L366" s="31" t="n">
        <v>29</v>
      </c>
      <c r="M366" s="31" t="inlineStr">
        <is>
          <t>Underperforming</t>
        </is>
      </c>
      <c r="N366" s="32">
        <f>IF(M366="Underperforming",-5,IF(L366&gt;=95,15,IF(L366&gt;=90,10,IF(L366&gt;=80,5,0))))</f>
        <v/>
      </c>
      <c r="O366" s="32" t="n">
        <v>54.98</v>
      </c>
      <c r="P366" s="32" t="n">
        <v>8.44</v>
      </c>
      <c r="Q366" s="32" t="n">
        <v>337.17</v>
      </c>
      <c r="R366" s="31" t="inlineStr">
        <is>
          <t>Earnings / Momentum Support</t>
        </is>
      </c>
      <c r="S366" s="31" t="inlineStr">
        <is>
          <t>Nifty Metal</t>
        </is>
      </c>
      <c r="T366" s="32" t="n">
        <v>29.38</v>
      </c>
      <c r="U366" s="32" t="n">
        <v>6.78</v>
      </c>
      <c r="V366" s="32" t="n">
        <v>-17.46</v>
      </c>
      <c r="W366" s="32" t="n">
        <v>8.539999999999999</v>
      </c>
      <c r="X366" s="31" t="inlineStr">
        <is>
          <t>Cyclical in an Upturn</t>
        </is>
      </c>
      <c r="Y366" s="31">
        <f>IF(X366="Growing Industry",10,IF(X366="Cyclical in an Upturn",5,0))</f>
        <v/>
      </c>
      <c r="Z366" s="31" t="inlineStr">
        <is>
          <t>Too Many Players with High ROCE</t>
        </is>
      </c>
      <c r="AA366" s="31">
        <f>IF(Z366="Monopoly",10,IF(Z366="Oligopoly",5,IF(Z366="Duopoly that cooperate",10,IF(Z366="Duopoly that compete",5,IF(Z366="Too many players with High ROCE",5,0)))))</f>
        <v/>
      </c>
      <c r="AB366" s="31" t="inlineStr">
        <is>
          <t>No</t>
        </is>
      </c>
      <c r="AC366" s="31">
        <f>IF(AB366="No",5,0)</f>
        <v/>
      </c>
      <c r="AD366" s="31" t="inlineStr">
        <is>
          <t>Headwind</t>
        </is>
      </c>
      <c r="AE366" s="31">
        <f>IF(AD366="Tailwind",10,0)</f>
        <v/>
      </c>
      <c r="AF366" s="31" t="inlineStr">
        <is>
          <t>Cyclical</t>
        </is>
      </c>
      <c r="AG366" s="31">
        <f>IF(AF366="Structural (10 Years Consistency)",10,IF(AF366="Shallow Cyclical (2 to 3 years growth)",5,0))</f>
        <v/>
      </c>
      <c r="AH366" s="31" t="inlineStr">
        <is>
          <t>No</t>
        </is>
      </c>
      <c r="AI366" s="31">
        <f>IF(AH366="Yes due to Product Mix change or Operating Leverage",10,IF(AH366="Yes, these are peak margins",-5,IF(AH366="No",5,0)))</f>
        <v/>
      </c>
      <c r="AJ366" s="31" t="inlineStr">
        <is>
          <t>Volatile</t>
        </is>
      </c>
      <c r="AK366" s="31">
        <f>IF(AJ366="Stable",10,0)</f>
        <v/>
      </c>
      <c r="AL366" s="31" t="inlineStr">
        <is>
          <t>Yes</t>
        </is>
      </c>
      <c r="AM366" s="31">
        <f>IF(AL366="Yes",10,0)</f>
        <v/>
      </c>
      <c r="AN366" s="31" t="inlineStr">
        <is>
          <t>B2B</t>
        </is>
      </c>
      <c r="AO366" s="31">
        <f>IF(AN366="B2C",10,IF(AN366="B2B",5,0))</f>
        <v/>
      </c>
      <c r="AP366" s="31" t="inlineStr">
        <is>
          <t>No</t>
        </is>
      </c>
      <c r="AQ366" s="31">
        <f>IF(AP366="Yes",10,0)</f>
        <v/>
      </c>
      <c r="AR366" s="31" t="inlineStr">
        <is>
          <t>Higher One Time, Lower Annuity</t>
        </is>
      </c>
      <c r="AS366" s="31">
        <f>IF(AR366="Fully Annuity",10,IF(AR366="Higher Annuity, Lower One Time",5,IF(AR366="Higher One Time, Lower Annuity",3,0)))</f>
        <v/>
      </c>
      <c r="AT366" s="31" t="inlineStr">
        <is>
          <t>Good</t>
        </is>
      </c>
      <c r="AU366" s="31">
        <f>IF(AT366="Good",10,0)</f>
        <v/>
      </c>
      <c r="AV366" s="31" t="inlineStr">
        <is>
          <t>Yes for more than 2 years</t>
        </is>
      </c>
      <c r="AW366" s="31">
        <f>IF(AV366="Yes for more than 2 years",10,IF(AV366="Yes only for next 1 to 2 years",5,0))</f>
        <v/>
      </c>
      <c r="AX366" s="31" t="inlineStr">
        <is>
          <t>0 to 20</t>
        </is>
      </c>
      <c r="AY366" s="31">
        <f>IF(AX366="Above 40",20,IF(AX366="20 to 40",10,IF(AX366="0 to 20",-5,0)))</f>
        <v/>
      </c>
      <c r="AZ366" s="31" t="inlineStr">
        <is>
          <t>Between 50 to 75</t>
        </is>
      </c>
      <c r="BA366" s="31">
        <f>IF(AZ366="Between 50 to 75",10,IF(AZ366="Above 75",0,0))</f>
        <v/>
      </c>
      <c r="BB366" s="31" t="inlineStr">
        <is>
          <t>Stage 2</t>
        </is>
      </c>
      <c r="BC366" s="31">
        <f>IF(BB366="Stage 2",20,IF(BB366="Stage 1",0,IF(BB366="Stage 3",5,IF(BB366="Stage 4",-5,0))))</f>
        <v/>
      </c>
      <c r="BD366" s="31" t="inlineStr">
        <is>
          <t>Positive Trend</t>
        </is>
      </c>
      <c r="BE366" s="31">
        <f>IF(BD366="Positive Trend",20,IF(BD366="Negative Trend",-10,0))</f>
        <v/>
      </c>
      <c r="BF366" s="31" t="inlineStr">
        <is>
          <t>Uptrend</t>
        </is>
      </c>
      <c r="BG366" s="31">
        <f>IF(BF366="Uptrend",10,IF(BF366="Sideways",5,0))</f>
        <v/>
      </c>
      <c r="BH366" s="31" t="inlineStr">
        <is>
          <t>Uptrend</t>
        </is>
      </c>
      <c r="BI366" s="31">
        <f>IF(BH366="Uptrend",10,IF(BH366="Sideways",5,0))</f>
        <v/>
      </c>
      <c r="BJ366" s="31" t="inlineStr">
        <is>
          <t>Close to 52 week high or retracement</t>
        </is>
      </c>
      <c r="BK366" s="31">
        <f>IF(BJ366="Overhead supply in last 2 years in last 2 years",-5,IF(BJ366="Close to 52 week high or retracement",5,IF(BJ366="Blue sky scenario",10,IF(BJ366="Long term Downtrend",-10,0))))</f>
        <v/>
      </c>
      <c r="BL366" s="31" t="inlineStr">
        <is>
          <t>Yes</t>
        </is>
      </c>
      <c r="BM366" s="31">
        <f>IF(BL366="Yes",10,0)</f>
        <v/>
      </c>
      <c r="BN366" s="31" t="inlineStr">
        <is>
          <t>Less than 12%</t>
        </is>
      </c>
      <c r="BO366" s="31">
        <f>IF(BN366="More than 20%",10,IF(BN366="Between 12 to 20%",5,IF(BN366="Less than 12%",0,0)))</f>
        <v/>
      </c>
      <c r="BP366" s="31" t="inlineStr">
        <is>
          <t>No</t>
        </is>
      </c>
      <c r="BQ366" s="31">
        <f>IF(BP366="No",10,0)</f>
        <v/>
      </c>
      <c r="BR366" s="31" t="inlineStr">
        <is>
          <t>No</t>
        </is>
      </c>
      <c r="BS366" s="31">
        <f>IF(BR366="NO",5,0)</f>
        <v/>
      </c>
      <c r="BT366" s="31" t="inlineStr">
        <is>
          <t>Above 2</t>
        </is>
      </c>
      <c r="BU366" s="31">
        <f>IF(BT366="Above 2",0,IF(BT366="Between 1.5 to 2",5,IF(BT366="Less than 1.5",10,0)))</f>
        <v/>
      </c>
      <c r="BV366" s="31" t="inlineStr">
        <is>
          <t>Between 50% to 70%</t>
        </is>
      </c>
      <c r="BW366" s="31">
        <f>IF(BV366="Above 70%",10,IF(BV366="Between 50% to 70%",5,IF(BV366="Less than 50%",0,IF(BV366="Negative",-10,IF(BV366="Less than 50% and Borrowings are increasing",-5,0)))))</f>
        <v/>
      </c>
      <c r="BX366" s="31" t="inlineStr">
        <is>
          <t>Less than 0.7</t>
        </is>
      </c>
      <c r="BY366" s="31">
        <f>IF(BX366="More than 1.2",-10,IF(BX366="Between 0.7 to 1.2",0,IF(BX366="Less than 0.7",10,0)))</f>
        <v/>
      </c>
      <c r="BZ366" s="31" t="inlineStr">
        <is>
          <t>No</t>
        </is>
      </c>
      <c r="CA366" s="31">
        <f>IF(BZ366="Yes",-10,0)</f>
        <v/>
      </c>
      <c r="CB366" s="31" t="inlineStr">
        <is>
          <t>Less than 15%</t>
        </is>
      </c>
      <c r="CC366" s="31">
        <f>IF(CB366="More than 15%",-10,IF(CB366="Less than 15%",10,0))</f>
        <v/>
      </c>
      <c r="CD366" s="31" t="inlineStr">
        <is>
          <t>No</t>
        </is>
      </c>
      <c r="CE366" s="31">
        <f>IF(CD366="Yes, more than 10%",-10,IF(CD366="No",10,0))</f>
        <v/>
      </c>
    </row>
    <row r="367">
      <c r="A367" s="31">
        <f>IF(B367=0,"",RANK(B367,$B$2:$B$379,0))</f>
        <v/>
      </c>
      <c r="B367" s="32">
        <f>SUM(N367,Y367,AA367,AC367,AE367,AG367,AI367,AK367,AM367,AO367,AQ367,AS367,AU367,AW367,AY367,BA367,BC367,BE367,BG367,BI367,BK367,BM367,BO367,BQ367,BS367,BU367,BW367,BY367,CA367,CC367,CE367)</f>
        <v/>
      </c>
      <c r="C367" s="31" t="inlineStr">
        <is>
          <t>BALAMINES</t>
        </is>
      </c>
      <c r="D367" s="31" t="inlineStr">
        <is>
          <t>Balaji Amines Limited</t>
        </is>
      </c>
      <c r="E367" s="31" t="inlineStr">
        <is>
          <t>chemicals</t>
        </is>
      </c>
      <c r="F367" s="31" t="inlineStr">
        <is>
          <t>chemicals</t>
        </is>
      </c>
      <c r="G367" s="31" t="inlineStr">
        <is>
          <t>midcap</t>
        </is>
      </c>
      <c r="H367" s="32" t="n">
        <v>6596.52</v>
      </c>
      <c r="I367" s="32" t="n">
        <v>2090.2</v>
      </c>
      <c r="J367" s="32" t="n">
        <v>2.67</v>
      </c>
      <c r="K367" s="32" t="n">
        <v>304582</v>
      </c>
      <c r="L367" s="31" t="n">
        <v>86</v>
      </c>
      <c r="M367" s="31" t="inlineStr">
        <is>
          <t>Outperforming</t>
        </is>
      </c>
      <c r="N367" s="32">
        <f>IF(M367="Underperforming",-5,IF(L367&gt;=95,15,IF(L367&gt;=90,10,IF(L367&gt;=80,5,0))))</f>
        <v/>
      </c>
      <c r="O367" s="32" t="n">
        <v>74.39</v>
      </c>
      <c r="P367" s="32" t="n">
        <v>48.13</v>
      </c>
      <c r="Q367" s="32" t="n">
        <v>1573.31</v>
      </c>
      <c r="R367" s="31" t="inlineStr">
        <is>
          <t>Near 52W High Breakout</t>
        </is>
      </c>
      <c r="S367" s="31" t="inlineStr">
        <is>
          <t>Nifty 50</t>
        </is>
      </c>
      <c r="T367" s="32" t="n">
        <v>-5.72</v>
      </c>
      <c r="U367" s="32" t="n">
        <v>16.92</v>
      </c>
      <c r="V367" s="32" t="n">
        <v>24.01</v>
      </c>
      <c r="W367" s="32" t="n">
        <v>29.19</v>
      </c>
      <c r="X367" s="31" t="inlineStr">
        <is>
          <t>Growing Industry</t>
        </is>
      </c>
      <c r="Y367" s="31">
        <f>IF(X367="Growing Industry",10,IF(X367="Cyclical in an Upturn",5,0))</f>
        <v/>
      </c>
      <c r="Z367" s="31" t="inlineStr">
        <is>
          <t>Duopoly That Cooperate</t>
        </is>
      </c>
      <c r="AA367" s="31">
        <f>IF(Z367="Monopoly",10,IF(Z367="Oligopoly",5,IF(Z367="Duopoly that cooperate",10,IF(Z367="Duopoly that compete",5,IF(Z367="Too many players with High ROCE",5,0)))))</f>
        <v/>
      </c>
      <c r="AB367" s="31" t="inlineStr">
        <is>
          <t>No</t>
        </is>
      </c>
      <c r="AC367" s="31">
        <f>IF(AB367="No",5,0)</f>
        <v/>
      </c>
      <c r="AD367" s="31" t="inlineStr">
        <is>
          <t>Headwind</t>
        </is>
      </c>
      <c r="AE367" s="31">
        <f>IF(AD367="Tailwind",10,0)</f>
        <v/>
      </c>
      <c r="AF367" s="31" t="inlineStr">
        <is>
          <t>Shallow Cyclical (2 to 3 Years Growth)</t>
        </is>
      </c>
      <c r="AG367" s="31">
        <f>IF(AF367="Structural (10 Years Consistency)",10,IF(AF367="Shallow Cyclical (2 to 3 years growth)",5,0))</f>
        <v/>
      </c>
      <c r="AH367" s="31" t="inlineStr">
        <is>
          <t>No</t>
        </is>
      </c>
      <c r="AI367" s="31">
        <f>IF(AH367="Yes due to Product Mix change or Operating Leverage",10,IF(AH367="Yes, these are peak margins",-5,IF(AH367="No",5,0)))</f>
        <v/>
      </c>
      <c r="AJ367" s="31" t="inlineStr">
        <is>
          <t>Stable</t>
        </is>
      </c>
      <c r="AK367" s="31">
        <f>IF(AJ367="Stable",10,0)</f>
        <v/>
      </c>
      <c r="AL367" s="31" t="inlineStr">
        <is>
          <t>Yes</t>
        </is>
      </c>
      <c r="AM367" s="31">
        <f>IF(AL367="Yes",10,0)</f>
        <v/>
      </c>
      <c r="AN367" s="31" t="inlineStr">
        <is>
          <t>B2B</t>
        </is>
      </c>
      <c r="AO367" s="31">
        <f>IF(AN367="B2C",10,IF(AN367="B2B",5,0))</f>
        <v/>
      </c>
      <c r="AP367" s="31" t="inlineStr">
        <is>
          <t>Yes</t>
        </is>
      </c>
      <c r="AQ367" s="31">
        <f>IF(AP367="Yes",10,0)</f>
        <v/>
      </c>
      <c r="AR367" s="31" t="inlineStr">
        <is>
          <t>Higher One Time, Lower Annuity</t>
        </is>
      </c>
      <c r="AS367" s="31">
        <f>IF(AR367="Fully Annuity",10,IF(AR367="Higher Annuity, Lower One Time",5,IF(AR367="Higher One Time, Lower Annuity",3,0)))</f>
        <v/>
      </c>
      <c r="AT367" s="31" t="inlineStr">
        <is>
          <t>Good</t>
        </is>
      </c>
      <c r="AU367" s="31">
        <f>IF(AT367="Good",10,0)</f>
        <v/>
      </c>
      <c r="AV367" s="31" t="inlineStr">
        <is>
          <t>Yes for more than 2 years</t>
        </is>
      </c>
      <c r="AW367" s="31">
        <f>IF(AV367="Yes for more than 2 years",10,IF(AV367="Yes only for next 1 to 2 years",5,0))</f>
        <v/>
      </c>
      <c r="AX367" s="31" t="inlineStr">
        <is>
          <t>20 to 40</t>
        </is>
      </c>
      <c r="AY367" s="31">
        <f>IF(AX367="Above 40",20,IF(AX367="20 to 40",10,IF(AX367="0 to 20",-5,0)))</f>
        <v/>
      </c>
      <c r="AZ367" s="31" t="inlineStr">
        <is>
          <t>Between 50 to 75</t>
        </is>
      </c>
      <c r="BA367" s="31">
        <f>IF(AZ367="Between 50 to 75",10,IF(AZ367="Above 75",0,0))</f>
        <v/>
      </c>
      <c r="BB367" s="31" t="inlineStr">
        <is>
          <t>Stage 4</t>
        </is>
      </c>
      <c r="BC367" s="31">
        <f>IF(BB367="Stage 2",20,IF(BB367="Stage 1",0,IF(BB367="Stage 3",5,IF(BB367="Stage 4",-5,0))))</f>
        <v/>
      </c>
      <c r="BD367" s="31" t="inlineStr">
        <is>
          <t>Negative Trend</t>
        </is>
      </c>
      <c r="BE367" s="31">
        <f>IF(BD367="Positive Trend",20,IF(BD367="Negative Trend",-10,0))</f>
        <v/>
      </c>
      <c r="BF367" s="31" t="inlineStr">
        <is>
          <t>Downtrend</t>
        </is>
      </c>
      <c r="BG367" s="31">
        <f>IF(BF367="Uptrend",10,IF(BF367="Sideways",5,0))</f>
        <v/>
      </c>
      <c r="BH367" s="31" t="inlineStr">
        <is>
          <t>Uptrend</t>
        </is>
      </c>
      <c r="BI367" s="31">
        <f>IF(BH367="Uptrend",10,IF(BH367="Sideways",5,0))</f>
        <v/>
      </c>
      <c r="BJ367" s="31" t="inlineStr">
        <is>
          <t>Overhead supply in last 2 years in last 2 years</t>
        </is>
      </c>
      <c r="BK367" s="31">
        <f>IF(BJ367="Overhead supply in last 2 years in last 2 years",-5,IF(BJ367="Close to 52 week high or retracement",5,IF(BJ367="Blue sky scenario",10,IF(BJ367="Long term Downtrend",-10,0))))</f>
        <v/>
      </c>
      <c r="BL367" s="31" t="inlineStr">
        <is>
          <t>No</t>
        </is>
      </c>
      <c r="BM367" s="31">
        <f>IF(BL367="Yes",10,0)</f>
        <v/>
      </c>
      <c r="BN367" s="31" t="inlineStr">
        <is>
          <t>More than 20%</t>
        </is>
      </c>
      <c r="BO367" s="31">
        <f>IF(BN367="More than 20%",10,IF(BN367="Between 12 to 20%",5,IF(BN367="Less than 12%",0,0)))</f>
        <v/>
      </c>
      <c r="BP367" s="31" t="inlineStr">
        <is>
          <t>No</t>
        </is>
      </c>
      <c r="BQ367" s="31">
        <f>IF(BP367="No",10,0)</f>
        <v/>
      </c>
      <c r="BR367" s="31" t="inlineStr">
        <is>
          <t>Yes</t>
        </is>
      </c>
      <c r="BS367" s="31">
        <f>IF(BR367="NO",5,0)</f>
        <v/>
      </c>
      <c r="BT367" s="31" t="inlineStr">
        <is>
          <t>Less than 1.5</t>
        </is>
      </c>
      <c r="BU367" s="31">
        <f>IF(BT367="Above 2",0,IF(BT367="Between 1.5 to 2",5,IF(BT367="Less than 1.5",10,0)))</f>
        <v/>
      </c>
      <c r="BV367" s="31" t="inlineStr">
        <is>
          <t>Between 50% to 70%</t>
        </is>
      </c>
      <c r="BW367" s="31">
        <f>IF(BV367="Above 70%",10,IF(BV367="Between 50% to 70%",5,IF(BV367="Less than 50%",0,IF(BV367="Negative",-10,IF(BV367="Less than 50% and Borrowings are increasing",-5,0)))))</f>
        <v/>
      </c>
      <c r="BX367" s="31" t="inlineStr">
        <is>
          <t>Less than 0.7</t>
        </is>
      </c>
      <c r="BY367" s="31">
        <f>IF(BX367="More than 1.2",-10,IF(BX367="Between 0.7 to 1.2",0,IF(BX367="Less than 0.7",10,0)))</f>
        <v/>
      </c>
      <c r="BZ367" s="31" t="inlineStr">
        <is>
          <t>No</t>
        </is>
      </c>
      <c r="CA367" s="31">
        <f>IF(BZ367="Yes",-10,0)</f>
        <v/>
      </c>
      <c r="CB367" s="31" t="inlineStr">
        <is>
          <t>Less than 15%</t>
        </is>
      </c>
      <c r="CC367" s="31">
        <f>IF(CB367="More than 15%",-10,IF(CB367="Less than 15%",10,0))</f>
        <v/>
      </c>
      <c r="CD367" s="31" t="inlineStr">
        <is>
          <t>No</t>
        </is>
      </c>
      <c r="CE367" s="31">
        <f>IF(CD367="Yes, more than 10%",-10,IF(CD367="No",10,0))</f>
        <v/>
      </c>
    </row>
    <row r="368">
      <c r="A368" s="31">
        <f>IF(B368=0,"",RANK(B368,$B$2:$B$379,0))</f>
        <v/>
      </c>
      <c r="B368" s="32">
        <f>SUM(N368,Y368,AA368,AC368,AE368,AG368,AI368,AK368,AM368,AO368,AQ368,AS368,AU368,AW368,AY368,BA368,BC368,BE368,BG368,BI368,BK368,BM368,BO368,BQ368,BS368,BU368,BW368,BY368,CA368,CC368,CE368)</f>
        <v/>
      </c>
      <c r="C368" s="31" t="inlineStr">
        <is>
          <t>FLUOROCHEM</t>
        </is>
      </c>
      <c r="D368" s="31" t="inlineStr">
        <is>
          <t>Gujarat Fluorochemicals Ltd</t>
        </is>
      </c>
      <c r="E368" s="31" t="inlineStr">
        <is>
          <t>chemicals</t>
        </is>
      </c>
      <c r="F368" s="31" t="inlineStr">
        <is>
          <t>chemicals</t>
        </is>
      </c>
      <c r="G368" s="31" t="inlineStr">
        <is>
          <t>largecap</t>
        </is>
      </c>
      <c r="H368" s="32" t="n">
        <v>43544.54</v>
      </c>
      <c r="I368" s="32" t="n">
        <v>3930.9</v>
      </c>
      <c r="J368" s="32" t="n">
        <v>-0.84</v>
      </c>
      <c r="K368" s="32" t="n">
        <v>156481</v>
      </c>
      <c r="L368" s="31" t="n">
        <v>24</v>
      </c>
      <c r="M368" s="31" t="inlineStr">
        <is>
          <t>Outperforming</t>
        </is>
      </c>
      <c r="N368" s="32">
        <f>IF(M368="Underperforming",-5,IF(L368&gt;=95,15,IF(L368&gt;=90,10,IF(L368&gt;=80,5,0))))</f>
        <v/>
      </c>
      <c r="O368" s="32" t="n">
        <v>62.18</v>
      </c>
      <c r="P368" s="32" t="n">
        <v>16.11</v>
      </c>
      <c r="Q368" s="32" t="n">
        <v>3210.57</v>
      </c>
      <c r="R368" s="31" t="inlineStr">
        <is>
          <t>Near 52W High Breakout</t>
        </is>
      </c>
      <c r="S368" s="31" t="inlineStr">
        <is>
          <t>Nifty 50</t>
        </is>
      </c>
      <c r="T368" s="32" t="n">
        <v>-5.72</v>
      </c>
      <c r="U368" s="32" t="n">
        <v>11.71</v>
      </c>
      <c r="V368" s="32" t="n">
        <v>18.48</v>
      </c>
      <c r="W368" s="32" t="n">
        <v>7.39</v>
      </c>
      <c r="X368" s="31" t="inlineStr">
        <is>
          <t>Growing Industry</t>
        </is>
      </c>
      <c r="Y368" s="31">
        <f>IF(X368="Growing Industry",10,IF(X368="Cyclical in an Upturn",5,0))</f>
        <v/>
      </c>
      <c r="Z368" s="31" t="inlineStr">
        <is>
          <t>Oligopoly</t>
        </is>
      </c>
      <c r="AA368" s="31">
        <f>IF(Z368="Monopoly",10,IF(Z368="Oligopoly",5,IF(Z368="Duopoly that cooperate",10,IF(Z368="Duopoly that compete",5,IF(Z368="Too many players with High ROCE",5,0)))))</f>
        <v/>
      </c>
      <c r="AB368" s="31" t="inlineStr">
        <is>
          <t>No</t>
        </is>
      </c>
      <c r="AC368" s="31">
        <f>IF(AB368="No",5,0)</f>
        <v/>
      </c>
      <c r="AD368" s="31" t="inlineStr">
        <is>
          <t>Tailwind</t>
        </is>
      </c>
      <c r="AE368" s="31">
        <f>IF(AD368="Tailwind",10,0)</f>
        <v/>
      </c>
      <c r="AF368" s="31" t="inlineStr">
        <is>
          <t>Shallow Cyclical (2 to 3 Years Growth)</t>
        </is>
      </c>
      <c r="AG368" s="31">
        <f>IF(AF368="Structural (10 Years Consistency)",10,IF(AF368="Shallow Cyclical (2 to 3 years growth)",5,0))</f>
        <v/>
      </c>
      <c r="AH368" s="31" t="inlineStr">
        <is>
          <t>Yes due to Product Mix change or Operating Leverage</t>
        </is>
      </c>
      <c r="AI368" s="31">
        <f>IF(AH368="Yes due to Product Mix change or Operating Leverage",10,IF(AH368="Yes, these are peak margins",-5,IF(AH368="No",5,0)))</f>
        <v/>
      </c>
      <c r="AJ368" s="31" t="inlineStr">
        <is>
          <t>Volatile</t>
        </is>
      </c>
      <c r="AK368" s="31">
        <f>IF(AJ368="Stable",10,0)</f>
        <v/>
      </c>
      <c r="AL368" s="31" t="inlineStr">
        <is>
          <t>Yes</t>
        </is>
      </c>
      <c r="AM368" s="31">
        <f>IF(AL368="Yes",10,0)</f>
        <v/>
      </c>
      <c r="AN368" s="31" t="inlineStr">
        <is>
          <t>B2B</t>
        </is>
      </c>
      <c r="AO368" s="31">
        <f>IF(AN368="B2C",10,IF(AN368="B2B",5,0))</f>
        <v/>
      </c>
      <c r="AP368" s="31" t="inlineStr">
        <is>
          <t>Yes</t>
        </is>
      </c>
      <c r="AQ368" s="31">
        <f>IF(AP368="Yes",10,0)</f>
        <v/>
      </c>
      <c r="AR368" s="31" t="inlineStr">
        <is>
          <t>Higher One Time, Lower Annuity</t>
        </is>
      </c>
      <c r="AS368" s="31">
        <f>IF(AR368="Fully Annuity",10,IF(AR368="Higher Annuity, Lower One Time",5,IF(AR368="Higher One Time, Lower Annuity",3,0)))</f>
        <v/>
      </c>
      <c r="AT368" s="31" t="inlineStr">
        <is>
          <t>Allocated capital in Non-core Areas</t>
        </is>
      </c>
      <c r="AU368" s="31">
        <f>IF(AT368="Good",10,0)</f>
        <v/>
      </c>
      <c r="AV368" s="31" t="inlineStr">
        <is>
          <t>Yes for more than 2 years</t>
        </is>
      </c>
      <c r="AW368" s="31">
        <f>IF(AV368="Yes for more than 2 years",10,IF(AV368="Yes only for next 1 to 2 years",5,0))</f>
        <v/>
      </c>
      <c r="AX368" s="31" t="inlineStr">
        <is>
          <t>Above 40</t>
        </is>
      </c>
      <c r="AY368" s="31">
        <f>IF(AX368="Above 40",20,IF(AX368="20 to 40",10,IF(AX368="0 to 20",-5,0)))</f>
        <v/>
      </c>
      <c r="AZ368" s="31" t="inlineStr">
        <is>
          <t>Between 50 to 75</t>
        </is>
      </c>
      <c r="BA368" s="31">
        <f>IF(AZ368="Between 50 to 75",10,IF(AZ368="Above 75",0,0))</f>
        <v/>
      </c>
      <c r="BB368" s="31" t="inlineStr">
        <is>
          <t>Stage 3</t>
        </is>
      </c>
      <c r="BC368" s="31">
        <f>IF(BB368="Stage 2",20,IF(BB368="Stage 1",0,IF(BB368="Stage 3",5,IF(BB368="Stage 4",-5,0))))</f>
        <v/>
      </c>
      <c r="BD368" s="31" t="inlineStr">
        <is>
          <t>Negative Trend</t>
        </is>
      </c>
      <c r="BE368" s="31">
        <f>IF(BD368="Positive Trend",20,IF(BD368="Negative Trend",-10,0))</f>
        <v/>
      </c>
      <c r="BF368" s="31" t="inlineStr">
        <is>
          <t>Sideways</t>
        </is>
      </c>
      <c r="BG368" s="31">
        <f>IF(BF368="Uptrend",10,IF(BF368="Sideways",5,0))</f>
        <v/>
      </c>
      <c r="BH368" s="31" t="inlineStr">
        <is>
          <t>Uptrend</t>
        </is>
      </c>
      <c r="BI368" s="31">
        <f>IF(BH368="Uptrend",10,IF(BH368="Sideways",5,0))</f>
        <v/>
      </c>
      <c r="BJ368" s="31" t="inlineStr">
        <is>
          <t>Overhead supply in last 2 years in last 2 years</t>
        </is>
      </c>
      <c r="BK368" s="31">
        <f>IF(BJ368="Overhead supply in last 2 years in last 2 years",-5,IF(BJ368="Close to 52 week high or retracement",5,IF(BJ368="Blue sky scenario",10,IF(BJ368="Long term Downtrend",-10,0))))</f>
        <v/>
      </c>
      <c r="BL368" s="31" t="inlineStr">
        <is>
          <t>Yes</t>
        </is>
      </c>
      <c r="BM368" s="31">
        <f>IF(BL368="Yes",10,0)</f>
        <v/>
      </c>
      <c r="BN368" s="31" t="inlineStr">
        <is>
          <t>More than 20%</t>
        </is>
      </c>
      <c r="BO368" s="31">
        <f>IF(BN368="More than 20%",10,IF(BN368="Between 12 to 20%",5,IF(BN368="Less than 12%",0,0)))</f>
        <v/>
      </c>
      <c r="BP368" s="31" t="inlineStr">
        <is>
          <t>No</t>
        </is>
      </c>
      <c r="BQ368" s="31">
        <f>IF(BP368="No",10,0)</f>
        <v/>
      </c>
      <c r="BR368" s="31" t="inlineStr">
        <is>
          <t>No</t>
        </is>
      </c>
      <c r="BS368" s="31">
        <f>IF(BR368="NO",5,0)</f>
        <v/>
      </c>
      <c r="BT368" s="31" t="inlineStr">
        <is>
          <t>Less than 1.5</t>
        </is>
      </c>
      <c r="BU368" s="31">
        <f>IF(BT368="Above 2",0,IF(BT368="Between 1.5 to 2",5,IF(BT368="Less than 1.5",10,0)))</f>
        <v/>
      </c>
      <c r="BV368" s="31" t="inlineStr">
        <is>
          <t>Above 70%</t>
        </is>
      </c>
      <c r="BW368" s="31">
        <f>IF(BV368="Above 70%",10,IF(BV368="Between 50% to 70%",5,IF(BV368="Less than 50%",0,IF(BV368="Negative",-10,IF(BV368="Less than 50% and Borrowings are increasing",-5,0)))))</f>
        <v/>
      </c>
      <c r="BX368" s="31" t="inlineStr">
        <is>
          <t>Less than 0.7</t>
        </is>
      </c>
      <c r="BY368" s="31">
        <f>IF(BX368="More than 1.2",-10,IF(BX368="Between 0.7 to 1.2",0,IF(BX368="Less than 0.7",10,0)))</f>
        <v/>
      </c>
      <c r="BZ368" s="31" t="inlineStr">
        <is>
          <t>No</t>
        </is>
      </c>
      <c r="CA368" s="31">
        <f>IF(BZ368="Yes",-10,0)</f>
        <v/>
      </c>
      <c r="CB368" s="31" t="inlineStr">
        <is>
          <t>More than 15%</t>
        </is>
      </c>
      <c r="CC368" s="31">
        <f>IF(CB368="More than 15%",-10,IF(CB368="Less than 15%",10,0))</f>
        <v/>
      </c>
      <c r="CD368" s="31" t="inlineStr">
        <is>
          <t>Yes Upto 10%</t>
        </is>
      </c>
      <c r="CE368" s="31">
        <f>IF(CD368="Yes, more than 10%",-10,IF(CD368="No",10,0))</f>
        <v/>
      </c>
    </row>
    <row r="369">
      <c r="A369" s="31">
        <f>IF(B369=0,"",RANK(B369,$B$2:$B$379,0))</f>
        <v/>
      </c>
      <c r="B369" s="32">
        <f>SUM(N369,Y369,AA369,AC369,AE369,AG369,AI369,AK369,AM369,AO369,AQ369,AS369,AU369,AW369,AY369,BA369,BC369,BE369,BG369,BI369,BK369,BM369,BO369,BQ369,BS369,BU369,BW369,BY369,CA369,CC369,CE369)</f>
        <v/>
      </c>
      <c r="C369" s="31" t="inlineStr">
        <is>
          <t>GAEL</t>
        </is>
      </c>
      <c r="D369" s="31" t="inlineStr">
        <is>
          <t>Gujarat Ambuja Exports Limited</t>
        </is>
      </c>
      <c r="E369" s="31" t="inlineStr">
        <is>
          <t>fmcg</t>
        </is>
      </c>
      <c r="F369" s="31" t="inlineStr">
        <is>
          <t>miscellaneous</t>
        </is>
      </c>
      <c r="G369" s="31" t="inlineStr">
        <is>
          <t>midcap</t>
        </is>
      </c>
      <c r="H369" s="32" t="n">
        <v>7583.2</v>
      </c>
      <c r="I369" s="32" t="n">
        <v>162.5</v>
      </c>
      <c r="J369" s="32" t="n">
        <v>-1.71</v>
      </c>
      <c r="K369" s="32" t="n">
        <v>639346</v>
      </c>
      <c r="L369" s="31" t="n">
        <v>45</v>
      </c>
      <c r="M369" s="31" t="inlineStr">
        <is>
          <t>Outperforming</t>
        </is>
      </c>
      <c r="N369" s="32">
        <f>IF(M369="Underperforming",-5,IF(L369&gt;=95,15,IF(L369&gt;=90,10,IF(L369&gt;=80,5,0))))</f>
        <v/>
      </c>
      <c r="O369" s="32" t="n">
        <v>63.7</v>
      </c>
      <c r="P369" s="32" t="n">
        <v>41.04</v>
      </c>
      <c r="Q369" s="32" t="n">
        <v>134.59</v>
      </c>
      <c r="R369" s="31" t="inlineStr">
        <is>
          <t>Near 52W High Breakout</t>
        </is>
      </c>
      <c r="S369" s="31" t="inlineStr">
        <is>
          <t>Nifty FMCG</t>
        </is>
      </c>
      <c r="T369" s="32" t="n">
        <v>-9</v>
      </c>
      <c r="U369" s="32" t="n">
        <v>46.15</v>
      </c>
      <c r="V369" s="32" t="n">
        <v>60.62</v>
      </c>
      <c r="W369" s="32" t="n">
        <v>11.7</v>
      </c>
      <c r="X369" s="31" t="inlineStr">
        <is>
          <t>Growing Industry</t>
        </is>
      </c>
      <c r="Y369" s="31">
        <f>IF(X369="Growing Industry",10,IF(X369="Cyclical in an Upturn",5,0))</f>
        <v/>
      </c>
      <c r="Z369" s="31" t="inlineStr">
        <is>
          <t>Oligopoly</t>
        </is>
      </c>
      <c r="AA369" s="31">
        <f>IF(Z369="Monopoly",10,IF(Z369="Oligopoly",5,IF(Z369="Duopoly that cooperate",10,IF(Z369="Duopoly that compete",5,IF(Z369="Too many players with High ROCE",5,0)))))</f>
        <v/>
      </c>
      <c r="AB369" s="31" t="inlineStr">
        <is>
          <t>No</t>
        </is>
      </c>
      <c r="AC369" s="31">
        <f>IF(AB369="No",5,0)</f>
        <v/>
      </c>
      <c r="AD369" s="31" t="inlineStr">
        <is>
          <t>Tailwind</t>
        </is>
      </c>
      <c r="AE369" s="31">
        <f>IF(AD369="Tailwind",10,0)</f>
        <v/>
      </c>
      <c r="AF369" s="31" t="inlineStr">
        <is>
          <t>Shallow Cyclical (2 to 3 Years Growth)</t>
        </is>
      </c>
      <c r="AG369" s="31">
        <f>IF(AF369="Structural (10 Years Consistency)",10,IF(AF369="Shallow Cyclical (2 to 3 years growth)",5,0))</f>
        <v/>
      </c>
      <c r="AH369" s="31" t="inlineStr">
        <is>
          <t>Yes due to Product Mix change or Operating Leverage</t>
        </is>
      </c>
      <c r="AI369" s="31">
        <f>IF(AH369="Yes due to Product Mix change or Operating Leverage",10,IF(AH369="Yes, these are peak margins",-5,IF(AH369="No",5,0)))</f>
        <v/>
      </c>
      <c r="AJ369" s="31" t="inlineStr">
        <is>
          <t>Volatile</t>
        </is>
      </c>
      <c r="AK369" s="31">
        <f>IF(AJ369="Stable",10,0)</f>
        <v/>
      </c>
      <c r="AL369" s="31" t="inlineStr">
        <is>
          <t>Yes</t>
        </is>
      </c>
      <c r="AM369" s="31">
        <f>IF(AL369="Yes",10,0)</f>
        <v/>
      </c>
      <c r="AN369" s="31" t="inlineStr">
        <is>
          <t>B2B</t>
        </is>
      </c>
      <c r="AO369" s="31">
        <f>IF(AN369="B2C",10,IF(AN369="B2B",5,0))</f>
        <v/>
      </c>
      <c r="AP369" s="31" t="inlineStr">
        <is>
          <t>Yes</t>
        </is>
      </c>
      <c r="AQ369" s="31">
        <f>IF(AP369="Yes",10,0)</f>
        <v/>
      </c>
      <c r="AR369" s="31" t="inlineStr">
        <is>
          <t>Higher One Time, Lower Annuity</t>
        </is>
      </c>
      <c r="AS369" s="31">
        <f>IF(AR369="Fully Annuity",10,IF(AR369="Higher Annuity, Lower One Time",5,IF(AR369="Higher One Time, Lower Annuity",3,0)))</f>
        <v/>
      </c>
      <c r="AT369" s="31" t="inlineStr">
        <is>
          <t>Allocated capital in Non-core Areas</t>
        </is>
      </c>
      <c r="AU369" s="31">
        <f>IF(AT369="Good",10,0)</f>
        <v/>
      </c>
      <c r="AV369" s="31" t="inlineStr">
        <is>
          <t>Yes for more than 2 years</t>
        </is>
      </c>
      <c r="AW369" s="31">
        <f>IF(AV369="Yes for more than 2 years",10,IF(AV369="Yes only for next 1 to 2 years",5,0))</f>
        <v/>
      </c>
      <c r="AX369" s="31" t="inlineStr">
        <is>
          <t>Above 40</t>
        </is>
      </c>
      <c r="AY369" s="31">
        <f>IF(AX369="Above 40",20,IF(AX369="20 to 40",10,IF(AX369="0 to 20",-5,0)))</f>
        <v/>
      </c>
      <c r="AZ369" s="31" t="inlineStr">
        <is>
          <t>Between 50 to 75</t>
        </is>
      </c>
      <c r="BA369" s="31">
        <f>IF(AZ369="Between 50 to 75",10,IF(AZ369="Above 75",0,0))</f>
        <v/>
      </c>
      <c r="BB369" s="31" t="inlineStr">
        <is>
          <t>Stage 3</t>
        </is>
      </c>
      <c r="BC369" s="31">
        <f>IF(BB369="Stage 2",20,IF(BB369="Stage 1",0,IF(BB369="Stage 3",5,IF(BB369="Stage 4",-5,0))))</f>
        <v/>
      </c>
      <c r="BD369" s="31" t="inlineStr">
        <is>
          <t>Negative Trend</t>
        </is>
      </c>
      <c r="BE369" s="31">
        <f>IF(BD369="Positive Trend",20,IF(BD369="Negative Trend",-10,0))</f>
        <v/>
      </c>
      <c r="BF369" s="31" t="inlineStr">
        <is>
          <t>Sideways</t>
        </is>
      </c>
      <c r="BG369" s="31">
        <f>IF(BF369="Uptrend",10,IF(BF369="Sideways",5,0))</f>
        <v/>
      </c>
      <c r="BH369" s="31" t="inlineStr">
        <is>
          <t>Uptrend</t>
        </is>
      </c>
      <c r="BI369" s="31">
        <f>IF(BH369="Uptrend",10,IF(BH369="Sideways",5,0))</f>
        <v/>
      </c>
      <c r="BJ369" s="31" t="inlineStr">
        <is>
          <t>Overhead supply in last 2 years in last 2 years</t>
        </is>
      </c>
      <c r="BK369" s="31">
        <f>IF(BJ369="Overhead supply in last 2 years in last 2 years",-5,IF(BJ369="Close to 52 week high or retracement",5,IF(BJ369="Blue sky scenario",10,IF(BJ369="Long term Downtrend",-10,0))))</f>
        <v/>
      </c>
      <c r="BL369" s="31" t="inlineStr">
        <is>
          <t>Yes</t>
        </is>
      </c>
      <c r="BM369" s="31">
        <f>IF(BL369="Yes",10,0)</f>
        <v/>
      </c>
      <c r="BN369" s="31" t="inlineStr">
        <is>
          <t>More than 20%</t>
        </is>
      </c>
      <c r="BO369" s="31">
        <f>IF(BN369="More than 20%",10,IF(BN369="Between 12 to 20%",5,IF(BN369="Less than 12%",0,0)))</f>
        <v/>
      </c>
      <c r="BP369" s="31" t="inlineStr">
        <is>
          <t>No</t>
        </is>
      </c>
      <c r="BQ369" s="31">
        <f>IF(BP369="No",10,0)</f>
        <v/>
      </c>
      <c r="BR369" s="31" t="inlineStr">
        <is>
          <t>No</t>
        </is>
      </c>
      <c r="BS369" s="31">
        <f>IF(BR369="NO",5,0)</f>
        <v/>
      </c>
      <c r="BT369" s="31" t="inlineStr">
        <is>
          <t>Less than 1.5</t>
        </is>
      </c>
      <c r="BU369" s="31">
        <f>IF(BT369="Above 2",0,IF(BT369="Between 1.5 to 2",5,IF(BT369="Less than 1.5",10,0)))</f>
        <v/>
      </c>
      <c r="BV369" s="31" t="inlineStr">
        <is>
          <t>Above 70%</t>
        </is>
      </c>
      <c r="BW369" s="31">
        <f>IF(BV369="Above 70%",10,IF(BV369="Between 50% to 70%",5,IF(BV369="Less than 50%",0,IF(BV369="Negative",-10,IF(BV369="Less than 50% and Borrowings are increasing",-5,0)))))</f>
        <v/>
      </c>
      <c r="BX369" s="31" t="inlineStr">
        <is>
          <t>Less than 0.7</t>
        </is>
      </c>
      <c r="BY369" s="31">
        <f>IF(BX369="More than 1.2",-10,IF(BX369="Between 0.7 to 1.2",0,IF(BX369="Less than 0.7",10,0)))</f>
        <v/>
      </c>
      <c r="BZ369" s="31" t="inlineStr">
        <is>
          <t>No</t>
        </is>
      </c>
      <c r="CA369" s="31">
        <f>IF(BZ369="Yes",-10,0)</f>
        <v/>
      </c>
      <c r="CB369" s="31" t="inlineStr">
        <is>
          <t>More than 15%</t>
        </is>
      </c>
      <c r="CC369" s="31">
        <f>IF(CB369="More than 15%",-10,IF(CB369="Less than 15%",10,0))</f>
        <v/>
      </c>
      <c r="CD369" s="31" t="inlineStr">
        <is>
          <t>Yes Upto 10%</t>
        </is>
      </c>
      <c r="CE369" s="31">
        <f>IF(CD369="Yes, more than 10%",-10,IF(CD369="No",10,0))</f>
        <v/>
      </c>
    </row>
    <row r="370">
      <c r="A370" s="31">
        <f>IF(B370=0,"",RANK(B370,$B$2:$B$379,0))</f>
        <v/>
      </c>
      <c r="B370" s="32">
        <f>SUM(N370,Y370,AA370,AC370,AE370,AG370,AI370,AK370,AM370,AO370,AQ370,AS370,AU370,AW370,AY370,BA370,BC370,BE370,BG370,BI370,BK370,BM370,BO370,BQ370,BS370,BU370,BW370,BY370,CA370,CC370,CE370)</f>
        <v/>
      </c>
      <c r="C370" s="31" t="inlineStr">
        <is>
          <t>POLICYBZR</t>
        </is>
      </c>
      <c r="D370" s="31" t="inlineStr">
        <is>
          <t>PB Fintech Ltd</t>
        </is>
      </c>
      <c r="E370" s="31" t="inlineStr">
        <is>
          <t>i.t</t>
        </is>
      </c>
      <c r="F370" s="31" t="inlineStr">
        <is>
          <t>computers - software - medium / small</t>
        </is>
      </c>
      <c r="G370" s="31" t="inlineStr">
        <is>
          <t>largecap</t>
        </is>
      </c>
      <c r="H370" s="32" t="n">
        <v>75354.19</v>
      </c>
      <c r="I370" s="32" t="n">
        <v>1684.2</v>
      </c>
      <c r="J370" s="32" t="n">
        <v>3.41</v>
      </c>
      <c r="K370" s="32" t="n">
        <v>1056784</v>
      </c>
      <c r="L370" s="31" t="n">
        <v>7</v>
      </c>
      <c r="M370" s="31" t="inlineStr">
        <is>
          <t>Outperforming</t>
        </is>
      </c>
      <c r="N370" s="32">
        <f>IF(M370="Underperforming",-5,IF(L370&gt;=95,15,IF(L370&gt;=90,10,IF(L370&gt;=80,5,0))))</f>
        <v/>
      </c>
      <c r="O370" s="32" t="n">
        <v>53.27</v>
      </c>
      <c r="P370" s="32" t="n">
        <v>10.99</v>
      </c>
      <c r="Q370" s="32" t="n">
        <v>1429.98</v>
      </c>
      <c r="R370" s="31" t="inlineStr">
        <is>
          <t>Earnings / Momentum Support</t>
        </is>
      </c>
      <c r="S370" s="31" t="inlineStr">
        <is>
          <t>Nifty IT</t>
        </is>
      </c>
      <c r="T370" s="32" t="n">
        <v>-34.2</v>
      </c>
      <c r="U370" s="32" t="n">
        <v>-6.12</v>
      </c>
      <c r="V370" s="32" t="n">
        <v>42.68</v>
      </c>
      <c r="W370" s="32" t="n">
        <v>3.14</v>
      </c>
      <c r="X370" s="31" t="inlineStr">
        <is>
          <t>Growing Industry</t>
        </is>
      </c>
      <c r="Y370" s="31">
        <f>IF(X370="Growing Industry",10,IF(X370="Cyclical in an Upturn",5,0))</f>
        <v/>
      </c>
      <c r="Z370" s="31" t="inlineStr">
        <is>
          <t>Monopoly</t>
        </is>
      </c>
      <c r="AA370" s="31">
        <f>IF(Z370="Monopoly",10,IF(Z370="Oligopoly",5,IF(Z370="Duopoly that cooperate",10,IF(Z370="Duopoly that compete",5,IF(Z370="Too many players with High ROCE",5,0)))))</f>
        <v/>
      </c>
      <c r="AB370" s="31" t="inlineStr">
        <is>
          <t>Yes</t>
        </is>
      </c>
      <c r="AC370" s="31">
        <f>IF(AB370="No",5,0)</f>
        <v/>
      </c>
      <c r="AD370" s="31" t="inlineStr">
        <is>
          <t>Tailwind</t>
        </is>
      </c>
      <c r="AE370" s="31">
        <f>IF(AD370="Tailwind",10,0)</f>
        <v/>
      </c>
      <c r="AF370" s="31" t="inlineStr">
        <is>
          <t>Structural (10 Years Consistency)</t>
        </is>
      </c>
      <c r="AG370" s="31">
        <f>IF(AF370="Structural (10 Years Consistency)",10,IF(AF370="Shallow Cyclical (2 to 3 years growth)",5,0))</f>
        <v/>
      </c>
      <c r="AH370" s="31" t="inlineStr">
        <is>
          <t>No</t>
        </is>
      </c>
      <c r="AI370" s="31">
        <f>IF(AH370="Yes due to Product Mix change or Operating Leverage",10,IF(AH370="Yes, these are peak margins",-5,IF(AH370="No",5,0)))</f>
        <v/>
      </c>
      <c r="AJ370" s="31" t="inlineStr">
        <is>
          <t>Volatile</t>
        </is>
      </c>
      <c r="AK370" s="31">
        <f>IF(AJ370="Stable",10,0)</f>
        <v/>
      </c>
      <c r="AL370" s="31" t="inlineStr">
        <is>
          <t>Yes</t>
        </is>
      </c>
      <c r="AM370" s="31">
        <f>IF(AL370="Yes",10,0)</f>
        <v/>
      </c>
      <c r="AN370" s="31" t="inlineStr">
        <is>
          <t>B2C</t>
        </is>
      </c>
      <c r="AO370" s="31">
        <f>IF(AN370="B2C",10,IF(AN370="B2B",5,0))</f>
        <v/>
      </c>
      <c r="AP370" s="31" t="inlineStr">
        <is>
          <t>Yes</t>
        </is>
      </c>
      <c r="AQ370" s="31">
        <f>IF(AP370="Yes",10,0)</f>
        <v/>
      </c>
      <c r="AR370" s="31" t="inlineStr">
        <is>
          <t>Fully Annuity</t>
        </is>
      </c>
      <c r="AS370" s="31">
        <f>IF(AR370="Fully Annuity",10,IF(AR370="Higher Annuity, Lower One Time",5,IF(AR370="Higher One Time, Lower Annuity",3,0)))</f>
        <v/>
      </c>
      <c r="AT370" s="31" t="inlineStr">
        <is>
          <t>Allocated capital in Non-core Areas</t>
        </is>
      </c>
      <c r="AU370" s="31">
        <f>IF(AT370="Good",10,0)</f>
        <v/>
      </c>
      <c r="AV370" s="31" t="inlineStr">
        <is>
          <t>Yes for more than 2 years</t>
        </is>
      </c>
      <c r="AW370" s="31">
        <f>IF(AV370="Yes for more than 2 years",10,IF(AV370="Yes only for next 1 to 2 years",5,0))</f>
        <v/>
      </c>
      <c r="AX370" s="31" t="inlineStr">
        <is>
          <t>20 to 40</t>
        </is>
      </c>
      <c r="AY370" s="31">
        <f>IF(AX370="Above 40",20,IF(AX370="20 to 40",10,IF(AX370="0 to 20",-5,0)))</f>
        <v/>
      </c>
      <c r="AZ370" s="31" t="inlineStr">
        <is>
          <t>Below 45</t>
        </is>
      </c>
      <c r="BA370" s="31">
        <f>IF(AZ370="Between 50 to 75",10,IF(AZ370="Above 75",0,0))</f>
        <v/>
      </c>
      <c r="BB370" s="31" t="inlineStr">
        <is>
          <t>Stage 1</t>
        </is>
      </c>
      <c r="BC370" s="31">
        <f>IF(BB370="Stage 2",20,IF(BB370="Stage 1",0,IF(BB370="Stage 3",5,IF(BB370="Stage 4",-5,0))))</f>
        <v/>
      </c>
      <c r="BD370" s="31" t="inlineStr">
        <is>
          <t>Positive Trend</t>
        </is>
      </c>
      <c r="BE370" s="31">
        <f>IF(BD370="Positive Trend",20,IF(BD370="Negative Trend",-10,0))</f>
        <v/>
      </c>
      <c r="BF370" s="31" t="inlineStr">
        <is>
          <t>Downtrend</t>
        </is>
      </c>
      <c r="BG370" s="31">
        <f>IF(BF370="Uptrend",10,IF(BF370="Sideways",5,0))</f>
        <v/>
      </c>
      <c r="BH370" s="31" t="inlineStr">
        <is>
          <t>Downtrend</t>
        </is>
      </c>
      <c r="BI370" s="31">
        <f>IF(BH370="Uptrend",10,IF(BH370="Sideways",5,0))</f>
        <v/>
      </c>
      <c r="BJ370" s="31" t="inlineStr">
        <is>
          <t>Overhead supply in last 2 years in last 2 years</t>
        </is>
      </c>
      <c r="BK370" s="31">
        <f>IF(BJ370="Overhead supply in last 2 years in last 2 years",-5,IF(BJ370="Close to 52 week high or retracement",5,IF(BJ370="Blue sky scenario",10,IF(BJ370="Long term Downtrend",-10,0))))</f>
        <v/>
      </c>
      <c r="BL370" s="31" t="inlineStr">
        <is>
          <t>Yes</t>
        </is>
      </c>
      <c r="BM370" s="31">
        <f>IF(BL370="Yes",10,0)</f>
        <v/>
      </c>
      <c r="BN370" s="31" t="inlineStr">
        <is>
          <t>Less than 12%</t>
        </is>
      </c>
      <c r="BO370" s="31">
        <f>IF(BN370="More than 20%",10,IF(BN370="Between 12 to 20%",5,IF(BN370="Less than 12%",0,0)))</f>
        <v/>
      </c>
      <c r="BP370" s="31" t="inlineStr">
        <is>
          <t>Yes</t>
        </is>
      </c>
      <c r="BQ370" s="31">
        <f>IF(BP370="No",10,0)</f>
        <v/>
      </c>
      <c r="BR370" s="31" t="inlineStr">
        <is>
          <t>Yes</t>
        </is>
      </c>
      <c r="BS370" s="31">
        <f>IF(BR370="NO",5,0)</f>
        <v/>
      </c>
      <c r="BT370" s="31" t="inlineStr">
        <is>
          <t>Above 2</t>
        </is>
      </c>
      <c r="BU370" s="31">
        <f>IF(BT370="Above 2",0,IF(BT370="Between 1.5 to 2",5,IF(BT370="Less than 1.5",10,0)))</f>
        <v/>
      </c>
      <c r="BV370" s="31" t="inlineStr">
        <is>
          <t>Above 70%</t>
        </is>
      </c>
      <c r="BW370" s="31">
        <f>IF(BV370="Above 70%",10,IF(BV370="Between 50% to 70%",5,IF(BV370="Less than 50%",0,IF(BV370="Negative",-10,IF(BV370="Less than 50% and Borrowings are increasing",-5,0)))))</f>
        <v/>
      </c>
      <c r="BX370" s="31" t="inlineStr">
        <is>
          <t>Less than 0.7</t>
        </is>
      </c>
      <c r="BY370" s="31">
        <f>IF(BX370="More than 1.2",-10,IF(BX370="Between 0.7 to 1.2",0,IF(BX370="Less than 0.7",10,0)))</f>
        <v/>
      </c>
      <c r="BZ370" s="31" t="inlineStr">
        <is>
          <t>No</t>
        </is>
      </c>
      <c r="CA370" s="31">
        <f>IF(BZ370="Yes",-10,0)</f>
        <v/>
      </c>
      <c r="CB370" s="31" t="inlineStr">
        <is>
          <t>Less than 15%</t>
        </is>
      </c>
      <c r="CC370" s="31">
        <f>IF(CB370="More than 15%",-10,IF(CB370="Less than 15%",10,0))</f>
        <v/>
      </c>
      <c r="CD370" s="31" t="inlineStr">
        <is>
          <t>No</t>
        </is>
      </c>
      <c r="CE370" s="31">
        <f>IF(CD370="Yes, more than 10%",-10,IF(CD370="No",10,0))</f>
        <v/>
      </c>
    </row>
    <row r="371">
      <c r="A371" s="31">
        <f>IF(B371=0,"",RANK(B371,$B$2:$B$379,0))</f>
        <v/>
      </c>
      <c r="B371" s="32">
        <f>SUM(N371,Y371,AA371,AC371,AE371,AG371,AI371,AK371,AM371,AO371,AQ371,AS371,AU371,AW371,AY371,BA371,BC371,BE371,BG371,BI371,BK371,BM371,BO371,BQ371,BS371,BU371,BW371,BY371,CA371,CC371,CE371)</f>
        <v/>
      </c>
      <c r="C371" s="31" t="inlineStr">
        <is>
          <t>ICEMAKE</t>
        </is>
      </c>
      <c r="D371" s="31" t="inlineStr">
        <is>
          <t>ICE Make Refrigeration Ltd</t>
        </is>
      </c>
      <c r="E371" s="31" t="inlineStr">
        <is>
          <t>industrials</t>
        </is>
      </c>
      <c r="F371" s="31" t="inlineStr">
        <is>
          <t>engineering</t>
        </is>
      </c>
      <c r="G371" s="31" t="inlineStr">
        <is>
          <t>smallcap</t>
        </is>
      </c>
      <c r="H371" s="32" t="n">
        <v>1255.91</v>
      </c>
      <c r="I371" s="32" t="n">
        <v>795.65</v>
      </c>
      <c r="J371" s="32" t="n">
        <v>-0.03</v>
      </c>
      <c r="K371" s="32" t="n">
        <v>53214</v>
      </c>
      <c r="L371" s="31" t="n">
        <v>6</v>
      </c>
      <c r="M371" s="31" t="inlineStr">
        <is>
          <t>Outperforming</t>
        </is>
      </c>
      <c r="N371" s="32">
        <f>IF(M371="Underperforming",-5,IF(L371&gt;=95,15,IF(L371&gt;=90,10,IF(L371&gt;=80,5,0))))</f>
        <v/>
      </c>
      <c r="O371" s="32" t="n">
        <v>52.52</v>
      </c>
      <c r="P371" s="32" t="n">
        <v>15.79</v>
      </c>
      <c r="Q371" s="32" t="n">
        <v>633.9</v>
      </c>
      <c r="R371" s="31" t="inlineStr">
        <is>
          <t>Earnings / Momentum Support</t>
        </is>
      </c>
      <c r="S371" s="31" t="inlineStr">
        <is>
          <t>Nifty 50</t>
        </is>
      </c>
      <c r="T371" s="32" t="n">
        <v>-5.72</v>
      </c>
      <c r="U371" s="32" t="n">
        <v>0.47</v>
      </c>
      <c r="V371" s="32" t="n">
        <v>6.56</v>
      </c>
      <c r="W371" s="32" t="n">
        <v>2.93</v>
      </c>
      <c r="X371" s="31" t="inlineStr">
        <is>
          <t>Cyclical in an Upturn</t>
        </is>
      </c>
      <c r="Y371" s="31">
        <f>IF(X371="Growing Industry",10,IF(X371="Cyclical in an Upturn",5,0))</f>
        <v/>
      </c>
      <c r="Z371" s="31" t="inlineStr">
        <is>
          <t>Too Many Players with High ROCE</t>
        </is>
      </c>
      <c r="AA371" s="31">
        <f>IF(Z371="Monopoly",10,IF(Z371="Oligopoly",5,IF(Z371="Duopoly that cooperate",10,IF(Z371="Duopoly that compete",5,IF(Z371="Too many players with High ROCE",5,0)))))</f>
        <v/>
      </c>
      <c r="AB371" s="31" t="inlineStr">
        <is>
          <t>No</t>
        </is>
      </c>
      <c r="AC371" s="31">
        <f>IF(AB371="No",5,0)</f>
        <v/>
      </c>
      <c r="AD371" s="31" t="inlineStr">
        <is>
          <t>Tailwind</t>
        </is>
      </c>
      <c r="AE371" s="31">
        <f>IF(AD371="Tailwind",10,0)</f>
        <v/>
      </c>
      <c r="AF371" s="31" t="inlineStr">
        <is>
          <t>Structural (10 Years Consistency)</t>
        </is>
      </c>
      <c r="AG371" s="31">
        <f>IF(AF371="Structural (10 Years Consistency)",10,IF(AF371="Shallow Cyclical (2 to 3 years growth)",5,0))</f>
        <v/>
      </c>
      <c r="AH371" s="31" t="inlineStr">
        <is>
          <t>No</t>
        </is>
      </c>
      <c r="AI371" s="31">
        <f>IF(AH371="Yes due to Product Mix change or Operating Leverage",10,IF(AH371="Yes, these are peak margins",-5,IF(AH371="No",5,0)))</f>
        <v/>
      </c>
      <c r="AJ371" s="31" t="inlineStr">
        <is>
          <t>Stable</t>
        </is>
      </c>
      <c r="AK371" s="31">
        <f>IF(AJ371="Stable",10,0)</f>
        <v/>
      </c>
      <c r="AL371" s="31" t="inlineStr">
        <is>
          <t>Yes</t>
        </is>
      </c>
      <c r="AM371" s="31">
        <f>IF(AL371="Yes",10,0)</f>
        <v/>
      </c>
      <c r="AN371" s="31" t="inlineStr">
        <is>
          <t>B2B</t>
        </is>
      </c>
      <c r="AO371" s="31">
        <f>IF(AN371="B2C",10,IF(AN371="B2B",5,0))</f>
        <v/>
      </c>
      <c r="AP371" s="31" t="inlineStr">
        <is>
          <t>No</t>
        </is>
      </c>
      <c r="AQ371" s="31">
        <f>IF(AP371="Yes",10,0)</f>
        <v/>
      </c>
      <c r="AR371" s="31" t="inlineStr">
        <is>
          <t>Higher One Time, Lower Annuity</t>
        </is>
      </c>
      <c r="AS371" s="31">
        <f>IF(AR371="Fully Annuity",10,IF(AR371="Higher Annuity, Lower One Time",5,IF(AR371="Higher One Time, Lower Annuity",3,0)))</f>
        <v/>
      </c>
      <c r="AT371" s="31" t="inlineStr">
        <is>
          <t>Good</t>
        </is>
      </c>
      <c r="AU371" s="31">
        <f>IF(AT371="Good",10,0)</f>
        <v/>
      </c>
      <c r="AV371" s="31" t="inlineStr">
        <is>
          <t>Yes for more than 2 years</t>
        </is>
      </c>
      <c r="AW371" s="31">
        <f>IF(AV371="Yes for more than 2 years",10,IF(AV371="Yes only for next 1 to 2 years",5,0))</f>
        <v/>
      </c>
      <c r="AX371" s="31" t="inlineStr">
        <is>
          <t>0 to 20</t>
        </is>
      </c>
      <c r="AY371" s="31">
        <f>IF(AX371="Above 40",20,IF(AX371="20 to 40",10,IF(AX371="0 to 20",-5,0)))</f>
        <v/>
      </c>
      <c r="AZ371" s="31" t="inlineStr">
        <is>
          <t>Between 50 to 75</t>
        </is>
      </c>
      <c r="BA371" s="31">
        <f>IF(AZ371="Between 50 to 75",10,IF(AZ371="Above 75",0,0))</f>
        <v/>
      </c>
      <c r="BB371" s="31" t="inlineStr">
        <is>
          <t>Stage 1</t>
        </is>
      </c>
      <c r="BC371" s="31">
        <f>IF(BB371="Stage 2",20,IF(BB371="Stage 1",0,IF(BB371="Stage 3",5,IF(BB371="Stage 4",-5,0))))</f>
        <v/>
      </c>
      <c r="BD371" s="31" t="inlineStr">
        <is>
          <t>Positive Trend</t>
        </is>
      </c>
      <c r="BE371" s="31">
        <f>IF(BD371="Positive Trend",20,IF(BD371="Negative Trend",-10,0))</f>
        <v/>
      </c>
      <c r="BF371" s="31" t="inlineStr">
        <is>
          <t>Uptrend</t>
        </is>
      </c>
      <c r="BG371" s="31">
        <f>IF(BF371="Uptrend",10,IF(BF371="Sideways",5,0))</f>
        <v/>
      </c>
      <c r="BH371" s="31" t="inlineStr">
        <is>
          <t>Uptrend</t>
        </is>
      </c>
      <c r="BI371" s="31">
        <f>IF(BH371="Uptrend",10,IF(BH371="Sideways",5,0))</f>
        <v/>
      </c>
      <c r="BJ371" s="31" t="inlineStr">
        <is>
          <t>Close to 52 week high or retracement</t>
        </is>
      </c>
      <c r="BK371" s="31">
        <f>IF(BJ371="Overhead supply in last 2 years in last 2 years",-5,IF(BJ371="Close to 52 week high or retracement",5,IF(BJ371="Blue sky scenario",10,IF(BJ371="Long term Downtrend",-10,0))))</f>
        <v/>
      </c>
      <c r="BL371" s="31" t="inlineStr">
        <is>
          <t>Yes</t>
        </is>
      </c>
      <c r="BM371" s="31">
        <f>IF(BL371="Yes",10,0)</f>
        <v/>
      </c>
      <c r="BN371" s="31" t="inlineStr">
        <is>
          <t>Less than 12%</t>
        </is>
      </c>
      <c r="BO371" s="31">
        <f>IF(BN371="More than 20%",10,IF(BN371="Between 12 to 20%",5,IF(BN371="Less than 12%",0,0)))</f>
        <v/>
      </c>
      <c r="BP371" s="31" t="inlineStr">
        <is>
          <t>No</t>
        </is>
      </c>
      <c r="BQ371" s="31">
        <f>IF(BP371="No",10,0)</f>
        <v/>
      </c>
      <c r="BR371" s="31" t="inlineStr">
        <is>
          <t>Yes</t>
        </is>
      </c>
      <c r="BS371" s="31">
        <f>IF(BR371="NO",5,0)</f>
        <v/>
      </c>
      <c r="BT371" s="31" t="inlineStr">
        <is>
          <t>Above 2</t>
        </is>
      </c>
      <c r="BU371" s="31">
        <f>IF(BT371="Above 2",0,IF(BT371="Between 1.5 to 2",5,IF(BT371="Less than 1.5",10,0)))</f>
        <v/>
      </c>
      <c r="BV371" s="31" t="inlineStr">
        <is>
          <t>Negative</t>
        </is>
      </c>
      <c r="BW371" s="31">
        <f>IF(BV371="Above 70%",10,IF(BV371="Between 50% to 70%",5,IF(BV371="Less than 50%",0,IF(BV371="Negative",-10,IF(BV371="Less than 50% and Borrowings are increasing",-5,0)))))</f>
        <v/>
      </c>
      <c r="BX371" s="31" t="inlineStr">
        <is>
          <t>Between 0.7 to 1.2</t>
        </is>
      </c>
      <c r="BY371" s="31">
        <f>IF(BX371="More than 1.2",-10,IF(BX371="Between 0.7 to 1.2",0,IF(BX371="Less than 0.7",10,0)))</f>
        <v/>
      </c>
      <c r="BZ371" s="31" t="inlineStr">
        <is>
          <t>No</t>
        </is>
      </c>
      <c r="CA371" s="31">
        <f>IF(BZ371="Yes",-10,0)</f>
        <v/>
      </c>
      <c r="CB371" s="31" t="inlineStr">
        <is>
          <t>Less than 15%</t>
        </is>
      </c>
      <c r="CC371" s="31">
        <f>IF(CB371="More than 15%",-10,IF(CB371="Less than 15%",10,0))</f>
        <v/>
      </c>
      <c r="CD371" s="31" t="inlineStr">
        <is>
          <t>No</t>
        </is>
      </c>
      <c r="CE371" s="31">
        <f>IF(CD371="Yes, more than 10%",-10,IF(CD371="No",10,0))</f>
        <v/>
      </c>
    </row>
    <row r="372">
      <c r="A372" s="31">
        <f>IF(B372=0,"",RANK(B372,$B$2:$B$379,0))</f>
        <v/>
      </c>
      <c r="B372" s="32">
        <f>SUM(N372,Y372,AA372,AC372,AE372,AG372,AI372,AK372,AM372,AO372,AQ372,AS372,AU372,AW372,AY372,BA372,BC372,BE372,BG372,BI372,BK372,BM372,BO372,BQ372,BS372,BU372,BW372,BY372,CA372,CC372,CE372)</f>
        <v/>
      </c>
      <c r="C372" s="31" t="inlineStr">
        <is>
          <t>BHAGERIA</t>
        </is>
      </c>
      <c r="D372" s="31" t="inlineStr">
        <is>
          <t>Bhageria Industries Limited</t>
        </is>
      </c>
      <c r="E372" s="31" t="inlineStr">
        <is>
          <t>chemicals</t>
        </is>
      </c>
      <c r="F372" s="31" t="inlineStr">
        <is>
          <t>dyes and pigments</t>
        </is>
      </c>
      <c r="G372" s="31" t="inlineStr">
        <is>
          <t>smallcap</t>
        </is>
      </c>
      <c r="H372" s="32" t="n">
        <v>920.9400000000001</v>
      </c>
      <c r="I372" s="32" t="n">
        <v>221.46</v>
      </c>
      <c r="J372" s="32" t="n">
        <v>4.95</v>
      </c>
      <c r="K372" s="32" t="n">
        <v>57628</v>
      </c>
      <c r="L372" s="31" t="inlineStr"/>
      <c r="M372" s="31" t="inlineStr"/>
      <c r="N372" s="32">
        <f>IF(M372="Underperforming",-5,IF(L372&gt;=95,15,IF(L372&gt;=90,10,IF(L372&gt;=80,5,0))))</f>
        <v/>
      </c>
      <c r="O372" s="32" t="inlineStr"/>
      <c r="P372" s="32" t="inlineStr"/>
      <c r="Q372" s="32" t="inlineStr"/>
      <c r="R372" s="31" t="inlineStr"/>
      <c r="S372" s="31" t="inlineStr"/>
      <c r="T372" s="32" t="inlineStr"/>
      <c r="U372" s="32" t="inlineStr"/>
      <c r="V372" s="32" t="inlineStr"/>
      <c r="W372" s="32" t="inlineStr"/>
      <c r="X372" s="31" t="n"/>
      <c r="Y372" s="31">
        <f>IF(X372="Growing Industry",10,IF(X372="Cyclical in an Upturn",5,0))</f>
        <v/>
      </c>
      <c r="Z372" s="31" t="n"/>
      <c r="AA372" s="31">
        <f>IF(Z372="Monopoly",10,IF(Z372="Oligopoly",5,IF(Z372="Duopoly that cooperate",10,IF(Z372="Duopoly that compete",5,IF(Z372="Too many players with High ROCE",5,0)))))</f>
        <v/>
      </c>
      <c r="AB372" s="31" t="n"/>
      <c r="AC372" s="31">
        <f>IF(AB372="No",5,0)</f>
        <v/>
      </c>
      <c r="AD372" s="31" t="n"/>
      <c r="AE372" s="31">
        <f>IF(AD372="Tailwind",10,0)</f>
        <v/>
      </c>
      <c r="AF372" s="31" t="n"/>
      <c r="AG372" s="31">
        <f>IF(AF372="Structural (10 Years Consistency)",10,IF(AF372="Shallow Cyclical (2 to 3 years growth)",5,0))</f>
        <v/>
      </c>
      <c r="AH372" s="31" t="n"/>
      <c r="AI372" s="31">
        <f>IF(AH372="Yes due to Product Mix change or Operating Leverage",10,IF(AH372="Yes, these are peak margins",-5,IF(AH372="No",5,0)))</f>
        <v/>
      </c>
      <c r="AJ372" s="31" t="n"/>
      <c r="AK372" s="31">
        <f>IF(AJ372="Stable",10,0)</f>
        <v/>
      </c>
      <c r="AL372" s="31" t="n"/>
      <c r="AM372" s="31">
        <f>IF(AL372="Yes",10,0)</f>
        <v/>
      </c>
      <c r="AN372" s="31" t="n"/>
      <c r="AO372" s="31">
        <f>IF(AN372="B2C",10,IF(AN372="B2B",5,0))</f>
        <v/>
      </c>
      <c r="AP372" s="31" t="n"/>
      <c r="AQ372" s="31">
        <f>IF(AP372="Yes",10,0)</f>
        <v/>
      </c>
      <c r="AR372" s="31" t="n"/>
      <c r="AS372" s="31">
        <f>IF(AR372="Fully Annuity",10,IF(AR372="Higher Annuity, Lower One Time",5,IF(AR372="Higher One Time, Lower Annuity",3,0)))</f>
        <v/>
      </c>
      <c r="AT372" s="31" t="n"/>
      <c r="AU372" s="31">
        <f>IF(AT372="Good",10,0)</f>
        <v/>
      </c>
      <c r="AV372" s="31" t="n"/>
      <c r="AW372" s="31">
        <f>IF(AV372="Yes for more than 2 years",10,IF(AV372="Yes only for next 1 to 2 years",5,0))</f>
        <v/>
      </c>
      <c r="AX372" s="31" t="n"/>
      <c r="AY372" s="31">
        <f>IF(AX372="Above 40",20,IF(AX372="20 to 40",10,IF(AX372="0 to 20",-5,0)))</f>
        <v/>
      </c>
      <c r="AZ372" s="31" t="n"/>
      <c r="BA372" s="31">
        <f>IF(AZ372="Between 50 to 75",10,IF(AZ372="Above 75",0,0))</f>
        <v/>
      </c>
      <c r="BB372" s="31" t="n"/>
      <c r="BC372" s="31">
        <f>IF(BB372="Stage 2",20,IF(BB372="Stage 1",0,IF(BB372="Stage 3",5,IF(BB372="Stage 4",-5,0))))</f>
        <v/>
      </c>
      <c r="BD372" s="31" t="n"/>
      <c r="BE372" s="31">
        <f>IF(BD372="Positive Trend",20,IF(BD372="Negative Trend",-10,0))</f>
        <v/>
      </c>
      <c r="BF372" s="31" t="n"/>
      <c r="BG372" s="31">
        <f>IF(BF372="Uptrend",10,IF(BF372="Sideways",5,0))</f>
        <v/>
      </c>
      <c r="BH372" s="31" t="n"/>
      <c r="BI372" s="31">
        <f>IF(BH372="Uptrend",10,IF(BH372="Sideways",5,0))</f>
        <v/>
      </c>
      <c r="BJ372" s="31" t="n"/>
      <c r="BK372" s="31">
        <f>IF(BJ372="Overhead supply in last 2 years in last 2 years",-5,IF(BJ372="Close to 52 week high or retracement",5,IF(BJ372="Blue sky scenario",10,IF(BJ372="Long term Downtrend",-10,0))))</f>
        <v/>
      </c>
      <c r="BL372" s="31" t="n"/>
      <c r="BM372" s="31">
        <f>IF(BL372="Yes",10,0)</f>
        <v/>
      </c>
      <c r="BN372" s="31" t="n"/>
      <c r="BO372" s="31">
        <f>IF(BN372="More than 20%",10,IF(BN372="Between 12 to 20%",5,IF(BN372="Less than 12%",0,0)))</f>
        <v/>
      </c>
      <c r="BP372" s="31" t="n"/>
      <c r="BQ372" s="31">
        <f>IF(BP372="No",10,0)</f>
        <v/>
      </c>
      <c r="BR372" s="31" t="n"/>
      <c r="BS372" s="31">
        <f>IF(BR372="NO",5,0)</f>
        <v/>
      </c>
      <c r="BT372" s="31" t="n"/>
      <c r="BU372" s="31">
        <f>IF(BT372="Above 2",0,IF(BT372="Between 1.5 to 2",5,IF(BT372="Less than 1.5",10,0)))</f>
        <v/>
      </c>
      <c r="BV372" s="31" t="n"/>
      <c r="BW372" s="31">
        <f>IF(BV372="Above 70%",10,IF(BV372="Between 50% to 70%",5,IF(BV372="Less than 50%",0,IF(BV372="Negative",-10,IF(BV372="Less than 50% and Borrowings are increasing",-5,0)))))</f>
        <v/>
      </c>
      <c r="BX372" s="31" t="n"/>
      <c r="BY372" s="31">
        <f>IF(BX372="More than 1.2",-10,IF(BX372="Between 0.7 to 1.2",0,IF(BX372="Less than 0.7",10,0)))</f>
        <v/>
      </c>
      <c r="BZ372" s="31" t="n"/>
      <c r="CA372" s="31">
        <f>IF(BZ372="Yes",-10,0)</f>
        <v/>
      </c>
      <c r="CB372" s="31" t="n"/>
      <c r="CC372" s="31">
        <f>IF(CB372="More than 15%",-10,IF(CB372="Less than 15%",10,0))</f>
        <v/>
      </c>
      <c r="CD372" s="31" t="n"/>
      <c r="CE372" s="31">
        <f>IF(CD372="Yes, more than 10%",-10,IF(CD372="No",10,0))</f>
        <v/>
      </c>
    </row>
    <row r="373">
      <c r="A373" s="31">
        <f>IF(B373=0,"",RANK(B373,$B$2:$B$379,0))</f>
        <v/>
      </c>
      <c r="B373" s="32">
        <f>SUM(N373,Y373,AA373,AC373,AE373,AG373,AI373,AK373,AM373,AO373,AQ373,AS373,AU373,AW373,AY373,BA373,BC373,BE373,BG373,BI373,BK373,BM373,BO373,BQ373,BS373,BU373,BW373,BY373,CA373,CC373,CE373)</f>
        <v/>
      </c>
      <c r="C373" s="31" t="inlineStr">
        <is>
          <t>VTL</t>
        </is>
      </c>
      <c r="D373" s="31" t="inlineStr">
        <is>
          <t>Vardhman Textiles Limited</t>
        </is>
      </c>
      <c r="E373" s="31" t="inlineStr">
        <is>
          <t>textiles</t>
        </is>
      </c>
      <c r="F373" s="31" t="inlineStr">
        <is>
          <t>textiles - cotton/blended</t>
        </is>
      </c>
      <c r="G373" s="31" t="inlineStr">
        <is>
          <t>midcap</t>
        </is>
      </c>
      <c r="H373" s="32" t="n">
        <v>18402.66</v>
      </c>
      <c r="I373" s="32" t="n">
        <v>646.2</v>
      </c>
      <c r="J373" s="32" t="n">
        <v>1.58</v>
      </c>
      <c r="K373" s="32" t="n">
        <v>320113</v>
      </c>
      <c r="L373" s="31" t="inlineStr"/>
      <c r="M373" s="31" t="inlineStr"/>
      <c r="N373" s="32">
        <f>IF(M373="Underperforming",-5,IF(L373&gt;=95,15,IF(L373&gt;=90,10,IF(L373&gt;=80,5,0))))</f>
        <v/>
      </c>
      <c r="O373" s="32" t="inlineStr"/>
      <c r="P373" s="32" t="inlineStr"/>
      <c r="Q373" s="32" t="inlineStr"/>
      <c r="R373" s="31" t="inlineStr"/>
      <c r="S373" s="31" t="inlineStr"/>
      <c r="T373" s="32" t="inlineStr"/>
      <c r="U373" s="32" t="inlineStr"/>
      <c r="V373" s="32" t="inlineStr"/>
      <c r="W373" s="32" t="inlineStr"/>
      <c r="X373" s="31" t="n"/>
      <c r="Y373" s="31">
        <f>IF(X373="Growing Industry",10,IF(X373="Cyclical in an Upturn",5,0))</f>
        <v/>
      </c>
      <c r="Z373" s="31" t="n"/>
      <c r="AA373" s="31">
        <f>IF(Z373="Monopoly",10,IF(Z373="Oligopoly",5,IF(Z373="Duopoly that cooperate",10,IF(Z373="Duopoly that compete",5,IF(Z373="Too many players with High ROCE",5,0)))))</f>
        <v/>
      </c>
      <c r="AB373" s="31" t="n"/>
      <c r="AC373" s="31">
        <f>IF(AB373="No",5,0)</f>
        <v/>
      </c>
      <c r="AD373" s="31" t="n"/>
      <c r="AE373" s="31">
        <f>IF(AD373="Tailwind",10,0)</f>
        <v/>
      </c>
      <c r="AF373" s="31" t="n"/>
      <c r="AG373" s="31">
        <f>IF(AF373="Structural (10 Years Consistency)",10,IF(AF373="Shallow Cyclical (2 to 3 years growth)",5,0))</f>
        <v/>
      </c>
      <c r="AH373" s="31" t="n"/>
      <c r="AI373" s="31">
        <f>IF(AH373="Yes due to Product Mix change or Operating Leverage",10,IF(AH373="Yes, these are peak margins",-5,IF(AH373="No",5,0)))</f>
        <v/>
      </c>
      <c r="AJ373" s="31" t="n"/>
      <c r="AK373" s="31">
        <f>IF(AJ373="Stable",10,0)</f>
        <v/>
      </c>
      <c r="AL373" s="31" t="n"/>
      <c r="AM373" s="31">
        <f>IF(AL373="Yes",10,0)</f>
        <v/>
      </c>
      <c r="AN373" s="31" t="n"/>
      <c r="AO373" s="31">
        <f>IF(AN373="B2C",10,IF(AN373="B2B",5,0))</f>
        <v/>
      </c>
      <c r="AP373" s="31" t="n"/>
      <c r="AQ373" s="31">
        <f>IF(AP373="Yes",10,0)</f>
        <v/>
      </c>
      <c r="AR373" s="31" t="n"/>
      <c r="AS373" s="31">
        <f>IF(AR373="Fully Annuity",10,IF(AR373="Higher Annuity, Lower One Time",5,IF(AR373="Higher One Time, Lower Annuity",3,0)))</f>
        <v/>
      </c>
      <c r="AT373" s="31" t="n"/>
      <c r="AU373" s="31">
        <f>IF(AT373="Good",10,0)</f>
        <v/>
      </c>
      <c r="AV373" s="31" t="n"/>
      <c r="AW373" s="31">
        <f>IF(AV373="Yes for more than 2 years",10,IF(AV373="Yes only for next 1 to 2 years",5,0))</f>
        <v/>
      </c>
      <c r="AX373" s="31" t="n"/>
      <c r="AY373" s="31">
        <f>IF(AX373="Above 40",20,IF(AX373="20 to 40",10,IF(AX373="0 to 20",-5,0)))</f>
        <v/>
      </c>
      <c r="AZ373" s="31" t="n"/>
      <c r="BA373" s="31">
        <f>IF(AZ373="Between 50 to 75",10,IF(AZ373="Above 75",0,0))</f>
        <v/>
      </c>
      <c r="BB373" s="31" t="n"/>
      <c r="BC373" s="31">
        <f>IF(BB373="Stage 2",20,IF(BB373="Stage 1",0,IF(BB373="Stage 3",5,IF(BB373="Stage 4",-5,0))))</f>
        <v/>
      </c>
      <c r="BD373" s="31" t="n"/>
      <c r="BE373" s="31">
        <f>IF(BD373="Positive Trend",20,IF(BD373="Negative Trend",-10,0))</f>
        <v/>
      </c>
      <c r="BF373" s="31" t="n"/>
      <c r="BG373" s="31">
        <f>IF(BF373="Uptrend",10,IF(BF373="Sideways",5,0))</f>
        <v/>
      </c>
      <c r="BH373" s="31" t="n"/>
      <c r="BI373" s="31">
        <f>IF(BH373="Uptrend",10,IF(BH373="Sideways",5,0))</f>
        <v/>
      </c>
      <c r="BJ373" s="31" t="n"/>
      <c r="BK373" s="31">
        <f>IF(BJ373="Overhead supply in last 2 years in last 2 years",-5,IF(BJ373="Close to 52 week high or retracement",5,IF(BJ373="Blue sky scenario",10,IF(BJ373="Long term Downtrend",-10,0))))</f>
        <v/>
      </c>
      <c r="BL373" s="31" t="n"/>
      <c r="BM373" s="31">
        <f>IF(BL373="Yes",10,0)</f>
        <v/>
      </c>
      <c r="BN373" s="31" t="n"/>
      <c r="BO373" s="31">
        <f>IF(BN373="More than 20%",10,IF(BN373="Between 12 to 20%",5,IF(BN373="Less than 12%",0,0)))</f>
        <v/>
      </c>
      <c r="BP373" s="31" t="n"/>
      <c r="BQ373" s="31">
        <f>IF(BP373="No",10,0)</f>
        <v/>
      </c>
      <c r="BR373" s="31" t="n"/>
      <c r="BS373" s="31">
        <f>IF(BR373="NO",5,0)</f>
        <v/>
      </c>
      <c r="BT373" s="31" t="n"/>
      <c r="BU373" s="31">
        <f>IF(BT373="Above 2",0,IF(BT373="Between 1.5 to 2",5,IF(BT373="Less than 1.5",10,0)))</f>
        <v/>
      </c>
      <c r="BV373" s="31" t="n"/>
      <c r="BW373" s="31">
        <f>IF(BV373="Above 70%",10,IF(BV373="Between 50% to 70%",5,IF(BV373="Less than 50%",0,IF(BV373="Negative",-10,IF(BV373="Less than 50% and Borrowings are increasing",-5,0)))))</f>
        <v/>
      </c>
      <c r="BX373" s="31" t="n"/>
      <c r="BY373" s="31">
        <f>IF(BX373="More than 1.2",-10,IF(BX373="Between 0.7 to 1.2",0,IF(BX373="Less than 0.7",10,0)))</f>
        <v/>
      </c>
      <c r="BZ373" s="31" t="n"/>
      <c r="CA373" s="31">
        <f>IF(BZ373="Yes",-10,0)</f>
        <v/>
      </c>
      <c r="CB373" s="31" t="n"/>
      <c r="CC373" s="31">
        <f>IF(CB373="More than 15%",-10,IF(CB373="Less than 15%",10,0))</f>
        <v/>
      </c>
      <c r="CD373" s="31" t="n"/>
      <c r="CE373" s="31">
        <f>IF(CD373="Yes, more than 10%",-10,IF(CD373="No",10,0))</f>
        <v/>
      </c>
    </row>
    <row r="374">
      <c r="A374" s="31">
        <f>IF(B374=0,"",RANK(B374,$B$2:$B$379,0))</f>
        <v/>
      </c>
      <c r="B374" s="32">
        <f>SUM(N374,Y374,AA374,AC374,AE374,AG374,AI374,AK374,AM374,AO374,AQ374,AS374,AU374,AW374,AY374,BA374,BC374,BE374,BG374,BI374,BK374,BM374,BO374,BQ374,BS374,BU374,BW374,BY374,CA374,CC374,CE374)</f>
        <v/>
      </c>
      <c r="C374" s="31" t="inlineStr">
        <is>
          <t>GLOSTERLTD</t>
        </is>
      </c>
      <c r="D374" s="31" t="inlineStr">
        <is>
          <t>Gloster Ltd</t>
        </is>
      </c>
      <c r="E374" s="31" t="inlineStr">
        <is>
          <t>textiles</t>
        </is>
      </c>
      <c r="F374" s="31" t="inlineStr">
        <is>
          <t>textiles - jute - yarn / products</t>
        </is>
      </c>
      <c r="G374" s="31" t="inlineStr">
        <is>
          <t>smallcap</t>
        </is>
      </c>
      <c r="H374" s="32" t="n">
        <v>800.88</v>
      </c>
      <c r="I374" s="32" t="n">
        <v>741.75</v>
      </c>
      <c r="J374" s="32" t="n">
        <v>1.35</v>
      </c>
      <c r="K374" s="32" t="n">
        <v>11817</v>
      </c>
      <c r="L374" s="31" t="inlineStr"/>
      <c r="M374" s="31" t="inlineStr"/>
      <c r="N374" s="32">
        <f>IF(M374="Underperforming",-5,IF(L374&gt;=95,15,IF(L374&gt;=90,10,IF(L374&gt;=80,5,0))))</f>
        <v/>
      </c>
      <c r="O374" s="32" t="inlineStr"/>
      <c r="P374" s="32" t="inlineStr"/>
      <c r="Q374" s="32" t="inlineStr"/>
      <c r="R374" s="31" t="inlineStr"/>
      <c r="S374" s="31" t="inlineStr"/>
      <c r="T374" s="32" t="inlineStr"/>
      <c r="U374" s="32" t="inlineStr"/>
      <c r="V374" s="32" t="inlineStr"/>
      <c r="W374" s="32" t="inlineStr"/>
      <c r="X374" s="31" t="n"/>
      <c r="Y374" s="31">
        <f>IF(X374="Growing Industry",10,IF(X374="Cyclical in an Upturn",5,0))</f>
        <v/>
      </c>
      <c r="Z374" s="31" t="n"/>
      <c r="AA374" s="31">
        <f>IF(Z374="Monopoly",10,IF(Z374="Oligopoly",5,IF(Z374="Duopoly that cooperate",10,IF(Z374="Duopoly that compete",5,IF(Z374="Too many players with High ROCE",5,0)))))</f>
        <v/>
      </c>
      <c r="AB374" s="31" t="n"/>
      <c r="AC374" s="31">
        <f>IF(AB374="No",5,0)</f>
        <v/>
      </c>
      <c r="AD374" s="31" t="n"/>
      <c r="AE374" s="31">
        <f>IF(AD374="Tailwind",10,0)</f>
        <v/>
      </c>
      <c r="AF374" s="31" t="n"/>
      <c r="AG374" s="31">
        <f>IF(AF374="Structural (10 Years Consistency)",10,IF(AF374="Shallow Cyclical (2 to 3 years growth)",5,0))</f>
        <v/>
      </c>
      <c r="AH374" s="31" t="n"/>
      <c r="AI374" s="31">
        <f>IF(AH374="Yes due to Product Mix change or Operating Leverage",10,IF(AH374="Yes, these are peak margins",-5,IF(AH374="No",5,0)))</f>
        <v/>
      </c>
      <c r="AJ374" s="31" t="n"/>
      <c r="AK374" s="31">
        <f>IF(AJ374="Stable",10,0)</f>
        <v/>
      </c>
      <c r="AL374" s="31" t="n"/>
      <c r="AM374" s="31">
        <f>IF(AL374="Yes",10,0)</f>
        <v/>
      </c>
      <c r="AN374" s="31" t="n"/>
      <c r="AO374" s="31">
        <f>IF(AN374="B2C",10,IF(AN374="B2B",5,0))</f>
        <v/>
      </c>
      <c r="AP374" s="31" t="n"/>
      <c r="AQ374" s="31">
        <f>IF(AP374="Yes",10,0)</f>
        <v/>
      </c>
      <c r="AR374" s="31" t="n"/>
      <c r="AS374" s="31">
        <f>IF(AR374="Fully Annuity",10,IF(AR374="Higher Annuity, Lower One Time",5,IF(AR374="Higher One Time, Lower Annuity",3,0)))</f>
        <v/>
      </c>
      <c r="AT374" s="31" t="n"/>
      <c r="AU374" s="31">
        <f>IF(AT374="Good",10,0)</f>
        <v/>
      </c>
      <c r="AV374" s="31" t="n"/>
      <c r="AW374" s="31">
        <f>IF(AV374="Yes for more than 2 years",10,IF(AV374="Yes only for next 1 to 2 years",5,0))</f>
        <v/>
      </c>
      <c r="AX374" s="31" t="n"/>
      <c r="AY374" s="31">
        <f>IF(AX374="Above 40",20,IF(AX374="20 to 40",10,IF(AX374="0 to 20",-5,0)))</f>
        <v/>
      </c>
      <c r="AZ374" s="31" t="n"/>
      <c r="BA374" s="31">
        <f>IF(AZ374="Between 50 to 75",10,IF(AZ374="Above 75",0,0))</f>
        <v/>
      </c>
      <c r="BB374" s="31" t="n"/>
      <c r="BC374" s="31">
        <f>IF(BB374="Stage 2",20,IF(BB374="Stage 1",0,IF(BB374="Stage 3",5,IF(BB374="Stage 4",-5,0))))</f>
        <v/>
      </c>
      <c r="BD374" s="31" t="n"/>
      <c r="BE374" s="31">
        <f>IF(BD374="Positive Trend",20,IF(BD374="Negative Trend",-10,0))</f>
        <v/>
      </c>
      <c r="BF374" s="31" t="n"/>
      <c r="BG374" s="31">
        <f>IF(BF374="Uptrend",10,IF(BF374="Sideways",5,0))</f>
        <v/>
      </c>
      <c r="BH374" s="31" t="n"/>
      <c r="BI374" s="31">
        <f>IF(BH374="Uptrend",10,IF(BH374="Sideways",5,0))</f>
        <v/>
      </c>
      <c r="BJ374" s="31" t="n"/>
      <c r="BK374" s="31">
        <f>IF(BJ374="Overhead supply in last 2 years in last 2 years",-5,IF(BJ374="Close to 52 week high or retracement",5,IF(BJ374="Blue sky scenario",10,IF(BJ374="Long term Downtrend",-10,0))))</f>
        <v/>
      </c>
      <c r="BL374" s="31" t="n"/>
      <c r="BM374" s="31">
        <f>IF(BL374="Yes",10,0)</f>
        <v/>
      </c>
      <c r="BN374" s="31" t="n"/>
      <c r="BO374" s="31">
        <f>IF(BN374="More than 20%",10,IF(BN374="Between 12 to 20%",5,IF(BN374="Less than 12%",0,0)))</f>
        <v/>
      </c>
      <c r="BP374" s="31" t="n"/>
      <c r="BQ374" s="31">
        <f>IF(BP374="No",10,0)</f>
        <v/>
      </c>
      <c r="BR374" s="31" t="n"/>
      <c r="BS374" s="31">
        <f>IF(BR374="NO",5,0)</f>
        <v/>
      </c>
      <c r="BT374" s="31" t="n"/>
      <c r="BU374" s="31">
        <f>IF(BT374="Above 2",0,IF(BT374="Between 1.5 to 2",5,IF(BT374="Less than 1.5",10,0)))</f>
        <v/>
      </c>
      <c r="BV374" s="31" t="n"/>
      <c r="BW374" s="31">
        <f>IF(BV374="Above 70%",10,IF(BV374="Between 50% to 70%",5,IF(BV374="Less than 50%",0,IF(BV374="Negative",-10,IF(BV374="Less than 50% and Borrowings are increasing",-5,0)))))</f>
        <v/>
      </c>
      <c r="BX374" s="31" t="n"/>
      <c r="BY374" s="31">
        <f>IF(BX374="More than 1.2",-10,IF(BX374="Between 0.7 to 1.2",0,IF(BX374="Less than 0.7",10,0)))</f>
        <v/>
      </c>
      <c r="BZ374" s="31" t="n"/>
      <c r="CA374" s="31">
        <f>IF(BZ374="Yes",-10,0)</f>
        <v/>
      </c>
      <c r="CB374" s="31" t="n"/>
      <c r="CC374" s="31">
        <f>IF(CB374="More than 15%",-10,IF(CB374="Less than 15%",10,0))</f>
        <v/>
      </c>
      <c r="CD374" s="31" t="n"/>
      <c r="CE374" s="31">
        <f>IF(CD374="Yes, more than 10%",-10,IF(CD374="No",10,0))</f>
        <v/>
      </c>
    </row>
    <row r="375">
      <c r="A375" s="31">
        <f>IF(B375=0,"",RANK(B375,$B$2:$B$379,0))</f>
        <v/>
      </c>
      <c r="B375" s="32">
        <f>SUM(N375,Y375,AA375,AC375,AE375,AG375,AI375,AK375,AM375,AO375,AQ375,AS375,AU375,AW375,AY375,BA375,BC375,BE375,BG375,BI375,BK375,BM375,BO375,BQ375,BS375,BU375,BW375,BY375,CA375,CC375,CE375)</f>
        <v/>
      </c>
      <c r="C375" s="31" t="inlineStr">
        <is>
          <t>HAL</t>
        </is>
      </c>
      <c r="D375" s="31" t="inlineStr">
        <is>
          <t>Hindustan Aeronautics Ltd</t>
        </is>
      </c>
      <c r="E375" s="31" t="inlineStr">
        <is>
          <t>aerospace &amp; defence</t>
        </is>
      </c>
      <c r="F375" s="31" t="inlineStr">
        <is>
          <t>engineering</t>
        </is>
      </c>
      <c r="G375" s="31" t="inlineStr">
        <is>
          <t>largecap</t>
        </is>
      </c>
      <c r="H375" s="32" t="n">
        <v>293003.7</v>
      </c>
      <c r="I375" s="32" t="n">
        <v>4434.4</v>
      </c>
      <c r="J375" s="32" t="n">
        <v>1.21</v>
      </c>
      <c r="K375" s="32" t="n">
        <v>469658</v>
      </c>
      <c r="L375" s="31" t="inlineStr"/>
      <c r="M375" s="31" t="inlineStr"/>
      <c r="N375" s="32">
        <f>IF(M375="Underperforming",-5,IF(L375&gt;=95,15,IF(L375&gt;=90,10,IF(L375&gt;=80,5,0))))</f>
        <v/>
      </c>
      <c r="O375" s="32" t="inlineStr"/>
      <c r="P375" s="32" t="inlineStr"/>
      <c r="Q375" s="32" t="inlineStr"/>
      <c r="R375" s="31" t="inlineStr"/>
      <c r="S375" s="31" t="inlineStr"/>
      <c r="T375" s="32" t="inlineStr"/>
      <c r="U375" s="32" t="inlineStr"/>
      <c r="V375" s="32" t="inlineStr"/>
      <c r="W375" s="32" t="inlineStr"/>
      <c r="X375" s="31" t="n"/>
      <c r="Y375" s="31">
        <f>IF(X375="Growing Industry",10,IF(X375="Cyclical in an Upturn",5,0))</f>
        <v/>
      </c>
      <c r="Z375" s="31" t="n"/>
      <c r="AA375" s="31">
        <f>IF(Z375="Monopoly",10,IF(Z375="Oligopoly",5,IF(Z375="Duopoly that cooperate",10,IF(Z375="Duopoly that compete",5,IF(Z375="Too many players with High ROCE",5,0)))))</f>
        <v/>
      </c>
      <c r="AB375" s="31" t="n"/>
      <c r="AC375" s="31">
        <f>IF(AB375="No",5,0)</f>
        <v/>
      </c>
      <c r="AD375" s="31" t="n"/>
      <c r="AE375" s="31">
        <f>IF(AD375="Tailwind",10,0)</f>
        <v/>
      </c>
      <c r="AF375" s="31" t="n"/>
      <c r="AG375" s="31">
        <f>IF(AF375="Structural (10 Years Consistency)",10,IF(AF375="Shallow Cyclical (2 to 3 years growth)",5,0))</f>
        <v/>
      </c>
      <c r="AH375" s="31" t="n"/>
      <c r="AI375" s="31">
        <f>IF(AH375="Yes due to Product Mix change or Operating Leverage",10,IF(AH375="Yes, these are peak margins",-5,IF(AH375="No",5,0)))</f>
        <v/>
      </c>
      <c r="AJ375" s="31" t="n"/>
      <c r="AK375" s="31">
        <f>IF(AJ375="Stable",10,0)</f>
        <v/>
      </c>
      <c r="AL375" s="31" t="n"/>
      <c r="AM375" s="31">
        <f>IF(AL375="Yes",10,0)</f>
        <v/>
      </c>
      <c r="AN375" s="31" t="n"/>
      <c r="AO375" s="31">
        <f>IF(AN375="B2C",10,IF(AN375="B2B",5,0))</f>
        <v/>
      </c>
      <c r="AP375" s="31" t="n"/>
      <c r="AQ375" s="31">
        <f>IF(AP375="Yes",10,0)</f>
        <v/>
      </c>
      <c r="AR375" s="31" t="n"/>
      <c r="AS375" s="31">
        <f>IF(AR375="Fully Annuity",10,IF(AR375="Higher Annuity, Lower One Time",5,IF(AR375="Higher One Time, Lower Annuity",3,0)))</f>
        <v/>
      </c>
      <c r="AT375" s="31" t="n"/>
      <c r="AU375" s="31">
        <f>IF(AT375="Good",10,0)</f>
        <v/>
      </c>
      <c r="AV375" s="31" t="n"/>
      <c r="AW375" s="31">
        <f>IF(AV375="Yes for more than 2 years",10,IF(AV375="Yes only for next 1 to 2 years",5,0))</f>
        <v/>
      </c>
      <c r="AX375" s="31" t="n"/>
      <c r="AY375" s="31">
        <f>IF(AX375="Above 40",20,IF(AX375="20 to 40",10,IF(AX375="0 to 20",-5,0)))</f>
        <v/>
      </c>
      <c r="AZ375" s="31" t="n"/>
      <c r="BA375" s="31">
        <f>IF(AZ375="Between 50 to 75",10,IF(AZ375="Above 75",0,0))</f>
        <v/>
      </c>
      <c r="BB375" s="31" t="n"/>
      <c r="BC375" s="31">
        <f>IF(BB375="Stage 2",20,IF(BB375="Stage 1",0,IF(BB375="Stage 3",5,IF(BB375="Stage 4",-5,0))))</f>
        <v/>
      </c>
      <c r="BD375" s="31" t="n"/>
      <c r="BE375" s="31">
        <f>IF(BD375="Positive Trend",20,IF(BD375="Negative Trend",-10,0))</f>
        <v/>
      </c>
      <c r="BF375" s="31" t="n"/>
      <c r="BG375" s="31">
        <f>IF(BF375="Uptrend",10,IF(BF375="Sideways",5,0))</f>
        <v/>
      </c>
      <c r="BH375" s="31" t="n"/>
      <c r="BI375" s="31">
        <f>IF(BH375="Uptrend",10,IF(BH375="Sideways",5,0))</f>
        <v/>
      </c>
      <c r="BJ375" s="31" t="n"/>
      <c r="BK375" s="31">
        <f>IF(BJ375="Overhead supply in last 2 years in last 2 years",-5,IF(BJ375="Close to 52 week high or retracement",5,IF(BJ375="Blue sky scenario",10,IF(BJ375="Long term Downtrend",-10,0))))</f>
        <v/>
      </c>
      <c r="BL375" s="31" t="n"/>
      <c r="BM375" s="31">
        <f>IF(BL375="Yes",10,0)</f>
        <v/>
      </c>
      <c r="BN375" s="31" t="n"/>
      <c r="BO375" s="31">
        <f>IF(BN375="More than 20%",10,IF(BN375="Between 12 to 20%",5,IF(BN375="Less than 12%",0,0)))</f>
        <v/>
      </c>
      <c r="BP375" s="31" t="n"/>
      <c r="BQ375" s="31">
        <f>IF(BP375="No",10,0)</f>
        <v/>
      </c>
      <c r="BR375" s="31" t="n"/>
      <c r="BS375" s="31">
        <f>IF(BR375="NO",5,0)</f>
        <v/>
      </c>
      <c r="BT375" s="31" t="n"/>
      <c r="BU375" s="31">
        <f>IF(BT375="Above 2",0,IF(BT375="Between 1.5 to 2",5,IF(BT375="Less than 1.5",10,0)))</f>
        <v/>
      </c>
      <c r="BV375" s="31" t="n"/>
      <c r="BW375" s="31">
        <f>IF(BV375="Above 70%",10,IF(BV375="Between 50% to 70%",5,IF(BV375="Less than 50%",0,IF(BV375="Negative",-10,IF(BV375="Less than 50% and Borrowings are increasing",-5,0)))))</f>
        <v/>
      </c>
      <c r="BX375" s="31" t="n"/>
      <c r="BY375" s="31">
        <f>IF(BX375="More than 1.2",-10,IF(BX375="Between 0.7 to 1.2",0,IF(BX375="Less than 0.7",10,0)))</f>
        <v/>
      </c>
      <c r="BZ375" s="31" t="n"/>
      <c r="CA375" s="31">
        <f>IF(BZ375="Yes",-10,0)</f>
        <v/>
      </c>
      <c r="CB375" s="31" t="n"/>
      <c r="CC375" s="31">
        <f>IF(CB375="More than 15%",-10,IF(CB375="Less than 15%",10,0))</f>
        <v/>
      </c>
      <c r="CD375" s="31" t="n"/>
      <c r="CE375" s="31">
        <f>IF(CD375="Yes, more than 10%",-10,IF(CD375="No",10,0))</f>
        <v/>
      </c>
    </row>
    <row r="376">
      <c r="A376" s="31">
        <f>IF(B376=0,"",RANK(B376,$B$2:$B$379,0))</f>
        <v/>
      </c>
      <c r="B376" s="32">
        <f>SUM(N376,Y376,AA376,AC376,AE376,AG376,AI376,AK376,AM376,AO376,AQ376,AS376,AU376,AW376,AY376,BA376,BC376,BE376,BG376,BI376,BK376,BM376,BO376,BQ376,BS376,BU376,BW376,BY376,CA376,CC376,CE376)</f>
        <v/>
      </c>
      <c r="C376" s="31" t="inlineStr">
        <is>
          <t>BHEL</t>
        </is>
      </c>
      <c r="D376" s="31" t="inlineStr">
        <is>
          <t>Bharat Heavy Electricals Limited</t>
        </is>
      </c>
      <c r="E376" s="31" t="inlineStr">
        <is>
          <t>industrials</t>
        </is>
      </c>
      <c r="F376" s="31" t="inlineStr">
        <is>
          <t>electric equipment</t>
        </is>
      </c>
      <c r="G376" s="31" t="inlineStr">
        <is>
          <t>largecap</t>
        </is>
      </c>
      <c r="H376" s="32" t="n">
        <v>144192.24</v>
      </c>
      <c r="I376" s="32" t="n">
        <v>413.95</v>
      </c>
      <c r="J376" s="32" t="n">
        <v>-0.04</v>
      </c>
      <c r="K376" s="32" t="n">
        <v>10048287</v>
      </c>
      <c r="L376" s="31" t="inlineStr"/>
      <c r="M376" s="31" t="inlineStr"/>
      <c r="N376" s="32">
        <f>IF(M376="Underperforming",-5,IF(L376&gt;=95,15,IF(L376&gt;=90,10,IF(L376&gt;=80,5,0))))</f>
        <v/>
      </c>
      <c r="O376" s="32" t="inlineStr"/>
      <c r="P376" s="32" t="inlineStr"/>
      <c r="Q376" s="32" t="inlineStr"/>
      <c r="R376" s="31" t="inlineStr"/>
      <c r="S376" s="31" t="inlineStr"/>
      <c r="T376" s="32" t="inlineStr"/>
      <c r="U376" s="32" t="inlineStr"/>
      <c r="V376" s="32" t="inlineStr"/>
      <c r="W376" s="32" t="inlineStr"/>
      <c r="X376" s="31" t="n"/>
      <c r="Y376" s="31">
        <f>IF(X376="Growing Industry",10,IF(X376="Cyclical in an Upturn",5,0))</f>
        <v/>
      </c>
      <c r="Z376" s="31" t="n"/>
      <c r="AA376" s="31">
        <f>IF(Z376="Monopoly",10,IF(Z376="Oligopoly",5,IF(Z376="Duopoly that cooperate",10,IF(Z376="Duopoly that compete",5,IF(Z376="Too many players with High ROCE",5,0)))))</f>
        <v/>
      </c>
      <c r="AB376" s="31" t="n"/>
      <c r="AC376" s="31">
        <f>IF(AB376="No",5,0)</f>
        <v/>
      </c>
      <c r="AD376" s="31" t="n"/>
      <c r="AE376" s="31">
        <f>IF(AD376="Tailwind",10,0)</f>
        <v/>
      </c>
      <c r="AF376" s="31" t="n"/>
      <c r="AG376" s="31">
        <f>IF(AF376="Structural (10 Years Consistency)",10,IF(AF376="Shallow Cyclical (2 to 3 years growth)",5,0))</f>
        <v/>
      </c>
      <c r="AH376" s="31" t="n"/>
      <c r="AI376" s="31">
        <f>IF(AH376="Yes due to Product Mix change or Operating Leverage",10,IF(AH376="Yes, these are peak margins",-5,IF(AH376="No",5,0)))</f>
        <v/>
      </c>
      <c r="AJ376" s="31" t="n"/>
      <c r="AK376" s="31">
        <f>IF(AJ376="Stable",10,0)</f>
        <v/>
      </c>
      <c r="AL376" s="31" t="n"/>
      <c r="AM376" s="31">
        <f>IF(AL376="Yes",10,0)</f>
        <v/>
      </c>
      <c r="AN376" s="31" t="n"/>
      <c r="AO376" s="31">
        <f>IF(AN376="B2C",10,IF(AN376="B2B",5,0))</f>
        <v/>
      </c>
      <c r="AP376" s="31" t="n"/>
      <c r="AQ376" s="31">
        <f>IF(AP376="Yes",10,0)</f>
        <v/>
      </c>
      <c r="AR376" s="31" t="n"/>
      <c r="AS376" s="31">
        <f>IF(AR376="Fully Annuity",10,IF(AR376="Higher Annuity, Lower One Time",5,IF(AR376="Higher One Time, Lower Annuity",3,0)))</f>
        <v/>
      </c>
      <c r="AT376" s="31" t="n"/>
      <c r="AU376" s="31">
        <f>IF(AT376="Good",10,0)</f>
        <v/>
      </c>
      <c r="AV376" s="31" t="n"/>
      <c r="AW376" s="31">
        <f>IF(AV376="Yes for more than 2 years",10,IF(AV376="Yes only for next 1 to 2 years",5,0))</f>
        <v/>
      </c>
      <c r="AX376" s="31" t="n"/>
      <c r="AY376" s="31">
        <f>IF(AX376="Above 40",20,IF(AX376="20 to 40",10,IF(AX376="0 to 20",-5,0)))</f>
        <v/>
      </c>
      <c r="AZ376" s="31" t="n"/>
      <c r="BA376" s="31">
        <f>IF(AZ376="Between 50 to 75",10,IF(AZ376="Above 75",0,0))</f>
        <v/>
      </c>
      <c r="BB376" s="31" t="n"/>
      <c r="BC376" s="31">
        <f>IF(BB376="Stage 2",20,IF(BB376="Stage 1",0,IF(BB376="Stage 3",5,IF(BB376="Stage 4",-5,0))))</f>
        <v/>
      </c>
      <c r="BD376" s="31" t="n"/>
      <c r="BE376" s="31">
        <f>IF(BD376="Positive Trend",20,IF(BD376="Negative Trend",-10,0))</f>
        <v/>
      </c>
      <c r="BF376" s="31" t="n"/>
      <c r="BG376" s="31">
        <f>IF(BF376="Uptrend",10,IF(BF376="Sideways",5,0))</f>
        <v/>
      </c>
      <c r="BH376" s="31" t="n"/>
      <c r="BI376" s="31">
        <f>IF(BH376="Uptrend",10,IF(BH376="Sideways",5,0))</f>
        <v/>
      </c>
      <c r="BJ376" s="31" t="n"/>
      <c r="BK376" s="31">
        <f>IF(BJ376="Overhead supply in last 2 years in last 2 years",-5,IF(BJ376="Close to 52 week high or retracement",5,IF(BJ376="Blue sky scenario",10,IF(BJ376="Long term Downtrend",-10,0))))</f>
        <v/>
      </c>
      <c r="BL376" s="31" t="n"/>
      <c r="BM376" s="31">
        <f>IF(BL376="Yes",10,0)</f>
        <v/>
      </c>
      <c r="BN376" s="31" t="n"/>
      <c r="BO376" s="31">
        <f>IF(BN376="More than 20%",10,IF(BN376="Between 12 to 20%",5,IF(BN376="Less than 12%",0,0)))</f>
        <v/>
      </c>
      <c r="BP376" s="31" t="n"/>
      <c r="BQ376" s="31">
        <f>IF(BP376="No",10,0)</f>
        <v/>
      </c>
      <c r="BR376" s="31" t="n"/>
      <c r="BS376" s="31">
        <f>IF(BR376="NO",5,0)</f>
        <v/>
      </c>
      <c r="BT376" s="31" t="n"/>
      <c r="BU376" s="31">
        <f>IF(BT376="Above 2",0,IF(BT376="Between 1.5 to 2",5,IF(BT376="Less than 1.5",10,0)))</f>
        <v/>
      </c>
      <c r="BV376" s="31" t="n"/>
      <c r="BW376" s="31">
        <f>IF(BV376="Above 70%",10,IF(BV376="Between 50% to 70%",5,IF(BV376="Less than 50%",0,IF(BV376="Negative",-10,IF(BV376="Less than 50% and Borrowings are increasing",-5,0)))))</f>
        <v/>
      </c>
      <c r="BX376" s="31" t="n"/>
      <c r="BY376" s="31">
        <f>IF(BX376="More than 1.2",-10,IF(BX376="Between 0.7 to 1.2",0,IF(BX376="Less than 0.7",10,0)))</f>
        <v/>
      </c>
      <c r="BZ376" s="31" t="n"/>
      <c r="CA376" s="31">
        <f>IF(BZ376="Yes",-10,0)</f>
        <v/>
      </c>
      <c r="CB376" s="31" t="n"/>
      <c r="CC376" s="31">
        <f>IF(CB376="More than 15%",-10,IF(CB376="Less than 15%",10,0))</f>
        <v/>
      </c>
      <c r="CD376" s="31" t="n"/>
      <c r="CE376" s="31">
        <f>IF(CD376="Yes, more than 10%",-10,IF(CD376="No",10,0))</f>
        <v/>
      </c>
    </row>
    <row r="377">
      <c r="A377" s="31">
        <f>IF(B377=0,"",RANK(B377,$B$2:$B$379,0))</f>
        <v/>
      </c>
      <c r="B377" s="32">
        <f>SUM(N377,Y377,AA377,AC377,AE377,AG377,AI377,AK377,AM377,AO377,AQ377,AS377,AU377,AW377,AY377,BA377,BC377,BE377,BG377,BI377,BK377,BM377,BO377,BQ377,BS377,BU377,BW377,BY377,CA377,CC377,CE377)</f>
        <v/>
      </c>
      <c r="C377" s="31" t="inlineStr">
        <is>
          <t>HIRECT</t>
        </is>
      </c>
      <c r="D377" s="31" t="inlineStr">
        <is>
          <t>Hind Rectifiers Limited</t>
        </is>
      </c>
      <c r="E377" s="31" t="inlineStr">
        <is>
          <t>consumer discretionary</t>
        </is>
      </c>
      <c r="F377" s="31" t="inlineStr">
        <is>
          <t>electronics - components</t>
        </is>
      </c>
      <c r="G377" s="31" t="inlineStr">
        <is>
          <t>smallcap</t>
        </is>
      </c>
      <c r="H377" s="32" t="n">
        <v>3983.89</v>
      </c>
      <c r="I377" s="32" t="n">
        <v>1153.2</v>
      </c>
      <c r="J377" s="32" t="n">
        <v>-0.52</v>
      </c>
      <c r="K377" s="32" t="n">
        <v>70917</v>
      </c>
      <c r="L377" s="31" t="inlineStr"/>
      <c r="M377" s="31" t="inlineStr"/>
      <c r="N377" s="32">
        <f>IF(M377="Underperforming",-5,IF(L377&gt;=95,15,IF(L377&gt;=90,10,IF(L377&gt;=80,5,0))))</f>
        <v/>
      </c>
      <c r="O377" s="32" t="inlineStr"/>
      <c r="P377" s="32" t="inlineStr"/>
      <c r="Q377" s="32" t="inlineStr"/>
      <c r="R377" s="31" t="inlineStr"/>
      <c r="S377" s="31" t="inlineStr"/>
      <c r="T377" s="32" t="inlineStr"/>
      <c r="U377" s="32" t="inlineStr"/>
      <c r="V377" s="32" t="inlineStr"/>
      <c r="W377" s="32" t="inlineStr"/>
      <c r="X377" s="31" t="n"/>
      <c r="Y377" s="31">
        <f>IF(X377="Growing Industry",10,IF(X377="Cyclical in an Upturn",5,0))</f>
        <v/>
      </c>
      <c r="Z377" s="31" t="n"/>
      <c r="AA377" s="31">
        <f>IF(Z377="Monopoly",10,IF(Z377="Oligopoly",5,IF(Z377="Duopoly that cooperate",10,IF(Z377="Duopoly that compete",5,IF(Z377="Too many players with High ROCE",5,0)))))</f>
        <v/>
      </c>
      <c r="AB377" s="31" t="n"/>
      <c r="AC377" s="31">
        <f>IF(AB377="No",5,0)</f>
        <v/>
      </c>
      <c r="AD377" s="31" t="n"/>
      <c r="AE377" s="31">
        <f>IF(AD377="Tailwind",10,0)</f>
        <v/>
      </c>
      <c r="AF377" s="31" t="n"/>
      <c r="AG377" s="31">
        <f>IF(AF377="Structural (10 Years Consistency)",10,IF(AF377="Shallow Cyclical (2 to 3 years growth)",5,0))</f>
        <v/>
      </c>
      <c r="AH377" s="31" t="n"/>
      <c r="AI377" s="31">
        <f>IF(AH377="Yes due to Product Mix change or Operating Leverage",10,IF(AH377="Yes, these are peak margins",-5,IF(AH377="No",5,0)))</f>
        <v/>
      </c>
      <c r="AJ377" s="31" t="n"/>
      <c r="AK377" s="31">
        <f>IF(AJ377="Stable",10,0)</f>
        <v/>
      </c>
      <c r="AL377" s="31" t="n"/>
      <c r="AM377" s="31">
        <f>IF(AL377="Yes",10,0)</f>
        <v/>
      </c>
      <c r="AN377" s="31" t="n"/>
      <c r="AO377" s="31">
        <f>IF(AN377="B2C",10,IF(AN377="B2B",5,0))</f>
        <v/>
      </c>
      <c r="AP377" s="31" t="n"/>
      <c r="AQ377" s="31">
        <f>IF(AP377="Yes",10,0)</f>
        <v/>
      </c>
      <c r="AR377" s="31" t="n"/>
      <c r="AS377" s="31">
        <f>IF(AR377="Fully Annuity",10,IF(AR377="Higher Annuity, Lower One Time",5,IF(AR377="Higher One Time, Lower Annuity",3,0)))</f>
        <v/>
      </c>
      <c r="AT377" s="31" t="n"/>
      <c r="AU377" s="31">
        <f>IF(AT377="Good",10,0)</f>
        <v/>
      </c>
      <c r="AV377" s="31" t="n"/>
      <c r="AW377" s="31">
        <f>IF(AV377="Yes for more than 2 years",10,IF(AV377="Yes only for next 1 to 2 years",5,0))</f>
        <v/>
      </c>
      <c r="AX377" s="31" t="n"/>
      <c r="AY377" s="31">
        <f>IF(AX377="Above 40",20,IF(AX377="20 to 40",10,IF(AX377="0 to 20",-5,0)))</f>
        <v/>
      </c>
      <c r="AZ377" s="31" t="n"/>
      <c r="BA377" s="31">
        <f>IF(AZ377="Between 50 to 75",10,IF(AZ377="Above 75",0,0))</f>
        <v/>
      </c>
      <c r="BB377" s="31" t="n"/>
      <c r="BC377" s="31">
        <f>IF(BB377="Stage 2",20,IF(BB377="Stage 1",0,IF(BB377="Stage 3",5,IF(BB377="Stage 4",-5,0))))</f>
        <v/>
      </c>
      <c r="BD377" s="31" t="n"/>
      <c r="BE377" s="31">
        <f>IF(BD377="Positive Trend",20,IF(BD377="Negative Trend",-10,0))</f>
        <v/>
      </c>
      <c r="BF377" s="31" t="n"/>
      <c r="BG377" s="31">
        <f>IF(BF377="Uptrend",10,IF(BF377="Sideways",5,0))</f>
        <v/>
      </c>
      <c r="BH377" s="31" t="n"/>
      <c r="BI377" s="31">
        <f>IF(BH377="Uptrend",10,IF(BH377="Sideways",5,0))</f>
        <v/>
      </c>
      <c r="BJ377" s="31" t="n"/>
      <c r="BK377" s="31">
        <f>IF(BJ377="Overhead supply in last 2 years in last 2 years",-5,IF(BJ377="Close to 52 week high or retracement",5,IF(BJ377="Blue sky scenario",10,IF(BJ377="Long term Downtrend",-10,0))))</f>
        <v/>
      </c>
      <c r="BL377" s="31" t="n"/>
      <c r="BM377" s="31">
        <f>IF(BL377="Yes",10,0)</f>
        <v/>
      </c>
      <c r="BN377" s="31" t="n"/>
      <c r="BO377" s="31">
        <f>IF(BN377="More than 20%",10,IF(BN377="Between 12 to 20%",5,IF(BN377="Less than 12%",0,0)))</f>
        <v/>
      </c>
      <c r="BP377" s="31" t="n"/>
      <c r="BQ377" s="31">
        <f>IF(BP377="No",10,0)</f>
        <v/>
      </c>
      <c r="BR377" s="31" t="n"/>
      <c r="BS377" s="31">
        <f>IF(BR377="NO",5,0)</f>
        <v/>
      </c>
      <c r="BT377" s="31" t="n"/>
      <c r="BU377" s="31">
        <f>IF(BT377="Above 2",0,IF(BT377="Between 1.5 to 2",5,IF(BT377="Less than 1.5",10,0)))</f>
        <v/>
      </c>
      <c r="BV377" s="31" t="n"/>
      <c r="BW377" s="31">
        <f>IF(BV377="Above 70%",10,IF(BV377="Between 50% to 70%",5,IF(BV377="Less than 50%",0,IF(BV377="Negative",-10,IF(BV377="Less than 50% and Borrowings are increasing",-5,0)))))</f>
        <v/>
      </c>
      <c r="BX377" s="31" t="n"/>
      <c r="BY377" s="31">
        <f>IF(BX377="More than 1.2",-10,IF(BX377="Between 0.7 to 1.2",0,IF(BX377="Less than 0.7",10,0)))</f>
        <v/>
      </c>
      <c r="BZ377" s="31" t="n"/>
      <c r="CA377" s="31">
        <f>IF(BZ377="Yes",-10,0)</f>
        <v/>
      </c>
      <c r="CB377" s="31" t="n"/>
      <c r="CC377" s="31">
        <f>IF(CB377="More than 15%",-10,IF(CB377="Less than 15%",10,0))</f>
        <v/>
      </c>
      <c r="CD377" s="31" t="n"/>
      <c r="CE377" s="31">
        <f>IF(CD377="Yes, more than 10%",-10,IF(CD377="No",10,0))</f>
        <v/>
      </c>
    </row>
    <row r="378">
      <c r="A378" s="31">
        <f>IF(B378=0,"",RANK(B378,$B$2:$B$379,0))</f>
        <v/>
      </c>
      <c r="B378" s="32">
        <f>SUM(N378,Y378,AA378,AC378,AE378,AG378,AI378,AK378,AM378,AO378,AQ378,AS378,AU378,AW378,AY378,BA378,BC378,BE378,BG378,BI378,BK378,BM378,BO378,BQ378,BS378,BU378,BW378,BY378,CA378,CC378,CE378)</f>
        <v/>
      </c>
      <c r="C378" s="31" t="inlineStr">
        <is>
          <t>SMSPHARMA</t>
        </is>
      </c>
      <c r="D378" s="31" t="inlineStr">
        <is>
          <t>Sms Pharmaceuticals Limited</t>
        </is>
      </c>
      <c r="E378" s="31" t="inlineStr">
        <is>
          <t>healthcare</t>
        </is>
      </c>
      <c r="F378" s="31" t="inlineStr">
        <is>
          <t>pharmaceuticals - indian - bulk drugs</t>
        </is>
      </c>
      <c r="G378" s="31" t="inlineStr">
        <is>
          <t>smallcap</t>
        </is>
      </c>
      <c r="H378" s="32" t="n">
        <v>3863.61</v>
      </c>
      <c r="I378" s="32" t="n">
        <v>408.95</v>
      </c>
      <c r="J378" s="32" t="n">
        <v>-0.87</v>
      </c>
      <c r="K378" s="32" t="n">
        <v>1654483</v>
      </c>
      <c r="L378" s="31" t="inlineStr"/>
      <c r="M378" s="31" t="inlineStr"/>
      <c r="N378" s="32">
        <f>IF(M378="Underperforming",-5,IF(L378&gt;=95,15,IF(L378&gt;=90,10,IF(L378&gt;=80,5,0))))</f>
        <v/>
      </c>
      <c r="O378" s="32" t="inlineStr"/>
      <c r="P378" s="32" t="inlineStr"/>
      <c r="Q378" s="32" t="inlineStr"/>
      <c r="R378" s="31" t="inlineStr"/>
      <c r="S378" s="31" t="inlineStr"/>
      <c r="T378" s="32" t="inlineStr"/>
      <c r="U378" s="32" t="inlineStr"/>
      <c r="V378" s="32" t="inlineStr"/>
      <c r="W378" s="32" t="inlineStr"/>
      <c r="X378" s="31" t="n"/>
      <c r="Y378" s="31">
        <f>IF(X378="Growing Industry",10,IF(X378="Cyclical in an Upturn",5,0))</f>
        <v/>
      </c>
      <c r="Z378" s="31" t="n"/>
      <c r="AA378" s="31">
        <f>IF(Z378="Monopoly",10,IF(Z378="Oligopoly",5,IF(Z378="Duopoly that cooperate",10,IF(Z378="Duopoly that compete",5,IF(Z378="Too many players with High ROCE",5,0)))))</f>
        <v/>
      </c>
      <c r="AB378" s="31" t="n"/>
      <c r="AC378" s="31">
        <f>IF(AB378="No",5,0)</f>
        <v/>
      </c>
      <c r="AD378" s="31" t="n"/>
      <c r="AE378" s="31">
        <f>IF(AD378="Tailwind",10,0)</f>
        <v/>
      </c>
      <c r="AF378" s="31" t="n"/>
      <c r="AG378" s="31">
        <f>IF(AF378="Structural (10 Years Consistency)",10,IF(AF378="Shallow Cyclical (2 to 3 years growth)",5,0))</f>
        <v/>
      </c>
      <c r="AH378" s="31" t="n"/>
      <c r="AI378" s="31">
        <f>IF(AH378="Yes due to Product Mix change or Operating Leverage",10,IF(AH378="Yes, these are peak margins",-5,IF(AH378="No",5,0)))</f>
        <v/>
      </c>
      <c r="AJ378" s="31" t="n"/>
      <c r="AK378" s="31">
        <f>IF(AJ378="Stable",10,0)</f>
        <v/>
      </c>
      <c r="AL378" s="31" t="n"/>
      <c r="AM378" s="31">
        <f>IF(AL378="Yes",10,0)</f>
        <v/>
      </c>
      <c r="AN378" s="31" t="n"/>
      <c r="AO378" s="31">
        <f>IF(AN378="B2C",10,IF(AN378="B2B",5,0))</f>
        <v/>
      </c>
      <c r="AP378" s="31" t="n"/>
      <c r="AQ378" s="31">
        <f>IF(AP378="Yes",10,0)</f>
        <v/>
      </c>
      <c r="AR378" s="31" t="n"/>
      <c r="AS378" s="31">
        <f>IF(AR378="Fully Annuity",10,IF(AR378="Higher Annuity, Lower One Time",5,IF(AR378="Higher One Time, Lower Annuity",3,0)))</f>
        <v/>
      </c>
      <c r="AT378" s="31" t="n"/>
      <c r="AU378" s="31">
        <f>IF(AT378="Good",10,0)</f>
        <v/>
      </c>
      <c r="AV378" s="31" t="n"/>
      <c r="AW378" s="31">
        <f>IF(AV378="Yes for more than 2 years",10,IF(AV378="Yes only for next 1 to 2 years",5,0))</f>
        <v/>
      </c>
      <c r="AX378" s="31" t="n"/>
      <c r="AY378" s="31">
        <f>IF(AX378="Above 40",20,IF(AX378="20 to 40",10,IF(AX378="0 to 20",-5,0)))</f>
        <v/>
      </c>
      <c r="AZ378" s="31" t="n"/>
      <c r="BA378" s="31">
        <f>IF(AZ378="Between 50 to 75",10,IF(AZ378="Above 75",0,0))</f>
        <v/>
      </c>
      <c r="BB378" s="31" t="n"/>
      <c r="BC378" s="31">
        <f>IF(BB378="Stage 2",20,IF(BB378="Stage 1",0,IF(BB378="Stage 3",5,IF(BB378="Stage 4",-5,0))))</f>
        <v/>
      </c>
      <c r="BD378" s="31" t="n"/>
      <c r="BE378" s="31">
        <f>IF(BD378="Positive Trend",20,IF(BD378="Negative Trend",-10,0))</f>
        <v/>
      </c>
      <c r="BF378" s="31" t="n"/>
      <c r="BG378" s="31">
        <f>IF(BF378="Uptrend",10,IF(BF378="Sideways",5,0))</f>
        <v/>
      </c>
      <c r="BH378" s="31" t="n"/>
      <c r="BI378" s="31">
        <f>IF(BH378="Uptrend",10,IF(BH378="Sideways",5,0))</f>
        <v/>
      </c>
      <c r="BJ378" s="31" t="n"/>
      <c r="BK378" s="31">
        <f>IF(BJ378="Overhead supply in last 2 years in last 2 years",-5,IF(BJ378="Close to 52 week high or retracement",5,IF(BJ378="Blue sky scenario",10,IF(BJ378="Long term Downtrend",-10,0))))</f>
        <v/>
      </c>
      <c r="BL378" s="31" t="n"/>
      <c r="BM378" s="31">
        <f>IF(BL378="Yes",10,0)</f>
        <v/>
      </c>
      <c r="BN378" s="31" t="n"/>
      <c r="BO378" s="31">
        <f>IF(BN378="More than 20%",10,IF(BN378="Between 12 to 20%",5,IF(BN378="Less than 12%",0,0)))</f>
        <v/>
      </c>
      <c r="BP378" s="31" t="n"/>
      <c r="BQ378" s="31">
        <f>IF(BP378="No",10,0)</f>
        <v/>
      </c>
      <c r="BR378" s="31" t="n"/>
      <c r="BS378" s="31">
        <f>IF(BR378="NO",5,0)</f>
        <v/>
      </c>
      <c r="BT378" s="31" t="n"/>
      <c r="BU378" s="31">
        <f>IF(BT378="Above 2",0,IF(BT378="Between 1.5 to 2",5,IF(BT378="Less than 1.5",10,0)))</f>
        <v/>
      </c>
      <c r="BV378" s="31" t="n"/>
      <c r="BW378" s="31">
        <f>IF(BV378="Above 70%",10,IF(BV378="Between 50% to 70%",5,IF(BV378="Less than 50%",0,IF(BV378="Negative",-10,IF(BV378="Less than 50% and Borrowings are increasing",-5,0)))))</f>
        <v/>
      </c>
      <c r="BX378" s="31" t="n"/>
      <c r="BY378" s="31">
        <f>IF(BX378="More than 1.2",-10,IF(BX378="Between 0.7 to 1.2",0,IF(BX378="Less than 0.7",10,0)))</f>
        <v/>
      </c>
      <c r="BZ378" s="31" t="n"/>
      <c r="CA378" s="31">
        <f>IF(BZ378="Yes",-10,0)</f>
        <v/>
      </c>
      <c r="CB378" s="31" t="n"/>
      <c r="CC378" s="31">
        <f>IF(CB378="More than 15%",-10,IF(CB378="Less than 15%",10,0))</f>
        <v/>
      </c>
      <c r="CD378" s="31" t="n"/>
      <c r="CE378" s="31">
        <f>IF(CD378="Yes, more than 10%",-10,IF(CD378="No",10,0))</f>
        <v/>
      </c>
    </row>
    <row r="379">
      <c r="A379" s="31">
        <f>IF(B379=0,"",RANK(B379,$B$2:$B$379,0))</f>
        <v/>
      </c>
      <c r="B379" s="32">
        <f>SUM(N379,Y379,AA379,AC379,AE379,AG379,AI379,AK379,AM379,AO379,AQ379,AS379,AU379,AW379,AY379,BA379,BC379,BE379,BG379,BI379,BK379,BM379,BO379,BQ379,BS379,BU379,BW379,BY379,CA379,CC379,CE379)</f>
        <v/>
      </c>
      <c r="C379" s="31" t="inlineStr">
        <is>
          <t>GHCLTEXTIL</t>
        </is>
      </c>
      <c r="D379" s="31" t="inlineStr">
        <is>
          <t>GHCL Textiles Ltd</t>
        </is>
      </c>
      <c r="E379" s="31" t="inlineStr">
        <is>
          <t>textiles</t>
        </is>
      </c>
      <c r="F379" s="31" t="inlineStr">
        <is>
          <t>textiles - spinning - synthetic / blended</t>
        </is>
      </c>
      <c r="G379" s="31" t="inlineStr">
        <is>
          <t>smallcap</t>
        </is>
      </c>
      <c r="H379" s="32" t="n">
        <v>952.3200000000001</v>
      </c>
      <c r="I379" s="32" t="n">
        <v>97.13</v>
      </c>
      <c r="J379" s="32" t="n">
        <v>-2.51</v>
      </c>
      <c r="K379" s="32" t="n">
        <v>379271</v>
      </c>
      <c r="L379" s="31" t="inlineStr"/>
      <c r="M379" s="31" t="inlineStr"/>
      <c r="N379" s="32">
        <f>IF(M379="Underperforming",-5,IF(L379&gt;=95,15,IF(L379&gt;=90,10,IF(L379&gt;=80,5,0))))</f>
        <v/>
      </c>
      <c r="O379" s="32" t="inlineStr"/>
      <c r="P379" s="32" t="inlineStr"/>
      <c r="Q379" s="32" t="inlineStr"/>
      <c r="R379" s="31" t="inlineStr"/>
      <c r="S379" s="31" t="inlineStr"/>
      <c r="T379" s="32" t="inlineStr"/>
      <c r="U379" s="32" t="inlineStr"/>
      <c r="V379" s="32" t="inlineStr"/>
      <c r="W379" s="32" t="inlineStr"/>
      <c r="X379" s="31" t="n"/>
      <c r="Y379" s="31">
        <f>IF(X379="Growing Industry",10,IF(X379="Cyclical in an Upturn",5,0))</f>
        <v/>
      </c>
      <c r="Z379" s="31" t="n"/>
      <c r="AA379" s="31">
        <f>IF(Z379="Monopoly",10,IF(Z379="Oligopoly",5,IF(Z379="Duopoly that cooperate",10,IF(Z379="Duopoly that compete",5,IF(Z379="Too many players with High ROCE",5,0)))))</f>
        <v/>
      </c>
      <c r="AB379" s="31" t="n"/>
      <c r="AC379" s="31">
        <f>IF(AB379="No",5,0)</f>
        <v/>
      </c>
      <c r="AD379" s="31" t="n"/>
      <c r="AE379" s="31">
        <f>IF(AD379="Tailwind",10,0)</f>
        <v/>
      </c>
      <c r="AF379" s="31" t="n"/>
      <c r="AG379" s="31">
        <f>IF(AF379="Structural (10 Years Consistency)",10,IF(AF379="Shallow Cyclical (2 to 3 years growth)",5,0))</f>
        <v/>
      </c>
      <c r="AH379" s="31" t="n"/>
      <c r="AI379" s="31">
        <f>IF(AH379="Yes due to Product Mix change or Operating Leverage",10,IF(AH379="Yes, these are peak margins",-5,IF(AH379="No",5,0)))</f>
        <v/>
      </c>
      <c r="AJ379" s="31" t="n"/>
      <c r="AK379" s="31">
        <f>IF(AJ379="Stable",10,0)</f>
        <v/>
      </c>
      <c r="AL379" s="31" t="n"/>
      <c r="AM379" s="31">
        <f>IF(AL379="Yes",10,0)</f>
        <v/>
      </c>
      <c r="AN379" s="31" t="n"/>
      <c r="AO379" s="31">
        <f>IF(AN379="B2C",10,IF(AN379="B2B",5,0))</f>
        <v/>
      </c>
      <c r="AP379" s="31" t="n"/>
      <c r="AQ379" s="31">
        <f>IF(AP379="Yes",10,0)</f>
        <v/>
      </c>
      <c r="AR379" s="31" t="n"/>
      <c r="AS379" s="31">
        <f>IF(AR379="Fully Annuity",10,IF(AR379="Higher Annuity, Lower One Time",5,IF(AR379="Higher One Time, Lower Annuity",3,0)))</f>
        <v/>
      </c>
      <c r="AT379" s="31" t="n"/>
      <c r="AU379" s="31">
        <f>IF(AT379="Good",10,0)</f>
        <v/>
      </c>
      <c r="AV379" s="31" t="n"/>
      <c r="AW379" s="31">
        <f>IF(AV379="Yes for more than 2 years",10,IF(AV379="Yes only for next 1 to 2 years",5,0))</f>
        <v/>
      </c>
      <c r="AX379" s="31" t="n"/>
      <c r="AY379" s="31">
        <f>IF(AX379="Above 40",20,IF(AX379="20 to 40",10,IF(AX379="0 to 20",-5,0)))</f>
        <v/>
      </c>
      <c r="AZ379" s="31" t="n"/>
      <c r="BA379" s="31">
        <f>IF(AZ379="Between 50 to 75",10,IF(AZ379="Above 75",0,0))</f>
        <v/>
      </c>
      <c r="BB379" s="31" t="n"/>
      <c r="BC379" s="31">
        <f>IF(BB379="Stage 2",20,IF(BB379="Stage 1",0,IF(BB379="Stage 3",5,IF(BB379="Stage 4",-5,0))))</f>
        <v/>
      </c>
      <c r="BD379" s="31" t="n"/>
      <c r="BE379" s="31">
        <f>IF(BD379="Positive Trend",20,IF(BD379="Negative Trend",-10,0))</f>
        <v/>
      </c>
      <c r="BF379" s="31" t="n"/>
      <c r="BG379" s="31">
        <f>IF(BF379="Uptrend",10,IF(BF379="Sideways",5,0))</f>
        <v/>
      </c>
      <c r="BH379" s="31" t="n"/>
      <c r="BI379" s="31">
        <f>IF(BH379="Uptrend",10,IF(BH379="Sideways",5,0))</f>
        <v/>
      </c>
      <c r="BJ379" s="31" t="n"/>
      <c r="BK379" s="31">
        <f>IF(BJ379="Overhead supply in last 2 years in last 2 years",-5,IF(BJ379="Close to 52 week high or retracement",5,IF(BJ379="Blue sky scenario",10,IF(BJ379="Long term Downtrend",-10,0))))</f>
        <v/>
      </c>
      <c r="BL379" s="31" t="n"/>
      <c r="BM379" s="31">
        <f>IF(BL379="Yes",10,0)</f>
        <v/>
      </c>
      <c r="BN379" s="31" t="n"/>
      <c r="BO379" s="31">
        <f>IF(BN379="More than 20%",10,IF(BN379="Between 12 to 20%",5,IF(BN379="Less than 12%",0,0)))</f>
        <v/>
      </c>
      <c r="BP379" s="31" t="n"/>
      <c r="BQ379" s="31">
        <f>IF(BP379="No",10,0)</f>
        <v/>
      </c>
      <c r="BR379" s="31" t="n"/>
      <c r="BS379" s="31">
        <f>IF(BR379="NO",5,0)</f>
        <v/>
      </c>
      <c r="BT379" s="31" t="n"/>
      <c r="BU379" s="31">
        <f>IF(BT379="Above 2",0,IF(BT379="Between 1.5 to 2",5,IF(BT379="Less than 1.5",10,0)))</f>
        <v/>
      </c>
      <c r="BV379" s="31" t="n"/>
      <c r="BW379" s="31">
        <f>IF(BV379="Above 70%",10,IF(BV379="Between 50% to 70%",5,IF(BV379="Less than 50%",0,IF(BV379="Negative",-10,IF(BV379="Less than 50% and Borrowings are increasing",-5,0)))))</f>
        <v/>
      </c>
      <c r="BX379" s="31" t="n"/>
      <c r="BY379" s="31">
        <f>IF(BX379="More than 1.2",-10,IF(BX379="Between 0.7 to 1.2",0,IF(BX379="Less than 0.7",10,0)))</f>
        <v/>
      </c>
      <c r="BZ379" s="31" t="n"/>
      <c r="CA379" s="31">
        <f>IF(BZ379="Yes",-10,0)</f>
        <v/>
      </c>
      <c r="CB379" s="31" t="n"/>
      <c r="CC379" s="31">
        <f>IF(CB379="More than 15%",-10,IF(CB379="Less than 15%",10,0))</f>
        <v/>
      </c>
      <c r="CD379" s="31" t="n"/>
      <c r="CE379" s="31">
        <f>IF(CD379="Yes, more than 10%",-10,IF(CD379="No",10,0))</f>
        <v/>
      </c>
    </row>
  </sheetData>
  <autoFilter ref="A1:CE379"/>
  <conditionalFormatting sqref="B2:B37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7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7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7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7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7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7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7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7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7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7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7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7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7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7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7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7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7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7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7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7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7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7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7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7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7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7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7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7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7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7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79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79">
    <cfRule type="cellIs" priority="36" operator="equal" dxfId="3" stopIfTrue="1">
      <formula>"Underperforming"</formula>
    </cfRule>
  </conditionalFormatting>
  <conditionalFormatting sqref="N2:N379">
    <cfRule type="cellIs" priority="37" operator="equal" dxfId="3" stopIfTrue="1">
      <formula>-5</formula>
    </cfRule>
  </conditionalFormatting>
  <conditionalFormatting sqref="Q2:Q379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79" showDropDown="0" showInputMessage="0" showErrorMessage="0" allowBlank="1" type="list">
      <formula1>"Growing Industry,Stagnant Industry,Cyclical in an Upturn"</formula1>
    </dataValidation>
    <dataValidation sqref="Z2:Z379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79" showDropDown="0" showInputMessage="0" showErrorMessage="0" allowBlank="1" type="list">
      <formula1>"Yes,No"</formula1>
    </dataValidation>
    <dataValidation sqref="AD2:AD379" showDropDown="0" showInputMessage="0" showErrorMessage="0" allowBlank="1" type="list">
      <formula1>"Tailwind,Headwind"</formula1>
    </dataValidation>
    <dataValidation sqref="AF2:AF379" showDropDown="0" showInputMessage="0" showErrorMessage="0" allowBlank="1" type="list">
      <formula1>"Structural (10 Years Consistency),Shallow Cyclical (2 to 3 Years Growth),Cyclical"</formula1>
    </dataValidation>
    <dataValidation sqref="AH2:AH379" showDropDown="0" showInputMessage="0" showErrorMessage="0" allowBlank="1" type="list">
      <formula1>"Yes due to Product Mix change or Operating Leverage,Yes, these are peak margins,No"</formula1>
    </dataValidation>
    <dataValidation sqref="AJ2:AJ379" showDropDown="0" showInputMessage="0" showErrorMessage="0" allowBlank="1" type="list">
      <formula1>"Stable,Volatile"</formula1>
    </dataValidation>
    <dataValidation sqref="AL2:AL379" showDropDown="0" showInputMessage="0" showErrorMessage="0" allowBlank="1" type="list">
      <formula1>"Yes,No"</formula1>
    </dataValidation>
    <dataValidation sqref="AN2:AN379" showDropDown="0" showInputMessage="0" showErrorMessage="0" allowBlank="1" type="list">
      <formula1>"B2C,B2B,B2G"</formula1>
    </dataValidation>
    <dataValidation sqref="AP2:AP379" showDropDown="0" showInputMessage="0" showErrorMessage="0" allowBlank="1" type="list">
      <formula1>"Yes,No"</formula1>
    </dataValidation>
    <dataValidation sqref="AR2:AR379" showDropDown="0" showInputMessage="0" showErrorMessage="0" allowBlank="1" type="list">
      <formula1>"Fully Annuity,Higher Annuity, Lower One time,Higher One Time, Lower Annuity,Fully One Time"</formula1>
    </dataValidation>
    <dataValidation sqref="AT2:AT379" showDropDown="0" showInputMessage="0" showErrorMessage="0" allowBlank="1" type="list">
      <formula1>"Good,Allocated capital in Non-core Areas"</formula1>
    </dataValidation>
    <dataValidation sqref="AV2:AV379" showDropDown="0" showInputMessage="0" showErrorMessage="0" allowBlank="1" type="list">
      <formula1>"Yes for more than 2 years,Yes only for next 1 to 2 years,No"</formula1>
    </dataValidation>
    <dataValidation sqref="AX2:AX379" showDropDown="0" showInputMessage="0" showErrorMessage="0" allowBlank="1" type="list">
      <formula1>"Above 40,20 to 40,0 to 20"</formula1>
    </dataValidation>
    <dataValidation sqref="AZ2:AZ379" showDropDown="0" showInputMessage="0" showErrorMessage="0" allowBlank="1" type="list">
      <formula1>"Between 50 to 75,Above 75,Below 45"</formula1>
    </dataValidation>
    <dataValidation sqref="BB2:BB379" showDropDown="0" showInputMessage="0" showErrorMessage="0" allowBlank="1" type="list">
      <formula1>"Stage 1,Stage 2,Stage 3,Stage 4"</formula1>
    </dataValidation>
    <dataValidation sqref="BD2:BD379" showDropDown="0" showInputMessage="0" showErrorMessage="0" allowBlank="1" type="list">
      <formula1>"Positive Trend,Negative Trend"</formula1>
    </dataValidation>
    <dataValidation sqref="BF2:BF379" showDropDown="0" showInputMessage="0" showErrorMessage="0" allowBlank="1" type="list">
      <formula1>"Uptrend,Sideways,Downtrend"</formula1>
    </dataValidation>
    <dataValidation sqref="BH2:BH379" showDropDown="0" showInputMessage="0" showErrorMessage="0" allowBlank="1" type="list">
      <formula1>"Uptrend,Sideways,Downtrend"</formula1>
    </dataValidation>
    <dataValidation sqref="BJ2:BJ37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79" showDropDown="0" showInputMessage="0" showErrorMessage="0" allowBlank="1" type="list">
      <formula1>"Yes,No"</formula1>
    </dataValidation>
    <dataValidation sqref="BN2:BN379" showDropDown="0" showInputMessage="0" showErrorMessage="0" allowBlank="1" type="list">
      <formula1>"More than 20%,Between 12 to 20%,Less than 12%"</formula1>
    </dataValidation>
    <dataValidation sqref="BP2:BP379" showDropDown="0" showInputMessage="0" showErrorMessage="0" allowBlank="1" type="list">
      <formula1>"Yes,No"</formula1>
    </dataValidation>
    <dataValidation sqref="BR2:BR379" showDropDown="0" showInputMessage="0" showErrorMessage="0" allowBlank="1" type="list">
      <formula1>"Yes,No"</formula1>
    </dataValidation>
    <dataValidation sqref="BT2:BT379" showDropDown="0" showInputMessage="0" showErrorMessage="0" allowBlank="1" type="list">
      <formula1>"Above 2,Between 1.5 to 2,Less than 1.5"</formula1>
    </dataValidation>
    <dataValidation sqref="BV2:BV379" showDropDown="0" showInputMessage="0" showErrorMessage="0" allowBlank="1" type="list">
      <formula1>"Above 70%,Between 50% to 70%,Less than 50%,Less than 50% and Borrowings are increasing,Negative"</formula1>
    </dataValidation>
    <dataValidation sqref="BX2:BX379" showDropDown="0" showInputMessage="0" showErrorMessage="0" allowBlank="1" type="list">
      <formula1>"More than 1.2,Between 0.7 to 1.2,Less than 0.7"</formula1>
    </dataValidation>
    <dataValidation sqref="BZ2:BZ379" showDropDown="0" showInputMessage="0" showErrorMessage="0" allowBlank="1" type="list">
      <formula1>"Yes,No"</formula1>
    </dataValidation>
    <dataValidation sqref="CB2:CB379" showDropDown="0" showInputMessage="0" showErrorMessage="0" allowBlank="1" type="list">
      <formula1>"More than 15%,Less than 15%"</formula1>
    </dataValidation>
    <dataValidation sqref="CD2:CD379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6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IF(B2=0,"",RANK(B2,$B$2:$B$67,0))</f>
        <v/>
      </c>
      <c r="B2" s="32">
        <f>SUM(N2,Y2,AA2,AC2,AE2,AG2,AI2,AK2,AM2,AO2,AQ2,AS2,AU2,AW2,AY2,BA2,BC2,BE2,BG2,BI2,BK2,BM2,BO2,BQ2,BS2,BU2,BW2,BY2,CA2)</f>
        <v/>
      </c>
      <c r="C2" s="31" t="inlineStr">
        <is>
          <t>SATIN</t>
        </is>
      </c>
      <c r="D2" s="31" t="inlineStr">
        <is>
          <t>Satin Creditcare Network Limited</t>
        </is>
      </c>
      <c r="E2" s="31" t="inlineStr">
        <is>
          <t>financials</t>
        </is>
      </c>
      <c r="F2" s="31" t="inlineStr">
        <is>
          <t>finance &amp; investments</t>
        </is>
      </c>
      <c r="G2" s="31" t="inlineStr">
        <is>
          <t>smallcap</t>
        </is>
      </c>
      <c r="H2" s="32" t="n">
        <v>2716.48</v>
      </c>
      <c r="I2" s="32" t="n">
        <v>251.63</v>
      </c>
      <c r="J2" s="32" t="n">
        <v>2.33</v>
      </c>
      <c r="K2" s="32" t="n">
        <v>1517294</v>
      </c>
      <c r="L2" s="31" t="n">
        <v>82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72.93000000000001</v>
      </c>
      <c r="P2" s="32" t="n">
        <v>55.69</v>
      </c>
      <c r="Q2" s="32" t="n">
        <v>195.97</v>
      </c>
      <c r="R2" s="31" t="inlineStr">
        <is>
          <t>Near 52W High Breakout</t>
        </is>
      </c>
      <c r="S2" s="31" t="inlineStr">
        <is>
          <t>Nifty Bank</t>
        </is>
      </c>
      <c r="T2" s="32" t="n">
        <v>1.76</v>
      </c>
      <c r="U2" s="32" t="n">
        <v>45.73</v>
      </c>
      <c r="V2" s="32" t="n">
        <v>43.21</v>
      </c>
      <c r="W2" s="32" t="n">
        <v>25.9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IF(B3=0,"",RANK(B3,$B$2:$B$67,0))</f>
        <v/>
      </c>
      <c r="B3" s="32">
        <f>SUM(N3,Y3,AA3,AC3,AE3,AG3,AI3,AK3,AM3,AO3,AQ3,AS3,AU3,AW3,AY3,BA3,BC3,BE3,BG3,BI3,BK3,BM3,BO3,BQ3,BS3,BU3,BW3,BY3,CA3)</f>
        <v/>
      </c>
      <c r="C3" s="31" t="inlineStr">
        <is>
          <t>KTKBANK</t>
        </is>
      </c>
      <c r="D3" s="31" t="inlineStr">
        <is>
          <t>The Karnataka Bank Limited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midcap</t>
        </is>
      </c>
      <c r="H3" s="32" t="n">
        <v>10338.36</v>
      </c>
      <c r="I3" s="32" t="n">
        <v>273.85</v>
      </c>
      <c r="J3" s="32" t="n">
        <v>0.16</v>
      </c>
      <c r="K3" s="32" t="n">
        <v>2159969</v>
      </c>
      <c r="L3" s="31" t="n">
        <v>48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65.84</v>
      </c>
      <c r="P3" s="32" t="n">
        <v>53.02</v>
      </c>
      <c r="Q3" s="32" t="n">
        <v>222.85</v>
      </c>
      <c r="R3" s="31" t="inlineStr">
        <is>
          <t>Near 52W High Breakout</t>
        </is>
      </c>
      <c r="S3" s="31" t="inlineStr">
        <is>
          <t>Nifty Bank</t>
        </is>
      </c>
      <c r="T3" s="32" t="n">
        <v>1.76</v>
      </c>
      <c r="U3" s="32" t="n">
        <v>45.38</v>
      </c>
      <c r="V3" s="32" t="n">
        <v>42.87</v>
      </c>
      <c r="W3" s="32" t="n">
        <v>12.36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IF(B4=0,"",RANK(B4,$B$2:$B$67,0))</f>
        <v/>
      </c>
      <c r="B4" s="32">
        <f>SUM(N4,Y4,AA4,AC4,AE4,AG4,AI4,AK4,AM4,AO4,AQ4,AS4,AU4,AW4,AY4,BA4,BC4,BE4,BG4,BI4,BK4,BM4,BO4,BQ4,BS4,BU4,BW4,BY4,CA4)</f>
        <v/>
      </c>
      <c r="C4" s="31" t="inlineStr">
        <is>
          <t>MAHABANK</t>
        </is>
      </c>
      <c r="D4" s="31" t="inlineStr">
        <is>
          <t>Bank Of Maharashtra Ltd</t>
        </is>
      </c>
      <c r="E4" s="31" t="inlineStr">
        <is>
          <t>bank</t>
        </is>
      </c>
      <c r="F4" s="31" t="inlineStr">
        <is>
          <t>banks - public sector</t>
        </is>
      </c>
      <c r="G4" s="31" t="inlineStr">
        <is>
          <t>largecap</t>
        </is>
      </c>
      <c r="H4" s="32" t="n">
        <v>70331.58</v>
      </c>
      <c r="I4" s="32" t="n">
        <v>91.2</v>
      </c>
      <c r="J4" s="32" t="n">
        <v>-0.26</v>
      </c>
      <c r="K4" s="32" t="n">
        <v>15857817</v>
      </c>
      <c r="L4" s="31" t="n">
        <v>72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72.44</v>
      </c>
      <c r="P4" s="32" t="n">
        <v>50.39</v>
      </c>
      <c r="Q4" s="32" t="n">
        <v>75.05</v>
      </c>
      <c r="R4" s="31" t="inlineStr">
        <is>
          <t>Near 52W High Breakout</t>
        </is>
      </c>
      <c r="S4" s="31" t="inlineStr">
        <is>
          <t>Nifty Bank</t>
        </is>
      </c>
      <c r="T4" s="32" t="n">
        <v>1.76</v>
      </c>
      <c r="U4" s="32" t="n">
        <v>63.5</v>
      </c>
      <c r="V4" s="32" t="n">
        <v>60.68</v>
      </c>
      <c r="W4" s="32" t="n">
        <v>20.55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IF(B5=0,"",RANK(B5,$B$2:$B$67,0))</f>
        <v/>
      </c>
      <c r="B5" s="32">
        <f>SUM(N5,Y5,AA5,AC5,AE5,AG5,AI5,AK5,AM5,AO5,AQ5,AS5,AU5,AW5,AY5,BA5,BC5,BE5,BG5,BI5,BK5,BM5,BO5,BQ5,BS5,BU5,BW5,BY5,CA5)</f>
        <v/>
      </c>
      <c r="C5" s="31" t="inlineStr">
        <is>
          <t>NORTHARC</t>
        </is>
      </c>
      <c r="D5" s="31" t="inlineStr">
        <is>
          <t>Northern ARC Capital Ltd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smallcap</t>
        </is>
      </c>
      <c r="H5" s="32" t="n">
        <v>4816.46</v>
      </c>
      <c r="I5" s="32" t="n">
        <v>304.15</v>
      </c>
      <c r="J5" s="32" t="n">
        <v>2.03</v>
      </c>
      <c r="K5" s="32" t="n">
        <v>1204086</v>
      </c>
      <c r="L5" s="31" t="n">
        <v>49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64.65000000000001</v>
      </c>
      <c r="P5" s="32" t="n">
        <v>28.7</v>
      </c>
      <c r="Q5" s="32" t="n">
        <v>235.55</v>
      </c>
      <c r="R5" s="31" t="inlineStr">
        <is>
          <t>Near 52W High Breakout</t>
        </is>
      </c>
      <c r="S5" s="31" t="inlineStr">
        <is>
          <t>Nifty Bank</t>
        </is>
      </c>
      <c r="T5" s="32" t="n">
        <v>1.76</v>
      </c>
      <c r="U5" s="32" t="n">
        <v>18.33</v>
      </c>
      <c r="V5" s="32" t="n">
        <v>16.29</v>
      </c>
      <c r="W5" s="32" t="n">
        <v>12.65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IF(B6=0,"",RANK(B6,$B$2:$B$67,0))</f>
        <v/>
      </c>
      <c r="B6" s="32">
        <f>SUM(N6,Y6,AA6,AC6,AE6,AG6,AI6,AK6,AM6,AO6,AQ6,AS6,AU6,AW6,AY6,BA6,BC6,BE6,BG6,BI6,BK6,BM6,BO6,BQ6,BS6,BU6,BW6,BY6,CA6)</f>
        <v/>
      </c>
      <c r="C6" s="31" t="inlineStr">
        <is>
          <t>FEDERALBNK</t>
        </is>
      </c>
      <c r="D6" s="31" t="inlineStr">
        <is>
          <t>The Federal Bank  Limited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largecap</t>
        </is>
      </c>
      <c r="H6" s="32" t="n">
        <v>81333.64</v>
      </c>
      <c r="I6" s="32" t="n">
        <v>331.4</v>
      </c>
      <c r="J6" s="32" t="n">
        <v>0.41</v>
      </c>
      <c r="K6" s="32" t="n">
        <v>6386994</v>
      </c>
      <c r="L6" s="31" t="n">
        <v>57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72.19</v>
      </c>
      <c r="P6" s="32" t="n">
        <v>23.36</v>
      </c>
      <c r="Q6" s="32" t="n">
        <v>287.49</v>
      </c>
      <c r="R6" s="31" t="inlineStr">
        <is>
          <t>Near 52W High Breakout</t>
        </is>
      </c>
      <c r="S6" s="31" t="inlineStr">
        <is>
          <t>Nifty Bank</t>
        </is>
      </c>
      <c r="T6" s="32" t="n">
        <v>1.76</v>
      </c>
      <c r="U6" s="32" t="n">
        <v>54.84</v>
      </c>
      <c r="V6" s="32" t="n">
        <v>52.17</v>
      </c>
      <c r="W6" s="32" t="n">
        <v>15.54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IF(B7=0,"",RANK(B7,$B$2:$B$67,0))</f>
        <v/>
      </c>
      <c r="B7" s="32">
        <f>SUM(N7,Y7,AA7,AC7,AE7,AG7,AI7,AK7,AM7,AO7,AQ7,AS7,AU7,AW7,AY7,BA7,BC7,BE7,BG7,BI7,BK7,BM7,BO7,BQ7,BS7,BU7,BW7,BY7,CA7)</f>
        <v/>
      </c>
      <c r="C7" s="31" t="inlineStr">
        <is>
          <t>PAISALO</t>
        </is>
      </c>
      <c r="D7" s="31" t="inlineStr">
        <is>
          <t>Paisalo Digital Ltd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midcap</t>
        </is>
      </c>
      <c r="H7" s="32" t="n">
        <v>5375.27</v>
      </c>
      <c r="I7" s="32" t="n">
        <v>70.84</v>
      </c>
      <c r="J7" s="32" t="n">
        <v>19.86</v>
      </c>
      <c r="K7" s="32" t="n">
        <v>89746472</v>
      </c>
      <c r="L7" s="31" t="n">
        <v>93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83.68000000000001</v>
      </c>
      <c r="P7" s="32" t="n">
        <v>43.86</v>
      </c>
      <c r="Q7" s="32" t="n">
        <v>57</v>
      </c>
      <c r="R7" s="31" t="inlineStr">
        <is>
          <t>Volume Spike &amp; Near 52W High Breakout</t>
        </is>
      </c>
      <c r="S7" s="31" t="inlineStr">
        <is>
          <t>Nifty Bank</t>
        </is>
      </c>
      <c r="T7" s="32" t="n">
        <v>1.76</v>
      </c>
      <c r="U7" s="32" t="n">
        <v>132.78</v>
      </c>
      <c r="V7" s="32" t="n">
        <v>128.77</v>
      </c>
      <c r="W7" s="32" t="n">
        <v>42.96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between 2.5x to 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Above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IF(B8=0,"",RANK(B8,$B$2:$B$67,0))</f>
        <v/>
      </c>
      <c r="B8" s="32">
        <f>SUM(N8,Y8,AA8,AC8,AE8,AG8,AI8,AK8,AM8,AO8,AQ8,AS8,AU8,AW8,AY8,BA8,BC8,BE8,BG8,BI8,BK8,BM8,BO8,BQ8,BS8,BU8,BW8,BY8,CA8)</f>
        <v/>
      </c>
      <c r="C8" s="31" t="inlineStr">
        <is>
          <t>FUSION</t>
        </is>
      </c>
      <c r="D8" s="31" t="inlineStr">
        <is>
          <t>Fusion Micro Finance Ltd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smallcap</t>
        </is>
      </c>
      <c r="H8" s="32" t="n">
        <v>3082.8</v>
      </c>
      <c r="I8" s="32" t="n">
        <v>203.91</v>
      </c>
      <c r="J8" s="32" t="n">
        <v>7.21</v>
      </c>
      <c r="K8" s="32" t="n">
        <v>6229681</v>
      </c>
      <c r="L8" s="31" t="n">
        <v>35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59.96</v>
      </c>
      <c r="P8" s="32" t="n">
        <v>20.78</v>
      </c>
      <c r="Q8" s="32" t="n">
        <v>160.34</v>
      </c>
      <c r="R8" s="31" t="inlineStr">
        <is>
          <t>Volume Spike / Accumulation</t>
        </is>
      </c>
      <c r="S8" s="31" t="inlineStr">
        <is>
          <t>Nifty Bank</t>
        </is>
      </c>
      <c r="T8" s="32" t="n">
        <v>1.76</v>
      </c>
      <c r="U8" s="32" t="n">
        <v>4.74</v>
      </c>
      <c r="V8" s="32" t="n">
        <v>2.93</v>
      </c>
      <c r="W8" s="32" t="n">
        <v>10.11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IF(B9=0,"",RANK(B9,$B$2:$B$67,0))</f>
        <v/>
      </c>
      <c r="B9" s="32">
        <f>SUM(N9,Y9,AA9,AC9,AE9,AG9,AI9,AK9,AM9,AO9,AQ9,AS9,AU9,AW9,AY9,BA9,BC9,BE9,BG9,BI9,BK9,BM9,BO9,BQ9,BS9,BU9,BW9,BY9,CA9)</f>
        <v/>
      </c>
      <c r="C9" s="31" t="inlineStr">
        <is>
          <t>RANEHOLDIN</t>
        </is>
      </c>
      <c r="D9" s="31" t="inlineStr">
        <is>
          <t>Rane Holdings Limited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2378.97</v>
      </c>
      <c r="I9" s="32" t="n">
        <v>1720.3</v>
      </c>
      <c r="J9" s="32" t="n">
        <v>3.25</v>
      </c>
      <c r="K9" s="32" t="n">
        <v>35591</v>
      </c>
      <c r="L9" s="31" t="n">
        <v>73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70.40000000000001</v>
      </c>
      <c r="P9" s="32" t="n">
        <v>30.26</v>
      </c>
      <c r="Q9" s="32" t="n">
        <v>1283.45</v>
      </c>
      <c r="R9" s="31" t="inlineStr">
        <is>
          <t>Near 52W High Breakout</t>
        </is>
      </c>
      <c r="S9" s="31" t="inlineStr">
        <is>
          <t>Nifty Bank</t>
        </is>
      </c>
      <c r="T9" s="32" t="n">
        <v>1.76</v>
      </c>
      <c r="U9" s="32" t="n">
        <v>11.82</v>
      </c>
      <c r="V9" s="32" t="n">
        <v>9.890000000000001</v>
      </c>
      <c r="W9" s="32" t="n">
        <v>20.7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IF(B10=0,"",RANK(B10,$B$2:$B$67,0))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SURYODAY</t>
        </is>
      </c>
      <c r="D10" s="31" t="inlineStr">
        <is>
          <t>Suryoday Small Finance Bank Ltd</t>
        </is>
      </c>
      <c r="E10" s="31" t="inlineStr">
        <is>
          <t>bank</t>
        </is>
      </c>
      <c r="F10" s="31" t="inlineStr">
        <is>
          <t>banks - private sector</t>
        </is>
      </c>
      <c r="G10" s="31" t="inlineStr">
        <is>
          <t>smallcap</t>
        </is>
      </c>
      <c r="H10" s="32" t="n">
        <v>1866.56</v>
      </c>
      <c r="I10" s="32" t="n">
        <v>178.51</v>
      </c>
      <c r="J10" s="32" t="n">
        <v>1.65</v>
      </c>
      <c r="K10" s="32" t="n">
        <v>433299</v>
      </c>
      <c r="L10" s="31" t="n">
        <v>54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65.05</v>
      </c>
      <c r="P10" s="32" t="n">
        <v>33.47</v>
      </c>
      <c r="Q10" s="32" t="n">
        <v>140.93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1.76</v>
      </c>
      <c r="U10" s="32" t="n">
        <v>26.45</v>
      </c>
      <c r="V10" s="32" t="n">
        <v>24.27</v>
      </c>
      <c r="W10" s="32" t="n">
        <v>14.68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IF(B11=0,"",RANK(B11,$B$2:$B$67,0))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J&amp;KBANK</t>
        </is>
      </c>
      <c r="D11" s="31" t="inlineStr">
        <is>
          <t>The Jammu &amp; Kashmir Bank Limited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midcap</t>
        </is>
      </c>
      <c r="H11" s="32" t="n">
        <v>17039.7</v>
      </c>
      <c r="I11" s="32" t="n">
        <v>156.2</v>
      </c>
      <c r="J11" s="32" t="n">
        <v>0.9399999999999999</v>
      </c>
      <c r="K11" s="32" t="n">
        <v>4829636</v>
      </c>
      <c r="L11" s="31" t="n">
        <v>57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68.37</v>
      </c>
      <c r="P11" s="32" t="n">
        <v>53.3</v>
      </c>
      <c r="Q11" s="32" t="n">
        <v>132.44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1.76</v>
      </c>
      <c r="U11" s="32" t="n">
        <v>39.56</v>
      </c>
      <c r="V11" s="32" t="n">
        <v>37.15</v>
      </c>
      <c r="W11" s="32" t="n">
        <v>15.47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less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Above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IF(B12=0,"",RANK(B12,$B$2:$B$67,0))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AUBANK</t>
        </is>
      </c>
      <c r="D12" s="31" t="inlineStr">
        <is>
          <t>AU Small Finance Bank Ltd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largecap</t>
        </is>
      </c>
      <c r="H12" s="32" t="n">
        <v>77599.03999999999</v>
      </c>
      <c r="I12" s="32" t="n">
        <v>1051.4</v>
      </c>
      <c r="J12" s="32" t="n">
        <v>1.38</v>
      </c>
      <c r="K12" s="32" t="n">
        <v>1781800</v>
      </c>
      <c r="L12" s="31" t="n">
        <v>40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60.57</v>
      </c>
      <c r="P12" s="32" t="n">
        <v>25.73</v>
      </c>
      <c r="Q12" s="32" t="n">
        <v>889.16</v>
      </c>
      <c r="R12" s="31" t="inlineStr">
        <is>
          <t>Volume Spike &amp; Near 52W High Breakout</t>
        </is>
      </c>
      <c r="S12" s="31" t="inlineStr">
        <is>
          <t>Nifty Bank</t>
        </is>
      </c>
      <c r="T12" s="32" t="n">
        <v>1.76</v>
      </c>
      <c r="U12" s="32" t="n">
        <v>28.46</v>
      </c>
      <c r="V12" s="32" t="n">
        <v>26.24</v>
      </c>
      <c r="W12" s="32" t="n">
        <v>10.88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between 2.5x to 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IF(B13=0,"",RANK(B13,$B$2:$B$67,0))</f>
        <v/>
      </c>
      <c r="B13" s="32">
        <f>SUM(N13,Y13,AA13,AC13,AE13,AG13,AI13,AK13,AM13,AO13,AQ13,AS13,AU13,AW13,AY13,BA13,BC13,BE13,BG13,BI13,BK13,BM13,BO13,BQ13,BS13,BU13,BW13,BY13,CA13)</f>
        <v/>
      </c>
      <c r="C13" s="33" t="inlineStr">
        <is>
          <t>MANBA</t>
        </is>
      </c>
      <c r="D13" s="33" t="inlineStr">
        <is>
          <t>Manba Finance Ltd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smallcap</t>
        </is>
      </c>
      <c r="H13" s="32" t="n">
        <v>690.09</v>
      </c>
      <c r="I13" s="32" t="n">
        <v>138.88</v>
      </c>
      <c r="J13" s="32" t="n">
        <v>1.11</v>
      </c>
      <c r="K13" s="32" t="n">
        <v>219577</v>
      </c>
      <c r="L13" s="31" t="n">
        <v>25</v>
      </c>
      <c r="M13" s="31" t="inlineStr">
        <is>
          <t>Underperforming</t>
        </is>
      </c>
      <c r="N13" s="32">
        <f>IF(M13="Underperforming",-5,IF(L13&gt;=95,15,IF(L13&gt;=90,10,IF(L13&gt;=80,5,0))))</f>
        <v/>
      </c>
      <c r="O13" s="32" t="n">
        <v>64.08</v>
      </c>
      <c r="P13" s="32" t="n">
        <v>25.9</v>
      </c>
      <c r="Q13" s="32" t="n">
        <v>109.61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1.76</v>
      </c>
      <c r="U13" s="32" t="n">
        <v>-1.9</v>
      </c>
      <c r="V13" s="32" t="n">
        <v>-3.6</v>
      </c>
      <c r="W13" s="32" t="n">
        <v>7.49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IF(B14=0,"",RANK(B14,$B$2:$B$67,0))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CREDITACC</t>
        </is>
      </c>
      <c r="D14" s="31" t="inlineStr">
        <is>
          <t>CreditAccess Grameen Ltd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largecap</t>
        </is>
      </c>
      <c r="H14" s="32" t="n">
        <v>23861.2</v>
      </c>
      <c r="I14" s="32" t="n">
        <v>1502.3</v>
      </c>
      <c r="J14" s="32" t="n">
        <v>0.86</v>
      </c>
      <c r="K14" s="32" t="n">
        <v>232652</v>
      </c>
      <c r="L14" s="31" t="n">
        <v>33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63.19</v>
      </c>
      <c r="P14" s="32" t="n">
        <v>35.22</v>
      </c>
      <c r="Q14" s="32" t="n">
        <v>1177.64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1.76</v>
      </c>
      <c r="U14" s="32" t="n">
        <v>16.41</v>
      </c>
      <c r="V14" s="32" t="n">
        <v>14.4</v>
      </c>
      <c r="W14" s="32" t="n">
        <v>9.43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between 2.5x to 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IF(B15=0,"",RANK(B15,$B$2:$B$67,0))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MUFIN</t>
        </is>
      </c>
      <c r="D15" s="31" t="inlineStr">
        <is>
          <t>Mufin Green Finance Ltd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smallcap</t>
        </is>
      </c>
      <c r="H15" s="32" t="n">
        <v>2652.6</v>
      </c>
      <c r="I15" s="32" t="n">
        <v>134</v>
      </c>
      <c r="J15" s="32" t="n">
        <v>0.1</v>
      </c>
      <c r="K15" s="32" t="n">
        <v>2126983</v>
      </c>
      <c r="L15" s="31" t="n">
        <v>66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68.13</v>
      </c>
      <c r="P15" s="32" t="n">
        <v>23.21</v>
      </c>
      <c r="Q15" s="32" t="n">
        <v>108.34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1.76</v>
      </c>
      <c r="U15" s="32" t="n">
        <v>55.22</v>
      </c>
      <c r="V15" s="32" t="n">
        <v>52.54</v>
      </c>
      <c r="W15" s="32" t="n">
        <v>17.81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between 2.5x to 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IF(B16=0,"",RANK(B16,$B$2:$B$67,0))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CGCL</t>
        </is>
      </c>
      <c r="D16" s="31" t="inlineStr">
        <is>
          <t>Capri Global Capital Limited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largecap</t>
        </is>
      </c>
      <c r="H16" s="32" t="n">
        <v>21904.4</v>
      </c>
      <c r="I16" s="32" t="n">
        <v>226.82</v>
      </c>
      <c r="J16" s="32" t="n">
        <v>-0.37</v>
      </c>
      <c r="K16" s="32" t="n">
        <v>3869604</v>
      </c>
      <c r="L16" s="31" t="n">
        <v>55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71.03</v>
      </c>
      <c r="P16" s="32" t="n">
        <v>23.57</v>
      </c>
      <c r="Q16" s="32" t="n">
        <v>186.39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1.76</v>
      </c>
      <c r="U16" s="32" t="n">
        <v>36.74</v>
      </c>
      <c r="V16" s="32" t="n">
        <v>34.38</v>
      </c>
      <c r="W16" s="32" t="n">
        <v>14.9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between 2.5x to 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IF(B17=0,"",RANK(B17,$B$2:$B$67,0))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UJJIVANSFB</t>
        </is>
      </c>
      <c r="D17" s="31" t="inlineStr">
        <is>
          <t>Ujjivan Small Finance Bank Ltd</t>
        </is>
      </c>
      <c r="E17" s="31" t="inlineStr">
        <is>
          <t>bank</t>
        </is>
      </c>
      <c r="F17" s="31" t="inlineStr">
        <is>
          <t>banks - private sector</t>
        </is>
      </c>
      <c r="G17" s="31" t="inlineStr">
        <is>
          <t>midcap</t>
        </is>
      </c>
      <c r="H17" s="32" t="n">
        <v>11471.73</v>
      </c>
      <c r="I17" s="32" t="n">
        <v>61.31</v>
      </c>
      <c r="J17" s="32" t="n">
        <v>3.83</v>
      </c>
      <c r="K17" s="32" t="n">
        <v>24560705</v>
      </c>
      <c r="L17" s="31" t="n">
        <v>23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58.39</v>
      </c>
      <c r="P17" s="32" t="n">
        <v>20</v>
      </c>
      <c r="Q17" s="32" t="n">
        <v>48.63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1.76</v>
      </c>
      <c r="U17" s="32" t="n">
        <v>26.26</v>
      </c>
      <c r="V17" s="32" t="n">
        <v>24.08</v>
      </c>
      <c r="W17" s="32" t="n">
        <v>7.11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0 to 20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IF(B18=0,"",RANK(B18,$B$2:$B$67,0))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CUB</t>
        </is>
      </c>
      <c r="D18" s="31" t="inlineStr">
        <is>
          <t>City Union Bank Limited</t>
        </is>
      </c>
      <c r="E18" s="31" t="inlineStr">
        <is>
          <t>bank</t>
        </is>
      </c>
      <c r="F18" s="31" t="inlineStr">
        <is>
          <t>banks - private sector</t>
        </is>
      </c>
      <c r="G18" s="31" t="inlineStr">
        <is>
          <t>midcap</t>
        </is>
      </c>
      <c r="H18" s="32" t="n">
        <v>15499.97</v>
      </c>
      <c r="I18" s="32" t="n">
        <v>216.05</v>
      </c>
      <c r="J18" s="32" t="n">
        <v>3.57</v>
      </c>
      <c r="K18" s="32" t="n">
        <v>3912286</v>
      </c>
      <c r="L18" s="31" t="n">
        <v>42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61.07</v>
      </c>
      <c r="P18" s="32" t="n">
        <v>14.18</v>
      </c>
      <c r="Q18" s="32" t="n">
        <v>169.24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1.76</v>
      </c>
      <c r="U18" s="32" t="n">
        <v>33.83</v>
      </c>
      <c r="V18" s="32" t="n">
        <v>31.52</v>
      </c>
      <c r="W18" s="32" t="n">
        <v>11.39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0 to 20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IF(B19=0,"",RANK(B19,$B$2:$B$67,0))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HEALTHX</t>
        </is>
      </c>
      <c r="D19" s="31" t="inlineStr">
        <is>
          <t>Health X Platform Ltd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smallcap</t>
        </is>
      </c>
      <c r="H19" s="32" t="n">
        <v>978.01</v>
      </c>
      <c r="I19" s="32" t="n">
        <v>314.95</v>
      </c>
      <c r="J19" s="32" t="n">
        <v>2.44</v>
      </c>
      <c r="K19" s="32" t="n">
        <v>3680</v>
      </c>
      <c r="L19" s="31" t="n">
        <v>17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56.47</v>
      </c>
      <c r="P19" s="32" t="n">
        <v>20.98</v>
      </c>
      <c r="Q19" s="32" t="n">
        <v>247.21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1.76</v>
      </c>
      <c r="U19" s="32" t="n">
        <v>9.4</v>
      </c>
      <c r="V19" s="32" t="n">
        <v>7.51</v>
      </c>
      <c r="W19" s="32" t="n">
        <v>5.5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Headwind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less than 2.5x and Growth more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IF(B20=0,"",RANK(B20,$B$2:$B$67,0))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STARHEALTH</t>
        </is>
      </c>
      <c r="D20" s="31" t="inlineStr">
        <is>
          <t>Star Health &amp; Allied Insurance Company Ltd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largecap</t>
        </is>
      </c>
      <c r="H20" s="32" t="n">
        <v>34654.02</v>
      </c>
      <c r="I20" s="32" t="n">
        <v>586.8</v>
      </c>
      <c r="J20" s="32" t="n">
        <v>-0.37</v>
      </c>
      <c r="K20" s="32" t="n">
        <v>353618</v>
      </c>
      <c r="L20" s="31" t="n">
        <v>47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71.72</v>
      </c>
      <c r="P20" s="32" t="n">
        <v>35.91</v>
      </c>
      <c r="Q20" s="32" t="n">
        <v>487.14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1.76</v>
      </c>
      <c r="U20" s="32" t="n">
        <v>38.64</v>
      </c>
      <c r="V20" s="32" t="n">
        <v>36.25</v>
      </c>
      <c r="W20" s="32" t="n">
        <v>12.11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between 2.5x to 5x and Growth more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IF(B21=0,"",RANK(B21,$B$2:$B$67,0))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ANANDRATHI</t>
        </is>
      </c>
      <c r="D21" s="31" t="inlineStr">
        <is>
          <t>Anand Rathi Wealth Ltd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largecap</t>
        </is>
      </c>
      <c r="H21" s="32" t="n">
        <v>32821.38</v>
      </c>
      <c r="I21" s="32" t="n">
        <v>1964.9</v>
      </c>
      <c r="J21" s="32" t="n">
        <v>-0.6</v>
      </c>
      <c r="K21" s="32" t="n">
        <v>283753</v>
      </c>
      <c r="L21" s="31" t="n">
        <v>68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74.65000000000001</v>
      </c>
      <c r="P21" s="32" t="n">
        <v>42.71</v>
      </c>
      <c r="Q21" s="32" t="n">
        <v>1671.88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1.76</v>
      </c>
      <c r="U21" s="32" t="n">
        <v>87.12</v>
      </c>
      <c r="V21" s="32" t="n">
        <v>83.90000000000001</v>
      </c>
      <c r="W21" s="32" t="n">
        <v>18.66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above 5x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Above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Blue sky scenario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IF(B22=0,"",RANK(B22,$B$2:$B$67,0))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ABSLAMC</t>
        </is>
      </c>
      <c r="D22" s="31" t="inlineStr">
        <is>
          <t>Aditya Birla Sun Life AMC Ltd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largecap</t>
        </is>
      </c>
      <c r="H22" s="32" t="n">
        <v>33348.45</v>
      </c>
      <c r="I22" s="32" t="n">
        <v>1144.6</v>
      </c>
      <c r="J22" s="32" t="n">
        <v>-0.87</v>
      </c>
      <c r="K22" s="32" t="n">
        <v>151605</v>
      </c>
      <c r="L22" s="31" t="n">
        <v>51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66.3</v>
      </c>
      <c r="P22" s="32" t="n">
        <v>45.03</v>
      </c>
      <c r="Q22" s="32" t="n">
        <v>943.88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1.76</v>
      </c>
      <c r="U22" s="32" t="n">
        <v>46.33</v>
      </c>
      <c r="V22" s="32" t="n">
        <v>43.81</v>
      </c>
      <c r="W22" s="32" t="n">
        <v>13.22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above 5x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Above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Blue sky scenario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IF(B23=0,"",RANK(B23,$B$2:$B$67,0))</f>
        <v/>
      </c>
      <c r="B23" s="32">
        <f>SUM(N23,Y23,AA23,AC23,AE23,AG23,AI23,AK23,AM23,AO23,AQ23,AS23,AU23,AW23,AY23,BA23,BC23,BE23,BG23,BI23,BK23,BM23,BO23,BQ23,BS23,BU23,BW23,BY23,CA23)</f>
        <v/>
      </c>
      <c r="C23" s="33" t="inlineStr">
        <is>
          <t>NIACL</t>
        </is>
      </c>
      <c r="D23" s="33" t="inlineStr">
        <is>
          <t>New India Assurance Company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largecap</t>
        </is>
      </c>
      <c r="H23" s="32" t="n">
        <v>29336.05</v>
      </c>
      <c r="I23" s="32" t="n">
        <v>183.11</v>
      </c>
      <c r="J23" s="32" t="n">
        <v>2.87</v>
      </c>
      <c r="K23" s="32" t="n">
        <v>12897423</v>
      </c>
      <c r="L23" s="31" t="n">
        <v>47</v>
      </c>
      <c r="M23" s="31" t="inlineStr">
        <is>
          <t>Underperforming</t>
        </is>
      </c>
      <c r="N23" s="32">
        <f>IF(M23="Underperforming",-5,IF(L23&gt;=95,15,IF(L23&gt;=90,10,IF(L23&gt;=80,5,0))))</f>
        <v/>
      </c>
      <c r="O23" s="32" t="n">
        <v>58.85</v>
      </c>
      <c r="P23" s="32" t="n">
        <v>22.46</v>
      </c>
      <c r="Q23" s="32" t="n">
        <v>151.08</v>
      </c>
      <c r="R23" s="31" t="inlineStr">
        <is>
          <t>Earnings / Momentum Support</t>
        </is>
      </c>
      <c r="S23" s="31" t="inlineStr">
        <is>
          <t>Nifty Bank</t>
        </is>
      </c>
      <c r="T23" s="32" t="n">
        <v>1.76</v>
      </c>
      <c r="U23" s="32" t="n">
        <v>-0.72</v>
      </c>
      <c r="V23" s="32" t="n">
        <v>-2.44</v>
      </c>
      <c r="W23" s="32" t="n">
        <v>12.28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No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20 to 40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IF(B24=0,"",RANK(B24,$B$2:$B$67,0))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MUTHOOTMF</t>
        </is>
      </c>
      <c r="D24" s="31" t="inlineStr">
        <is>
          <t>Muthoot Microfin Ltd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smallcap</t>
        </is>
      </c>
      <c r="H24" s="32" t="n">
        <v>3654.84</v>
      </c>
      <c r="I24" s="32" t="n">
        <v>220.07</v>
      </c>
      <c r="J24" s="32" t="n">
        <v>2.66</v>
      </c>
      <c r="K24" s="32" t="n">
        <v>773093</v>
      </c>
      <c r="L24" s="31" t="n">
        <v>66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68.7</v>
      </c>
      <c r="P24" s="32" t="n">
        <v>29.61</v>
      </c>
      <c r="Q24" s="32" t="n">
        <v>168.8</v>
      </c>
      <c r="R24" s="31" t="inlineStr">
        <is>
          <t>Near 52W High Breakout</t>
        </is>
      </c>
      <c r="S24" s="31" t="inlineStr">
        <is>
          <t>Nifty Bank</t>
        </is>
      </c>
      <c r="T24" s="32" t="n">
        <v>1.76</v>
      </c>
      <c r="U24" s="32" t="n">
        <v>42.93</v>
      </c>
      <c r="V24" s="32" t="n">
        <v>40.46</v>
      </c>
      <c r="W24" s="32" t="n">
        <v>17.74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less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IF(B25=0,"",RANK(B25,$B$2:$B$67,0))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INDUSINDBK</t>
        </is>
      </c>
      <c r="D25" s="31" t="inlineStr">
        <is>
          <t>Indusind Bank Limited</t>
        </is>
      </c>
      <c r="E25" s="31" t="inlineStr">
        <is>
          <t>bank</t>
        </is>
      </c>
      <c r="F25" s="31" t="inlineStr">
        <is>
          <t>banks - private sector</t>
        </is>
      </c>
      <c r="G25" s="31" t="inlineStr">
        <is>
          <t>largecap</t>
        </is>
      </c>
      <c r="H25" s="32" t="n">
        <v>72004.99000000001</v>
      </c>
      <c r="I25" s="32" t="n">
        <v>941.6</v>
      </c>
      <c r="J25" s="32" t="n">
        <v>1.88</v>
      </c>
      <c r="K25" s="32" t="n">
        <v>2290915</v>
      </c>
      <c r="L25" s="31" t="n">
        <v>24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57.69</v>
      </c>
      <c r="P25" s="32" t="n">
        <v>15.44</v>
      </c>
      <c r="Q25" s="32" t="n">
        <v>797.28</v>
      </c>
      <c r="R25" s="31" t="inlineStr">
        <is>
          <t>Near 52W High Breakout</t>
        </is>
      </c>
      <c r="S25" s="31" t="inlineStr">
        <is>
          <t>Nifty Bank</t>
        </is>
      </c>
      <c r="T25" s="32" t="n">
        <v>1.76</v>
      </c>
      <c r="U25" s="32" t="n">
        <v>10.15</v>
      </c>
      <c r="V25" s="32" t="n">
        <v>8.25</v>
      </c>
      <c r="W25" s="32" t="n">
        <v>7.31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less than 2.5x and Growth more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0 to 20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IF(B26=0,"",RANK(B26,$B$2:$B$67,0))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YESBANK</t>
        </is>
      </c>
      <c r="D26" s="31" t="inlineStr">
        <is>
          <t>Yes Bank Limited</t>
        </is>
      </c>
      <c r="E26" s="31" t="inlineStr">
        <is>
          <t>bank</t>
        </is>
      </c>
      <c r="F26" s="31" t="inlineStr">
        <is>
          <t>banks - private sector</t>
        </is>
      </c>
      <c r="G26" s="31" t="inlineStr">
        <is>
          <t>largecap</t>
        </is>
      </c>
      <c r="H26" s="32" t="n">
        <v>75873.08</v>
      </c>
      <c r="I26" s="32" t="n">
        <v>24.58</v>
      </c>
      <c r="J26" s="32" t="n">
        <v>1.65</v>
      </c>
      <c r="K26" s="32" t="n">
        <v>93513120</v>
      </c>
      <c r="L26" s="31" t="n">
        <v>51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63.36</v>
      </c>
      <c r="P26" s="32" t="n">
        <v>26.45</v>
      </c>
      <c r="Q26" s="32" t="n">
        <v>21.18</v>
      </c>
      <c r="R26" s="31" t="inlineStr">
        <is>
          <t>Near 52W High Breakout</t>
        </is>
      </c>
      <c r="S26" s="31" t="inlineStr">
        <is>
          <t>Nifty Bank</t>
        </is>
      </c>
      <c r="T26" s="32" t="n">
        <v>1.76</v>
      </c>
      <c r="U26" s="32" t="n">
        <v>22.59</v>
      </c>
      <c r="V26" s="32" t="n">
        <v>20.48</v>
      </c>
      <c r="W26" s="32" t="n">
        <v>13.25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less than 2.5x and Growth less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20 to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IF(B27=0,"",RANK(B27,$B$2:$B$67,0))</f>
        <v/>
      </c>
      <c r="B27" s="32">
        <f>SUM(N27,Y27,AA27,AC27,AE27,AG27,AI27,AK27,AM27,AO27,AQ27,AS27,AU27,AW27,AY27,BA27,BC27,BE27,BG27,BI27,BK27,BM27,BO27,BQ27,BS27,BU27,BW27,BY27,CA27)</f>
        <v/>
      </c>
      <c r="C27" s="33" t="inlineStr">
        <is>
          <t>NIVABUPA</t>
        </is>
      </c>
      <c r="D27" s="33" t="inlineStr">
        <is>
          <t>Niva Bupa Health Insurance Company Ltd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midcap</t>
        </is>
      </c>
      <c r="H27" s="32" t="n">
        <v>15623.94</v>
      </c>
      <c r="I27" s="32" t="n">
        <v>85.12</v>
      </c>
      <c r="J27" s="32" t="n">
        <v>0.65</v>
      </c>
      <c r="K27" s="32" t="n">
        <v>679893</v>
      </c>
      <c r="L27" s="31" t="n">
        <v>9</v>
      </c>
      <c r="M27" s="31" t="inlineStr">
        <is>
          <t>Underperforming</t>
        </is>
      </c>
      <c r="N27" s="32">
        <f>IF(M27="Underperforming",-5,IF(L27&gt;=95,15,IF(L27&gt;=90,10,IF(L27&gt;=80,5,0))))</f>
        <v/>
      </c>
      <c r="O27" s="32" t="n">
        <v>59.71</v>
      </c>
      <c r="P27" s="32" t="n">
        <v>27.58</v>
      </c>
      <c r="Q27" s="32" t="n">
        <v>72.31</v>
      </c>
      <c r="R27" s="31" t="inlineStr">
        <is>
          <t>Near 52W High Breakout</t>
        </is>
      </c>
      <c r="S27" s="31" t="inlineStr">
        <is>
          <t>Nifty Bank</t>
        </is>
      </c>
      <c r="T27" s="32" t="n">
        <v>1.76</v>
      </c>
      <c r="U27" s="32" t="n">
        <v>0.08</v>
      </c>
      <c r="V27" s="32" t="n">
        <v>-1.64</v>
      </c>
      <c r="W27" s="32" t="n">
        <v>3.83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between 2.5x to 5x and Growth more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20 to 40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IF(B28=0,"",RANK(B28,$B$2:$B$67,0))</f>
        <v/>
      </c>
      <c r="B28" s="32">
        <f>SUM(N28,Y28,AA28,AC28,AE28,AG28,AI28,AK28,AM28,AO28,AQ28,AS28,AU28,AW28,AY28,BA28,BC28,BE28,BG28,BI28,BK28,BM28,BO28,BQ28,BS28,BU28,BW28,BY28,CA28)</f>
        <v/>
      </c>
      <c r="C28" s="33" t="inlineStr">
        <is>
          <t>ESAFSFB</t>
        </is>
      </c>
      <c r="D28" s="33" t="inlineStr">
        <is>
          <t>ESAF Small Finance Bank Ltd</t>
        </is>
      </c>
      <c r="E28" s="31" t="inlineStr">
        <is>
          <t>bank</t>
        </is>
      </c>
      <c r="F28" s="31" t="inlineStr">
        <is>
          <t>banks - private sector</t>
        </is>
      </c>
      <c r="G28" s="31" t="inlineStr">
        <is>
          <t>smallcap</t>
        </is>
      </c>
      <c r="H28" s="32" t="n">
        <v>1727.47</v>
      </c>
      <c r="I28" s="32" t="n">
        <v>33.61</v>
      </c>
      <c r="J28" s="32" t="n">
        <v>0.33</v>
      </c>
      <c r="K28" s="32" t="n">
        <v>774224</v>
      </c>
      <c r="L28" s="31" t="n">
        <v>34</v>
      </c>
      <c r="M28" s="31" t="inlineStr">
        <is>
          <t>Underperforming</t>
        </is>
      </c>
      <c r="N28" s="32">
        <f>IF(M28="Underperforming",-5,IF(L28&gt;=95,15,IF(L28&gt;=90,10,IF(L28&gt;=80,5,0))))</f>
        <v/>
      </c>
      <c r="O28" s="32" t="n">
        <v>62.09</v>
      </c>
      <c r="P28" s="32" t="n">
        <v>25.99</v>
      </c>
      <c r="Q28" s="32" t="n">
        <v>27.8</v>
      </c>
      <c r="R28" s="31" t="inlineStr">
        <is>
          <t>Earnings / Momentum Support</t>
        </is>
      </c>
      <c r="S28" s="31" t="inlineStr">
        <is>
          <t>Nifty Bank</t>
        </is>
      </c>
      <c r="T28" s="32" t="n">
        <v>1.76</v>
      </c>
      <c r="U28" s="32" t="n">
        <v>-3.86</v>
      </c>
      <c r="V28" s="32" t="n">
        <v>-5.52</v>
      </c>
      <c r="W28" s="32" t="n">
        <v>9.789999999999999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No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less than 2.5x and Growth more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20 to 40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IF(B29=0,"",RANK(B29,$B$2:$B$67,0))</f>
        <v/>
      </c>
      <c r="B29" s="32">
        <f>SUM(N29,Y29,AA29,AC29,AE29,AG29,AI29,AK29,AM29,AO29,AQ29,AS29,AU29,AW29,AY29,BA29,BC29,BE29,BG29,BI29,BK29,BM29,BO29,BQ29,BS29,BU29,BW29,BY29,CA29)</f>
        <v/>
      </c>
      <c r="C29" s="33" t="inlineStr">
        <is>
          <t>GEECEE</t>
        </is>
      </c>
      <c r="D29" s="33" t="inlineStr">
        <is>
          <t>Geecee Ventures Limited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smallcap</t>
        </is>
      </c>
      <c r="H29" s="32" t="n">
        <v>722.8099999999999</v>
      </c>
      <c r="I29" s="32" t="n">
        <v>346.2</v>
      </c>
      <c r="J29" s="32" t="n">
        <v>0.16</v>
      </c>
      <c r="K29" s="32" t="n">
        <v>1838</v>
      </c>
      <c r="L29" s="31" t="n">
        <v>31</v>
      </c>
      <c r="M29" s="31" t="inlineStr">
        <is>
          <t>Underperforming</t>
        </is>
      </c>
      <c r="N29" s="32">
        <f>IF(M29="Underperforming",-5,IF(L29&gt;=95,15,IF(L29&gt;=90,10,IF(L29&gt;=80,5,0))))</f>
        <v/>
      </c>
      <c r="O29" s="32" t="n">
        <v>58.43</v>
      </c>
      <c r="P29" s="32" t="n">
        <v>21.91</v>
      </c>
      <c r="Q29" s="32" t="n">
        <v>267.58</v>
      </c>
      <c r="R29" s="31" t="inlineStr">
        <is>
          <t>Earnings / Momentum Support</t>
        </is>
      </c>
      <c r="S29" s="31" t="inlineStr">
        <is>
          <t>Nifty Bank</t>
        </is>
      </c>
      <c r="T29" s="32" t="n">
        <v>1.76</v>
      </c>
      <c r="U29" s="32" t="n">
        <v>-9.550000000000001</v>
      </c>
      <c r="V29" s="32" t="n">
        <v>-11.11</v>
      </c>
      <c r="W29" s="32" t="n">
        <v>8.94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No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less than 2.5x and Growth more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20 to 40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IF(B30=0,"",RANK(B30,$B$2:$B$67,0))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MANCREDIT</t>
        </is>
      </c>
      <c r="D30" s="31" t="inlineStr">
        <is>
          <t>Mangal Credit &amp; Fincorp Ltd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smallcap</t>
        </is>
      </c>
      <c r="H30" s="32" t="n">
        <v>512.5</v>
      </c>
      <c r="I30" s="32" t="n">
        <v>241.42</v>
      </c>
      <c r="J30" s="32" t="n">
        <v>-0.54</v>
      </c>
      <c r="K30" s="32" t="n">
        <v>126017</v>
      </c>
      <c r="L30" s="31" t="n">
        <v>56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78.34</v>
      </c>
      <c r="P30" s="32" t="n">
        <v>28.12</v>
      </c>
      <c r="Q30" s="32" t="n">
        <v>192.24</v>
      </c>
      <c r="R30" s="31" t="inlineStr">
        <is>
          <t>Near 52W High Breakout</t>
        </is>
      </c>
      <c r="S30" s="31" t="inlineStr">
        <is>
          <t>Nifty Bank</t>
        </is>
      </c>
      <c r="T30" s="32" t="n">
        <v>1.76</v>
      </c>
      <c r="U30" s="32" t="n">
        <v>28.2</v>
      </c>
      <c r="V30" s="32" t="n">
        <v>25.99</v>
      </c>
      <c r="W30" s="32" t="n">
        <v>15.15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between 2.5x to 5x and Growth more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20 to 40</t>
        </is>
      </c>
      <c r="BM30" s="31">
        <f>IF(BL30="Above 40",20,IF(BL30="20 to 40",10,IF(BL30="0 to 20",-5,0)))</f>
        <v/>
      </c>
      <c r="BN30" s="31" t="inlineStr">
        <is>
          <t>Above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Blue sky scenario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IF(B31=0,"",RANK(B31,$B$2:$B$67,0))</f>
        <v/>
      </c>
      <c r="B31" s="32">
        <f>SUM(N31,Y31,AA31,AC31,AE31,AG31,AI31,AK31,AM31,AO31,AQ31,AS31,AU31,AW31,AY31,BA31,BC31,BE31,BG31,BI31,BK31,BM31,BO31,BQ31,BS31,BU31,BW31,BY31,CA31)</f>
        <v/>
      </c>
      <c r="C31" s="33" t="inlineStr">
        <is>
          <t>SPANDANA</t>
        </is>
      </c>
      <c r="D31" s="33" t="inlineStr">
        <is>
          <t>Spandana Sphoorty Financial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smallcap</t>
        </is>
      </c>
      <c r="H31" s="32" t="n">
        <v>2380.86</v>
      </c>
      <c r="I31" s="32" t="n">
        <v>277.85</v>
      </c>
      <c r="J31" s="32" t="n">
        <v>3.44</v>
      </c>
      <c r="K31" s="32" t="n">
        <v>357649</v>
      </c>
      <c r="L31" s="31" t="n">
        <v>31</v>
      </c>
      <c r="M31" s="31" t="inlineStr">
        <is>
          <t>Underperforming</t>
        </is>
      </c>
      <c r="N31" s="32">
        <f>IF(M31="Underperforming",-5,IF(L31&gt;=95,15,IF(L31&gt;=90,10,IF(L31&gt;=80,5,0))))</f>
        <v/>
      </c>
      <c r="O31" s="32" t="n">
        <v>57.72</v>
      </c>
      <c r="P31" s="32" t="n">
        <v>15.59</v>
      </c>
      <c r="Q31" s="32" t="n">
        <v>210.11</v>
      </c>
      <c r="R31" s="31" t="inlineStr">
        <is>
          <t>Near 52W High Breakout</t>
        </is>
      </c>
      <c r="S31" s="31" t="inlineStr">
        <is>
          <t>Nifty Bank</t>
        </is>
      </c>
      <c r="T31" s="32" t="n">
        <v>1.76</v>
      </c>
      <c r="U31" s="32" t="n">
        <v>-3.47</v>
      </c>
      <c r="V31" s="32" t="n">
        <v>-5.14</v>
      </c>
      <c r="W31" s="32" t="n">
        <v>8.9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less than 2.5x and Growth more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IF(B32=0,"",RANK(B32,$B$2:$B$67,0))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NAM-INDIA</t>
        </is>
      </c>
      <c r="D32" s="31" t="inlineStr">
        <is>
          <t>Nippon Life India Asset Management Ltd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largecap</t>
        </is>
      </c>
      <c r="H32" s="32" t="n">
        <v>74149.08</v>
      </c>
      <c r="I32" s="32" t="n">
        <v>1196.4</v>
      </c>
      <c r="J32" s="32" t="n">
        <v>2.96</v>
      </c>
      <c r="K32" s="32" t="n">
        <v>739315</v>
      </c>
      <c r="L32" s="31" t="n">
        <v>71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69.22</v>
      </c>
      <c r="P32" s="32" t="n">
        <v>36.87</v>
      </c>
      <c r="Q32" s="32" t="n">
        <v>959.05</v>
      </c>
      <c r="R32" s="31" t="inlineStr">
        <is>
          <t>Near 52W High Breakout</t>
        </is>
      </c>
      <c r="S32" s="31" t="inlineStr">
        <is>
          <t>Nifty Bank</t>
        </is>
      </c>
      <c r="T32" s="32" t="n">
        <v>1.76</v>
      </c>
      <c r="U32" s="32" t="n">
        <v>56.68</v>
      </c>
      <c r="V32" s="32" t="n">
        <v>53.98</v>
      </c>
      <c r="W32" s="32" t="n">
        <v>19.97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above 5x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20 to 40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Blue sky scenario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IF(B33=0,"",RANK(B33,$B$2:$B$67,0))</f>
        <v/>
      </c>
      <c r="B33" s="32">
        <f>SUM(N33,Y33,AA33,AC33,AE33,AG33,AI33,AK33,AM33,AO33,AQ33,AS33,AU33,AW33,AY33,BA33,BC33,BE33,BG33,BI33,BK33,BM33,BO33,BQ33,BS33,BU33,BW33,BY33,CA33)</f>
        <v/>
      </c>
      <c r="C33" s="33" t="inlineStr">
        <is>
          <t>PNBHOUSING</t>
        </is>
      </c>
      <c r="D33" s="33" t="inlineStr">
        <is>
          <t>Pnb Housing Finance Limited</t>
        </is>
      </c>
      <c r="E33" s="31" t="inlineStr">
        <is>
          <t>financials</t>
        </is>
      </c>
      <c r="F33" s="31" t="inlineStr">
        <is>
          <t>finance - housing</t>
        </is>
      </c>
      <c r="G33" s="31" t="inlineStr">
        <is>
          <t>largecap</t>
        </is>
      </c>
      <c r="H33" s="32" t="n">
        <v>27051.21</v>
      </c>
      <c r="I33" s="32" t="n">
        <v>1051.8</v>
      </c>
      <c r="J33" s="32" t="n">
        <v>1.29</v>
      </c>
      <c r="K33" s="32" t="n">
        <v>845452</v>
      </c>
      <c r="L33" s="31" t="n">
        <v>28</v>
      </c>
      <c r="M33" s="31" t="inlineStr">
        <is>
          <t>Underperforming</t>
        </is>
      </c>
      <c r="N33" s="32">
        <f>IF(M33="Underperforming",-5,IF(L33&gt;=95,15,IF(L33&gt;=90,10,IF(L33&gt;=80,5,0))))</f>
        <v/>
      </c>
      <c r="O33" s="32" t="n">
        <v>61.99</v>
      </c>
      <c r="P33" s="32" t="n">
        <v>27.45</v>
      </c>
      <c r="Q33" s="32" t="n">
        <v>894.38</v>
      </c>
      <c r="R33" s="31" t="inlineStr">
        <is>
          <t>Near 52W High Breakout</t>
        </is>
      </c>
      <c r="S33" s="31" t="inlineStr">
        <is>
          <t>Nifty Bank</t>
        </is>
      </c>
      <c r="T33" s="32" t="n">
        <v>1.76</v>
      </c>
      <c r="U33" s="32" t="n">
        <v>-2.21</v>
      </c>
      <c r="V33" s="32" t="n">
        <v>-3.89</v>
      </c>
      <c r="W33" s="32" t="n">
        <v>8.35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less than 2.5x and Growth less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20 to 40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Positive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IF(B34=0,"",RANK(B34,$B$2:$B$67,0))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OFSS</t>
        </is>
      </c>
      <c r="D34" s="31" t="inlineStr">
        <is>
          <t>Oracle Financial Services Software Limited</t>
        </is>
      </c>
      <c r="E34" s="31" t="inlineStr">
        <is>
          <t>i.t</t>
        </is>
      </c>
      <c r="F34" s="31" t="inlineStr">
        <is>
          <t>computers - software - large</t>
        </is>
      </c>
      <c r="G34" s="31" t="inlineStr">
        <is>
          <t>largecap</t>
        </is>
      </c>
      <c r="H34" s="32" t="n">
        <v>93784.71000000001</v>
      </c>
      <c r="I34" s="32" t="n">
        <v>10863</v>
      </c>
      <c r="J34" s="32" t="n">
        <v>0.8100000000000001</v>
      </c>
      <c r="K34" s="32" t="n">
        <v>310310</v>
      </c>
      <c r="L34" s="31" t="n">
        <v>69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71.5</v>
      </c>
      <c r="P34" s="32" t="n">
        <v>31.91</v>
      </c>
      <c r="Q34" s="32" t="n">
        <v>8836.049999999999</v>
      </c>
      <c r="R34" s="31" t="inlineStr">
        <is>
          <t>Near 52W High Breakout</t>
        </is>
      </c>
      <c r="S34" s="31" t="inlineStr">
        <is>
          <t>Nifty IT</t>
        </is>
      </c>
      <c r="T34" s="32" t="n">
        <v>-34.2</v>
      </c>
      <c r="U34" s="32" t="n">
        <v>24.57</v>
      </c>
      <c r="V34" s="32" t="n">
        <v>89.34</v>
      </c>
      <c r="W34" s="32" t="n">
        <v>19.21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above 5x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20 to 40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IF(B35=0,"",RANK(B35,$B$2:$B$67,0))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LTF</t>
        </is>
      </c>
      <c r="D35" s="31" t="inlineStr">
        <is>
          <t>L&amp;T Finance Ltd</t>
        </is>
      </c>
      <c r="E35" s="31" t="inlineStr">
        <is>
          <t>financials</t>
        </is>
      </c>
      <c r="F35" s="31" t="inlineStr">
        <is>
          <t>finance &amp; investments</t>
        </is>
      </c>
      <c r="G35" s="31" t="inlineStr">
        <is>
          <t>largecap</t>
        </is>
      </c>
      <c r="H35" s="32" t="n">
        <v>77823.8</v>
      </c>
      <c r="I35" s="32" t="n">
        <v>312.7</v>
      </c>
      <c r="J35" s="32" t="n">
        <v>0.63</v>
      </c>
      <c r="K35" s="32" t="n">
        <v>7147529</v>
      </c>
      <c r="L35" s="31" t="n">
        <v>65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60.59</v>
      </c>
      <c r="P35" s="32" t="n">
        <v>17.43</v>
      </c>
      <c r="Q35" s="32" t="n">
        <v>249.22</v>
      </c>
      <c r="R35" s="31" t="inlineStr">
        <is>
          <t>Volume Spike &amp; Near 52W High Breakout</t>
        </is>
      </c>
      <c r="S35" s="31" t="inlineStr">
        <is>
          <t>Nifty Bank</t>
        </is>
      </c>
      <c r="T35" s="32" t="n">
        <v>1.76</v>
      </c>
      <c r="U35" s="32" t="n">
        <v>53.63</v>
      </c>
      <c r="V35" s="32" t="n">
        <v>50.98</v>
      </c>
      <c r="W35" s="32" t="n">
        <v>17.5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between 2.5x to 5x and Growth more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0 to 20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2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Blue sky scenario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IF(B36=0,"",RANK(B36,$B$2:$B$67,0))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SHRIRAMFIN</t>
        </is>
      </c>
      <c r="D36" s="31" t="inlineStr">
        <is>
          <t>Shriram Finance Ltd</t>
        </is>
      </c>
      <c r="E36" s="31" t="inlineStr">
        <is>
          <t>financials</t>
        </is>
      </c>
      <c r="F36" s="31" t="inlineStr">
        <is>
          <t>finance &amp; investments</t>
        </is>
      </c>
      <c r="G36" s="31" t="inlineStr">
        <is>
          <t>largecap</t>
        </is>
      </c>
      <c r="H36" s="32" t="n">
        <v>245185.22</v>
      </c>
      <c r="I36" s="32" t="n">
        <v>1048.1</v>
      </c>
      <c r="J36" s="32" t="n">
        <v>0.57</v>
      </c>
      <c r="K36" s="32" t="n">
        <v>4722961</v>
      </c>
      <c r="L36" s="31" t="n">
        <v>57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60.73</v>
      </c>
      <c r="P36" s="32" t="n">
        <v>11.41</v>
      </c>
      <c r="Q36" s="32" t="n">
        <v>843.1</v>
      </c>
      <c r="R36" s="31" t="inlineStr">
        <is>
          <t>Near 52W High Breakout</t>
        </is>
      </c>
      <c r="S36" s="31" t="inlineStr">
        <is>
          <t>Nifty Bank</t>
        </is>
      </c>
      <c r="T36" s="32" t="n">
        <v>1.76</v>
      </c>
      <c r="U36" s="32" t="n">
        <v>56.65</v>
      </c>
      <c r="V36" s="32" t="n">
        <v>53.95</v>
      </c>
      <c r="W36" s="32" t="n">
        <v>15.34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between 2.5x to 5x and Growth more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0 to 20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2</t>
        </is>
      </c>
      <c r="BQ36" s="31">
        <f>IF(BP36="Stage 2",20,IF(BP36="Stage 1",0,IF(BP36="Stage 3",5,IF(BP36="Stage 4",-5,0))))</f>
        <v/>
      </c>
      <c r="BR36" s="31" t="inlineStr">
        <is>
          <t>Positive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Blue sky scenario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IF(B37=0,"",RANK(B37,$B$2:$B$67,0))</f>
        <v/>
      </c>
      <c r="B37" s="32">
        <f>SUM(N37,Y37,AA37,AC37,AE37,AG37,AI37,AK37,AM37,AO37,AQ37,AS37,AU37,AW37,AY37,BA37,BC37,BE37,BG37,BI37,BK37,BM37,BO37,BQ37,BS37,BU37,BW37,BY37,CA37)</f>
        <v/>
      </c>
      <c r="C37" s="31" t="inlineStr">
        <is>
          <t>ABCAPITAL</t>
        </is>
      </c>
      <c r="D37" s="31" t="inlineStr">
        <is>
          <t>Aditya Birla Capital Ltd</t>
        </is>
      </c>
      <c r="E37" s="31" t="inlineStr">
        <is>
          <t>financials</t>
        </is>
      </c>
      <c r="F37" s="31" t="inlineStr">
        <is>
          <t>finance &amp; investments</t>
        </is>
      </c>
      <c r="G37" s="31" t="inlineStr">
        <is>
          <t>largecap</t>
        </is>
      </c>
      <c r="H37" s="32" t="n">
        <v>107167.22</v>
      </c>
      <c r="I37" s="32" t="n">
        <v>393.15</v>
      </c>
      <c r="J37" s="32" t="n">
        <v>0.31</v>
      </c>
      <c r="K37" s="32" t="n">
        <v>1940958</v>
      </c>
      <c r="L37" s="31" t="n">
        <v>56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69.31999999999999</v>
      </c>
      <c r="P37" s="32" t="n">
        <v>19.88</v>
      </c>
      <c r="Q37" s="32" t="n">
        <v>326.38</v>
      </c>
      <c r="R37" s="31" t="inlineStr">
        <is>
          <t>Near 52W High Breakout</t>
        </is>
      </c>
      <c r="S37" s="31" t="inlineStr">
        <is>
          <t>Nifty Bank</t>
        </is>
      </c>
      <c r="T37" s="32" t="n">
        <v>1.76</v>
      </c>
      <c r="U37" s="32" t="n">
        <v>42.94</v>
      </c>
      <c r="V37" s="32" t="n">
        <v>40.47</v>
      </c>
      <c r="W37" s="32" t="n">
        <v>15.11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between 2.5x to 5x and Growth more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0 to 20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2</t>
        </is>
      </c>
      <c r="BQ37" s="31">
        <f>IF(BP37="Stage 2",20,IF(BP37="Stage 1",0,IF(BP37="Stage 3",5,IF(BP37="Stage 4",-5,0))))</f>
        <v/>
      </c>
      <c r="BR37" s="31" t="inlineStr">
        <is>
          <t>Positive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Blue sky scenario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IF(B38=0,"",RANK(B38,$B$2:$B$67,0))</f>
        <v/>
      </c>
      <c r="B38" s="32">
        <f>SUM(N38,Y38,AA38,AC38,AE38,AG38,AI38,AK38,AM38,AO38,AQ38,AS38,AU38,AW38,AY38,BA38,BC38,BE38,BG38,BI38,BK38,BM38,BO38,BQ38,BS38,BU38,BW38,BY38,CA38)</f>
        <v/>
      </c>
      <c r="C38" s="31" t="inlineStr">
        <is>
          <t>NUVAMA</t>
        </is>
      </c>
      <c r="D38" s="31" t="inlineStr">
        <is>
          <t>Nuvama Wealth Management Ltd</t>
        </is>
      </c>
      <c r="E38" s="31" t="inlineStr">
        <is>
          <t>financials</t>
        </is>
      </c>
      <c r="F38" s="31" t="inlineStr">
        <is>
          <t>finance &amp; investments</t>
        </is>
      </c>
      <c r="G38" s="31" t="inlineStr">
        <is>
          <t>largecap</t>
        </is>
      </c>
      <c r="H38" s="32" t="n">
        <v>32883.98</v>
      </c>
      <c r="I38" s="32" t="n">
        <v>1788.1</v>
      </c>
      <c r="J38" s="32" t="n">
        <v>-1.01</v>
      </c>
      <c r="K38" s="32" t="n">
        <v>167889</v>
      </c>
      <c r="L38" s="31" t="n">
        <v>70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68.42</v>
      </c>
      <c r="P38" s="32" t="n">
        <v>29.22</v>
      </c>
      <c r="Q38" s="32" t="n">
        <v>1436.1</v>
      </c>
      <c r="R38" s="31" t="inlineStr">
        <is>
          <t>Near 52W High Breakout</t>
        </is>
      </c>
      <c r="S38" s="31" t="inlineStr">
        <is>
          <t>Nifty Bank</t>
        </is>
      </c>
      <c r="T38" s="32" t="n">
        <v>1.76</v>
      </c>
      <c r="U38" s="32" t="n">
        <v>25.48</v>
      </c>
      <c r="V38" s="32" t="n">
        <v>23.32</v>
      </c>
      <c r="W38" s="32" t="n">
        <v>19.31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above 5x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20 to 40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2</t>
        </is>
      </c>
      <c r="BQ38" s="31">
        <f>IF(BP38="Stage 2",20,IF(BP38="Stage 1",0,IF(BP38="Stage 3",5,IF(BP38="Stage 4",-5,0))))</f>
        <v/>
      </c>
      <c r="BR38" s="31" t="inlineStr">
        <is>
          <t>Positive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Blue sky scenario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IF(B39=0,"",RANK(B39,$B$2:$B$67,0))</f>
        <v/>
      </c>
      <c r="B39" s="32">
        <f>SUM(N39,Y39,AA39,AC39,AE39,AG39,AI39,AK39,AM39,AO39,AQ39,AS39,AU39,AW39,AY39,BA39,BC39,BE39,BG39,BI39,BK39,BM39,BO39,BQ39,BS39,BU39,BW39,BY39,CA39)</f>
        <v/>
      </c>
      <c r="C39" s="31" t="inlineStr">
        <is>
          <t>STEL</t>
        </is>
      </c>
      <c r="D39" s="31" t="inlineStr">
        <is>
          <t>Stel Holdings Limited</t>
        </is>
      </c>
      <c r="E39" s="31" t="inlineStr">
        <is>
          <t>financials</t>
        </is>
      </c>
      <c r="F39" s="31" t="inlineStr">
        <is>
          <t>finance &amp; investments</t>
        </is>
      </c>
      <c r="G39" s="31" t="inlineStr">
        <is>
          <t>smallcap</t>
        </is>
      </c>
      <c r="H39" s="32" t="n">
        <v>1055.83</v>
      </c>
      <c r="I39" s="32" t="n">
        <v>587.6</v>
      </c>
      <c r="J39" s="32" t="n">
        <v>2.71</v>
      </c>
      <c r="K39" s="32" t="n">
        <v>8196</v>
      </c>
      <c r="L39" s="31" t="n">
        <v>55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64.98</v>
      </c>
      <c r="P39" s="32" t="n">
        <v>14.32</v>
      </c>
      <c r="Q39" s="32" t="n">
        <v>430.72</v>
      </c>
      <c r="R39" s="31" t="inlineStr">
        <is>
          <t>Near 52W High Breakout</t>
        </is>
      </c>
      <c r="S39" s="31" t="inlineStr">
        <is>
          <t>Nifty Bank</t>
        </is>
      </c>
      <c r="T39" s="32" t="n">
        <v>1.76</v>
      </c>
      <c r="U39" s="32" t="n">
        <v>42.55</v>
      </c>
      <c r="V39" s="32" t="n">
        <v>40.09</v>
      </c>
      <c r="W39" s="32" t="n">
        <v>14.9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less than 2.5x and Growth less than 20%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0 to 20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2</t>
        </is>
      </c>
      <c r="BQ39" s="31">
        <f>IF(BP39="Stage 2",20,IF(BP39="Stage 1",0,IF(BP39="Stage 3",5,IF(BP39="Stage 4",-5,0))))</f>
        <v/>
      </c>
      <c r="BR39" s="31" t="inlineStr">
        <is>
          <t>Positive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Blue sky scenario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IF(B40=0,"",RANK(B40,$B$2:$B$67,0))</f>
        <v/>
      </c>
      <c r="B40" s="32">
        <f>SUM(N40,Y40,AA40,AC40,AE40,AG40,AI40,AK40,AM40,AO40,AQ40,AS40,AU40,AW40,AY40,BA40,BC40,BE40,BG40,BI40,BK40,BM40,BO40,BQ40,BS40,BU40,BW40,BY40,CA40)</f>
        <v/>
      </c>
      <c r="C40" s="31" t="inlineStr">
        <is>
          <t>EQUITASBNK</t>
        </is>
      </c>
      <c r="D40" s="31" t="inlineStr">
        <is>
          <t>Equitas Small Finance Bank Ltd</t>
        </is>
      </c>
      <c r="E40" s="31" t="inlineStr">
        <is>
          <t>bank</t>
        </is>
      </c>
      <c r="F40" s="31" t="inlineStr">
        <is>
          <t>banks - private sector</t>
        </is>
      </c>
      <c r="G40" s="31" t="inlineStr">
        <is>
          <t>midcap</t>
        </is>
      </c>
      <c r="H40" s="32" t="n">
        <v>8604.610000000001</v>
      </c>
      <c r="I40" s="32" t="n">
        <v>77.09</v>
      </c>
      <c r="J40" s="32" t="n">
        <v>2.23</v>
      </c>
      <c r="K40" s="32" t="n">
        <v>1949268</v>
      </c>
      <c r="L40" s="31" t="n">
        <v>51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63.79</v>
      </c>
      <c r="P40" s="32" t="n">
        <v>25.05</v>
      </c>
      <c r="Q40" s="32" t="n">
        <v>61.9</v>
      </c>
      <c r="R40" s="31" t="inlineStr">
        <is>
          <t>Near 52W High Breakout</t>
        </is>
      </c>
      <c r="S40" s="31" t="inlineStr">
        <is>
          <t>Nifty Bank</t>
        </is>
      </c>
      <c r="T40" s="32" t="n">
        <v>1.76</v>
      </c>
      <c r="U40" s="32" t="n">
        <v>13.48</v>
      </c>
      <c r="V40" s="32" t="n">
        <v>11.53</v>
      </c>
      <c r="W40" s="32" t="n">
        <v>13.01</v>
      </c>
      <c r="X40" s="31" t="inlineStr">
        <is>
          <t>Cyclical in an Upturn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Cyclical in an Uptick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inlineStr">
        <is>
          <t>Yes</t>
        </is>
      </c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No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No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less than 2.5x and Growth more than 20%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20 to 40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2</t>
        </is>
      </c>
      <c r="BQ40" s="31">
        <f>IF(BP40="Stage 2",20,IF(BP40="Stage 1",0,IF(BP40="Stage 3",5,IF(BP40="Stage 4",-5,0))))</f>
        <v/>
      </c>
      <c r="BR40" s="31" t="inlineStr">
        <is>
          <t>Positive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IF(B41=0,"",RANK(B41,$B$2:$B$67,0))</f>
        <v/>
      </c>
      <c r="B41" s="32">
        <f>SUM(N41,Y41,AA41,AC41,AE41,AG41,AI41,AK41,AM41,AO41,AQ41,AS41,AU41,AW41,AY41,BA41,BC41,BE41,BG41,BI41,BK41,BM41,BO41,BQ41,BS41,BU41,BW41,BY41,CA41)</f>
        <v/>
      </c>
      <c r="C41" s="31" t="inlineStr">
        <is>
          <t>AXISBANK</t>
        </is>
      </c>
      <c r="D41" s="31" t="inlineStr">
        <is>
          <t>Axis Bank Limited</t>
        </is>
      </c>
      <c r="E41" s="31" t="inlineStr">
        <is>
          <t>bank</t>
        </is>
      </c>
      <c r="F41" s="31" t="inlineStr">
        <is>
          <t>banks - private sector</t>
        </is>
      </c>
      <c r="G41" s="31" t="inlineStr">
        <is>
          <t>largecap</t>
        </is>
      </c>
      <c r="H41" s="32" t="n">
        <v>418266.79</v>
      </c>
      <c r="I41" s="32" t="n">
        <v>1368.7</v>
      </c>
      <c r="J41" s="32" t="n">
        <v>1.71</v>
      </c>
      <c r="K41" s="32" t="n">
        <v>3187785</v>
      </c>
      <c r="L41" s="31" t="n">
        <v>19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59.68</v>
      </c>
      <c r="P41" s="32" t="n">
        <v>9.73</v>
      </c>
      <c r="Q41" s="32" t="n">
        <v>1188</v>
      </c>
      <c r="R41" s="31" t="inlineStr">
        <is>
          <t>Near 52W High Breakout</t>
        </is>
      </c>
      <c r="S41" s="31" t="inlineStr">
        <is>
          <t>Nifty Bank</t>
        </is>
      </c>
      <c r="T41" s="32" t="n">
        <v>1.76</v>
      </c>
      <c r="U41" s="32" t="n">
        <v>16.33</v>
      </c>
      <c r="V41" s="32" t="n">
        <v>14.32</v>
      </c>
      <c r="W41" s="32" t="n">
        <v>6.14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less than 2.5x and Growth less than 20%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0 to 20</t>
        </is>
      </c>
      <c r="BM41" s="31">
        <f>IF(BL41="Above 40",20,IF(BL41="20 to 40",10,IF(BL41="0 to 20",-5,0)))</f>
        <v/>
      </c>
      <c r="BN41" s="31" t="inlineStr">
        <is>
          <t>Between 50 to 75</t>
        </is>
      </c>
      <c r="BO41" s="31">
        <f>IF(BN41="Between 50 to 75",10,IF(BN41="Above 75",0,0))</f>
        <v/>
      </c>
      <c r="BP41" s="31" t="inlineStr">
        <is>
          <t>Stage 2</t>
        </is>
      </c>
      <c r="BQ41" s="31">
        <f>IF(BP41="Stage 2",20,IF(BP41="Stage 1",0,IF(BP41="Stage 3",5,IF(BP41="Stage 4",-5,0))))</f>
        <v/>
      </c>
      <c r="BR41" s="31" t="inlineStr">
        <is>
          <t>Positive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Blue sky scenario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IF(B42=0,"",RANK(B42,$B$2:$B$67,0))</f>
        <v/>
      </c>
      <c r="B42" s="32">
        <f>SUM(N42,Y42,AA42,AC42,AE42,AG42,AI42,AK42,AM42,AO42,AQ42,AS42,AU42,AW42,AY42,BA42,BC42,BE42,BG42,BI42,BK42,BM42,BO42,BQ42,BS42,BU42,BW42,BY42,CA42)</f>
        <v/>
      </c>
      <c r="C42" s="31" t="inlineStr">
        <is>
          <t>CANFINHOME</t>
        </is>
      </c>
      <c r="D42" s="31" t="inlineStr">
        <is>
          <t>Can Fin Homes Limited</t>
        </is>
      </c>
      <c r="E42" s="31" t="inlineStr">
        <is>
          <t>financials</t>
        </is>
      </c>
      <c r="F42" s="31" t="inlineStr">
        <is>
          <t>finance - housing</t>
        </is>
      </c>
      <c r="G42" s="31" t="inlineStr">
        <is>
          <t>midcap</t>
        </is>
      </c>
      <c r="H42" s="32" t="n">
        <v>11557.11</v>
      </c>
      <c r="I42" s="32" t="n">
        <v>882.35</v>
      </c>
      <c r="J42" s="32" t="n">
        <v>1.66</v>
      </c>
      <c r="K42" s="32" t="n">
        <v>171784</v>
      </c>
      <c r="L42" s="31" t="n">
        <v>9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54.73</v>
      </c>
      <c r="P42" s="32" t="n">
        <v>16.37</v>
      </c>
      <c r="Q42" s="32" t="n">
        <v>739.21</v>
      </c>
      <c r="R42" s="31" t="inlineStr">
        <is>
          <t>Volume Spike / Accumulation</t>
        </is>
      </c>
      <c r="S42" s="31" t="inlineStr">
        <is>
          <t>Nifty Bank</t>
        </is>
      </c>
      <c r="T42" s="32" t="n">
        <v>1.76</v>
      </c>
      <c r="U42" s="32" t="n">
        <v>9.609999999999999</v>
      </c>
      <c r="V42" s="32" t="n">
        <v>7.71</v>
      </c>
      <c r="W42" s="32" t="n">
        <v>3.87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Headwind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Yes</t>
        </is>
      </c>
      <c r="AK42" s="31">
        <f>IF(AJ42="Yes",10,0)</f>
        <v/>
      </c>
      <c r="AL42" s="31" t="n"/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less than 2.5x and Growth more than 20%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0 to 20</t>
        </is>
      </c>
      <c r="BM42" s="31">
        <f>IF(BL42="Above 40",20,IF(BL42="20 to 40",10,IF(BL42="0 to 20",-5,0)))</f>
        <v/>
      </c>
      <c r="BN42" s="31" t="inlineStr">
        <is>
          <t>Between 50 to 75</t>
        </is>
      </c>
      <c r="BO42" s="31">
        <f>IF(BN42="Between 50 to 75",10,IF(BN42="Above 75",0,0))</f>
        <v/>
      </c>
      <c r="BP42" s="31" t="inlineStr">
        <is>
          <t>Stage 2</t>
        </is>
      </c>
      <c r="BQ42" s="31">
        <f>IF(BP42="Stage 2",20,IF(BP42="Stage 1",0,IF(BP42="Stage 3",5,IF(BP42="Stage 4",-5,0))))</f>
        <v/>
      </c>
      <c r="BR42" s="31" t="inlineStr">
        <is>
          <t>Positive Trend</t>
        </is>
      </c>
      <c r="BS42" s="31">
        <f>IF(BR42="Positive Trend",20,IF(BR42="Negative Trend",-10,0))</f>
        <v/>
      </c>
      <c r="BT42" s="31" t="inlineStr">
        <is>
          <t>Uptrend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Close to 52 week high or retracement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  <row r="43">
      <c r="A43" s="31">
        <f>IF(B43=0,"",RANK(B43,$B$2:$B$67,0))</f>
        <v/>
      </c>
      <c r="B43" s="32">
        <f>SUM(N43,Y43,AA43,AC43,AE43,AG43,AI43,AK43,AM43,AO43,AQ43,AS43,AU43,AW43,AY43,BA43,BC43,BE43,BG43,BI43,BK43,BM43,BO43,BQ43,BS43,BU43,BW43,BY43,CA43)</f>
        <v/>
      </c>
      <c r="C43" s="31" t="inlineStr">
        <is>
          <t>KARURVYSYA</t>
        </is>
      </c>
      <c r="D43" s="31" t="inlineStr">
        <is>
          <t>Karur Vysya Bank Limited</t>
        </is>
      </c>
      <c r="E43" s="31" t="inlineStr">
        <is>
          <t>bank</t>
        </is>
      </c>
      <c r="F43" s="31" t="inlineStr">
        <is>
          <t>banks - private sector</t>
        </is>
      </c>
      <c r="G43" s="31" t="inlineStr">
        <is>
          <t>largecap</t>
        </is>
      </c>
      <c r="H43" s="32" t="n">
        <v>28622.39</v>
      </c>
      <c r="I43" s="32" t="n">
        <v>300.1</v>
      </c>
      <c r="J43" s="32" t="n">
        <v>1.35</v>
      </c>
      <c r="K43" s="32" t="n">
        <v>5384348</v>
      </c>
      <c r="L43" s="31" t="n">
        <v>30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57.32</v>
      </c>
      <c r="P43" s="32" t="n">
        <v>11.83</v>
      </c>
      <c r="Q43" s="32" t="n">
        <v>246.85</v>
      </c>
      <c r="R43" s="31" t="inlineStr">
        <is>
          <t>Earnings / Momentum Support</t>
        </is>
      </c>
      <c r="S43" s="31" t="inlineStr">
        <is>
          <t>Nifty Bank</t>
        </is>
      </c>
      <c r="T43" s="32" t="n">
        <v>1.76</v>
      </c>
      <c r="U43" s="32" t="n">
        <v>33.97</v>
      </c>
      <c r="V43" s="32" t="n">
        <v>31.66</v>
      </c>
      <c r="W43" s="32" t="n">
        <v>8.77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Fragmented with High ROE</t>
        </is>
      </c>
      <c r="AA43" s="31">
        <f>IF(Z43="Fragmented with Low ROE",-5,IF(Z43="Fragmented with High ROE",10,IF(Z43= "highly cyclical",5,0)))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Consistency)",15,IF(AF43="Shallow Cyclical (2 to 3 years growth)",10,IF(AF43 = "Cyclical in an Uptick",5,IF(AF43 = "Cyclical in an Downtick",-10,0))))</f>
        <v/>
      </c>
      <c r="AH43" s="31" t="inlineStr">
        <is>
          <t>Yes</t>
        </is>
      </c>
      <c r="AI43" s="31">
        <f>IF(AH43="Yes",10,0)</f>
        <v/>
      </c>
      <c r="AJ43" s="31" t="inlineStr">
        <is>
          <t>Yes</t>
        </is>
      </c>
      <c r="AK43" s="31">
        <f>IF(AJ43="Yes",10,0)</f>
        <v/>
      </c>
      <c r="AL43" s="31" t="n"/>
      <c r="AM43" s="31">
        <f>IF(AL43="No",10,0)</f>
        <v/>
      </c>
      <c r="AN43" s="31" t="inlineStr">
        <is>
          <t>Yes</t>
        </is>
      </c>
      <c r="AO43" s="31">
        <f>IF(AN43="Yes",10,0)</f>
        <v/>
      </c>
      <c r="AP43" s="31" t="inlineStr">
        <is>
          <t>No</t>
        </is>
      </c>
      <c r="AQ43" s="31">
        <f>IF(AP43="Yes",10,0)</f>
        <v/>
      </c>
      <c r="AR43" s="31" t="inlineStr">
        <is>
          <t>Yes</t>
        </is>
      </c>
      <c r="AS43" s="31">
        <f>IF(AR43="Yes",5,0)</f>
        <v/>
      </c>
      <c r="AT43" s="31" t="inlineStr">
        <is>
          <t>No</t>
        </is>
      </c>
      <c r="AU43" s="31">
        <f>IF(AT43="No",10,IF(AT43="Yes",-10,0))</f>
        <v/>
      </c>
      <c r="AV43" s="31" t="inlineStr">
        <is>
          <t>No</t>
        </is>
      </c>
      <c r="AW43" s="31">
        <f>IF(AV43="No",10,0)</f>
        <v/>
      </c>
      <c r="AX43" s="31" t="inlineStr">
        <is>
          <t>No</t>
        </is>
      </c>
      <c r="AY43" s="31">
        <f>IF(AX43="No",10,IF(AX43= "Yes CEO Resignation",-5,0))</f>
        <v/>
      </c>
      <c r="AZ43" s="31" t="inlineStr">
        <is>
          <t>No</t>
        </is>
      </c>
      <c r="BA43" s="31">
        <f>IF(AZ43="No",10,IF(AZ43="Yes",-5,0))</f>
        <v/>
      </c>
      <c r="BB43" s="31" t="inlineStr">
        <is>
          <t>No</t>
        </is>
      </c>
      <c r="BC43" s="31">
        <f>IF(BB43="No",5,IF(BB43="Yes",-5,0))</f>
        <v/>
      </c>
      <c r="BD43" s="31" t="inlineStr">
        <is>
          <t>Yes</t>
        </is>
      </c>
      <c r="BE43" s="31">
        <f>IF(BD43="Yes",10,0)</f>
        <v/>
      </c>
      <c r="BF43" s="31" t="inlineStr">
        <is>
          <t>Yes</t>
        </is>
      </c>
      <c r="BG43" s="31">
        <f>IF(BF43="Yes",10,0)</f>
        <v/>
      </c>
      <c r="BH43" s="31" t="inlineStr">
        <is>
          <t>Yes</t>
        </is>
      </c>
      <c r="BI43" s="31">
        <f>IF(BH43="Yes",10,0)</f>
        <v/>
      </c>
      <c r="BJ43" s="31" t="inlineStr">
        <is>
          <t>P/BV less than 2.5x and Growth more than 20%</t>
        </is>
      </c>
      <c r="BK43" s="31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1" t="inlineStr">
        <is>
          <t>0 to 20</t>
        </is>
      </c>
      <c r="BM43" s="31">
        <f>IF(BL43="Above 40",20,IF(BL43="20 to 40",10,IF(BL43="0 to 20",-5,0)))</f>
        <v/>
      </c>
      <c r="BN43" s="31" t="inlineStr">
        <is>
          <t>Between 50 to 75</t>
        </is>
      </c>
      <c r="BO43" s="31">
        <f>IF(BN43="Between 50 to 75",10,IF(BN43="Above 75",0,0))</f>
        <v/>
      </c>
      <c r="BP43" s="31" t="inlineStr">
        <is>
          <t>Stage 2</t>
        </is>
      </c>
      <c r="BQ43" s="31">
        <f>IF(BP43="Stage 2",20,IF(BP43="Stage 1",0,IF(BP43="Stage 3",5,IF(BP43="Stage 4",-5,0))))</f>
        <v/>
      </c>
      <c r="BR43" s="31" t="inlineStr">
        <is>
          <t>Positive Trend</t>
        </is>
      </c>
      <c r="BS43" s="31">
        <f>IF(BR43="Positive Trend",20,IF(BR43="Negative Trend",-10,0))</f>
        <v/>
      </c>
      <c r="BT43" s="31" t="inlineStr">
        <is>
          <t>Uptrend</t>
        </is>
      </c>
      <c r="BU43" s="31">
        <f>IF(BT43="Uptrend",10,IF(BT43="Sideways",5,0))</f>
        <v/>
      </c>
      <c r="BV43" s="31" t="inlineStr">
        <is>
          <t>Uptrend</t>
        </is>
      </c>
      <c r="BW43" s="31">
        <f>IF(BV43="Uptrend",10,IF(BV43="Sideways",5,0))</f>
        <v/>
      </c>
      <c r="BX43" s="31" t="inlineStr">
        <is>
          <t>Close to 52 week high or retracement</t>
        </is>
      </c>
      <c r="BY43" s="31">
        <f>IF(BX43="Overhead supply in last 2 years in last 2 years",-5,IF(BX43="Close to 52 week high or retracement",5,IF(BX43="Blue sky scenario",10,IF(BX43="Long term Downtrend",-10,0))))</f>
        <v/>
      </c>
      <c r="BZ43" s="31" t="inlineStr">
        <is>
          <t>Yes</t>
        </is>
      </c>
      <c r="CA43" s="31">
        <f>IF(BZ43="Yes",10,0)</f>
        <v/>
      </c>
    </row>
    <row r="44">
      <c r="A44" s="31">
        <f>IF(B44=0,"",RANK(B44,$B$2:$B$67,0))</f>
        <v/>
      </c>
      <c r="B44" s="32">
        <f>SUM(N44,Y44,AA44,AC44,AE44,AG44,AI44,AK44,AM44,AO44,AQ44,AS44,AU44,AW44,AY44,BA44,BC44,BE44,BG44,BI44,BK44,BM44,BO44,BQ44,BS44,BU44,BW44,BY44,CA44)</f>
        <v/>
      </c>
      <c r="C44" s="31" t="inlineStr">
        <is>
          <t>PRUDENT</t>
        </is>
      </c>
      <c r="D44" s="31" t="inlineStr">
        <is>
          <t>Prudent Corporate Advisory Services Ltd</t>
        </is>
      </c>
      <c r="E44" s="31" t="inlineStr">
        <is>
          <t>financials</t>
        </is>
      </c>
      <c r="F44" s="31" t="inlineStr">
        <is>
          <t>finance &amp; investments</t>
        </is>
      </c>
      <c r="G44" s="31" t="inlineStr">
        <is>
          <t>midcap</t>
        </is>
      </c>
      <c r="H44" s="32" t="n">
        <v>12397.99</v>
      </c>
      <c r="I44" s="32" t="n">
        <v>2975</v>
      </c>
      <c r="J44" s="32" t="n">
        <v>-0.64</v>
      </c>
      <c r="K44" s="32" t="n">
        <v>9709</v>
      </c>
      <c r="L44" s="31" t="n">
        <v>34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62.46</v>
      </c>
      <c r="P44" s="32" t="n">
        <v>25.5</v>
      </c>
      <c r="Q44" s="32" t="n">
        <v>2407.14</v>
      </c>
      <c r="R44" s="31" t="inlineStr">
        <is>
          <t>Near 52W High Breakout</t>
        </is>
      </c>
      <c r="S44" s="31" t="inlineStr">
        <is>
          <t>Nifty Bank</t>
        </is>
      </c>
      <c r="T44" s="32" t="n">
        <v>1.76</v>
      </c>
      <c r="U44" s="32" t="n">
        <v>12.01</v>
      </c>
      <c r="V44" s="32" t="n">
        <v>10.08</v>
      </c>
      <c r="W44" s="32" t="n">
        <v>9.94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Fragmented with High ROE</t>
        </is>
      </c>
      <c r="AA44" s="31">
        <f>IF(Z44="Fragmented with Low ROE",-5,IF(Z44="Fragmented with High ROE",10,IF(Z44= "highly cyclical",5,0)))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Consistency)",15,IF(AF44="Shallow Cyclical (2 to 3 years growth)",10,IF(AF44 = "Cyclical in an Uptick",5,IF(AF44 = "Cyclical in an Downtick",-10,0))))</f>
        <v/>
      </c>
      <c r="AH44" s="31" t="inlineStr">
        <is>
          <t>Yes</t>
        </is>
      </c>
      <c r="AI44" s="31">
        <f>IF(AH44="Yes",10,0)</f>
        <v/>
      </c>
      <c r="AJ44" s="31" t="inlineStr">
        <is>
          <t>Yes</t>
        </is>
      </c>
      <c r="AK44" s="31">
        <f>IF(AJ44="Yes",10,0)</f>
        <v/>
      </c>
      <c r="AL44" s="31" t="n"/>
      <c r="AM44" s="31">
        <f>IF(AL44="No",10,0)</f>
        <v/>
      </c>
      <c r="AN44" s="31" t="inlineStr">
        <is>
          <t>Yes</t>
        </is>
      </c>
      <c r="AO44" s="31">
        <f>IF(AN44="Yes",10,0)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Yes</t>
        </is>
      </c>
      <c r="AS44" s="31">
        <f>IF(AR44="Yes",5,0)</f>
        <v/>
      </c>
      <c r="AT44" s="31" t="inlineStr">
        <is>
          <t>No</t>
        </is>
      </c>
      <c r="AU44" s="31">
        <f>IF(AT44="No",10,IF(AT44="Yes",-10,0))</f>
        <v/>
      </c>
      <c r="AV44" s="31" t="inlineStr">
        <is>
          <t>No</t>
        </is>
      </c>
      <c r="AW44" s="31">
        <f>IF(AV44="No",10,0)</f>
        <v/>
      </c>
      <c r="AX44" s="31" t="inlineStr">
        <is>
          <t>No</t>
        </is>
      </c>
      <c r="AY44" s="31">
        <f>IF(AX44="No",10,IF(AX44= "Yes CEO Resignation",-5,0))</f>
        <v/>
      </c>
      <c r="AZ44" s="31" t="inlineStr">
        <is>
          <t>No</t>
        </is>
      </c>
      <c r="BA44" s="31">
        <f>IF(AZ44="No",10,IF(AZ44="Yes",-5,0))</f>
        <v/>
      </c>
      <c r="BB44" s="31" t="inlineStr">
        <is>
          <t>No</t>
        </is>
      </c>
      <c r="BC44" s="31">
        <f>IF(BB44="No",5,IF(BB44="Yes",-5,0))</f>
        <v/>
      </c>
      <c r="BD44" s="31" t="inlineStr">
        <is>
          <t>Yes</t>
        </is>
      </c>
      <c r="BE44" s="31">
        <f>IF(BD44="Yes",10,0)</f>
        <v/>
      </c>
      <c r="BF44" s="31" t="inlineStr">
        <is>
          <t>Yes</t>
        </is>
      </c>
      <c r="BG44" s="31">
        <f>IF(BF44="Yes",10,0)</f>
        <v/>
      </c>
      <c r="BH44" s="31" t="inlineStr">
        <is>
          <t>Yes</t>
        </is>
      </c>
      <c r="BI44" s="31">
        <f>IF(BH44="Yes",10,0)</f>
        <v/>
      </c>
      <c r="BJ44" s="31" t="inlineStr">
        <is>
          <t>P/BV above 5x</t>
        </is>
      </c>
      <c r="BK44" s="31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1" t="inlineStr">
        <is>
          <t>20 to 40</t>
        </is>
      </c>
      <c r="BM44" s="31">
        <f>IF(BL44="Above 40",20,IF(BL44="20 to 40",10,IF(BL44="0 to 20",-5,0)))</f>
        <v/>
      </c>
      <c r="BN44" s="31" t="inlineStr">
        <is>
          <t>Between 50 to 75</t>
        </is>
      </c>
      <c r="BO44" s="31">
        <f>IF(BN44="Between 50 to 75",10,IF(BN44="Above 75",0,0))</f>
        <v/>
      </c>
      <c r="BP44" s="31" t="inlineStr">
        <is>
          <t>Stage 2</t>
        </is>
      </c>
      <c r="BQ44" s="31">
        <f>IF(BP44="Stage 2",20,IF(BP44="Stage 1",0,IF(BP44="Stage 3",5,IF(BP44="Stage 4",-5,0))))</f>
        <v/>
      </c>
      <c r="BR44" s="31" t="inlineStr">
        <is>
          <t>Positive Trend</t>
        </is>
      </c>
      <c r="BS44" s="31">
        <f>IF(BR44="Positive Trend",20,IF(BR44="Negative Trend",-10,0))</f>
        <v/>
      </c>
      <c r="BT44" s="31" t="inlineStr">
        <is>
          <t>Uptrend</t>
        </is>
      </c>
      <c r="BU44" s="31">
        <f>IF(BT44="Uptrend",10,IF(BT44="Sideways",5,0))</f>
        <v/>
      </c>
      <c r="BV44" s="31" t="inlineStr">
        <is>
          <t>Uptrend</t>
        </is>
      </c>
      <c r="BW44" s="31">
        <f>IF(BV44="Uptrend",10,IF(BV44="Sideways",5,0))</f>
        <v/>
      </c>
      <c r="BX44" s="31" t="inlineStr">
        <is>
          <t>Close to 52 week high or retracement</t>
        </is>
      </c>
      <c r="BY44" s="31">
        <f>IF(BX44="Overhead supply in last 2 years in last 2 years",-5,IF(BX44="Close to 52 week high or retracement",5,IF(BX44="Blue sky scenario",10,IF(BX44="Long term Downtrend",-10,0))))</f>
        <v/>
      </c>
      <c r="BZ44" s="31" t="inlineStr">
        <is>
          <t>Yes</t>
        </is>
      </c>
      <c r="CA44" s="31">
        <f>IF(BZ44="Yes",10,0)</f>
        <v/>
      </c>
    </row>
    <row r="45">
      <c r="A45" s="31">
        <f>IF(B45=0,"",RANK(B45,$B$2:$B$67,0))</f>
        <v/>
      </c>
      <c r="B45" s="32">
        <f>SUM(N45,Y45,AA45,AC45,AE45,AG45,AI45,AK45,AM45,AO45,AQ45,AS45,AU45,AW45,AY45,BA45,BC45,BE45,BG45,BI45,BK45,BM45,BO45,BQ45,BS45,BU45,BW45,BY45,CA45)</f>
        <v/>
      </c>
      <c r="C45" s="31" t="inlineStr">
        <is>
          <t>KICL</t>
        </is>
      </c>
      <c r="D45" s="31" t="inlineStr">
        <is>
          <t>Kalyani Investment Company Limited</t>
        </is>
      </c>
      <c r="E45" s="31" t="inlineStr">
        <is>
          <t>financials</t>
        </is>
      </c>
      <c r="F45" s="31" t="inlineStr">
        <is>
          <t>finance &amp; investments</t>
        </is>
      </c>
      <c r="G45" s="31" t="inlineStr">
        <is>
          <t>smallcap</t>
        </is>
      </c>
      <c r="H45" s="32" t="n">
        <v>2320.81</v>
      </c>
      <c r="I45" s="32" t="n">
        <v>5271</v>
      </c>
      <c r="J45" s="32" t="n">
        <v>-0.86</v>
      </c>
      <c r="K45" s="32" t="n">
        <v>677</v>
      </c>
      <c r="L45" s="31" t="n">
        <v>19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58.59</v>
      </c>
      <c r="P45" s="32" t="n">
        <v>21.03</v>
      </c>
      <c r="Q45" s="32" t="n">
        <v>4408.85</v>
      </c>
      <c r="R45" s="31" t="inlineStr">
        <is>
          <t>Earnings / Momentum Support</t>
        </is>
      </c>
      <c r="S45" s="31" t="inlineStr">
        <is>
          <t>Nifty Bank</t>
        </is>
      </c>
      <c r="T45" s="32" t="n">
        <v>1.76</v>
      </c>
      <c r="U45" s="32" t="n">
        <v>2.59</v>
      </c>
      <c r="V45" s="32" t="n">
        <v>0.82</v>
      </c>
      <c r="W45" s="32" t="n">
        <v>6.11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Fragmented with High ROE</t>
        </is>
      </c>
      <c r="AA45" s="31">
        <f>IF(Z45="Fragmented with Low ROE",-5,IF(Z45="Fragmented with High ROE",10,IF(Z45= "highly cyclical",5,0)))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Consistency)",15,IF(AF45="Shallow Cyclical (2 to 3 years growth)",10,IF(AF45 = "Cyclical in an Uptick",5,IF(AF45 = "Cyclical in an Downtick",-10,0))))</f>
        <v/>
      </c>
      <c r="AH45" s="31" t="inlineStr">
        <is>
          <t>Yes</t>
        </is>
      </c>
      <c r="AI45" s="31">
        <f>IF(AH45="Yes",10,0)</f>
        <v/>
      </c>
      <c r="AJ45" s="31" t="inlineStr">
        <is>
          <t>Yes</t>
        </is>
      </c>
      <c r="AK45" s="31">
        <f>IF(AJ45="Yes",10,0)</f>
        <v/>
      </c>
      <c r="AL45" s="31" t="n"/>
      <c r="AM45" s="31">
        <f>IF(AL45="No",10,0)</f>
        <v/>
      </c>
      <c r="AN45" s="31" t="inlineStr">
        <is>
          <t>Yes</t>
        </is>
      </c>
      <c r="AO45" s="31">
        <f>IF(AN45="Yes",10,0)</f>
        <v/>
      </c>
      <c r="AP45" s="31" t="inlineStr">
        <is>
          <t>No</t>
        </is>
      </c>
      <c r="AQ45" s="31">
        <f>IF(AP45="Yes",10,0)</f>
        <v/>
      </c>
      <c r="AR45" s="31" t="inlineStr">
        <is>
          <t>Yes</t>
        </is>
      </c>
      <c r="AS45" s="31">
        <f>IF(AR45="Yes",5,0)</f>
        <v/>
      </c>
      <c r="AT45" s="31" t="inlineStr">
        <is>
          <t>No</t>
        </is>
      </c>
      <c r="AU45" s="31">
        <f>IF(AT45="No",10,IF(AT45="Yes",-10,0))</f>
        <v/>
      </c>
      <c r="AV45" s="31" t="inlineStr">
        <is>
          <t>No</t>
        </is>
      </c>
      <c r="AW45" s="31">
        <f>IF(AV45="No",10,0)</f>
        <v/>
      </c>
      <c r="AX45" s="31" t="inlineStr">
        <is>
          <t>No</t>
        </is>
      </c>
      <c r="AY45" s="31">
        <f>IF(AX45="No",10,IF(AX45= "Yes CEO Resignation",-5,0))</f>
        <v/>
      </c>
      <c r="AZ45" s="31" t="inlineStr">
        <is>
          <t>No</t>
        </is>
      </c>
      <c r="BA45" s="31">
        <f>IF(AZ45="No",10,IF(AZ45="Yes",-5,0))</f>
        <v/>
      </c>
      <c r="BB45" s="31" t="inlineStr">
        <is>
          <t>No</t>
        </is>
      </c>
      <c r="BC45" s="31">
        <f>IF(BB45="No",5,IF(BB45="Yes",-5,0))</f>
        <v/>
      </c>
      <c r="BD45" s="31" t="inlineStr">
        <is>
          <t>Yes</t>
        </is>
      </c>
      <c r="BE45" s="31">
        <f>IF(BD45="Yes",10,0)</f>
        <v/>
      </c>
      <c r="BF45" s="31" t="inlineStr">
        <is>
          <t>Yes</t>
        </is>
      </c>
      <c r="BG45" s="31">
        <f>IF(BF45="Yes",10,0)</f>
        <v/>
      </c>
      <c r="BH45" s="31" t="inlineStr">
        <is>
          <t>Yes</t>
        </is>
      </c>
      <c r="BI45" s="31">
        <f>IF(BH45="Yes",10,0)</f>
        <v/>
      </c>
      <c r="BJ45" s="31" t="inlineStr">
        <is>
          <t>P/BV less than 2.5x and Growth less than 20%</t>
        </is>
      </c>
      <c r="BK45" s="31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1" t="inlineStr">
        <is>
          <t>20 to 40</t>
        </is>
      </c>
      <c r="BM45" s="31">
        <f>IF(BL45="Above 40",20,IF(BL45="20 to 40",10,IF(BL45="0 to 20",-5,0)))</f>
        <v/>
      </c>
      <c r="BN45" s="31" t="inlineStr">
        <is>
          <t>Between 50 to 75</t>
        </is>
      </c>
      <c r="BO45" s="31">
        <f>IF(BN45="Between 50 to 75",10,IF(BN45="Above 75",0,0))</f>
        <v/>
      </c>
      <c r="BP45" s="31" t="inlineStr">
        <is>
          <t>Stage 2</t>
        </is>
      </c>
      <c r="BQ45" s="31">
        <f>IF(BP45="Stage 2",20,IF(BP45="Stage 1",0,IF(BP45="Stage 3",5,IF(BP45="Stage 4",-5,0))))</f>
        <v/>
      </c>
      <c r="BR45" s="31" t="inlineStr">
        <is>
          <t>Positive Trend</t>
        </is>
      </c>
      <c r="BS45" s="31">
        <f>IF(BR45="Positive Trend",20,IF(BR45="Negative Trend",-10,0))</f>
        <v/>
      </c>
      <c r="BT45" s="31" t="inlineStr">
        <is>
          <t>Uptrend</t>
        </is>
      </c>
      <c r="BU45" s="31">
        <f>IF(BT45="Uptrend",10,IF(BT45="Sideways",5,0))</f>
        <v/>
      </c>
      <c r="BV45" s="31" t="inlineStr">
        <is>
          <t>Uptrend</t>
        </is>
      </c>
      <c r="BW45" s="31">
        <f>IF(BV45="Uptrend",10,IF(BV45="Sideways",5,0))</f>
        <v/>
      </c>
      <c r="BX45" s="31" t="inlineStr">
        <is>
          <t>Close to 52 week high or retracement</t>
        </is>
      </c>
      <c r="BY45" s="31">
        <f>IF(BX45="Overhead supply in last 2 years in last 2 years",-5,IF(BX45="Close to 52 week high or retracement",5,IF(BX45="Blue sky scenario",10,IF(BX45="Long term Downtrend",-10,0))))</f>
        <v/>
      </c>
      <c r="BZ45" s="31" t="inlineStr">
        <is>
          <t>Yes</t>
        </is>
      </c>
      <c r="CA45" s="31">
        <f>IF(BZ45="Yes",10,0)</f>
        <v/>
      </c>
    </row>
    <row r="46">
      <c r="A46" s="31">
        <f>IF(B46=0,"",RANK(B46,$B$2:$B$67,0))</f>
        <v/>
      </c>
      <c r="B46" s="32">
        <f>SUM(N46,Y46,AA46,AC46,AE46,AG46,AI46,AK46,AM46,AO46,AQ46,AS46,AU46,AW46,AY46,BA46,BC46,BE46,BG46,BI46,BK46,BM46,BO46,BQ46,BS46,BU46,BW46,BY46,CA46)</f>
        <v/>
      </c>
      <c r="C46" s="33" t="inlineStr">
        <is>
          <t>KIRLOSIND</t>
        </is>
      </c>
      <c r="D46" s="33" t="inlineStr">
        <is>
          <t>Kirloskar Industries Limited</t>
        </is>
      </c>
      <c r="E46" s="31" t="inlineStr">
        <is>
          <t>financials</t>
        </is>
      </c>
      <c r="F46" s="31" t="inlineStr">
        <is>
          <t>finance &amp; investments</t>
        </is>
      </c>
      <c r="G46" s="31" t="inlineStr">
        <is>
          <t>smallcap</t>
        </is>
      </c>
      <c r="H46" s="32" t="n">
        <v>4114.52</v>
      </c>
      <c r="I46" s="32" t="n">
        <v>3943.4</v>
      </c>
      <c r="J46" s="32" t="n">
        <v>0.72</v>
      </c>
      <c r="K46" s="32" t="n">
        <v>11228</v>
      </c>
      <c r="L46" s="31" t="n">
        <v>32</v>
      </c>
      <c r="M46" s="31" t="inlineStr">
        <is>
          <t>Underperforming</t>
        </is>
      </c>
      <c r="N46" s="32">
        <f>IF(M46="Underperforming",-5,IF(L46&gt;=95,15,IF(L46&gt;=90,10,IF(L46&gt;=80,5,0))))</f>
        <v/>
      </c>
      <c r="O46" s="32" t="n">
        <v>66.53</v>
      </c>
      <c r="P46" s="32" t="n">
        <v>21.69</v>
      </c>
      <c r="Q46" s="32" t="n">
        <v>2908.29</v>
      </c>
      <c r="R46" s="31" t="inlineStr">
        <is>
          <t>Earnings / Momentum Support</t>
        </is>
      </c>
      <c r="S46" s="31" t="inlineStr">
        <is>
          <t>Nifty Bank</t>
        </is>
      </c>
      <c r="T46" s="32" t="n">
        <v>1.76</v>
      </c>
      <c r="U46" s="32" t="n">
        <v>-6.88</v>
      </c>
      <c r="V46" s="32" t="n">
        <v>-8.49</v>
      </c>
      <c r="W46" s="32" t="n">
        <v>9.369999999999999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Fragmented with High ROE</t>
        </is>
      </c>
      <c r="AA46" s="31">
        <f>IF(Z46="Fragmented with Low ROE",-5,IF(Z46="Fragmented with High ROE",10,IF(Z46= "highly cyclical",5,0)))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Consistency)",15,IF(AF46="Shallow Cyclical (2 to 3 years growth)",10,IF(AF46 = "Cyclical in an Uptick",5,IF(AF46 = "Cyclical in an Downtick",-10,0))))</f>
        <v/>
      </c>
      <c r="AH46" s="31" t="inlineStr">
        <is>
          <t>Yes</t>
        </is>
      </c>
      <c r="AI46" s="31">
        <f>IF(AH46="Yes",10,0)</f>
        <v/>
      </c>
      <c r="AJ46" s="31" t="inlineStr">
        <is>
          <t>Yes</t>
        </is>
      </c>
      <c r="AK46" s="31">
        <f>IF(AJ46="Yes",10,0)</f>
        <v/>
      </c>
      <c r="AL46" s="31" t="n"/>
      <c r="AM46" s="31">
        <f>IF(AL46="No",10,0)</f>
        <v/>
      </c>
      <c r="AN46" s="31" t="inlineStr">
        <is>
          <t>Yes</t>
        </is>
      </c>
      <c r="AO46" s="31">
        <f>IF(AN46="Yes",10,0)</f>
        <v/>
      </c>
      <c r="AP46" s="31" t="inlineStr">
        <is>
          <t>No</t>
        </is>
      </c>
      <c r="AQ46" s="31">
        <f>IF(AP46="Yes",10,0)</f>
        <v/>
      </c>
      <c r="AR46" s="31" t="inlineStr">
        <is>
          <t>Yes</t>
        </is>
      </c>
      <c r="AS46" s="31">
        <f>IF(AR46="Yes",5,0)</f>
        <v/>
      </c>
      <c r="AT46" s="31" t="inlineStr">
        <is>
          <t>No</t>
        </is>
      </c>
      <c r="AU46" s="31">
        <f>IF(AT46="No",10,IF(AT46="Yes",-10,0))</f>
        <v/>
      </c>
      <c r="AV46" s="31" t="inlineStr">
        <is>
          <t>No</t>
        </is>
      </c>
      <c r="AW46" s="31">
        <f>IF(AV46="No",10,0)</f>
        <v/>
      </c>
      <c r="AX46" s="31" t="inlineStr">
        <is>
          <t>No</t>
        </is>
      </c>
      <c r="AY46" s="31">
        <f>IF(AX46="No",10,IF(AX46= "Yes CEO Resignation",-5,0))</f>
        <v/>
      </c>
      <c r="AZ46" s="31" t="inlineStr">
        <is>
          <t>No</t>
        </is>
      </c>
      <c r="BA46" s="31">
        <f>IF(AZ46="No",10,IF(AZ46="Yes",-5,0))</f>
        <v/>
      </c>
      <c r="BB46" s="31" t="inlineStr">
        <is>
          <t>No</t>
        </is>
      </c>
      <c r="BC46" s="31">
        <f>IF(BB46="No",5,IF(BB46="Yes",-5,0))</f>
        <v/>
      </c>
      <c r="BD46" s="31" t="inlineStr">
        <is>
          <t>Yes</t>
        </is>
      </c>
      <c r="BE46" s="31">
        <f>IF(BD46="Yes",10,0)</f>
        <v/>
      </c>
      <c r="BF46" s="31" t="inlineStr">
        <is>
          <t>Yes</t>
        </is>
      </c>
      <c r="BG46" s="31">
        <f>IF(BF46="Yes",10,0)</f>
        <v/>
      </c>
      <c r="BH46" s="31" t="inlineStr">
        <is>
          <t>Yes</t>
        </is>
      </c>
      <c r="BI46" s="31">
        <f>IF(BH46="Yes",10,0)</f>
        <v/>
      </c>
      <c r="BJ46" s="31" t="inlineStr">
        <is>
          <t>P/BV less than 2.5x and Growth less than 20%</t>
        </is>
      </c>
      <c r="BK46" s="31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1" t="inlineStr">
        <is>
          <t>20 to 40</t>
        </is>
      </c>
      <c r="BM46" s="31">
        <f>IF(BL46="Above 40",20,IF(BL46="20 to 40",10,IF(BL46="0 to 20",-5,0)))</f>
        <v/>
      </c>
      <c r="BN46" s="31" t="inlineStr">
        <is>
          <t>Between 50 to 75</t>
        </is>
      </c>
      <c r="BO46" s="31">
        <f>IF(BN46="Between 50 to 75",10,IF(BN46="Above 75",0,0))</f>
        <v/>
      </c>
      <c r="BP46" s="31" t="inlineStr">
        <is>
          <t>Stage 2</t>
        </is>
      </c>
      <c r="BQ46" s="31">
        <f>IF(BP46="Stage 2",20,IF(BP46="Stage 1",0,IF(BP46="Stage 3",5,IF(BP46="Stage 4",-5,0))))</f>
        <v/>
      </c>
      <c r="BR46" s="31" t="inlineStr">
        <is>
          <t>Positive Trend</t>
        </is>
      </c>
      <c r="BS46" s="31">
        <f>IF(BR46="Positive Trend",20,IF(BR46="Negative Trend",-10,0))</f>
        <v/>
      </c>
      <c r="BT46" s="31" t="inlineStr">
        <is>
          <t>Uptrend</t>
        </is>
      </c>
      <c r="BU46" s="31">
        <f>IF(BT46="Uptrend",10,IF(BT46="Sideways",5,0))</f>
        <v/>
      </c>
      <c r="BV46" s="31" t="inlineStr">
        <is>
          <t>Uptrend</t>
        </is>
      </c>
      <c r="BW46" s="31">
        <f>IF(BV46="Uptrend",10,IF(BV46="Sideways",5,0))</f>
        <v/>
      </c>
      <c r="BX46" s="31" t="inlineStr">
        <is>
          <t>Close to 52 week high or retracement</t>
        </is>
      </c>
      <c r="BY46" s="31">
        <f>IF(BX46="Overhead supply in last 2 years in last 2 years",-5,IF(BX46="Close to 52 week high or retracement",5,IF(BX46="Blue sky scenario",10,IF(BX46="Long term Downtrend",-10,0))))</f>
        <v/>
      </c>
      <c r="BZ46" s="31" t="inlineStr">
        <is>
          <t>Yes</t>
        </is>
      </c>
      <c r="CA46" s="31">
        <f>IF(BZ46="Yes",10,0)</f>
        <v/>
      </c>
    </row>
    <row r="47">
      <c r="A47" s="31">
        <f>IF(B47=0,"",RANK(B47,$B$2:$B$67,0))</f>
        <v/>
      </c>
      <c r="B47" s="32">
        <f>SUM(N47,Y47,AA47,AC47,AE47,AG47,AI47,AK47,AM47,AO47,AQ47,AS47,AU47,AW47,AY47,BA47,BC47,BE47,BG47,BI47,BK47,BM47,BO47,BQ47,BS47,BU47,BW47,BY47,CA47)</f>
        <v/>
      </c>
      <c r="C47" s="33" t="inlineStr">
        <is>
          <t>LICI</t>
        </is>
      </c>
      <c r="D47" s="33" t="inlineStr">
        <is>
          <t>Life Insurance Corporation of India Ltd</t>
        </is>
      </c>
      <c r="E47" s="31" t="inlineStr">
        <is>
          <t>financials</t>
        </is>
      </c>
      <c r="F47" s="31" t="inlineStr">
        <is>
          <t>finance &amp; investments</t>
        </is>
      </c>
      <c r="G47" s="31" t="inlineStr">
        <is>
          <t>largecap</t>
        </is>
      </c>
      <c r="H47" s="32" t="n">
        <v>546037.05</v>
      </c>
      <c r="I47" s="32" t="n">
        <v>434.7</v>
      </c>
      <c r="J47" s="32" t="n">
        <v>0.71</v>
      </c>
      <c r="K47" s="32" t="n">
        <v>3542657</v>
      </c>
      <c r="L47" s="31" t="n">
        <v>10</v>
      </c>
      <c r="M47" s="31" t="inlineStr">
        <is>
          <t>Underperforming</t>
        </is>
      </c>
      <c r="N47" s="32">
        <f>IF(M47="Underperforming",-5,IF(L47&gt;=95,15,IF(L47&gt;=90,10,IF(L47&gt;=80,5,0))))</f>
        <v/>
      </c>
      <c r="O47" s="32" t="n">
        <v>58.53</v>
      </c>
      <c r="P47" s="32" t="n">
        <v>11.98</v>
      </c>
      <c r="Q47" s="32" t="n">
        <v>364.53</v>
      </c>
      <c r="R47" s="31" t="inlineStr">
        <is>
          <t>Near 52W High Breakout</t>
        </is>
      </c>
      <c r="S47" s="31" t="inlineStr">
        <is>
          <t>Nifty Bank</t>
        </is>
      </c>
      <c r="T47" s="32" t="n">
        <v>1.76</v>
      </c>
      <c r="U47" s="32" t="n">
        <v>-4.16</v>
      </c>
      <c r="V47" s="32" t="n">
        <v>-5.81</v>
      </c>
      <c r="W47" s="32" t="n">
        <v>4.03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Fragmented with High ROE</t>
        </is>
      </c>
      <c r="AA47" s="31">
        <f>IF(Z47="Fragmented with Low ROE",-5,IF(Z47="Fragmented with High ROE",10,IF(Z47= "highly cyclical",5,0)))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Consistency)",15,IF(AF47="Shallow Cyclical (2 to 3 years growth)",10,IF(AF47 = "Cyclical in an Uptick",5,IF(AF47 = "Cyclical in an Downtick",-10,0))))</f>
        <v/>
      </c>
      <c r="AH47" s="31" t="inlineStr">
        <is>
          <t>Yes</t>
        </is>
      </c>
      <c r="AI47" s="31">
        <f>IF(AH47="Yes",10,0)</f>
        <v/>
      </c>
      <c r="AJ47" s="31" t="inlineStr">
        <is>
          <t>Yes</t>
        </is>
      </c>
      <c r="AK47" s="31">
        <f>IF(AJ47="Yes",10,0)</f>
        <v/>
      </c>
      <c r="AL47" s="31" t="n"/>
      <c r="AM47" s="31">
        <f>IF(AL47="No",10,0)</f>
        <v/>
      </c>
      <c r="AN47" s="31" t="inlineStr">
        <is>
          <t>Yes</t>
        </is>
      </c>
      <c r="AO47" s="31">
        <f>IF(AN47="Yes",10,0)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Yes</t>
        </is>
      </c>
      <c r="AS47" s="31">
        <f>IF(AR47="Yes",5,0)</f>
        <v/>
      </c>
      <c r="AT47" s="31" t="inlineStr">
        <is>
          <t>No</t>
        </is>
      </c>
      <c r="AU47" s="31">
        <f>IF(AT47="No",10,IF(AT47="Yes",-10,0))</f>
        <v/>
      </c>
      <c r="AV47" s="31" t="inlineStr">
        <is>
          <t>No</t>
        </is>
      </c>
      <c r="AW47" s="31">
        <f>IF(AV47="No",10,0)</f>
        <v/>
      </c>
      <c r="AX47" s="31" t="inlineStr">
        <is>
          <t>No</t>
        </is>
      </c>
      <c r="AY47" s="31">
        <f>IF(AX47="No",10,IF(AX47= "Yes CEO Resignation",-5,0))</f>
        <v/>
      </c>
      <c r="AZ47" s="31" t="inlineStr">
        <is>
          <t>No</t>
        </is>
      </c>
      <c r="BA47" s="31">
        <f>IF(AZ47="No",10,IF(AZ47="Yes",-5,0))</f>
        <v/>
      </c>
      <c r="BB47" s="31" t="inlineStr">
        <is>
          <t>No</t>
        </is>
      </c>
      <c r="BC47" s="31">
        <f>IF(BB47="No",5,IF(BB47="Yes",-5,0))</f>
        <v/>
      </c>
      <c r="BD47" s="31" t="inlineStr">
        <is>
          <t>Yes</t>
        </is>
      </c>
      <c r="BE47" s="31">
        <f>IF(BD47="Yes",10,0)</f>
        <v/>
      </c>
      <c r="BF47" s="31" t="inlineStr">
        <is>
          <t>Yes</t>
        </is>
      </c>
      <c r="BG47" s="31">
        <f>IF(BF47="Yes",10,0)</f>
        <v/>
      </c>
      <c r="BH47" s="31" t="inlineStr">
        <is>
          <t>Yes</t>
        </is>
      </c>
      <c r="BI47" s="31">
        <f>IF(BH47="Yes",10,0)</f>
        <v/>
      </c>
      <c r="BJ47" s="31" t="inlineStr">
        <is>
          <t>P/BV between 2.5x to 5x and Growth more than 20%</t>
        </is>
      </c>
      <c r="BK47" s="31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1" t="inlineStr">
        <is>
          <t>0 to 20</t>
        </is>
      </c>
      <c r="BM47" s="31">
        <f>IF(BL47="Above 40",20,IF(BL47="20 to 40",10,IF(BL47="0 to 20",-5,0)))</f>
        <v/>
      </c>
      <c r="BN47" s="31" t="inlineStr">
        <is>
          <t>Between 50 to 75</t>
        </is>
      </c>
      <c r="BO47" s="31">
        <f>IF(BN47="Between 50 to 75",10,IF(BN47="Above 75",0,0))</f>
        <v/>
      </c>
      <c r="BP47" s="31" t="inlineStr">
        <is>
          <t>Stage 2</t>
        </is>
      </c>
      <c r="BQ47" s="31">
        <f>IF(BP47="Stage 2",20,IF(BP47="Stage 1",0,IF(BP47="Stage 3",5,IF(BP47="Stage 4",-5,0))))</f>
        <v/>
      </c>
      <c r="BR47" s="31" t="inlineStr">
        <is>
          <t>Positive Trend</t>
        </is>
      </c>
      <c r="BS47" s="31">
        <f>IF(BR47="Positive Trend",20,IF(BR47="Negative Trend",-10,0))</f>
        <v/>
      </c>
      <c r="BT47" s="31" t="inlineStr">
        <is>
          <t>Uptrend</t>
        </is>
      </c>
      <c r="BU47" s="31">
        <f>IF(BT47="Uptrend",10,IF(BT47="Sideways",5,0))</f>
        <v/>
      </c>
      <c r="BV47" s="31" t="inlineStr">
        <is>
          <t>Uptrend</t>
        </is>
      </c>
      <c r="BW47" s="31">
        <f>IF(BV47="Uptrend",10,IF(BV47="Sideways",5,0))</f>
        <v/>
      </c>
      <c r="BX47" s="31" t="inlineStr">
        <is>
          <t>Close to 52 week high or retracement</t>
        </is>
      </c>
      <c r="BY47" s="31">
        <f>IF(BX47="Overhead supply in last 2 years in last 2 years",-5,IF(BX47="Close to 52 week high or retracement",5,IF(BX47="Blue sky scenario",10,IF(BX47="Long term Downtrend",-10,0))))</f>
        <v/>
      </c>
      <c r="BZ47" s="31" t="inlineStr">
        <is>
          <t>Yes</t>
        </is>
      </c>
      <c r="CA47" s="31">
        <f>IF(BZ47="Yes",10,0)</f>
        <v/>
      </c>
    </row>
    <row r="48">
      <c r="A48" s="31">
        <f>IF(B48=0,"",RANK(B48,$B$2:$B$67,0))</f>
        <v/>
      </c>
      <c r="B48" s="32">
        <f>SUM(N48,Y48,AA48,AC48,AE48,AG48,AI48,AK48,AM48,AO48,AQ48,AS48,AU48,AW48,AY48,BA48,BC48,BE48,BG48,BI48,BK48,BM48,BO48,BQ48,BS48,BU48,BW48,BY48,CA48)</f>
        <v/>
      </c>
      <c r="C48" s="31" t="inlineStr">
        <is>
          <t>HDFCAMC</t>
        </is>
      </c>
      <c r="D48" s="31" t="inlineStr">
        <is>
          <t>HDFC Asset Management Company Ltd</t>
        </is>
      </c>
      <c r="E48" s="31" t="inlineStr">
        <is>
          <t>financials</t>
        </is>
      </c>
      <c r="F48" s="31" t="inlineStr">
        <is>
          <t>finance &amp; investments</t>
        </is>
      </c>
      <c r="G48" s="31" t="inlineStr">
        <is>
          <t>largecap</t>
        </is>
      </c>
      <c r="H48" s="32" t="n">
        <v>113663.14</v>
      </c>
      <c r="I48" s="32" t="n">
        <v>2745.8</v>
      </c>
      <c r="J48" s="32" t="n">
        <v>3.49</v>
      </c>
      <c r="K48" s="32" t="n">
        <v>1139695</v>
      </c>
      <c r="L48" s="31" t="n">
        <v>22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56.02</v>
      </c>
      <c r="P48" s="32" t="n">
        <v>11.68</v>
      </c>
      <c r="Q48" s="32" t="n">
        <v>2269.69</v>
      </c>
      <c r="R48" s="31" t="inlineStr">
        <is>
          <t>Near 52W High Breakout</t>
        </is>
      </c>
      <c r="S48" s="31" t="inlineStr">
        <is>
          <t>Nifty Bank</t>
        </is>
      </c>
      <c r="T48" s="32" t="n">
        <v>1.76</v>
      </c>
      <c r="U48" s="32" t="n">
        <v>11.49</v>
      </c>
      <c r="V48" s="32" t="n">
        <v>9.56</v>
      </c>
      <c r="W48" s="32" t="n">
        <v>6.69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Fragmented with High ROE</t>
        </is>
      </c>
      <c r="AA48" s="31">
        <f>IF(Z48="Fragmented with Low ROE",-5,IF(Z48="Fragmented with High ROE",10,IF(Z48= "highly cyclical",5,0)))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Consistency)",15,IF(AF48="Shallow Cyclical (2 to 3 years growth)",10,IF(AF48 = "Cyclical in an Uptick",5,IF(AF48 = "Cyclical in an Downtick",-10,0))))</f>
        <v/>
      </c>
      <c r="AH48" s="31" t="inlineStr">
        <is>
          <t>Yes</t>
        </is>
      </c>
      <c r="AI48" s="31">
        <f>IF(AH48="Yes",10,0)</f>
        <v/>
      </c>
      <c r="AJ48" s="31" t="inlineStr">
        <is>
          <t>Yes</t>
        </is>
      </c>
      <c r="AK48" s="31">
        <f>IF(AJ48="Yes",10,0)</f>
        <v/>
      </c>
      <c r="AL48" s="31" t="n"/>
      <c r="AM48" s="31">
        <f>IF(AL48="No",10,0)</f>
        <v/>
      </c>
      <c r="AN48" s="31" t="inlineStr">
        <is>
          <t>Yes</t>
        </is>
      </c>
      <c r="AO48" s="31">
        <f>IF(AN48="Yes",10,0)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Yes</t>
        </is>
      </c>
      <c r="AS48" s="31">
        <f>IF(AR48="Yes",5,0)</f>
        <v/>
      </c>
      <c r="AT48" s="31" t="inlineStr">
        <is>
          <t>No</t>
        </is>
      </c>
      <c r="AU48" s="31">
        <f>IF(AT48="No",10,IF(AT48="Yes",-10,0))</f>
        <v/>
      </c>
      <c r="AV48" s="31" t="inlineStr">
        <is>
          <t>No</t>
        </is>
      </c>
      <c r="AW48" s="31">
        <f>IF(AV48="No",10,0)</f>
        <v/>
      </c>
      <c r="AX48" s="31" t="inlineStr">
        <is>
          <t>No</t>
        </is>
      </c>
      <c r="AY48" s="31">
        <f>IF(AX48="No",10,IF(AX48= "Yes CEO Resignation",-5,0))</f>
        <v/>
      </c>
      <c r="AZ48" s="31" t="inlineStr">
        <is>
          <t>No</t>
        </is>
      </c>
      <c r="BA48" s="31">
        <f>IF(AZ48="No",10,IF(AZ48="Yes",-5,0))</f>
        <v/>
      </c>
      <c r="BB48" s="31" t="inlineStr">
        <is>
          <t>No</t>
        </is>
      </c>
      <c r="BC48" s="31">
        <f>IF(BB48="No",5,IF(BB48="Yes",-5,0))</f>
        <v/>
      </c>
      <c r="BD48" s="31" t="inlineStr">
        <is>
          <t>Yes</t>
        </is>
      </c>
      <c r="BE48" s="31">
        <f>IF(BD48="Yes",10,0)</f>
        <v/>
      </c>
      <c r="BF48" s="31" t="inlineStr">
        <is>
          <t>Yes</t>
        </is>
      </c>
      <c r="BG48" s="31">
        <f>IF(BF48="Yes",10,0)</f>
        <v/>
      </c>
      <c r="BH48" s="31" t="inlineStr">
        <is>
          <t>Yes</t>
        </is>
      </c>
      <c r="BI48" s="31">
        <f>IF(BH48="Yes",10,0)</f>
        <v/>
      </c>
      <c r="BJ48" s="31" t="inlineStr">
        <is>
          <t>P/BV above 5x</t>
        </is>
      </c>
      <c r="BK48" s="31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1" t="inlineStr">
        <is>
          <t>0 to 20</t>
        </is>
      </c>
      <c r="BM48" s="31">
        <f>IF(BL48="Above 40",20,IF(BL48="20 to 40",10,IF(BL48="0 to 20",-5,0)))</f>
        <v/>
      </c>
      <c r="BN48" s="31" t="inlineStr">
        <is>
          <t>Between 50 to 75</t>
        </is>
      </c>
      <c r="BO48" s="31">
        <f>IF(BN48="Between 50 to 75",10,IF(BN48="Above 75",0,0))</f>
        <v/>
      </c>
      <c r="BP48" s="31" t="inlineStr">
        <is>
          <t>Stage 2</t>
        </is>
      </c>
      <c r="BQ48" s="31">
        <f>IF(BP48="Stage 2",20,IF(BP48="Stage 1",0,IF(BP48="Stage 3",5,IF(BP48="Stage 4",-5,0))))</f>
        <v/>
      </c>
      <c r="BR48" s="31" t="inlineStr">
        <is>
          <t>Positive Trend</t>
        </is>
      </c>
      <c r="BS48" s="31">
        <f>IF(BR48="Positive Trend",20,IF(BR48="Negative Trend",-10,0))</f>
        <v/>
      </c>
      <c r="BT48" s="31" t="inlineStr">
        <is>
          <t>Uptrend</t>
        </is>
      </c>
      <c r="BU48" s="31">
        <f>IF(BT48="Uptrend",10,IF(BT48="Sideways",5,0))</f>
        <v/>
      </c>
      <c r="BV48" s="31" t="inlineStr">
        <is>
          <t>Uptrend</t>
        </is>
      </c>
      <c r="BW48" s="31">
        <f>IF(BV48="Uptrend",10,IF(BV48="Sideways",5,0))</f>
        <v/>
      </c>
      <c r="BX48" s="31" t="inlineStr">
        <is>
          <t>Blue sky scenario</t>
        </is>
      </c>
      <c r="BY48" s="31">
        <f>IF(BX48="Overhead supply in last 2 years in last 2 years",-5,IF(BX48="Close to 52 week high or retracement",5,IF(BX48="Blue sky scenario",10,IF(BX48="Long term Downtrend",-10,0))))</f>
        <v/>
      </c>
      <c r="BZ48" s="31" t="inlineStr">
        <is>
          <t>Yes</t>
        </is>
      </c>
      <c r="CA48" s="31">
        <f>IF(BZ48="Yes",10,0)</f>
        <v/>
      </c>
    </row>
    <row r="49">
      <c r="A49" s="31">
        <f>IF(B49=0,"",RANK(B49,$B$2:$B$67,0))</f>
        <v/>
      </c>
      <c r="B49" s="32">
        <f>SUM(N49,Y49,AA49,AC49,AE49,AG49,AI49,AK49,AM49,AO49,AQ49,AS49,AU49,AW49,AY49,BA49,BC49,BE49,BG49,BI49,BK49,BM49,BO49,BQ49,BS49,BU49,BW49,BY49,CA49)</f>
        <v/>
      </c>
      <c r="C49" s="33" t="inlineStr">
        <is>
          <t>RECLTD</t>
        </is>
      </c>
      <c r="D49" s="33" t="inlineStr">
        <is>
          <t>REC Ltd</t>
        </is>
      </c>
      <c r="E49" s="31" t="inlineStr">
        <is>
          <t>financials</t>
        </is>
      </c>
      <c r="F49" s="31" t="inlineStr">
        <is>
          <t>finance - term-lending institutions</t>
        </is>
      </c>
      <c r="G49" s="31" t="inlineStr">
        <is>
          <t>largecap</t>
        </is>
      </c>
      <c r="H49" s="32" t="n">
        <v>95796.69</v>
      </c>
      <c r="I49" s="32" t="n">
        <v>370.1</v>
      </c>
      <c r="J49" s="32" t="n">
        <v>1.73</v>
      </c>
      <c r="K49" s="32" t="n">
        <v>7320424</v>
      </c>
      <c r="L49" s="31" t="n">
        <v>7</v>
      </c>
      <c r="M49" s="31" t="inlineStr">
        <is>
          <t>Underperforming</t>
        </is>
      </c>
      <c r="N49" s="32">
        <f>IF(M49="Underperforming",-5,IF(L49&gt;=95,15,IF(L49&gt;=90,10,IF(L49&gt;=80,5,0))))</f>
        <v/>
      </c>
      <c r="O49" s="32" t="n">
        <v>57.85</v>
      </c>
      <c r="P49" s="32" t="n">
        <v>11.07</v>
      </c>
      <c r="Q49" s="32" t="n">
        <v>312.73</v>
      </c>
      <c r="R49" s="31" t="inlineStr">
        <is>
          <t>Near 52W High Breakout</t>
        </is>
      </c>
      <c r="S49" s="31" t="inlineStr">
        <is>
          <t>Nifty Bank</t>
        </is>
      </c>
      <c r="T49" s="32" t="n">
        <v>1.76</v>
      </c>
      <c r="U49" s="32" t="n">
        <v>-0.9</v>
      </c>
      <c r="V49" s="32" t="n">
        <v>-2.61</v>
      </c>
      <c r="W49" s="32" t="n">
        <v>2.97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Fragmented with High ROE</t>
        </is>
      </c>
      <c r="AA49" s="31">
        <f>IF(Z49="Fragmented with Low ROE",-5,IF(Z49="Fragmented with High ROE",10,IF(Z49= "highly cyclical",5,0)))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Consistency)",15,IF(AF49="Shallow Cyclical (2 to 3 years growth)",10,IF(AF49 = "Cyclical in an Uptick",5,IF(AF49 = "Cyclical in an Downtick",-10,0))))</f>
        <v/>
      </c>
      <c r="AH49" s="31" t="inlineStr">
        <is>
          <t>Yes</t>
        </is>
      </c>
      <c r="AI49" s="31">
        <f>IF(AH49="Yes",10,0)</f>
        <v/>
      </c>
      <c r="AJ49" s="31" t="inlineStr">
        <is>
          <t>Yes</t>
        </is>
      </c>
      <c r="AK49" s="31">
        <f>IF(AJ49="Yes",10,0)</f>
        <v/>
      </c>
      <c r="AL49" s="31" t="n"/>
      <c r="AM49" s="31">
        <f>IF(AL49="No",10,0)</f>
        <v/>
      </c>
      <c r="AN49" s="31" t="inlineStr">
        <is>
          <t>Yes</t>
        </is>
      </c>
      <c r="AO49" s="31">
        <f>IF(AN49="Yes",10,0)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Yes</t>
        </is>
      </c>
      <c r="AS49" s="31">
        <f>IF(AR49="Yes",5,0)</f>
        <v/>
      </c>
      <c r="AT49" s="31" t="inlineStr">
        <is>
          <t>No</t>
        </is>
      </c>
      <c r="AU49" s="31">
        <f>IF(AT49="No",10,IF(AT49="Yes",-10,0))</f>
        <v/>
      </c>
      <c r="AV49" s="31" t="inlineStr">
        <is>
          <t>No</t>
        </is>
      </c>
      <c r="AW49" s="31">
        <f>IF(AV49="No",10,0)</f>
        <v/>
      </c>
      <c r="AX49" s="31" t="inlineStr">
        <is>
          <t>No</t>
        </is>
      </c>
      <c r="AY49" s="31">
        <f>IF(AX49="No",10,IF(AX49= "Yes CEO Resignation",-5,0))</f>
        <v/>
      </c>
      <c r="AZ49" s="31" t="inlineStr">
        <is>
          <t>No</t>
        </is>
      </c>
      <c r="BA49" s="31">
        <f>IF(AZ49="No",10,IF(AZ49="Yes",-5,0))</f>
        <v/>
      </c>
      <c r="BB49" s="31" t="inlineStr">
        <is>
          <t>No</t>
        </is>
      </c>
      <c r="BC49" s="31">
        <f>IF(BB49="No",5,IF(BB49="Yes",-5,0))</f>
        <v/>
      </c>
      <c r="BD49" s="31" t="inlineStr">
        <is>
          <t>Yes</t>
        </is>
      </c>
      <c r="BE49" s="31">
        <f>IF(BD49="Yes",10,0)</f>
        <v/>
      </c>
      <c r="BF49" s="31" t="inlineStr">
        <is>
          <t>Yes</t>
        </is>
      </c>
      <c r="BG49" s="31">
        <f>IF(BF49="Yes",10,0)</f>
        <v/>
      </c>
      <c r="BH49" s="31" t="inlineStr">
        <is>
          <t>Yes</t>
        </is>
      </c>
      <c r="BI49" s="31">
        <f>IF(BH49="Yes",10,0)</f>
        <v/>
      </c>
      <c r="BJ49" s="31" t="inlineStr">
        <is>
          <t>P/BV less than 2.5x and Growth less than 20%</t>
        </is>
      </c>
      <c r="BK49" s="31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1" t="inlineStr">
        <is>
          <t>0 to 20</t>
        </is>
      </c>
      <c r="BM49" s="31">
        <f>IF(BL49="Above 40",20,IF(BL49="20 to 40",10,IF(BL49="0 to 20",-5,0)))</f>
        <v/>
      </c>
      <c r="BN49" s="31" t="inlineStr">
        <is>
          <t>Between 50 to 75</t>
        </is>
      </c>
      <c r="BO49" s="31">
        <f>IF(BN49="Between 50 to 75",10,IF(BN49="Above 75",0,0))</f>
        <v/>
      </c>
      <c r="BP49" s="31" t="inlineStr">
        <is>
          <t>Stage 2</t>
        </is>
      </c>
      <c r="BQ49" s="31">
        <f>IF(BP49="Stage 2",20,IF(BP49="Stage 1",0,IF(BP49="Stage 3",5,IF(BP49="Stage 4",-5,0))))</f>
        <v/>
      </c>
      <c r="BR49" s="31" t="inlineStr">
        <is>
          <t>Positive Trend</t>
        </is>
      </c>
      <c r="BS49" s="31">
        <f>IF(BR49="Positive Trend",20,IF(BR49="Negative Trend",-10,0))</f>
        <v/>
      </c>
      <c r="BT49" s="31" t="inlineStr">
        <is>
          <t>Uptrend</t>
        </is>
      </c>
      <c r="BU49" s="31">
        <f>IF(BT49="Uptrend",10,IF(BT49="Sideways",5,0))</f>
        <v/>
      </c>
      <c r="BV49" s="31" t="inlineStr">
        <is>
          <t>Uptrend</t>
        </is>
      </c>
      <c r="BW49" s="31">
        <f>IF(BV49="Uptrend",10,IF(BV49="Sideways",5,0))</f>
        <v/>
      </c>
      <c r="BX49" s="31" t="inlineStr">
        <is>
          <t>Close to 52 week high or retracement</t>
        </is>
      </c>
      <c r="BY49" s="31">
        <f>IF(BX49="Overhead supply in last 2 years in last 2 years",-5,IF(BX49="Close to 52 week high or retracement",5,IF(BX49="Blue sky scenario",10,IF(BX49="Long term Downtrend",-10,0))))</f>
        <v/>
      </c>
      <c r="BZ49" s="31" t="inlineStr">
        <is>
          <t>Yes</t>
        </is>
      </c>
      <c r="CA49" s="31">
        <f>IF(BZ49="Yes",10,0)</f>
        <v/>
      </c>
    </row>
    <row r="50">
      <c r="A50" s="31">
        <f>IF(B50=0,"",RANK(B50,$B$2:$B$67,0))</f>
        <v/>
      </c>
      <c r="B50" s="32">
        <f>SUM(N50,Y50,AA50,AC50,AE50,AG50,AI50,AK50,AM50,AO50,AQ50,AS50,AU50,AW50,AY50,BA50,BC50,BE50,BG50,BI50,BK50,BM50,BO50,BQ50,BS50,BU50,BW50,BY50,CA50)</f>
        <v/>
      </c>
      <c r="C50" s="33" t="inlineStr">
        <is>
          <t>REPCOHOME</t>
        </is>
      </c>
      <c r="D50" s="33" t="inlineStr">
        <is>
          <t>Repco Home Finance Limited</t>
        </is>
      </c>
      <c r="E50" s="31" t="inlineStr">
        <is>
          <t>financials</t>
        </is>
      </c>
      <c r="F50" s="31" t="inlineStr">
        <is>
          <t>finance - housing</t>
        </is>
      </c>
      <c r="G50" s="31" t="inlineStr">
        <is>
          <t>smallcap</t>
        </is>
      </c>
      <c r="H50" s="32" t="n">
        <v>2613.5</v>
      </c>
      <c r="I50" s="32" t="n">
        <v>424.9</v>
      </c>
      <c r="J50" s="32" t="n">
        <v>1.71</v>
      </c>
      <c r="K50" s="32" t="n">
        <v>125444</v>
      </c>
      <c r="L50" s="31" t="n">
        <v>13</v>
      </c>
      <c r="M50" s="31" t="inlineStr">
        <is>
          <t>Underperforming</t>
        </is>
      </c>
      <c r="N50" s="32">
        <f>IF(M50="Underperforming",-5,IF(L50&gt;=95,15,IF(L50&gt;=90,10,IF(L50&gt;=80,5,0))))</f>
        <v/>
      </c>
      <c r="O50" s="32" t="n">
        <v>60.46</v>
      </c>
      <c r="P50" s="32" t="n">
        <v>10.63</v>
      </c>
      <c r="Q50" s="32" t="n">
        <v>340.44</v>
      </c>
      <c r="R50" s="31" t="inlineStr">
        <is>
          <t>Near 52W High Breakout</t>
        </is>
      </c>
      <c r="S50" s="31" t="inlineStr">
        <is>
          <t>Nifty Bank</t>
        </is>
      </c>
      <c r="T50" s="32" t="n">
        <v>1.76</v>
      </c>
      <c r="U50" s="32" t="n">
        <v>1</v>
      </c>
      <c r="V50" s="32" t="n">
        <v>-0.74</v>
      </c>
      <c r="W50" s="32" t="n">
        <v>4.64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Fragmented with High ROE</t>
        </is>
      </c>
      <c r="AA50" s="31">
        <f>IF(Z50="Fragmented with Low ROE",-5,IF(Z50="Fragmented with High ROE",10,IF(Z50= "highly cyclical",5,0)))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Consistency)",15,IF(AF50="Shallow Cyclical (2 to 3 years growth)",10,IF(AF50 = "Cyclical in an Uptick",5,IF(AF50 = "Cyclical in an Downtick",-10,0))))</f>
        <v/>
      </c>
      <c r="AH50" s="31" t="inlineStr">
        <is>
          <t>Yes</t>
        </is>
      </c>
      <c r="AI50" s="31">
        <f>IF(AH50="Yes",10,0)</f>
        <v/>
      </c>
      <c r="AJ50" s="31" t="inlineStr">
        <is>
          <t>Yes</t>
        </is>
      </c>
      <c r="AK50" s="31">
        <f>IF(AJ50="Yes",10,0)</f>
        <v/>
      </c>
      <c r="AL50" s="31" t="n"/>
      <c r="AM50" s="31">
        <f>IF(AL50="No",10,0)</f>
        <v/>
      </c>
      <c r="AN50" s="31" t="inlineStr">
        <is>
          <t>Yes</t>
        </is>
      </c>
      <c r="AO50" s="31">
        <f>IF(AN50="Yes",10,0)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Yes</t>
        </is>
      </c>
      <c r="AS50" s="31">
        <f>IF(AR50="Yes",5,0)</f>
        <v/>
      </c>
      <c r="AT50" s="31" t="inlineStr">
        <is>
          <t>No</t>
        </is>
      </c>
      <c r="AU50" s="31">
        <f>IF(AT50="No",10,IF(AT50="Yes",-10,0))</f>
        <v/>
      </c>
      <c r="AV50" s="31" t="inlineStr">
        <is>
          <t>No</t>
        </is>
      </c>
      <c r="AW50" s="31">
        <f>IF(AV50="No",10,0)</f>
        <v/>
      </c>
      <c r="AX50" s="31" t="inlineStr">
        <is>
          <t>No</t>
        </is>
      </c>
      <c r="AY50" s="31">
        <f>IF(AX50="No",10,IF(AX50= "Yes CEO Resignation",-5,0))</f>
        <v/>
      </c>
      <c r="AZ50" s="31" t="inlineStr">
        <is>
          <t>No</t>
        </is>
      </c>
      <c r="BA50" s="31">
        <f>IF(AZ50="No",10,IF(AZ50="Yes",-5,0))</f>
        <v/>
      </c>
      <c r="BB50" s="31" t="inlineStr">
        <is>
          <t>No</t>
        </is>
      </c>
      <c r="BC50" s="31">
        <f>IF(BB50="No",5,IF(BB50="Yes",-5,0))</f>
        <v/>
      </c>
      <c r="BD50" s="31" t="inlineStr">
        <is>
          <t>Yes</t>
        </is>
      </c>
      <c r="BE50" s="31">
        <f>IF(BD50="Yes",10,0)</f>
        <v/>
      </c>
      <c r="BF50" s="31" t="inlineStr">
        <is>
          <t>Yes</t>
        </is>
      </c>
      <c r="BG50" s="31">
        <f>IF(BF50="Yes",10,0)</f>
        <v/>
      </c>
      <c r="BH50" s="31" t="inlineStr">
        <is>
          <t>Yes</t>
        </is>
      </c>
      <c r="BI50" s="31">
        <f>IF(BH50="Yes",10,0)</f>
        <v/>
      </c>
      <c r="BJ50" s="31" t="inlineStr">
        <is>
          <t>P/BV less than 2.5x and Growth less than 20%</t>
        </is>
      </c>
      <c r="BK50" s="31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1" t="inlineStr">
        <is>
          <t>0 to 20</t>
        </is>
      </c>
      <c r="BM50" s="31">
        <f>IF(BL50="Above 40",20,IF(BL50="20 to 40",10,IF(BL50="0 to 20",-5,0)))</f>
        <v/>
      </c>
      <c r="BN50" s="31" t="inlineStr">
        <is>
          <t>Between 50 to 75</t>
        </is>
      </c>
      <c r="BO50" s="31">
        <f>IF(BN50="Between 50 to 75",10,IF(BN50="Above 75",0,0))</f>
        <v/>
      </c>
      <c r="BP50" s="31" t="inlineStr">
        <is>
          <t>Stage 2</t>
        </is>
      </c>
      <c r="BQ50" s="31">
        <f>IF(BP50="Stage 2",20,IF(BP50="Stage 1",0,IF(BP50="Stage 3",5,IF(BP50="Stage 4",-5,0))))</f>
        <v/>
      </c>
      <c r="BR50" s="31" t="inlineStr">
        <is>
          <t>Positive Trend</t>
        </is>
      </c>
      <c r="BS50" s="31">
        <f>IF(BR50="Positive Trend",20,IF(BR50="Negative Trend",-10,0))</f>
        <v/>
      </c>
      <c r="BT50" s="31" t="inlineStr">
        <is>
          <t>Uptrend</t>
        </is>
      </c>
      <c r="BU50" s="31">
        <f>IF(BT50="Uptrend",10,IF(BT50="Sideways",5,0))</f>
        <v/>
      </c>
      <c r="BV50" s="31" t="inlineStr">
        <is>
          <t>Uptrend</t>
        </is>
      </c>
      <c r="BW50" s="31">
        <f>IF(BV50="Uptrend",10,IF(BV50="Sideways",5,0))</f>
        <v/>
      </c>
      <c r="BX50" s="31" t="inlineStr">
        <is>
          <t>Close to 52 week high or retracement</t>
        </is>
      </c>
      <c r="BY50" s="31">
        <f>IF(BX50="Overhead supply in last 2 years in last 2 years",-5,IF(BX50="Close to 52 week high or retracement",5,IF(BX50="Blue sky scenario",10,IF(BX50="Long term Downtrend",-10,0))))</f>
        <v/>
      </c>
      <c r="BZ50" s="31" t="inlineStr">
        <is>
          <t>Yes</t>
        </is>
      </c>
      <c r="CA50" s="31">
        <f>IF(BZ50="Yes",10,0)</f>
        <v/>
      </c>
    </row>
    <row r="51">
      <c r="A51" s="31">
        <f>IF(B51=0,"",RANK(B51,$B$2:$B$67,0))</f>
        <v/>
      </c>
      <c r="B51" s="32">
        <f>SUM(N51,Y51,AA51,AC51,AE51,AG51,AI51,AK51,AM51,AO51,AQ51,AS51,AU51,AW51,AY51,BA51,BC51,BE51,BG51,BI51,BK51,BM51,BO51,BQ51,BS51,BU51,BW51,BY51,CA51)</f>
        <v/>
      </c>
      <c r="C51" s="33" t="inlineStr">
        <is>
          <t>GEOJITFSL</t>
        </is>
      </c>
      <c r="D51" s="33" t="inlineStr">
        <is>
          <t>Geojit Financial Services Ltd</t>
        </is>
      </c>
      <c r="E51" s="31" t="inlineStr">
        <is>
          <t>financials</t>
        </is>
      </c>
      <c r="F51" s="31" t="inlineStr">
        <is>
          <t>finance &amp; investments</t>
        </is>
      </c>
      <c r="G51" s="31" t="inlineStr">
        <is>
          <t>smallcap</t>
        </is>
      </c>
      <c r="H51" s="32" t="n">
        <v>2166.83</v>
      </c>
      <c r="I51" s="32" t="n">
        <v>78.31</v>
      </c>
      <c r="J51" s="32" t="n">
        <v>0.88</v>
      </c>
      <c r="K51" s="32" t="n">
        <v>302465</v>
      </c>
      <c r="L51" s="31" t="n">
        <v>24</v>
      </c>
      <c r="M51" s="31" t="inlineStr">
        <is>
          <t>Underperforming</t>
        </is>
      </c>
      <c r="N51" s="32">
        <f>IF(M51="Underperforming",-5,IF(L51&gt;=95,15,IF(L51&gt;=90,10,IF(L51&gt;=80,5,0))))</f>
        <v/>
      </c>
      <c r="O51" s="32" t="n">
        <v>60.56</v>
      </c>
      <c r="P51" s="32" t="n">
        <v>14.74</v>
      </c>
      <c r="Q51" s="32" t="n">
        <v>62.07</v>
      </c>
      <c r="R51" s="31" t="inlineStr">
        <is>
          <t>Near 52W High Breakout</t>
        </is>
      </c>
      <c r="S51" s="31" t="inlineStr">
        <is>
          <t>Nifty Bank</t>
        </is>
      </c>
      <c r="T51" s="32" t="n">
        <v>1.76</v>
      </c>
      <c r="U51" s="32" t="n">
        <v>-7.26</v>
      </c>
      <c r="V51" s="32" t="n">
        <v>-8.859999999999999</v>
      </c>
      <c r="W51" s="32" t="n">
        <v>7.45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Fragmented with High ROE</t>
        </is>
      </c>
      <c r="AA51" s="31">
        <f>IF(Z51="Fragmented with Low ROE",-5,IF(Z51="Fragmented with High ROE",10,IF(Z51= "highly cyclical",5,0)))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Consistency)",15,IF(AF51="Shallow Cyclical (2 to 3 years growth)",10,IF(AF51 = "Cyclical in an Uptick",5,IF(AF51 = "Cyclical in an Downtick",-10,0))))</f>
        <v/>
      </c>
      <c r="AH51" s="31" t="inlineStr">
        <is>
          <t>Yes</t>
        </is>
      </c>
      <c r="AI51" s="31">
        <f>IF(AH51="Yes",10,0)</f>
        <v/>
      </c>
      <c r="AJ51" s="31" t="inlineStr">
        <is>
          <t>Yes</t>
        </is>
      </c>
      <c r="AK51" s="31">
        <f>IF(AJ51="Yes",10,0)</f>
        <v/>
      </c>
      <c r="AL51" s="31" t="n"/>
      <c r="AM51" s="31">
        <f>IF(AL51="No",10,0)</f>
        <v/>
      </c>
      <c r="AN51" s="31" t="inlineStr">
        <is>
          <t>Yes</t>
        </is>
      </c>
      <c r="AO51" s="31">
        <f>IF(AN51="Yes",10,0)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Yes</t>
        </is>
      </c>
      <c r="AS51" s="31">
        <f>IF(AR51="Yes",5,0)</f>
        <v/>
      </c>
      <c r="AT51" s="31" t="inlineStr">
        <is>
          <t>No</t>
        </is>
      </c>
      <c r="AU51" s="31">
        <f>IF(AT51="No",10,IF(AT51="Yes",-10,0))</f>
        <v/>
      </c>
      <c r="AV51" s="31" t="inlineStr">
        <is>
          <t>No</t>
        </is>
      </c>
      <c r="AW51" s="31">
        <f>IF(AV51="No",10,0)</f>
        <v/>
      </c>
      <c r="AX51" s="31" t="inlineStr">
        <is>
          <t>No</t>
        </is>
      </c>
      <c r="AY51" s="31">
        <f>IF(AX51="No",10,IF(AX51= "Yes CEO Resignation",-5,0))</f>
        <v/>
      </c>
      <c r="AZ51" s="31" t="inlineStr">
        <is>
          <t>No</t>
        </is>
      </c>
      <c r="BA51" s="31">
        <f>IF(AZ51="No",10,IF(AZ51="Yes",-5,0))</f>
        <v/>
      </c>
      <c r="BB51" s="31" t="inlineStr">
        <is>
          <t>No</t>
        </is>
      </c>
      <c r="BC51" s="31">
        <f>IF(BB51="No",5,IF(BB51="Yes",-5,0))</f>
        <v/>
      </c>
      <c r="BD51" s="31" t="inlineStr">
        <is>
          <t>Yes</t>
        </is>
      </c>
      <c r="BE51" s="31">
        <f>IF(BD51="Yes",10,0)</f>
        <v/>
      </c>
      <c r="BF51" s="31" t="inlineStr">
        <is>
          <t>Yes</t>
        </is>
      </c>
      <c r="BG51" s="31">
        <f>IF(BF51="Yes",10,0)</f>
        <v/>
      </c>
      <c r="BH51" s="31" t="inlineStr">
        <is>
          <t>Yes</t>
        </is>
      </c>
      <c r="BI51" s="31">
        <f>IF(BH51="Yes",10,0)</f>
        <v/>
      </c>
      <c r="BJ51" s="31" t="inlineStr">
        <is>
          <t>P/BV less than 2.5x and Growth less than 20%</t>
        </is>
      </c>
      <c r="BK51" s="31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1" t="inlineStr">
        <is>
          <t>0 to 20</t>
        </is>
      </c>
      <c r="BM51" s="31">
        <f>IF(BL51="Above 40",20,IF(BL51="20 to 40",10,IF(BL51="0 to 20",-5,0)))</f>
        <v/>
      </c>
      <c r="BN51" s="31" t="inlineStr">
        <is>
          <t>Between 50 to 75</t>
        </is>
      </c>
      <c r="BO51" s="31">
        <f>IF(BN51="Between 50 to 75",10,IF(BN51="Above 75",0,0))</f>
        <v/>
      </c>
      <c r="BP51" s="31" t="inlineStr">
        <is>
          <t>Stage 2</t>
        </is>
      </c>
      <c r="BQ51" s="31">
        <f>IF(BP51="Stage 2",20,IF(BP51="Stage 1",0,IF(BP51="Stage 3",5,IF(BP51="Stage 4",-5,0))))</f>
        <v/>
      </c>
      <c r="BR51" s="31" t="inlineStr">
        <is>
          <t>Positive Trend</t>
        </is>
      </c>
      <c r="BS51" s="31">
        <f>IF(BR51="Positive Trend",20,IF(BR51="Negative Trend",-10,0))</f>
        <v/>
      </c>
      <c r="BT51" s="31" t="inlineStr">
        <is>
          <t>Uptrend</t>
        </is>
      </c>
      <c r="BU51" s="31">
        <f>IF(BT51="Uptrend",10,IF(BT51="Sideways",5,0))</f>
        <v/>
      </c>
      <c r="BV51" s="31" t="inlineStr">
        <is>
          <t>Uptrend</t>
        </is>
      </c>
      <c r="BW51" s="31">
        <f>IF(BV51="Uptrend",10,IF(BV51="Sideways",5,0))</f>
        <v/>
      </c>
      <c r="BX51" s="31" t="inlineStr">
        <is>
          <t>Close to 52 week high or retracement</t>
        </is>
      </c>
      <c r="BY51" s="31">
        <f>IF(BX51="Overhead supply in last 2 years in last 2 years",-5,IF(BX51="Close to 52 week high or retracement",5,IF(BX51="Blue sky scenario",10,IF(BX51="Long term Downtrend",-10,0))))</f>
        <v/>
      </c>
      <c r="BZ51" s="31" t="inlineStr">
        <is>
          <t>Yes</t>
        </is>
      </c>
      <c r="CA51" s="31">
        <f>IF(BZ51="Yes",10,0)</f>
        <v/>
      </c>
    </row>
    <row r="52">
      <c r="A52" s="31">
        <f>IF(B52=0,"",RANK(B52,$B$2:$B$67,0))</f>
        <v/>
      </c>
      <c r="B52" s="32">
        <f>SUM(N52,Y52,AA52,AC52,AE52,AG52,AI52,AK52,AM52,AO52,AQ52,AS52,AU52,AW52,AY52,BA52,BC52,BE52,BG52,BI52,BK52,BM52,BO52,BQ52,BS52,BU52,BW52,BY52,CA52)</f>
        <v/>
      </c>
      <c r="C52" s="31" t="inlineStr">
        <is>
          <t>CHOLAFIN</t>
        </is>
      </c>
      <c r="D52" s="31" t="inlineStr">
        <is>
          <t>Cholamandalam Investment And Finance Company Limited</t>
        </is>
      </c>
      <c r="E52" s="31" t="inlineStr">
        <is>
          <t>financials</t>
        </is>
      </c>
      <c r="F52" s="31" t="inlineStr">
        <is>
          <t>finance &amp; investments</t>
        </is>
      </c>
      <c r="G52" s="31" t="inlineStr">
        <is>
          <t>largecap</t>
        </is>
      </c>
      <c r="H52" s="32" t="n">
        <v>152497.61</v>
      </c>
      <c r="I52" s="32" t="n">
        <v>1803.3</v>
      </c>
      <c r="J52" s="32" t="n">
        <v>0.75</v>
      </c>
      <c r="K52" s="32" t="n">
        <v>642938</v>
      </c>
      <c r="L52" s="31" t="n">
        <v>44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61.86</v>
      </c>
      <c r="P52" s="32" t="n">
        <v>11.3</v>
      </c>
      <c r="Q52" s="32" t="n">
        <v>1462.23</v>
      </c>
      <c r="R52" s="31" t="inlineStr">
        <is>
          <t>Near 52W High Breakout</t>
        </is>
      </c>
      <c r="S52" s="31" t="inlineStr">
        <is>
          <t>Nifty Bank</t>
        </is>
      </c>
      <c r="T52" s="32" t="n">
        <v>1.76</v>
      </c>
      <c r="U52" s="32" t="n">
        <v>18.26</v>
      </c>
      <c r="V52" s="32" t="n">
        <v>16.22</v>
      </c>
      <c r="W52" s="32" t="n">
        <v>11.69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Fragmented with High ROE</t>
        </is>
      </c>
      <c r="AA52" s="31">
        <f>IF(Z52="Fragmented with Low ROE",-5,IF(Z52="Fragmented with High ROE",10,IF(Z52= "highly cyclical",5,0)))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Consistency)",15,IF(AF52="Shallow Cyclical (2 to 3 years growth)",10,IF(AF52 = "Cyclical in an Uptick",5,IF(AF52 = "Cyclical in an Downtick",-10,0))))</f>
        <v/>
      </c>
      <c r="AH52" s="31" t="inlineStr">
        <is>
          <t>Yes</t>
        </is>
      </c>
      <c r="AI52" s="31">
        <f>IF(AH52="Yes",10,0)</f>
        <v/>
      </c>
      <c r="AJ52" s="31" t="inlineStr">
        <is>
          <t>Yes</t>
        </is>
      </c>
      <c r="AK52" s="31">
        <f>IF(AJ52="Yes",10,0)</f>
        <v/>
      </c>
      <c r="AL52" s="31" t="n"/>
      <c r="AM52" s="31">
        <f>IF(AL52="No",10,0)</f>
        <v/>
      </c>
      <c r="AN52" s="31" t="inlineStr">
        <is>
          <t>Yes</t>
        </is>
      </c>
      <c r="AO52" s="31">
        <f>IF(AN52="Yes",10,0)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Yes</t>
        </is>
      </c>
      <c r="AS52" s="31">
        <f>IF(AR52="Yes",5,0)</f>
        <v/>
      </c>
      <c r="AT52" s="31" t="inlineStr">
        <is>
          <t>No</t>
        </is>
      </c>
      <c r="AU52" s="31">
        <f>IF(AT52="No",10,IF(AT52="Yes",-10,0))</f>
        <v/>
      </c>
      <c r="AV52" s="31" t="inlineStr">
        <is>
          <t>No</t>
        </is>
      </c>
      <c r="AW52" s="31">
        <f>IF(AV52="No",10,0)</f>
        <v/>
      </c>
      <c r="AX52" s="31" t="inlineStr">
        <is>
          <t>No</t>
        </is>
      </c>
      <c r="AY52" s="31">
        <f>IF(AX52="No",10,IF(AX52= "Yes CEO Resignation",-5,0))</f>
        <v/>
      </c>
      <c r="AZ52" s="31" t="inlineStr">
        <is>
          <t>No</t>
        </is>
      </c>
      <c r="BA52" s="31">
        <f>IF(AZ52="No",10,IF(AZ52="Yes",-5,0))</f>
        <v/>
      </c>
      <c r="BB52" s="31" t="inlineStr">
        <is>
          <t>No</t>
        </is>
      </c>
      <c r="BC52" s="31">
        <f>IF(BB52="No",5,IF(BB52="Yes",-5,0))</f>
        <v/>
      </c>
      <c r="BD52" s="31" t="inlineStr">
        <is>
          <t>Yes</t>
        </is>
      </c>
      <c r="BE52" s="31">
        <f>IF(BD52="Yes",10,0)</f>
        <v/>
      </c>
      <c r="BF52" s="31" t="inlineStr">
        <is>
          <t>Yes</t>
        </is>
      </c>
      <c r="BG52" s="31">
        <f>IF(BF52="Yes",10,0)</f>
        <v/>
      </c>
      <c r="BH52" s="31" t="inlineStr">
        <is>
          <t>Yes</t>
        </is>
      </c>
      <c r="BI52" s="31">
        <f>IF(BH52="Yes",10,0)</f>
        <v/>
      </c>
      <c r="BJ52" s="31" t="inlineStr">
        <is>
          <t>P/BV above 5x</t>
        </is>
      </c>
      <c r="BK52" s="31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1" t="inlineStr">
        <is>
          <t>0 to 20</t>
        </is>
      </c>
      <c r="BM52" s="31">
        <f>IF(BL52="Above 40",20,IF(BL52="20 to 40",10,IF(BL52="0 to 20",-5,0)))</f>
        <v/>
      </c>
      <c r="BN52" s="31" t="inlineStr">
        <is>
          <t>Between 50 to 75</t>
        </is>
      </c>
      <c r="BO52" s="31">
        <f>IF(BN52="Between 50 to 75",10,IF(BN52="Above 75",0,0))</f>
        <v/>
      </c>
      <c r="BP52" s="31" t="inlineStr">
        <is>
          <t>Stage 2</t>
        </is>
      </c>
      <c r="BQ52" s="31">
        <f>IF(BP52="Stage 2",20,IF(BP52="Stage 1",0,IF(BP52="Stage 3",5,IF(BP52="Stage 4",-5,0))))</f>
        <v/>
      </c>
      <c r="BR52" s="31" t="inlineStr">
        <is>
          <t>Positive Trend</t>
        </is>
      </c>
      <c r="BS52" s="31">
        <f>IF(BR52="Positive Trend",20,IF(BR52="Negative Trend",-10,0))</f>
        <v/>
      </c>
      <c r="BT52" s="31" t="inlineStr">
        <is>
          <t>Uptrend</t>
        </is>
      </c>
      <c r="BU52" s="31">
        <f>IF(BT52="Uptrend",10,IF(BT52="Sideways",5,0))</f>
        <v/>
      </c>
      <c r="BV52" s="31" t="inlineStr">
        <is>
          <t>Uptrend</t>
        </is>
      </c>
      <c r="BW52" s="31">
        <f>IF(BV52="Uptrend",10,IF(BV52="Sideways",5,0))</f>
        <v/>
      </c>
      <c r="BX52" s="31" t="inlineStr">
        <is>
          <t>Blue sky scenario</t>
        </is>
      </c>
      <c r="BY52" s="31">
        <f>IF(BX52="Overhead supply in last 2 years in last 2 years",-5,IF(BX52="Close to 52 week high or retracement",5,IF(BX52="Blue sky scenario",10,IF(BX52="Long term Downtrend",-10,0))))</f>
        <v/>
      </c>
      <c r="BZ52" s="31" t="inlineStr">
        <is>
          <t>Yes</t>
        </is>
      </c>
      <c r="CA52" s="31">
        <f>IF(BZ52="Yes",10,0)</f>
        <v/>
      </c>
    </row>
    <row r="53">
      <c r="A53" s="31">
        <f>IF(B53=0,"",RANK(B53,$B$2:$B$67,0))</f>
        <v/>
      </c>
      <c r="B53" s="32">
        <f>SUM(N53,Y53,AA53,AC53,AE53,AG53,AI53,AK53,AM53,AO53,AQ53,AS53,AU53,AW53,AY53,BA53,BC53,BE53,BG53,BI53,BK53,BM53,BO53,BQ53,BS53,BU53,BW53,BY53,CA53)</f>
        <v/>
      </c>
      <c r="C53" s="31" t="inlineStr">
        <is>
          <t>MOTILALOFS</t>
        </is>
      </c>
      <c r="D53" s="31" t="inlineStr">
        <is>
          <t>Motilal Oswal Financial Services Limited</t>
        </is>
      </c>
      <c r="E53" s="31" t="inlineStr">
        <is>
          <t>financials</t>
        </is>
      </c>
      <c r="F53" s="31" t="inlineStr">
        <is>
          <t>finance &amp; investments</t>
        </is>
      </c>
      <c r="G53" s="31" t="inlineStr">
        <is>
          <t>largecap</t>
        </is>
      </c>
      <c r="H53" s="32" t="n">
        <v>57254.95</v>
      </c>
      <c r="I53" s="32" t="n">
        <v>955.95</v>
      </c>
      <c r="J53" s="32" t="n">
        <v>0.49</v>
      </c>
      <c r="K53" s="32" t="n">
        <v>603400</v>
      </c>
      <c r="L53" s="31" t="n">
        <v>37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63.54</v>
      </c>
      <c r="P53" s="32" t="n">
        <v>18.41</v>
      </c>
      <c r="Q53" s="32" t="n">
        <v>773.6900000000001</v>
      </c>
      <c r="R53" s="31" t="inlineStr">
        <is>
          <t>Earnings / Momentum Support</t>
        </is>
      </c>
      <c r="S53" s="31" t="inlineStr">
        <is>
          <t>Nifty Bank</t>
        </is>
      </c>
      <c r="T53" s="32" t="n">
        <v>1.76</v>
      </c>
      <c r="U53" s="32" t="n">
        <v>4.97</v>
      </c>
      <c r="V53" s="32" t="n">
        <v>3.16</v>
      </c>
      <c r="W53" s="32" t="n">
        <v>10.63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Fragmented with High ROE</t>
        </is>
      </c>
      <c r="AA53" s="31">
        <f>IF(Z53="Fragmented with Low ROE",-5,IF(Z53="Fragmented with High ROE",10,IF(Z53= "highly cyclical",5,0)))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Consistency)",15,IF(AF53="Shallow Cyclical (2 to 3 years growth)",10,IF(AF53 = "Cyclical in an Uptick",5,IF(AF53 = "Cyclical in an Downtick",-10,0))))</f>
        <v/>
      </c>
      <c r="AH53" s="31" t="inlineStr">
        <is>
          <t>Yes</t>
        </is>
      </c>
      <c r="AI53" s="31">
        <f>IF(AH53="Yes",10,0)</f>
        <v/>
      </c>
      <c r="AJ53" s="31" t="inlineStr">
        <is>
          <t>Yes</t>
        </is>
      </c>
      <c r="AK53" s="31">
        <f>IF(AJ53="Yes",10,0)</f>
        <v/>
      </c>
      <c r="AL53" s="31" t="n"/>
      <c r="AM53" s="31">
        <f>IF(AL53="No",10,0)</f>
        <v/>
      </c>
      <c r="AN53" s="31" t="inlineStr">
        <is>
          <t>Yes</t>
        </is>
      </c>
      <c r="AO53" s="31">
        <f>IF(AN53="Yes",10,0)</f>
        <v/>
      </c>
      <c r="AP53" s="31" t="inlineStr">
        <is>
          <t>No</t>
        </is>
      </c>
      <c r="AQ53" s="31">
        <f>IF(AP53="Yes",10,0)</f>
        <v/>
      </c>
      <c r="AR53" s="31" t="inlineStr">
        <is>
          <t>Yes</t>
        </is>
      </c>
      <c r="AS53" s="31">
        <f>IF(AR53="Yes",5,0)</f>
        <v/>
      </c>
      <c r="AT53" s="31" t="inlineStr">
        <is>
          <t>No</t>
        </is>
      </c>
      <c r="AU53" s="31">
        <f>IF(AT53="No",10,IF(AT53="Yes",-10,0))</f>
        <v/>
      </c>
      <c r="AV53" s="31" t="inlineStr">
        <is>
          <t>No</t>
        </is>
      </c>
      <c r="AW53" s="31">
        <f>IF(AV53="No",10,0)</f>
        <v/>
      </c>
      <c r="AX53" s="31" t="inlineStr">
        <is>
          <t>No</t>
        </is>
      </c>
      <c r="AY53" s="31">
        <f>IF(AX53="No",10,IF(AX53= "Yes CEO Resignation",-5,0))</f>
        <v/>
      </c>
      <c r="AZ53" s="31" t="inlineStr">
        <is>
          <t>No</t>
        </is>
      </c>
      <c r="BA53" s="31">
        <f>IF(AZ53="No",10,IF(AZ53="Yes",-5,0))</f>
        <v/>
      </c>
      <c r="BB53" s="31" t="inlineStr">
        <is>
          <t>No</t>
        </is>
      </c>
      <c r="BC53" s="31">
        <f>IF(BB53="No",5,IF(BB53="Yes",-5,0))</f>
        <v/>
      </c>
      <c r="BD53" s="31" t="inlineStr">
        <is>
          <t>Yes</t>
        </is>
      </c>
      <c r="BE53" s="31">
        <f>IF(BD53="Yes",10,0)</f>
        <v/>
      </c>
      <c r="BF53" s="31" t="inlineStr">
        <is>
          <t>Yes</t>
        </is>
      </c>
      <c r="BG53" s="31">
        <f>IF(BF53="Yes",10,0)</f>
        <v/>
      </c>
      <c r="BH53" s="31" t="inlineStr">
        <is>
          <t>Yes</t>
        </is>
      </c>
      <c r="BI53" s="31">
        <f>IF(BH53="Yes",10,0)</f>
        <v/>
      </c>
      <c r="BJ53" s="31" t="inlineStr">
        <is>
          <t>P/BV between 2.5x to 5x and Growth more than 20%</t>
        </is>
      </c>
      <c r="BK53" s="31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1" t="inlineStr">
        <is>
          <t>0 to 20</t>
        </is>
      </c>
      <c r="BM53" s="31">
        <f>IF(BL53="Above 40",20,IF(BL53="20 to 40",10,IF(BL53="0 to 20",-5,0)))</f>
        <v/>
      </c>
      <c r="BN53" s="31" t="inlineStr">
        <is>
          <t>Between 50 to 75</t>
        </is>
      </c>
      <c r="BO53" s="31">
        <f>IF(BN53="Between 50 to 75",10,IF(BN53="Above 75",0,0))</f>
        <v/>
      </c>
      <c r="BP53" s="31" t="inlineStr">
        <is>
          <t>Stage 2</t>
        </is>
      </c>
      <c r="BQ53" s="31">
        <f>IF(BP53="Stage 2",20,IF(BP53="Stage 1",0,IF(BP53="Stage 3",5,IF(BP53="Stage 4",-5,0))))</f>
        <v/>
      </c>
      <c r="BR53" s="31" t="inlineStr">
        <is>
          <t>Positive Trend</t>
        </is>
      </c>
      <c r="BS53" s="31">
        <f>IF(BR53="Positive Trend",20,IF(BR53="Negative Trend",-10,0))</f>
        <v/>
      </c>
      <c r="BT53" s="31" t="inlineStr">
        <is>
          <t>Uptrend</t>
        </is>
      </c>
      <c r="BU53" s="31">
        <f>IF(BT53="Uptrend",10,IF(BT53="Sideways",5,0))</f>
        <v/>
      </c>
      <c r="BV53" s="31" t="inlineStr">
        <is>
          <t>Uptrend</t>
        </is>
      </c>
      <c r="BW53" s="31">
        <f>IF(BV53="Uptrend",10,IF(BV53="Sideways",5,0))</f>
        <v/>
      </c>
      <c r="BX53" s="31" t="inlineStr">
        <is>
          <t>Close to 52 week high or retracement</t>
        </is>
      </c>
      <c r="BY53" s="31">
        <f>IF(BX53="Overhead supply in last 2 years in last 2 years",-5,IF(BX53="Close to 52 week high or retracement",5,IF(BX53="Blue sky scenario",10,IF(BX53="Long term Downtrend",-10,0))))</f>
        <v/>
      </c>
      <c r="BZ53" s="31" t="inlineStr">
        <is>
          <t>Yes</t>
        </is>
      </c>
      <c r="CA53" s="31">
        <f>IF(BZ53="Yes",10,0)</f>
        <v/>
      </c>
    </row>
    <row r="54">
      <c r="A54" s="31">
        <f>IF(B54=0,"",RANK(B54,$B$2:$B$67,0))</f>
        <v/>
      </c>
      <c r="B54" s="32">
        <f>SUM(N54,Y54,AA54,AC54,AE54,AG54,AI54,AK54,AM54,AO54,AQ54,AS54,AU54,AW54,AY54,BA54,BC54,BE54,BG54,BI54,BK54,BM54,BO54,BQ54,BS54,BU54,BW54,BY54,CA54)</f>
        <v/>
      </c>
      <c r="C54" s="31" t="inlineStr">
        <is>
          <t>EDELWEISS</t>
        </is>
      </c>
      <c r="D54" s="31" t="inlineStr">
        <is>
          <t>Edelweiss Financial Services Limited</t>
        </is>
      </c>
      <c r="E54" s="31" t="inlineStr">
        <is>
          <t>financials</t>
        </is>
      </c>
      <c r="F54" s="31" t="inlineStr">
        <is>
          <t>finance &amp; investments</t>
        </is>
      </c>
      <c r="G54" s="31" t="inlineStr">
        <is>
          <t>midcap</t>
        </is>
      </c>
      <c r="H54" s="32" t="n">
        <v>11435.05</v>
      </c>
      <c r="I54" s="32" t="n">
        <v>125.44</v>
      </c>
      <c r="J54" s="32" t="n">
        <v>3.83</v>
      </c>
      <c r="K54" s="32" t="n">
        <v>4016386</v>
      </c>
      <c r="L54" s="31" t="n">
        <v>18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58.51</v>
      </c>
      <c r="P54" s="32" t="n">
        <v>10.07</v>
      </c>
      <c r="Q54" s="32" t="n">
        <v>92.86</v>
      </c>
      <c r="R54" s="31" t="inlineStr">
        <is>
          <t>Near 52W High Breakout</t>
        </is>
      </c>
      <c r="S54" s="31" t="inlineStr">
        <is>
          <t>Nifty Bank</t>
        </is>
      </c>
      <c r="T54" s="32" t="n">
        <v>1.76</v>
      </c>
      <c r="U54" s="32" t="n">
        <v>10.52</v>
      </c>
      <c r="V54" s="32" t="n">
        <v>8.609999999999999</v>
      </c>
      <c r="W54" s="32" t="n">
        <v>6.04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Fragmented with High ROE</t>
        </is>
      </c>
      <c r="AA54" s="31">
        <f>IF(Z54="Fragmented with Low ROE",-5,IF(Z54="Fragmented with High ROE",10,IF(Z54= "highly cyclical",5,0)))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Consistency)",15,IF(AF54="Shallow Cyclical (2 to 3 years growth)",10,IF(AF54 = "Cyclical in an Uptick",5,IF(AF54 = "Cyclical in an Downtick",-10,0))))</f>
        <v/>
      </c>
      <c r="AH54" s="31" t="inlineStr">
        <is>
          <t>Yes</t>
        </is>
      </c>
      <c r="AI54" s="31">
        <f>IF(AH54="Yes",10,0)</f>
        <v/>
      </c>
      <c r="AJ54" s="31" t="inlineStr">
        <is>
          <t>Yes</t>
        </is>
      </c>
      <c r="AK54" s="31">
        <f>IF(AJ54="Yes",10,0)</f>
        <v/>
      </c>
      <c r="AL54" s="31" t="n"/>
      <c r="AM54" s="31">
        <f>IF(AL54="No",10,0)</f>
        <v/>
      </c>
      <c r="AN54" s="31" t="inlineStr">
        <is>
          <t>Yes</t>
        </is>
      </c>
      <c r="AO54" s="31">
        <f>IF(AN54="Yes",10,0)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Yes</t>
        </is>
      </c>
      <c r="AS54" s="31">
        <f>IF(AR54="Yes",5,0)</f>
        <v/>
      </c>
      <c r="AT54" s="31" t="inlineStr">
        <is>
          <t>No</t>
        </is>
      </c>
      <c r="AU54" s="31">
        <f>IF(AT54="No",10,IF(AT54="Yes",-10,0))</f>
        <v/>
      </c>
      <c r="AV54" s="31" t="inlineStr">
        <is>
          <t>No</t>
        </is>
      </c>
      <c r="AW54" s="31">
        <f>IF(AV54="No",10,0)</f>
        <v/>
      </c>
      <c r="AX54" s="31" t="inlineStr">
        <is>
          <t>No</t>
        </is>
      </c>
      <c r="AY54" s="31">
        <f>IF(AX54="No",10,IF(AX54= "Yes CEO Resignation",-5,0))</f>
        <v/>
      </c>
      <c r="AZ54" s="31" t="inlineStr">
        <is>
          <t>No</t>
        </is>
      </c>
      <c r="BA54" s="31">
        <f>IF(AZ54="No",10,IF(AZ54="Yes",-5,0))</f>
        <v/>
      </c>
      <c r="BB54" s="31" t="inlineStr">
        <is>
          <t>No</t>
        </is>
      </c>
      <c r="BC54" s="31">
        <f>IF(BB54="No",5,IF(BB54="Yes",-5,0))</f>
        <v/>
      </c>
      <c r="BD54" s="31" t="inlineStr">
        <is>
          <t>Yes</t>
        </is>
      </c>
      <c r="BE54" s="31">
        <f>IF(BD54="Yes",10,0)</f>
        <v/>
      </c>
      <c r="BF54" s="31" t="inlineStr">
        <is>
          <t>Yes</t>
        </is>
      </c>
      <c r="BG54" s="31">
        <f>IF(BF54="Yes",10,0)</f>
        <v/>
      </c>
      <c r="BH54" s="31" t="inlineStr">
        <is>
          <t>Yes</t>
        </is>
      </c>
      <c r="BI54" s="31">
        <f>IF(BH54="Yes",10,0)</f>
        <v/>
      </c>
      <c r="BJ54" s="31" t="inlineStr">
        <is>
          <t>P/BV between 2.5x to 5x and Growth less than 20%</t>
        </is>
      </c>
      <c r="BK54" s="31">
        <f>IF(BJ54="P/BV less than 2.5x and Growth more than 20%",20,IF(BJ54 = "P/BV less than 2.5x and Growth less than 20%",5,IF(BJ54="P/BV between 2.5x to 5x and Growth more than 20%",10,IF(BJ54= "P/BV between 2.5x to 5x and Growth less than 20%",-5,IF(BJ54= "P/BV above 5x",-5,0)))))</f>
        <v/>
      </c>
      <c r="BL54" s="31" t="inlineStr">
        <is>
          <t>0 to 20</t>
        </is>
      </c>
      <c r="BM54" s="31">
        <f>IF(BL54="Above 40",20,IF(BL54="20 to 40",10,IF(BL54="0 to 20",-5,0)))</f>
        <v/>
      </c>
      <c r="BN54" s="31" t="inlineStr">
        <is>
          <t>Between 50 to 75</t>
        </is>
      </c>
      <c r="BO54" s="31">
        <f>IF(BN54="Between 50 to 75",10,IF(BN54="Above 75",0,0))</f>
        <v/>
      </c>
      <c r="BP54" s="31" t="inlineStr">
        <is>
          <t>Stage 2</t>
        </is>
      </c>
      <c r="BQ54" s="31">
        <f>IF(BP54="Stage 2",20,IF(BP54="Stage 1",0,IF(BP54="Stage 3",5,IF(BP54="Stage 4",-5,0))))</f>
        <v/>
      </c>
      <c r="BR54" s="31" t="inlineStr">
        <is>
          <t>Positive Trend</t>
        </is>
      </c>
      <c r="BS54" s="31">
        <f>IF(BR54="Positive Trend",20,IF(BR54="Negative Trend",-10,0))</f>
        <v/>
      </c>
      <c r="BT54" s="31" t="inlineStr">
        <is>
          <t>Uptrend</t>
        </is>
      </c>
      <c r="BU54" s="31">
        <f>IF(BT54="Uptrend",10,IF(BT54="Sideways",5,0))</f>
        <v/>
      </c>
      <c r="BV54" s="31" t="inlineStr">
        <is>
          <t>Uptrend</t>
        </is>
      </c>
      <c r="BW54" s="31">
        <f>IF(BV54="Uptrend",10,IF(BV54="Sideways",5,0))</f>
        <v/>
      </c>
      <c r="BX54" s="31" t="inlineStr">
        <is>
          <t>Close to 52 week high or retracement</t>
        </is>
      </c>
      <c r="BY54" s="31">
        <f>IF(BX54="Overhead supply in last 2 years in last 2 years",-5,IF(BX54="Close to 52 week high or retracement",5,IF(BX54="Blue sky scenario",10,IF(BX54="Long term Downtrend",-10,0))))</f>
        <v/>
      </c>
      <c r="BZ54" s="31" t="inlineStr">
        <is>
          <t>Yes</t>
        </is>
      </c>
      <c r="CA54" s="31">
        <f>IF(BZ54="Yes",10,0)</f>
        <v/>
      </c>
    </row>
    <row r="55">
      <c r="A55" s="31">
        <f>IF(B55=0,"",RANK(B55,$B$2:$B$67,0))</f>
        <v/>
      </c>
      <c r="B55" s="32">
        <f>SUM(N55,Y55,AA55,AC55,AE55,AG55,AI55,AK55,AM55,AO55,AQ55,AS55,AU55,AW55,AY55,BA55,BC55,BE55,BG55,BI55,BK55,BM55,BO55,BQ55,BS55,BU55,BW55,BY55,CA55)</f>
        <v/>
      </c>
      <c r="C55" s="31" t="inlineStr">
        <is>
          <t>SBIN</t>
        </is>
      </c>
      <c r="D55" s="31" t="inlineStr">
        <is>
          <t>State Bank Of India Ltd</t>
        </is>
      </c>
      <c r="E55" s="31" t="inlineStr">
        <is>
          <t>bank</t>
        </is>
      </c>
      <c r="F55" s="31" t="inlineStr">
        <is>
          <t>banks - public sector</t>
        </is>
      </c>
      <c r="G55" s="31" t="inlineStr">
        <is>
          <t>largecap</t>
        </is>
      </c>
      <c r="H55" s="32" t="n">
        <v>947892.12</v>
      </c>
      <c r="I55" s="32" t="n">
        <v>1047.4</v>
      </c>
      <c r="J55" s="32" t="n">
        <v>2</v>
      </c>
      <c r="K55" s="32" t="n">
        <v>6295315</v>
      </c>
      <c r="L55" s="31" t="n">
        <v>21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56.16</v>
      </c>
      <c r="P55" s="32" t="n">
        <v>8.949999999999999</v>
      </c>
      <c r="Q55" s="32" t="n">
        <v>937.02</v>
      </c>
      <c r="R55" s="31" t="inlineStr">
        <is>
          <t>Earnings / Momentum Support</t>
        </is>
      </c>
      <c r="S55" s="31" t="inlineStr">
        <is>
          <t>Nifty Bank</t>
        </is>
      </c>
      <c r="T55" s="32" t="n">
        <v>1.76</v>
      </c>
      <c r="U55" s="32" t="n">
        <v>31.34</v>
      </c>
      <c r="V55" s="32" t="n">
        <v>29.07</v>
      </c>
      <c r="W55" s="32" t="n">
        <v>6.67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Fragmented with High ROE</t>
        </is>
      </c>
      <c r="AA55" s="31">
        <f>IF(Z55="Fragmented with Low ROE",-5,IF(Z55="Fragmented with High ROE",10,IF(Z55= "highly cyclical",5,0)))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Consistency)",15,IF(AF55="Shallow Cyclical (2 to 3 years growth)",10,IF(AF55 = "Cyclical in an Uptick",5,IF(AF55 = "Cyclical in an Downtick",-10,0))))</f>
        <v/>
      </c>
      <c r="AH55" s="31" t="inlineStr">
        <is>
          <t>Yes</t>
        </is>
      </c>
      <c r="AI55" s="31">
        <f>IF(AH55="Yes",10,0)</f>
        <v/>
      </c>
      <c r="AJ55" s="31" t="inlineStr">
        <is>
          <t>Yes</t>
        </is>
      </c>
      <c r="AK55" s="31">
        <f>IF(AJ55="Yes",10,0)</f>
        <v/>
      </c>
      <c r="AL55" s="31" t="n"/>
      <c r="AM55" s="31">
        <f>IF(AL55="No",10,0)</f>
        <v/>
      </c>
      <c r="AN55" s="31" t="inlineStr">
        <is>
          <t>Yes</t>
        </is>
      </c>
      <c r="AO55" s="31">
        <f>IF(AN55="Yes",10,0)</f>
        <v/>
      </c>
      <c r="AP55" s="31" t="inlineStr">
        <is>
          <t>No</t>
        </is>
      </c>
      <c r="AQ55" s="31">
        <f>IF(AP55="Yes",10,0)</f>
        <v/>
      </c>
      <c r="AR55" s="31" t="inlineStr">
        <is>
          <t>Yes</t>
        </is>
      </c>
      <c r="AS55" s="31">
        <f>IF(AR55="Yes",5,0)</f>
        <v/>
      </c>
      <c r="AT55" s="31" t="inlineStr">
        <is>
          <t>No</t>
        </is>
      </c>
      <c r="AU55" s="31">
        <f>IF(AT55="No",10,IF(AT55="Yes",-10,0))</f>
        <v/>
      </c>
      <c r="AV55" s="31" t="inlineStr">
        <is>
          <t>No</t>
        </is>
      </c>
      <c r="AW55" s="31">
        <f>IF(AV55="No",10,0)</f>
        <v/>
      </c>
      <c r="AX55" s="31" t="inlineStr">
        <is>
          <t>No</t>
        </is>
      </c>
      <c r="AY55" s="31">
        <f>IF(AX55="No",10,IF(AX55= "Yes CEO Resignation",-5,0))</f>
        <v/>
      </c>
      <c r="AZ55" s="31" t="inlineStr">
        <is>
          <t>No</t>
        </is>
      </c>
      <c r="BA55" s="31">
        <f>IF(AZ55="No",10,IF(AZ55="Yes",-5,0))</f>
        <v/>
      </c>
      <c r="BB55" s="31" t="inlineStr">
        <is>
          <t>No</t>
        </is>
      </c>
      <c r="BC55" s="31">
        <f>IF(BB55="No",5,IF(BB55="Yes",-5,0))</f>
        <v/>
      </c>
      <c r="BD55" s="31" t="inlineStr">
        <is>
          <t>Yes</t>
        </is>
      </c>
      <c r="BE55" s="31">
        <f>IF(BD55="Yes",10,0)</f>
        <v/>
      </c>
      <c r="BF55" s="31" t="inlineStr">
        <is>
          <t>Yes</t>
        </is>
      </c>
      <c r="BG55" s="31">
        <f>IF(BF55="Yes",10,0)</f>
        <v/>
      </c>
      <c r="BH55" s="31" t="inlineStr">
        <is>
          <t>Yes</t>
        </is>
      </c>
      <c r="BI55" s="31">
        <f>IF(BH55="Yes",10,0)</f>
        <v/>
      </c>
      <c r="BJ55" s="31" t="inlineStr">
        <is>
          <t>P/BV less than 2.5x and Growth less than 20%</t>
        </is>
      </c>
      <c r="BK55" s="31">
        <f>IF(BJ55="P/BV less than 2.5x and Growth more than 20%",20,IF(BJ55 = "P/BV less than 2.5x and Growth less than 20%",5,IF(BJ55="P/BV between 2.5x to 5x and Growth more than 20%",10,IF(BJ55= "P/BV between 2.5x to 5x and Growth less than 20%",-5,IF(BJ55= "P/BV above 5x",-5,0)))))</f>
        <v/>
      </c>
      <c r="BL55" s="31" t="inlineStr">
        <is>
          <t>0 to 20</t>
        </is>
      </c>
      <c r="BM55" s="31">
        <f>IF(BL55="Above 40",20,IF(BL55="20 to 40",10,IF(BL55="0 to 20",-5,0)))</f>
        <v/>
      </c>
      <c r="BN55" s="31" t="inlineStr">
        <is>
          <t>Between 50 to 75</t>
        </is>
      </c>
      <c r="BO55" s="31">
        <f>IF(BN55="Between 50 to 75",10,IF(BN55="Above 75",0,0))</f>
        <v/>
      </c>
      <c r="BP55" s="31" t="inlineStr">
        <is>
          <t>Stage 2</t>
        </is>
      </c>
      <c r="BQ55" s="31">
        <f>IF(BP55="Stage 2",20,IF(BP55="Stage 1",0,IF(BP55="Stage 3",5,IF(BP55="Stage 4",-5,0))))</f>
        <v/>
      </c>
      <c r="BR55" s="31" t="inlineStr">
        <is>
          <t>Positive Trend</t>
        </is>
      </c>
      <c r="BS55" s="31">
        <f>IF(BR55="Positive Trend",20,IF(BR55="Negative Trend",-10,0))</f>
        <v/>
      </c>
      <c r="BT55" s="31" t="inlineStr">
        <is>
          <t>Uptrend</t>
        </is>
      </c>
      <c r="BU55" s="31">
        <f>IF(BT55="Uptrend",10,IF(BT55="Sideways",5,0))</f>
        <v/>
      </c>
      <c r="BV55" s="31" t="inlineStr">
        <is>
          <t>Uptrend</t>
        </is>
      </c>
      <c r="BW55" s="31">
        <f>IF(BV55="Uptrend",10,IF(BV55="Sideways",5,0))</f>
        <v/>
      </c>
      <c r="BX55" s="31" t="inlineStr">
        <is>
          <t>Close to 52 week high or retracement</t>
        </is>
      </c>
      <c r="BY55" s="31">
        <f>IF(BX55="Overhead supply in last 2 years in last 2 years",-5,IF(BX55="Close to 52 week high or retracement",5,IF(BX55="Blue sky scenario",10,IF(BX55="Long term Downtrend",-10,0))))</f>
        <v/>
      </c>
      <c r="BZ55" s="31" t="inlineStr">
        <is>
          <t>Yes</t>
        </is>
      </c>
      <c r="CA55" s="31">
        <f>IF(BZ55="Yes",10,0)</f>
        <v/>
      </c>
    </row>
    <row r="56">
      <c r="A56" s="31">
        <f>IF(B56=0,"",RANK(B56,$B$2:$B$67,0))</f>
        <v/>
      </c>
      <c r="B56" s="32">
        <f>SUM(N56,Y56,AA56,AC56,AE56,AG56,AI56,AK56,AM56,AO56,AQ56,AS56,AU56,AW56,AY56,BA56,BC56,BE56,BG56,BI56,BK56,BM56,BO56,BQ56,BS56,BU56,BW56,BY56,CA56)</f>
        <v/>
      </c>
      <c r="C56" s="33" t="inlineStr">
        <is>
          <t>MONARCH</t>
        </is>
      </c>
      <c r="D56" s="33" t="inlineStr">
        <is>
          <t>Monarch Networth Capital Ltd</t>
        </is>
      </c>
      <c r="E56" s="31" t="inlineStr">
        <is>
          <t>financials</t>
        </is>
      </c>
      <c r="F56" s="31" t="inlineStr">
        <is>
          <t>finance &amp; investments</t>
        </is>
      </c>
      <c r="G56" s="31" t="inlineStr">
        <is>
          <t>smallcap</t>
        </is>
      </c>
      <c r="H56" s="32" t="n">
        <v>2669.36</v>
      </c>
      <c r="I56" s="32" t="n">
        <v>342.7</v>
      </c>
      <c r="J56" s="32" t="n">
        <v>1.77</v>
      </c>
      <c r="K56" s="32" t="n">
        <v>63215</v>
      </c>
      <c r="L56" s="31" t="n">
        <v>14</v>
      </c>
      <c r="M56" s="31" t="inlineStr">
        <is>
          <t>Underperforming</t>
        </is>
      </c>
      <c r="N56" s="32">
        <f>IF(M56="Underperforming",-5,IF(L56&gt;=95,15,IF(L56&gt;=90,10,IF(L56&gt;=80,5,0))))</f>
        <v/>
      </c>
      <c r="O56" s="32" t="n">
        <v>61.62</v>
      </c>
      <c r="P56" s="32" t="n">
        <v>18.69</v>
      </c>
      <c r="Q56" s="32" t="n">
        <v>281.1</v>
      </c>
      <c r="R56" s="31" t="inlineStr">
        <is>
          <t>Earnings / Momentum Support</t>
        </is>
      </c>
      <c r="S56" s="31" t="inlineStr">
        <is>
          <t>Nifty Bank</t>
        </is>
      </c>
      <c r="T56" s="32" t="n">
        <v>1.76</v>
      </c>
      <c r="U56" s="32" t="n">
        <v>-9.66</v>
      </c>
      <c r="V56" s="32" t="n">
        <v>-11.22</v>
      </c>
      <c r="W56" s="32" t="n">
        <v>5.04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Fragmented with High ROE</t>
        </is>
      </c>
      <c r="AA56" s="31">
        <f>IF(Z56="Fragmented with Low ROE",-5,IF(Z56="Fragmented with High ROE",10,IF(Z56= "highly cyclical",5,0)))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Consistency)",15,IF(AF56="Shallow Cyclical (2 to 3 years growth)",10,IF(AF56 = "Cyclical in an Uptick",5,IF(AF56 = "Cyclical in an Downtick",-10,0))))</f>
        <v/>
      </c>
      <c r="AH56" s="31" t="inlineStr">
        <is>
          <t>Yes</t>
        </is>
      </c>
      <c r="AI56" s="31">
        <f>IF(AH56="Yes",10,0)</f>
        <v/>
      </c>
      <c r="AJ56" s="31" t="inlineStr">
        <is>
          <t>Yes</t>
        </is>
      </c>
      <c r="AK56" s="31">
        <f>IF(AJ56="Yes",10,0)</f>
        <v/>
      </c>
      <c r="AL56" s="31" t="n"/>
      <c r="AM56" s="31">
        <f>IF(AL56="No",10,0)</f>
        <v/>
      </c>
      <c r="AN56" s="31" t="inlineStr">
        <is>
          <t>Yes</t>
        </is>
      </c>
      <c r="AO56" s="31">
        <f>IF(AN56="Yes",10,0)</f>
        <v/>
      </c>
      <c r="AP56" s="31" t="inlineStr">
        <is>
          <t>No</t>
        </is>
      </c>
      <c r="AQ56" s="31">
        <f>IF(AP56="Yes",10,0)</f>
        <v/>
      </c>
      <c r="AR56" s="31" t="inlineStr">
        <is>
          <t>Yes</t>
        </is>
      </c>
      <c r="AS56" s="31">
        <f>IF(AR56="Yes",5,0)</f>
        <v/>
      </c>
      <c r="AT56" s="31" t="inlineStr">
        <is>
          <t>No</t>
        </is>
      </c>
      <c r="AU56" s="31">
        <f>IF(AT56="No",10,IF(AT56="Yes",-10,0))</f>
        <v/>
      </c>
      <c r="AV56" s="31" t="inlineStr">
        <is>
          <t>No</t>
        </is>
      </c>
      <c r="AW56" s="31">
        <f>IF(AV56="No",10,0)</f>
        <v/>
      </c>
      <c r="AX56" s="31" t="inlineStr">
        <is>
          <t>No</t>
        </is>
      </c>
      <c r="AY56" s="31">
        <f>IF(AX56="No",10,IF(AX56= "Yes CEO Resignation",-5,0))</f>
        <v/>
      </c>
      <c r="AZ56" s="31" t="inlineStr">
        <is>
          <t>No</t>
        </is>
      </c>
      <c r="BA56" s="31">
        <f>IF(AZ56="No",10,IF(AZ56="Yes",-5,0))</f>
        <v/>
      </c>
      <c r="BB56" s="31" t="inlineStr">
        <is>
          <t>No</t>
        </is>
      </c>
      <c r="BC56" s="31">
        <f>IF(BB56="No",5,IF(BB56="Yes",-5,0))</f>
        <v/>
      </c>
      <c r="BD56" s="31" t="inlineStr">
        <is>
          <t>Yes</t>
        </is>
      </c>
      <c r="BE56" s="31">
        <f>IF(BD56="Yes",10,0)</f>
        <v/>
      </c>
      <c r="BF56" s="31" t="inlineStr">
        <is>
          <t>Yes</t>
        </is>
      </c>
      <c r="BG56" s="31">
        <f>IF(BF56="Yes",10,0)</f>
        <v/>
      </c>
      <c r="BH56" s="31" t="inlineStr">
        <is>
          <t>Yes</t>
        </is>
      </c>
      <c r="BI56" s="31">
        <f>IF(BH56="Yes",10,0)</f>
        <v/>
      </c>
      <c r="BJ56" s="31" t="inlineStr">
        <is>
          <t>P/BV between 2.5x to 5x and Growth more than 20%</t>
        </is>
      </c>
      <c r="BK56" s="31">
        <f>IF(BJ56="P/BV less than 2.5x and Growth more than 20%",20,IF(BJ56 = "P/BV less than 2.5x and Growth less than 20%",5,IF(BJ56="P/BV between 2.5x to 5x and Growth more than 20%",10,IF(BJ56= "P/BV between 2.5x to 5x and Growth less than 20%",-5,IF(BJ56= "P/BV above 5x",-5,0)))))</f>
        <v/>
      </c>
      <c r="BL56" s="31" t="inlineStr">
        <is>
          <t>0 to 20</t>
        </is>
      </c>
      <c r="BM56" s="31">
        <f>IF(BL56="Above 40",20,IF(BL56="20 to 40",10,IF(BL56="0 to 20",-5,0)))</f>
        <v/>
      </c>
      <c r="BN56" s="31" t="inlineStr">
        <is>
          <t>Between 50 to 75</t>
        </is>
      </c>
      <c r="BO56" s="31">
        <f>IF(BN56="Between 50 to 75",10,IF(BN56="Above 75",0,0))</f>
        <v/>
      </c>
      <c r="BP56" s="31" t="inlineStr">
        <is>
          <t>Stage 2</t>
        </is>
      </c>
      <c r="BQ56" s="31">
        <f>IF(BP56="Stage 2",20,IF(BP56="Stage 1",0,IF(BP56="Stage 3",5,IF(BP56="Stage 4",-5,0))))</f>
        <v/>
      </c>
      <c r="BR56" s="31" t="inlineStr">
        <is>
          <t>Positive Trend</t>
        </is>
      </c>
      <c r="BS56" s="31">
        <f>IF(BR56="Positive Trend",20,IF(BR56="Negative Trend",-10,0))</f>
        <v/>
      </c>
      <c r="BT56" s="31" t="inlineStr">
        <is>
          <t>Uptrend</t>
        </is>
      </c>
      <c r="BU56" s="31">
        <f>IF(BT56="Uptrend",10,IF(BT56="Sideways",5,0))</f>
        <v/>
      </c>
      <c r="BV56" s="31" t="inlineStr">
        <is>
          <t>Uptrend</t>
        </is>
      </c>
      <c r="BW56" s="31">
        <f>IF(BV56="Uptrend",10,IF(BV56="Sideways",5,0))</f>
        <v/>
      </c>
      <c r="BX56" s="31" t="inlineStr">
        <is>
          <t>Close to 52 week high or retracement</t>
        </is>
      </c>
      <c r="BY56" s="31">
        <f>IF(BX56="Overhead supply in last 2 years in last 2 years",-5,IF(BX56="Close to 52 week high or retracement",5,IF(BX56="Blue sky scenario",10,IF(BX56="Long term Downtrend",-10,0))))</f>
        <v/>
      </c>
      <c r="BZ56" s="31" t="inlineStr">
        <is>
          <t>Yes</t>
        </is>
      </c>
      <c r="CA56" s="31">
        <f>IF(BZ56="Yes",10,0)</f>
        <v/>
      </c>
    </row>
    <row r="57">
      <c r="A57" s="31">
        <f>IF(B57=0,"",RANK(B57,$B$2:$B$67,0))</f>
        <v/>
      </c>
      <c r="B57" s="32">
        <f>SUM(N57,Y57,AA57,AC57,AE57,AG57,AI57,AK57,AM57,AO57,AQ57,AS57,AU57,AW57,AY57,BA57,BC57,BE57,BG57,BI57,BK57,BM57,BO57,BQ57,BS57,BU57,BW57,BY57,CA57)</f>
        <v/>
      </c>
      <c r="C57" s="31" t="inlineStr">
        <is>
          <t>UNIONBANK</t>
        </is>
      </c>
      <c r="D57" s="31" t="inlineStr">
        <is>
          <t>Union Bank Of India Ltd</t>
        </is>
      </c>
      <c r="E57" s="31" t="inlineStr">
        <is>
          <t>bank</t>
        </is>
      </c>
      <c r="F57" s="31" t="inlineStr">
        <is>
          <t>banks - public sector</t>
        </is>
      </c>
      <c r="G57" s="31" t="inlineStr">
        <is>
          <t>largecap</t>
        </is>
      </c>
      <c r="H57" s="32" t="n">
        <v>131626.26</v>
      </c>
      <c r="I57" s="32" t="n">
        <v>174.88</v>
      </c>
      <c r="J57" s="32" t="n">
        <v>1.42</v>
      </c>
      <c r="K57" s="32" t="n">
        <v>13759343</v>
      </c>
      <c r="L57" s="31" t="n">
        <v>10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54.39</v>
      </c>
      <c r="P57" s="32" t="n">
        <v>19.34</v>
      </c>
      <c r="Q57" s="32" t="n">
        <v>158.14</v>
      </c>
      <c r="R57" s="31" t="inlineStr">
        <is>
          <t>Earnings / Momentum Support</t>
        </is>
      </c>
      <c r="S57" s="31" t="inlineStr">
        <is>
          <t>Nifty Bank</t>
        </is>
      </c>
      <c r="T57" s="32" t="n">
        <v>1.76</v>
      </c>
      <c r="U57" s="32" t="n">
        <v>18.1</v>
      </c>
      <c r="V57" s="32" t="n">
        <v>16.07</v>
      </c>
      <c r="W57" s="32" t="n">
        <v>3.98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Fragmented with High ROE</t>
        </is>
      </c>
      <c r="AA57" s="31">
        <f>IF(Z57="Fragmented with Low ROE",-5,IF(Z57="Fragmented with High ROE",10,IF(Z57= "highly cyclical",5,0)))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Consistency)",15,IF(AF57="Shallow Cyclical (2 to 3 years growth)",10,IF(AF57 = "Cyclical in an Uptick",5,IF(AF57 = "Cyclical in an Downtick",-10,0))))</f>
        <v/>
      </c>
      <c r="AH57" s="31" t="inlineStr">
        <is>
          <t>Yes</t>
        </is>
      </c>
      <c r="AI57" s="31">
        <f>IF(AH57="Yes",10,0)</f>
        <v/>
      </c>
      <c r="AJ57" s="31" t="inlineStr">
        <is>
          <t>Yes</t>
        </is>
      </c>
      <c r="AK57" s="31">
        <f>IF(AJ57="Yes",10,0)</f>
        <v/>
      </c>
      <c r="AL57" s="31" t="n"/>
      <c r="AM57" s="31">
        <f>IF(AL57="No",10,0)</f>
        <v/>
      </c>
      <c r="AN57" s="31" t="inlineStr">
        <is>
          <t>Yes</t>
        </is>
      </c>
      <c r="AO57" s="31">
        <f>IF(AN57="Yes",10,0)</f>
        <v/>
      </c>
      <c r="AP57" s="31" t="inlineStr">
        <is>
          <t>No</t>
        </is>
      </c>
      <c r="AQ57" s="31">
        <f>IF(AP57="Yes",10,0)</f>
        <v/>
      </c>
      <c r="AR57" s="31" t="inlineStr">
        <is>
          <t>Yes</t>
        </is>
      </c>
      <c r="AS57" s="31">
        <f>IF(AR57="Yes",5,0)</f>
        <v/>
      </c>
      <c r="AT57" s="31" t="inlineStr">
        <is>
          <t>No</t>
        </is>
      </c>
      <c r="AU57" s="31">
        <f>IF(AT57="No",10,IF(AT57="Yes",-10,0))</f>
        <v/>
      </c>
      <c r="AV57" s="31" t="inlineStr">
        <is>
          <t>No</t>
        </is>
      </c>
      <c r="AW57" s="31">
        <f>IF(AV57="No",10,0)</f>
        <v/>
      </c>
      <c r="AX57" s="31" t="inlineStr">
        <is>
          <t>No</t>
        </is>
      </c>
      <c r="AY57" s="31">
        <f>IF(AX57="No",10,IF(AX57= "Yes CEO Resignation",-5,0))</f>
        <v/>
      </c>
      <c r="AZ57" s="31" t="inlineStr">
        <is>
          <t>No</t>
        </is>
      </c>
      <c r="BA57" s="31">
        <f>IF(AZ57="No",10,IF(AZ57="Yes",-5,0))</f>
        <v/>
      </c>
      <c r="BB57" s="31" t="inlineStr">
        <is>
          <t>No</t>
        </is>
      </c>
      <c r="BC57" s="31">
        <f>IF(BB57="No",5,IF(BB57="Yes",-5,0))</f>
        <v/>
      </c>
      <c r="BD57" s="31" t="inlineStr">
        <is>
          <t>Yes</t>
        </is>
      </c>
      <c r="BE57" s="31">
        <f>IF(BD57="Yes",10,0)</f>
        <v/>
      </c>
      <c r="BF57" s="31" t="inlineStr">
        <is>
          <t>Yes</t>
        </is>
      </c>
      <c r="BG57" s="31">
        <f>IF(BF57="Yes",10,0)</f>
        <v/>
      </c>
      <c r="BH57" s="31" t="inlineStr">
        <is>
          <t>Yes</t>
        </is>
      </c>
      <c r="BI57" s="31">
        <f>IF(BH57="Yes",10,0)</f>
        <v/>
      </c>
      <c r="BJ57" s="31" t="inlineStr">
        <is>
          <t>P/BV less than 2.5x and Growth less than 20%</t>
        </is>
      </c>
      <c r="BK57" s="31">
        <f>IF(BJ57="P/BV less than 2.5x and Growth more than 20%",20,IF(BJ57 = "P/BV less than 2.5x and Growth less than 20%",5,IF(BJ57="P/BV between 2.5x to 5x and Growth more than 20%",10,IF(BJ57= "P/BV between 2.5x to 5x and Growth less than 20%",-5,IF(BJ57= "P/BV above 5x",-5,0)))))</f>
        <v/>
      </c>
      <c r="BL57" s="31" t="inlineStr">
        <is>
          <t>0 to 20</t>
        </is>
      </c>
      <c r="BM57" s="31">
        <f>IF(BL57="Above 40",20,IF(BL57="20 to 40",10,IF(BL57="0 to 20",-5,0)))</f>
        <v/>
      </c>
      <c r="BN57" s="31" t="inlineStr">
        <is>
          <t>Between 50 to 75</t>
        </is>
      </c>
      <c r="BO57" s="31">
        <f>IF(BN57="Between 50 to 75",10,IF(BN57="Above 75",0,0))</f>
        <v/>
      </c>
      <c r="BP57" s="31" t="inlineStr">
        <is>
          <t>Stage 2</t>
        </is>
      </c>
      <c r="BQ57" s="31">
        <f>IF(BP57="Stage 2",20,IF(BP57="Stage 1",0,IF(BP57="Stage 3",5,IF(BP57="Stage 4",-5,0))))</f>
        <v/>
      </c>
      <c r="BR57" s="31" t="inlineStr">
        <is>
          <t>Positive Trend</t>
        </is>
      </c>
      <c r="BS57" s="31">
        <f>IF(BR57="Positive Trend",20,IF(BR57="Negative Trend",-10,0))</f>
        <v/>
      </c>
      <c r="BT57" s="31" t="inlineStr">
        <is>
          <t>Uptrend</t>
        </is>
      </c>
      <c r="BU57" s="31">
        <f>IF(BT57="Uptrend",10,IF(BT57="Sideways",5,0))</f>
        <v/>
      </c>
      <c r="BV57" s="31" t="inlineStr">
        <is>
          <t>Uptrend</t>
        </is>
      </c>
      <c r="BW57" s="31">
        <f>IF(BV57="Uptrend",10,IF(BV57="Sideways",5,0))</f>
        <v/>
      </c>
      <c r="BX57" s="31" t="inlineStr">
        <is>
          <t>Close to 52 week high or retracement</t>
        </is>
      </c>
      <c r="BY57" s="31">
        <f>IF(BX57="Overhead supply in last 2 years in last 2 years",-5,IF(BX57="Close to 52 week high or retracement",5,IF(BX57="Blue sky scenario",10,IF(BX57="Long term Downtrend",-10,0))))</f>
        <v/>
      </c>
      <c r="BZ57" s="31" t="inlineStr">
        <is>
          <t>Yes</t>
        </is>
      </c>
      <c r="CA57" s="31">
        <f>IF(BZ57="Yes",10,0)</f>
        <v/>
      </c>
    </row>
    <row r="58">
      <c r="A58" s="31">
        <f>IF(B58=0,"",RANK(B58,$B$2:$B$67,0))</f>
        <v/>
      </c>
      <c r="B58" s="32">
        <f>SUM(N58,Y58,AA58,AC58,AE58,AG58,AI58,AK58,AM58,AO58,AQ58,AS58,AU58,AW58,AY58,BA58,BC58,BE58,BG58,BI58,BK58,BM58,BO58,BQ58,BS58,BU58,BW58,BY58,CA58)</f>
        <v/>
      </c>
      <c r="C58" s="33" t="inlineStr">
        <is>
          <t>IDFCFIRSTB</t>
        </is>
      </c>
      <c r="D58" s="33" t="inlineStr">
        <is>
          <t>IDFC First Bank Ltd</t>
        </is>
      </c>
      <c r="E58" s="31" t="inlineStr">
        <is>
          <t>bank</t>
        </is>
      </c>
      <c r="F58" s="31" t="inlineStr">
        <is>
          <t>banks - private sector</t>
        </is>
      </c>
      <c r="G58" s="31" t="inlineStr">
        <is>
          <t>largecap</t>
        </is>
      </c>
      <c r="H58" s="32" t="n">
        <v>68374.91</v>
      </c>
      <c r="I58" s="32" t="n">
        <v>78.93000000000001</v>
      </c>
      <c r="J58" s="32" t="n">
        <v>-0.7</v>
      </c>
      <c r="K58" s="32" t="n">
        <v>15942043</v>
      </c>
      <c r="L58" s="31" t="n">
        <v>32</v>
      </c>
      <c r="M58" s="31" t="inlineStr">
        <is>
          <t>Underperforming</t>
        </is>
      </c>
      <c r="N58" s="32">
        <f>IF(M58="Underperforming",-5,IF(L58&gt;=95,15,IF(L58&gt;=90,10,IF(L58&gt;=80,5,0))))</f>
        <v/>
      </c>
      <c r="O58" s="32" t="n">
        <v>59.28</v>
      </c>
      <c r="P58" s="32" t="n">
        <v>22.09</v>
      </c>
      <c r="Q58" s="32" t="n">
        <v>66.59</v>
      </c>
      <c r="R58" s="31" t="inlineStr">
        <is>
          <t>Earnings / Momentum Support</t>
        </is>
      </c>
      <c r="S58" s="31" t="inlineStr">
        <is>
          <t>Nifty Bank</t>
        </is>
      </c>
      <c r="T58" s="32" t="n">
        <v>1.76</v>
      </c>
      <c r="U58" s="32" t="n">
        <v>1.68</v>
      </c>
      <c r="V58" s="32" t="n">
        <v>-0.07000000000000001</v>
      </c>
      <c r="W58" s="32" t="n">
        <v>9.119999999999999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Fragmented with High ROE</t>
        </is>
      </c>
      <c r="AA58" s="31">
        <f>IF(Z58="Fragmented with Low ROE",-5,IF(Z58="Fragmented with High ROE",10,IF(Z58= "highly cyclical",5,0)))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Headwind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Consistency)",15,IF(AF58="Shallow Cyclical (2 to 3 years growth)",10,IF(AF58 = "Cyclical in an Uptick",5,IF(AF58 = "Cyclical in an Downtick",-10,0))))</f>
        <v/>
      </c>
      <c r="AH58" s="31" t="inlineStr">
        <is>
          <t>Yes</t>
        </is>
      </c>
      <c r="AI58" s="31">
        <f>IF(AH58="Yes",10,0)</f>
        <v/>
      </c>
      <c r="AJ58" s="31" t="inlineStr">
        <is>
          <t>Yes</t>
        </is>
      </c>
      <c r="AK58" s="31">
        <f>IF(AJ58="Yes",10,0)</f>
        <v/>
      </c>
      <c r="AL58" s="31" t="n"/>
      <c r="AM58" s="31">
        <f>IF(AL58="No",10,0)</f>
        <v/>
      </c>
      <c r="AN58" s="31" t="inlineStr">
        <is>
          <t>Yes</t>
        </is>
      </c>
      <c r="AO58" s="31">
        <f>IF(AN58="Yes",10,0)</f>
        <v/>
      </c>
      <c r="AP58" s="31" t="inlineStr">
        <is>
          <t>No</t>
        </is>
      </c>
      <c r="AQ58" s="31">
        <f>IF(AP58="Yes",10,0)</f>
        <v/>
      </c>
      <c r="AR58" s="31" t="inlineStr">
        <is>
          <t>Yes</t>
        </is>
      </c>
      <c r="AS58" s="31">
        <f>IF(AR58="Yes",5,0)</f>
        <v/>
      </c>
      <c r="AT58" s="31" t="inlineStr">
        <is>
          <t>No</t>
        </is>
      </c>
      <c r="AU58" s="31">
        <f>IF(AT58="No",10,IF(AT58="Yes",-10,0))</f>
        <v/>
      </c>
      <c r="AV58" s="31" t="inlineStr">
        <is>
          <t>No</t>
        </is>
      </c>
      <c r="AW58" s="31">
        <f>IF(AV58="No",10,0)</f>
        <v/>
      </c>
      <c r="AX58" s="31" t="inlineStr">
        <is>
          <t>No</t>
        </is>
      </c>
      <c r="AY58" s="31">
        <f>IF(AX58="No",10,IF(AX58= "Yes CEO Resignation",-5,0))</f>
        <v/>
      </c>
      <c r="AZ58" s="31" t="inlineStr">
        <is>
          <t>No</t>
        </is>
      </c>
      <c r="BA58" s="31">
        <f>IF(AZ58="No",10,IF(AZ58="Yes",-5,0))</f>
        <v/>
      </c>
      <c r="BB58" s="31" t="inlineStr">
        <is>
          <t>No</t>
        </is>
      </c>
      <c r="BC58" s="31">
        <f>IF(BB58="No",5,IF(BB58="Yes",-5,0))</f>
        <v/>
      </c>
      <c r="BD58" s="31" t="inlineStr">
        <is>
          <t>Yes</t>
        </is>
      </c>
      <c r="BE58" s="31">
        <f>IF(BD58="Yes",10,0)</f>
        <v/>
      </c>
      <c r="BF58" s="31" t="inlineStr">
        <is>
          <t>Yes</t>
        </is>
      </c>
      <c r="BG58" s="31">
        <f>IF(BF58="Yes",10,0)</f>
        <v/>
      </c>
      <c r="BH58" s="31" t="inlineStr">
        <is>
          <t>Yes</t>
        </is>
      </c>
      <c r="BI58" s="31">
        <f>IF(BH58="Yes",10,0)</f>
        <v/>
      </c>
      <c r="BJ58" s="31" t="inlineStr">
        <is>
          <t>P/BV less than 2.5x and Growth less than 20%</t>
        </is>
      </c>
      <c r="BK58" s="31">
        <f>IF(BJ58="P/BV less than 2.5x and Growth more than 20%",20,IF(BJ58 = "P/BV less than 2.5x and Growth less than 20%",5,IF(BJ58="P/BV between 2.5x to 5x and Growth more than 20%",10,IF(BJ58= "P/BV between 2.5x to 5x and Growth less than 20%",-5,IF(BJ58= "P/BV above 5x",-5,0)))))</f>
        <v/>
      </c>
      <c r="BL58" s="31" t="inlineStr">
        <is>
          <t>20 to 40</t>
        </is>
      </c>
      <c r="BM58" s="31">
        <f>IF(BL58="Above 40",20,IF(BL58="20 to 40",10,IF(BL58="0 to 20",-5,0)))</f>
        <v/>
      </c>
      <c r="BN58" s="31" t="inlineStr">
        <is>
          <t>Between 50 to 75</t>
        </is>
      </c>
      <c r="BO58" s="31">
        <f>IF(BN58="Between 50 to 75",10,IF(BN58="Above 75",0,0))</f>
        <v/>
      </c>
      <c r="BP58" s="31" t="inlineStr">
        <is>
          <t>Stage 2</t>
        </is>
      </c>
      <c r="BQ58" s="31">
        <f>IF(BP58="Stage 2",20,IF(BP58="Stage 1",0,IF(BP58="Stage 3",5,IF(BP58="Stage 4",-5,0))))</f>
        <v/>
      </c>
      <c r="BR58" s="31" t="inlineStr">
        <is>
          <t>Positive Trend</t>
        </is>
      </c>
      <c r="BS58" s="31">
        <f>IF(BR58="Positive Trend",20,IF(BR58="Negative Trend",-10,0))</f>
        <v/>
      </c>
      <c r="BT58" s="31" t="inlineStr">
        <is>
          <t>Uptrend</t>
        </is>
      </c>
      <c r="BU58" s="31">
        <f>IF(BT58="Uptrend",10,IF(BT58="Sideways",5,0))</f>
        <v/>
      </c>
      <c r="BV58" s="31" t="inlineStr">
        <is>
          <t>Uptrend</t>
        </is>
      </c>
      <c r="BW58" s="31">
        <f>IF(BV58="Uptrend",10,IF(BV58="Sideways",5,0))</f>
        <v/>
      </c>
      <c r="BX58" s="31" t="inlineStr">
        <is>
          <t>Close to 52 week high or retracement</t>
        </is>
      </c>
      <c r="BY58" s="31">
        <f>IF(BX58="Overhead supply in last 2 years in last 2 years",-5,IF(BX58="Close to 52 week high or retracement",5,IF(BX58="Blue sky scenario",10,IF(BX58="Long term Downtrend",-10,0))))</f>
        <v/>
      </c>
      <c r="BZ58" s="31" t="inlineStr">
        <is>
          <t>Yes</t>
        </is>
      </c>
      <c r="CA58" s="31">
        <f>IF(BZ58="Yes",10,0)</f>
        <v/>
      </c>
    </row>
    <row r="59">
      <c r="A59" s="31">
        <f>IF(B59=0,"",RANK(B59,$B$2:$B$67,0))</f>
        <v/>
      </c>
      <c r="B59" s="32">
        <f>SUM(N59,Y59,AA59,AC59,AE59,AG59,AI59,AK59,AM59,AO59,AQ59,AS59,AU59,AW59,AY59,BA59,BC59,BE59,BG59,BI59,BK59,BM59,BO59,BQ59,BS59,BU59,BW59,BY59,CA59)</f>
        <v/>
      </c>
      <c r="C59" s="31" t="inlineStr">
        <is>
          <t>RELIGARE</t>
        </is>
      </c>
      <c r="D59" s="31" t="inlineStr">
        <is>
          <t>Religare Enterprises Limited</t>
        </is>
      </c>
      <c r="E59" s="31" t="inlineStr">
        <is>
          <t>financials</t>
        </is>
      </c>
      <c r="F59" s="31" t="inlineStr">
        <is>
          <t>finance &amp; investments</t>
        </is>
      </c>
      <c r="G59" s="31" t="inlineStr">
        <is>
          <t>midcap</t>
        </is>
      </c>
      <c r="H59" s="32" t="n">
        <v>9222.18</v>
      </c>
      <c r="I59" s="32" t="n">
        <v>264.4</v>
      </c>
      <c r="J59" s="32" t="n">
        <v>-2.17</v>
      </c>
      <c r="K59" s="32" t="n">
        <v>934376</v>
      </c>
      <c r="L59" s="31" t="n">
        <v>26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62.27</v>
      </c>
      <c r="P59" s="32" t="n">
        <v>13.15</v>
      </c>
      <c r="Q59" s="32" t="n">
        <v>219.74</v>
      </c>
      <c r="R59" s="31" t="inlineStr">
        <is>
          <t>Near 52W High Breakout</t>
        </is>
      </c>
      <c r="S59" s="31" t="inlineStr">
        <is>
          <t>Nifty Bank</t>
        </is>
      </c>
      <c r="T59" s="32" t="n">
        <v>1.76</v>
      </c>
      <c r="U59" s="32" t="n">
        <v>18.97</v>
      </c>
      <c r="V59" s="32" t="n">
        <v>16.91</v>
      </c>
      <c r="W59" s="32" t="n">
        <v>7.66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Fragmented with High ROE</t>
        </is>
      </c>
      <c r="AA59" s="31">
        <f>IF(Z59="Fragmented with Low ROE",-5,IF(Z59="Fragmented with High ROE",10,IF(Z59= "highly cyclical",5,0)))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Consistency)",15,IF(AF59="Shallow Cyclical (2 to 3 years growth)",10,IF(AF59 = "Cyclical in an Uptick",5,IF(AF59 = "Cyclical in an Downtick",-10,0))))</f>
        <v/>
      </c>
      <c r="AH59" s="31" t="inlineStr">
        <is>
          <t>Yes</t>
        </is>
      </c>
      <c r="AI59" s="31">
        <f>IF(AH59="Yes",10,0)</f>
        <v/>
      </c>
      <c r="AJ59" s="31" t="inlineStr">
        <is>
          <t>Yes</t>
        </is>
      </c>
      <c r="AK59" s="31">
        <f>IF(AJ59="Yes",10,0)</f>
        <v/>
      </c>
      <c r="AL59" s="31" t="n"/>
      <c r="AM59" s="31">
        <f>IF(AL59="No",10,0)</f>
        <v/>
      </c>
      <c r="AN59" s="31" t="inlineStr">
        <is>
          <t>Yes</t>
        </is>
      </c>
      <c r="AO59" s="31">
        <f>IF(AN59="Yes",10,0)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Yes</t>
        </is>
      </c>
      <c r="AS59" s="31">
        <f>IF(AR59="Yes",5,0)</f>
        <v/>
      </c>
      <c r="AT59" s="31" t="inlineStr">
        <is>
          <t>No</t>
        </is>
      </c>
      <c r="AU59" s="31">
        <f>IF(AT59="No",10,IF(AT59="Yes",-10,0))</f>
        <v/>
      </c>
      <c r="AV59" s="31" t="inlineStr">
        <is>
          <t>No</t>
        </is>
      </c>
      <c r="AW59" s="31">
        <f>IF(AV59="No",10,0)</f>
        <v/>
      </c>
      <c r="AX59" s="31" t="inlineStr">
        <is>
          <t>No</t>
        </is>
      </c>
      <c r="AY59" s="31">
        <f>IF(AX59="No",10,IF(AX59= "Yes CEO Resignation",-5,0))</f>
        <v/>
      </c>
      <c r="AZ59" s="31" t="inlineStr">
        <is>
          <t>No</t>
        </is>
      </c>
      <c r="BA59" s="31">
        <f>IF(AZ59="No",10,IF(AZ59="Yes",-5,0))</f>
        <v/>
      </c>
      <c r="BB59" s="31" t="inlineStr">
        <is>
          <t>No</t>
        </is>
      </c>
      <c r="BC59" s="31">
        <f>IF(BB59="No",5,IF(BB59="Yes",-5,0))</f>
        <v/>
      </c>
      <c r="BD59" s="31" t="inlineStr">
        <is>
          <t>Yes</t>
        </is>
      </c>
      <c r="BE59" s="31">
        <f>IF(BD59="Yes",10,0)</f>
        <v/>
      </c>
      <c r="BF59" s="31" t="inlineStr">
        <is>
          <t>Yes</t>
        </is>
      </c>
      <c r="BG59" s="31">
        <f>IF(BF59="Yes",10,0)</f>
        <v/>
      </c>
      <c r="BH59" s="31" t="inlineStr">
        <is>
          <t>Yes</t>
        </is>
      </c>
      <c r="BI59" s="31">
        <f>IF(BH59="Yes",10,0)</f>
        <v/>
      </c>
      <c r="BJ59" s="31" t="inlineStr">
        <is>
          <t>P/BV between 2.5x to 5x and Growth less than 20%</t>
        </is>
      </c>
      <c r="BK59" s="31">
        <f>IF(BJ59="P/BV less than 2.5x and Growth more than 20%",20,IF(BJ59 = "P/BV less than 2.5x and Growth less than 20%",5,IF(BJ59="P/BV between 2.5x to 5x and Growth more than 20%",10,IF(BJ59= "P/BV between 2.5x to 5x and Growth less than 20%",-5,IF(BJ59= "P/BV above 5x",-5,0)))))</f>
        <v/>
      </c>
      <c r="BL59" s="31" t="inlineStr">
        <is>
          <t>0 to 20</t>
        </is>
      </c>
      <c r="BM59" s="31">
        <f>IF(BL59="Above 40",20,IF(BL59="20 to 40",10,IF(BL59="0 to 20",-5,0)))</f>
        <v/>
      </c>
      <c r="BN59" s="31" t="inlineStr">
        <is>
          <t>Between 50 to 75</t>
        </is>
      </c>
      <c r="BO59" s="31">
        <f>IF(BN59="Between 50 to 75",10,IF(BN59="Above 75",0,0))</f>
        <v/>
      </c>
      <c r="BP59" s="31" t="inlineStr">
        <is>
          <t>Stage 2</t>
        </is>
      </c>
      <c r="BQ59" s="31">
        <f>IF(BP59="Stage 2",20,IF(BP59="Stage 1",0,IF(BP59="Stage 3",5,IF(BP59="Stage 4",-5,0))))</f>
        <v/>
      </c>
      <c r="BR59" s="31" t="inlineStr">
        <is>
          <t>Positive Trend</t>
        </is>
      </c>
      <c r="BS59" s="31">
        <f>IF(BR59="Positive Trend",20,IF(BR59="Negative Trend",-10,0))</f>
        <v/>
      </c>
      <c r="BT59" s="31" t="inlineStr">
        <is>
          <t>Uptrend</t>
        </is>
      </c>
      <c r="BU59" s="31">
        <f>IF(BT59="Uptrend",10,IF(BT59="Sideways",5,0))</f>
        <v/>
      </c>
      <c r="BV59" s="31" t="inlineStr">
        <is>
          <t>Uptrend</t>
        </is>
      </c>
      <c r="BW59" s="31">
        <f>IF(BV59="Uptrend",10,IF(BV59="Sideways",5,0))</f>
        <v/>
      </c>
      <c r="BX59" s="31" t="inlineStr">
        <is>
          <t>Close to 52 week high or retracement</t>
        </is>
      </c>
      <c r="BY59" s="31">
        <f>IF(BX59="Overhead supply in last 2 years in last 2 years",-5,IF(BX59="Close to 52 week high or retracement",5,IF(BX59="Blue sky scenario",10,IF(BX59="Long term Downtrend",-10,0))))</f>
        <v/>
      </c>
      <c r="BZ59" s="31" t="inlineStr">
        <is>
          <t>Yes</t>
        </is>
      </c>
      <c r="CA59" s="31">
        <f>IF(BZ59="Yes",10,0)</f>
        <v/>
      </c>
    </row>
    <row r="60">
      <c r="A60" s="31">
        <f>IF(B60=0,"",RANK(B60,$B$2:$B$67,0))</f>
        <v/>
      </c>
      <c r="B60" s="32">
        <f>SUM(N60,Y60,AA60,AC60,AE60,AG60,AI60,AK60,AM60,AO60,AQ60,AS60,AU60,AW60,AY60,BA60,BC60,BE60,BG60,BI60,BK60,BM60,BO60,BQ60,BS60,BU60,BW60,BY60,CA60)</f>
        <v/>
      </c>
      <c r="C60" s="33" t="inlineStr">
        <is>
          <t>5PAISA</t>
        </is>
      </c>
      <c r="D60" s="33" t="inlineStr">
        <is>
          <t>5Paisa Capital Ltd</t>
        </is>
      </c>
      <c r="E60" s="31" t="inlineStr">
        <is>
          <t>financials</t>
        </is>
      </c>
      <c r="F60" s="31" t="inlineStr">
        <is>
          <t>finance &amp; investments</t>
        </is>
      </c>
      <c r="G60" s="31" t="inlineStr">
        <is>
          <t>smallcap</t>
        </is>
      </c>
      <c r="H60" s="32" t="n">
        <v>1668.77</v>
      </c>
      <c r="I60" s="32" t="n">
        <v>363.45</v>
      </c>
      <c r="J60" s="32" t="n">
        <v>2.11</v>
      </c>
      <c r="K60" s="32" t="n">
        <v>156474</v>
      </c>
      <c r="L60" s="31" t="n">
        <v>12</v>
      </c>
      <c r="M60" s="31" t="inlineStr">
        <is>
          <t>Underperforming</t>
        </is>
      </c>
      <c r="N60" s="32">
        <f>IF(M60="Underperforming",-5,IF(L60&gt;=95,15,IF(L60&gt;=90,10,IF(L60&gt;=80,5,0))))</f>
        <v/>
      </c>
      <c r="O60" s="32" t="n">
        <v>60.24</v>
      </c>
      <c r="P60" s="32" t="n">
        <v>12.02</v>
      </c>
      <c r="Q60" s="32" t="n">
        <v>270.14</v>
      </c>
      <c r="R60" s="31" t="inlineStr">
        <is>
          <t>Earnings / Momentum Support</t>
        </is>
      </c>
      <c r="S60" s="31" t="inlineStr">
        <is>
          <t>Nifty Bank</t>
        </is>
      </c>
      <c r="T60" s="32" t="n">
        <v>1.76</v>
      </c>
      <c r="U60" s="32" t="n">
        <v>-12.13</v>
      </c>
      <c r="V60" s="32" t="n">
        <v>-13.64</v>
      </c>
      <c r="W60" s="32" t="n">
        <v>4.35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Fragmented with High ROE</t>
        </is>
      </c>
      <c r="AA60" s="31">
        <f>IF(Z60="Fragmented with Low ROE",-5,IF(Z60="Fragmented with High ROE",10,IF(Z60= "highly cyclical",5,0)))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Consistency)",15,IF(AF60="Shallow Cyclical (2 to 3 years growth)",10,IF(AF60 = "Cyclical in an Uptick",5,IF(AF60 = "Cyclical in an Downtick",-10,0))))</f>
        <v/>
      </c>
      <c r="AH60" s="31" t="inlineStr">
        <is>
          <t>Yes</t>
        </is>
      </c>
      <c r="AI60" s="31">
        <f>IF(AH60="Yes",10,0)</f>
        <v/>
      </c>
      <c r="AJ60" s="31" t="inlineStr">
        <is>
          <t>Yes</t>
        </is>
      </c>
      <c r="AK60" s="31">
        <f>IF(AJ60="Yes",10,0)</f>
        <v/>
      </c>
      <c r="AL60" s="31" t="n"/>
      <c r="AM60" s="31">
        <f>IF(AL60="No",10,0)</f>
        <v/>
      </c>
      <c r="AN60" s="31" t="inlineStr">
        <is>
          <t>Yes</t>
        </is>
      </c>
      <c r="AO60" s="31">
        <f>IF(AN60="Yes",10,0)</f>
        <v/>
      </c>
      <c r="AP60" s="31" t="inlineStr">
        <is>
          <t>No</t>
        </is>
      </c>
      <c r="AQ60" s="31">
        <f>IF(AP60="Yes",10,0)</f>
        <v/>
      </c>
      <c r="AR60" s="31" t="inlineStr">
        <is>
          <t>Yes</t>
        </is>
      </c>
      <c r="AS60" s="31">
        <f>IF(AR60="Yes",5,0)</f>
        <v/>
      </c>
      <c r="AT60" s="31" t="inlineStr">
        <is>
          <t>No</t>
        </is>
      </c>
      <c r="AU60" s="31">
        <f>IF(AT60="No",10,IF(AT60="Yes",-10,0))</f>
        <v/>
      </c>
      <c r="AV60" s="31" t="inlineStr">
        <is>
          <t>No</t>
        </is>
      </c>
      <c r="AW60" s="31">
        <f>IF(AV60="No",10,0)</f>
        <v/>
      </c>
      <c r="AX60" s="31" t="inlineStr">
        <is>
          <t>No</t>
        </is>
      </c>
      <c r="AY60" s="31">
        <f>IF(AX60="No",10,IF(AX60= "Yes CEO Resignation",-5,0))</f>
        <v/>
      </c>
      <c r="AZ60" s="31" t="inlineStr">
        <is>
          <t>No</t>
        </is>
      </c>
      <c r="BA60" s="31">
        <f>IF(AZ60="No",10,IF(AZ60="Yes",-5,0))</f>
        <v/>
      </c>
      <c r="BB60" s="31" t="inlineStr">
        <is>
          <t>No</t>
        </is>
      </c>
      <c r="BC60" s="31">
        <f>IF(BB60="No",5,IF(BB60="Yes",-5,0))</f>
        <v/>
      </c>
      <c r="BD60" s="31" t="inlineStr">
        <is>
          <t>Yes</t>
        </is>
      </c>
      <c r="BE60" s="31">
        <f>IF(BD60="Yes",10,0)</f>
        <v/>
      </c>
      <c r="BF60" s="31" t="inlineStr">
        <is>
          <t>Yes</t>
        </is>
      </c>
      <c r="BG60" s="31">
        <f>IF(BF60="Yes",10,0)</f>
        <v/>
      </c>
      <c r="BH60" s="31" t="inlineStr">
        <is>
          <t>Yes</t>
        </is>
      </c>
      <c r="BI60" s="31">
        <f>IF(BH60="Yes",10,0)</f>
        <v/>
      </c>
      <c r="BJ60" s="31" t="inlineStr">
        <is>
          <t>P/BV less than 2.5x and Growth less than 20%</t>
        </is>
      </c>
      <c r="BK60" s="31">
        <f>IF(BJ60="P/BV less than 2.5x and Growth more than 20%",20,IF(BJ60 = "P/BV less than 2.5x and Growth less than 20%",5,IF(BJ60="P/BV between 2.5x to 5x and Growth more than 20%",10,IF(BJ60= "P/BV between 2.5x to 5x and Growth less than 20%",-5,IF(BJ60= "P/BV above 5x",-5,0)))))</f>
        <v/>
      </c>
      <c r="BL60" s="31" t="inlineStr">
        <is>
          <t>0 to 20</t>
        </is>
      </c>
      <c r="BM60" s="31">
        <f>IF(BL60="Above 40",20,IF(BL60="20 to 40",10,IF(BL60="0 to 20",-5,0)))</f>
        <v/>
      </c>
      <c r="BN60" s="31" t="inlineStr">
        <is>
          <t>Between 50 to 75</t>
        </is>
      </c>
      <c r="BO60" s="31">
        <f>IF(BN60="Between 50 to 75",10,IF(BN60="Above 75",0,0))</f>
        <v/>
      </c>
      <c r="BP60" s="31" t="inlineStr">
        <is>
          <t>Stage 2</t>
        </is>
      </c>
      <c r="BQ60" s="31">
        <f>IF(BP60="Stage 2",20,IF(BP60="Stage 1",0,IF(BP60="Stage 3",5,IF(BP60="Stage 4",-5,0))))</f>
        <v/>
      </c>
      <c r="BR60" s="31" t="inlineStr">
        <is>
          <t>Positive Trend</t>
        </is>
      </c>
      <c r="BS60" s="31">
        <f>IF(BR60="Positive Trend",20,IF(BR60="Negative Trend",-10,0))</f>
        <v/>
      </c>
      <c r="BT60" s="31" t="inlineStr">
        <is>
          <t>Uptrend</t>
        </is>
      </c>
      <c r="BU60" s="31">
        <f>IF(BT60="Uptrend",10,IF(BT60="Sideways",5,0))</f>
        <v/>
      </c>
      <c r="BV60" s="31" t="inlineStr">
        <is>
          <t>Uptrend</t>
        </is>
      </c>
      <c r="BW60" s="31">
        <f>IF(BV60="Uptrend",10,IF(BV60="Sideways",5,0))</f>
        <v/>
      </c>
      <c r="BX60" s="31" t="inlineStr">
        <is>
          <t>Close to 52 week high or retracement</t>
        </is>
      </c>
      <c r="BY60" s="31">
        <f>IF(BX60="Overhead supply in last 2 years in last 2 years",-5,IF(BX60="Close to 52 week high or retracement",5,IF(BX60="Blue sky scenario",10,IF(BX60="Long term Downtrend",-10,0))))</f>
        <v/>
      </c>
      <c r="BZ60" s="31" t="inlineStr">
        <is>
          <t>Yes</t>
        </is>
      </c>
      <c r="CA60" s="31">
        <f>IF(BZ60="Yes",10,0)</f>
        <v/>
      </c>
    </row>
    <row r="61">
      <c r="A61" s="31">
        <f>IF(B61=0,"",RANK(B61,$B$2:$B$67,0))</f>
        <v/>
      </c>
      <c r="B61" s="32">
        <f>SUM(N61,Y61,AA61,AC61,AE61,AG61,AI61,AK61,AM61,AO61,AQ61,AS61,AU61,AW61,AY61,BA61,BC61,BE61,BG61,BI61,BK61,BM61,BO61,BQ61,BS61,BU61,BW61,BY61,CA61)</f>
        <v/>
      </c>
      <c r="C61" s="31" t="inlineStr">
        <is>
          <t>CHOICEIN</t>
        </is>
      </c>
      <c r="D61" s="31" t="inlineStr">
        <is>
          <t>Choice International Ltd</t>
        </is>
      </c>
      <c r="E61" s="31" t="inlineStr">
        <is>
          <t>financials</t>
        </is>
      </c>
      <c r="F61" s="31" t="inlineStr">
        <is>
          <t>finance &amp; investments</t>
        </is>
      </c>
      <c r="G61" s="31" t="inlineStr">
        <is>
          <t>midcap</t>
        </is>
      </c>
      <c r="H61" s="32" t="n">
        <v>16779.53</v>
      </c>
      <c r="I61" s="32" t="n">
        <v>763.85</v>
      </c>
      <c r="J61" s="32" t="n">
        <v>1.41</v>
      </c>
      <c r="K61" s="32" t="n">
        <v>848015</v>
      </c>
      <c r="L61" s="31" t="n">
        <v>19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57.97</v>
      </c>
      <c r="P61" s="32" t="n">
        <v>20.31</v>
      </c>
      <c r="Q61" s="32" t="n">
        <v>619.21</v>
      </c>
      <c r="R61" s="31" t="inlineStr">
        <is>
          <t>Earnings / Momentum Support</t>
        </is>
      </c>
      <c r="S61" s="31" t="inlineStr">
        <is>
          <t>Nifty Bank</t>
        </is>
      </c>
      <c r="T61" s="32" t="n">
        <v>1.76</v>
      </c>
      <c r="U61" s="32" t="n">
        <v>4.01</v>
      </c>
      <c r="V61" s="32" t="n">
        <v>2.22</v>
      </c>
      <c r="W61" s="32" t="n">
        <v>6.13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Fragmented with High ROE</t>
        </is>
      </c>
      <c r="AA61" s="31">
        <f>IF(Z61="Fragmented with Low ROE",-5,IF(Z61="Fragmented with High ROE",10,IF(Z61= "highly cyclical",5,0)))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Headwind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Consistency)",15,IF(AF61="Shallow Cyclical (2 to 3 years growth)",10,IF(AF61 = "Cyclical in an Uptick",5,IF(AF61 = "Cyclical in an Downtick",-10,0))))</f>
        <v/>
      </c>
      <c r="AH61" s="31" t="inlineStr">
        <is>
          <t>Yes</t>
        </is>
      </c>
      <c r="AI61" s="31">
        <f>IF(AH61="Yes",10,0)</f>
        <v/>
      </c>
      <c r="AJ61" s="31" t="inlineStr">
        <is>
          <t>Yes</t>
        </is>
      </c>
      <c r="AK61" s="31">
        <f>IF(AJ61="Yes",10,0)</f>
        <v/>
      </c>
      <c r="AL61" s="31" t="n"/>
      <c r="AM61" s="31">
        <f>IF(AL61="No",10,0)</f>
        <v/>
      </c>
      <c r="AN61" s="31" t="inlineStr">
        <is>
          <t>Yes</t>
        </is>
      </c>
      <c r="AO61" s="31">
        <f>IF(AN61="Yes",10,0)</f>
        <v/>
      </c>
      <c r="AP61" s="31" t="inlineStr">
        <is>
          <t>No</t>
        </is>
      </c>
      <c r="AQ61" s="31">
        <f>IF(AP61="Yes",10,0)</f>
        <v/>
      </c>
      <c r="AR61" s="31" t="inlineStr">
        <is>
          <t>Yes</t>
        </is>
      </c>
      <c r="AS61" s="31">
        <f>IF(AR61="Yes",5,0)</f>
        <v/>
      </c>
      <c r="AT61" s="31" t="inlineStr">
        <is>
          <t>No</t>
        </is>
      </c>
      <c r="AU61" s="31">
        <f>IF(AT61="No",10,IF(AT61="Yes",-10,0))</f>
        <v/>
      </c>
      <c r="AV61" s="31" t="inlineStr">
        <is>
          <t>No</t>
        </is>
      </c>
      <c r="AW61" s="31">
        <f>IF(AV61="No",10,0)</f>
        <v/>
      </c>
      <c r="AX61" s="31" t="inlineStr">
        <is>
          <t>No</t>
        </is>
      </c>
      <c r="AY61" s="31">
        <f>IF(AX61="No",10,IF(AX61= "Yes CEO Resignation",-5,0))</f>
        <v/>
      </c>
      <c r="AZ61" s="31" t="inlineStr">
        <is>
          <t>No</t>
        </is>
      </c>
      <c r="BA61" s="31">
        <f>IF(AZ61="No",10,IF(AZ61="Yes",-5,0))</f>
        <v/>
      </c>
      <c r="BB61" s="31" t="inlineStr">
        <is>
          <t>No</t>
        </is>
      </c>
      <c r="BC61" s="31">
        <f>IF(BB61="No",5,IF(BB61="Yes",-5,0))</f>
        <v/>
      </c>
      <c r="BD61" s="31" t="inlineStr">
        <is>
          <t>Yes</t>
        </is>
      </c>
      <c r="BE61" s="31">
        <f>IF(BD61="Yes",10,0)</f>
        <v/>
      </c>
      <c r="BF61" s="31" t="inlineStr">
        <is>
          <t>Yes</t>
        </is>
      </c>
      <c r="BG61" s="31">
        <f>IF(BF61="Yes",10,0)</f>
        <v/>
      </c>
      <c r="BH61" s="31" t="inlineStr">
        <is>
          <t>Yes</t>
        </is>
      </c>
      <c r="BI61" s="31">
        <f>IF(BH61="Yes",10,0)</f>
        <v/>
      </c>
      <c r="BJ61" s="31" t="inlineStr">
        <is>
          <t>P/BV above 5x</t>
        </is>
      </c>
      <c r="BK61" s="31">
        <f>IF(BJ61="P/BV less than 2.5x and Growth more than 20%",20,IF(BJ61 = "P/BV less than 2.5x and Growth less than 20%",5,IF(BJ61="P/BV between 2.5x to 5x and Growth more than 20%",10,IF(BJ61= "P/BV between 2.5x to 5x and Growth less than 20%",-5,IF(BJ61= "P/BV above 5x",-5,0)))))</f>
        <v/>
      </c>
      <c r="BL61" s="31" t="inlineStr">
        <is>
          <t>20 to 40</t>
        </is>
      </c>
      <c r="BM61" s="31">
        <f>IF(BL61="Above 40",20,IF(BL61="20 to 40",10,IF(BL61="0 to 20",-5,0)))</f>
        <v/>
      </c>
      <c r="BN61" s="31" t="inlineStr">
        <is>
          <t>Between 50 to 75</t>
        </is>
      </c>
      <c r="BO61" s="31">
        <f>IF(BN61="Between 50 to 75",10,IF(BN61="Above 75",0,0))</f>
        <v/>
      </c>
      <c r="BP61" s="31" t="inlineStr">
        <is>
          <t>Stage 2</t>
        </is>
      </c>
      <c r="BQ61" s="31">
        <f>IF(BP61="Stage 2",20,IF(BP61="Stage 1",0,IF(BP61="Stage 3",5,IF(BP61="Stage 4",-5,0))))</f>
        <v/>
      </c>
      <c r="BR61" s="31" t="inlineStr">
        <is>
          <t>Positive Trend</t>
        </is>
      </c>
      <c r="BS61" s="31">
        <f>IF(BR61="Positive Trend",20,IF(BR61="Negative Trend",-10,0))</f>
        <v/>
      </c>
      <c r="BT61" s="31" t="inlineStr">
        <is>
          <t>Uptrend</t>
        </is>
      </c>
      <c r="BU61" s="31">
        <f>IF(BT61="Uptrend",10,IF(BT61="Sideways",5,0))</f>
        <v/>
      </c>
      <c r="BV61" s="31" t="inlineStr">
        <is>
          <t>Uptrend</t>
        </is>
      </c>
      <c r="BW61" s="31">
        <f>IF(BV61="Uptrend",10,IF(BV61="Sideways",5,0))</f>
        <v/>
      </c>
      <c r="BX61" s="31" t="inlineStr">
        <is>
          <t>Close to 52 week high or retracement</t>
        </is>
      </c>
      <c r="BY61" s="31">
        <f>IF(BX61="Overhead supply in last 2 years in last 2 years",-5,IF(BX61="Close to 52 week high or retracement",5,IF(BX61="Blue sky scenario",10,IF(BX61="Long term Downtrend",-10,0))))</f>
        <v/>
      </c>
      <c r="BZ61" s="31" t="inlineStr">
        <is>
          <t>Yes</t>
        </is>
      </c>
      <c r="CA61" s="31">
        <f>IF(BZ61="Yes",10,0)</f>
        <v/>
      </c>
    </row>
    <row r="62">
      <c r="A62" s="31">
        <f>IF(B62=0,"",RANK(B62,$B$2:$B$67,0))</f>
        <v/>
      </c>
      <c r="B62" s="32">
        <f>SUM(N62,Y62,AA62,AC62,AE62,AG62,AI62,AK62,AM62,AO62,AQ62,AS62,AU62,AW62,AY62,BA62,BC62,BE62,BG62,BI62,BK62,BM62,BO62,BQ62,BS62,BU62,BW62,BY62,CA62)</f>
        <v/>
      </c>
      <c r="C62" s="31" t="inlineStr">
        <is>
          <t>BAJFINANCE</t>
        </is>
      </c>
      <c r="D62" s="31" t="inlineStr">
        <is>
          <t>Bajaj Finance Limited</t>
        </is>
      </c>
      <c r="E62" s="31" t="inlineStr">
        <is>
          <t>financials</t>
        </is>
      </c>
      <c r="F62" s="31" t="inlineStr">
        <is>
          <t>finance &amp; investments</t>
        </is>
      </c>
      <c r="G62" s="31" t="inlineStr">
        <is>
          <t>largecap</t>
        </is>
      </c>
      <c r="H62" s="32" t="n">
        <v>625203.87</v>
      </c>
      <c r="I62" s="32" t="n">
        <v>1014.9</v>
      </c>
      <c r="J62" s="32" t="n">
        <v>1.01</v>
      </c>
      <c r="K62" s="32" t="n">
        <v>6834299</v>
      </c>
      <c r="L62" s="31" t="n">
        <v>25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60.74</v>
      </c>
      <c r="P62" s="32" t="n">
        <v>10.71</v>
      </c>
      <c r="Q62" s="32" t="n">
        <v>841.96</v>
      </c>
      <c r="R62" s="31" t="inlineStr">
        <is>
          <t>Earnings / Momentum Support</t>
        </is>
      </c>
      <c r="S62" s="31" t="inlineStr">
        <is>
          <t>Nifty Bank</t>
        </is>
      </c>
      <c r="T62" s="32" t="n">
        <v>1.76</v>
      </c>
      <c r="U62" s="32" t="n">
        <v>10.36</v>
      </c>
      <c r="V62" s="32" t="n">
        <v>8.449999999999999</v>
      </c>
      <c r="W62" s="32" t="n">
        <v>7.5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Fragmented with High ROE</t>
        </is>
      </c>
      <c r="AA62" s="31">
        <f>IF(Z62="Fragmented with Low ROE",-5,IF(Z62="Fragmented with High ROE",10,IF(Z62= "highly cyclical",5,0)))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Consistency)",15,IF(AF62="Shallow Cyclical (2 to 3 years growth)",10,IF(AF62 = "Cyclical in an Uptick",5,IF(AF62 = "Cyclical in an Downtick",-10,0))))</f>
        <v/>
      </c>
      <c r="AH62" s="31" t="inlineStr">
        <is>
          <t>Yes</t>
        </is>
      </c>
      <c r="AI62" s="31">
        <f>IF(AH62="Yes",10,0)</f>
        <v/>
      </c>
      <c r="AJ62" s="31" t="inlineStr">
        <is>
          <t>Yes</t>
        </is>
      </c>
      <c r="AK62" s="31">
        <f>IF(AJ62="Yes",10,0)</f>
        <v/>
      </c>
      <c r="AL62" s="31" t="n"/>
      <c r="AM62" s="31">
        <f>IF(AL62="No",10,0)</f>
        <v/>
      </c>
      <c r="AN62" s="31" t="inlineStr">
        <is>
          <t>Yes</t>
        </is>
      </c>
      <c r="AO62" s="31">
        <f>IF(AN62="Yes",10,0)</f>
        <v/>
      </c>
      <c r="AP62" s="31" t="inlineStr">
        <is>
          <t>No</t>
        </is>
      </c>
      <c r="AQ62" s="31">
        <f>IF(AP62="Yes",10,0)</f>
        <v/>
      </c>
      <c r="AR62" s="31" t="inlineStr">
        <is>
          <t>Yes</t>
        </is>
      </c>
      <c r="AS62" s="31">
        <f>IF(AR62="Yes",5,0)</f>
        <v/>
      </c>
      <c r="AT62" s="31" t="inlineStr">
        <is>
          <t>No</t>
        </is>
      </c>
      <c r="AU62" s="31">
        <f>IF(AT62="No",10,IF(AT62="Yes",-10,0))</f>
        <v/>
      </c>
      <c r="AV62" s="31" t="inlineStr">
        <is>
          <t>No</t>
        </is>
      </c>
      <c r="AW62" s="31">
        <f>IF(AV62="No",10,0)</f>
        <v/>
      </c>
      <c r="AX62" s="31" t="inlineStr">
        <is>
          <t>No</t>
        </is>
      </c>
      <c r="AY62" s="31">
        <f>IF(AX62="No",10,IF(AX62= "Yes CEO Resignation",-5,0))</f>
        <v/>
      </c>
      <c r="AZ62" s="31" t="inlineStr">
        <is>
          <t>No</t>
        </is>
      </c>
      <c r="BA62" s="31">
        <f>IF(AZ62="No",10,IF(AZ62="Yes",-5,0))</f>
        <v/>
      </c>
      <c r="BB62" s="31" t="inlineStr">
        <is>
          <t>No</t>
        </is>
      </c>
      <c r="BC62" s="31">
        <f>IF(BB62="No",5,IF(BB62="Yes",-5,0))</f>
        <v/>
      </c>
      <c r="BD62" s="31" t="inlineStr">
        <is>
          <t>Yes</t>
        </is>
      </c>
      <c r="BE62" s="31">
        <f>IF(BD62="Yes",10,0)</f>
        <v/>
      </c>
      <c r="BF62" s="31" t="inlineStr">
        <is>
          <t>Yes</t>
        </is>
      </c>
      <c r="BG62" s="31">
        <f>IF(BF62="Yes",10,0)</f>
        <v/>
      </c>
      <c r="BH62" s="31" t="inlineStr">
        <is>
          <t>Yes</t>
        </is>
      </c>
      <c r="BI62" s="31">
        <f>IF(BH62="Yes",10,0)</f>
        <v/>
      </c>
      <c r="BJ62" s="31" t="inlineStr">
        <is>
          <t>P/BV above 5x</t>
        </is>
      </c>
      <c r="BK62" s="31">
        <f>IF(BJ62="P/BV less than 2.5x and Growth more than 20%",20,IF(BJ62 = "P/BV less than 2.5x and Growth less than 20%",5,IF(BJ62="P/BV between 2.5x to 5x and Growth more than 20%",10,IF(BJ62= "P/BV between 2.5x to 5x and Growth less than 20%",-5,IF(BJ62= "P/BV above 5x",-5,0)))))</f>
        <v/>
      </c>
      <c r="BL62" s="31" t="inlineStr">
        <is>
          <t>0 to 20</t>
        </is>
      </c>
      <c r="BM62" s="31">
        <f>IF(BL62="Above 40",20,IF(BL62="20 to 40",10,IF(BL62="0 to 20",-5,0)))</f>
        <v/>
      </c>
      <c r="BN62" s="31" t="inlineStr">
        <is>
          <t>Between 50 to 75</t>
        </is>
      </c>
      <c r="BO62" s="31">
        <f>IF(BN62="Between 50 to 75",10,IF(BN62="Above 75",0,0))</f>
        <v/>
      </c>
      <c r="BP62" s="31" t="inlineStr">
        <is>
          <t>Stage 2</t>
        </is>
      </c>
      <c r="BQ62" s="31">
        <f>IF(BP62="Stage 2",20,IF(BP62="Stage 1",0,IF(BP62="Stage 3",5,IF(BP62="Stage 4",-5,0))))</f>
        <v/>
      </c>
      <c r="BR62" s="31" t="inlineStr">
        <is>
          <t>Positive Trend</t>
        </is>
      </c>
      <c r="BS62" s="31">
        <f>IF(BR62="Positive Trend",20,IF(BR62="Negative Trend",-10,0))</f>
        <v/>
      </c>
      <c r="BT62" s="31" t="inlineStr">
        <is>
          <t>Uptrend</t>
        </is>
      </c>
      <c r="BU62" s="31">
        <f>IF(BT62="Uptrend",10,IF(BT62="Sideways",5,0))</f>
        <v/>
      </c>
      <c r="BV62" s="31" t="inlineStr">
        <is>
          <t>Uptrend</t>
        </is>
      </c>
      <c r="BW62" s="31">
        <f>IF(BV62="Uptrend",10,IF(BV62="Sideways",5,0))</f>
        <v/>
      </c>
      <c r="BX62" s="31" t="inlineStr">
        <is>
          <t>Close to 52 week high or retracement</t>
        </is>
      </c>
      <c r="BY62" s="31">
        <f>IF(BX62="Overhead supply in last 2 years in last 2 years",-5,IF(BX62="Close to 52 week high or retracement",5,IF(BX62="Blue sky scenario",10,IF(BX62="Long term Downtrend",-10,0))))</f>
        <v/>
      </c>
      <c r="BZ62" s="31" t="inlineStr">
        <is>
          <t>Yes</t>
        </is>
      </c>
      <c r="CA62" s="31">
        <f>IF(BZ62="Yes",10,0)</f>
        <v/>
      </c>
    </row>
    <row r="63">
      <c r="A63" s="31">
        <f>IF(B63=0,"",RANK(B63,$B$2:$B$67,0))</f>
        <v/>
      </c>
      <c r="B63" s="32">
        <f>SUM(N63,Y63,AA63,AC63,AE63,AG63,AI63,AK63,AM63,AO63,AQ63,AS63,AU63,AW63,AY63,BA63,BC63,BE63,BG63,BI63,BK63,BM63,BO63,BQ63,BS63,BU63,BW63,BY63,CA63)</f>
        <v/>
      </c>
      <c r="C63" s="33" t="inlineStr">
        <is>
          <t>ARMANFIN</t>
        </is>
      </c>
      <c r="D63" s="33" t="inlineStr">
        <is>
          <t>Arman Financial Services Limited</t>
        </is>
      </c>
      <c r="E63" s="31" t="inlineStr">
        <is>
          <t>financials</t>
        </is>
      </c>
      <c r="F63" s="31" t="inlineStr">
        <is>
          <t>finance &amp; investments</t>
        </is>
      </c>
      <c r="G63" s="31" t="inlineStr">
        <is>
          <t>smallcap</t>
        </is>
      </c>
      <c r="H63" s="32" t="n">
        <v>1780.89</v>
      </c>
      <c r="I63" s="32" t="n">
        <v>1703.4</v>
      </c>
      <c r="J63" s="32" t="n">
        <v>0.55</v>
      </c>
      <c r="K63" s="32" t="n">
        <v>53639</v>
      </c>
      <c r="L63" s="31" t="n">
        <v>5</v>
      </c>
      <c r="M63" s="31" t="inlineStr">
        <is>
          <t>Underperforming</t>
        </is>
      </c>
      <c r="N63" s="32">
        <f>IF(M63="Underperforming",-5,IF(L63&gt;=95,15,IF(L63&gt;=90,10,IF(L63&gt;=80,5,0))))</f>
        <v/>
      </c>
      <c r="O63" s="32" t="n">
        <v>55.4</v>
      </c>
      <c r="P63" s="32" t="n">
        <v>12.54</v>
      </c>
      <c r="Q63" s="32" t="n">
        <v>1334.03</v>
      </c>
      <c r="R63" s="31" t="inlineStr">
        <is>
          <t>Near 52W High Breakout</t>
        </is>
      </c>
      <c r="S63" s="31" t="inlineStr">
        <is>
          <t>Nifty Bank</t>
        </is>
      </c>
      <c r="T63" s="32" t="n">
        <v>1.76</v>
      </c>
      <c r="U63" s="32" t="n">
        <v>-5.39</v>
      </c>
      <c r="V63" s="32" t="n">
        <v>-7.03</v>
      </c>
      <c r="W63" s="32" t="n">
        <v>2.48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Fragmented with High ROE</t>
        </is>
      </c>
      <c r="AA63" s="31">
        <f>IF(Z63="Fragmented with Low ROE",-5,IF(Z63="Fragmented with High ROE",10,IF(Z63= "highly cyclical",5,0)))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Cyclical in an Uptick</t>
        </is>
      </c>
      <c r="AG63" s="31">
        <f>IF(AF63="Structural (10 Years Consistency)",15,IF(AF63="Shallow Cyclical (2 to 3 years growth)",10,IF(AF63 = "Cyclical in an Uptick",5,IF(AF63 = "Cyclical in an Downtick",-10,0))))</f>
        <v/>
      </c>
      <c r="AH63" s="31" t="inlineStr">
        <is>
          <t>Yes</t>
        </is>
      </c>
      <c r="AI63" s="31">
        <f>IF(AH63="Yes",10,0)</f>
        <v/>
      </c>
      <c r="AJ63" s="31" t="inlineStr">
        <is>
          <t>Not Applicable</t>
        </is>
      </c>
      <c r="AK63" s="31">
        <f>IF(AJ63="Yes",10,0)</f>
        <v/>
      </c>
      <c r="AL63" s="31" t="inlineStr">
        <is>
          <t>Yes</t>
        </is>
      </c>
      <c r="AM63" s="31">
        <f>IF(AL63="No",10,0)</f>
        <v/>
      </c>
      <c r="AN63" s="31" t="inlineStr">
        <is>
          <t>Yes</t>
        </is>
      </c>
      <c r="AO63" s="31">
        <f>IF(AN63="Yes",10,0)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Yes</t>
        </is>
      </c>
      <c r="AS63" s="31">
        <f>IF(AR63="Yes",5,0)</f>
        <v/>
      </c>
      <c r="AT63" s="31" t="inlineStr">
        <is>
          <t>Not Applicable</t>
        </is>
      </c>
      <c r="AU63" s="31">
        <f>IF(AT63="No",10,IF(AT63="Yes",-10,0))</f>
        <v/>
      </c>
      <c r="AV63" s="31" t="inlineStr">
        <is>
          <t>No</t>
        </is>
      </c>
      <c r="AW63" s="31">
        <f>IF(AV63="No",10,0)</f>
        <v/>
      </c>
      <c r="AX63" s="31" t="inlineStr">
        <is>
          <t>No</t>
        </is>
      </c>
      <c r="AY63" s="31">
        <f>IF(AX63="No",10,IF(AX63= "Yes CEO Resignation",-5,0))</f>
        <v/>
      </c>
      <c r="AZ63" s="31" t="inlineStr">
        <is>
          <t>No</t>
        </is>
      </c>
      <c r="BA63" s="31">
        <f>IF(AZ63="No",10,IF(AZ63="Yes",-5,0))</f>
        <v/>
      </c>
      <c r="BB63" s="31" t="inlineStr">
        <is>
          <t>No</t>
        </is>
      </c>
      <c r="BC63" s="31">
        <f>IF(BB63="No",5,IF(BB63="Yes",-5,0))</f>
        <v/>
      </c>
      <c r="BD63" s="31" t="inlineStr">
        <is>
          <t>Yes</t>
        </is>
      </c>
      <c r="BE63" s="31">
        <f>IF(BD63="Yes",10,0)</f>
        <v/>
      </c>
      <c r="BF63" s="31" t="inlineStr">
        <is>
          <t>Yes</t>
        </is>
      </c>
      <c r="BG63" s="31">
        <f>IF(BF63="Yes",10,0)</f>
        <v/>
      </c>
      <c r="BH63" s="31" t="inlineStr">
        <is>
          <t>Yes</t>
        </is>
      </c>
      <c r="BI63" s="31">
        <f>IF(BH63="Yes",10,0)</f>
        <v/>
      </c>
      <c r="BJ63" s="31" t="inlineStr">
        <is>
          <t>P/BV between 2.5x to 5x and Growth more than 20%</t>
        </is>
      </c>
      <c r="BK63" s="31">
        <f>IF(BJ63="P/BV less than 2.5x and Growth more than 20%",20,IF(BJ63 = "P/BV less than 2.5x and Growth less than 20%",5,IF(BJ63="P/BV between 2.5x to 5x and Growth more than 20%",10,IF(BJ63= "P/BV between 2.5x to 5x and Growth less than 20%",-5,IF(BJ63= "P/BV above 5x",-5,0)))))</f>
        <v/>
      </c>
      <c r="BL63" s="31" t="inlineStr">
        <is>
          <t>20 to 40</t>
        </is>
      </c>
      <c r="BM63" s="31">
        <f>IF(BL63="Above 40",20,IF(BL63="20 to 40",10,IF(BL63="0 to 20",-5,0)))</f>
        <v/>
      </c>
      <c r="BN63" s="31" t="inlineStr">
        <is>
          <t>Between 50 to 75</t>
        </is>
      </c>
      <c r="BO63" s="31">
        <f>IF(BN63="Between 50 to 75",10,IF(BN63="Above 75",0,0))</f>
        <v/>
      </c>
      <c r="BP63" s="31" t="inlineStr">
        <is>
          <t>Stage 2</t>
        </is>
      </c>
      <c r="BQ63" s="31">
        <f>IF(BP63="Stage 2",20,IF(BP63="Stage 1",0,IF(BP63="Stage 3",5,IF(BP63="Stage 4",-5,0))))</f>
        <v/>
      </c>
      <c r="BR63" s="31" t="inlineStr">
        <is>
          <t>Positive Trend</t>
        </is>
      </c>
      <c r="BS63" s="31">
        <f>IF(BR63="Positive Trend",20,IF(BR63="Negative Trend",-10,0))</f>
        <v/>
      </c>
      <c r="BT63" s="31" t="inlineStr">
        <is>
          <t>Sideways</t>
        </is>
      </c>
      <c r="BU63" s="31">
        <f>IF(BT63="Uptrend",10,IF(BT63="Sideways",5,0))</f>
        <v/>
      </c>
      <c r="BV63" s="31" t="inlineStr">
        <is>
          <t>Uptrend</t>
        </is>
      </c>
      <c r="BW63" s="31">
        <f>IF(BV63="Uptrend",10,IF(BV63="Sideways",5,0))</f>
        <v/>
      </c>
      <c r="BX63" s="31" t="inlineStr">
        <is>
          <t>Close to 52 week high or retracement</t>
        </is>
      </c>
      <c r="BY63" s="31">
        <f>IF(BX63="Overhead supply in last 2 years in last 2 years",-5,IF(BX63="Close to 52 week high or retracement",5,IF(BX63="Blue sky scenario",10,IF(BX63="Long term Downtrend",-10,0))))</f>
        <v/>
      </c>
      <c r="BZ63" s="31" t="inlineStr">
        <is>
          <t>Yes</t>
        </is>
      </c>
      <c r="CA63" s="31">
        <f>IF(BZ63="Yes",10,0)</f>
        <v/>
      </c>
    </row>
    <row r="64">
      <c r="A64" s="31">
        <f>IF(B64=0,"",RANK(B64,$B$2:$B$67,0))</f>
        <v/>
      </c>
      <c r="B64" s="32">
        <f>SUM(N64,Y64,AA64,AC64,AE64,AG64,AI64,AK64,AM64,AO64,AQ64,AS64,AU64,AW64,AY64,BA64,BC64,BE64,BG64,BI64,BK64,BM64,BO64,BQ64,BS64,BU64,BW64,BY64,CA64)</f>
        <v/>
      </c>
      <c r="C64" s="33" t="inlineStr">
        <is>
          <t>KOTAKBANK</t>
        </is>
      </c>
      <c r="D64" s="33" t="inlineStr">
        <is>
          <t>Kotak Mahindra Bank Limited</t>
        </is>
      </c>
      <c r="E64" s="31" t="inlineStr">
        <is>
          <t>bank</t>
        </is>
      </c>
      <c r="F64" s="31" t="inlineStr">
        <is>
          <t>banks - private sector</t>
        </is>
      </c>
      <c r="G64" s="31" t="inlineStr">
        <is>
          <t>largecap</t>
        </is>
      </c>
      <c r="H64" s="32" t="n">
        <v>78022.39</v>
      </c>
      <c r="I64" s="32" t="n">
        <v>400.45</v>
      </c>
      <c r="J64" s="32" t="n">
        <v>2.09</v>
      </c>
      <c r="K64" s="32" t="n">
        <v>21723944</v>
      </c>
      <c r="L64" s="31" t="n">
        <v>3</v>
      </c>
      <c r="M64" s="31" t="inlineStr">
        <is>
          <t>Underperforming</t>
        </is>
      </c>
      <c r="N64" s="32">
        <f>IF(M64="Underperforming",-5,IF(L64&gt;=95,15,IF(L64&gt;=90,10,IF(L64&gt;=80,5,0))))</f>
        <v/>
      </c>
      <c r="O64" s="32" t="n">
        <v>52.14</v>
      </c>
      <c r="P64" s="32" t="n">
        <v>14.57</v>
      </c>
      <c r="Q64" s="32" t="n">
        <v>353.79</v>
      </c>
      <c r="R64" s="31" t="inlineStr">
        <is>
          <t>Earnings / Momentum Support</t>
        </is>
      </c>
      <c r="S64" s="31" t="inlineStr">
        <is>
          <t>Nifty Bank</t>
        </is>
      </c>
      <c r="T64" s="32" t="n">
        <v>1.76</v>
      </c>
      <c r="U64" s="32" t="n">
        <v>-5.88</v>
      </c>
      <c r="V64" s="32" t="n">
        <v>-7.5</v>
      </c>
      <c r="W64" s="32" t="n">
        <v>1.7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Fragmented with High ROE</t>
        </is>
      </c>
      <c r="AA64" s="31">
        <f>IF(Z64="Fragmented with Low ROE",-5,IF(Z64="Fragmented with High ROE",10,IF(Z64= "highly cyclical",5,0)))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Headwind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Consistency)",15,IF(AF64="Shallow Cyclical (2 to 3 years growth)",10,IF(AF64 = "Cyclical in an Uptick",5,IF(AF64 = "Cyclical in an Downtick",-10,0))))</f>
        <v/>
      </c>
      <c r="AH64" s="31" t="inlineStr">
        <is>
          <t>Yes</t>
        </is>
      </c>
      <c r="AI64" s="31">
        <f>IF(AH64="Yes",10,0)</f>
        <v/>
      </c>
      <c r="AJ64" s="31" t="inlineStr">
        <is>
          <t>Yes</t>
        </is>
      </c>
      <c r="AK64" s="31">
        <f>IF(AJ64="Yes",10,0)</f>
        <v/>
      </c>
      <c r="AL64" s="31" t="n"/>
      <c r="AM64" s="31">
        <f>IF(AL64="No",10,0)</f>
        <v/>
      </c>
      <c r="AN64" s="31" t="inlineStr">
        <is>
          <t>Yes</t>
        </is>
      </c>
      <c r="AO64" s="31">
        <f>IF(AN64="Yes",10,0)</f>
        <v/>
      </c>
      <c r="AP64" s="31" t="inlineStr">
        <is>
          <t>No</t>
        </is>
      </c>
      <c r="AQ64" s="31">
        <f>IF(AP64="Yes",10,0)</f>
        <v/>
      </c>
      <c r="AR64" s="31" t="inlineStr">
        <is>
          <t>Yes</t>
        </is>
      </c>
      <c r="AS64" s="31">
        <f>IF(AR64="Yes",5,0)</f>
        <v/>
      </c>
      <c r="AT64" s="31" t="inlineStr">
        <is>
          <t>No</t>
        </is>
      </c>
      <c r="AU64" s="31">
        <f>IF(AT64="No",10,IF(AT64="Yes",-10,0))</f>
        <v/>
      </c>
      <c r="AV64" s="31" t="inlineStr">
        <is>
          <t>No</t>
        </is>
      </c>
      <c r="AW64" s="31">
        <f>IF(AV64="No",10,0)</f>
        <v/>
      </c>
      <c r="AX64" s="31" t="inlineStr">
        <is>
          <t>No</t>
        </is>
      </c>
      <c r="AY64" s="31">
        <f>IF(AX64="No",10,IF(AX64= "Yes CEO Resignation",-5,0))</f>
        <v/>
      </c>
      <c r="AZ64" s="31" t="inlineStr">
        <is>
          <t>No</t>
        </is>
      </c>
      <c r="BA64" s="31">
        <f>IF(AZ64="No",10,IF(AZ64="Yes",-5,0))</f>
        <v/>
      </c>
      <c r="BB64" s="31" t="inlineStr">
        <is>
          <t>No</t>
        </is>
      </c>
      <c r="BC64" s="31">
        <f>IF(BB64="No",5,IF(BB64="Yes",-5,0))</f>
        <v/>
      </c>
      <c r="BD64" s="31" t="inlineStr">
        <is>
          <t>Yes</t>
        </is>
      </c>
      <c r="BE64" s="31">
        <f>IF(BD64="Yes",10,0)</f>
        <v/>
      </c>
      <c r="BF64" s="31" t="inlineStr">
        <is>
          <t>Yes</t>
        </is>
      </c>
      <c r="BG64" s="31">
        <f>IF(BF64="Yes",10,0)</f>
        <v/>
      </c>
      <c r="BH64" s="31" t="inlineStr">
        <is>
          <t>Yes</t>
        </is>
      </c>
      <c r="BI64" s="31">
        <f>IF(BH64="Yes",10,0)</f>
        <v/>
      </c>
      <c r="BJ64" s="31" t="inlineStr">
        <is>
          <t>P/BV less than 2.5x and Growth less than 20%</t>
        </is>
      </c>
      <c r="BK64" s="31">
        <f>IF(BJ64="P/BV less than 2.5x and Growth more than 20%",20,IF(BJ64 = "P/BV less than 2.5x and Growth less than 20%",5,IF(BJ64="P/BV between 2.5x to 5x and Growth more than 20%",10,IF(BJ64= "P/BV between 2.5x to 5x and Growth less than 20%",-5,IF(BJ64= "P/BV above 5x",-5,0)))))</f>
        <v/>
      </c>
      <c r="BL64" s="31" t="inlineStr">
        <is>
          <t>0 to 20</t>
        </is>
      </c>
      <c r="BM64" s="31">
        <f>IF(BL64="Above 40",20,IF(BL64="20 to 40",10,IF(BL64="0 to 20",-5,0)))</f>
        <v/>
      </c>
      <c r="BN64" s="31" t="inlineStr">
        <is>
          <t>Between 50 to 75</t>
        </is>
      </c>
      <c r="BO64" s="31">
        <f>IF(BN64="Between 50 to 75",10,IF(BN64="Above 75",0,0))</f>
        <v/>
      </c>
      <c r="BP64" s="31" t="inlineStr">
        <is>
          <t>Stage 2</t>
        </is>
      </c>
      <c r="BQ64" s="31">
        <f>IF(BP64="Stage 2",20,IF(BP64="Stage 1",0,IF(BP64="Stage 3",5,IF(BP64="Stage 4",-5,0))))</f>
        <v/>
      </c>
      <c r="BR64" s="31" t="inlineStr">
        <is>
          <t>Positive Trend</t>
        </is>
      </c>
      <c r="BS64" s="31">
        <f>IF(BR64="Positive Trend",20,IF(BR64="Negative Trend",-10,0))</f>
        <v/>
      </c>
      <c r="BT64" s="31" t="inlineStr">
        <is>
          <t>Uptrend</t>
        </is>
      </c>
      <c r="BU64" s="31">
        <f>IF(BT64="Uptrend",10,IF(BT64="Sideways",5,0))</f>
        <v/>
      </c>
      <c r="BV64" s="31" t="inlineStr">
        <is>
          <t>Uptrend</t>
        </is>
      </c>
      <c r="BW64" s="31">
        <f>IF(BV64="Uptrend",10,IF(BV64="Sideways",5,0))</f>
        <v/>
      </c>
      <c r="BX64" s="31" t="inlineStr">
        <is>
          <t>Close to 52 week high or retracement</t>
        </is>
      </c>
      <c r="BY64" s="31">
        <f>IF(BX64="Overhead supply in last 2 years in last 2 years",-5,IF(BX64="Close to 52 week high or retracement",5,IF(BX64="Blue sky scenario",10,IF(BX64="Long term Downtrend",-10,0))))</f>
        <v/>
      </c>
      <c r="BZ64" s="31" t="inlineStr">
        <is>
          <t>Yes</t>
        </is>
      </c>
      <c r="CA64" s="31">
        <f>IF(BZ64="Yes",10,0)</f>
        <v/>
      </c>
    </row>
    <row r="65">
      <c r="A65" s="31">
        <f>IF(B65=0,"",RANK(B65,$B$2:$B$67,0))</f>
        <v/>
      </c>
      <c r="B65" s="32">
        <f>SUM(N65,Y65,AA65,AC65,AE65,AG65,AI65,AK65,AM65,AO65,AQ65,AS65,AU65,AW65,AY65,BA65,BC65,BE65,BG65,BI65,BK65,BM65,BO65,BQ65,BS65,BU65,BW65,BY65,CA65)</f>
        <v/>
      </c>
      <c r="C65" s="31" t="inlineStr">
        <is>
          <t>SAMMAANCAP</t>
        </is>
      </c>
      <c r="D65" s="31" t="inlineStr">
        <is>
          <t>Sammaan Capital Ltd</t>
        </is>
      </c>
      <c r="E65" s="31" t="inlineStr">
        <is>
          <t>financials</t>
        </is>
      </c>
      <c r="F65" s="31" t="inlineStr">
        <is>
          <t>finance - housing</t>
        </is>
      </c>
      <c r="G65" s="31" t="inlineStr">
        <is>
          <t>largecap</t>
        </is>
      </c>
      <c r="H65" s="32" t="n">
        <v>20169.16</v>
      </c>
      <c r="I65" s="32" t="n">
        <v>176.29</v>
      </c>
      <c r="J65" s="32" t="n">
        <v>1.54</v>
      </c>
      <c r="K65" s="32" t="n">
        <v>22355392</v>
      </c>
      <c r="L65" s="31" t="n">
        <v>49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60.71</v>
      </c>
      <c r="P65" s="32" t="n">
        <v>22.26</v>
      </c>
      <c r="Q65" s="32" t="n">
        <v>142.71</v>
      </c>
      <c r="R65" s="31" t="inlineStr">
        <is>
          <t>Earnings / Momentum Support</t>
        </is>
      </c>
      <c r="S65" s="31" t="inlineStr">
        <is>
          <t>Nifty Bank</t>
        </is>
      </c>
      <c r="T65" s="32" t="n">
        <v>1.76</v>
      </c>
      <c r="U65" s="32" t="n">
        <v>43.1</v>
      </c>
      <c r="V65" s="32" t="n">
        <v>40.64</v>
      </c>
      <c r="W65" s="32" t="n">
        <v>12.57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Fragmented with High ROE</t>
        </is>
      </c>
      <c r="AA65" s="31">
        <f>IF(Z65="Fragmented with Low ROE",-5,IF(Z65="Fragmented with High ROE",10,IF(Z65= "highly cyclical",5,0)))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Consistency)",15,IF(AF65="Shallow Cyclical (2 to 3 years growth)",10,IF(AF65 = "Cyclical in an Uptick",5,IF(AF65 = "Cyclical in an Downtick",-10,0))))</f>
        <v/>
      </c>
      <c r="AH65" s="31" t="inlineStr">
        <is>
          <t>Yes</t>
        </is>
      </c>
      <c r="AI65" s="31">
        <f>IF(AH65="Yes",10,0)</f>
        <v/>
      </c>
      <c r="AJ65" s="31" t="inlineStr">
        <is>
          <t>Yes</t>
        </is>
      </c>
      <c r="AK65" s="31">
        <f>IF(AJ65="Yes",10,0)</f>
        <v/>
      </c>
      <c r="AL65" s="31" t="n"/>
      <c r="AM65" s="31">
        <f>IF(AL65="No",10,0)</f>
        <v/>
      </c>
      <c r="AN65" s="31" t="inlineStr">
        <is>
          <t>Yes</t>
        </is>
      </c>
      <c r="AO65" s="31">
        <f>IF(AN65="Yes",10,0)</f>
        <v/>
      </c>
      <c r="AP65" s="31" t="inlineStr">
        <is>
          <t>No</t>
        </is>
      </c>
      <c r="AQ65" s="31">
        <f>IF(AP65="Yes",10,0)</f>
        <v/>
      </c>
      <c r="AR65" s="31" t="inlineStr">
        <is>
          <t>Yes</t>
        </is>
      </c>
      <c r="AS65" s="31">
        <f>IF(AR65="Yes",5,0)</f>
        <v/>
      </c>
      <c r="AT65" s="31" t="inlineStr">
        <is>
          <t>No</t>
        </is>
      </c>
      <c r="AU65" s="31">
        <f>IF(AT65="No",10,IF(AT65="Yes",-10,0))</f>
        <v/>
      </c>
      <c r="AV65" s="31" t="inlineStr">
        <is>
          <t>No</t>
        </is>
      </c>
      <c r="AW65" s="31">
        <f>IF(AV65="No",10,0)</f>
        <v/>
      </c>
      <c r="AX65" s="31" t="inlineStr">
        <is>
          <t>No</t>
        </is>
      </c>
      <c r="AY65" s="31">
        <f>IF(AX65="No",10,IF(AX65= "Yes CEO Resignation",-5,0))</f>
        <v/>
      </c>
      <c r="AZ65" s="31" t="inlineStr">
        <is>
          <t>No</t>
        </is>
      </c>
      <c r="BA65" s="31">
        <f>IF(AZ65="No",10,IF(AZ65="Yes",-5,0))</f>
        <v/>
      </c>
      <c r="BB65" s="31" t="inlineStr">
        <is>
          <t>No</t>
        </is>
      </c>
      <c r="BC65" s="31">
        <f>IF(BB65="No",5,IF(BB65="Yes",-5,0))</f>
        <v/>
      </c>
      <c r="BD65" s="31" t="inlineStr">
        <is>
          <t>Yes</t>
        </is>
      </c>
      <c r="BE65" s="31">
        <f>IF(BD65="Yes",10,0)</f>
        <v/>
      </c>
      <c r="BF65" s="31" t="inlineStr">
        <is>
          <t>Yes</t>
        </is>
      </c>
      <c r="BG65" s="31">
        <f>IF(BF65="Yes",10,0)</f>
        <v/>
      </c>
      <c r="BH65" s="31" t="inlineStr">
        <is>
          <t>Yes</t>
        </is>
      </c>
      <c r="BI65" s="31">
        <f>IF(BH65="Yes",10,0)</f>
        <v/>
      </c>
      <c r="BJ65" s="31" t="inlineStr">
        <is>
          <t>P/BV less than 2.5x and Growth less than 20%</t>
        </is>
      </c>
      <c r="BK65" s="31">
        <f>IF(BJ65="P/BV less than 2.5x and Growth more than 20%",20,IF(BJ65 = "P/BV less than 2.5x and Growth less than 20%",5,IF(BJ65="P/BV between 2.5x to 5x and Growth more than 20%",10,IF(BJ65= "P/BV between 2.5x to 5x and Growth less than 20%",-5,IF(BJ65= "P/BV above 5x",-5,0)))))</f>
        <v/>
      </c>
      <c r="BL65" s="31" t="inlineStr">
        <is>
          <t>20 to 40</t>
        </is>
      </c>
      <c r="BM65" s="31">
        <f>IF(BL65="Above 40",20,IF(BL65="20 to 40",10,IF(BL65="0 to 20",-5,0)))</f>
        <v/>
      </c>
      <c r="BN65" s="31" t="inlineStr">
        <is>
          <t>Between 50 to 75</t>
        </is>
      </c>
      <c r="BO65" s="31">
        <f>IF(BN65="Between 50 to 75",10,IF(BN65="Above 75",0,0))</f>
        <v/>
      </c>
      <c r="BP65" s="31" t="inlineStr">
        <is>
          <t>Stage 2</t>
        </is>
      </c>
      <c r="BQ65" s="31">
        <f>IF(BP65="Stage 2",20,IF(BP65="Stage 1",0,IF(BP65="Stage 3",5,IF(BP65="Stage 4",-5,0))))</f>
        <v/>
      </c>
      <c r="BR65" s="31" t="inlineStr">
        <is>
          <t>Negative Trend</t>
        </is>
      </c>
      <c r="BS65" s="31">
        <f>IF(BR65="Positive Trend",20,IF(BR65="Negative Trend",-10,0))</f>
        <v/>
      </c>
      <c r="BT65" s="31" t="inlineStr">
        <is>
          <t>Uptrend</t>
        </is>
      </c>
      <c r="BU65" s="31">
        <f>IF(BT65="Uptrend",10,IF(BT65="Sideways",5,0))</f>
        <v/>
      </c>
      <c r="BV65" s="31" t="inlineStr">
        <is>
          <t>Uptrend</t>
        </is>
      </c>
      <c r="BW65" s="31">
        <f>IF(BV65="Uptrend",10,IF(BV65="Sideways",5,0))</f>
        <v/>
      </c>
      <c r="BX65" s="31" t="inlineStr">
        <is>
          <t>Close to 52 week high or retracement</t>
        </is>
      </c>
      <c r="BY65" s="31">
        <f>IF(BX65="Overhead supply in last 2 years in last 2 years",-5,IF(BX65="Close to 52 week high or retracement",5,IF(BX65="Blue sky scenario",10,IF(BX65="Long term Downtrend",-10,0))))</f>
        <v/>
      </c>
      <c r="BZ65" s="31" t="inlineStr">
        <is>
          <t>Yes</t>
        </is>
      </c>
      <c r="CA65" s="31">
        <f>IF(BZ65="Yes",10,0)</f>
        <v/>
      </c>
    </row>
    <row r="66">
      <c r="A66" s="31">
        <f>IF(B66=0,"",RANK(B66,$B$2:$B$67,0))</f>
        <v/>
      </c>
      <c r="B66" s="32">
        <f>SUM(N66,Y66,AA66,AC66,AE66,AG66,AI66,AK66,AM66,AO66,AQ66,AS66,AU66,AW66,AY66,BA66,BC66,BE66,BG66,BI66,BK66,BM66,BO66,BQ66,BS66,BU66,BW66,BY66,CA66)</f>
        <v/>
      </c>
      <c r="C66" s="33" t="inlineStr">
        <is>
          <t>ICICIBANK</t>
        </is>
      </c>
      <c r="D66" s="33" t="inlineStr">
        <is>
          <t>Icici Bank Limited</t>
        </is>
      </c>
      <c r="E66" s="31" t="inlineStr">
        <is>
          <t>bank</t>
        </is>
      </c>
      <c r="F66" s="31" t="inlineStr">
        <is>
          <t>banks - private sector</t>
        </is>
      </c>
      <c r="G66" s="31" t="inlineStr">
        <is>
          <t>largecap</t>
        </is>
      </c>
      <c r="H66" s="32" t="n">
        <v>984658.6800000001</v>
      </c>
      <c r="I66" s="32" t="n">
        <v>1379.8</v>
      </c>
      <c r="J66" s="32" t="n">
        <v>0.33</v>
      </c>
      <c r="K66" s="32" t="n">
        <v>11948034</v>
      </c>
      <c r="L66" s="31" t="n">
        <v>4</v>
      </c>
      <c r="M66" s="31" t="inlineStr">
        <is>
          <t>Underperforming</t>
        </is>
      </c>
      <c r="N66" s="32">
        <f>IF(M66="Underperforming",-5,IF(L66&gt;=95,15,IF(L66&gt;=90,10,IF(L66&gt;=80,5,0))))</f>
        <v/>
      </c>
      <c r="O66" s="32" t="n">
        <v>57.78</v>
      </c>
      <c r="P66" s="32" t="n">
        <v>12.78</v>
      </c>
      <c r="Q66" s="32" t="n">
        <v>1215.1</v>
      </c>
      <c r="R66" s="31" t="inlineStr">
        <is>
          <t>Earnings / Momentum Support</t>
        </is>
      </c>
      <c r="S66" s="31" t="inlineStr">
        <is>
          <t>Nifty Bank</t>
        </is>
      </c>
      <c r="T66" s="32" t="n">
        <v>1.76</v>
      </c>
      <c r="U66" s="32" t="n">
        <v>-3.63</v>
      </c>
      <c r="V66" s="32" t="n">
        <v>-5.29</v>
      </c>
      <c r="W66" s="32" t="n">
        <v>2.26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Fragmented with High ROE</t>
        </is>
      </c>
      <c r="AA66" s="31">
        <f>IF(Z66="Fragmented with Low ROE",-5,IF(Z66="Fragmented with High ROE",10,IF(Z66= "highly cyclical",5,0)))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Headwind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Consistency)",15,IF(AF66="Shallow Cyclical (2 to 3 years growth)",10,IF(AF66 = "Cyclical in an Uptick",5,IF(AF66 = "Cyclical in an Downtick",-10,0))))</f>
        <v/>
      </c>
      <c r="AH66" s="31" t="inlineStr">
        <is>
          <t>Yes</t>
        </is>
      </c>
      <c r="AI66" s="31">
        <f>IF(AH66="Yes",10,0)</f>
        <v/>
      </c>
      <c r="AJ66" s="31" t="inlineStr">
        <is>
          <t>Yes</t>
        </is>
      </c>
      <c r="AK66" s="31">
        <f>IF(AJ66="Yes",10,0)</f>
        <v/>
      </c>
      <c r="AL66" s="31" t="n"/>
      <c r="AM66" s="31">
        <f>IF(AL66="No",10,0)</f>
        <v/>
      </c>
      <c r="AN66" s="31" t="inlineStr">
        <is>
          <t>Yes</t>
        </is>
      </c>
      <c r="AO66" s="31">
        <f>IF(AN66="Yes",10,0)</f>
        <v/>
      </c>
      <c r="AP66" s="31" t="inlineStr">
        <is>
          <t>No</t>
        </is>
      </c>
      <c r="AQ66" s="31">
        <f>IF(AP66="Yes",10,0)</f>
        <v/>
      </c>
      <c r="AR66" s="31" t="inlineStr">
        <is>
          <t>Yes</t>
        </is>
      </c>
      <c r="AS66" s="31">
        <f>IF(AR66="Yes",5,0)</f>
        <v/>
      </c>
      <c r="AT66" s="31" t="inlineStr">
        <is>
          <t>No</t>
        </is>
      </c>
      <c r="AU66" s="31">
        <f>IF(AT66="No",10,IF(AT66="Yes",-10,0))</f>
        <v/>
      </c>
      <c r="AV66" s="31" t="inlineStr">
        <is>
          <t>No</t>
        </is>
      </c>
      <c r="AW66" s="31">
        <f>IF(AV66="No",10,0)</f>
        <v/>
      </c>
      <c r="AX66" s="31" t="inlineStr">
        <is>
          <t>No</t>
        </is>
      </c>
      <c r="AY66" s="31">
        <f>IF(AX66="No",10,IF(AX66= "Yes CEO Resignation",-5,0))</f>
        <v/>
      </c>
      <c r="AZ66" s="31" t="inlineStr">
        <is>
          <t>No</t>
        </is>
      </c>
      <c r="BA66" s="31">
        <f>IF(AZ66="No",10,IF(AZ66="Yes",-5,0))</f>
        <v/>
      </c>
      <c r="BB66" s="31" t="inlineStr">
        <is>
          <t>No</t>
        </is>
      </c>
      <c r="BC66" s="31">
        <f>IF(BB66="No",5,IF(BB66="Yes",-5,0))</f>
        <v/>
      </c>
      <c r="BD66" s="31" t="inlineStr">
        <is>
          <t>Yes</t>
        </is>
      </c>
      <c r="BE66" s="31">
        <f>IF(BD66="Yes",10,0)</f>
        <v/>
      </c>
      <c r="BF66" s="31" t="inlineStr">
        <is>
          <t>Yes</t>
        </is>
      </c>
      <c r="BG66" s="31">
        <f>IF(BF66="Yes",10,0)</f>
        <v/>
      </c>
      <c r="BH66" s="31" t="inlineStr">
        <is>
          <t>Yes</t>
        </is>
      </c>
      <c r="BI66" s="31">
        <f>IF(BH66="Yes",10,0)</f>
        <v/>
      </c>
      <c r="BJ66" s="31" t="inlineStr">
        <is>
          <t>P/BV between 2.5x to 5x and Growth less than 20%</t>
        </is>
      </c>
      <c r="BK66" s="31">
        <f>IF(BJ66="P/BV less than 2.5x and Growth more than 20%",20,IF(BJ66 = "P/BV less than 2.5x and Growth less than 20%",5,IF(BJ66="P/BV between 2.5x to 5x and Growth more than 20%",10,IF(BJ66= "P/BV between 2.5x to 5x and Growth less than 20%",-5,IF(BJ66= "P/BV above 5x",-5,0)))))</f>
        <v/>
      </c>
      <c r="BL66" s="31" t="inlineStr">
        <is>
          <t>0 to 20</t>
        </is>
      </c>
      <c r="BM66" s="31">
        <f>IF(BL66="Above 40",20,IF(BL66="20 to 40",10,IF(BL66="0 to 20",-5,0)))</f>
        <v/>
      </c>
      <c r="BN66" s="31" t="inlineStr">
        <is>
          <t>Between 50 to 75</t>
        </is>
      </c>
      <c r="BO66" s="31">
        <f>IF(BN66="Between 50 to 75",10,IF(BN66="Above 75",0,0))</f>
        <v/>
      </c>
      <c r="BP66" s="31" t="inlineStr">
        <is>
          <t>Stage 2</t>
        </is>
      </c>
      <c r="BQ66" s="31">
        <f>IF(BP66="Stage 2",20,IF(BP66="Stage 1",0,IF(BP66="Stage 3",5,IF(BP66="Stage 4",-5,0))))</f>
        <v/>
      </c>
      <c r="BR66" s="31" t="inlineStr">
        <is>
          <t>Positive Trend</t>
        </is>
      </c>
      <c r="BS66" s="31">
        <f>IF(BR66="Positive Trend",20,IF(BR66="Negative Trend",-10,0))</f>
        <v/>
      </c>
      <c r="BT66" s="31" t="inlineStr">
        <is>
          <t>Uptrend</t>
        </is>
      </c>
      <c r="BU66" s="31">
        <f>IF(BT66="Uptrend",10,IF(BT66="Sideways",5,0))</f>
        <v/>
      </c>
      <c r="BV66" s="31" t="inlineStr">
        <is>
          <t>Uptrend</t>
        </is>
      </c>
      <c r="BW66" s="31">
        <f>IF(BV66="Uptrend",10,IF(BV66="Sideways",5,0))</f>
        <v/>
      </c>
      <c r="BX66" s="31" t="inlineStr">
        <is>
          <t>Close to 52 week high or retracement</t>
        </is>
      </c>
      <c r="BY66" s="31">
        <f>IF(BX66="Overhead supply in last 2 years in last 2 years",-5,IF(BX66="Close to 52 week high or retracement",5,IF(BX66="Blue sky scenario",10,IF(BX66="Long term Downtrend",-10,0))))</f>
        <v/>
      </c>
      <c r="BZ66" s="31" t="inlineStr">
        <is>
          <t>Yes</t>
        </is>
      </c>
      <c r="CA66" s="31">
        <f>IF(BZ66="Yes",10,0)</f>
        <v/>
      </c>
    </row>
    <row r="67">
      <c r="A67" s="31">
        <f>IF(B67=0,"",RANK(B67,$B$2:$B$67,0))</f>
        <v/>
      </c>
      <c r="B67" s="32">
        <f>SUM(N67,Y67,AA67,AC67,AE67,AG67,AI67,AK67,AM67,AO67,AQ67,AS67,AU67,AW67,AY67,BA67,BC67,BE67,BG67,BI67,BK67,BM67,BO67,BQ67,BS67,BU67,BW67,BY67,CA67)</f>
        <v/>
      </c>
      <c r="C67" s="31" t="inlineStr">
        <is>
          <t>AADHARHFC</t>
        </is>
      </c>
      <c r="D67" s="31" t="inlineStr">
        <is>
          <t>Aadhar Housing Finance Ltd</t>
        </is>
      </c>
      <c r="E67" s="31" t="inlineStr">
        <is>
          <t>financials</t>
        </is>
      </c>
      <c r="F67" s="31" t="inlineStr">
        <is>
          <t>finance - housing</t>
        </is>
      </c>
      <c r="G67" s="31" t="inlineStr">
        <is>
          <t>largecap</t>
        </is>
      </c>
      <c r="H67" s="32" t="n">
        <v>22464.88</v>
      </c>
      <c r="I67" s="32" t="n">
        <v>517.75</v>
      </c>
      <c r="J67" s="32" t="n">
        <v>0.42</v>
      </c>
      <c r="K67" s="32" t="n">
        <v>646208</v>
      </c>
      <c r="L67" s="31" t="inlineStr"/>
      <c r="M67" s="31" t="inlineStr"/>
      <c r="N67" s="32">
        <f>IF(M67="Underperforming",-5,IF(L67&gt;=95,15,IF(L67&gt;=90,10,IF(L67&gt;=80,5,0))))</f>
        <v/>
      </c>
      <c r="O67" s="32" t="inlineStr"/>
      <c r="P67" s="32" t="inlineStr"/>
      <c r="Q67" s="32" t="inlineStr"/>
      <c r="R67" s="31" t="inlineStr"/>
      <c r="S67" s="31" t="inlineStr"/>
      <c r="T67" s="32" t="inlineStr"/>
      <c r="U67" s="32" t="inlineStr"/>
      <c r="V67" s="32" t="inlineStr"/>
      <c r="W67" s="32" t="inlineStr"/>
      <c r="X67" s="31" t="n"/>
      <c r="Y67" s="31">
        <f>IF(X67="Growing Industry",10,IF(X67="Cyclical in an Upturn",5,0))</f>
        <v/>
      </c>
      <c r="Z67" s="31" t="n"/>
      <c r="AA67" s="31">
        <f>IF(Z67="Fragmented with Low ROE",-5,IF(Z67="Fragmented with High ROE",10,IF(Z67= "highly cyclical",5,0)))</f>
        <v/>
      </c>
      <c r="AB67" s="31" t="n"/>
      <c r="AC67" s="31">
        <f>IF(AB67="No",5,0)</f>
        <v/>
      </c>
      <c r="AD67" s="31" t="n"/>
      <c r="AE67" s="31">
        <f>IF(AD67="Tailwind",10,0)</f>
        <v/>
      </c>
      <c r="AF67" s="31" t="n"/>
      <c r="AG67" s="31">
        <f>IF(AF67="Structural (10 Years Consistency)",15,IF(AF67="Shallow Cyclical (2 to 3 years growth)",10,IF(AF67 = "Cyclical in an Uptick",5,IF(AF67 = "Cyclical in an Downtick",-10,0))))</f>
        <v/>
      </c>
      <c r="AH67" s="31" t="n"/>
      <c r="AI67" s="31">
        <f>IF(AH67="Yes",10,0)</f>
        <v/>
      </c>
      <c r="AJ67" s="31" t="n"/>
      <c r="AK67" s="31">
        <f>IF(AJ67="Yes",10,0)</f>
        <v/>
      </c>
      <c r="AL67" s="31" t="n"/>
      <c r="AM67" s="31">
        <f>IF(AL67="No",10,0)</f>
        <v/>
      </c>
      <c r="AN67" s="31" t="n"/>
      <c r="AO67" s="31">
        <f>IF(AN67="Yes",10,0)</f>
        <v/>
      </c>
      <c r="AP67" s="31" t="n"/>
      <c r="AQ67" s="31">
        <f>IF(AP67="Yes",10,0)</f>
        <v/>
      </c>
      <c r="AR67" s="31" t="n"/>
      <c r="AS67" s="31">
        <f>IF(AR67="Yes",5,0)</f>
        <v/>
      </c>
      <c r="AT67" s="31" t="n"/>
      <c r="AU67" s="31">
        <f>IF(AT67="No",10,IF(AT67="Yes",-10,0))</f>
        <v/>
      </c>
      <c r="AV67" s="31" t="n"/>
      <c r="AW67" s="31">
        <f>IF(AV67="No",10,0)</f>
        <v/>
      </c>
      <c r="AX67" s="31" t="n"/>
      <c r="AY67" s="31">
        <f>IF(AX67="No",10,IF(AX67= "Yes CEO Resignation",-5,0))</f>
        <v/>
      </c>
      <c r="AZ67" s="31" t="n"/>
      <c r="BA67" s="31">
        <f>IF(AZ67="No",10,IF(AZ67="Yes",-5,0))</f>
        <v/>
      </c>
      <c r="BB67" s="31" t="n"/>
      <c r="BC67" s="31">
        <f>IF(BB67="No",5,IF(BB67="Yes",-5,0))</f>
        <v/>
      </c>
      <c r="BD67" s="31" t="n"/>
      <c r="BE67" s="31">
        <f>IF(BD67="Yes",10,0)</f>
        <v/>
      </c>
      <c r="BF67" s="31" t="n"/>
      <c r="BG67" s="31">
        <f>IF(BF67="Yes",10,0)</f>
        <v/>
      </c>
      <c r="BH67" s="31" t="n"/>
      <c r="BI67" s="31">
        <f>IF(BH67="Yes",10,0)</f>
        <v/>
      </c>
      <c r="BJ67" s="31" t="n"/>
      <c r="BK67" s="31">
        <f>IF(BJ67="P/BV less than 2.5x and Growth more than 20%",20,IF(BJ67 = "P/BV less than 2.5x and Growth less than 20%",5,IF(BJ67="P/BV between 2.5x to 5x and Growth more than 20%",10,IF(BJ67= "P/BV between 2.5x to 5x and Growth less than 20%",-5,IF(BJ67= "P/BV above 5x",-5,0)))))</f>
        <v/>
      </c>
      <c r="BL67" s="31" t="n"/>
      <c r="BM67" s="31">
        <f>IF(BL67="Above 40",20,IF(BL67="20 to 40",10,IF(BL67="0 to 20",-5,0)))</f>
        <v/>
      </c>
      <c r="BN67" s="31" t="n"/>
      <c r="BO67" s="31">
        <f>IF(BN67="Between 50 to 75",10,IF(BN67="Above 75",0,0))</f>
        <v/>
      </c>
      <c r="BP67" s="31" t="n"/>
      <c r="BQ67" s="31">
        <f>IF(BP67="Stage 2",20,IF(BP67="Stage 1",0,IF(BP67="Stage 3",5,IF(BP67="Stage 4",-5,0))))</f>
        <v/>
      </c>
      <c r="BR67" s="31" t="n"/>
      <c r="BS67" s="31">
        <f>IF(BR67="Positive Trend",20,IF(BR67="Negative Trend",-10,0))</f>
        <v/>
      </c>
      <c r="BT67" s="31" t="n"/>
      <c r="BU67" s="31">
        <f>IF(BT67="Uptrend",10,IF(BT67="Sideways",5,0))</f>
        <v/>
      </c>
      <c r="BV67" s="31" t="n"/>
      <c r="BW67" s="31">
        <f>IF(BV67="Uptrend",10,IF(BV67="Sideways",5,0))</f>
        <v/>
      </c>
      <c r="BX67" s="31" t="n"/>
      <c r="BY67" s="31">
        <f>IF(BX67="Overhead supply in last 2 years in last 2 years",-5,IF(BX67="Close to 52 week high or retracement",5,IF(BX67="Blue sky scenario",10,IF(BX67="Long term Downtrend",-10,0))))</f>
        <v/>
      </c>
      <c r="BZ67" s="31" t="n"/>
      <c r="CA67" s="31">
        <f>IF(BZ67="Yes",10,0)</f>
        <v/>
      </c>
    </row>
  </sheetData>
  <autoFilter ref="A1:CA67"/>
  <conditionalFormatting sqref="B2:B6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6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6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6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6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6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6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6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6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6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6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6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6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6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6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6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6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6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6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6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6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6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6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6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6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6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6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6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6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7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67">
    <cfRule type="cellIs" priority="34" operator="equal" dxfId="3" stopIfTrue="1">
      <formula>"Underperforming"</formula>
    </cfRule>
  </conditionalFormatting>
  <conditionalFormatting sqref="N2:N67">
    <cfRule type="cellIs" priority="35" operator="equal" dxfId="3" stopIfTrue="1">
      <formula>-5</formula>
    </cfRule>
  </conditionalFormatting>
  <conditionalFormatting sqref="Q2:Q67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67" showDropDown="0" showInputMessage="0" showErrorMessage="0" allowBlank="1" type="list">
      <formula1>"Growing Industry,Stagnant Industry,Cyclical in an Upturn"</formula1>
    </dataValidation>
    <dataValidation sqref="Z2:Z67" showDropDown="0" showInputMessage="0" showErrorMessage="0" allowBlank="1" type="list">
      <formula1>"Fragmented with Low ROE,Fragmented with High ROE,Highly Cyclical"</formula1>
    </dataValidation>
    <dataValidation sqref="AB2:AB67" showDropDown="0" showInputMessage="0" showErrorMessage="0" allowBlank="1" type="list">
      <formula1>"Yes,No"</formula1>
    </dataValidation>
    <dataValidation sqref="AD2:AD67" showDropDown="0" showInputMessage="0" showErrorMessage="0" allowBlank="1" type="list">
      <formula1>"Tailwind,Headwind"</formula1>
    </dataValidation>
    <dataValidation sqref="AF2:AF6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67" showDropDown="0" showInputMessage="0" showErrorMessage="0" allowBlank="1" type="list">
      <formula1>"Yes,No"</formula1>
    </dataValidation>
    <dataValidation sqref="AJ2:AJ67" showDropDown="0" showInputMessage="0" showErrorMessage="0" allowBlank="1" type="list">
      <formula1>"Yes,No,Not Applicable"</formula1>
    </dataValidation>
    <dataValidation sqref="AL2:AL67" showDropDown="0" showInputMessage="0" showErrorMessage="0" allowBlank="1" type="list">
      <formula1>"Yes,No"</formula1>
    </dataValidation>
    <dataValidation sqref="AN2:AN67" showDropDown="0" showInputMessage="0" showErrorMessage="0" allowBlank="1" type="list">
      <formula1>"Yes,No"</formula1>
    </dataValidation>
    <dataValidation sqref="AP2:AP67" showDropDown="0" showInputMessage="0" showErrorMessage="0" allowBlank="1" type="list">
      <formula1>"Yes,No"</formula1>
    </dataValidation>
    <dataValidation sqref="AR2:AR67" showDropDown="0" showInputMessage="0" showErrorMessage="0" allowBlank="1" type="list">
      <formula1>"Yes,No"</formula1>
    </dataValidation>
    <dataValidation sqref="AT2:AT67" showDropDown="0" showInputMessage="0" showErrorMessage="0" allowBlank="1" type="list">
      <formula1>"No,Yes"</formula1>
    </dataValidation>
    <dataValidation sqref="AV2:AV67" showDropDown="0" showInputMessage="0" showErrorMessage="0" allowBlank="1" type="list">
      <formula1>"No,Yes"</formula1>
    </dataValidation>
    <dataValidation sqref="AX2:AX67" showDropDown="0" showInputMessage="0" showErrorMessage="0" allowBlank="1" type="list">
      <formula1>"No,Yes CEO Resignation,Yes CEO Retirement"</formula1>
    </dataValidation>
    <dataValidation sqref="AZ2:AZ67" showDropDown="0" showInputMessage="0" showErrorMessage="0" allowBlank="1" type="list">
      <formula1>"No,Yes"</formula1>
    </dataValidation>
    <dataValidation sqref="BB2:BB67" showDropDown="0" showInputMessage="0" showErrorMessage="0" allowBlank="1" type="list">
      <formula1>"No,Yes"</formula1>
    </dataValidation>
    <dataValidation sqref="BD2:BD67" showDropDown="0" showInputMessage="0" showErrorMessage="0" allowBlank="1" type="list">
      <formula1>"Yes,No"</formula1>
    </dataValidation>
    <dataValidation sqref="BF2:BF67" showDropDown="0" showInputMessage="0" showErrorMessage="0" allowBlank="1" type="list">
      <formula1>"Yes,No"</formula1>
    </dataValidation>
    <dataValidation sqref="BH2:BH67" showDropDown="0" showInputMessage="0" showErrorMessage="0" allowBlank="1" type="list">
      <formula1>"Yes,No"</formula1>
    </dataValidation>
    <dataValidation sqref="BJ2:BJ6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67" showDropDown="0" showInputMessage="0" showErrorMessage="0" allowBlank="1" type="list">
      <formula1>"Above 40,20 to 40,0 to 20"</formula1>
    </dataValidation>
    <dataValidation sqref="BN2:BN67" showDropDown="0" showInputMessage="0" showErrorMessage="0" allowBlank="1" type="list">
      <formula1>"Between 50 to 75,Above 75,Below 45"</formula1>
    </dataValidation>
    <dataValidation sqref="BP2:BP67" showDropDown="0" showInputMessage="0" showErrorMessage="0" allowBlank="1" type="list">
      <formula1>"Stage 1,Stage 2,Stage 3,Stage 4"</formula1>
    </dataValidation>
    <dataValidation sqref="BR2:BR67" showDropDown="0" showInputMessage="0" showErrorMessage="0" allowBlank="1" type="list">
      <formula1>"Positive Trend,Negative Trend"</formula1>
    </dataValidation>
    <dataValidation sqref="BT2:BT67" showDropDown="0" showInputMessage="0" showErrorMessage="0" allowBlank="1" type="list">
      <formula1>"Uptrend,Sideways,Downtrend"</formula1>
    </dataValidation>
    <dataValidation sqref="BV2:BV67" showDropDown="0" showInputMessage="0" showErrorMessage="0" allowBlank="1" type="list">
      <formula1>"Uptrend,Sideways,Downtrend"</formula1>
    </dataValidation>
    <dataValidation sqref="BX2:BX6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6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G17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IF(B2=0,"",RANK(B2,$B$2:$B$91,0))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VMARCIND</t>
        </is>
      </c>
      <c r="D2" s="31" t="inlineStr">
        <is>
          <t>V-Marc India Ltd</t>
        </is>
      </c>
      <c r="E2" s="31" t="inlineStr">
        <is>
          <t>unknown</t>
        </is>
      </c>
      <c r="F2" s="31" t="inlineStr">
        <is>
          <t>Cables - Power</t>
        </is>
      </c>
      <c r="G2" s="31" t="inlineStr">
        <is>
          <t>smallcap</t>
        </is>
      </c>
      <c r="H2" s="32" t="n">
        <v>3897.67</v>
      </c>
      <c r="I2" s="32" t="n">
        <v>1596.05</v>
      </c>
      <c r="J2" s="32" t="n">
        <v>-0.27</v>
      </c>
      <c r="K2" s="32" t="n">
        <v>0</v>
      </c>
      <c r="L2" s="31" t="n">
        <v>98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80.53</v>
      </c>
      <c r="P2" s="32" t="n">
        <v>53.96</v>
      </c>
      <c r="Q2" s="32" t="n">
        <v>1185.45</v>
      </c>
      <c r="R2" s="31" t="inlineStr">
        <is>
          <t>Near 52W High Breakout</t>
        </is>
      </c>
      <c r="S2" s="31" t="inlineStr">
        <is>
          <t>Nifty 50</t>
        </is>
      </c>
      <c r="T2" s="32" t="n">
        <v>-5.72</v>
      </c>
      <c r="U2" s="32" t="n">
        <v>284.42</v>
      </c>
      <c r="V2" s="32" t="n">
        <v>307.72</v>
      </c>
      <c r="W2" s="32" t="n">
        <v>71.2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Above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15</t>
        </is>
      </c>
      <c r="CG2" s="31">
        <f>IF(CF2&gt;20,10,IF(CF2&gt;=10,5,2))</f>
        <v/>
      </c>
    </row>
    <row r="3">
      <c r="A3" s="31">
        <f>IF(B3=0,"",RANK(B3,$B$2:$B$91,0))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BAJAJCON</t>
        </is>
      </c>
      <c r="D3" s="31" t="inlineStr">
        <is>
          <t>Bajaj Consumer Care Ltd</t>
        </is>
      </c>
      <c r="E3" s="31" t="inlineStr">
        <is>
          <t>fmcg</t>
        </is>
      </c>
      <c r="F3" s="31" t="inlineStr">
        <is>
          <t>FMCG - Personal Care</t>
        </is>
      </c>
      <c r="G3" s="31" t="inlineStr">
        <is>
          <t>midcap</t>
        </is>
      </c>
      <c r="H3" s="32" t="n">
        <v>8027.15</v>
      </c>
      <c r="I3" s="32" t="n">
        <v>614.55</v>
      </c>
      <c r="J3" s="32" t="n">
        <v>2.6</v>
      </c>
      <c r="K3" s="32" t="n">
        <v>0</v>
      </c>
      <c r="L3" s="31" t="n">
        <v>91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72.28</v>
      </c>
      <c r="P3" s="32" t="n">
        <v>61.09</v>
      </c>
      <c r="Q3" s="32" t="n">
        <v>485.78</v>
      </c>
      <c r="R3" s="31" t="inlineStr">
        <is>
          <t>Near 52W High Breakout</t>
        </is>
      </c>
      <c r="S3" s="31" t="inlineStr">
        <is>
          <t>Nifty FMCG</t>
        </is>
      </c>
      <c r="T3" s="32" t="n">
        <v>-9</v>
      </c>
      <c r="U3" s="32" t="n">
        <v>178.24</v>
      </c>
      <c r="V3" s="32" t="n">
        <v>205.77</v>
      </c>
      <c r="W3" s="32" t="n">
        <v>39.18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Above 2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20</t>
        </is>
      </c>
      <c r="CG3" s="31">
        <f>IF(CF3&gt;20,10,IF(CF3&gt;=10,5,2))</f>
        <v/>
      </c>
    </row>
    <row r="4">
      <c r="A4" s="31">
        <f>IF(B4=0,"",RANK(B4,$B$2:$B$91,0))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RPTECH</t>
        </is>
      </c>
      <c r="D4" s="31" t="inlineStr">
        <is>
          <t>Rashi Peripherals Ltd</t>
        </is>
      </c>
      <c r="E4" s="31" t="inlineStr">
        <is>
          <t>services</t>
        </is>
      </c>
      <c r="F4" s="31" t="inlineStr">
        <is>
          <t>Trading</t>
        </is>
      </c>
      <c r="G4" s="31" t="inlineStr">
        <is>
          <t>midcap</t>
        </is>
      </c>
      <c r="H4" s="32" t="n">
        <v>5192.56</v>
      </c>
      <c r="I4" s="32" t="n">
        <v>787.95</v>
      </c>
      <c r="J4" s="32" t="n">
        <v>1.84</v>
      </c>
      <c r="K4" s="32" t="n">
        <v>0</v>
      </c>
      <c r="L4" s="31" t="n">
        <v>95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89.47</v>
      </c>
      <c r="P4" s="32" t="n">
        <v>63.65</v>
      </c>
      <c r="Q4" s="32" t="n">
        <v>614.34</v>
      </c>
      <c r="R4" s="31" t="inlineStr">
        <is>
          <t>Near 52W High Breakout</t>
        </is>
      </c>
      <c r="S4" s="31" t="inlineStr">
        <is>
          <t>Nifty 50</t>
        </is>
      </c>
      <c r="T4" s="32" t="n">
        <v>-5.72</v>
      </c>
      <c r="U4" s="32" t="n">
        <v>167.66</v>
      </c>
      <c r="V4" s="32" t="n">
        <v>183.88</v>
      </c>
      <c r="W4" s="32" t="n">
        <v>50.94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Less than 50%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25</t>
        </is>
      </c>
      <c r="CG4" s="31">
        <f>IF(CF4&gt;20,10,IF(CF4&gt;=10,5,2))</f>
        <v/>
      </c>
    </row>
    <row r="5">
      <c r="A5" s="31">
        <f>IF(B5=0,"",RANK(B5,$B$2:$B$91,0))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TIMEX</t>
        </is>
      </c>
      <c r="D5" s="31" t="inlineStr">
        <is>
          <t>Timex Group India Ltd</t>
        </is>
      </c>
      <c r="E5" s="31" t="inlineStr">
        <is>
          <t>Consumer Cyclical</t>
        </is>
      </c>
      <c r="F5" s="31" t="inlineStr">
        <is>
          <t>Watches</t>
        </is>
      </c>
      <c r="G5" s="31" t="inlineStr">
        <is>
          <t>midcap</t>
        </is>
      </c>
      <c r="H5" s="32" t="n">
        <v>5237.29</v>
      </c>
      <c r="I5" s="32" t="n">
        <v>518.8</v>
      </c>
      <c r="J5" s="32" t="n">
        <v>-1.97</v>
      </c>
      <c r="K5" s="32" t="n">
        <v>0</v>
      </c>
      <c r="L5" s="31" t="n">
        <v>95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75</v>
      </c>
      <c r="P5" s="32" t="n">
        <v>35.13</v>
      </c>
      <c r="Q5" s="32" t="n">
        <v>395.63</v>
      </c>
      <c r="R5" s="31" t="inlineStr">
        <is>
          <t>Near 52W High Breakout</t>
        </is>
      </c>
      <c r="S5" s="31" t="inlineStr">
        <is>
          <t>Nifty 50</t>
        </is>
      </c>
      <c r="T5" s="32" t="n">
        <v>-5.72</v>
      </c>
      <c r="U5" s="32" t="n">
        <v>124.69</v>
      </c>
      <c r="V5" s="32" t="n">
        <v>138.31</v>
      </c>
      <c r="W5" s="32" t="n">
        <v>45.44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20 to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Yes</t>
        </is>
      </c>
      <c r="BS5" s="31">
        <f>IF(BR5="NO",5,0)</f>
        <v/>
      </c>
      <c r="BT5" s="31" t="inlineStr">
        <is>
          <t>Above 2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17</t>
        </is>
      </c>
      <c r="CG5" s="31">
        <f>IF(CF5&gt;20,10,IF(CF5&gt;=10,5,2))</f>
        <v/>
      </c>
    </row>
    <row r="6">
      <c r="A6" s="31">
        <f>IF(B6=0,"",RANK(B6,$B$2:$B$91,0))</f>
        <v/>
      </c>
      <c r="B6" s="32">
        <f>SUM(N6,Y6,AA6,AC6,AE6,AG6,AI6,AK6,AM6,AO6,AQ6,AS6,AU6,AW6,AY6,BA6,BC6,BE6,BG6,BI6,BK6,BM6,BO6,BQ6,BS6,BU6,BW6,BY6,CA6,CC6,CE6,CG6)</f>
        <v/>
      </c>
      <c r="C6" s="34" t="inlineStr">
        <is>
          <t>IOLCP</t>
        </is>
      </c>
      <c r="D6" s="34" t="inlineStr">
        <is>
          <t>IOL Chemicals &amp; Pharmaceuticals Ltd</t>
        </is>
      </c>
      <c r="E6" s="31" t="inlineStr">
        <is>
          <t>healthcare</t>
        </is>
      </c>
      <c r="F6" s="31" t="inlineStr">
        <is>
          <t>Pharma - API &amp; CRAMS</t>
        </is>
      </c>
      <c r="G6" s="31" t="inlineStr">
        <is>
          <t>smallcap</t>
        </is>
      </c>
      <c r="H6" s="32" t="n">
        <v>4321.02</v>
      </c>
      <c r="I6" s="32" t="n">
        <v>147.21</v>
      </c>
      <c r="J6" s="32" t="n">
        <v>1.32</v>
      </c>
      <c r="K6" s="32" t="n">
        <v>0</v>
      </c>
      <c r="L6" s="31" t="n">
        <v>89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81.48999999999999</v>
      </c>
      <c r="P6" s="32" t="n">
        <v>55.06</v>
      </c>
      <c r="Q6" s="32" t="n">
        <v>112.49</v>
      </c>
      <c r="R6" s="31" t="inlineStr">
        <is>
          <t>Near 52W High Breakout</t>
        </is>
      </c>
      <c r="S6" s="31" t="inlineStr">
        <is>
          <t>Nifty Pharma</t>
        </is>
      </c>
      <c r="T6" s="32" t="n">
        <v>12.5</v>
      </c>
      <c r="U6" s="32" t="n">
        <v>59.34</v>
      </c>
      <c r="V6" s="32" t="n">
        <v>41.63</v>
      </c>
      <c r="W6" s="32" t="n">
        <v>33.3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17</t>
        </is>
      </c>
      <c r="CG6" s="31">
        <f>IF(CF6&gt;20,10,IF(CF6&gt;=10,5,2))</f>
        <v/>
      </c>
    </row>
    <row r="7">
      <c r="A7" s="31">
        <f>IF(B7=0,"",RANK(B7,$B$2:$B$91,0))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GLAND</t>
        </is>
      </c>
      <c r="D7" s="31" t="inlineStr">
        <is>
          <t>Gland Pharma Ltd</t>
        </is>
      </c>
      <c r="E7" s="31" t="inlineStr">
        <is>
          <t>healthcare</t>
        </is>
      </c>
      <c r="F7" s="31" t="inlineStr">
        <is>
          <t>Pharma - API &amp; CRAMS</t>
        </is>
      </c>
      <c r="G7" s="31" t="inlineStr">
        <is>
          <t>largecap</t>
        </is>
      </c>
      <c r="H7" s="32" t="n">
        <v>40665.86</v>
      </c>
      <c r="I7" s="32" t="n">
        <v>2465.2</v>
      </c>
      <c r="J7" s="32" t="n">
        <v>-1.19</v>
      </c>
      <c r="K7" s="32" t="n">
        <v>0</v>
      </c>
      <c r="L7" s="31" t="n">
        <v>61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72.20999999999999</v>
      </c>
      <c r="P7" s="32" t="n">
        <v>40.7</v>
      </c>
      <c r="Q7" s="32" t="n">
        <v>1983</v>
      </c>
      <c r="R7" s="31" t="inlineStr">
        <is>
          <t>Near 52W High Breakout</t>
        </is>
      </c>
      <c r="S7" s="31" t="inlineStr">
        <is>
          <t>Nifty Pharma</t>
        </is>
      </c>
      <c r="T7" s="32" t="n">
        <v>12.5</v>
      </c>
      <c r="U7" s="32" t="n">
        <v>32.87</v>
      </c>
      <c r="V7" s="32" t="n">
        <v>18.1</v>
      </c>
      <c r="W7" s="32" t="n">
        <v>16.7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Between 50% to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16</t>
        </is>
      </c>
      <c r="CG7" s="31">
        <f>IF(CF7&gt;20,10,IF(CF7&gt;=10,5,2))</f>
        <v/>
      </c>
    </row>
    <row r="8">
      <c r="A8" s="31">
        <f>IF(B8=0,"",RANK(B8,$B$2:$B$91,0))</f>
        <v/>
      </c>
      <c r="B8" s="32">
        <f>SUM(N8,Y8,AA8,AC8,AE8,AG8,AI8,AK8,AM8,AO8,AQ8,AS8,AU8,AW8,AY8,BA8,BC8,BE8,BG8,BI8,BK8,BM8,BO8,BQ8,BS8,BU8,BW8,BY8,CA8,CC8,CE8,CG8)</f>
        <v/>
      </c>
      <c r="C8" s="34" t="inlineStr">
        <is>
          <t>RADICO</t>
        </is>
      </c>
      <c r="D8" s="34" t="inlineStr">
        <is>
          <t>Radico Khaitan Ltd</t>
        </is>
      </c>
      <c r="E8" s="31" t="inlineStr">
        <is>
          <t>fmcg</t>
        </is>
      </c>
      <c r="F8" s="31" t="inlineStr">
        <is>
          <t>Alcoholic Beverages</t>
        </is>
      </c>
      <c r="G8" s="31" t="inlineStr">
        <is>
          <t>largecap</t>
        </is>
      </c>
      <c r="H8" s="32" t="n">
        <v>52937.71</v>
      </c>
      <c r="I8" s="32" t="n">
        <v>3952.6</v>
      </c>
      <c r="J8" s="32" t="n">
        <v>0.18</v>
      </c>
      <c r="K8" s="32" t="n">
        <v>0</v>
      </c>
      <c r="L8" s="31" t="n">
        <v>72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77.43000000000001</v>
      </c>
      <c r="P8" s="32" t="n">
        <v>43.36</v>
      </c>
      <c r="Q8" s="32" t="n">
        <v>3312.98</v>
      </c>
      <c r="R8" s="31" t="inlineStr">
        <is>
          <t>Near 52W High Breakout</t>
        </is>
      </c>
      <c r="S8" s="31" t="inlineStr">
        <is>
          <t>Nifty FMCG</t>
        </is>
      </c>
      <c r="T8" s="32" t="n">
        <v>-9</v>
      </c>
      <c r="U8" s="32" t="n">
        <v>50.46</v>
      </c>
      <c r="V8" s="32" t="n">
        <v>65.34</v>
      </c>
      <c r="W8" s="32" t="n">
        <v>20.67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B2C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Yes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15</t>
        </is>
      </c>
      <c r="CG8" s="31">
        <f>IF(CF8&gt;20,10,IF(CF8&gt;=10,5,2))</f>
        <v/>
      </c>
    </row>
    <row r="9">
      <c r="A9" s="31">
        <f>IF(B9=0,"",RANK(B9,$B$2:$B$91,0))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THANGAMAYL</t>
        </is>
      </c>
      <c r="D9" s="31" t="inlineStr">
        <is>
          <t>Thangamayil Jewellery Ltd</t>
        </is>
      </c>
      <c r="E9" s="31" t="inlineStr">
        <is>
          <t>consumer discretionary</t>
        </is>
      </c>
      <c r="F9" s="31" t="inlineStr">
        <is>
          <t>Diamond, Gems &amp; Jewellery</t>
        </is>
      </c>
      <c r="G9" s="31" t="inlineStr">
        <is>
          <t>midcap</t>
        </is>
      </c>
      <c r="H9" s="32" t="n">
        <v>18479.82</v>
      </c>
      <c r="I9" s="32" t="n">
        <v>5945.5</v>
      </c>
      <c r="J9" s="32" t="n">
        <v>-7.08</v>
      </c>
      <c r="K9" s="32" t="n">
        <v>0</v>
      </c>
      <c r="L9" s="31" t="n">
        <v>93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74.34</v>
      </c>
      <c r="P9" s="32" t="n">
        <v>43.35</v>
      </c>
      <c r="Q9" s="32" t="n">
        <v>4374.95</v>
      </c>
      <c r="R9" s="31" t="inlineStr">
        <is>
          <t>Volume Spike &amp; Near 52W High Breakout</t>
        </is>
      </c>
      <c r="S9" s="31" t="inlineStr">
        <is>
          <t>Nifty 50</t>
        </is>
      </c>
      <c r="T9" s="32" t="n">
        <v>-5.72</v>
      </c>
      <c r="U9" s="32" t="n">
        <v>215.12</v>
      </c>
      <c r="V9" s="32" t="n">
        <v>234.22</v>
      </c>
      <c r="W9" s="32" t="n">
        <v>42.13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Above 2</t>
        </is>
      </c>
      <c r="BU9" s="31">
        <f>IF(BT9="Above 2",0,IF(BT9="Between 1.5 to 2",5,IF(BT9="Less than 1.5",10,0)))</f>
        <v/>
      </c>
      <c r="BV9" s="31" t="inlineStr">
        <is>
          <t>Between 50% to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21</t>
        </is>
      </c>
      <c r="CG9" s="31">
        <f>IF(CF9&gt;20,10,IF(CF9&gt;=10,5,2))</f>
        <v/>
      </c>
    </row>
    <row r="10">
      <c r="A10" s="31">
        <f>IF(B10=0,"",RANK(B10,$B$2:$B$91,0))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WHEELS</t>
        </is>
      </c>
      <c r="D10" s="31" t="inlineStr">
        <is>
          <t>Wheels India Ltd</t>
        </is>
      </c>
      <c r="E10" s="31" t="inlineStr">
        <is>
          <t>Consumer Cyclical</t>
        </is>
      </c>
      <c r="F10" s="31" t="inlineStr">
        <is>
          <t>Auto Ancillaries - Wheels</t>
        </is>
      </c>
      <c r="G10" s="31" t="inlineStr">
        <is>
          <t>smallcap</t>
        </is>
      </c>
      <c r="H10" s="32" t="n">
        <v>3942.27</v>
      </c>
      <c r="I10" s="32" t="n">
        <v>1613.5</v>
      </c>
      <c r="J10" s="32" t="n">
        <v>-9.66</v>
      </c>
      <c r="K10" s="32" t="n">
        <v>0</v>
      </c>
      <c r="L10" s="31" t="n">
        <v>87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67.81999999999999</v>
      </c>
      <c r="P10" s="32" t="n">
        <v>57.51</v>
      </c>
      <c r="Q10" s="32" t="n">
        <v>1227.06</v>
      </c>
      <c r="R10" s="31" t="inlineStr">
        <is>
          <t>Near 52W High Breakout</t>
        </is>
      </c>
      <c r="S10" s="31" t="inlineStr">
        <is>
          <t>Nifty Auto</t>
        </is>
      </c>
      <c r="T10" s="32" t="n">
        <v>11.69</v>
      </c>
      <c r="U10" s="32" t="n">
        <v>100.47</v>
      </c>
      <c r="V10" s="32" t="n">
        <v>79.48999999999999</v>
      </c>
      <c r="W10" s="32" t="n">
        <v>30.49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B2C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Less than 12%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Above 2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19</t>
        </is>
      </c>
      <c r="CG10" s="31">
        <f>IF(CF10&gt;20,10,IF(CF10&gt;=10,5,2))</f>
        <v/>
      </c>
    </row>
    <row r="11">
      <c r="A11" s="31">
        <f>IF(B11=0,"",RANK(B11,$B$2:$B$91,0))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IBULLSLTD</t>
        </is>
      </c>
      <c r="D11" s="31" t="inlineStr">
        <is>
          <t>Indiabulls Limited</t>
        </is>
      </c>
      <c r="E11" s="31" t="inlineStr">
        <is>
          <t>miscellaneous</t>
        </is>
      </c>
      <c r="F11" s="31" t="inlineStr">
        <is>
          <t>Diversified</t>
        </is>
      </c>
      <c r="G11" s="31" t="inlineStr">
        <is>
          <t>midcap</t>
        </is>
      </c>
      <c r="H11" s="32" t="n">
        <v>6459.82</v>
      </c>
      <c r="I11" s="32" t="n">
        <v>27.73</v>
      </c>
      <c r="J11" s="32" t="n">
        <v>-0.29</v>
      </c>
      <c r="K11" s="32" t="n">
        <v>0</v>
      </c>
      <c r="L11" s="31" t="n">
        <v>97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76.18000000000001</v>
      </c>
      <c r="P11" s="32" t="n">
        <v>38.76</v>
      </c>
      <c r="Q11" s="32" t="n">
        <v>20.05</v>
      </c>
      <c r="R11" s="31" t="inlineStr">
        <is>
          <t>Near 52W High Breakout</t>
        </is>
      </c>
      <c r="S11" s="31" t="inlineStr">
        <is>
          <t>Nifty 50</t>
        </is>
      </c>
      <c r="T11" s="32" t="n">
        <v>-5.72</v>
      </c>
      <c r="U11" s="32" t="n">
        <v>64.47</v>
      </c>
      <c r="V11" s="32" t="n">
        <v>74.44</v>
      </c>
      <c r="W11" s="32" t="n">
        <v>57.75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20 to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Between 50% to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18</t>
        </is>
      </c>
      <c r="CG11" s="31">
        <f>IF(CF11&gt;20,10,IF(CF11&gt;=10,5,2))</f>
        <v/>
      </c>
    </row>
    <row r="12">
      <c r="A12" s="31">
        <f>IF(B12=0,"",RANK(B12,$B$2:$B$91,0))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4" t="inlineStr">
        <is>
          <t>ATHERENERG</t>
        </is>
      </c>
      <c r="D12" s="34" t="inlineStr">
        <is>
          <t>Ather Energy Ltd</t>
        </is>
      </c>
      <c r="E12" s="31" t="inlineStr">
        <is>
          <t>auto</t>
        </is>
      </c>
      <c r="F12" s="31" t="inlineStr">
        <is>
          <t>Auto - 2 &amp; 3 Wheelers</t>
        </is>
      </c>
      <c r="G12" s="31" t="inlineStr">
        <is>
          <t>largecap</t>
        </is>
      </c>
      <c r="H12" s="32" t="n">
        <v>43307.99</v>
      </c>
      <c r="I12" s="32" t="n">
        <v>1130.4</v>
      </c>
      <c r="J12" s="32" t="n">
        <v>-0.89</v>
      </c>
      <c r="K12" s="32" t="n">
        <v>0</v>
      </c>
      <c r="L12" s="31" t="n">
        <v>92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74.04000000000001</v>
      </c>
      <c r="P12" s="32" t="n">
        <v>51.19</v>
      </c>
      <c r="Q12" s="32" t="n">
        <v>860.24</v>
      </c>
      <c r="R12" s="31" t="inlineStr">
        <is>
          <t>Near 52W High Breakout</t>
        </is>
      </c>
      <c r="S12" s="31" t="inlineStr">
        <is>
          <t>Nifty Auto</t>
        </is>
      </c>
      <c r="T12" s="32" t="n">
        <v>11.69</v>
      </c>
      <c r="U12" s="32" t="n">
        <v>244.37</v>
      </c>
      <c r="V12" s="32" t="n">
        <v>208.33</v>
      </c>
      <c r="W12" s="32" t="n">
        <v>41.02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Negative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16</t>
        </is>
      </c>
      <c r="CG12" s="31">
        <f>IF(CF12&gt;20,10,IF(CF12&gt;=10,5,2))</f>
        <v/>
      </c>
    </row>
    <row r="13">
      <c r="A13" s="31">
        <f>IF(B13=0,"",RANK(B13,$B$2:$B$91,0))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CUPID</t>
        </is>
      </c>
      <c r="D13" s="31" t="inlineStr">
        <is>
          <t>Cupid Ltd</t>
        </is>
      </c>
      <c r="E13" s="31" t="inlineStr">
        <is>
          <t>fmcg</t>
        </is>
      </c>
      <c r="F13" s="31" t="inlineStr">
        <is>
          <t>Contraceptives/Protectives</t>
        </is>
      </c>
      <c r="G13" s="31" t="inlineStr">
        <is>
          <t>largecap</t>
        </is>
      </c>
      <c r="H13" s="32" t="n">
        <v>26003.05</v>
      </c>
      <c r="I13" s="32" t="n">
        <v>193.38</v>
      </c>
      <c r="J13" s="32" t="n">
        <v>1.82</v>
      </c>
      <c r="K13" s="32" t="n">
        <v>0</v>
      </c>
      <c r="L13" s="31" t="n">
        <v>99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86.61</v>
      </c>
      <c r="P13" s="32" t="n">
        <v>56.16</v>
      </c>
      <c r="Q13" s="32" t="n">
        <v>155.61</v>
      </c>
      <c r="R13" s="31" t="inlineStr">
        <is>
          <t>Near 52W High Breakout</t>
        </is>
      </c>
      <c r="S13" s="31" t="inlineStr">
        <is>
          <t>Nifty FMCG</t>
        </is>
      </c>
      <c r="T13" s="32" t="n">
        <v>-9</v>
      </c>
      <c r="U13" s="32" t="n">
        <v>788.53</v>
      </c>
      <c r="V13" s="32" t="n">
        <v>876.46</v>
      </c>
      <c r="W13" s="32" t="n">
        <v>87.79000000000001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B2C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Less than 50%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20</t>
        </is>
      </c>
      <c r="CG13" s="31">
        <f>IF(CF13&gt;20,10,IF(CF13&gt;=10,5,2))</f>
        <v/>
      </c>
    </row>
    <row r="14">
      <c r="A14" s="31">
        <f>IF(B14=0,"",RANK(B14,$B$2:$B$91,0))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BLISSGVS</t>
        </is>
      </c>
      <c r="D14" s="31" t="inlineStr">
        <is>
          <t>Bliss GVS Pharma Ltd</t>
        </is>
      </c>
      <c r="E14" s="31" t="inlineStr">
        <is>
          <t>healthcare</t>
        </is>
      </c>
      <c r="F14" s="31" t="inlineStr">
        <is>
          <t>Pharma - Formulators</t>
        </is>
      </c>
      <c r="G14" s="31" t="inlineStr">
        <is>
          <t>midcap</t>
        </is>
      </c>
      <c r="H14" s="32" t="n">
        <v>5552.57</v>
      </c>
      <c r="I14" s="32" t="n">
        <v>523.55</v>
      </c>
      <c r="J14" s="32" t="n">
        <v>-2.97</v>
      </c>
      <c r="K14" s="32" t="n">
        <v>0</v>
      </c>
      <c r="L14" s="31" t="n">
        <v>97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91.62</v>
      </c>
      <c r="P14" s="32" t="n">
        <v>70.89</v>
      </c>
      <c r="Q14" s="32" t="n">
        <v>405.65</v>
      </c>
      <c r="R14" s="31" t="inlineStr">
        <is>
          <t>Near 52W High Breakout</t>
        </is>
      </c>
      <c r="S14" s="31" t="inlineStr">
        <is>
          <t>Nifty Pharma</t>
        </is>
      </c>
      <c r="T14" s="32" t="n">
        <v>12.5</v>
      </c>
      <c r="U14" s="32" t="n">
        <v>236.87</v>
      </c>
      <c r="V14" s="32" t="n">
        <v>199.44</v>
      </c>
      <c r="W14" s="32" t="n">
        <v>59.2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17</t>
        </is>
      </c>
      <c r="CG14" s="31">
        <f>IF(CF14&gt;20,10,IF(CF14&gt;=10,5,2))</f>
        <v/>
      </c>
    </row>
    <row r="15">
      <c r="A15" s="31">
        <f>IF(B15=0,"",RANK(B15,$B$2:$B$91,0))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AEGISLOG</t>
        </is>
      </c>
      <c r="D15" s="31" t="inlineStr">
        <is>
          <t>Aegis Logistics Ltd</t>
        </is>
      </c>
      <c r="E15" s="31" t="inlineStr">
        <is>
          <t>services</t>
        </is>
      </c>
      <c r="F15" s="31" t="inlineStr">
        <is>
          <t>Logistics</t>
        </is>
      </c>
      <c r="G15" s="31" t="inlineStr">
        <is>
          <t>largecap</t>
        </is>
      </c>
      <c r="H15" s="32" t="n">
        <v>44039.97</v>
      </c>
      <c r="I15" s="32" t="n">
        <v>1254.7</v>
      </c>
      <c r="J15" s="32" t="n">
        <v>6.88</v>
      </c>
      <c r="K15" s="32" t="n">
        <v>0</v>
      </c>
      <c r="L15" s="31" t="n">
        <v>92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83.5</v>
      </c>
      <c r="P15" s="32" t="n">
        <v>30.95</v>
      </c>
      <c r="Q15" s="32" t="n">
        <v>992.28</v>
      </c>
      <c r="R15" s="31" t="inlineStr">
        <is>
          <t>Near 52W High Breakout</t>
        </is>
      </c>
      <c r="S15" s="31" t="inlineStr">
        <is>
          <t>Nifty 50</t>
        </is>
      </c>
      <c r="T15" s="32" t="n">
        <v>-5.72</v>
      </c>
      <c r="U15" s="32" t="n">
        <v>67.73</v>
      </c>
      <c r="V15" s="32" t="n">
        <v>77.90000000000001</v>
      </c>
      <c r="W15" s="32" t="n">
        <v>41.44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20 to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25</t>
        </is>
      </c>
      <c r="CG15" s="31">
        <f>IF(CF15&gt;20,10,IF(CF15&gt;=10,5,2))</f>
        <v/>
      </c>
    </row>
    <row r="16">
      <c r="A16" s="31">
        <f>IF(B16=0,"",RANK(B16,$B$2:$B$91,0))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CEMPRO</t>
        </is>
      </c>
      <c r="D16" s="31" t="inlineStr">
        <is>
          <t>Cemindia Projects Ltd</t>
        </is>
      </c>
      <c r="E16" s="31" t="inlineStr">
        <is>
          <t>realty</t>
        </is>
      </c>
      <c r="F16" s="31" t="inlineStr">
        <is>
          <t>Infra - Construction &amp; Contracting</t>
        </is>
      </c>
      <c r="G16" s="31" t="inlineStr">
        <is>
          <t>largecap</t>
        </is>
      </c>
      <c r="H16" s="32" t="n">
        <v>23419.8</v>
      </c>
      <c r="I16" s="32" t="n">
        <v>1363.3</v>
      </c>
      <c r="J16" s="32" t="n">
        <v>4.97</v>
      </c>
      <c r="K16" s="32" t="n">
        <v>0</v>
      </c>
      <c r="L16" s="31" t="n">
        <v>96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79.62</v>
      </c>
      <c r="P16" s="32" t="n">
        <v>43.39</v>
      </c>
      <c r="Q16" s="32" t="n">
        <v>1056.99</v>
      </c>
      <c r="R16" s="31" t="inlineStr">
        <is>
          <t>Near 52W High Breakout</t>
        </is>
      </c>
      <c r="S16" s="31" t="inlineStr">
        <is>
          <t>Nifty Realty</t>
        </is>
      </c>
      <c r="T16" s="32" t="n">
        <v>-11.6</v>
      </c>
      <c r="U16" s="32" t="n">
        <v>51.86</v>
      </c>
      <c r="V16" s="32" t="n">
        <v>71.78</v>
      </c>
      <c r="W16" s="32" t="n">
        <v>52.41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Less than 50%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18</t>
        </is>
      </c>
      <c r="CG16" s="31">
        <f>IF(CF16&gt;20,10,IF(CF16&gt;=10,5,2))</f>
        <v/>
      </c>
    </row>
    <row r="17">
      <c r="A17" s="31">
        <f>IF(B17=0,"",RANK(B17,$B$2:$B$91,0))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ASTRAMICRO</t>
        </is>
      </c>
      <c r="D17" s="31" t="inlineStr">
        <is>
          <t>Astra Microwave Products Ltd</t>
        </is>
      </c>
      <c r="E17" s="31" t="inlineStr">
        <is>
          <t>aerospace &amp; defence</t>
        </is>
      </c>
      <c r="F17" s="31" t="inlineStr">
        <is>
          <t>Aerospace &amp; Defence - Equipments</t>
        </is>
      </c>
      <c r="G17" s="31" t="inlineStr">
        <is>
          <t>midcap</t>
        </is>
      </c>
      <c r="H17" s="32" t="n">
        <v>16639.11</v>
      </c>
      <c r="I17" s="32" t="n">
        <v>1752.5</v>
      </c>
      <c r="J17" s="32" t="n">
        <v>-0.52</v>
      </c>
      <c r="K17" s="32" t="n">
        <v>0</v>
      </c>
      <c r="L17" s="31" t="n">
        <v>87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83.98999999999999</v>
      </c>
      <c r="P17" s="32" t="n">
        <v>43.03</v>
      </c>
      <c r="Q17" s="32" t="n">
        <v>1399.29</v>
      </c>
      <c r="R17" s="31" t="inlineStr">
        <is>
          <t>Near 52W High Breakout</t>
        </is>
      </c>
      <c r="S17" s="31" t="inlineStr">
        <is>
          <t>Nifty 50</t>
        </is>
      </c>
      <c r="T17" s="32" t="n">
        <v>-5.72</v>
      </c>
      <c r="U17" s="32" t="n">
        <v>63.18</v>
      </c>
      <c r="V17" s="32" t="n">
        <v>73.06999999999999</v>
      </c>
      <c r="W17" s="32" t="n">
        <v>31.4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Between 1.5 to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18</t>
        </is>
      </c>
      <c r="CG17" s="31">
        <f>IF(CF17&gt;20,10,IF(CF17&gt;=10,5,2))</f>
        <v/>
      </c>
    </row>
    <row r="18">
      <c r="A18" s="31">
        <f>IF(B18=0,"",RANK(B18,$B$2:$B$91,0))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PGIL</t>
        </is>
      </c>
      <c r="D18" s="31" t="inlineStr">
        <is>
          <t>Pearl Global Industries Ltd</t>
        </is>
      </c>
      <c r="E18" s="31" t="inlineStr">
        <is>
          <t>consumer discretionary</t>
        </is>
      </c>
      <c r="F18" s="31" t="inlineStr">
        <is>
          <t>Textiles - Readymade Apparel</t>
        </is>
      </c>
      <c r="G18" s="31" t="inlineStr">
        <is>
          <t>midcap</t>
        </is>
      </c>
      <c r="H18" s="32" t="n">
        <v>9643.24</v>
      </c>
      <c r="I18" s="32" t="n">
        <v>2088</v>
      </c>
      <c r="J18" s="32" t="n">
        <v>3.59</v>
      </c>
      <c r="K18" s="32" t="n">
        <v>0</v>
      </c>
      <c r="L18" s="31" t="n">
        <v>62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70.73</v>
      </c>
      <c r="P18" s="32" t="n">
        <v>38.49</v>
      </c>
      <c r="Q18" s="32" t="n">
        <v>1588.53</v>
      </c>
      <c r="R18" s="31" t="inlineStr">
        <is>
          <t>Near 52W High Breakout</t>
        </is>
      </c>
      <c r="S18" s="31" t="inlineStr">
        <is>
          <t>Nifty 50</t>
        </is>
      </c>
      <c r="T18" s="32" t="n">
        <v>-5.72</v>
      </c>
      <c r="U18" s="32" t="n">
        <v>32.91</v>
      </c>
      <c r="V18" s="32" t="n">
        <v>40.96</v>
      </c>
      <c r="W18" s="32" t="n">
        <v>16.82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Between 1.5 to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18</t>
        </is>
      </c>
      <c r="CG18" s="31">
        <f>IF(CF18&gt;20,10,IF(CF18&gt;=10,5,2))</f>
        <v/>
      </c>
    </row>
    <row r="19">
      <c r="A19" s="31">
        <f>IF(B19=0,"",RANK(B19,$B$2:$B$91,0))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4" t="inlineStr">
        <is>
          <t>SYRMA</t>
        </is>
      </c>
      <c r="D19" s="34" t="inlineStr">
        <is>
          <t>Syrma SGS Technology Ltd</t>
        </is>
      </c>
      <c r="E19" s="31" t="inlineStr">
        <is>
          <t>consumer discretionary</t>
        </is>
      </c>
      <c r="F19" s="31" t="inlineStr">
        <is>
          <t>Consumer Electronics - EMS</t>
        </is>
      </c>
      <c r="G19" s="31" t="inlineStr">
        <is>
          <t>largecap</t>
        </is>
      </c>
      <c r="H19" s="32" t="n">
        <v>27412.78</v>
      </c>
      <c r="I19" s="32" t="n">
        <v>1421.6</v>
      </c>
      <c r="J19" s="32" t="n">
        <v>1.81</v>
      </c>
      <c r="K19" s="32" t="n">
        <v>0</v>
      </c>
      <c r="L19" s="31" t="n">
        <v>90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77.81</v>
      </c>
      <c r="P19" s="32" t="n">
        <v>47.35</v>
      </c>
      <c r="Q19" s="32" t="n">
        <v>1134.14</v>
      </c>
      <c r="R19" s="31" t="inlineStr">
        <is>
          <t>Near 52W High Breakout</t>
        </is>
      </c>
      <c r="S19" s="31" t="inlineStr">
        <is>
          <t>Nifty 50</t>
        </is>
      </c>
      <c r="T19" s="32" t="n">
        <v>-5.72</v>
      </c>
      <c r="U19" s="32" t="n">
        <v>133.65</v>
      </c>
      <c r="V19" s="32" t="n">
        <v>147.82</v>
      </c>
      <c r="W19" s="32" t="n">
        <v>38.02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Between 1.5 to 2</t>
        </is>
      </c>
      <c r="BU19" s="31">
        <f>IF(BT19="Above 2",0,IF(BT19="Between 1.5 to 2",5,IF(BT19="Less than 1.5",10,0)))</f>
        <v/>
      </c>
      <c r="BV19" s="31" t="inlineStr">
        <is>
          <t>Between 50% to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16</t>
        </is>
      </c>
      <c r="CG19" s="31">
        <f>IF(CF19&gt;20,10,IF(CF19&gt;=10,5,2))</f>
        <v/>
      </c>
    </row>
    <row r="20">
      <c r="A20" s="31">
        <f>IF(B20=0,"",RANK(B20,$B$2:$B$91,0))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4" t="inlineStr">
        <is>
          <t>MAYURUNIQ</t>
        </is>
      </c>
      <c r="D20" s="34" t="inlineStr">
        <is>
          <t>Mayur Uniquoters Ltd</t>
        </is>
      </c>
      <c r="E20" s="31" t="inlineStr">
        <is>
          <t>consumer discretionary</t>
        </is>
      </c>
      <c r="F20" s="31" t="inlineStr">
        <is>
          <t>Plastics - Plastic &amp; Plastic Products</t>
        </is>
      </c>
      <c r="G20" s="31" t="inlineStr">
        <is>
          <t>smallcap</t>
        </is>
      </c>
      <c r="H20" s="32" t="n">
        <v>3699.99</v>
      </c>
      <c r="I20" s="32" t="n">
        <v>851.5</v>
      </c>
      <c r="J20" s="32" t="n">
        <v>-1.08</v>
      </c>
      <c r="K20" s="32" t="n">
        <v>0</v>
      </c>
      <c r="L20" s="31" t="n">
        <v>78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76.14</v>
      </c>
      <c r="P20" s="32" t="n">
        <v>49.65</v>
      </c>
      <c r="Q20" s="32" t="n">
        <v>666.77</v>
      </c>
      <c r="R20" s="31" t="inlineStr">
        <is>
          <t>Near 52W High Breakout</t>
        </is>
      </c>
      <c r="S20" s="31" t="inlineStr">
        <is>
          <t>Nifty 50</t>
        </is>
      </c>
      <c r="T20" s="32" t="n">
        <v>-5.72</v>
      </c>
      <c r="U20" s="32" t="n">
        <v>50.24</v>
      </c>
      <c r="V20" s="32" t="n">
        <v>59.35</v>
      </c>
      <c r="W20" s="32" t="n">
        <v>23.14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Between 50% to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16</t>
        </is>
      </c>
      <c r="CG20" s="31">
        <f>IF(CF20&gt;20,10,IF(CF20&gt;=10,5,2))</f>
        <v/>
      </c>
    </row>
    <row r="21">
      <c r="A21" s="31">
        <f>IF(B21=0,"",RANK(B21,$B$2:$B$91,0))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KPL</t>
        </is>
      </c>
      <c r="D21" s="31" t="inlineStr">
        <is>
          <t>Kwality Pharmaceuticals Ltd</t>
        </is>
      </c>
      <c r="E21" s="31" t="inlineStr">
        <is>
          <t>Healthcare</t>
        </is>
      </c>
      <c r="F21" s="31" t="inlineStr">
        <is>
          <t>Pharma - Formulators</t>
        </is>
      </c>
      <c r="G21" s="31" t="inlineStr">
        <is>
          <t>smallcap</t>
        </is>
      </c>
      <c r="H21" s="32" t="n">
        <v>2806.45</v>
      </c>
      <c r="I21" s="32" t="n">
        <v>2704.7</v>
      </c>
      <c r="J21" s="32" t="n">
        <v>-3.48</v>
      </c>
      <c r="K21" s="32" t="n">
        <v>0</v>
      </c>
      <c r="L21" s="31" t="n">
        <v>92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80.44</v>
      </c>
      <c r="P21" s="32" t="n">
        <v>55.34</v>
      </c>
      <c r="Q21" s="32" t="n">
        <v>1983.03</v>
      </c>
      <c r="R21" s="31" t="inlineStr">
        <is>
          <t>Near 52W High Breakout</t>
        </is>
      </c>
      <c r="S21" s="31" t="inlineStr">
        <is>
          <t>Nifty Pharma</t>
        </is>
      </c>
      <c r="T21" s="32" t="n">
        <v>12.5</v>
      </c>
      <c r="U21" s="32" t="n">
        <v>129.81</v>
      </c>
      <c r="V21" s="32" t="n">
        <v>104.27</v>
      </c>
      <c r="W21" s="32" t="n">
        <v>41.45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Less than 50%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21</t>
        </is>
      </c>
      <c r="CG21" s="31">
        <f>IF(CF21&gt;20,10,IF(CF21&gt;=10,5,2))</f>
        <v/>
      </c>
    </row>
    <row r="22">
      <c r="A22" s="31">
        <f>IF(B22=0,"",RANK(B22,$B$2:$B$91,0))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SENORES</t>
        </is>
      </c>
      <c r="D22" s="31" t="inlineStr">
        <is>
          <t>Senores Pharmaceuticals Ltd</t>
        </is>
      </c>
      <c r="E22" s="31" t="inlineStr">
        <is>
          <t>healthcare</t>
        </is>
      </c>
      <c r="F22" s="31" t="inlineStr">
        <is>
          <t>Pharma - API</t>
        </is>
      </c>
      <c r="G22" s="31" t="inlineStr">
        <is>
          <t>midcap</t>
        </is>
      </c>
      <c r="H22" s="32" t="n">
        <v>6047.3</v>
      </c>
      <c r="I22" s="32" t="n">
        <v>1313.1</v>
      </c>
      <c r="J22" s="32" t="n">
        <v>-1.26</v>
      </c>
      <c r="K22" s="32" t="n">
        <v>0</v>
      </c>
      <c r="L22" s="31" t="n">
        <v>90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74.90000000000001</v>
      </c>
      <c r="P22" s="32" t="n">
        <v>52.78</v>
      </c>
      <c r="Q22" s="32" t="n">
        <v>1022.8</v>
      </c>
      <c r="R22" s="31" t="inlineStr">
        <is>
          <t>Near 52W High Breakout</t>
        </is>
      </c>
      <c r="S22" s="31" t="inlineStr">
        <is>
          <t>Nifty Pharma</t>
        </is>
      </c>
      <c r="T22" s="32" t="n">
        <v>12.5</v>
      </c>
      <c r="U22" s="32" t="n">
        <v>131.67</v>
      </c>
      <c r="V22" s="32" t="n">
        <v>105.93</v>
      </c>
      <c r="W22" s="32" t="n">
        <v>34.56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Less than 50%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19</t>
        </is>
      </c>
      <c r="CG22" s="31">
        <f>IF(CF22&gt;20,10,IF(CF22&gt;=10,5,2))</f>
        <v/>
      </c>
    </row>
    <row r="23">
      <c r="A23" s="31">
        <f>IF(B23=0,"",RANK(B23,$B$2:$B$91,0))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MODINSU</t>
        </is>
      </c>
      <c r="D23" s="31" t="inlineStr">
        <is>
          <t>Modern Insulators Ltd</t>
        </is>
      </c>
      <c r="E23" s="31" t="inlineStr">
        <is>
          <t>Technology</t>
        </is>
      </c>
      <c r="F23" s="31" t="inlineStr">
        <is>
          <t>Capital Goods - Electric General</t>
        </is>
      </c>
      <c r="G23" s="31" t="inlineStr">
        <is>
          <t>smallcap</t>
        </is>
      </c>
      <c r="H23" s="32" t="n">
        <v>2422.25</v>
      </c>
      <c r="I23" s="32" t="n">
        <v>513.8</v>
      </c>
      <c r="J23" s="32" t="n">
        <v>-4.42</v>
      </c>
      <c r="K23" s="32" t="n">
        <v>0</v>
      </c>
      <c r="L23" s="31" t="n">
        <v>97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71.70999999999999</v>
      </c>
      <c r="P23" s="32" t="n">
        <v>49.12</v>
      </c>
      <c r="Q23" s="32" t="n">
        <v>398.87</v>
      </c>
      <c r="R23" s="31" t="inlineStr">
        <is>
          <t>Earnings / Momentum Support</t>
        </is>
      </c>
      <c r="S23" s="31" t="inlineStr">
        <is>
          <t>Nifty 50</t>
        </is>
      </c>
      <c r="T23" s="32" t="n">
        <v>-5.72</v>
      </c>
      <c r="U23" s="32" t="n">
        <v>360.6</v>
      </c>
      <c r="V23" s="32" t="n">
        <v>388.52</v>
      </c>
      <c r="W23" s="32" t="n">
        <v>64.09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No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Less than 50%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16</t>
        </is>
      </c>
      <c r="CG23" s="31">
        <f>IF(CF23&gt;20,10,IF(CF23&gt;=10,5,2))</f>
        <v/>
      </c>
    </row>
    <row r="24">
      <c r="A24" s="31">
        <f>IF(B24=0,"",RANK(B24,$B$2:$B$91,0))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RAMCOSYS</t>
        </is>
      </c>
      <c r="D24" s="31" t="inlineStr">
        <is>
          <t>Ramco Systems Ltd</t>
        </is>
      </c>
      <c r="E24" s="31" t="inlineStr">
        <is>
          <t>i.t</t>
        </is>
      </c>
      <c r="F24" s="31" t="inlineStr">
        <is>
          <t>IT Product Companies</t>
        </is>
      </c>
      <c r="G24" s="31" t="inlineStr">
        <is>
          <t>smallcap</t>
        </is>
      </c>
      <c r="H24" s="32" t="n">
        <v>2989.05</v>
      </c>
      <c r="I24" s="32" t="n">
        <v>795.3</v>
      </c>
      <c r="J24" s="32" t="n">
        <v>-4.87</v>
      </c>
      <c r="K24" s="32" t="n">
        <v>0</v>
      </c>
      <c r="L24" s="31" t="n">
        <v>95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75.61</v>
      </c>
      <c r="P24" s="32" t="n">
        <v>20.69</v>
      </c>
      <c r="Q24" s="32" t="n">
        <v>567.47</v>
      </c>
      <c r="R24" s="31" t="inlineStr">
        <is>
          <t>Volume Spike &amp; Near 52W High Breakout</t>
        </is>
      </c>
      <c r="S24" s="31" t="inlineStr">
        <is>
          <t>Nifty IT</t>
        </is>
      </c>
      <c r="T24" s="32" t="n">
        <v>-34.2</v>
      </c>
      <c r="U24" s="32" t="n">
        <v>98.48</v>
      </c>
      <c r="V24" s="32" t="n">
        <v>201.66</v>
      </c>
      <c r="W24" s="32" t="n">
        <v>47.89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20 to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24</t>
        </is>
      </c>
      <c r="CG24" s="31">
        <f>IF(CF24&gt;20,10,IF(CF24&gt;=10,5,2))</f>
        <v/>
      </c>
    </row>
    <row r="25">
      <c r="A25" s="31">
        <f>IF(B25=0,"",RANK(B25,$B$2:$B$91,0))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AVALON</t>
        </is>
      </c>
      <c r="D25" s="31" t="inlineStr">
        <is>
          <t>Avalon Technologies Ltd</t>
        </is>
      </c>
      <c r="E25" s="31" t="inlineStr">
        <is>
          <t>consumer discretionary</t>
        </is>
      </c>
      <c r="F25" s="31" t="inlineStr">
        <is>
          <t>Consumer Electronics - EMS</t>
        </is>
      </c>
      <c r="G25" s="31" t="inlineStr">
        <is>
          <t>midcap</t>
        </is>
      </c>
      <c r="H25" s="32" t="n">
        <v>11994.71</v>
      </c>
      <c r="I25" s="32" t="n">
        <v>1795.3</v>
      </c>
      <c r="J25" s="32" t="n">
        <v>-0.37</v>
      </c>
      <c r="K25" s="32" t="n">
        <v>0</v>
      </c>
      <c r="L25" s="31" t="n">
        <v>91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78.81999999999999</v>
      </c>
      <c r="P25" s="32" t="n">
        <v>47.4</v>
      </c>
      <c r="Q25" s="32" t="n">
        <v>1360.52</v>
      </c>
      <c r="R25" s="31" t="inlineStr">
        <is>
          <t>Near 52W High Breakout</t>
        </is>
      </c>
      <c r="S25" s="31" t="inlineStr">
        <is>
          <t>Nifty 50</t>
        </is>
      </c>
      <c r="T25" s="32" t="n">
        <v>-5.72</v>
      </c>
      <c r="U25" s="32" t="n">
        <v>115.7</v>
      </c>
      <c r="V25" s="32" t="n">
        <v>128.78</v>
      </c>
      <c r="W25" s="32" t="n">
        <v>39.87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Between 1.5 to 2</t>
        </is>
      </c>
      <c r="BU25" s="31">
        <f>IF(BT25="Above 2",0,IF(BT25="Between 1.5 to 2",5,IF(BT25="Less than 1.5",10,0)))</f>
        <v/>
      </c>
      <c r="BV25" s="31" t="inlineStr">
        <is>
          <t>Less than 50%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19</t>
        </is>
      </c>
      <c r="CG25" s="31">
        <f>IF(CF25&gt;20,10,IF(CF25&gt;=10,5,2))</f>
        <v/>
      </c>
    </row>
    <row r="26">
      <c r="A26" s="31">
        <f>IF(B26=0,"",RANK(B26,$B$2:$B$91,0))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4" t="inlineStr">
        <is>
          <t>INDOTECH</t>
        </is>
      </c>
      <c r="D26" s="34" t="inlineStr">
        <is>
          <t>Indo Tech Transformers Ltd</t>
        </is>
      </c>
      <c r="E26" s="31" t="inlineStr">
        <is>
          <t>industrials</t>
        </is>
      </c>
      <c r="F26" s="31" t="inlineStr">
        <is>
          <t>Capital Goods - Transformers</t>
        </is>
      </c>
      <c r="G26" s="31" t="inlineStr">
        <is>
          <t>smallcap</t>
        </is>
      </c>
      <c r="H26" s="32" t="n">
        <v>3440.77</v>
      </c>
      <c r="I26" s="32" t="n">
        <v>3239.9</v>
      </c>
      <c r="J26" s="32" t="n">
        <v>0.12</v>
      </c>
      <c r="K26" s="32" t="n">
        <v>0</v>
      </c>
      <c r="L26" s="31" t="n">
        <v>97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73.40000000000001</v>
      </c>
      <c r="P26" s="32" t="n">
        <v>42.46</v>
      </c>
      <c r="Q26" s="32" t="n">
        <v>2343.53</v>
      </c>
      <c r="R26" s="31" t="inlineStr">
        <is>
          <t>Near 52W High Breakout</t>
        </is>
      </c>
      <c r="S26" s="31" t="inlineStr">
        <is>
          <t>Nifty 50</t>
        </is>
      </c>
      <c r="T26" s="32" t="n">
        <v>-5.72</v>
      </c>
      <c r="U26" s="32" t="n">
        <v>67.91</v>
      </c>
      <c r="V26" s="32" t="n">
        <v>78.08</v>
      </c>
      <c r="W26" s="32" t="n">
        <v>55.6</v>
      </c>
      <c r="X26" s="31" t="inlineStr">
        <is>
          <t>Cyclical in an Upturn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Between 12 to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Less than 50%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18</t>
        </is>
      </c>
      <c r="CG26" s="31">
        <f>IF(CF26&gt;20,10,IF(CF26&gt;=10,5,2))</f>
        <v/>
      </c>
    </row>
    <row r="27">
      <c r="A27" s="31">
        <f>IF(B27=0,"",RANK(B27,$B$2:$B$91,0))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BHAGYANGR</t>
        </is>
      </c>
      <c r="D27" s="31" t="inlineStr">
        <is>
          <t>Bhagyanagar India Ltd</t>
        </is>
      </c>
      <c r="E27" s="31" t="inlineStr">
        <is>
          <t>power &amp; utilities</t>
        </is>
      </c>
      <c r="F27" s="31" t="inlineStr">
        <is>
          <t>Recycling</t>
        </is>
      </c>
      <c r="G27" s="31" t="inlineStr">
        <is>
          <t>smallcap</t>
        </is>
      </c>
      <c r="H27" s="32" t="n">
        <v>1312.75</v>
      </c>
      <c r="I27" s="32" t="n">
        <v>410.3</v>
      </c>
      <c r="J27" s="32" t="n">
        <v>-4.99</v>
      </c>
      <c r="K27" s="32" t="n">
        <v>0</v>
      </c>
      <c r="L27" s="31" t="n">
        <v>98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83.79000000000001</v>
      </c>
      <c r="P27" s="32" t="n">
        <v>66.38</v>
      </c>
      <c r="Q27" s="32" t="n">
        <v>295.83</v>
      </c>
      <c r="R27" s="31" t="inlineStr">
        <is>
          <t>Near 52W High Breakout</t>
        </is>
      </c>
      <c r="S27" s="31" t="inlineStr">
        <is>
          <t>Nifty IT</t>
        </is>
      </c>
      <c r="T27" s="32" t="n">
        <v>-34.2</v>
      </c>
      <c r="U27" s="32" t="n">
        <v>417.79</v>
      </c>
      <c r="V27" s="32" t="n">
        <v>686.98</v>
      </c>
      <c r="W27" s="32" t="n">
        <v>84.66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Between 50% to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Between 0.7 to 1.2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18</t>
        </is>
      </c>
      <c r="CG27" s="31">
        <f>IF(CF27&gt;20,10,IF(CF27&gt;=10,5,2))</f>
        <v/>
      </c>
    </row>
    <row r="28">
      <c r="A28" s="31">
        <f>IF(B28=0,"",RANK(B28,$B$2:$B$91,0))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4" t="inlineStr">
        <is>
          <t>SANGHVIMOV</t>
        </is>
      </c>
      <c r="D28" s="34" t="inlineStr">
        <is>
          <t>Sanghvi Movers Ltd</t>
        </is>
      </c>
      <c r="E28" s="31" t="inlineStr">
        <is>
          <t>miscellaneous</t>
        </is>
      </c>
      <c r="F28" s="31" t="inlineStr">
        <is>
          <t>Capital Goods - EPC/Cranes</t>
        </is>
      </c>
      <c r="G28" s="31" t="inlineStr">
        <is>
          <t>smallcap</t>
        </is>
      </c>
      <c r="H28" s="32" t="n">
        <v>3827.09</v>
      </c>
      <c r="I28" s="32" t="n">
        <v>442.05</v>
      </c>
      <c r="J28" s="32" t="n">
        <v>0.83</v>
      </c>
      <c r="K28" s="32" t="n">
        <v>0</v>
      </c>
      <c r="L28" s="31" t="n">
        <v>79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70.83</v>
      </c>
      <c r="P28" s="32" t="n">
        <v>25.86</v>
      </c>
      <c r="Q28" s="32" t="n">
        <v>328.45</v>
      </c>
      <c r="R28" s="31" t="inlineStr">
        <is>
          <t>Near 52W High Breakout</t>
        </is>
      </c>
      <c r="S28" s="31" t="inlineStr">
        <is>
          <t>Nifty 50</t>
        </is>
      </c>
      <c r="T28" s="32" t="n">
        <v>-5.72</v>
      </c>
      <c r="U28" s="32" t="n">
        <v>58.95</v>
      </c>
      <c r="V28" s="32" t="n">
        <v>68.59</v>
      </c>
      <c r="W28" s="32" t="n">
        <v>23.98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Between 50% to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17</t>
        </is>
      </c>
      <c r="CG28" s="31">
        <f>IF(CF28&gt;20,10,IF(CF28&gt;=10,5,2))</f>
        <v/>
      </c>
    </row>
    <row r="29">
      <c r="A29" s="31">
        <f>IF(B29=0,"",RANK(B29,$B$2:$B$91,0))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KIRLPNU</t>
        </is>
      </c>
      <c r="D29" s="31" t="inlineStr">
        <is>
          <t>Kirloskar Pneumatic Company Ltd</t>
        </is>
      </c>
      <c r="E29" s="31" t="inlineStr">
        <is>
          <t>industrials</t>
        </is>
      </c>
      <c r="F29" s="31" t="inlineStr">
        <is>
          <t>Compressors</t>
        </is>
      </c>
      <c r="G29" s="31" t="inlineStr">
        <is>
          <t>midcap</t>
        </is>
      </c>
      <c r="H29" s="32" t="n">
        <v>12998.48</v>
      </c>
      <c r="I29" s="32" t="n">
        <v>2000.9</v>
      </c>
      <c r="J29" s="32" t="n">
        <v>2.45</v>
      </c>
      <c r="K29" s="32" t="n">
        <v>0</v>
      </c>
      <c r="L29" s="31" t="n">
        <v>84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81.90000000000001</v>
      </c>
      <c r="P29" s="32" t="n">
        <v>49.47</v>
      </c>
      <c r="Q29" s="32" t="n">
        <v>1554.7</v>
      </c>
      <c r="R29" s="31" t="inlineStr">
        <is>
          <t>Near 52W High Breakout</t>
        </is>
      </c>
      <c r="S29" s="31" t="inlineStr">
        <is>
          <t>Nifty 50</t>
        </is>
      </c>
      <c r="T29" s="32" t="n">
        <v>-5.72</v>
      </c>
      <c r="U29" s="32" t="n">
        <v>39.78</v>
      </c>
      <c r="V29" s="32" t="n">
        <v>48.25</v>
      </c>
      <c r="W29" s="32" t="n">
        <v>28.42</v>
      </c>
      <c r="X29" s="31" t="inlineStr">
        <is>
          <t>Cyclical in an Upturn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Between 50% to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16</t>
        </is>
      </c>
      <c r="CG29" s="31">
        <f>IF(CF29&gt;20,10,IF(CF29&gt;=10,5,2))</f>
        <v/>
      </c>
    </row>
    <row r="30">
      <c r="A30" s="31">
        <f>IF(B30=0,"",RANK(B30,$B$2:$B$91,0))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RRKABEL</t>
        </is>
      </c>
      <c r="D30" s="31" t="inlineStr">
        <is>
          <t>R R Kabel Ltd</t>
        </is>
      </c>
      <c r="E30" s="31" t="inlineStr">
        <is>
          <t>industrials</t>
        </is>
      </c>
      <c r="F30" s="31" t="inlineStr">
        <is>
          <t>Cables - Power</t>
        </is>
      </c>
      <c r="G30" s="31" t="inlineStr">
        <is>
          <t>largecap</t>
        </is>
      </c>
      <c r="H30" s="32" t="n">
        <v>26938.34</v>
      </c>
      <c r="I30" s="32" t="n">
        <v>2381.7</v>
      </c>
      <c r="J30" s="32" t="n">
        <v>-0.5600000000000001</v>
      </c>
      <c r="K30" s="32" t="n">
        <v>0</v>
      </c>
      <c r="L30" s="31" t="n">
        <v>88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74.31</v>
      </c>
      <c r="P30" s="32" t="n">
        <v>51.33</v>
      </c>
      <c r="Q30" s="32" t="n">
        <v>1990.31</v>
      </c>
      <c r="R30" s="31" t="inlineStr">
        <is>
          <t>Near 52W High Breakout</t>
        </is>
      </c>
      <c r="S30" s="31" t="inlineStr">
        <is>
          <t>Nifty Energy</t>
        </is>
      </c>
      <c r="T30" s="32" t="n">
        <v>8.92</v>
      </c>
      <c r="U30" s="32" t="n">
        <v>74.98999999999999</v>
      </c>
      <c r="V30" s="32" t="n">
        <v>60.66</v>
      </c>
      <c r="W30" s="32" t="n">
        <v>31.77</v>
      </c>
      <c r="X30" s="31" t="inlineStr">
        <is>
          <t>Cyclical in an Upturn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Between 1.5 to 2</t>
        </is>
      </c>
      <c r="BU30" s="31">
        <f>IF(BT30="Above 2",0,IF(BT30="Between 1.5 to 2",5,IF(BT30="Less than 1.5",10,0)))</f>
        <v/>
      </c>
      <c r="BV30" s="31" t="inlineStr">
        <is>
          <t>Less than 50%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16</t>
        </is>
      </c>
      <c r="CG30" s="31">
        <f>IF(CF30&gt;20,10,IF(CF30&gt;=10,5,2))</f>
        <v/>
      </c>
    </row>
    <row r="31">
      <c r="A31" s="31">
        <f>IF(B31=0,"",RANK(B31,$B$2:$B$91,0))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4" t="inlineStr">
        <is>
          <t>RISHABH</t>
        </is>
      </c>
      <c r="D31" s="34" t="inlineStr">
        <is>
          <t>Rishabh Instruments Ltd</t>
        </is>
      </c>
      <c r="E31" s="31" t="inlineStr">
        <is>
          <t>industrials</t>
        </is>
      </c>
      <c r="F31" s="31" t="inlineStr">
        <is>
          <t>Capital Goods - Electric General</t>
        </is>
      </c>
      <c r="G31" s="31" t="inlineStr">
        <is>
          <t>smallcap</t>
        </is>
      </c>
      <c r="H31" s="32" t="n">
        <v>2260.95</v>
      </c>
      <c r="I31" s="32" t="n">
        <v>584.8</v>
      </c>
      <c r="J31" s="32" t="n">
        <v>2.23</v>
      </c>
      <c r="K31" s="32" t="n">
        <v>0</v>
      </c>
      <c r="L31" s="31" t="n">
        <v>83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67</v>
      </c>
      <c r="P31" s="32" t="n">
        <v>34.91</v>
      </c>
      <c r="Q31" s="32" t="n">
        <v>427.08</v>
      </c>
      <c r="R31" s="31" t="inlineStr">
        <is>
          <t>Near 52W High Breakout</t>
        </is>
      </c>
      <c r="S31" s="31" t="inlineStr">
        <is>
          <t>Nifty 50</t>
        </is>
      </c>
      <c r="T31" s="32" t="n">
        <v>-5.72</v>
      </c>
      <c r="U31" s="32" t="n">
        <v>105.37</v>
      </c>
      <c r="V31" s="32" t="n">
        <v>117.82</v>
      </c>
      <c r="W31" s="32" t="n">
        <v>28.23</v>
      </c>
      <c r="X31" s="31" t="inlineStr">
        <is>
          <t>Cyclical in an Upturn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16</t>
        </is>
      </c>
      <c r="CG31" s="31">
        <f>IF(CF31&gt;20,10,IF(CF31&gt;=10,5,2))</f>
        <v/>
      </c>
    </row>
    <row r="32">
      <c r="A32" s="31">
        <f>IF(B32=0,"",RANK(B32,$B$2:$B$91,0))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KMCSHIL</t>
        </is>
      </c>
      <c r="D32" s="31" t="inlineStr">
        <is>
          <t>KMC Speciality Hospitals (India) Ltd</t>
        </is>
      </c>
      <c r="E32" s="31" t="inlineStr">
        <is>
          <t>Healthcare</t>
        </is>
      </c>
      <c r="F32" s="31" t="inlineStr">
        <is>
          <t>Hospitals</t>
        </is>
      </c>
      <c r="G32" s="31" t="inlineStr">
        <is>
          <t>smallcap</t>
        </is>
      </c>
      <c r="H32" s="32" t="n">
        <v>2293.79</v>
      </c>
      <c r="I32" s="32" t="n">
        <v>140.65</v>
      </c>
      <c r="J32" s="32" t="n">
        <v>2.48</v>
      </c>
      <c r="K32" s="32" t="n">
        <v>0</v>
      </c>
      <c r="L32" s="31" t="n">
        <v>88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86.04000000000001</v>
      </c>
      <c r="P32" s="32" t="n">
        <v>61.4</v>
      </c>
      <c r="Q32" s="32" t="n">
        <v>112.59</v>
      </c>
      <c r="R32" s="31" t="inlineStr">
        <is>
          <t>Near 52W High Breakout</t>
        </is>
      </c>
      <c r="S32" s="31" t="inlineStr">
        <is>
          <t>Nifty Pharma</t>
        </is>
      </c>
      <c r="T32" s="32" t="n">
        <v>12.5</v>
      </c>
      <c r="U32" s="32" t="n">
        <v>114.05</v>
      </c>
      <c r="V32" s="32" t="n">
        <v>90.26000000000001</v>
      </c>
      <c r="W32" s="32" t="n">
        <v>32.68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25</t>
        </is>
      </c>
      <c r="CG32" s="31">
        <f>IF(CF32&gt;20,10,IF(CF32&gt;=10,5,2))</f>
        <v/>
      </c>
    </row>
    <row r="33">
      <c r="A33" s="31">
        <f>IF(B33=0,"",RANK(B33,$B$2:$B$91,0))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SKMEGGPROD</t>
        </is>
      </c>
      <c r="D33" s="31" t="inlineStr">
        <is>
          <t>SKM Egg Products Export (India) Ltd</t>
        </is>
      </c>
      <c r="E33" s="31" t="inlineStr">
        <is>
          <t>fmcg</t>
        </is>
      </c>
      <c r="F33" s="31" t="inlineStr">
        <is>
          <t>FMCG - Animal/Polutry</t>
        </is>
      </c>
      <c r="G33" s="31" t="inlineStr">
        <is>
          <t>smallcap</t>
        </is>
      </c>
      <c r="H33" s="32" t="n">
        <v>1670.9</v>
      </c>
      <c r="I33" s="32" t="n">
        <v>317.3</v>
      </c>
      <c r="J33" s="32" t="n">
        <v>8.289999999999999</v>
      </c>
      <c r="K33" s="32" t="n">
        <v>0</v>
      </c>
      <c r="L33" s="31" t="n">
        <v>94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79.73</v>
      </c>
      <c r="P33" s="32" t="n">
        <v>30.67</v>
      </c>
      <c r="Q33" s="32" t="n">
        <v>233.29</v>
      </c>
      <c r="R33" s="31" t="inlineStr">
        <is>
          <t>Near 52W High Breakout</t>
        </is>
      </c>
      <c r="S33" s="31" t="inlineStr">
        <is>
          <t>Nifty FMCG</t>
        </is>
      </c>
      <c r="T33" s="32" t="n">
        <v>-9</v>
      </c>
      <c r="U33" s="32" t="n">
        <v>138.12</v>
      </c>
      <c r="V33" s="32" t="n">
        <v>161.69</v>
      </c>
      <c r="W33" s="32" t="n">
        <v>45.12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B2C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Less than 50%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23</t>
        </is>
      </c>
      <c r="CG33" s="31">
        <f>IF(CF33&gt;20,10,IF(CF33&gt;=10,5,2))</f>
        <v/>
      </c>
    </row>
    <row r="34">
      <c r="A34" s="31">
        <f>IF(B34=0,"",RANK(B34,$B$2:$B$91,0))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ACUTAAS</t>
        </is>
      </c>
      <c r="D34" s="31" t="inlineStr">
        <is>
          <t>Acutaas Chemicals Ltd</t>
        </is>
      </c>
      <c r="E34" s="31" t="inlineStr">
        <is>
          <t>healthcare</t>
        </is>
      </c>
      <c r="F34" s="31" t="inlineStr">
        <is>
          <t>Pharma - API &amp; CRAMS</t>
        </is>
      </c>
      <c r="G34" s="31" t="inlineStr">
        <is>
          <t>largecap</t>
        </is>
      </c>
      <c r="H34" s="32" t="n">
        <v>29207.52</v>
      </c>
      <c r="I34" s="32" t="n">
        <v>3567.5</v>
      </c>
      <c r="J34" s="32" t="n">
        <v>1.17</v>
      </c>
      <c r="K34" s="32" t="n">
        <v>0</v>
      </c>
      <c r="L34" s="31" t="n">
        <v>93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77.7</v>
      </c>
      <c r="P34" s="32" t="n">
        <v>64.81</v>
      </c>
      <c r="Q34" s="32" t="n">
        <v>2801.01</v>
      </c>
      <c r="R34" s="31" t="inlineStr">
        <is>
          <t>Near 52W High Breakout</t>
        </is>
      </c>
      <c r="S34" s="31" t="inlineStr">
        <is>
          <t>Nifty Pharma</t>
        </is>
      </c>
      <c r="T34" s="32" t="n">
        <v>12.5</v>
      </c>
      <c r="U34" s="32" t="n">
        <v>218.25</v>
      </c>
      <c r="V34" s="32" t="n">
        <v>182.89</v>
      </c>
      <c r="W34" s="32" t="n">
        <v>41.72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Between 50% to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21</t>
        </is>
      </c>
      <c r="CG34" s="31">
        <f>IF(CF34&gt;20,10,IF(CF34&gt;=10,5,2))</f>
        <v/>
      </c>
    </row>
    <row r="35">
      <c r="A35" s="31">
        <f>IF(B35=0,"",RANK(B35,$B$2:$B$91,0))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VADILALIND</t>
        </is>
      </c>
      <c r="D35" s="31" t="inlineStr">
        <is>
          <t>Vadilal Industries Ltd</t>
        </is>
      </c>
      <c r="E35" s="31" t="inlineStr">
        <is>
          <t>fmcg</t>
        </is>
      </c>
      <c r="F35" s="31" t="inlineStr">
        <is>
          <t>FMCG - Dairy Products</t>
        </is>
      </c>
      <c r="G35" s="31" t="inlineStr">
        <is>
          <t>smallcap</t>
        </is>
      </c>
      <c r="H35" s="32" t="n">
        <v>4374.15</v>
      </c>
      <c r="I35" s="32" t="n">
        <v>6085.5</v>
      </c>
      <c r="J35" s="32" t="n">
        <v>-3.23</v>
      </c>
      <c r="K35" s="32" t="n">
        <v>0</v>
      </c>
      <c r="L35" s="31" t="n">
        <v>49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64.11</v>
      </c>
      <c r="P35" s="32" t="n">
        <v>20.67</v>
      </c>
      <c r="Q35" s="32" t="n">
        <v>4998.5</v>
      </c>
      <c r="R35" s="31" t="inlineStr">
        <is>
          <t>Near 52W High Breakout</t>
        </is>
      </c>
      <c r="S35" s="31" t="inlineStr">
        <is>
          <t>Nifty FMCG</t>
        </is>
      </c>
      <c r="T35" s="32" t="n">
        <v>-9</v>
      </c>
      <c r="U35" s="32" t="n">
        <v>14.15</v>
      </c>
      <c r="V35" s="32" t="n">
        <v>25.45</v>
      </c>
      <c r="W35" s="32" t="n">
        <v>12.64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B2C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Between 50% to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19</t>
        </is>
      </c>
      <c r="CG35" s="31">
        <f>IF(CF35&gt;20,10,IF(CF35&gt;=10,5,2))</f>
        <v/>
      </c>
    </row>
    <row r="36">
      <c r="A36" s="31">
        <f>IF(B36=0,"",RANK(B36,$B$2:$B$91,0))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3" t="inlineStr">
        <is>
          <t>MARKSANS</t>
        </is>
      </c>
      <c r="D36" s="33" t="inlineStr">
        <is>
          <t>Marksans Pharma Ltd</t>
        </is>
      </c>
      <c r="E36" s="31" t="inlineStr">
        <is>
          <t>healthcare</t>
        </is>
      </c>
      <c r="F36" s="31" t="inlineStr">
        <is>
          <t>Pharma - Formulators</t>
        </is>
      </c>
      <c r="G36" s="31" t="inlineStr">
        <is>
          <t>midcap</t>
        </is>
      </c>
      <c r="H36" s="32" t="n">
        <v>12183.31</v>
      </c>
      <c r="I36" s="32" t="n">
        <v>268.85</v>
      </c>
      <c r="J36" s="32" t="n">
        <v>-1.45</v>
      </c>
      <c r="K36" s="32" t="n">
        <v>0</v>
      </c>
      <c r="L36" s="31" t="n">
        <v>63</v>
      </c>
      <c r="M36" s="31" t="inlineStr">
        <is>
          <t>Underperforming</t>
        </is>
      </c>
      <c r="N36" s="32">
        <f>IF(M36="Underperforming",-5,IF(L36&gt;=95,15,IF(L36&gt;=90,10,IF(L36&gt;=80,5,0))))</f>
        <v/>
      </c>
      <c r="O36" s="32" t="n">
        <v>74.14</v>
      </c>
      <c r="P36" s="32" t="n">
        <v>39.03</v>
      </c>
      <c r="Q36" s="32" t="n">
        <v>208.58</v>
      </c>
      <c r="R36" s="31" t="inlineStr">
        <is>
          <t>Near 52W High Breakout</t>
        </is>
      </c>
      <c r="S36" s="31" t="inlineStr">
        <is>
          <t>Nifty Pharma</t>
        </is>
      </c>
      <c r="T36" s="32" t="n">
        <v>12.5</v>
      </c>
      <c r="U36" s="32" t="n">
        <v>2.57</v>
      </c>
      <c r="V36" s="32" t="n">
        <v>-8.83</v>
      </c>
      <c r="W36" s="32" t="n">
        <v>17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16</t>
        </is>
      </c>
      <c r="CG36" s="31">
        <f>IF(CF36&gt;20,10,IF(CF36&gt;=10,5,2))</f>
        <v/>
      </c>
    </row>
    <row r="37">
      <c r="A37" s="31">
        <f>IF(B37=0,"",RANK(B37,$B$2:$B$91,0))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DIFFNKG</t>
        </is>
      </c>
      <c r="D37" s="31" t="inlineStr">
        <is>
          <t>Diffusion Engineers Ltd</t>
        </is>
      </c>
      <c r="E37" s="31" t="inlineStr">
        <is>
          <t>industrials</t>
        </is>
      </c>
      <c r="F37" s="31" t="inlineStr">
        <is>
          <t>Welding Equipments</t>
        </is>
      </c>
      <c r="G37" s="31" t="inlineStr">
        <is>
          <t>smallcap</t>
        </is>
      </c>
      <c r="H37" s="32" t="n">
        <v>1558.8</v>
      </c>
      <c r="I37" s="32" t="n">
        <v>416.5</v>
      </c>
      <c r="J37" s="32" t="n">
        <v>-1.82</v>
      </c>
      <c r="K37" s="32" t="n">
        <v>0</v>
      </c>
      <c r="L37" s="31" t="n">
        <v>68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73.5</v>
      </c>
      <c r="P37" s="32" t="n">
        <v>20.16</v>
      </c>
      <c r="Q37" s="32" t="n">
        <v>314.29</v>
      </c>
      <c r="R37" s="31" t="inlineStr">
        <is>
          <t>Volume Spike &amp; Near 52W High Breakout</t>
        </is>
      </c>
      <c r="S37" s="31" t="inlineStr">
        <is>
          <t>Nifty 50</t>
        </is>
      </c>
      <c r="T37" s="32" t="n">
        <v>-5.72</v>
      </c>
      <c r="U37" s="32" t="n">
        <v>38.07</v>
      </c>
      <c r="V37" s="32" t="n">
        <v>46.44</v>
      </c>
      <c r="W37" s="32" t="n">
        <v>18.64</v>
      </c>
      <c r="X37" s="31" t="inlineStr">
        <is>
          <t>Cyclical in an Upturn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Less than 50%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18</t>
        </is>
      </c>
      <c r="CG37" s="31">
        <f>IF(CF37&gt;20,10,IF(CF37&gt;=10,5,2))</f>
        <v/>
      </c>
    </row>
    <row r="38">
      <c r="A38" s="31">
        <f>IF(B38=0,"",RANK(B38,$B$2:$B$91,0))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4" t="inlineStr">
        <is>
          <t>CARTRADE</t>
        </is>
      </c>
      <c r="D38" s="34" t="inlineStr">
        <is>
          <t>Cartrade Tech Ltd</t>
        </is>
      </c>
      <c r="E38" s="31" t="inlineStr">
        <is>
          <t>consumer discretionary</t>
        </is>
      </c>
      <c r="F38" s="31" t="inlineStr">
        <is>
          <t>Platform - Others</t>
        </is>
      </c>
      <c r="G38" s="31" t="inlineStr">
        <is>
          <t>midcap</t>
        </is>
      </c>
      <c r="H38" s="32" t="n">
        <v>13510.8</v>
      </c>
      <c r="I38" s="32" t="n">
        <v>2813.4</v>
      </c>
      <c r="J38" s="32" t="n">
        <v>4.47</v>
      </c>
      <c r="K38" s="32" t="n">
        <v>0</v>
      </c>
      <c r="L38" s="31" t="n">
        <v>87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66.89</v>
      </c>
      <c r="P38" s="32" t="n">
        <v>24.67</v>
      </c>
      <c r="Q38" s="32" t="n">
        <v>2018.47</v>
      </c>
      <c r="R38" s="31" t="inlineStr">
        <is>
          <t>Earnings / Momentum Support</t>
        </is>
      </c>
      <c r="S38" s="31" t="inlineStr">
        <is>
          <t>Nifty 50</t>
        </is>
      </c>
      <c r="T38" s="32" t="n">
        <v>-5.72</v>
      </c>
      <c r="U38" s="32" t="n">
        <v>65.55</v>
      </c>
      <c r="V38" s="32" t="n">
        <v>75.59</v>
      </c>
      <c r="W38" s="32" t="n">
        <v>30.68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17</t>
        </is>
      </c>
      <c r="CG38" s="31">
        <f>IF(CF38&gt;20,10,IF(CF38&gt;=10,5,2))</f>
        <v/>
      </c>
    </row>
    <row r="39">
      <c r="A39" s="31">
        <f>IF(B39=0,"",RANK(B39,$B$2:$B$91,0))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MINDACORP</t>
        </is>
      </c>
      <c r="D39" s="31" t="inlineStr">
        <is>
          <t>Minda Corporation Ltd</t>
        </is>
      </c>
      <c r="E39" s="31" t="inlineStr">
        <is>
          <t>auto</t>
        </is>
      </c>
      <c r="F39" s="31" t="inlineStr">
        <is>
          <t>Auto Ancillaries - Diversified</t>
        </is>
      </c>
      <c r="G39" s="31" t="inlineStr">
        <is>
          <t>midcap</t>
        </is>
      </c>
      <c r="H39" s="32" t="n">
        <v>16962.69</v>
      </c>
      <c r="I39" s="32" t="n">
        <v>709.5</v>
      </c>
      <c r="J39" s="32" t="n">
        <v>1.82</v>
      </c>
      <c r="K39" s="32" t="n">
        <v>0</v>
      </c>
      <c r="L39" s="31" t="n">
        <v>60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72.34</v>
      </c>
      <c r="P39" s="32" t="n">
        <v>21.74</v>
      </c>
      <c r="Q39" s="32" t="n">
        <v>578.45</v>
      </c>
      <c r="R39" s="31" t="inlineStr">
        <is>
          <t>Near 52W High Breakout</t>
        </is>
      </c>
      <c r="S39" s="31" t="inlineStr">
        <is>
          <t>Nifty Auto</t>
        </is>
      </c>
      <c r="T39" s="32" t="n">
        <v>11.69</v>
      </c>
      <c r="U39" s="32" t="n">
        <v>36.66</v>
      </c>
      <c r="V39" s="32" t="n">
        <v>22.36</v>
      </c>
      <c r="W39" s="32" t="n">
        <v>16.39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16</t>
        </is>
      </c>
      <c r="CG39" s="31">
        <f>IF(CF39&gt;20,10,IF(CF39&gt;=10,5,2))</f>
        <v/>
      </c>
    </row>
    <row r="40">
      <c r="A40" s="31">
        <f>IF(B40=0,"",RANK(B40,$B$2:$B$91,0))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4" t="inlineStr">
        <is>
          <t>PSPPROJECT</t>
        </is>
      </c>
      <c r="D40" s="34" t="inlineStr">
        <is>
          <t>PSP Projects Ltd</t>
        </is>
      </c>
      <c r="E40" s="31" t="inlineStr">
        <is>
          <t>realty</t>
        </is>
      </c>
      <c r="F40" s="31" t="inlineStr">
        <is>
          <t>Construction &amp; Contracting</t>
        </is>
      </c>
      <c r="G40" s="31" t="inlineStr">
        <is>
          <t>smallcap</t>
        </is>
      </c>
      <c r="H40" s="32" t="n">
        <v>4098.96</v>
      </c>
      <c r="I40" s="32" t="n">
        <v>1034</v>
      </c>
      <c r="J40" s="32" t="n">
        <v>3.32</v>
      </c>
      <c r="K40" s="32" t="n">
        <v>0</v>
      </c>
      <c r="L40" s="31" t="n">
        <v>77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70.78</v>
      </c>
      <c r="P40" s="32" t="n">
        <v>24.99</v>
      </c>
      <c r="Q40" s="32" t="n">
        <v>790.84</v>
      </c>
      <c r="R40" s="31" t="inlineStr">
        <is>
          <t>Near 52W High Breakout</t>
        </is>
      </c>
      <c r="S40" s="31" t="inlineStr">
        <is>
          <t>Nifty Realty</t>
        </is>
      </c>
      <c r="T40" s="32" t="n">
        <v>-11.6</v>
      </c>
      <c r="U40" s="32" t="n">
        <v>32.9</v>
      </c>
      <c r="V40" s="32" t="n">
        <v>50.33</v>
      </c>
      <c r="W40" s="32" t="n">
        <v>22.86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16</t>
        </is>
      </c>
      <c r="CG40" s="31">
        <f>IF(CF40&gt;20,10,IF(CF40&gt;=10,5,2))</f>
        <v/>
      </c>
    </row>
    <row r="41">
      <c r="A41" s="31">
        <f>IF(B41=0,"",RANK(B41,$B$2:$B$91,0))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SANSERA</t>
        </is>
      </c>
      <c r="D41" s="31" t="inlineStr">
        <is>
          <t>Sansera Engineering Ltd</t>
        </is>
      </c>
      <c r="E41" s="31" t="inlineStr">
        <is>
          <t>auto</t>
        </is>
      </c>
      <c r="F41" s="31" t="inlineStr">
        <is>
          <t>Auto Ancillaries - Diversified</t>
        </is>
      </c>
      <c r="G41" s="31" t="inlineStr">
        <is>
          <t>midcap</t>
        </is>
      </c>
      <c r="H41" s="32" t="n">
        <v>19751.35</v>
      </c>
      <c r="I41" s="32" t="n">
        <v>3165.1</v>
      </c>
      <c r="J41" s="32" t="n">
        <v>-0.97</v>
      </c>
      <c r="K41" s="32" t="n">
        <v>0</v>
      </c>
      <c r="L41" s="31" t="n">
        <v>85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77.56999999999999</v>
      </c>
      <c r="P41" s="32" t="n">
        <v>45.79</v>
      </c>
      <c r="Q41" s="32" t="n">
        <v>2500.46</v>
      </c>
      <c r="R41" s="31" t="inlineStr">
        <is>
          <t>Near 52W High Breakout</t>
        </is>
      </c>
      <c r="S41" s="31" t="inlineStr">
        <is>
          <t>Nifty Auto</t>
        </is>
      </c>
      <c r="T41" s="32" t="n">
        <v>11.69</v>
      </c>
      <c r="U41" s="32" t="n">
        <v>129.26</v>
      </c>
      <c r="V41" s="32" t="n">
        <v>105.27</v>
      </c>
      <c r="W41" s="32" t="n">
        <v>29.1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Between 50% to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15</t>
        </is>
      </c>
      <c r="CG41" s="31">
        <f>IF(CF41&gt;20,10,IF(CF41&gt;=10,5,2))</f>
        <v/>
      </c>
    </row>
    <row r="42">
      <c r="A42" s="31">
        <f>IF(B42=0,"",RANK(B42,$B$2:$B$91,0))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4" t="inlineStr">
        <is>
          <t>DIVGIITTS</t>
        </is>
      </c>
      <c r="D42" s="34" t="inlineStr">
        <is>
          <t>Divgi Torqtransfer Systems Ltd</t>
        </is>
      </c>
      <c r="E42" s="31" t="inlineStr">
        <is>
          <t>auto</t>
        </is>
      </c>
      <c r="F42" s="31" t="inlineStr">
        <is>
          <t>Auto Ancillaries - Transmission</t>
        </is>
      </c>
      <c r="G42" s="31" t="inlineStr">
        <is>
          <t>smallcap</t>
        </is>
      </c>
      <c r="H42" s="32" t="n">
        <v>3021.13</v>
      </c>
      <c r="I42" s="32" t="n">
        <v>987.85</v>
      </c>
      <c r="J42" s="32" t="n">
        <v>0.03</v>
      </c>
      <c r="K42" s="32" t="n">
        <v>0</v>
      </c>
      <c r="L42" s="31" t="n">
        <v>77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71.40000000000001</v>
      </c>
      <c r="P42" s="32" t="n">
        <v>33.01</v>
      </c>
      <c r="Q42" s="32" t="n">
        <v>730.65</v>
      </c>
      <c r="R42" s="31" t="inlineStr">
        <is>
          <t>Volume Spike &amp; Near 52W High Breakout</t>
        </is>
      </c>
      <c r="S42" s="31" t="inlineStr">
        <is>
          <t>Nifty Auto</t>
        </is>
      </c>
      <c r="T42" s="32" t="n">
        <v>11.69</v>
      </c>
      <c r="U42" s="32" t="n">
        <v>58.01</v>
      </c>
      <c r="V42" s="32" t="n">
        <v>41.48</v>
      </c>
      <c r="W42" s="32" t="n">
        <v>22.78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Between 50% to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20</t>
        </is>
      </c>
      <c r="CG42" s="31">
        <f>IF(CF42&gt;20,10,IF(CF42&gt;=10,5,2))</f>
        <v/>
      </c>
    </row>
    <row r="43">
      <c r="A43" s="31">
        <f>IF(B43=0,"",RANK(B43,$B$2:$B$91,0))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KERNEX</t>
        </is>
      </c>
      <c r="D43" s="31" t="inlineStr">
        <is>
          <t>Kernex Microsystems (India) Ltd</t>
        </is>
      </c>
      <c r="E43" s="31" t="inlineStr">
        <is>
          <t>consumer discretionary</t>
        </is>
      </c>
      <c r="F43" s="31" t="inlineStr">
        <is>
          <t>Railways - Kavach/Springs</t>
        </is>
      </c>
      <c r="G43" s="31" t="inlineStr">
        <is>
          <t>smallcap</t>
        </is>
      </c>
      <c r="H43" s="32" t="n">
        <v>3854.08</v>
      </c>
      <c r="I43" s="32" t="n">
        <v>2293.6</v>
      </c>
      <c r="J43" s="32" t="n">
        <v>6.19</v>
      </c>
      <c r="K43" s="32" t="n">
        <v>0</v>
      </c>
      <c r="L43" s="31" t="n">
        <v>96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78.48</v>
      </c>
      <c r="P43" s="32" t="n">
        <v>40.17</v>
      </c>
      <c r="Q43" s="32" t="n">
        <v>1730.34</v>
      </c>
      <c r="R43" s="31" t="inlineStr">
        <is>
          <t>Near 52W High Breakout</t>
        </is>
      </c>
      <c r="S43" s="31" t="inlineStr">
        <is>
          <t>Nifty 50</t>
        </is>
      </c>
      <c r="T43" s="32" t="n">
        <v>-5.72</v>
      </c>
      <c r="U43" s="32" t="n">
        <v>95.90000000000001</v>
      </c>
      <c r="V43" s="32" t="n">
        <v>107.78</v>
      </c>
      <c r="W43" s="32" t="n">
        <v>52.5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Negative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19</t>
        </is>
      </c>
      <c r="CG43" s="31">
        <f>IF(CF43&gt;20,10,IF(CF43&gt;=10,5,2))</f>
        <v/>
      </c>
    </row>
    <row r="44">
      <c r="A44" s="31">
        <f>IF(B44=0,"",RANK(B44,$B$2:$B$91,0))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WABAG</t>
        </is>
      </c>
      <c r="D44" s="31" t="inlineStr">
        <is>
          <t>Va Tech Wabag Ltd</t>
        </is>
      </c>
      <c r="E44" s="31" t="inlineStr">
        <is>
          <t>realty</t>
        </is>
      </c>
      <c r="F44" s="31" t="inlineStr">
        <is>
          <t>Water Treatment</t>
        </is>
      </c>
      <c r="G44" s="31" t="inlineStr">
        <is>
          <t>midcap</t>
        </is>
      </c>
      <c r="H44" s="32" t="n">
        <v>12987.25</v>
      </c>
      <c r="I44" s="32" t="n">
        <v>2082.8</v>
      </c>
      <c r="J44" s="32" t="n">
        <v>3.67</v>
      </c>
      <c r="K44" s="32" t="n">
        <v>0</v>
      </c>
      <c r="L44" s="31" t="n">
        <v>79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77.91</v>
      </c>
      <c r="P44" s="32" t="n">
        <v>21.68</v>
      </c>
      <c r="Q44" s="32" t="n">
        <v>1682.87</v>
      </c>
      <c r="R44" s="31" t="inlineStr">
        <is>
          <t>Near 52W High Breakout</t>
        </is>
      </c>
      <c r="S44" s="31" t="inlineStr">
        <is>
          <t>Nifty Realty</t>
        </is>
      </c>
      <c r="T44" s="32" t="n">
        <v>-11.6</v>
      </c>
      <c r="U44" s="32" t="n">
        <v>42.64</v>
      </c>
      <c r="V44" s="32" t="n">
        <v>61.35</v>
      </c>
      <c r="W44" s="32" t="n">
        <v>24.03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Less than 50%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19</t>
        </is>
      </c>
      <c r="CG44" s="31">
        <f>IF(CF44&gt;20,10,IF(CF44&gt;=10,5,2))</f>
        <v/>
      </c>
    </row>
    <row r="45">
      <c r="A45" s="31">
        <f>IF(B45=0,"",RANK(B45,$B$2:$B$91,0))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CEIGALL</t>
        </is>
      </c>
      <c r="D45" s="31" t="inlineStr">
        <is>
          <t>Ceigall India Ltd</t>
        </is>
      </c>
      <c r="E45" s="31" t="inlineStr">
        <is>
          <t>realty</t>
        </is>
      </c>
      <c r="F45" s="31" t="inlineStr">
        <is>
          <t>Construction - Civil/Turnkey</t>
        </is>
      </c>
      <c r="G45" s="31" t="inlineStr">
        <is>
          <t>midcap</t>
        </is>
      </c>
      <c r="H45" s="32" t="n">
        <v>6830.57</v>
      </c>
      <c r="I45" s="32" t="n">
        <v>392.1</v>
      </c>
      <c r="J45" s="32" t="n">
        <v>0.06</v>
      </c>
      <c r="K45" s="32" t="n">
        <v>0</v>
      </c>
      <c r="L45" s="31" t="n">
        <v>64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75.09</v>
      </c>
      <c r="P45" s="32" t="n">
        <v>50.96</v>
      </c>
      <c r="Q45" s="32" t="n">
        <v>311.74</v>
      </c>
      <c r="R45" s="31" t="inlineStr">
        <is>
          <t>Near 52W High Breakout</t>
        </is>
      </c>
      <c r="S45" s="31" t="inlineStr">
        <is>
          <t>Nifty Realty</t>
        </is>
      </c>
      <c r="T45" s="32" t="n">
        <v>-11.6</v>
      </c>
      <c r="U45" s="32" t="n">
        <v>45.38</v>
      </c>
      <c r="V45" s="32" t="n">
        <v>64.45</v>
      </c>
      <c r="W45" s="32" t="n">
        <v>17.31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Negative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18</t>
        </is>
      </c>
      <c r="CG45" s="31">
        <f>IF(CF45&gt;20,10,IF(CF45&gt;=10,5,2))</f>
        <v/>
      </c>
    </row>
    <row r="46">
      <c r="A46" s="31">
        <f>IF(B46=0,"",RANK(B46,$B$2:$B$91,0))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HAPPYFORGE</t>
        </is>
      </c>
      <c r="D46" s="31" t="inlineStr">
        <is>
          <t>Happy Forgings Ltd</t>
        </is>
      </c>
      <c r="E46" s="31" t="inlineStr">
        <is>
          <t>industrials</t>
        </is>
      </c>
      <c r="F46" s="31" t="inlineStr">
        <is>
          <t>Castings, Forgings &amp; Fastners</t>
        </is>
      </c>
      <c r="G46" s="31" t="inlineStr">
        <is>
          <t>midcap</t>
        </is>
      </c>
      <c r="H46" s="32" t="n">
        <v>14459.77</v>
      </c>
      <c r="I46" s="32" t="n">
        <v>1532.1</v>
      </c>
      <c r="J46" s="32" t="n">
        <v>-0.37</v>
      </c>
      <c r="K46" s="32" t="n">
        <v>0</v>
      </c>
      <c r="L46" s="31" t="n">
        <v>60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69.17</v>
      </c>
      <c r="P46" s="32" t="n">
        <v>38.18</v>
      </c>
      <c r="Q46" s="32" t="n">
        <v>1216.6</v>
      </c>
      <c r="R46" s="31" t="inlineStr">
        <is>
          <t>Near 52W High Breakout</t>
        </is>
      </c>
      <c r="S46" s="31" t="inlineStr">
        <is>
          <t>Nifty 50</t>
        </is>
      </c>
      <c r="T46" s="32" t="n">
        <v>-5.72</v>
      </c>
      <c r="U46" s="32" t="n">
        <v>57.81</v>
      </c>
      <c r="V46" s="32" t="n">
        <v>67.37</v>
      </c>
      <c r="W46" s="32" t="n">
        <v>16.29</v>
      </c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17</t>
        </is>
      </c>
      <c r="CG46" s="31">
        <f>IF(CF46&gt;20,10,IF(CF46&gt;=10,5,2))</f>
        <v/>
      </c>
    </row>
    <row r="47">
      <c r="A47" s="31">
        <f>IF(B47=0,"",RANK(B47,$B$2:$B$91,0))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4" t="inlineStr">
        <is>
          <t>ARVIND</t>
        </is>
      </c>
      <c r="D47" s="34" t="inlineStr">
        <is>
          <t>Arvind Ltd</t>
        </is>
      </c>
      <c r="E47" s="31" t="inlineStr">
        <is>
          <t>textiles</t>
        </is>
      </c>
      <c r="F47" s="31" t="inlineStr">
        <is>
          <t>Textiles</t>
        </is>
      </c>
      <c r="G47" s="31" t="inlineStr">
        <is>
          <t>midcap</t>
        </is>
      </c>
      <c r="H47" s="32" t="n">
        <v>14689.06</v>
      </c>
      <c r="I47" s="32" t="n">
        <v>560.35</v>
      </c>
      <c r="J47" s="32" t="n">
        <v>-4.56</v>
      </c>
      <c r="K47" s="32" t="n">
        <v>0</v>
      </c>
      <c r="L47" s="31" t="n">
        <v>77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82.84</v>
      </c>
      <c r="P47" s="32" t="n">
        <v>50.06</v>
      </c>
      <c r="Q47" s="32" t="n">
        <v>448.35</v>
      </c>
      <c r="R47" s="31" t="inlineStr">
        <is>
          <t>Near 52W High Breakout</t>
        </is>
      </c>
      <c r="S47" s="31" t="inlineStr">
        <is>
          <t>Nifty 50</t>
        </is>
      </c>
      <c r="T47" s="32" t="n">
        <v>-5.72</v>
      </c>
      <c r="U47" s="32" t="n">
        <v>61.91</v>
      </c>
      <c r="V47" s="32" t="n">
        <v>71.72</v>
      </c>
      <c r="W47" s="32" t="n">
        <v>22.87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Less than 12%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17</t>
        </is>
      </c>
      <c r="CG47" s="31">
        <f>IF(CF47&gt;20,10,IF(CF47&gt;=10,5,2))</f>
        <v/>
      </c>
    </row>
    <row r="48">
      <c r="A48" s="31">
        <f>IF(B48=0,"",RANK(B48,$B$2:$B$91,0))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NYKAA</t>
        </is>
      </c>
      <c r="D48" s="31" t="inlineStr">
        <is>
          <t>FSN E-Commerce Ventures Ltd</t>
        </is>
      </c>
      <c r="E48" s="31" t="inlineStr">
        <is>
          <t>i.t</t>
        </is>
      </c>
      <c r="F48" s="31" t="inlineStr">
        <is>
          <t>New age - Platform - E-Retail</t>
        </is>
      </c>
      <c r="G48" s="31" t="inlineStr">
        <is>
          <t>largecap</t>
        </is>
      </c>
      <c r="H48" s="32" t="n">
        <v>88391.92999999999</v>
      </c>
      <c r="I48" s="32" t="n">
        <v>308.65</v>
      </c>
      <c r="J48" s="32" t="n">
        <v>-0.71</v>
      </c>
      <c r="K48" s="32" t="n">
        <v>0</v>
      </c>
      <c r="L48" s="31" t="n">
        <v>56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68.94</v>
      </c>
      <c r="P48" s="32" t="n">
        <v>25.92</v>
      </c>
      <c r="Q48" s="32" t="n">
        <v>258.37</v>
      </c>
      <c r="R48" s="31" t="inlineStr">
        <is>
          <t>Near 52W High Breakout</t>
        </is>
      </c>
      <c r="S48" s="31" t="inlineStr">
        <is>
          <t>Nifty IT</t>
        </is>
      </c>
      <c r="T48" s="32" t="n">
        <v>-34.2</v>
      </c>
      <c r="U48" s="32" t="n">
        <v>55.7</v>
      </c>
      <c r="V48" s="32" t="n">
        <v>136.65</v>
      </c>
      <c r="W48" s="32" t="n">
        <v>15.05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B2C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Between 0.7 to 1.2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17</t>
        </is>
      </c>
      <c r="CG48" s="31">
        <f>IF(CF48&gt;20,10,IF(CF48&gt;=10,5,2))</f>
        <v/>
      </c>
    </row>
    <row r="49">
      <c r="A49" s="31">
        <f>IF(B49=0,"",RANK(B49,$B$2:$B$91,0))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RATEGAIN</t>
        </is>
      </c>
      <c r="D49" s="31" t="inlineStr">
        <is>
          <t>Rategain Travel Technologies Ltd</t>
        </is>
      </c>
      <c r="E49" s="31" t="inlineStr">
        <is>
          <t>i.t</t>
        </is>
      </c>
      <c r="F49" s="31" t="inlineStr">
        <is>
          <t>IT Product Companies</t>
        </is>
      </c>
      <c r="G49" s="31" t="inlineStr">
        <is>
          <t>midcap</t>
        </is>
      </c>
      <c r="H49" s="32" t="n">
        <v>10693.24</v>
      </c>
      <c r="I49" s="32" t="n">
        <v>902.95</v>
      </c>
      <c r="J49" s="32" t="n">
        <v>0.42</v>
      </c>
      <c r="K49" s="32" t="n">
        <v>0</v>
      </c>
      <c r="L49" s="31" t="n">
        <v>90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76.55</v>
      </c>
      <c r="P49" s="32" t="n">
        <v>29.19</v>
      </c>
      <c r="Q49" s="32" t="n">
        <v>703.4400000000001</v>
      </c>
      <c r="R49" s="31" t="inlineStr">
        <is>
          <t>Near 52W High Breakout</t>
        </is>
      </c>
      <c r="S49" s="31" t="inlineStr">
        <is>
          <t>Nifty IT</t>
        </is>
      </c>
      <c r="T49" s="32" t="n">
        <v>-34.2</v>
      </c>
      <c r="U49" s="32" t="n">
        <v>95.38</v>
      </c>
      <c r="V49" s="32" t="n">
        <v>196.95</v>
      </c>
      <c r="W49" s="32" t="n">
        <v>37.63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Between 50% to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16</t>
        </is>
      </c>
      <c r="CG49" s="31">
        <f>IF(CF49&gt;20,10,IF(CF49&gt;=10,5,2))</f>
        <v/>
      </c>
    </row>
    <row r="50">
      <c r="A50" s="31">
        <f>IF(B50=0,"",RANK(B50,$B$2:$B$91,0))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4" t="inlineStr">
        <is>
          <t>PREMEXPLN</t>
        </is>
      </c>
      <c r="D50" s="34" t="inlineStr">
        <is>
          <t>Premier Explosives Ltd</t>
        </is>
      </c>
      <c r="E50" s="31" t="inlineStr">
        <is>
          <t>aerospace &amp; defence</t>
        </is>
      </c>
      <c r="F50" s="31" t="inlineStr">
        <is>
          <t>Industrial Explosives</t>
        </is>
      </c>
      <c r="G50" s="31" t="inlineStr">
        <is>
          <t>smallcap</t>
        </is>
      </c>
      <c r="H50" s="32" t="n">
        <v>4244.98</v>
      </c>
      <c r="I50" s="32" t="n">
        <v>789.6</v>
      </c>
      <c r="J50" s="32" t="n">
        <v>-2.03</v>
      </c>
      <c r="K50" s="32" t="n">
        <v>0</v>
      </c>
      <c r="L50" s="31" t="n">
        <v>85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71.26000000000001</v>
      </c>
      <c r="P50" s="32" t="n">
        <v>27.42</v>
      </c>
      <c r="Q50" s="32" t="n">
        <v>566</v>
      </c>
      <c r="R50" s="31" t="inlineStr">
        <is>
          <t>Near 52W High Breakout</t>
        </is>
      </c>
      <c r="S50" s="31" t="inlineStr">
        <is>
          <t>Nifty 50</t>
        </is>
      </c>
      <c r="T50" s="32" t="n">
        <v>-5.72</v>
      </c>
      <c r="U50" s="32" t="n">
        <v>37.43</v>
      </c>
      <c r="V50" s="32" t="n">
        <v>45.76</v>
      </c>
      <c r="W50" s="32" t="n">
        <v>28.88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Negative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16</t>
        </is>
      </c>
      <c r="CG50" s="31">
        <f>IF(CF50&gt;20,10,IF(CF50&gt;=10,5,2))</f>
        <v/>
      </c>
    </row>
    <row r="51">
      <c r="A51" s="31">
        <f>IF(B51=0,"",RANK(B51,$B$2:$B$91,0))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APOLLO</t>
        </is>
      </c>
      <c r="D51" s="31" t="inlineStr">
        <is>
          <t>Apollo Micro Systems Ltd</t>
        </is>
      </c>
      <c r="E51" s="31" t="inlineStr">
        <is>
          <t>aerospace &amp; defence</t>
        </is>
      </c>
      <c r="F51" s="31" t="inlineStr">
        <is>
          <t>Aerospace &amp; Defence - Equipments</t>
        </is>
      </c>
      <c r="G51" s="31" t="inlineStr">
        <is>
          <t>midcap</t>
        </is>
      </c>
      <c r="H51" s="32" t="n">
        <v>15564.45</v>
      </c>
      <c r="I51" s="32" t="n">
        <v>418.85</v>
      </c>
      <c r="J51" s="32" t="n">
        <v>-1.39</v>
      </c>
      <c r="K51" s="32" t="n">
        <v>0</v>
      </c>
      <c r="L51" s="31" t="n">
        <v>96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66.73999999999999</v>
      </c>
      <c r="P51" s="32" t="n">
        <v>41.09</v>
      </c>
      <c r="Q51" s="32" t="n">
        <v>306.15</v>
      </c>
      <c r="R51" s="31" t="inlineStr">
        <is>
          <t>Near 52W High Breakout</t>
        </is>
      </c>
      <c r="S51" s="31" t="inlineStr">
        <is>
          <t>Nifty 50</t>
        </is>
      </c>
      <c r="T51" s="32" t="n">
        <v>-5.72</v>
      </c>
      <c r="U51" s="32" t="n">
        <v>118.47</v>
      </c>
      <c r="V51" s="32" t="n">
        <v>131.71</v>
      </c>
      <c r="W51" s="32" t="n">
        <v>51.11</v>
      </c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Oligopoly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Cyclical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B2C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Fully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Yes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Between 1.5 to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17</t>
        </is>
      </c>
      <c r="CG51" s="31">
        <f>IF(CF51&gt;20,10,IF(CF51&gt;=10,5,2))</f>
        <v/>
      </c>
    </row>
    <row r="52">
      <c r="A52" s="31">
        <f>IF(B52=0,"",RANK(B52,$B$2:$B$91,0))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AURUM</t>
        </is>
      </c>
      <c r="D52" s="31" t="inlineStr">
        <is>
          <t>Aurum Proptech Ltd</t>
        </is>
      </c>
      <c r="E52" s="31" t="inlineStr">
        <is>
          <t>i.t</t>
        </is>
      </c>
      <c r="F52" s="31" t="inlineStr">
        <is>
          <t>IT Enabled Services</t>
        </is>
      </c>
      <c r="G52" s="31" t="inlineStr">
        <is>
          <t>smallcap</t>
        </is>
      </c>
      <c r="H52" s="32" t="n">
        <v>1640.51</v>
      </c>
      <c r="I52" s="32" t="n">
        <v>227.71</v>
      </c>
      <c r="J52" s="32" t="n">
        <v>0.9</v>
      </c>
      <c r="K52" s="32" t="n">
        <v>0</v>
      </c>
      <c r="L52" s="31" t="n">
        <v>39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72.2</v>
      </c>
      <c r="P52" s="32" t="n">
        <v>28.16</v>
      </c>
      <c r="Q52" s="32" t="n">
        <v>180.64</v>
      </c>
      <c r="R52" s="31" t="inlineStr">
        <is>
          <t>Volume Spike &amp; Near 52W High Breakout</t>
        </is>
      </c>
      <c r="S52" s="31" t="inlineStr">
        <is>
          <t>Nifty IT</t>
        </is>
      </c>
      <c r="T52" s="32" t="n">
        <v>-34.2</v>
      </c>
      <c r="U52" s="32" t="n">
        <v>17.24</v>
      </c>
      <c r="V52" s="32" t="n">
        <v>78.19</v>
      </c>
      <c r="W52" s="32" t="n">
        <v>10.77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Between 50% to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21</t>
        </is>
      </c>
      <c r="CG52" s="31">
        <f>IF(CF52&gt;20,10,IF(CF52&gt;=10,5,2))</f>
        <v/>
      </c>
    </row>
    <row r="53">
      <c r="A53" s="31">
        <f>IF(B53=0,"",RANK(B53,$B$2:$B$91,0))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HFCL</t>
        </is>
      </c>
      <c r="D53" s="31" t="inlineStr">
        <is>
          <t>HFCL Ltd</t>
        </is>
      </c>
      <c r="E53" s="31" t="inlineStr">
        <is>
          <t>telecom</t>
        </is>
      </c>
      <c r="F53" s="31" t="inlineStr">
        <is>
          <t>Telecom Services</t>
        </is>
      </c>
      <c r="G53" s="31" t="inlineStr">
        <is>
          <t>largecap</t>
        </is>
      </c>
      <c r="H53" s="32" t="n">
        <v>32462.55</v>
      </c>
      <c r="I53" s="32" t="n">
        <v>212.09</v>
      </c>
      <c r="J53" s="32" t="n">
        <v>-0.36</v>
      </c>
      <c r="K53" s="32" t="n">
        <v>0</v>
      </c>
      <c r="L53" s="31" t="n">
        <v>98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83.44</v>
      </c>
      <c r="P53" s="32" t="n">
        <v>61.32</v>
      </c>
      <c r="Q53" s="32" t="n">
        <v>162.54</v>
      </c>
      <c r="R53" s="31" t="inlineStr">
        <is>
          <t>Near 52W High Breakout</t>
        </is>
      </c>
      <c r="S53" s="31" t="inlineStr">
        <is>
          <t>Nifty Infra</t>
        </is>
      </c>
      <c r="T53" s="32" t="n">
        <v>0.09</v>
      </c>
      <c r="U53" s="32" t="n">
        <v>151.06</v>
      </c>
      <c r="V53" s="32" t="n">
        <v>150.84</v>
      </c>
      <c r="W53" s="32" t="n">
        <v>75.28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Oligopoly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Yes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Negative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19</t>
        </is>
      </c>
      <c r="CG53" s="31">
        <f>IF(CF53&gt;20,10,IF(CF53&gt;=10,5,2))</f>
        <v/>
      </c>
    </row>
    <row r="54">
      <c r="A54" s="31">
        <f>IF(B54=0,"",RANK(B54,$B$2:$B$91,0))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AFCOM</t>
        </is>
      </c>
      <c r="D54" s="31" t="inlineStr">
        <is>
          <t>Afcom Holdings Ltd</t>
        </is>
      </c>
      <c r="E54" s="31" t="inlineStr">
        <is>
          <t>Industrials</t>
        </is>
      </c>
      <c r="F54" s="31" t="inlineStr">
        <is>
          <t>Air Transport Service</t>
        </is>
      </c>
      <c r="G54" s="31" t="inlineStr">
        <is>
          <t>smallcap</t>
        </is>
      </c>
      <c r="H54" s="32" t="n">
        <v>3515.72</v>
      </c>
      <c r="I54" s="32" t="n">
        <v>1225.05</v>
      </c>
      <c r="J54" s="32" t="n">
        <v>1.18</v>
      </c>
      <c r="K54" s="32" t="n">
        <v>0</v>
      </c>
      <c r="L54" s="31" t="n">
        <v>77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69.20999999999999</v>
      </c>
      <c r="P54" s="32" t="n">
        <v>23.63</v>
      </c>
      <c r="Q54" s="32" t="n">
        <v>899.48</v>
      </c>
      <c r="R54" s="31" t="inlineStr">
        <is>
          <t>Near 52W High Breakout</t>
        </is>
      </c>
      <c r="S54" s="31" t="inlineStr">
        <is>
          <t>Nifty 50</t>
        </is>
      </c>
      <c r="T54" s="32" t="n">
        <v>-5.72</v>
      </c>
      <c r="U54" s="32" t="n">
        <v>42.19</v>
      </c>
      <c r="V54" s="32" t="n">
        <v>50.81</v>
      </c>
      <c r="W54" s="32" t="n">
        <v>22.84</v>
      </c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Less than 50%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Between 0.7 to 1.2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18</t>
        </is>
      </c>
      <c r="CG54" s="31">
        <f>IF(CF54&gt;20,10,IF(CF54&gt;=10,5,2))</f>
        <v/>
      </c>
    </row>
    <row r="55">
      <c r="A55" s="31">
        <f>IF(B55=0,"",RANK(B55,$B$2:$B$91,0))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JAYBARMARU</t>
        </is>
      </c>
      <c r="D55" s="31" t="inlineStr">
        <is>
          <t>Jay Bharat Maruti Ltd</t>
        </is>
      </c>
      <c r="E55" s="31" t="inlineStr">
        <is>
          <t>auto</t>
        </is>
      </c>
      <c r="F55" s="31" t="inlineStr">
        <is>
          <t>Auto Ancillaries - Diversified</t>
        </is>
      </c>
      <c r="G55" s="31" t="inlineStr">
        <is>
          <t>smallcap</t>
        </is>
      </c>
      <c r="H55" s="32" t="n">
        <v>1856.27</v>
      </c>
      <c r="I55" s="32" t="n">
        <v>171.48</v>
      </c>
      <c r="J55" s="32" t="n">
        <v>0.22</v>
      </c>
      <c r="K55" s="32" t="n">
        <v>0</v>
      </c>
      <c r="L55" s="31" t="n">
        <v>94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75.16</v>
      </c>
      <c r="P55" s="32" t="n">
        <v>29.36</v>
      </c>
      <c r="Q55" s="32" t="n">
        <v>127.45</v>
      </c>
      <c r="R55" s="31" t="inlineStr">
        <is>
          <t>Near 52W High Breakout</t>
        </is>
      </c>
      <c r="S55" s="31" t="inlineStr">
        <is>
          <t>Nifty Auto</t>
        </is>
      </c>
      <c r="T55" s="32" t="n">
        <v>11.69</v>
      </c>
      <c r="U55" s="32" t="n">
        <v>122.12</v>
      </c>
      <c r="V55" s="32" t="n">
        <v>98.87</v>
      </c>
      <c r="W55" s="32" t="n">
        <v>44.63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Between 50% to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Between 0.7 to 1.2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17</t>
        </is>
      </c>
      <c r="CG55" s="31">
        <f>IF(CF55&gt;20,10,IF(CF55&gt;=10,5,2))</f>
        <v/>
      </c>
    </row>
    <row r="56">
      <c r="A56" s="31">
        <f>IF(B56=0,"",RANK(B56,$B$2:$B$91,0))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4" t="inlineStr">
        <is>
          <t>RPEL</t>
        </is>
      </c>
      <c r="D56" s="34" t="inlineStr">
        <is>
          <t>Raghav Productivity Enhancers Ltd</t>
        </is>
      </c>
      <c r="E56" s="31" t="inlineStr">
        <is>
          <t>building materials</t>
        </is>
      </c>
      <c r="F56" s="31" t="inlineStr">
        <is>
          <t>Steel Products</t>
        </is>
      </c>
      <c r="G56" s="31" t="inlineStr">
        <is>
          <t>midcap</t>
        </is>
      </c>
      <c r="H56" s="32" t="n">
        <v>5709.25</v>
      </c>
      <c r="I56" s="32" t="n">
        <v>1243.25</v>
      </c>
      <c r="J56" s="32" t="n">
        <v>3.3</v>
      </c>
      <c r="K56" s="32" t="n">
        <v>0</v>
      </c>
      <c r="L56" s="31" t="n">
        <v>91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77.05</v>
      </c>
      <c r="P56" s="32" t="n">
        <v>35.02</v>
      </c>
      <c r="Q56" s="32" t="n">
        <v>964.7</v>
      </c>
      <c r="R56" s="31" t="inlineStr">
        <is>
          <t>Near 52W High Breakout</t>
        </is>
      </c>
      <c r="S56" s="31" t="inlineStr">
        <is>
          <t>Nifty Infra</t>
        </is>
      </c>
      <c r="T56" s="32" t="n">
        <v>0.09</v>
      </c>
      <c r="U56" s="32" t="n">
        <v>75.23999999999999</v>
      </c>
      <c r="V56" s="32" t="n">
        <v>75.09</v>
      </c>
      <c r="W56" s="32" t="n">
        <v>39.65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Less than 50%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16</t>
        </is>
      </c>
      <c r="CG56" s="31">
        <f>IF(CF56&gt;20,10,IF(CF56&gt;=10,5,2))</f>
        <v/>
      </c>
    </row>
    <row r="57">
      <c r="A57" s="31">
        <f>IF(B57=0,"",RANK(B57,$B$2:$B$91,0))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4" t="inlineStr">
        <is>
          <t>RAMCOIND</t>
        </is>
      </c>
      <c r="D57" s="34" t="inlineStr">
        <is>
          <t>Ramco Industries Ltd</t>
        </is>
      </c>
      <c r="E57" s="31" t="inlineStr">
        <is>
          <t>building materials</t>
        </is>
      </c>
      <c r="F57" s="31" t="inlineStr">
        <is>
          <t>Cement Products</t>
        </is>
      </c>
      <c r="G57" s="31" t="inlineStr">
        <is>
          <t>smallcap</t>
        </is>
      </c>
      <c r="H57" s="32" t="n">
        <v>2901.38</v>
      </c>
      <c r="I57" s="32" t="n">
        <v>334.1</v>
      </c>
      <c r="J57" s="32" t="n">
        <v>-1.4</v>
      </c>
      <c r="K57" s="32" t="n">
        <v>0</v>
      </c>
      <c r="L57" s="31" t="n">
        <v>41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61.08</v>
      </c>
      <c r="P57" s="32" t="n">
        <v>22.98</v>
      </c>
      <c r="Q57" s="32" t="n">
        <v>257.91</v>
      </c>
      <c r="R57" s="31" t="inlineStr">
        <is>
          <t>Earnings / Momentum Support</t>
        </is>
      </c>
      <c r="S57" s="31" t="inlineStr">
        <is>
          <t>Nifty Infra</t>
        </is>
      </c>
      <c r="T57" s="32" t="n">
        <v>0.09</v>
      </c>
      <c r="U57" s="32" t="n">
        <v>15.5</v>
      </c>
      <c r="V57" s="32" t="n">
        <v>15.4</v>
      </c>
      <c r="W57" s="32" t="n">
        <v>11.02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16</t>
        </is>
      </c>
      <c r="CG57" s="31">
        <f>IF(CF57&gt;20,10,IF(CF57&gt;=10,5,2))</f>
        <v/>
      </c>
    </row>
    <row r="58">
      <c r="A58" s="31">
        <f>IF(B58=0,"",RANK(B58,$B$2:$B$91,0))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4" t="inlineStr">
        <is>
          <t>KDDL</t>
        </is>
      </c>
      <c r="D58" s="34" t="inlineStr">
        <is>
          <t>KDDL Ltd</t>
        </is>
      </c>
      <c r="E58" s="31" t="inlineStr">
        <is>
          <t>consumer discretionary</t>
        </is>
      </c>
      <c r="F58" s="31" t="inlineStr">
        <is>
          <t>Watches</t>
        </is>
      </c>
      <c r="G58" s="31" t="inlineStr">
        <is>
          <t>smallcap</t>
        </is>
      </c>
      <c r="H58" s="32" t="n">
        <v>4063.93</v>
      </c>
      <c r="I58" s="32" t="n">
        <v>3304.2</v>
      </c>
      <c r="J58" s="32" t="n">
        <v>2.55</v>
      </c>
      <c r="K58" s="32" t="n">
        <v>0</v>
      </c>
      <c r="L58" s="31" t="n">
        <v>56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69.94</v>
      </c>
      <c r="P58" s="32" t="n">
        <v>22.62</v>
      </c>
      <c r="Q58" s="32" t="n">
        <v>2492</v>
      </c>
      <c r="R58" s="31" t="inlineStr">
        <is>
          <t>Near 52W High Breakout</t>
        </is>
      </c>
      <c r="S58" s="31" t="inlineStr">
        <is>
          <t>Nifty 50</t>
        </is>
      </c>
      <c r="T58" s="32" t="n">
        <v>-5.72</v>
      </c>
      <c r="U58" s="32" t="n">
        <v>18.13</v>
      </c>
      <c r="V58" s="32" t="n">
        <v>25.29</v>
      </c>
      <c r="W58" s="32" t="n">
        <v>15.12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Between 1.5 to 2</t>
        </is>
      </c>
      <c r="BU58" s="31">
        <f>IF(BT58="Above 2",0,IF(BT58="Between 1.5 to 2",5,IF(BT58="Less than 1.5",10,0)))</f>
        <v/>
      </c>
      <c r="BV58" s="31" t="inlineStr">
        <is>
          <t>Less than 50%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15</t>
        </is>
      </c>
      <c r="CG58" s="31">
        <f>IF(CF58&gt;20,10,IF(CF58&gt;=10,5,2))</f>
        <v/>
      </c>
    </row>
    <row r="59">
      <c r="A59" s="31">
        <f>IF(B59=0,"",RANK(B59,$B$2:$B$91,0))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4" t="inlineStr">
        <is>
          <t>BLSE</t>
        </is>
      </c>
      <c r="D59" s="34" t="inlineStr">
        <is>
          <t>BLS E-Services Ltd</t>
        </is>
      </c>
      <c r="E59" s="31" t="inlineStr">
        <is>
          <t>i.t</t>
        </is>
      </c>
      <c r="F59" s="31" t="inlineStr">
        <is>
          <t>IT - Software</t>
        </is>
      </c>
      <c r="G59" s="31" t="inlineStr">
        <is>
          <t>smallcap</t>
        </is>
      </c>
      <c r="H59" s="32" t="n">
        <v>2320.66</v>
      </c>
      <c r="I59" s="32" t="n">
        <v>255.42</v>
      </c>
      <c r="J59" s="32" t="n">
        <v>9.5</v>
      </c>
      <c r="K59" s="32" t="n">
        <v>0</v>
      </c>
      <c r="L59" s="31" t="n">
        <v>71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74.41</v>
      </c>
      <c r="P59" s="32" t="n">
        <v>23.44</v>
      </c>
      <c r="Q59" s="32" t="n">
        <v>200.27</v>
      </c>
      <c r="R59" s="31" t="inlineStr">
        <is>
          <t>Volume Spike &amp; Near 52W High Breakout</t>
        </is>
      </c>
      <c r="S59" s="31" t="inlineStr">
        <is>
          <t>Nifty IT</t>
        </is>
      </c>
      <c r="T59" s="32" t="n">
        <v>-34.2</v>
      </c>
      <c r="U59" s="32" t="n">
        <v>32.49</v>
      </c>
      <c r="V59" s="32" t="n">
        <v>101.37</v>
      </c>
      <c r="W59" s="32" t="n">
        <v>20.47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Less than 12%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Between 50% to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16</t>
        </is>
      </c>
      <c r="CG59" s="31">
        <f>IF(CF59&gt;20,10,IF(CF59&gt;=10,5,2))</f>
        <v/>
      </c>
    </row>
    <row r="60">
      <c r="A60" s="31">
        <f>IF(B60=0,"",RANK(B60,$B$2:$B$91,0))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KMEW</t>
        </is>
      </c>
      <c r="D60" s="31" t="inlineStr">
        <is>
          <t>Knowledge Marine &amp; Engineering Works Ltd</t>
        </is>
      </c>
      <c r="E60" s="31" t="inlineStr">
        <is>
          <t>transportation</t>
        </is>
      </c>
      <c r="F60" s="31" t="inlineStr">
        <is>
          <t>Shipping</t>
        </is>
      </c>
      <c r="G60" s="31" t="inlineStr">
        <is>
          <t>midcap</t>
        </is>
      </c>
      <c r="H60" s="32" t="n">
        <v>5371.53</v>
      </c>
      <c r="I60" s="32" t="n">
        <v>2183.55</v>
      </c>
      <c r="J60" s="32" t="n">
        <v>-4.8</v>
      </c>
      <c r="K60" s="32" t="n">
        <v>0</v>
      </c>
      <c r="L60" s="31" t="n">
        <v>89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64.51000000000001</v>
      </c>
      <c r="P60" s="32" t="n">
        <v>38.94</v>
      </c>
      <c r="Q60" s="32" t="n">
        <v>1559.59</v>
      </c>
      <c r="R60" s="31" t="inlineStr">
        <is>
          <t>Near 52W High Breakout</t>
        </is>
      </c>
      <c r="S60" s="31" t="inlineStr">
        <is>
          <t>Nifty 50</t>
        </is>
      </c>
      <c r="T60" s="32" t="n">
        <v>-5.72</v>
      </c>
      <c r="U60" s="32" t="n">
        <v>165.97</v>
      </c>
      <c r="V60" s="32" t="n">
        <v>182.1</v>
      </c>
      <c r="W60" s="32" t="n">
        <v>32.7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Negative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22</t>
        </is>
      </c>
      <c r="CG60" s="31">
        <f>IF(CF60&gt;20,10,IF(CF60&gt;=10,5,2))</f>
        <v/>
      </c>
    </row>
    <row r="61">
      <c r="A61" s="31">
        <f>IF(B61=0,"",RANK(B61,$B$2:$B$91,0))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AEROENTER</t>
        </is>
      </c>
      <c r="D61" s="31" t="inlineStr">
        <is>
          <t>Aeroflex Enterprises Ltd</t>
        </is>
      </c>
      <c r="E61" s="31" t="inlineStr">
        <is>
          <t>metals &amp; mining</t>
        </is>
      </c>
      <c r="F61" s="31" t="inlineStr">
        <is>
          <t>Miscellaneous</t>
        </is>
      </c>
      <c r="G61" s="31" t="inlineStr">
        <is>
          <t>smallcap</t>
        </is>
      </c>
      <c r="H61" s="32" t="n">
        <v>1583.05</v>
      </c>
      <c r="I61" s="32" t="n">
        <v>139.89</v>
      </c>
      <c r="J61" s="32" t="n">
        <v>-0.96</v>
      </c>
      <c r="K61" s="32" t="n">
        <v>0</v>
      </c>
      <c r="L61" s="31" t="n">
        <v>88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76.28</v>
      </c>
      <c r="P61" s="32" t="n">
        <v>45.15</v>
      </c>
      <c r="Q61" s="32" t="n">
        <v>104.29</v>
      </c>
      <c r="R61" s="31" t="inlineStr">
        <is>
          <t>Near 52W High Breakout</t>
        </is>
      </c>
      <c r="S61" s="31" t="inlineStr">
        <is>
          <t>Nifty Metal</t>
        </is>
      </c>
      <c r="T61" s="32" t="n">
        <v>29.38</v>
      </c>
      <c r="U61" s="32" t="n">
        <v>40.95</v>
      </c>
      <c r="V61" s="32" t="n">
        <v>8.949999999999999</v>
      </c>
      <c r="W61" s="32" t="n">
        <v>32.24</v>
      </c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Cyclical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Volatile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Less than 50%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19</t>
        </is>
      </c>
      <c r="CG61" s="31">
        <f>IF(CF61&gt;20,10,IF(CF61&gt;=10,5,2))</f>
        <v/>
      </c>
    </row>
    <row r="62">
      <c r="A62" s="31">
        <f>IF(B62=0,"",RANK(B62,$B$2:$B$91,0))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JNKINDIA</t>
        </is>
      </c>
      <c r="D62" s="31" t="inlineStr">
        <is>
          <t>JNK India Ltd</t>
        </is>
      </c>
      <c r="E62" s="31" t="inlineStr">
        <is>
          <t>realty</t>
        </is>
      </c>
      <c r="F62" s="31" t="inlineStr">
        <is>
          <t>Capital Goods - Engineering Heavy</t>
        </is>
      </c>
      <c r="G62" s="31" t="inlineStr">
        <is>
          <t>smallcap</t>
        </is>
      </c>
      <c r="H62" s="32" t="n">
        <v>2756.85</v>
      </c>
      <c r="I62" s="32" t="n">
        <v>492.7</v>
      </c>
      <c r="J62" s="32" t="n">
        <v>-2.37</v>
      </c>
      <c r="K62" s="32" t="n">
        <v>0</v>
      </c>
      <c r="L62" s="31" t="n">
        <v>90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72.53</v>
      </c>
      <c r="P62" s="32" t="n">
        <v>39.42</v>
      </c>
      <c r="Q62" s="32" t="n">
        <v>356.73</v>
      </c>
      <c r="R62" s="31" t="inlineStr">
        <is>
          <t>Near 52W High Breakout</t>
        </is>
      </c>
      <c r="S62" s="31" t="inlineStr">
        <is>
          <t>Nifty Realty</t>
        </is>
      </c>
      <c r="T62" s="32" t="n">
        <v>-11.6</v>
      </c>
      <c r="U62" s="32" t="n">
        <v>47.46</v>
      </c>
      <c r="V62" s="32" t="n">
        <v>66.8</v>
      </c>
      <c r="W62" s="32" t="n">
        <v>34.18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Negative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19</t>
        </is>
      </c>
      <c r="CG62" s="31">
        <f>IF(CF62&gt;20,10,IF(CF62&gt;=10,5,2))</f>
        <v/>
      </c>
    </row>
    <row r="63">
      <c r="A63" s="31">
        <f>IF(B63=0,"",RANK(B63,$B$2:$B$91,0))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SIGMAADV</t>
        </is>
      </c>
      <c r="D63" s="31" t="inlineStr">
        <is>
          <t>Sigma Advanced System Ltd</t>
        </is>
      </c>
      <c r="E63" s="31" t="inlineStr">
        <is>
          <t>aerospace &amp; defence</t>
        </is>
      </c>
      <c r="F63" s="31" t="inlineStr">
        <is>
          <t>Aerospace &amp; Defence - Equipments</t>
        </is>
      </c>
      <c r="G63" s="31" t="inlineStr">
        <is>
          <t>midcap</t>
        </is>
      </c>
      <c r="H63" s="32" t="n">
        <v>10245.7</v>
      </c>
      <c r="I63" s="32" t="n">
        <v>581.35</v>
      </c>
      <c r="J63" s="32" t="n">
        <v>4.73</v>
      </c>
      <c r="K63" s="32" t="n">
        <v>0</v>
      </c>
      <c r="L63" s="31" t="n">
        <v>99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83.26000000000001</v>
      </c>
      <c r="P63" s="32" t="n">
        <v>54.69</v>
      </c>
      <c r="Q63" s="32" t="n">
        <v>464.16</v>
      </c>
      <c r="R63" s="31" t="inlineStr">
        <is>
          <t>Earnings / Momentum Support</t>
        </is>
      </c>
      <c r="S63" s="31" t="inlineStr">
        <is>
          <t>Nifty 50</t>
        </is>
      </c>
      <c r="T63" s="32" t="n">
        <v>-5.72</v>
      </c>
      <c r="U63" s="32" t="n">
        <v>463.6</v>
      </c>
      <c r="V63" s="32" t="n">
        <v>497.76</v>
      </c>
      <c r="W63" s="32" t="n">
        <v>119.52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No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Negative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Between 0.7 to 1.2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19</t>
        </is>
      </c>
      <c r="CG63" s="31">
        <f>IF(CF63&gt;20,10,IF(CF63&gt;=10,5,2))</f>
        <v/>
      </c>
    </row>
    <row r="64">
      <c r="A64" s="31">
        <f>IF(B64=0,"",RANK(B64,$B$2:$B$91,0))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4" t="inlineStr">
        <is>
          <t>UNIABEXAL</t>
        </is>
      </c>
      <c r="D64" s="34" t="inlineStr">
        <is>
          <t>Uni Abex Alloy Products Ltd</t>
        </is>
      </c>
      <c r="E64" s="31" t="inlineStr">
        <is>
          <t>Basic Materials</t>
        </is>
      </c>
      <c r="F64" s="31" t="inlineStr">
        <is>
          <t>Castings, Forgings &amp; Fastners</t>
        </is>
      </c>
      <c r="G64" s="31" t="inlineStr">
        <is>
          <t>smallcap</t>
        </is>
      </c>
      <c r="H64" s="32" t="n">
        <v>1015.36</v>
      </c>
      <c r="I64" s="32" t="n">
        <v>5141.05</v>
      </c>
      <c r="J64" s="32" t="n">
        <v>-0.07000000000000001</v>
      </c>
      <c r="K64" s="32" t="n">
        <v>0</v>
      </c>
      <c r="L64" s="31" t="n">
        <v>85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77.2</v>
      </c>
      <c r="P64" s="32" t="n">
        <v>40.18</v>
      </c>
      <c r="Q64" s="32" t="n">
        <v>3719.5</v>
      </c>
      <c r="R64" s="31" t="inlineStr">
        <is>
          <t>Near 52W High Breakout</t>
        </is>
      </c>
      <c r="S64" s="31" t="inlineStr">
        <is>
          <t>Nifty Metal</t>
        </is>
      </c>
      <c r="T64" s="32" t="n">
        <v>29.38</v>
      </c>
      <c r="U64" s="32" t="n">
        <v>55.15</v>
      </c>
      <c r="V64" s="32" t="n">
        <v>19.92</v>
      </c>
      <c r="W64" s="32" t="n">
        <v>28.91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Cyclical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Volatile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Less than 50%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19</t>
        </is>
      </c>
      <c r="CG64" s="31">
        <f>IF(CF64&gt;20,10,IF(CF64&gt;=10,5,2))</f>
        <v/>
      </c>
    </row>
    <row r="65">
      <c r="A65" s="31">
        <f>IF(B65=0,"",RANK(B65,$B$2:$B$91,0))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OLECTRA</t>
        </is>
      </c>
      <c r="D65" s="31" t="inlineStr">
        <is>
          <t>Olectra Greentech Ltd</t>
        </is>
      </c>
      <c r="E65" s="31" t="inlineStr">
        <is>
          <t>auto</t>
        </is>
      </c>
      <c r="F65" s="31" t="inlineStr">
        <is>
          <t>Auto - Bus/LCVs</t>
        </is>
      </c>
      <c r="G65" s="31" t="inlineStr">
        <is>
          <t>midcap</t>
        </is>
      </c>
      <c r="H65" s="32" t="n">
        <v>12413.89</v>
      </c>
      <c r="I65" s="32" t="n">
        <v>1512.4</v>
      </c>
      <c r="J65" s="32" t="n">
        <v>0.85</v>
      </c>
      <c r="K65" s="32" t="n">
        <v>0</v>
      </c>
      <c r="L65" s="31" t="n">
        <v>65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64.93000000000001</v>
      </c>
      <c r="P65" s="32" t="n">
        <v>27.91</v>
      </c>
      <c r="Q65" s="32" t="n">
        <v>1144.11</v>
      </c>
      <c r="R65" s="31" t="inlineStr">
        <is>
          <t>Earnings / Momentum Support</t>
        </is>
      </c>
      <c r="S65" s="31" t="inlineStr">
        <is>
          <t>Nifty Auto</t>
        </is>
      </c>
      <c r="T65" s="32" t="n">
        <v>11.69</v>
      </c>
      <c r="U65" s="32" t="n">
        <v>26.13</v>
      </c>
      <c r="V65" s="32" t="n">
        <v>12.93</v>
      </c>
      <c r="W65" s="32" t="n">
        <v>17.58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18</t>
        </is>
      </c>
      <c r="CG65" s="31">
        <f>IF(CF65&gt;20,10,IF(CF65&gt;=10,5,2))</f>
        <v/>
      </c>
    </row>
    <row r="66">
      <c r="A66" s="31">
        <f>IF(B66=0,"",RANK(B66,$B$2:$B$91,0))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4" t="inlineStr">
        <is>
          <t>IKS</t>
        </is>
      </c>
      <c r="D66" s="34" t="inlineStr">
        <is>
          <t>Inventurus Knowledge Solutions Ltd</t>
        </is>
      </c>
      <c r="E66" s="31" t="inlineStr">
        <is>
          <t>i.t</t>
        </is>
      </c>
      <c r="F66" s="31" t="inlineStr">
        <is>
          <t>IT Enabled Services/Business Process Outsourcing</t>
        </is>
      </c>
      <c r="G66" s="31" t="inlineStr">
        <is>
          <t>largecap</t>
        </is>
      </c>
      <c r="H66" s="32" t="n">
        <v>30902.8</v>
      </c>
      <c r="I66" s="32" t="n">
        <v>1800.2</v>
      </c>
      <c r="J66" s="32" t="n">
        <v>7.19</v>
      </c>
      <c r="K66" s="32" t="n">
        <v>0</v>
      </c>
      <c r="L66" s="31" t="n">
        <v>39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63.5</v>
      </c>
      <c r="P66" s="32" t="n">
        <v>8.970000000000001</v>
      </c>
      <c r="Q66" s="32" t="n">
        <v>1428.61</v>
      </c>
      <c r="R66" s="31" t="inlineStr">
        <is>
          <t>Volume Spike &amp; Near 52W High Breakout</t>
        </is>
      </c>
      <c r="S66" s="31" t="inlineStr">
        <is>
          <t>Nifty IT</t>
        </is>
      </c>
      <c r="T66" s="32" t="n">
        <v>-34.2</v>
      </c>
      <c r="U66" s="32" t="n">
        <v>12.72</v>
      </c>
      <c r="V66" s="32" t="n">
        <v>71.31</v>
      </c>
      <c r="W66" s="32" t="n">
        <v>10.78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0 to 20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Less than 1.5</t>
        </is>
      </c>
      <c r="BU66" s="31">
        <f>IF(BT66="Above 2",0,IF(BT66="Between 1.5 to 2",5,IF(BT66="Less than 1.5",10,0)))</f>
        <v/>
      </c>
      <c r="BV66" s="31" t="inlineStr">
        <is>
          <t>Between 50% to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17</t>
        </is>
      </c>
      <c r="CG66" s="31">
        <f>IF(CF66&gt;20,10,IF(CF66&gt;=10,5,2))</f>
        <v/>
      </c>
    </row>
    <row r="67">
      <c r="A67" s="31">
        <f>IF(B67=0,"",RANK(B67,$B$2:$B$91,0))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GMRAIRPORT</t>
        </is>
      </c>
      <c r="D67" s="31" t="inlineStr">
        <is>
          <t>GMR Airports Ltd</t>
        </is>
      </c>
      <c r="E67" s="31" t="inlineStr">
        <is>
          <t>miscellaneous</t>
        </is>
      </c>
      <c r="F67" s="31" t="inlineStr">
        <is>
          <t>Miscellaneous</t>
        </is>
      </c>
      <c r="G67" s="31" t="inlineStr">
        <is>
          <t>largecap</t>
        </is>
      </c>
      <c r="H67" s="32" t="n">
        <v>119876.05</v>
      </c>
      <c r="I67" s="32" t="n">
        <v>113.53</v>
      </c>
      <c r="J67" s="32" t="n">
        <v>1.28</v>
      </c>
      <c r="K67" s="32" t="n">
        <v>0</v>
      </c>
      <c r="L67" s="31" t="n">
        <v>42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67.53</v>
      </c>
      <c r="P67" s="32" t="n">
        <v>16.6</v>
      </c>
      <c r="Q67" s="32" t="n">
        <v>94.31999999999999</v>
      </c>
      <c r="R67" s="31" t="inlineStr">
        <is>
          <t>Near 52W High Breakout</t>
        </is>
      </c>
      <c r="S67" s="31" t="inlineStr">
        <is>
          <t>Nifty 500</t>
        </is>
      </c>
      <c r="T67" s="32" t="n">
        <v>-1.91</v>
      </c>
      <c r="U67" s="32" t="n">
        <v>26.27</v>
      </c>
      <c r="V67" s="32" t="n">
        <v>28.73</v>
      </c>
      <c r="W67" s="32" t="n">
        <v>11.46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0 to 20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17</t>
        </is>
      </c>
      <c r="CG67" s="31">
        <f>IF(CF67&gt;20,10,IF(CF67&gt;=10,5,2))</f>
        <v/>
      </c>
    </row>
    <row r="68">
      <c r="A68" s="31">
        <f>IF(B68=0,"",RANK(B68,$B$2:$B$91,0))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SKYGOLD</t>
        </is>
      </c>
      <c r="D68" s="31" t="inlineStr">
        <is>
          <t>Sky Gold &amp; Diamonds Ltd</t>
        </is>
      </c>
      <c r="E68" s="31" t="inlineStr">
        <is>
          <t>consumer discretionary</t>
        </is>
      </c>
      <c r="F68" s="31" t="inlineStr">
        <is>
          <t>Diamond, Gems &amp; Jewellery</t>
        </is>
      </c>
      <c r="G68" s="31" t="inlineStr">
        <is>
          <t>midcap</t>
        </is>
      </c>
      <c r="H68" s="32" t="n">
        <v>8191.28</v>
      </c>
      <c r="I68" s="32" t="n">
        <v>528.9</v>
      </c>
      <c r="J68" s="32" t="n">
        <v>-0.6899999999999999</v>
      </c>
      <c r="K68" s="32" t="n">
        <v>0</v>
      </c>
      <c r="L68" s="31" t="n">
        <v>79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65.11</v>
      </c>
      <c r="P68" s="32" t="n">
        <v>45.6</v>
      </c>
      <c r="Q68" s="32" t="n">
        <v>392.87</v>
      </c>
      <c r="R68" s="31" t="inlineStr">
        <is>
          <t>Near 52W High Breakout</t>
        </is>
      </c>
      <c r="S68" s="31" t="inlineStr">
        <is>
          <t>Nifty 50</t>
        </is>
      </c>
      <c r="T68" s="32" t="n">
        <v>-5.72</v>
      </c>
      <c r="U68" s="32" t="n">
        <v>66.69</v>
      </c>
      <c r="V68" s="32" t="n">
        <v>76.79000000000001</v>
      </c>
      <c r="W68" s="32" t="n">
        <v>23.98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Negative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Between 0.7 to 1.2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16</t>
        </is>
      </c>
      <c r="CG68" s="31">
        <f>IF(CF68&gt;20,10,IF(CF68&gt;=10,5,2))</f>
        <v/>
      </c>
    </row>
    <row r="69">
      <c r="A69" s="31">
        <f>IF(B69=0,"",RANK(B69,$B$2:$B$91,0))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EBGNG</t>
        </is>
      </c>
      <c r="D69" s="31" t="inlineStr">
        <is>
          <t>GNG Electronics Ltd</t>
        </is>
      </c>
      <c r="E69" s="31" t="inlineStr">
        <is>
          <t>Technology</t>
        </is>
      </c>
      <c r="F69" s="31" t="inlineStr">
        <is>
          <t>New age - Platform - E-Retail</t>
        </is>
      </c>
      <c r="G69" s="31" t="inlineStr">
        <is>
          <t>midcap</t>
        </is>
      </c>
      <c r="H69" s="32" t="n">
        <v>7487.14</v>
      </c>
      <c r="I69" s="32" t="n">
        <v>656.7</v>
      </c>
      <c r="J69" s="32" t="n">
        <v>5</v>
      </c>
      <c r="K69" s="32" t="n">
        <v>0</v>
      </c>
      <c r="L69" s="31" t="n">
        <v>87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80.42</v>
      </c>
      <c r="P69" s="32" t="n">
        <v>27.37</v>
      </c>
      <c r="Q69" s="32" t="n">
        <v>499.48</v>
      </c>
      <c r="R69" s="31" t="inlineStr">
        <is>
          <t>Near 52W High Breakout</t>
        </is>
      </c>
      <c r="S69" s="31" t="inlineStr">
        <is>
          <t>Nifty 50</t>
        </is>
      </c>
      <c r="T69" s="32" t="n">
        <v>-2.28</v>
      </c>
      <c r="U69" s="32" t="n">
        <v>110.14</v>
      </c>
      <c r="V69" s="32" t="n">
        <v>115.04</v>
      </c>
      <c r="W69" s="32" t="n">
        <v>31.34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B2C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Negative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18</t>
        </is>
      </c>
      <c r="CG69" s="31">
        <f>IF(CF69&gt;20,10,IF(CF69&gt;=10,5,2))</f>
        <v/>
      </c>
    </row>
    <row r="70">
      <c r="A70" s="31">
        <f>IF(B70=0,"",RANK(B70,$B$2:$B$91,0))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RML</t>
        </is>
      </c>
      <c r="D70" s="31" t="inlineStr">
        <is>
          <t>Rane (Madras) Ltd</t>
        </is>
      </c>
      <c r="E70" s="31" t="inlineStr">
        <is>
          <t>auto</t>
        </is>
      </c>
      <c r="F70" s="31" t="inlineStr">
        <is>
          <t>Auto Ancillaries - Gears</t>
        </is>
      </c>
      <c r="G70" s="31" t="inlineStr">
        <is>
          <t>smallcap</t>
        </is>
      </c>
      <c r="H70" s="32" t="n">
        <v>3313.69</v>
      </c>
      <c r="I70" s="32" t="n">
        <v>1199</v>
      </c>
      <c r="J70" s="32" t="n">
        <v>3.73</v>
      </c>
      <c r="K70" s="32" t="n">
        <v>0</v>
      </c>
      <c r="L70" s="31" t="n">
        <v>82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71.93000000000001</v>
      </c>
      <c r="P70" s="32" t="n">
        <v>29.38</v>
      </c>
      <c r="Q70" s="32" t="n">
        <v>924.6799999999999</v>
      </c>
      <c r="R70" s="31" t="inlineStr">
        <is>
          <t>Near 52W High Breakout</t>
        </is>
      </c>
      <c r="S70" s="31" t="inlineStr">
        <is>
          <t>Nifty Auto</t>
        </is>
      </c>
      <c r="T70" s="32" t="n">
        <v>11.69</v>
      </c>
      <c r="U70" s="32" t="n">
        <v>33.1</v>
      </c>
      <c r="V70" s="32" t="n">
        <v>19.17</v>
      </c>
      <c r="W70" s="32" t="n">
        <v>26.26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Less than 12%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Between 50% to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Between 0.7 to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21</t>
        </is>
      </c>
      <c r="CG70" s="31">
        <f>IF(CF70&gt;20,10,IF(CF70&gt;=10,5,2))</f>
        <v/>
      </c>
    </row>
    <row r="71">
      <c r="A71" s="31">
        <f>IF(B71=0,"",RANK(B71,$B$2:$B$91,0))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SEKURITIND</t>
        </is>
      </c>
      <c r="D71" s="31" t="inlineStr">
        <is>
          <t>Saint-Gobain Sekurit India Ltd</t>
        </is>
      </c>
      <c r="E71" s="31" t="inlineStr">
        <is>
          <t>Consumer Cyclical</t>
        </is>
      </c>
      <c r="F71" s="31" t="inlineStr">
        <is>
          <t>Glass &amp; Glass Products</t>
        </is>
      </c>
      <c r="G71" s="31" t="inlineStr">
        <is>
          <t>smallcap</t>
        </is>
      </c>
      <c r="H71" s="32" t="n">
        <v>1210.34</v>
      </c>
      <c r="I71" s="32" t="n">
        <v>132.85</v>
      </c>
      <c r="J71" s="32" t="n">
        <v>-1.12</v>
      </c>
      <c r="K71" s="32" t="n">
        <v>0</v>
      </c>
      <c r="L71" s="31" t="n">
        <v>55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68.76000000000001</v>
      </c>
      <c r="P71" s="32" t="n">
        <v>32.63</v>
      </c>
      <c r="Q71" s="32" t="n">
        <v>108.05</v>
      </c>
      <c r="R71" s="31" t="inlineStr">
        <is>
          <t>Near 52W High Breakout</t>
        </is>
      </c>
      <c r="S71" s="31" t="inlineStr">
        <is>
          <t>Nifty Auto</t>
        </is>
      </c>
      <c r="T71" s="32" t="n">
        <v>11.69</v>
      </c>
      <c r="U71" s="32" t="n">
        <v>19.08</v>
      </c>
      <c r="V71" s="32" t="n">
        <v>6.62</v>
      </c>
      <c r="W71" s="32" t="n">
        <v>14.95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B2C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Negative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Between 50% to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18</t>
        </is>
      </c>
      <c r="CG71" s="31">
        <f>IF(CF71&gt;20,10,IF(CF71&gt;=10,5,2))</f>
        <v/>
      </c>
    </row>
    <row r="72">
      <c r="A72" s="31">
        <f>IF(B72=0,"",RANK(B72,$B$2:$B$91,0))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CRAFTSMAN</t>
        </is>
      </c>
      <c r="D72" s="31" t="inlineStr">
        <is>
          <t>Craftsman Automation Ltd</t>
        </is>
      </c>
      <c r="E72" s="31" t="inlineStr">
        <is>
          <t>auto</t>
        </is>
      </c>
      <c r="F72" s="31" t="inlineStr">
        <is>
          <t>Auto &amp; Auto Ancl - CV</t>
        </is>
      </c>
      <c r="G72" s="31" t="inlineStr">
        <is>
          <t>largecap</t>
        </is>
      </c>
      <c r="H72" s="32" t="n">
        <v>24336.7</v>
      </c>
      <c r="I72" s="32" t="n">
        <v>9305</v>
      </c>
      <c r="J72" s="32" t="n">
        <v>-1.64</v>
      </c>
      <c r="K72" s="32" t="n">
        <v>0</v>
      </c>
      <c r="L72" s="31" t="n">
        <v>67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63.37</v>
      </c>
      <c r="P72" s="32" t="n">
        <v>45.8</v>
      </c>
      <c r="Q72" s="32" t="n">
        <v>7818.09</v>
      </c>
      <c r="R72" s="31" t="inlineStr">
        <is>
          <t>Earnings / Momentum Support</t>
        </is>
      </c>
      <c r="S72" s="31" t="inlineStr">
        <is>
          <t>Nifty Auto</t>
        </is>
      </c>
      <c r="T72" s="32" t="n">
        <v>11.69</v>
      </c>
      <c r="U72" s="32" t="n">
        <v>57.76</v>
      </c>
      <c r="V72" s="32" t="n">
        <v>41.25</v>
      </c>
      <c r="W72" s="32" t="n">
        <v>18.4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Less than 50% and Borrowings are increasing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Between 0.7 to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17</t>
        </is>
      </c>
      <c r="CG72" s="31">
        <f>IF(CF72&gt;20,10,IF(CF72&gt;=10,5,2))</f>
        <v/>
      </c>
    </row>
    <row r="73">
      <c r="A73" s="31">
        <f>IF(B73=0,"",RANK(B73,$B$2:$B$91,0))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4" t="inlineStr">
        <is>
          <t>MACPOWER</t>
        </is>
      </c>
      <c r="D73" s="34" t="inlineStr">
        <is>
          <t>Macpower CNC Machines Ltd</t>
        </is>
      </c>
      <c r="E73" s="31" t="inlineStr">
        <is>
          <t>industrials</t>
        </is>
      </c>
      <c r="F73" s="31" t="inlineStr">
        <is>
          <t>CNC - Machines</t>
        </is>
      </c>
      <c r="G73" s="31" t="inlineStr">
        <is>
          <t>smallcap</t>
        </is>
      </c>
      <c r="H73" s="32" t="n">
        <v>1344.46</v>
      </c>
      <c r="I73" s="32" t="n">
        <v>1343.9</v>
      </c>
      <c r="J73" s="32" t="n">
        <v>-0.22</v>
      </c>
      <c r="K73" s="32" t="n">
        <v>0</v>
      </c>
      <c r="L73" s="31" t="n">
        <v>73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66.23999999999999</v>
      </c>
      <c r="P73" s="32" t="n">
        <v>24.28</v>
      </c>
      <c r="Q73" s="32" t="n">
        <v>929.3200000000001</v>
      </c>
      <c r="R73" s="31" t="inlineStr">
        <is>
          <t>Volume Spike &amp; Near 52W High Breakout</t>
        </is>
      </c>
      <c r="S73" s="31" t="inlineStr">
        <is>
          <t>Nifty 50</t>
        </is>
      </c>
      <c r="T73" s="32" t="n">
        <v>-5.72</v>
      </c>
      <c r="U73" s="32" t="n">
        <v>38.42</v>
      </c>
      <c r="V73" s="32" t="n">
        <v>46.81</v>
      </c>
      <c r="W73" s="32" t="n">
        <v>21.13</v>
      </c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Between 12 to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Less than 50%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16</t>
        </is>
      </c>
      <c r="CG73" s="31">
        <f>IF(CF73&gt;20,10,IF(CF73&gt;=10,5,2))</f>
        <v/>
      </c>
    </row>
    <row r="74">
      <c r="A74" s="31">
        <f>IF(B74=0,"",RANK(B74,$B$2:$B$91,0))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VIYASH</t>
        </is>
      </c>
      <c r="D74" s="31" t="inlineStr">
        <is>
          <t>Viyash Scientific Ltd</t>
        </is>
      </c>
      <c r="E74" s="31" t="inlineStr">
        <is>
          <t>healthcare</t>
        </is>
      </c>
      <c r="F74" s="31" t="inlineStr">
        <is>
          <t>Pharma - Animal</t>
        </is>
      </c>
      <c r="G74" s="31" t="inlineStr">
        <is>
          <t>midcap</t>
        </is>
      </c>
      <c r="H74" s="32" t="n">
        <v>12590.75</v>
      </c>
      <c r="I74" s="32" t="n">
        <v>288.2</v>
      </c>
      <c r="J74" s="32" t="n">
        <v>4.14</v>
      </c>
      <c r="K74" s="32" t="n">
        <v>0</v>
      </c>
      <c r="L74" s="31" t="n">
        <v>72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75.02</v>
      </c>
      <c r="P74" s="32" t="n">
        <v>38.19</v>
      </c>
      <c r="Q74" s="32" t="n">
        <v>223.31</v>
      </c>
      <c r="R74" s="31" t="inlineStr">
        <is>
          <t>Near 52W High Breakout</t>
        </is>
      </c>
      <c r="S74" s="31" t="inlineStr">
        <is>
          <t>Nifty Pharma</t>
        </is>
      </c>
      <c r="T74" s="32" t="n">
        <v>12.5</v>
      </c>
      <c r="U74" s="32" t="n">
        <v>52.99</v>
      </c>
      <c r="V74" s="32" t="n">
        <v>35.99</v>
      </c>
      <c r="W74" s="32" t="n">
        <v>20.62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Yes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Less than 50%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20</t>
        </is>
      </c>
      <c r="CG74" s="31">
        <f>IF(CF74&gt;20,10,IF(CF74&gt;=10,5,2))</f>
        <v/>
      </c>
    </row>
    <row r="75">
      <c r="A75" s="31">
        <f>IF(B75=0,"",RANK(B75,$B$2:$B$91,0))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4" t="inlineStr">
        <is>
          <t>VIJAYA</t>
        </is>
      </c>
      <c r="D75" s="34" t="inlineStr">
        <is>
          <t>Vijaya Diagnostic Centre Ltd</t>
        </is>
      </c>
      <c r="E75" s="31" t="inlineStr">
        <is>
          <t>healthcare</t>
        </is>
      </c>
      <c r="F75" s="31" t="inlineStr">
        <is>
          <t>Diagnostics</t>
        </is>
      </c>
      <c r="G75" s="31" t="inlineStr">
        <is>
          <t>midcap</t>
        </is>
      </c>
      <c r="H75" s="32" t="n">
        <v>14095.82</v>
      </c>
      <c r="I75" s="32" t="n">
        <v>1369.9</v>
      </c>
      <c r="J75" s="32" t="n">
        <v>1.28</v>
      </c>
      <c r="K75" s="32" t="n">
        <v>0</v>
      </c>
      <c r="L75" s="31" t="n">
        <v>68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67.06999999999999</v>
      </c>
      <c r="P75" s="32" t="n">
        <v>40.29</v>
      </c>
      <c r="Q75" s="32" t="n">
        <v>1070.05</v>
      </c>
      <c r="R75" s="31" t="inlineStr">
        <is>
          <t>Volume Spike &amp; Near 52W High Breakout</t>
        </is>
      </c>
      <c r="S75" s="31" t="inlineStr">
        <is>
          <t>Nifty Pharma</t>
        </is>
      </c>
      <c r="T75" s="32" t="n">
        <v>12.5</v>
      </c>
      <c r="U75" s="32" t="n">
        <v>34.51</v>
      </c>
      <c r="V75" s="32" t="n">
        <v>19.56</v>
      </c>
      <c r="W75" s="32" t="n">
        <v>18.83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Annuity, Lower One Time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Negative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16</t>
        </is>
      </c>
      <c r="CG75" s="31">
        <f>IF(CF75&gt;20,10,IF(CF75&gt;=10,5,2))</f>
        <v/>
      </c>
    </row>
    <row r="76">
      <c r="A76" s="31">
        <f>IF(B76=0,"",RANK(B76,$B$2:$B$91,0))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FREDUN</t>
        </is>
      </c>
      <c r="D76" s="31" t="inlineStr">
        <is>
          <t>Fredun Pharmaceuticals Ltd</t>
        </is>
      </c>
      <c r="E76" s="31" t="inlineStr">
        <is>
          <t>Healthcare</t>
        </is>
      </c>
      <c r="F76" s="31" t="inlineStr">
        <is>
          <t>Pharma - Formulators</t>
        </is>
      </c>
      <c r="G76" s="31" t="inlineStr">
        <is>
          <t>smallcap</t>
        </is>
      </c>
      <c r="H76" s="32" t="n">
        <v>1546.56</v>
      </c>
      <c r="I76" s="32" t="n">
        <v>2805.45</v>
      </c>
      <c r="J76" s="32" t="n">
        <v>-0.31</v>
      </c>
      <c r="K76" s="32" t="n">
        <v>0</v>
      </c>
      <c r="L76" s="31" t="n">
        <v>94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77.23</v>
      </c>
      <c r="P76" s="32" t="n">
        <v>54.82</v>
      </c>
      <c r="Q76" s="32" t="n">
        <v>2030</v>
      </c>
      <c r="R76" s="31" t="inlineStr">
        <is>
          <t>Near 52W High Breakout</t>
        </is>
      </c>
      <c r="S76" s="31" t="inlineStr">
        <is>
          <t>Nifty Pharma</t>
        </is>
      </c>
      <c r="T76" s="32" t="n">
        <v>12.5</v>
      </c>
      <c r="U76" s="32" t="n">
        <v>247.8</v>
      </c>
      <c r="V76" s="32" t="n">
        <v>209.16</v>
      </c>
      <c r="W76" s="32" t="n">
        <v>44.15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Annuity, Lower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Less than 12%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Less than 50%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Between 0.7 to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15</t>
        </is>
      </c>
      <c r="CG76" s="31">
        <f>IF(CF76&gt;20,10,IF(CF76&gt;=10,5,2))</f>
        <v/>
      </c>
    </row>
    <row r="77">
      <c r="A77" s="31">
        <f>IF(B77=0,"",RANK(B77,$B$2:$B$91,0))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CFF</t>
        </is>
      </c>
      <c r="D77" s="31" t="inlineStr">
        <is>
          <t>CFF Fluid Control Ltd</t>
        </is>
      </c>
      <c r="E77" s="31" t="inlineStr">
        <is>
          <t>Industrials</t>
        </is>
      </c>
      <c r="F77" s="31" t="inlineStr">
        <is>
          <t>Shipping - Proxy</t>
        </is>
      </c>
      <c r="G77" s="31" t="inlineStr">
        <is>
          <t>smallcap</t>
        </is>
      </c>
      <c r="H77" s="32" t="n">
        <v>1829.57</v>
      </c>
      <c r="I77" s="32" t="n">
        <v>872.3</v>
      </c>
      <c r="J77" s="32" t="n">
        <v>-1.27</v>
      </c>
      <c r="K77" s="32" t="n">
        <v>0</v>
      </c>
      <c r="L77" s="31" t="n">
        <v>61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70.47</v>
      </c>
      <c r="P77" s="32" t="n">
        <v>30.41</v>
      </c>
      <c r="Q77" s="32" t="n">
        <v>659.96</v>
      </c>
      <c r="R77" s="31" t="inlineStr">
        <is>
          <t>Near 52W High Breakout</t>
        </is>
      </c>
      <c r="S77" s="31" t="inlineStr">
        <is>
          <t>Nifty 50</t>
        </is>
      </c>
      <c r="T77" s="32" t="n">
        <v>-5.72</v>
      </c>
      <c r="U77" s="32" t="n">
        <v>32.7</v>
      </c>
      <c r="V77" s="32" t="n">
        <v>40.74</v>
      </c>
      <c r="W77" s="32" t="n">
        <v>16.53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Negative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17</t>
        </is>
      </c>
      <c r="CG77" s="31">
        <f>IF(CF77&gt;20,10,IF(CF77&gt;=10,5,2))</f>
        <v/>
      </c>
    </row>
    <row r="78">
      <c r="A78" s="31">
        <f>IF(B78=0,"",RANK(B78,$B$2:$B$91,0))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1" t="inlineStr">
        <is>
          <t>KRISHANA</t>
        </is>
      </c>
      <c r="D78" s="31" t="inlineStr">
        <is>
          <t>Krishana Phoschem Ltd</t>
        </is>
      </c>
      <c r="E78" s="31" t="inlineStr">
        <is>
          <t>chemicals</t>
        </is>
      </c>
      <c r="F78" s="31" t="inlineStr">
        <is>
          <t>Fertilisers</t>
        </is>
      </c>
      <c r="G78" s="31" t="inlineStr">
        <is>
          <t>smallcap</t>
        </is>
      </c>
      <c r="H78" s="32" t="n">
        <v>4224.45</v>
      </c>
      <c r="I78" s="32" t="n">
        <v>697.65</v>
      </c>
      <c r="J78" s="32" t="n">
        <v>1.4</v>
      </c>
      <c r="K78" s="32" t="n">
        <v>0</v>
      </c>
      <c r="L78" s="31" t="n">
        <v>58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66.01000000000001</v>
      </c>
      <c r="P78" s="32" t="n">
        <v>44.82</v>
      </c>
      <c r="Q78" s="32" t="n">
        <v>559.21</v>
      </c>
      <c r="R78" s="31" t="inlineStr">
        <is>
          <t>Near 52W High Breakout</t>
        </is>
      </c>
      <c r="S78" s="31" t="inlineStr">
        <is>
          <t>Nifty 50</t>
        </is>
      </c>
      <c r="T78" s="32" t="n">
        <v>-5.72</v>
      </c>
      <c r="U78" s="32" t="n">
        <v>56.35</v>
      </c>
      <c r="V78" s="32" t="n">
        <v>65.83</v>
      </c>
      <c r="W78" s="32" t="n">
        <v>15.76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Negative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More than 1.2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16</t>
        </is>
      </c>
      <c r="CG78" s="31">
        <f>IF(CF78&gt;20,10,IF(CF78&gt;=10,5,2))</f>
        <v/>
      </c>
    </row>
    <row r="79">
      <c r="A79" s="31">
        <f>IF(B79=0,"",RANK(B79,$B$2:$B$91,0))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LLOYDSENGG</t>
        </is>
      </c>
      <c r="D79" s="31" t="inlineStr">
        <is>
          <t>Lloyds Engineering Works Ltd</t>
        </is>
      </c>
      <c r="E79" s="31" t="inlineStr">
        <is>
          <t>industrials</t>
        </is>
      </c>
      <c r="F79" s="31" t="inlineStr">
        <is>
          <t>Capital Goods - Electrical Equipment</t>
        </is>
      </c>
      <c r="G79" s="31" t="inlineStr">
        <is>
          <t>midcap</t>
        </is>
      </c>
      <c r="H79" s="32" t="n">
        <v>12302.73</v>
      </c>
      <c r="I79" s="32" t="n">
        <v>84.2</v>
      </c>
      <c r="J79" s="32" t="n">
        <v>-2.69</v>
      </c>
      <c r="K79" s="32" t="n">
        <v>0</v>
      </c>
      <c r="L79" s="31" t="n">
        <v>84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71.94</v>
      </c>
      <c r="P79" s="32" t="n">
        <v>33.07</v>
      </c>
      <c r="Q79" s="32" t="n">
        <v>65</v>
      </c>
      <c r="R79" s="31" t="inlineStr">
        <is>
          <t>Near 52W High Breakout</t>
        </is>
      </c>
      <c r="S79" s="31" t="inlineStr">
        <is>
          <t>Nifty 50</t>
        </is>
      </c>
      <c r="T79" s="32" t="n">
        <v>-5.72</v>
      </c>
      <c r="U79" s="32" t="n">
        <v>5.04</v>
      </c>
      <c r="V79" s="32" t="n">
        <v>11.41</v>
      </c>
      <c r="W79" s="32" t="n">
        <v>28.6</v>
      </c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Negative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15</t>
        </is>
      </c>
      <c r="CG79" s="31">
        <f>IF(CF79&gt;20,10,IF(CF79&gt;=10,5,2))</f>
        <v/>
      </c>
    </row>
    <row r="80">
      <c r="A80" s="31">
        <f>IF(B80=0,"",RANK(B80,$B$2:$B$91,0))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SETL</t>
        </is>
      </c>
      <c r="D80" s="31" t="inlineStr">
        <is>
          <t>Standard Engineering Technology Ltd</t>
        </is>
      </c>
      <c r="E80" s="31" t="inlineStr">
        <is>
          <t>industrials</t>
        </is>
      </c>
      <c r="F80" s="31" t="inlineStr">
        <is>
          <t>Engineering - Heavy - Glass - lined Equipment</t>
        </is>
      </c>
      <c r="G80" s="31" t="inlineStr">
        <is>
          <t>midcap</t>
        </is>
      </c>
      <c r="H80" s="32" t="n">
        <v>5634.64</v>
      </c>
      <c r="I80" s="32" t="n">
        <v>282.45</v>
      </c>
      <c r="J80" s="32" t="n">
        <v>10</v>
      </c>
      <c r="K80" s="32" t="n">
        <v>0</v>
      </c>
      <c r="L80" s="31" t="n">
        <v>93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86.05</v>
      </c>
      <c r="P80" s="32" t="n">
        <v>19.91</v>
      </c>
      <c r="Q80" s="32" t="n">
        <v>218.66</v>
      </c>
      <c r="R80" s="31" t="inlineStr">
        <is>
          <t>Volume Spike &amp; Near 52W High Breakout</t>
        </is>
      </c>
      <c r="S80" s="31" t="inlineStr">
        <is>
          <t>Nifty 50</t>
        </is>
      </c>
      <c r="T80" s="32" t="n">
        <v>-5.72</v>
      </c>
      <c r="U80" s="32" t="n">
        <v>66.48</v>
      </c>
      <c r="V80" s="32" t="n">
        <v>76.56999999999999</v>
      </c>
      <c r="W80" s="32" t="n">
        <v>44.04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0 to 20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Less than 50%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18</t>
        </is>
      </c>
      <c r="CG80" s="31">
        <f>IF(CF80&gt;20,10,IF(CF80&gt;=10,5,2))</f>
        <v/>
      </c>
    </row>
    <row r="81">
      <c r="A81" s="31">
        <f>IF(B81=0,"",RANK(B81,$B$2:$B$91,0))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MSTCLTD</t>
        </is>
      </c>
      <c r="D81" s="31" t="inlineStr">
        <is>
          <t>MSTC Ltd</t>
        </is>
      </c>
      <c r="E81" s="31" t="inlineStr">
        <is>
          <t>i.t</t>
        </is>
      </c>
      <c r="F81" s="31" t="inlineStr">
        <is>
          <t>E-Commerce - Platform - Utility</t>
        </is>
      </c>
      <c r="G81" s="31" t="inlineStr">
        <is>
          <t>midcap</t>
        </is>
      </c>
      <c r="H81" s="32" t="n">
        <v>5039.23</v>
      </c>
      <c r="I81" s="32" t="n">
        <v>715.8</v>
      </c>
      <c r="J81" s="32" t="n">
        <v>0.9</v>
      </c>
      <c r="K81" s="32" t="n">
        <v>0</v>
      </c>
      <c r="L81" s="31" t="n">
        <v>81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72.44</v>
      </c>
      <c r="P81" s="32" t="n">
        <v>23.98</v>
      </c>
      <c r="Q81" s="32" t="n">
        <v>547.3099999999999</v>
      </c>
      <c r="R81" s="31" t="inlineStr">
        <is>
          <t>Near 52W High Breakout</t>
        </is>
      </c>
      <c r="S81" s="31" t="inlineStr">
        <is>
          <t>Nifty IT</t>
        </is>
      </c>
      <c r="T81" s="32" t="n">
        <v>-34.2</v>
      </c>
      <c r="U81" s="32" t="n">
        <v>32.14</v>
      </c>
      <c r="V81" s="32" t="n">
        <v>100.83</v>
      </c>
      <c r="W81" s="32" t="n">
        <v>25.16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Oligopoly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Yes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Less than 12%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Negative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16</t>
        </is>
      </c>
      <c r="CG81" s="31">
        <f>IF(CF81&gt;20,10,IF(CF81&gt;=10,5,2))</f>
        <v/>
      </c>
    </row>
    <row r="82">
      <c r="A82" s="31">
        <f>IF(B82=0,"",RANK(B82,$B$2:$B$91,0))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4" t="inlineStr">
        <is>
          <t>KOVAI</t>
        </is>
      </c>
      <c r="D82" s="34" t="inlineStr">
        <is>
          <t>Kovai Medical Center &amp; Hospital Ltd</t>
        </is>
      </c>
      <c r="E82" s="31" t="inlineStr">
        <is>
          <t>healthcare</t>
        </is>
      </c>
      <c r="F82" s="31" t="inlineStr">
        <is>
          <t>Hospitals</t>
        </is>
      </c>
      <c r="G82" s="31" t="inlineStr">
        <is>
          <t>midcap</t>
        </is>
      </c>
      <c r="H82" s="32" t="n">
        <v>6620.07</v>
      </c>
      <c r="I82" s="32" t="n">
        <v>6050</v>
      </c>
      <c r="J82" s="32" t="n">
        <v>0.86</v>
      </c>
      <c r="K82" s="32" t="n">
        <v>0</v>
      </c>
      <c r="L82" s="31" t="n">
        <v>10</v>
      </c>
      <c r="M82" s="31" t="inlineStr">
        <is>
          <t>Underperforming</t>
        </is>
      </c>
      <c r="N82" s="32">
        <f>IF(M82="Underperforming",-5,IF(L82&gt;=95,15,IF(L82&gt;=90,10,IF(L82&gt;=80,5,0))))</f>
        <v/>
      </c>
      <c r="O82" s="32" t="n">
        <v>64.86</v>
      </c>
      <c r="P82" s="32" t="n">
        <v>18.56</v>
      </c>
      <c r="Q82" s="32" t="n">
        <v>5065.19</v>
      </c>
      <c r="R82" s="31" t="inlineStr">
        <is>
          <t>Earnings / Momentum Support</t>
        </is>
      </c>
      <c r="S82" s="31" t="inlineStr">
        <is>
          <t>Nifty Pharma</t>
        </is>
      </c>
      <c r="T82" s="32" t="n">
        <v>12.5</v>
      </c>
      <c r="U82" s="32" t="n">
        <v>-1.17</v>
      </c>
      <c r="V82" s="32" t="n">
        <v>-12.15</v>
      </c>
      <c r="W82" s="32" t="n">
        <v>4.05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Yes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Annuity, Lower One Time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0 to 20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Between 12 to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Between 1.5 to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17</t>
        </is>
      </c>
      <c r="CG82" s="31">
        <f>IF(CF82&gt;20,10,IF(CF82&gt;=10,5,2))</f>
        <v/>
      </c>
    </row>
    <row r="83">
      <c r="A83" s="31">
        <f>IF(B83=0,"",RANK(B83,$B$2:$B$91,0))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4" t="inlineStr">
        <is>
          <t>CNL</t>
        </is>
      </c>
      <c r="D83" s="34" t="inlineStr">
        <is>
          <t>Creative Newtech Ltd</t>
        </is>
      </c>
      <c r="E83" s="31" t="inlineStr">
        <is>
          <t>Technology</t>
        </is>
      </c>
      <c r="F83" s="31" t="inlineStr">
        <is>
          <t>E-Commerce - Platform - Utility</t>
        </is>
      </c>
      <c r="G83" s="31" t="inlineStr">
        <is>
          <t>smallcap</t>
        </is>
      </c>
      <c r="H83" s="32" t="n">
        <v>1115.29</v>
      </c>
      <c r="I83" s="32" t="n">
        <v>742.7</v>
      </c>
      <c r="J83" s="32" t="n">
        <v>1.7</v>
      </c>
      <c r="K83" s="32" t="n">
        <v>0</v>
      </c>
      <c r="L83" s="31" t="n">
        <v>30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63.6</v>
      </c>
      <c r="P83" s="32" t="n">
        <v>23.11</v>
      </c>
      <c r="Q83" s="32" t="n">
        <v>582.23</v>
      </c>
      <c r="R83" s="31" t="inlineStr">
        <is>
          <t>Near 52W High Breakout</t>
        </is>
      </c>
      <c r="S83" s="31" t="inlineStr">
        <is>
          <t>Nifty 50</t>
        </is>
      </c>
      <c r="T83" s="32" t="n">
        <v>-5.72</v>
      </c>
      <c r="U83" s="32" t="n">
        <v>15.11</v>
      </c>
      <c r="V83" s="32" t="n">
        <v>22.09</v>
      </c>
      <c r="W83" s="32" t="n">
        <v>8.779999999999999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Oligopoly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Yes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Annuity, Lower One Time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Negative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Between 0.7 to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15</t>
        </is>
      </c>
      <c r="CG83" s="31">
        <f>IF(CF83&gt;20,10,IF(CF83&gt;=10,5,2))</f>
        <v/>
      </c>
    </row>
    <row r="84">
      <c r="A84" s="31">
        <f>IF(B84=0,"",RANK(B84,$B$2:$B$91,0))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GALAPREC</t>
        </is>
      </c>
      <c r="D84" s="31" t="inlineStr">
        <is>
          <t>Gala Precision Engineering Ltd</t>
        </is>
      </c>
      <c r="E84" s="31" t="inlineStr">
        <is>
          <t>industrials</t>
        </is>
      </c>
      <c r="F84" s="31" t="inlineStr">
        <is>
          <t>Castings, Forgings &amp; Fastners</t>
        </is>
      </c>
      <c r="G84" s="31" t="inlineStr">
        <is>
          <t>smallcap</t>
        </is>
      </c>
      <c r="H84" s="32" t="n">
        <v>1425.8</v>
      </c>
      <c r="I84" s="32" t="n">
        <v>1112.5</v>
      </c>
      <c r="J84" s="32" t="n">
        <v>0.49</v>
      </c>
      <c r="K84" s="32" t="n">
        <v>0</v>
      </c>
      <c r="L84" s="31" t="n">
        <v>66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76.95999999999999</v>
      </c>
      <c r="P84" s="32" t="n">
        <v>32.05</v>
      </c>
      <c r="Q84" s="32" t="n">
        <v>857.5</v>
      </c>
      <c r="R84" s="31" t="inlineStr">
        <is>
          <t>Near 52W High Breakout</t>
        </is>
      </c>
      <c r="S84" s="31" t="inlineStr">
        <is>
          <t>Nifty 50</t>
        </is>
      </c>
      <c r="T84" s="32" t="n">
        <v>-5.72</v>
      </c>
      <c r="U84" s="32" t="n">
        <v>30.76</v>
      </c>
      <c r="V84" s="32" t="n">
        <v>38.69</v>
      </c>
      <c r="W84" s="32" t="n">
        <v>17.88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Above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Less than 12%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Less than 50%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18</t>
        </is>
      </c>
      <c r="CG84" s="31">
        <f>IF(CF84&gt;20,10,IF(CF84&gt;=10,5,2))</f>
        <v/>
      </c>
    </row>
    <row r="85">
      <c r="A85" s="31">
        <f>IF(B85=0,"",RANK(B85,$B$2:$B$91,0))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4" t="inlineStr">
        <is>
          <t>TVSSCS</t>
        </is>
      </c>
      <c r="D85" s="34" t="inlineStr">
        <is>
          <t>TVS Supply Chain Solutions Ltd</t>
        </is>
      </c>
      <c r="E85" s="31" t="inlineStr">
        <is>
          <t>transportation</t>
        </is>
      </c>
      <c r="F85" s="31" t="inlineStr">
        <is>
          <t>Logistics - Warehousing/Supply Chain</t>
        </is>
      </c>
      <c r="G85" s="31" t="inlineStr">
        <is>
          <t>midcap</t>
        </is>
      </c>
      <c r="H85" s="32" t="n">
        <v>6084.75</v>
      </c>
      <c r="I85" s="32" t="n">
        <v>137.92</v>
      </c>
      <c r="J85" s="32" t="n">
        <v>2.57</v>
      </c>
      <c r="K85" s="32" t="n">
        <v>0</v>
      </c>
      <c r="L85" s="31" t="n">
        <v>35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59.94</v>
      </c>
      <c r="P85" s="32" t="n">
        <v>13.05</v>
      </c>
      <c r="Q85" s="32" t="n">
        <v>105.58</v>
      </c>
      <c r="R85" s="31" t="inlineStr">
        <is>
          <t>Near 52W High Breakout</t>
        </is>
      </c>
      <c r="S85" s="31" t="inlineStr">
        <is>
          <t>Nifty 50</t>
        </is>
      </c>
      <c r="T85" s="32" t="n">
        <v>-5.72</v>
      </c>
      <c r="U85" s="32" t="n">
        <v>4.53</v>
      </c>
      <c r="V85" s="32" t="n">
        <v>10.87</v>
      </c>
      <c r="W85" s="32" t="n">
        <v>10.06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0 to 20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More than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18</t>
        </is>
      </c>
      <c r="CG85" s="31">
        <f>IF(CF85&gt;20,10,IF(CF85&gt;=10,5,2))</f>
        <v/>
      </c>
    </row>
    <row r="86">
      <c r="A86" s="31">
        <f>IF(B86=0,"",RANK(B86,$B$2:$B$91,0))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ROBU</t>
        </is>
      </c>
      <c r="D86" s="31" t="inlineStr">
        <is>
          <t>Macfos Ltd</t>
        </is>
      </c>
      <c r="E86" s="31" t="inlineStr">
        <is>
          <t>Technology</t>
        </is>
      </c>
      <c r="F86" s="31" t="inlineStr">
        <is>
          <t>E-Commerce - Platform - Utility</t>
        </is>
      </c>
      <c r="G86" s="31" t="inlineStr">
        <is>
          <t>smallcap</t>
        </is>
      </c>
      <c r="H86" s="32" t="n">
        <v>1231.11</v>
      </c>
      <c r="I86" s="32" t="n">
        <v>1188.5</v>
      </c>
      <c r="J86" s="32" t="n">
        <v>0.79</v>
      </c>
      <c r="K86" s="32" t="n">
        <v>0</v>
      </c>
      <c r="L86" s="31" t="n">
        <v>75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67.51000000000001</v>
      </c>
      <c r="P86" s="32" t="n">
        <v>66.98999999999999</v>
      </c>
      <c r="Q86" s="32" t="n">
        <v>856.24</v>
      </c>
      <c r="R86" s="31" t="inlineStr">
        <is>
          <t>Near 52W High Breakout</t>
        </is>
      </c>
      <c r="S86" s="31" t="inlineStr">
        <is>
          <t>Nifty 50</t>
        </is>
      </c>
      <c r="T86" s="32" t="n">
        <v>-5.72</v>
      </c>
      <c r="U86" s="32" t="n">
        <v>70.88</v>
      </c>
      <c r="V86" s="32" t="n">
        <v>81.23999999999999</v>
      </c>
      <c r="W86" s="32" t="n">
        <v>21.68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Oligopoly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Negative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Negative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16</t>
        </is>
      </c>
      <c r="CG86" s="31">
        <f>IF(CF86&gt;20,10,IF(CF86&gt;=10,5,2))</f>
        <v/>
      </c>
    </row>
    <row r="87">
      <c r="A87" s="31">
        <f>IF(B87=0,"",RANK(B87,$B$2:$B$91,0))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3" t="inlineStr">
        <is>
          <t>LLOYDSME</t>
        </is>
      </c>
      <c r="D87" s="33" t="inlineStr">
        <is>
          <t>Lloyds Metals &amp; Energy Ltd</t>
        </is>
      </c>
      <c r="E87" s="31" t="inlineStr">
        <is>
          <t>metals &amp; mining</t>
        </is>
      </c>
      <c r="F87" s="31" t="inlineStr">
        <is>
          <t>Mining/Minerals - Iron Ore</t>
        </is>
      </c>
      <c r="G87" s="31" t="inlineStr">
        <is>
          <t>largecap</t>
        </is>
      </c>
      <c r="H87" s="32" t="n">
        <v>101655.37</v>
      </c>
      <c r="I87" s="32" t="n">
        <v>1805.9</v>
      </c>
      <c r="J87" s="32" t="n">
        <v>-0.25</v>
      </c>
      <c r="K87" s="32" t="n">
        <v>0</v>
      </c>
      <c r="L87" s="31" t="n">
        <v>35</v>
      </c>
      <c r="M87" s="31" t="inlineStr">
        <is>
          <t>Underperforming</t>
        </is>
      </c>
      <c r="N87" s="32">
        <f>IF(M87="Underperforming",-5,IF(L87&gt;=95,15,IF(L87&gt;=90,10,IF(L87&gt;=80,5,0))))</f>
        <v/>
      </c>
      <c r="O87" s="32" t="n">
        <v>68.72</v>
      </c>
      <c r="P87" s="32" t="n">
        <v>43.81</v>
      </c>
      <c r="Q87" s="32" t="n">
        <v>1463.94</v>
      </c>
      <c r="R87" s="31" t="inlineStr">
        <is>
          <t>Near 52W High Breakout</t>
        </is>
      </c>
      <c r="S87" s="31" t="inlineStr">
        <is>
          <t>Nifty Metal</t>
        </is>
      </c>
      <c r="T87" s="32" t="n">
        <v>29.38</v>
      </c>
      <c r="U87" s="32" t="n">
        <v>16.3</v>
      </c>
      <c r="V87" s="32" t="n">
        <v>-10.11</v>
      </c>
      <c r="W87" s="32" t="n">
        <v>10.1</v>
      </c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Less than 50% and Borrowings are increasing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More than 1.2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15</t>
        </is>
      </c>
      <c r="CG87" s="31">
        <f>IF(CF87&gt;20,10,IF(CF87&gt;=10,5,2))</f>
        <v/>
      </c>
    </row>
    <row r="88">
      <c r="A88" s="31">
        <f>IF(B88=0,"",RANK(B88,$B$2:$B$91,0))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4" t="inlineStr">
        <is>
          <t>NACLIND</t>
        </is>
      </c>
      <c r="D88" s="34" t="inlineStr">
        <is>
          <t>NACL Industries Ltd</t>
        </is>
      </c>
      <c r="E88" s="31" t="inlineStr">
        <is>
          <t>Basic Materials</t>
        </is>
      </c>
      <c r="F88" s="31" t="inlineStr">
        <is>
          <t>Pesticides/Agrochemicals</t>
        </is>
      </c>
      <c r="G88" s="31" t="inlineStr">
        <is>
          <t>midcap</t>
        </is>
      </c>
      <c r="H88" s="32" t="n">
        <v>5209.34</v>
      </c>
      <c r="I88" s="32" t="n">
        <v>222.39</v>
      </c>
      <c r="J88" s="32" t="n">
        <v>0.74</v>
      </c>
      <c r="K88" s="32" t="n">
        <v>0</v>
      </c>
      <c r="L88" s="31" t="n">
        <v>50</v>
      </c>
      <c r="M88" s="31" t="inlineStr">
        <is>
          <t>Underperforming</t>
        </is>
      </c>
      <c r="N88" s="32">
        <f>IF(M88="Underperforming",-5,IF(L88&gt;=95,15,IF(L88&gt;=90,10,IF(L88&gt;=80,5,0))))</f>
        <v/>
      </c>
      <c r="O88" s="32" t="n">
        <v>66.73</v>
      </c>
      <c r="P88" s="32" t="n">
        <v>22.05</v>
      </c>
      <c r="Q88" s="32" t="n">
        <v>151.79</v>
      </c>
      <c r="R88" s="31" t="inlineStr">
        <is>
          <t>Volume Spike / Accumulation</t>
        </is>
      </c>
      <c r="S88" s="31" t="inlineStr">
        <is>
          <t>Nifty FMCG</t>
        </is>
      </c>
      <c r="T88" s="32" t="n">
        <v>-9</v>
      </c>
      <c r="U88" s="32" t="n">
        <v>-15.83</v>
      </c>
      <c r="V88" s="32" t="n">
        <v>-7.5</v>
      </c>
      <c r="W88" s="32" t="n">
        <v>12.75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Negative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16</t>
        </is>
      </c>
      <c r="CG88" s="31">
        <f>IF(CF88&gt;20,10,IF(CF88&gt;=10,5,2))</f>
        <v/>
      </c>
    </row>
    <row r="89">
      <c r="A89" s="31">
        <f>IF(B89=0,"",RANK(B89,$B$2:$B$91,0))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4" t="inlineStr">
        <is>
          <t>KAPSTON</t>
        </is>
      </c>
      <c r="D89" s="34" t="inlineStr">
        <is>
          <t>Kapston Services Ltd</t>
        </is>
      </c>
      <c r="E89" s="31" t="inlineStr">
        <is>
          <t>miscellaneous</t>
        </is>
      </c>
      <c r="F89" s="31" t="inlineStr">
        <is>
          <t>Services - Others</t>
        </is>
      </c>
      <c r="G89" s="31" t="inlineStr">
        <is>
          <t>smallcap</t>
        </is>
      </c>
      <c r="H89" s="32" t="n">
        <v>1144.1</v>
      </c>
      <c r="I89" s="32" t="n">
        <v>375.95</v>
      </c>
      <c r="J89" s="32" t="n">
        <v>2.01</v>
      </c>
      <c r="K89" s="32" t="n">
        <v>0</v>
      </c>
      <c r="L89" s="31" t="n">
        <v>59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62.04</v>
      </c>
      <c r="P89" s="32" t="n">
        <v>14.05</v>
      </c>
      <c r="Q89" s="32" t="n">
        <v>275.18</v>
      </c>
      <c r="R89" s="31" t="inlineStr">
        <is>
          <t>Earnings / Momentum Support</t>
        </is>
      </c>
      <c r="S89" s="31" t="inlineStr">
        <is>
          <t>Nifty 50</t>
        </is>
      </c>
      <c r="T89" s="32" t="n">
        <v>-5.72</v>
      </c>
      <c r="U89" s="32" t="n">
        <v>49.62</v>
      </c>
      <c r="V89" s="32" t="n">
        <v>58.69</v>
      </c>
      <c r="W89" s="32" t="n">
        <v>16.12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0 to 20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Between 1.5 to 2</t>
        </is>
      </c>
      <c r="BU89" s="31">
        <f>IF(BT89="Above 2",0,IF(BT89="Between 1.5 to 2",5,IF(BT89="Less than 1.5",10,0)))</f>
        <v/>
      </c>
      <c r="BV89" s="31" t="inlineStr">
        <is>
          <t>Less than 50% and Borrowings are increasing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More than 1.2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17</t>
        </is>
      </c>
      <c r="CG89" s="31">
        <f>IF(CF89&gt;20,10,IF(CF89&gt;=10,5,2))</f>
        <v/>
      </c>
    </row>
    <row r="90">
      <c r="A90" s="31">
        <f>IF(B90=0,"",RANK(B90,$B$2:$B$91,0))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UTSSAV</t>
        </is>
      </c>
      <c r="D90" s="31" t="inlineStr">
        <is>
          <t>Utssav CZ Gold Jewels Ltd</t>
        </is>
      </c>
      <c r="E90" s="31" t="inlineStr">
        <is>
          <t>unknown</t>
        </is>
      </c>
      <c r="F90" s="31" t="inlineStr">
        <is>
          <t>Diamond, Gems &amp; Jewellery</t>
        </is>
      </c>
      <c r="G90" s="31" t="inlineStr">
        <is>
          <t>smallcap</t>
        </is>
      </c>
      <c r="H90" s="32" t="n">
        <v>1115.64</v>
      </c>
      <c r="I90" s="32" t="n">
        <v>462</v>
      </c>
      <c r="J90" s="32" t="n">
        <v>5</v>
      </c>
      <c r="K90" s="32" t="n">
        <v>0</v>
      </c>
      <c r="L90" s="31" t="inlineStr"/>
      <c r="M90" s="31" t="inlineStr"/>
      <c r="N90" s="32">
        <f>IF(M90="Underperforming",-5,IF(L90&gt;=95,15,IF(L90&gt;=90,10,IF(L90&gt;=80,5,0))))</f>
        <v/>
      </c>
      <c r="O90" s="32" t="inlineStr"/>
      <c r="P90" s="32" t="inlineStr"/>
      <c r="Q90" s="32" t="inlineStr"/>
      <c r="R90" s="31" t="inlineStr"/>
      <c r="S90" s="31" t="inlineStr"/>
      <c r="T90" s="32" t="inlineStr"/>
      <c r="U90" s="32" t="inlineStr"/>
      <c r="V90" s="32" t="inlineStr"/>
      <c r="W90" s="32" t="inlineStr"/>
      <c r="X90" s="31" t="n"/>
      <c r="Y90" s="31">
        <f>IF(X90="Growing Industry",10,IF(X90="Cyclical in an Upturn",5,0))</f>
        <v/>
      </c>
      <c r="Z90" s="31" t="n"/>
      <c r="AA90" s="31">
        <f>IF(Z90="Monopoly",10,IF(Z90="Oligopoly",5,IF(Z90="Duopoly that cooperate",10,IF(Z90="Duopoly that compete",5,IF(Z90="Too many players with High ROCE",5,0)))))</f>
        <v/>
      </c>
      <c r="AB90" s="31" t="n"/>
      <c r="AC90" s="31">
        <f>IF(AB90="No",5,0)</f>
        <v/>
      </c>
      <c r="AD90" s="31" t="n"/>
      <c r="AE90" s="31">
        <f>IF(AD90="Tailwind",10,0)</f>
        <v/>
      </c>
      <c r="AF90" s="31" t="n"/>
      <c r="AG90" s="31">
        <f>IF(AF90="Structural (10 Years Consistency)",10,IF(AF90="Shallow Cyclical (2 to 3 years growth)",5,0))</f>
        <v/>
      </c>
      <c r="AH90" s="31" t="n"/>
      <c r="AI90" s="31">
        <f>IF(AH90="Yes due to Product Mix change or Operating Leverage",10,IF(AH90="Yes, these are peak margins",-5,IF(AH90="No",5,0)))</f>
        <v/>
      </c>
      <c r="AJ90" s="31" t="n"/>
      <c r="AK90" s="31">
        <f>IF(AJ90="Stable",10,0)</f>
        <v/>
      </c>
      <c r="AL90" s="31" t="n"/>
      <c r="AM90" s="31">
        <f>IF(AL90="Yes",10,0)</f>
        <v/>
      </c>
      <c r="AN90" s="31" t="n"/>
      <c r="AO90" s="31">
        <f>IF(AN90="B2C",10,IF(AN90="B2B",5,0))</f>
        <v/>
      </c>
      <c r="AP90" s="31" t="n"/>
      <c r="AQ90" s="31">
        <f>IF(AP90="Yes",10,0)</f>
        <v/>
      </c>
      <c r="AR90" s="31" t="n"/>
      <c r="AS90" s="31">
        <f>IF(AR90="Fully Annuity",10,IF(AR90="Higher Annuity, Lower One Time",5,IF(AR90="Higher One Time, Lower Annuity",3,0)))</f>
        <v/>
      </c>
      <c r="AT90" s="31" t="n"/>
      <c r="AU90" s="31">
        <f>IF(AT90="Good",10,0)</f>
        <v/>
      </c>
      <c r="AV90" s="31" t="n"/>
      <c r="AW90" s="31">
        <f>IF(AV90="Yes for more than 2 years",10,IF(AV90="Yes only for next 1 to 2 years",5,0))</f>
        <v/>
      </c>
      <c r="AX90" s="31" t="n"/>
      <c r="AY90" s="31">
        <f>IF(AX90="Above 40",20,IF(AX90="20 to 40",10,IF(AX90="0 to 20",-5,0)))</f>
        <v/>
      </c>
      <c r="AZ90" s="31" t="n"/>
      <c r="BA90" s="31">
        <f>IF(AZ90="Between 50 to 75",10,IF(AZ90="Above 75",0,0))</f>
        <v/>
      </c>
      <c r="BB90" s="31" t="n"/>
      <c r="BC90" s="31">
        <f>IF(BB90="Stage 2",20,IF(BB90="Stage 1",0,IF(BB90="Stage 3",5,IF(BB90="Stage 4",-5,0))))</f>
        <v/>
      </c>
      <c r="BD90" s="31" t="n"/>
      <c r="BE90" s="31">
        <f>IF(BD90="Positive Trend",20,IF(BD90="Negative Trend",-10,0))</f>
        <v/>
      </c>
      <c r="BF90" s="31" t="n"/>
      <c r="BG90" s="31">
        <f>IF(BF90="Uptrend",10,IF(BF90="Sideways",5,0))</f>
        <v/>
      </c>
      <c r="BH90" s="31" t="n"/>
      <c r="BI90" s="31">
        <f>IF(BH90="Uptrend",10,IF(BH90="Sideways",5,0))</f>
        <v/>
      </c>
      <c r="BJ90" s="31" t="n"/>
      <c r="BK90" s="31">
        <f>IF(BJ90="Overhead supply in last 2 years in last 2 years",-5,IF(BJ90="Close to 52 week high or retracement",5,IF(BJ90="Blue sky scenario",10,IF(BJ90="Long term Downtrend",-10,0))))</f>
        <v/>
      </c>
      <c r="BL90" s="31" t="n"/>
      <c r="BM90" s="31">
        <f>IF(BL90="Yes",10,0)</f>
        <v/>
      </c>
      <c r="BN90" s="31" t="n"/>
      <c r="BO90" s="31">
        <f>IF(BN90="More than 20%",10,IF(BN90="Between 12 to 20%",5,IF(BN90="Less than 12%",0,0)))</f>
        <v/>
      </c>
      <c r="BP90" s="31" t="n"/>
      <c r="BQ90" s="31">
        <f>IF(BP90="No",10,0)</f>
        <v/>
      </c>
      <c r="BR90" s="31" t="n"/>
      <c r="BS90" s="31">
        <f>IF(BR90="NO",5,0)</f>
        <v/>
      </c>
      <c r="BT90" s="31" t="n"/>
      <c r="BU90" s="31">
        <f>IF(BT90="Above 2",0,IF(BT90="Between 1.5 to 2",5,IF(BT90="Less than 1.5",10,0)))</f>
        <v/>
      </c>
      <c r="BV90" s="31" t="n"/>
      <c r="BW90" s="31">
        <f>IF(BV90="Above 70%",10,IF(BV90="Between 50% to 70%",5,IF(BV90="Less than 50%",0,IF(BV90="Negative",-10,IF(BV90="Less than 50% and Borrowings are increasing",-5,0)))))</f>
        <v/>
      </c>
      <c r="BX90" s="31" t="n"/>
      <c r="BY90" s="31">
        <f>IF(BX90="More than 1.2",-10,IF(BX90="Between 0.7 to 1.2",0,IF(BX90="Less than 0.7",10,0)))</f>
        <v/>
      </c>
      <c r="BZ90" s="31" t="n"/>
      <c r="CA90" s="31">
        <f>IF(BZ90="Yes",-10,0)</f>
        <v/>
      </c>
      <c r="CB90" s="31" t="n"/>
      <c r="CC90" s="31">
        <f>IF(CB90="More than 15%",-10,IF(CB90="Less than 15%",10,0))</f>
        <v/>
      </c>
      <c r="CD90" s="31" t="n"/>
      <c r="CE90" s="31">
        <f>IF(CD90="Yes, more than 10%",-10,IF(CD90="No",10,0))</f>
        <v/>
      </c>
      <c r="CF90" s="31" t="n"/>
      <c r="CG90" s="31">
        <f>IF(CF90&gt;20,10,IF(CF90&gt;=10,5,2))</f>
        <v/>
      </c>
    </row>
    <row r="91">
      <c r="A91" s="31">
        <f>IF(B91=0,"",RANK(B91,$B$2:$B$91,0))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4" t="inlineStr">
        <is>
          <t>ACGL</t>
        </is>
      </c>
      <c r="D91" s="34" t="inlineStr">
        <is>
          <t>Automobile Corporation Of Goa Ltd</t>
        </is>
      </c>
      <c r="E91" s="31" t="inlineStr">
        <is>
          <t>unknown</t>
        </is>
      </c>
      <c r="F91" s="31" t="inlineStr">
        <is>
          <t>Auto Ancillaries - Diversified</t>
        </is>
      </c>
      <c r="G91" s="31" t="inlineStr">
        <is>
          <t>smallcap</t>
        </is>
      </c>
      <c r="H91" s="32" t="n">
        <v>1390.64</v>
      </c>
      <c r="I91" s="32" t="n">
        <v>2284</v>
      </c>
      <c r="J91" s="32" t="n">
        <v>-0.32</v>
      </c>
      <c r="K91" s="32" t="n">
        <v>0</v>
      </c>
      <c r="L91" s="31" t="inlineStr"/>
      <c r="M91" s="31" t="inlineStr"/>
      <c r="N91" s="32">
        <f>IF(M91="Underperforming",-5,IF(L91&gt;=95,15,IF(L91&gt;=90,10,IF(L91&gt;=80,5,0))))</f>
        <v/>
      </c>
      <c r="O91" s="32" t="inlineStr"/>
      <c r="P91" s="32" t="inlineStr"/>
      <c r="Q91" s="32" t="inlineStr"/>
      <c r="R91" s="31" t="inlineStr"/>
      <c r="S91" s="31" t="inlineStr"/>
      <c r="T91" s="32" t="inlineStr"/>
      <c r="U91" s="32" t="inlineStr"/>
      <c r="V91" s="32" t="inlineStr"/>
      <c r="W91" s="32" t="inlineStr"/>
      <c r="X91" s="31" t="n"/>
      <c r="Y91" s="31">
        <f>IF(X91="Growing Industry",10,IF(X91="Cyclical in an Upturn",5,0))</f>
        <v/>
      </c>
      <c r="Z91" s="31" t="n"/>
      <c r="AA91" s="31">
        <f>IF(Z91="Monopoly",10,IF(Z91="Oligopoly",5,IF(Z91="Duopoly that cooperate",10,IF(Z91="Duopoly that compete",5,IF(Z91="Too many players with High ROCE",5,0)))))</f>
        <v/>
      </c>
      <c r="AB91" s="31" t="n"/>
      <c r="AC91" s="31">
        <f>IF(AB91="No",5,0)</f>
        <v/>
      </c>
      <c r="AD91" s="31" t="n"/>
      <c r="AE91" s="31">
        <f>IF(AD91="Tailwind",10,0)</f>
        <v/>
      </c>
      <c r="AF91" s="31" t="n"/>
      <c r="AG91" s="31">
        <f>IF(AF91="Structural (10 Years Consistency)",10,IF(AF91="Shallow Cyclical (2 to 3 years growth)",5,0))</f>
        <v/>
      </c>
      <c r="AH91" s="31" t="n"/>
      <c r="AI91" s="31">
        <f>IF(AH91="Yes due to Product Mix change or Operating Leverage",10,IF(AH91="Yes, these are peak margins",-5,IF(AH91="No",5,0)))</f>
        <v/>
      </c>
      <c r="AJ91" s="31" t="n"/>
      <c r="AK91" s="31">
        <f>IF(AJ91="Stable",10,0)</f>
        <v/>
      </c>
      <c r="AL91" s="31" t="n"/>
      <c r="AM91" s="31">
        <f>IF(AL91="Yes",10,0)</f>
        <v/>
      </c>
      <c r="AN91" s="31" t="n"/>
      <c r="AO91" s="31">
        <f>IF(AN91="B2C",10,IF(AN91="B2B",5,0))</f>
        <v/>
      </c>
      <c r="AP91" s="31" t="n"/>
      <c r="AQ91" s="31">
        <f>IF(AP91="Yes",10,0)</f>
        <v/>
      </c>
      <c r="AR91" s="31" t="n"/>
      <c r="AS91" s="31">
        <f>IF(AR91="Fully Annuity",10,IF(AR91="Higher Annuity, Lower One Time",5,IF(AR91="Higher One Time, Lower Annuity",3,0)))</f>
        <v/>
      </c>
      <c r="AT91" s="31" t="n"/>
      <c r="AU91" s="31">
        <f>IF(AT91="Good",10,0)</f>
        <v/>
      </c>
      <c r="AV91" s="31" t="n"/>
      <c r="AW91" s="31">
        <f>IF(AV91="Yes for more than 2 years",10,IF(AV91="Yes only for next 1 to 2 years",5,0))</f>
        <v/>
      </c>
      <c r="AX91" s="31" t="n"/>
      <c r="AY91" s="31">
        <f>IF(AX91="Above 40",20,IF(AX91="20 to 40",10,IF(AX91="0 to 20",-5,0)))</f>
        <v/>
      </c>
      <c r="AZ91" s="31" t="n"/>
      <c r="BA91" s="31">
        <f>IF(AZ91="Between 50 to 75",10,IF(AZ91="Above 75",0,0))</f>
        <v/>
      </c>
      <c r="BB91" s="31" t="n"/>
      <c r="BC91" s="31">
        <f>IF(BB91="Stage 2",20,IF(BB91="Stage 1",0,IF(BB91="Stage 3",5,IF(BB91="Stage 4",-5,0))))</f>
        <v/>
      </c>
      <c r="BD91" s="31" t="n"/>
      <c r="BE91" s="31">
        <f>IF(BD91="Positive Trend",20,IF(BD91="Negative Trend",-10,0))</f>
        <v/>
      </c>
      <c r="BF91" s="31" t="n"/>
      <c r="BG91" s="31">
        <f>IF(BF91="Uptrend",10,IF(BF91="Sideways",5,0))</f>
        <v/>
      </c>
      <c r="BH91" s="31" t="n"/>
      <c r="BI91" s="31">
        <f>IF(BH91="Uptrend",10,IF(BH91="Sideways",5,0))</f>
        <v/>
      </c>
      <c r="BJ91" s="31" t="n"/>
      <c r="BK91" s="31">
        <f>IF(BJ91="Overhead supply in last 2 years in last 2 years",-5,IF(BJ91="Close to 52 week high or retracement",5,IF(BJ91="Blue sky scenario",10,IF(BJ91="Long term Downtrend",-10,0))))</f>
        <v/>
      </c>
      <c r="BL91" s="31" t="n"/>
      <c r="BM91" s="31">
        <f>IF(BL91="Yes",10,0)</f>
        <v/>
      </c>
      <c r="BN91" s="31" t="n"/>
      <c r="BO91" s="31">
        <f>IF(BN91="More than 20%",10,IF(BN91="Between 12 to 20%",5,IF(BN91="Less than 12%",0,0)))</f>
        <v/>
      </c>
      <c r="BP91" s="31" t="n"/>
      <c r="BQ91" s="31">
        <f>IF(BP91="No",10,0)</f>
        <v/>
      </c>
      <c r="BR91" s="31" t="n"/>
      <c r="BS91" s="31">
        <f>IF(BR91="NO",5,0)</f>
        <v/>
      </c>
      <c r="BT91" s="31" t="n"/>
      <c r="BU91" s="31">
        <f>IF(BT91="Above 2",0,IF(BT91="Between 1.5 to 2",5,IF(BT91="Less than 1.5",10,0)))</f>
        <v/>
      </c>
      <c r="BV91" s="31" t="n"/>
      <c r="BW91" s="31">
        <f>IF(BV91="Above 70%",10,IF(BV91="Between 50% to 70%",5,IF(BV91="Less than 50%",0,IF(BV91="Negative",-10,IF(BV91="Less than 50% and Borrowings are increasing",-5,0)))))</f>
        <v/>
      </c>
      <c r="BX91" s="31" t="n"/>
      <c r="BY91" s="31">
        <f>IF(BX91="More than 1.2",-10,IF(BX91="Between 0.7 to 1.2",0,IF(BX91="Less than 0.7",10,0)))</f>
        <v/>
      </c>
      <c r="BZ91" s="31" t="n"/>
      <c r="CA91" s="31">
        <f>IF(BZ91="Yes",-10,0)</f>
        <v/>
      </c>
      <c r="CB91" s="31" t="n"/>
      <c r="CC91" s="31">
        <f>IF(CB91="More than 15%",-10,IF(CB91="Less than 15%",10,0))</f>
        <v/>
      </c>
      <c r="CD91" s="31" t="n"/>
      <c r="CE91" s="31">
        <f>IF(CD91="Yes, more than 10%",-10,IF(CD91="No",10,0))</f>
        <v/>
      </c>
      <c r="CF91" s="31" t="n"/>
      <c r="CG91" s="31">
        <f>IF(CF91&gt;20,10,IF(CF91&gt;=10,5,2))</f>
        <v/>
      </c>
    </row>
    <row r="95">
      <c r="A95" s="25" t="inlineStr">
        <is>
          <t>❌ REMOVED SCAN MATCH STOCKS (THIS WEEK)</t>
        </is>
      </c>
    </row>
    <row r="96">
      <c r="A96" s="35" t="inlineStr">
        <is>
          <t>Symbol</t>
        </is>
      </c>
      <c r="B96" s="35" t="inlineStr">
        <is>
          <t>Company Name</t>
        </is>
      </c>
      <c r="C96" s="35" t="inlineStr">
        <is>
          <t>Sector</t>
        </is>
      </c>
      <c r="D96" s="35" t="inlineStr">
        <is>
          <t>Date of Removal</t>
        </is>
      </c>
    </row>
    <row r="97">
      <c r="A97" s="36" t="inlineStr">
        <is>
          <t>ACCENTMIC</t>
        </is>
      </c>
      <c r="B97" s="37" t="inlineStr">
        <is>
          <t>ACCENTMIC</t>
        </is>
      </c>
      <c r="C97" s="37" t="inlineStr">
        <is>
          <t>unknown</t>
        </is>
      </c>
      <c r="D97" s="38" t="inlineStr">
        <is>
          <t>2026-07-01</t>
        </is>
      </c>
    </row>
    <row r="98">
      <c r="A98" s="36" t="inlineStr">
        <is>
          <t>AEROFLEX</t>
        </is>
      </c>
      <c r="B98" s="37" t="inlineStr">
        <is>
          <t>Aeroflex Industries Limited</t>
        </is>
      </c>
      <c r="C98" s="37" t="inlineStr">
        <is>
          <t>Industrials</t>
        </is>
      </c>
      <c r="D98" s="38" t="inlineStr">
        <is>
          <t>2026-07-01</t>
        </is>
      </c>
    </row>
    <row r="99">
      <c r="A99" s="36" t="inlineStr">
        <is>
          <t>ANGELONE</t>
        </is>
      </c>
      <c r="B99" s="37" t="inlineStr">
        <is>
          <t>ANGELONE</t>
        </is>
      </c>
      <c r="C99" s="37" t="inlineStr">
        <is>
          <t>unknown</t>
        </is>
      </c>
      <c r="D99" s="38" t="inlineStr">
        <is>
          <t>2026-07-01</t>
        </is>
      </c>
    </row>
    <row r="100">
      <c r="A100" s="36" t="inlineStr">
        <is>
          <t>ANTELOPUS</t>
        </is>
      </c>
      <c r="B100" s="37" t="inlineStr">
        <is>
          <t>ANTELOPUS</t>
        </is>
      </c>
      <c r="C100" s="37" t="inlineStr">
        <is>
          <t>unknown</t>
        </is>
      </c>
      <c r="D100" s="38" t="inlineStr">
        <is>
          <t>2026-07-01</t>
        </is>
      </c>
    </row>
    <row r="101">
      <c r="A101" s="36" t="inlineStr">
        <is>
          <t>ASHAPURMIN</t>
        </is>
      </c>
      <c r="B101" s="37" t="inlineStr">
        <is>
          <t>ASHAPURMIN</t>
        </is>
      </c>
      <c r="C101" s="37" t="inlineStr">
        <is>
          <t>unknown</t>
        </is>
      </c>
      <c r="D101" s="38" t="inlineStr">
        <is>
          <t>2026-07-01</t>
        </is>
      </c>
    </row>
    <row r="102">
      <c r="A102" s="36" t="inlineStr">
        <is>
          <t>BETA</t>
        </is>
      </c>
      <c r="B102" s="37" t="inlineStr">
        <is>
          <t>BETA</t>
        </is>
      </c>
      <c r="C102" s="37" t="inlineStr">
        <is>
          <t>unknown</t>
        </is>
      </c>
      <c r="D102" s="38" t="inlineStr">
        <is>
          <t>2026-06-30</t>
        </is>
      </c>
    </row>
    <row r="103">
      <c r="A103" s="36" t="inlineStr">
        <is>
          <t>CIANAGRO</t>
        </is>
      </c>
      <c r="B103" s="37" t="inlineStr">
        <is>
          <t>CIANAGRO</t>
        </is>
      </c>
      <c r="C103" s="37" t="inlineStr">
        <is>
          <t>unknown</t>
        </is>
      </c>
      <c r="D103" s="38" t="inlineStr">
        <is>
          <t>2026-07-01</t>
        </is>
      </c>
    </row>
    <row r="104">
      <c r="A104" s="36" t="inlineStr">
        <is>
          <t>COCKERILL</t>
        </is>
      </c>
      <c r="B104" s="37" t="inlineStr">
        <is>
          <t>COCKERILL</t>
        </is>
      </c>
      <c r="C104" s="37" t="inlineStr">
        <is>
          <t>unknown</t>
        </is>
      </c>
      <c r="D104" s="38" t="inlineStr">
        <is>
          <t>2026-07-01</t>
        </is>
      </c>
    </row>
    <row r="105">
      <c r="A105" s="36" t="inlineStr">
        <is>
          <t>CPPLUS</t>
        </is>
      </c>
      <c r="B105" s="37" t="inlineStr">
        <is>
          <t>CPPLUS</t>
        </is>
      </c>
      <c r="C105" s="37" t="inlineStr">
        <is>
          <t>unknown</t>
        </is>
      </c>
      <c r="D105" s="38" t="inlineStr">
        <is>
          <t>2026-07-01</t>
        </is>
      </c>
    </row>
    <row r="106">
      <c r="A106" s="36" t="inlineStr">
        <is>
          <t>DIACABS</t>
        </is>
      </c>
      <c r="B106" s="37" t="inlineStr">
        <is>
          <t>Diamond Power Infrastructure Limited</t>
        </is>
      </c>
      <c r="C106" s="37" t="inlineStr">
        <is>
          <t>Industrials</t>
        </is>
      </c>
      <c r="D106" s="38" t="inlineStr">
        <is>
          <t>2026-07-01</t>
        </is>
      </c>
    </row>
    <row r="107">
      <c r="A107" s="36" t="inlineStr">
        <is>
          <t>FCL</t>
        </is>
      </c>
      <c r="B107" s="37" t="inlineStr">
        <is>
          <t>FCL</t>
        </is>
      </c>
      <c r="C107" s="37" t="inlineStr">
        <is>
          <t>unknown</t>
        </is>
      </c>
      <c r="D107" s="38" t="inlineStr">
        <is>
          <t>2026-07-01</t>
        </is>
      </c>
    </row>
    <row r="108">
      <c r="A108" s="36" t="inlineStr">
        <is>
          <t>FIEMIND</t>
        </is>
      </c>
      <c r="B108" s="37" t="inlineStr">
        <is>
          <t>FIEMIND</t>
        </is>
      </c>
      <c r="C108" s="37" t="inlineStr">
        <is>
          <t>unknown</t>
        </is>
      </c>
      <c r="D108" s="38" t="inlineStr">
        <is>
          <t>2026-07-01</t>
        </is>
      </c>
    </row>
    <row r="109">
      <c r="A109" s="36" t="inlineStr">
        <is>
          <t>GOCLCORP</t>
        </is>
      </c>
      <c r="B109" s="37" t="inlineStr">
        <is>
          <t>GOCLCORP</t>
        </is>
      </c>
      <c r="C109" s="37" t="inlineStr">
        <is>
          <t>unknown</t>
        </is>
      </c>
      <c r="D109" s="38" t="inlineStr">
        <is>
          <t>2026-07-01</t>
        </is>
      </c>
    </row>
    <row r="110">
      <c r="A110" s="36" t="inlineStr">
        <is>
          <t>GREAVESCOT</t>
        </is>
      </c>
      <c r="B110" s="37" t="inlineStr">
        <is>
          <t>Greaves Cotton Limited</t>
        </is>
      </c>
      <c r="C110" s="37" t="inlineStr">
        <is>
          <t>Industrials</t>
        </is>
      </c>
      <c r="D110" s="38" t="inlineStr">
        <is>
          <t>2026-07-01</t>
        </is>
      </c>
    </row>
    <row r="111">
      <c r="A111" s="36" t="inlineStr">
        <is>
          <t>GUFICBIO</t>
        </is>
      </c>
      <c r="B111" s="37" t="inlineStr">
        <is>
          <t>Gufic Biosciences Limited</t>
        </is>
      </c>
      <c r="C111" s="37" t="inlineStr">
        <is>
          <t>Healthcare</t>
        </is>
      </c>
      <c r="D111" s="38" t="inlineStr">
        <is>
          <t>2026-07-01</t>
        </is>
      </c>
    </row>
    <row r="112">
      <c r="A112" s="36" t="inlineStr">
        <is>
          <t>GVPIL</t>
        </is>
      </c>
      <c r="B112" s="37" t="inlineStr">
        <is>
          <t>GVPIL</t>
        </is>
      </c>
      <c r="C112" s="37" t="inlineStr">
        <is>
          <t>unknown</t>
        </is>
      </c>
      <c r="D112" s="38" t="inlineStr">
        <is>
          <t>2026-07-01</t>
        </is>
      </c>
    </row>
    <row r="113">
      <c r="A113" s="36" t="inlineStr">
        <is>
          <t>GVT&amp;D</t>
        </is>
      </c>
      <c r="B113" s="37" t="inlineStr">
        <is>
          <t>GVT&amp;D</t>
        </is>
      </c>
      <c r="C113" s="37" t="inlineStr">
        <is>
          <t>unknown</t>
        </is>
      </c>
      <c r="D113" s="38" t="inlineStr">
        <is>
          <t>2026-07-01</t>
        </is>
      </c>
    </row>
    <row r="114">
      <c r="A114" s="36" t="inlineStr">
        <is>
          <t>HESTERBIO</t>
        </is>
      </c>
      <c r="B114" s="37" t="inlineStr">
        <is>
          <t>HESTERBIO</t>
        </is>
      </c>
      <c r="C114" s="37" t="inlineStr">
        <is>
          <t>Healthcare</t>
        </is>
      </c>
      <c r="D114" s="38" t="inlineStr">
        <is>
          <t>2026-07-01</t>
        </is>
      </c>
    </row>
    <row r="115">
      <c r="A115" s="36" t="inlineStr">
        <is>
          <t>HONASA</t>
        </is>
      </c>
      <c r="B115" s="37" t="inlineStr">
        <is>
          <t>Honasa Consumer Limited</t>
        </is>
      </c>
      <c r="C115" s="37" t="inlineStr">
        <is>
          <t>Consumer Defensive</t>
        </is>
      </c>
      <c r="D115" s="38" t="inlineStr">
        <is>
          <t>2026-07-01</t>
        </is>
      </c>
    </row>
    <row r="116">
      <c r="A116" s="36" t="inlineStr">
        <is>
          <t>INDNIPPON</t>
        </is>
      </c>
      <c r="B116" s="37" t="inlineStr">
        <is>
          <t>India Nippon Electricals Limited</t>
        </is>
      </c>
      <c r="C116" s="37" t="inlineStr">
        <is>
          <t>Consumer Cyclical</t>
        </is>
      </c>
      <c r="D116" s="38" t="inlineStr">
        <is>
          <t>2026-07-01</t>
        </is>
      </c>
    </row>
    <row r="117">
      <c r="A117" s="36" t="inlineStr">
        <is>
          <t>INDOBORAX</t>
        </is>
      </c>
      <c r="B117" s="37" t="inlineStr">
        <is>
          <t>Indo Borax &amp; Chemicals Limited</t>
        </is>
      </c>
      <c r="C117" s="37" t="inlineStr">
        <is>
          <t>Basic Materials</t>
        </is>
      </c>
      <c r="D117" s="38" t="inlineStr">
        <is>
          <t>2026-07-01</t>
        </is>
      </c>
    </row>
    <row r="118">
      <c r="A118" s="36" t="inlineStr">
        <is>
          <t>KINGFA</t>
        </is>
      </c>
      <c r="B118" s="37" t="inlineStr">
        <is>
          <t>KINGFA</t>
        </is>
      </c>
      <c r="C118" s="37" t="inlineStr">
        <is>
          <t>unknown</t>
        </is>
      </c>
      <c r="D118" s="38" t="inlineStr">
        <is>
          <t>2026-07-01</t>
        </is>
      </c>
    </row>
    <row r="119">
      <c r="A119" s="36" t="inlineStr">
        <is>
          <t>KRISHNADEF</t>
        </is>
      </c>
      <c r="B119" s="37" t="inlineStr">
        <is>
          <t>KRISHNADEF</t>
        </is>
      </c>
      <c r="C119" s="37" t="inlineStr">
        <is>
          <t>unknown</t>
        </is>
      </c>
      <c r="D119" s="38" t="inlineStr">
        <is>
          <t>2026-07-01</t>
        </is>
      </c>
    </row>
    <row r="120">
      <c r="A120" s="36" t="inlineStr">
        <is>
          <t>KSHINTL</t>
        </is>
      </c>
      <c r="B120" s="37" t="inlineStr">
        <is>
          <t>KSHINTL</t>
        </is>
      </c>
      <c r="C120" s="37" t="inlineStr">
        <is>
          <t>unknown</t>
        </is>
      </c>
      <c r="D120" s="38" t="inlineStr">
        <is>
          <t>2026-07-01</t>
        </is>
      </c>
    </row>
    <row r="121">
      <c r="A121" s="36" t="inlineStr">
        <is>
          <t>LAURUSLABS</t>
        </is>
      </c>
      <c r="B121" s="37" t="inlineStr">
        <is>
          <t>Laurus Labs Limited</t>
        </is>
      </c>
      <c r="C121" s="37" t="inlineStr">
        <is>
          <t>Healthcare</t>
        </is>
      </c>
      <c r="D121" s="38" t="inlineStr">
        <is>
          <t>2026-07-01</t>
        </is>
      </c>
    </row>
    <row r="122">
      <c r="A122" s="36" t="inlineStr">
        <is>
          <t>LLOYDSENT</t>
        </is>
      </c>
      <c r="B122" s="37" t="inlineStr">
        <is>
          <t>Lloyds Enterprises Limited</t>
        </is>
      </c>
      <c r="C122" s="37" t="inlineStr">
        <is>
          <t>Basic Materials</t>
        </is>
      </c>
      <c r="D122" s="38" t="inlineStr">
        <is>
          <t>2026-06-30</t>
        </is>
      </c>
    </row>
    <row r="123">
      <c r="A123" s="36" t="inlineStr">
        <is>
          <t>MODISONLTD</t>
        </is>
      </c>
      <c r="B123" s="37" t="inlineStr">
        <is>
          <t>MODISONLTD</t>
        </is>
      </c>
      <c r="C123" s="37" t="inlineStr">
        <is>
          <t>unknown</t>
        </is>
      </c>
      <c r="D123" s="38" t="inlineStr">
        <is>
          <t>2026-07-01</t>
        </is>
      </c>
    </row>
    <row r="124">
      <c r="A124" s="36" t="inlineStr">
        <is>
          <t>MONOLITH</t>
        </is>
      </c>
      <c r="B124" s="37" t="inlineStr">
        <is>
          <t>MONOLITH</t>
        </is>
      </c>
      <c r="C124" s="37" t="inlineStr">
        <is>
          <t>unknown</t>
        </is>
      </c>
      <c r="D124" s="38" t="inlineStr">
        <is>
          <t>2026-06-30</t>
        </is>
      </c>
    </row>
    <row r="125">
      <c r="A125" s="36" t="inlineStr">
        <is>
          <t>MOTHERSON</t>
        </is>
      </c>
      <c r="B125" s="37" t="inlineStr">
        <is>
          <t>Samvardhana Motherson International Limited</t>
        </is>
      </c>
      <c r="C125" s="37" t="inlineStr">
        <is>
          <t>Consumer Cyclical</t>
        </is>
      </c>
      <c r="D125" s="38" t="inlineStr">
        <is>
          <t>2026-07-01</t>
        </is>
      </c>
    </row>
    <row r="126">
      <c r="A126" s="36" t="inlineStr">
        <is>
          <t>MTARTECH</t>
        </is>
      </c>
      <c r="B126" s="37" t="inlineStr">
        <is>
          <t>MTARTECH</t>
        </is>
      </c>
      <c r="C126" s="37" t="inlineStr">
        <is>
          <t>unknown</t>
        </is>
      </c>
      <c r="D126" s="38" t="inlineStr">
        <is>
          <t>2026-07-01</t>
        </is>
      </c>
    </row>
    <row r="127">
      <c r="A127" s="36" t="inlineStr">
        <is>
          <t>NAVINFLUOR</t>
        </is>
      </c>
      <c r="B127" s="37" t="inlineStr">
        <is>
          <t>Navin Fluorine International Limited</t>
        </is>
      </c>
      <c r="C127" s="37" t="inlineStr">
        <is>
          <t>Basic Materials</t>
        </is>
      </c>
      <c r="D127" s="38" t="inlineStr">
        <is>
          <t>2026-06-30</t>
        </is>
      </c>
    </row>
    <row r="128">
      <c r="A128" s="36" t="inlineStr">
        <is>
          <t>NELCO</t>
        </is>
      </c>
      <c r="B128" s="37" t="inlineStr">
        <is>
          <t>Nelco Limited</t>
        </is>
      </c>
      <c r="C128" s="37" t="inlineStr">
        <is>
          <t>Technology</t>
        </is>
      </c>
      <c r="D128" s="38" t="inlineStr">
        <is>
          <t>2026-07-01</t>
        </is>
      </c>
    </row>
    <row r="129">
      <c r="A129" s="36" t="inlineStr">
        <is>
          <t>NETWEB</t>
        </is>
      </c>
      <c r="B129" s="37" t="inlineStr">
        <is>
          <t>NETWEB</t>
        </is>
      </c>
      <c r="C129" s="37" t="inlineStr">
        <is>
          <t>unknown</t>
        </is>
      </c>
      <c r="D129" s="38" t="inlineStr">
        <is>
          <t>2026-07-01</t>
        </is>
      </c>
    </row>
    <row r="130">
      <c r="A130" s="36" t="inlineStr">
        <is>
          <t>NGLFINE</t>
        </is>
      </c>
      <c r="B130" s="37" t="inlineStr">
        <is>
          <t>NGL Fine-Chem Limited</t>
        </is>
      </c>
      <c r="C130" s="37" t="inlineStr">
        <is>
          <t>Healthcare</t>
        </is>
      </c>
      <c r="D130" s="38" t="inlineStr">
        <is>
          <t>2026-07-01</t>
        </is>
      </c>
    </row>
    <row r="131">
      <c r="A131" s="36" t="inlineStr">
        <is>
          <t>NIBE</t>
        </is>
      </c>
      <c r="B131" s="37" t="inlineStr">
        <is>
          <t>Nibe Limited</t>
        </is>
      </c>
      <c r="C131" s="37" t="inlineStr">
        <is>
          <t>Industrials</t>
        </is>
      </c>
      <c r="D131" s="38" t="inlineStr">
        <is>
          <t>2026-07-01</t>
        </is>
      </c>
    </row>
    <row r="132">
      <c r="A132" s="36" t="inlineStr">
        <is>
          <t>NITTAGELA</t>
        </is>
      </c>
      <c r="B132" s="37" t="inlineStr">
        <is>
          <t>NITTAGELA</t>
        </is>
      </c>
      <c r="C132" s="37" t="inlineStr">
        <is>
          <t>unknown</t>
        </is>
      </c>
      <c r="D132" s="38" t="inlineStr">
        <is>
          <t>2026-07-01</t>
        </is>
      </c>
    </row>
    <row r="133">
      <c r="A133" s="36" t="inlineStr">
        <is>
          <t>NSLNISP</t>
        </is>
      </c>
      <c r="B133" s="37" t="inlineStr">
        <is>
          <t>NSLNISP</t>
        </is>
      </c>
      <c r="C133" s="37" t="inlineStr">
        <is>
          <t>unknown</t>
        </is>
      </c>
      <c r="D133" s="38" t="inlineStr">
        <is>
          <t>2026-07-01</t>
        </is>
      </c>
    </row>
    <row r="134">
      <c r="A134" s="36" t="inlineStr">
        <is>
          <t>OBSCP</t>
        </is>
      </c>
      <c r="B134" s="37" t="inlineStr">
        <is>
          <t>OBSCP</t>
        </is>
      </c>
      <c r="C134" s="37" t="inlineStr">
        <is>
          <t>unknown</t>
        </is>
      </c>
      <c r="D134" s="38" t="inlineStr">
        <is>
          <t>2026-07-01</t>
        </is>
      </c>
    </row>
    <row r="135">
      <c r="A135" s="36" t="inlineStr">
        <is>
          <t>ONEGLOBAL</t>
        </is>
      </c>
      <c r="B135" s="37" t="inlineStr">
        <is>
          <t>ONEGLOBAL</t>
        </is>
      </c>
      <c r="C135" s="37" t="inlineStr">
        <is>
          <t>unknown</t>
        </is>
      </c>
      <c r="D135" s="38" t="inlineStr">
        <is>
          <t>2026-07-01</t>
        </is>
      </c>
    </row>
    <row r="136">
      <c r="A136" s="36" t="inlineStr">
        <is>
          <t>ONIXSOLAR</t>
        </is>
      </c>
      <c r="B136" s="37" t="inlineStr">
        <is>
          <t>ONIXSOLAR</t>
        </is>
      </c>
      <c r="C136" s="37" t="inlineStr">
        <is>
          <t>unknown</t>
        </is>
      </c>
      <c r="D136" s="38" t="inlineStr">
        <is>
          <t>2026-07-01</t>
        </is>
      </c>
    </row>
    <row r="137">
      <c r="A137" s="36" t="inlineStr">
        <is>
          <t>PARAS</t>
        </is>
      </c>
      <c r="B137" s="37" t="inlineStr">
        <is>
          <t>Paras Defence and Space Technologies Limited</t>
        </is>
      </c>
      <c r="C137" s="37" t="inlineStr">
        <is>
          <t>Industrials</t>
        </is>
      </c>
      <c r="D137" s="38" t="inlineStr">
        <is>
          <t>2026-07-01</t>
        </is>
      </c>
    </row>
    <row r="138">
      <c r="A138" s="36" t="inlineStr">
        <is>
          <t>PGHL</t>
        </is>
      </c>
      <c r="B138" s="37" t="inlineStr">
        <is>
          <t>Procter &amp; Gamble Health Limited</t>
        </is>
      </c>
      <c r="C138" s="37" t="inlineStr">
        <is>
          <t>Healthcare</t>
        </is>
      </c>
      <c r="D138" s="38" t="inlineStr">
        <is>
          <t>2026-07-01</t>
        </is>
      </c>
    </row>
    <row r="139">
      <c r="A139" s="36" t="inlineStr">
        <is>
          <t>POWERINDIA</t>
        </is>
      </c>
      <c r="B139" s="37" t="inlineStr">
        <is>
          <t>POWERINDIA</t>
        </is>
      </c>
      <c r="C139" s="37" t="inlineStr">
        <is>
          <t>unknown</t>
        </is>
      </c>
      <c r="D139" s="38" t="inlineStr">
        <is>
          <t>2026-07-01</t>
        </is>
      </c>
    </row>
    <row r="140">
      <c r="A140" s="36" t="inlineStr">
        <is>
          <t>PRECWIRE</t>
        </is>
      </c>
      <c r="B140" s="37" t="inlineStr">
        <is>
          <t>PRECWIRE</t>
        </is>
      </c>
      <c r="C140" s="37" t="inlineStr">
        <is>
          <t>unknown</t>
        </is>
      </c>
      <c r="D140" s="38" t="inlineStr">
        <is>
          <t>2026-07-01</t>
        </is>
      </c>
    </row>
    <row r="141">
      <c r="A141" s="36" t="inlineStr">
        <is>
          <t>PREMIERENE</t>
        </is>
      </c>
      <c r="B141" s="37" t="inlineStr">
        <is>
          <t>PREMIERENE</t>
        </is>
      </c>
      <c r="C141" s="37" t="inlineStr">
        <is>
          <t>unknown</t>
        </is>
      </c>
      <c r="D141" s="38" t="inlineStr">
        <is>
          <t>2026-07-01</t>
        </is>
      </c>
    </row>
    <row r="142">
      <c r="A142" s="36" t="inlineStr">
        <is>
          <t>PTCIL</t>
        </is>
      </c>
      <c r="B142" s="37" t="inlineStr">
        <is>
          <t>PTCIL</t>
        </is>
      </c>
      <c r="C142" s="37" t="inlineStr">
        <is>
          <t>unknown</t>
        </is>
      </c>
      <c r="D142" s="38" t="inlineStr">
        <is>
          <t>2026-07-01</t>
        </is>
      </c>
    </row>
    <row r="143">
      <c r="A143" s="36" t="inlineStr">
        <is>
          <t>RAIN</t>
        </is>
      </c>
      <c r="B143" s="37" t="inlineStr">
        <is>
          <t>RAIN</t>
        </is>
      </c>
      <c r="C143" s="37" t="inlineStr">
        <is>
          <t>unknown</t>
        </is>
      </c>
      <c r="D143" s="38" t="inlineStr">
        <is>
          <t>2026-07-01</t>
        </is>
      </c>
    </row>
    <row r="144">
      <c r="A144" s="36" t="inlineStr">
        <is>
          <t>REFEX</t>
        </is>
      </c>
      <c r="B144" s="37" t="inlineStr">
        <is>
          <t>REFEX</t>
        </is>
      </c>
      <c r="C144" s="37" t="inlineStr">
        <is>
          <t>unknown</t>
        </is>
      </c>
      <c r="D144" s="38" t="inlineStr">
        <is>
          <t>2026-07-01</t>
        </is>
      </c>
    </row>
    <row r="145">
      <c r="A145" s="36" t="inlineStr">
        <is>
          <t>SAKAR</t>
        </is>
      </c>
      <c r="B145" s="37" t="inlineStr">
        <is>
          <t>SAKAR</t>
        </is>
      </c>
      <c r="C145" s="37" t="inlineStr">
        <is>
          <t>unknown</t>
        </is>
      </c>
      <c r="D145" s="38" t="inlineStr">
        <is>
          <t>2026-07-01</t>
        </is>
      </c>
    </row>
    <row r="146">
      <c r="A146" s="36" t="inlineStr">
        <is>
          <t>SANDHAR</t>
        </is>
      </c>
      <c r="B146" s="37" t="inlineStr">
        <is>
          <t>Sandhar Technologies Limited</t>
        </is>
      </c>
      <c r="C146" s="37" t="inlineStr">
        <is>
          <t>Consumer Cyclical</t>
        </is>
      </c>
      <c r="D146" s="38" t="inlineStr">
        <is>
          <t>2026-07-01</t>
        </is>
      </c>
    </row>
    <row r="147">
      <c r="A147" s="36" t="inlineStr">
        <is>
          <t>SAREGAMA</t>
        </is>
      </c>
      <c r="B147" s="37" t="inlineStr">
        <is>
          <t>Saregama India Limited</t>
        </is>
      </c>
      <c r="C147" s="37" t="inlineStr">
        <is>
          <t>Communication Services</t>
        </is>
      </c>
      <c r="D147" s="38" t="inlineStr">
        <is>
          <t>2026-06-30</t>
        </is>
      </c>
    </row>
    <row r="148">
      <c r="A148" s="36" t="inlineStr">
        <is>
          <t>SASKEN</t>
        </is>
      </c>
      <c r="B148" s="37" t="inlineStr">
        <is>
          <t>SASKEN</t>
        </is>
      </c>
      <c r="C148" s="37" t="inlineStr">
        <is>
          <t>unknown</t>
        </is>
      </c>
      <c r="D148" s="38" t="inlineStr">
        <is>
          <t>2026-07-01</t>
        </is>
      </c>
    </row>
    <row r="149">
      <c r="A149" s="36" t="inlineStr">
        <is>
          <t>SEAMECLTD</t>
        </is>
      </c>
      <c r="B149" s="37" t="inlineStr">
        <is>
          <t>SEAMECLTD</t>
        </is>
      </c>
      <c r="C149" s="37" t="inlineStr">
        <is>
          <t>unknown</t>
        </is>
      </c>
      <c r="D149" s="38" t="inlineStr">
        <is>
          <t>2026-07-01</t>
        </is>
      </c>
    </row>
    <row r="150">
      <c r="A150" s="36" t="inlineStr">
        <is>
          <t>SFL</t>
        </is>
      </c>
      <c r="B150" s="37" t="inlineStr">
        <is>
          <t>Sheela Foam Limited</t>
        </is>
      </c>
      <c r="C150" s="37" t="inlineStr">
        <is>
          <t>Consumer Cyclical</t>
        </is>
      </c>
      <c r="D150" s="38" t="inlineStr">
        <is>
          <t>2026-07-01</t>
        </is>
      </c>
    </row>
    <row r="151">
      <c r="A151" s="36" t="inlineStr">
        <is>
          <t>SHILPAMED</t>
        </is>
      </c>
      <c r="B151" s="37" t="inlineStr">
        <is>
          <t>Shilpa Medicare Limited</t>
        </is>
      </c>
      <c r="C151" s="37" t="inlineStr">
        <is>
          <t>Healthcare</t>
        </is>
      </c>
      <c r="D151" s="38" t="inlineStr">
        <is>
          <t>2026-07-01</t>
        </is>
      </c>
    </row>
    <row r="152">
      <c r="A152" s="36" t="inlineStr">
        <is>
          <t>SIGNPOST</t>
        </is>
      </c>
      <c r="B152" s="37" t="inlineStr">
        <is>
          <t>Signpost India Limited</t>
        </is>
      </c>
      <c r="C152" s="37" t="inlineStr">
        <is>
          <t>Communication Services</t>
        </is>
      </c>
      <c r="D152" s="38" t="inlineStr">
        <is>
          <t>2026-07-01</t>
        </is>
      </c>
    </row>
    <row r="153">
      <c r="A153" s="36" t="inlineStr">
        <is>
          <t>SIS</t>
        </is>
      </c>
      <c r="B153" s="37" t="inlineStr">
        <is>
          <t>SIS</t>
        </is>
      </c>
      <c r="C153" s="37" t="inlineStr">
        <is>
          <t>unknown</t>
        </is>
      </c>
      <c r="D153" s="38" t="inlineStr">
        <is>
          <t>2026-07-01</t>
        </is>
      </c>
    </row>
    <row r="154">
      <c r="A154" s="36" t="inlineStr">
        <is>
          <t>SJS</t>
        </is>
      </c>
      <c r="B154" s="37" t="inlineStr">
        <is>
          <t>S.J.S. Enterprises Limited</t>
        </is>
      </c>
      <c r="C154" s="37" t="inlineStr">
        <is>
          <t>Consumer Cyclical</t>
        </is>
      </c>
      <c r="D154" s="38" t="inlineStr">
        <is>
          <t>2026-06-30</t>
        </is>
      </c>
    </row>
    <row r="155">
      <c r="A155" s="36" t="inlineStr">
        <is>
          <t>SKIPPER</t>
        </is>
      </c>
      <c r="B155" s="37" t="inlineStr">
        <is>
          <t>Skipper Limited</t>
        </is>
      </c>
      <c r="C155" s="37" t="inlineStr">
        <is>
          <t>Industrials</t>
        </is>
      </c>
      <c r="D155" s="38" t="inlineStr">
        <is>
          <t>2026-07-01</t>
        </is>
      </c>
    </row>
    <row r="156">
      <c r="A156" s="36" t="inlineStr">
        <is>
          <t>SPAL</t>
        </is>
      </c>
      <c r="B156" s="37" t="inlineStr">
        <is>
          <t>S.P. Apparels Limited</t>
        </is>
      </c>
      <c r="C156" s="37" t="inlineStr">
        <is>
          <t>Consumer Cyclical</t>
        </is>
      </c>
      <c r="D156" s="38" t="inlineStr">
        <is>
          <t>2026-06-30</t>
        </is>
      </c>
    </row>
    <row r="157">
      <c r="A157" s="36" t="inlineStr">
        <is>
          <t>SPARC</t>
        </is>
      </c>
      <c r="B157" s="37" t="inlineStr">
        <is>
          <t>Sun Pharma Advanced Research Company Limited</t>
        </is>
      </c>
      <c r="C157" s="37" t="inlineStr">
        <is>
          <t>Healthcare</t>
        </is>
      </c>
      <c r="D157" s="38" t="inlineStr">
        <is>
          <t>2026-07-01</t>
        </is>
      </c>
    </row>
    <row r="158">
      <c r="A158" s="36" t="inlineStr">
        <is>
          <t>STLTECH</t>
        </is>
      </c>
      <c r="B158" s="37" t="inlineStr">
        <is>
          <t>STLTECH</t>
        </is>
      </c>
      <c r="C158" s="37" t="inlineStr">
        <is>
          <t>unknown</t>
        </is>
      </c>
      <c r="D158" s="38" t="inlineStr">
        <is>
          <t>2026-07-01</t>
        </is>
      </c>
    </row>
    <row r="159">
      <c r="A159" s="36" t="inlineStr">
        <is>
          <t>STOVEKRAFT</t>
        </is>
      </c>
      <c r="B159" s="37" t="inlineStr">
        <is>
          <t>Stove Kraft Limited</t>
        </is>
      </c>
      <c r="C159" s="37" t="inlineStr">
        <is>
          <t>Consumer Cyclical</t>
        </is>
      </c>
      <c r="D159" s="38" t="inlineStr">
        <is>
          <t>2026-07-01</t>
        </is>
      </c>
    </row>
    <row r="160">
      <c r="A160" s="36" t="inlineStr">
        <is>
          <t>SUNRAKSHAK</t>
        </is>
      </c>
      <c r="B160" s="37" t="inlineStr">
        <is>
          <t>SUNRAKSHAK</t>
        </is>
      </c>
      <c r="C160" s="37" t="inlineStr">
        <is>
          <t>unknown</t>
        </is>
      </c>
      <c r="D160" s="38" t="inlineStr">
        <is>
          <t>2026-07-01</t>
        </is>
      </c>
    </row>
    <row r="161">
      <c r="A161" s="36" t="inlineStr">
        <is>
          <t>SUPRIYA</t>
        </is>
      </c>
      <c r="B161" s="37" t="inlineStr">
        <is>
          <t>Supriya Lifescience Limited</t>
        </is>
      </c>
      <c r="C161" s="37" t="inlineStr">
        <is>
          <t>Healthcare</t>
        </is>
      </c>
      <c r="D161" s="38" t="inlineStr">
        <is>
          <t>2026-07-01</t>
        </is>
      </c>
    </row>
    <row r="162">
      <c r="A162" s="36" t="inlineStr">
        <is>
          <t>TBZ</t>
        </is>
      </c>
      <c r="B162" s="37" t="inlineStr">
        <is>
          <t>Tribhovandas Bhimji Zaveri Limited</t>
        </is>
      </c>
      <c r="C162" s="37" t="inlineStr">
        <is>
          <t>Consumer Cyclical</t>
        </is>
      </c>
      <c r="D162" s="38" t="inlineStr">
        <is>
          <t>2026-07-01</t>
        </is>
      </c>
    </row>
    <row r="163">
      <c r="A163" s="36" t="inlineStr">
        <is>
          <t>THELEELA</t>
        </is>
      </c>
      <c r="B163" s="37" t="inlineStr">
        <is>
          <t>Leela Palaces Hotels &amp; Resorts Limited</t>
        </is>
      </c>
      <c r="C163" s="37" t="inlineStr">
        <is>
          <t>Consumer Cyclical</t>
        </is>
      </c>
      <c r="D163" s="38" t="inlineStr">
        <is>
          <t>2026-07-01</t>
        </is>
      </c>
    </row>
    <row r="164">
      <c r="A164" s="36" t="inlineStr">
        <is>
          <t>UNIPARTS</t>
        </is>
      </c>
      <c r="B164" s="37" t="inlineStr">
        <is>
          <t>Uniparts India Limited</t>
        </is>
      </c>
      <c r="C164" s="37" t="inlineStr">
        <is>
          <t>Industrials</t>
        </is>
      </c>
      <c r="D164" s="38" t="inlineStr">
        <is>
          <t>2026-07-01</t>
        </is>
      </c>
    </row>
    <row r="165">
      <c r="A165" s="36" t="inlineStr">
        <is>
          <t>UNIVCABLES</t>
        </is>
      </c>
      <c r="B165" s="37" t="inlineStr">
        <is>
          <t>UNIVCABLES</t>
        </is>
      </c>
      <c r="C165" s="37" t="inlineStr">
        <is>
          <t>unknown</t>
        </is>
      </c>
      <c r="D165" s="38" t="inlineStr">
        <is>
          <t>2026-07-01</t>
        </is>
      </c>
    </row>
    <row r="166">
      <c r="A166" s="36" t="inlineStr">
        <is>
          <t>V2RETAIL</t>
        </is>
      </c>
      <c r="B166" s="37" t="inlineStr">
        <is>
          <t>V2 Retail Limited</t>
        </is>
      </c>
      <c r="C166" s="37" t="inlineStr">
        <is>
          <t>Consumer Cyclical</t>
        </is>
      </c>
      <c r="D166" s="38" t="inlineStr">
        <is>
          <t>2026-07-01</t>
        </is>
      </c>
    </row>
    <row r="167">
      <c r="A167" s="36" t="inlineStr">
        <is>
          <t>VALIANT</t>
        </is>
      </c>
      <c r="B167" s="37" t="inlineStr">
        <is>
          <t>VALIANT</t>
        </is>
      </c>
      <c r="C167" s="37" t="inlineStr">
        <is>
          <t>unknown</t>
        </is>
      </c>
      <c r="D167" s="38" t="inlineStr">
        <is>
          <t>2026-07-01</t>
        </is>
      </c>
    </row>
    <row r="168">
      <c r="A168" s="36" t="inlineStr">
        <is>
          <t>VEDL</t>
        </is>
      </c>
      <c r="B168" s="37" t="inlineStr">
        <is>
          <t>VEDL</t>
        </is>
      </c>
      <c r="C168" s="37" t="inlineStr">
        <is>
          <t>unknown</t>
        </is>
      </c>
      <c r="D168" s="38" t="inlineStr">
        <is>
          <t>2026-07-01</t>
        </is>
      </c>
    </row>
    <row r="169">
      <c r="A169" s="36" t="inlineStr">
        <is>
          <t>VENUSPIPES</t>
        </is>
      </c>
      <c r="B169" s="37" t="inlineStr">
        <is>
          <t>Venus Pipes and Tubes Limited</t>
        </is>
      </c>
      <c r="C169" s="37" t="inlineStr">
        <is>
          <t>Basic Materials</t>
        </is>
      </c>
      <c r="D169" s="38" t="inlineStr">
        <is>
          <t>2026-07-01</t>
        </is>
      </c>
    </row>
    <row r="170">
      <c r="A170" s="36" t="inlineStr">
        <is>
          <t>VENUSREM</t>
        </is>
      </c>
      <c r="B170" s="37" t="inlineStr">
        <is>
          <t>Venus Remedies Limited</t>
        </is>
      </c>
      <c r="C170" s="37" t="inlineStr">
        <is>
          <t>Healthcare</t>
        </is>
      </c>
      <c r="D170" s="38" t="inlineStr">
        <is>
          <t>2026-07-01</t>
        </is>
      </c>
    </row>
    <row r="171">
      <c r="A171" s="36" t="inlineStr">
        <is>
          <t>VERANDA</t>
        </is>
      </c>
      <c r="B171" s="37" t="inlineStr">
        <is>
          <t>Veranda Learning Solutions Limited</t>
        </is>
      </c>
      <c r="C171" s="37" t="inlineStr">
        <is>
          <t>Consumer Defensive</t>
        </is>
      </c>
      <c r="D171" s="38" t="inlineStr">
        <is>
          <t>2026-07-01</t>
        </is>
      </c>
    </row>
    <row r="172">
      <c r="A172" s="36" t="inlineStr">
        <is>
          <t>WELCORP</t>
        </is>
      </c>
      <c r="B172" s="37" t="inlineStr">
        <is>
          <t>Welspun Corp Limited</t>
        </is>
      </c>
      <c r="C172" s="37" t="inlineStr">
        <is>
          <t>Basic Materials</t>
        </is>
      </c>
      <c r="D172" s="38" t="inlineStr">
        <is>
          <t>2026-07-01</t>
        </is>
      </c>
    </row>
    <row r="173">
      <c r="A173" s="36" t="inlineStr">
        <is>
          <t>YASHHV</t>
        </is>
      </c>
      <c r="B173" s="37" t="inlineStr">
        <is>
          <t>YASHHV</t>
        </is>
      </c>
      <c r="C173" s="37" t="inlineStr">
        <is>
          <t>unknown</t>
        </is>
      </c>
      <c r="D173" s="38" t="inlineStr">
        <is>
          <t>2026-07-01</t>
        </is>
      </c>
    </row>
    <row r="174">
      <c r="A174" s="36" t="inlineStr">
        <is>
          <t>YASHO</t>
        </is>
      </c>
      <c r="B174" s="37" t="inlineStr">
        <is>
          <t>Yasho Industries Limited</t>
        </is>
      </c>
      <c r="C174" s="37" t="inlineStr">
        <is>
          <t>Basic Materials</t>
        </is>
      </c>
      <c r="D174" s="38" t="inlineStr">
        <is>
          <t>2026-07-01</t>
        </is>
      </c>
    </row>
  </sheetData>
  <autoFilter ref="A1:CG91"/>
  <conditionalFormatting sqref="B2:B9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1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1">
    <cfRule type="cellIs" priority="37" operator="equal" dxfId="3" stopIfTrue="1">
      <formula>"Underperforming"</formula>
    </cfRule>
  </conditionalFormatting>
  <conditionalFormatting sqref="N2:N91">
    <cfRule type="cellIs" priority="38" operator="equal" dxfId="3" stopIfTrue="1">
      <formula>-5</formula>
    </cfRule>
  </conditionalFormatting>
  <conditionalFormatting sqref="Q2:Q91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1" showDropDown="0" showInputMessage="0" showErrorMessage="0" allowBlank="1" type="list">
      <formula1>"Growing Industry,Stagnant Industry,Cyclical in an Upturn"</formula1>
    </dataValidation>
    <dataValidation sqref="Z2:Z9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1" showDropDown="0" showInputMessage="0" showErrorMessage="0" allowBlank="1" type="list">
      <formula1>"Yes,No"</formula1>
    </dataValidation>
    <dataValidation sqref="AD2:AD91" showDropDown="0" showInputMessage="0" showErrorMessage="0" allowBlank="1" type="list">
      <formula1>"Tailwind,Headwind"</formula1>
    </dataValidation>
    <dataValidation sqref="AF2:AF91" showDropDown="0" showInputMessage="0" showErrorMessage="0" allowBlank="1" type="list">
      <formula1>"Structural (10 Years Consistency),Shallow Cyclical (2 to 3 Years Growth),Cyclical"</formula1>
    </dataValidation>
    <dataValidation sqref="AH2:AH91" showDropDown="0" showInputMessage="0" showErrorMessage="0" allowBlank="1" type="list">
      <formula1>"Yes due to Product Mix change or Operating Leverage,Yes, these are peak margins,No"</formula1>
    </dataValidation>
    <dataValidation sqref="AJ2:AJ91" showDropDown="0" showInputMessage="0" showErrorMessage="0" allowBlank="1" type="list">
      <formula1>"Stable,Volatile"</formula1>
    </dataValidation>
    <dataValidation sqref="AL2:AL91" showDropDown="0" showInputMessage="0" showErrorMessage="0" allowBlank="1" type="list">
      <formula1>"Yes,No"</formula1>
    </dataValidation>
    <dataValidation sqref="AN2:AN91" showDropDown="0" showInputMessage="0" showErrorMessage="0" allowBlank="1" type="list">
      <formula1>"B2C,B2B,B2G"</formula1>
    </dataValidation>
    <dataValidation sqref="AP2:AP91" showDropDown="0" showInputMessage="0" showErrorMessage="0" allowBlank="1" type="list">
      <formula1>"Yes,No"</formula1>
    </dataValidation>
    <dataValidation sqref="AR2:AR91" showDropDown="0" showInputMessage="0" showErrorMessage="0" allowBlank="1" type="list">
      <formula1>"Fully Annuity,Higher Annuity, Lower One time,Higher One Time, Lower Annuity,Fully One Time"</formula1>
    </dataValidation>
    <dataValidation sqref="AT2:AT91" showDropDown="0" showInputMessage="0" showErrorMessage="0" allowBlank="1" type="list">
      <formula1>"Good,Allocated capital in Non-core Areas"</formula1>
    </dataValidation>
    <dataValidation sqref="AV2:AV91" showDropDown="0" showInputMessage="0" showErrorMessage="0" allowBlank="1" type="list">
      <formula1>"Yes for more than 2 years,Yes only for next 1 to 2 years,No"</formula1>
    </dataValidation>
    <dataValidation sqref="AX2:AX91" showDropDown="0" showInputMessage="0" showErrorMessage="0" allowBlank="1" type="list">
      <formula1>"Above 40,20 to 40,0 to 20"</formula1>
    </dataValidation>
    <dataValidation sqref="AZ2:AZ91" showDropDown="0" showInputMessage="0" showErrorMessage="0" allowBlank="1" type="list">
      <formula1>"Between 50 to 75,Above 75,Below 45"</formula1>
    </dataValidation>
    <dataValidation sqref="BB2:BB91" showDropDown="0" showInputMessage="0" showErrorMessage="0" allowBlank="1" type="list">
      <formula1>"Stage 1,Stage 2,Stage 3,Stage 4"</formula1>
    </dataValidation>
    <dataValidation sqref="BD2:BD91" showDropDown="0" showInputMessage="0" showErrorMessage="0" allowBlank="1" type="list">
      <formula1>"Positive Trend,Negative Trend"</formula1>
    </dataValidation>
    <dataValidation sqref="BF2:BF91" showDropDown="0" showInputMessage="0" showErrorMessage="0" allowBlank="1" type="list">
      <formula1>"Uptrend,Sideways,Downtrend"</formula1>
    </dataValidation>
    <dataValidation sqref="BH2:BH91" showDropDown="0" showInputMessage="0" showErrorMessage="0" allowBlank="1" type="list">
      <formula1>"Uptrend,Sideways,Downtrend"</formula1>
    </dataValidation>
    <dataValidation sqref="BJ2:BJ9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1" showDropDown="0" showInputMessage="0" showErrorMessage="0" allowBlank="1" type="list">
      <formula1>"Yes,No"</formula1>
    </dataValidation>
    <dataValidation sqref="BN2:BN91" showDropDown="0" showInputMessage="0" showErrorMessage="0" allowBlank="1" type="list">
      <formula1>"More than 20%,Between 12 to 20%,Less than 12%"</formula1>
    </dataValidation>
    <dataValidation sqref="BP2:BP91" showDropDown="0" showInputMessage="0" showErrorMessage="0" allowBlank="1" type="list">
      <formula1>"Yes,No"</formula1>
    </dataValidation>
    <dataValidation sqref="BR2:BR91" showDropDown="0" showInputMessage="0" showErrorMessage="0" allowBlank="1" type="list">
      <formula1>"Yes,No"</formula1>
    </dataValidation>
    <dataValidation sqref="BT2:BT91" showDropDown="0" showInputMessage="0" showErrorMessage="0" allowBlank="1" type="list">
      <formula1>"Above 2,Between 1.5 to 2,Less than 1.5"</formula1>
    </dataValidation>
    <dataValidation sqref="BV2:BV91" showDropDown="0" showInputMessage="0" showErrorMessage="0" allowBlank="1" type="list">
      <formula1>"Above 70%,Between 50% to 70%,Less than 50%,Less than 50% and Borrowings are increasing,Negative"</formula1>
    </dataValidation>
    <dataValidation sqref="BX2:BX91" showDropDown="0" showInputMessage="0" showErrorMessage="0" allowBlank="1" type="list">
      <formula1>"More than 1.2,Between 0.7 to 1.2,Less than 0.7"</formula1>
    </dataValidation>
    <dataValidation sqref="BZ2:BZ91" showDropDown="0" showInputMessage="0" showErrorMessage="0" allowBlank="1" type="list">
      <formula1>"Yes,No"</formula1>
    </dataValidation>
    <dataValidation sqref="CB2:CB91" showDropDown="0" showInputMessage="0" showErrorMessage="0" allowBlank="1" type="list">
      <formula1>"More than 15%,Less than 15%"</formula1>
    </dataValidation>
    <dataValidation sqref="CD2:CD9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C1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IF(B2=0,"",RANK(B2,$B$2:$B$11,0))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SATIN</t>
        </is>
      </c>
      <c r="D2" s="31" t="inlineStr">
        <is>
          <t>Satin Creditcare Network Ltd</t>
        </is>
      </c>
      <c r="E2" s="31" t="inlineStr">
        <is>
          <t>financials</t>
        </is>
      </c>
      <c r="F2" s="31" t="inlineStr">
        <is>
          <t>Finance &amp; Investments - Microfinance</t>
        </is>
      </c>
      <c r="G2" s="31" t="inlineStr">
        <is>
          <t>smallcap</t>
        </is>
      </c>
      <c r="H2" s="32" t="n">
        <v>2779.78</v>
      </c>
      <c r="I2" s="32" t="n">
        <v>251.63</v>
      </c>
      <c r="J2" s="32" t="n">
        <v>2.33</v>
      </c>
      <c r="K2" s="32" t="n">
        <v>0</v>
      </c>
      <c r="L2" s="31" t="n">
        <v>82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72.93000000000001</v>
      </c>
      <c r="P2" s="32" t="n">
        <v>55.69</v>
      </c>
      <c r="Q2" s="32" t="n">
        <v>195.97</v>
      </c>
      <c r="R2" s="31" t="inlineStr">
        <is>
          <t>Near 52W High Breakout</t>
        </is>
      </c>
      <c r="S2" s="31" t="inlineStr">
        <is>
          <t>Nifty Bank</t>
        </is>
      </c>
      <c r="T2" s="32" t="n">
        <v>1.76</v>
      </c>
      <c r="U2" s="32" t="n">
        <v>45.73</v>
      </c>
      <c r="V2" s="32" t="n">
        <v>43.21</v>
      </c>
      <c r="W2" s="32" t="n">
        <v>25.9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18</t>
        </is>
      </c>
      <c r="CC2" s="31">
        <f>IF(CB2&gt;20,10,IF(CB2&gt;=10,5,2))</f>
        <v/>
      </c>
    </row>
    <row r="3">
      <c r="A3" s="31">
        <f>IF(B3=0,"",RANK(B3,$B$2:$B$11,0))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MAHABANK</t>
        </is>
      </c>
      <c r="D3" s="31" t="inlineStr">
        <is>
          <t>Bank of Maharashtra</t>
        </is>
      </c>
      <c r="E3" s="31" t="inlineStr">
        <is>
          <t>bank</t>
        </is>
      </c>
      <c r="F3" s="31" t="inlineStr">
        <is>
          <t>Banks - PSU</t>
        </is>
      </c>
      <c r="G3" s="31" t="inlineStr">
        <is>
          <t>largecap</t>
        </is>
      </c>
      <c r="H3" s="32" t="n">
        <v>70146.98</v>
      </c>
      <c r="I3" s="32" t="n">
        <v>91.2</v>
      </c>
      <c r="J3" s="32" t="n">
        <v>-0.26</v>
      </c>
      <c r="K3" s="32" t="n">
        <v>0</v>
      </c>
      <c r="L3" s="31" t="n">
        <v>72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72.44</v>
      </c>
      <c r="P3" s="32" t="n">
        <v>50.39</v>
      </c>
      <c r="Q3" s="32" t="n">
        <v>75.05</v>
      </c>
      <c r="R3" s="31" t="inlineStr">
        <is>
          <t>Near 52W High Breakout</t>
        </is>
      </c>
      <c r="S3" s="31" t="inlineStr">
        <is>
          <t>Nifty Bank</t>
        </is>
      </c>
      <c r="T3" s="32" t="n">
        <v>1.76</v>
      </c>
      <c r="U3" s="32" t="n">
        <v>63.5</v>
      </c>
      <c r="V3" s="32" t="n">
        <v>60.68</v>
      </c>
      <c r="W3" s="32" t="n">
        <v>20.55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17</t>
        </is>
      </c>
      <c r="CC3" s="31">
        <f>IF(CB3&gt;20,10,IF(CB3&gt;=10,5,2))</f>
        <v/>
      </c>
    </row>
    <row r="4">
      <c r="A4" s="31">
        <f>IF(B4=0,"",RANK(B4,$B$2:$B$11,0))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SGFIN</t>
        </is>
      </c>
      <c r="D4" s="31" t="inlineStr">
        <is>
          <t>SG Finserve Ltd</t>
        </is>
      </c>
      <c r="E4" s="31" t="inlineStr">
        <is>
          <t>Financial Services</t>
        </is>
      </c>
      <c r="F4" s="31" t="inlineStr">
        <is>
          <t>Finance &amp; Investments - MSME Lending</t>
        </is>
      </c>
      <c r="G4" s="31" t="inlineStr">
        <is>
          <t>smallcap</t>
        </is>
      </c>
      <c r="H4" s="32" t="n">
        <v>4355.33</v>
      </c>
      <c r="I4" s="32" t="n">
        <v>660.95</v>
      </c>
      <c r="J4" s="32" t="n">
        <v>7.23</v>
      </c>
      <c r="K4" s="32" t="n">
        <v>0</v>
      </c>
      <c r="L4" s="31" t="n">
        <v>67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74.90000000000001</v>
      </c>
      <c r="P4" s="32" t="n">
        <v>56.81</v>
      </c>
      <c r="Q4" s="32" t="n">
        <v>508.06</v>
      </c>
      <c r="R4" s="31" t="inlineStr">
        <is>
          <t>Volume Spike &amp; Near 52W High Breakout</t>
        </is>
      </c>
      <c r="S4" s="31" t="inlineStr">
        <is>
          <t>Nifty Bank</t>
        </is>
      </c>
      <c r="T4" s="32" t="n">
        <v>5.51</v>
      </c>
      <c r="U4" s="32" t="n">
        <v>68.56999999999999</v>
      </c>
      <c r="V4" s="32" t="n">
        <v>59.78</v>
      </c>
      <c r="W4" s="32" t="n">
        <v>17.94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20</t>
        </is>
      </c>
      <c r="CC4" s="31">
        <f>IF(CB4&gt;20,10,IF(CB4&gt;=10,5,2))</f>
        <v/>
      </c>
    </row>
    <row r="5">
      <c r="A5" s="31">
        <f>IF(B5=0,"",RANK(B5,$B$2:$B$11,0))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RANEHOLDIN</t>
        </is>
      </c>
      <c r="D5" s="31" t="inlineStr">
        <is>
          <t>Rane Holdings Ltd</t>
        </is>
      </c>
      <c r="E5" s="31" t="inlineStr">
        <is>
          <t>financials</t>
        </is>
      </c>
      <c r="F5" s="31" t="inlineStr">
        <is>
          <t>Finance - Holding Company</t>
        </is>
      </c>
      <c r="G5" s="31" t="inlineStr">
        <is>
          <t>smallcap</t>
        </is>
      </c>
      <c r="H5" s="32" t="n">
        <v>2456.21</v>
      </c>
      <c r="I5" s="32" t="n">
        <v>1720.3</v>
      </c>
      <c r="J5" s="32" t="n">
        <v>3.25</v>
      </c>
      <c r="K5" s="32" t="n">
        <v>0</v>
      </c>
      <c r="L5" s="31" t="n">
        <v>73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70.40000000000001</v>
      </c>
      <c r="P5" s="32" t="n">
        <v>30.26</v>
      </c>
      <c r="Q5" s="32" t="n">
        <v>1283.45</v>
      </c>
      <c r="R5" s="31" t="inlineStr">
        <is>
          <t>Near 52W High Breakout</t>
        </is>
      </c>
      <c r="S5" s="31" t="inlineStr">
        <is>
          <t>Nifty Bank</t>
        </is>
      </c>
      <c r="T5" s="32" t="n">
        <v>1.76</v>
      </c>
      <c r="U5" s="32" t="n">
        <v>11.82</v>
      </c>
      <c r="V5" s="32" t="n">
        <v>9.890000000000001</v>
      </c>
      <c r="W5" s="32" t="n">
        <v>20.7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19</t>
        </is>
      </c>
      <c r="CC5" s="31">
        <f>IF(CB5&gt;20,10,IF(CB5&gt;=10,5,2))</f>
        <v/>
      </c>
    </row>
    <row r="6">
      <c r="A6" s="31">
        <f>IF(B6=0,"",RANK(B6,$B$2:$B$11,0))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PAISALO</t>
        </is>
      </c>
      <c r="D6" s="31" t="inlineStr">
        <is>
          <t>Paisalo Digital Ltd</t>
        </is>
      </c>
      <c r="E6" s="31" t="inlineStr">
        <is>
          <t>financials</t>
        </is>
      </c>
      <c r="F6" s="31" t="inlineStr">
        <is>
          <t>Finance - Capital Markets - Brokers</t>
        </is>
      </c>
      <c r="G6" s="31" t="inlineStr">
        <is>
          <t>midcap</t>
        </is>
      </c>
      <c r="H6" s="32" t="n">
        <v>6443.05</v>
      </c>
      <c r="I6" s="32" t="n">
        <v>70.84</v>
      </c>
      <c r="J6" s="32" t="n">
        <v>19.86</v>
      </c>
      <c r="K6" s="32" t="n">
        <v>0</v>
      </c>
      <c r="L6" s="31" t="n">
        <v>93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83.68000000000001</v>
      </c>
      <c r="P6" s="32" t="n">
        <v>43.86</v>
      </c>
      <c r="Q6" s="32" t="n">
        <v>57</v>
      </c>
      <c r="R6" s="31" t="inlineStr">
        <is>
          <t>Volume Spike &amp; Near 52W High Breakout</t>
        </is>
      </c>
      <c r="S6" s="31" t="inlineStr">
        <is>
          <t>Nifty Bank</t>
        </is>
      </c>
      <c r="T6" s="32" t="n">
        <v>1.76</v>
      </c>
      <c r="U6" s="32" t="n">
        <v>132.78</v>
      </c>
      <c r="V6" s="32" t="n">
        <v>128.77</v>
      </c>
      <c r="W6" s="32" t="n">
        <v>42.96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Above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19</t>
        </is>
      </c>
      <c r="CC6" s="31">
        <f>IF(CB6&gt;20,10,IF(CB6&gt;=10,5,2))</f>
        <v/>
      </c>
    </row>
    <row r="7">
      <c r="A7" s="31">
        <f>IF(B7=0,"",RANK(B7,$B$2:$B$11,0))</f>
        <v/>
      </c>
      <c r="B7" s="32">
        <f>SUM(N7,Y7,AA7,AC7,AE7,AG7,AI7,AK7,AM7,AO7,AQ7,AS7,AU7,AW7,AY7,BA7,BC7,BE7,BG7,BI7,BK7,BM7,BO7,BQ7,BS7,BU7,BW7,BY7,CA7,CC7)</f>
        <v/>
      </c>
      <c r="C7" s="31" t="inlineStr">
        <is>
          <t>CGCL</t>
        </is>
      </c>
      <c r="D7" s="31" t="inlineStr">
        <is>
          <t>Capri Global Capital Ltd</t>
        </is>
      </c>
      <c r="E7" s="31" t="inlineStr">
        <is>
          <t>financials</t>
        </is>
      </c>
      <c r="F7" s="31" t="inlineStr">
        <is>
          <t>Finance &amp; Investments - Gold Loan</t>
        </is>
      </c>
      <c r="G7" s="31" t="inlineStr">
        <is>
          <t>largecap</t>
        </is>
      </c>
      <c r="H7" s="32" t="n">
        <v>21823.58</v>
      </c>
      <c r="I7" s="32" t="n">
        <v>226.82</v>
      </c>
      <c r="J7" s="32" t="n">
        <v>-0.37</v>
      </c>
      <c r="K7" s="32" t="n">
        <v>0</v>
      </c>
      <c r="L7" s="31" t="n">
        <v>55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71.03</v>
      </c>
      <c r="P7" s="32" t="n">
        <v>23.57</v>
      </c>
      <c r="Q7" s="32" t="n">
        <v>186.39</v>
      </c>
      <c r="R7" s="31" t="inlineStr">
        <is>
          <t>Near 52W High Breakout</t>
        </is>
      </c>
      <c r="S7" s="31" t="inlineStr">
        <is>
          <t>Nifty Bank</t>
        </is>
      </c>
      <c r="T7" s="32" t="n">
        <v>1.76</v>
      </c>
      <c r="U7" s="32" t="n">
        <v>36.74</v>
      </c>
      <c r="V7" s="32" t="n">
        <v>34.38</v>
      </c>
      <c r="W7" s="32" t="n">
        <v>14.9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between 2.5x to 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17</t>
        </is>
      </c>
      <c r="CC7" s="31">
        <f>IF(CB7&gt;20,10,IF(CB7&gt;=10,5,2))</f>
        <v/>
      </c>
    </row>
    <row r="8">
      <c r="A8" s="31">
        <f>IF(B8=0,"",RANK(B8,$B$2:$B$11,0))</f>
        <v/>
      </c>
      <c r="B8" s="32">
        <f>SUM(N8,Y8,AA8,AC8,AE8,AG8,AI8,AK8,AM8,AO8,AQ8,AS8,AU8,AW8,AY8,BA8,BC8,BE8,BG8,BI8,BK8,BM8,BO8,BQ8,BS8,BU8,BW8,BY8,CA8,CC8)</f>
        <v/>
      </c>
      <c r="C8" s="31" t="inlineStr">
        <is>
          <t>ANANDRATHI</t>
        </is>
      </c>
      <c r="D8" s="31" t="inlineStr">
        <is>
          <t>Anand Rathi Wealth Ltd</t>
        </is>
      </c>
      <c r="E8" s="31" t="inlineStr">
        <is>
          <t>financials</t>
        </is>
      </c>
      <c r="F8" s="31" t="inlineStr">
        <is>
          <t>Finance - Capital Markets - Wealth Management</t>
        </is>
      </c>
      <c r="G8" s="31" t="inlineStr">
        <is>
          <t>largecap</t>
        </is>
      </c>
      <c r="H8" s="32" t="n">
        <v>32625.45</v>
      </c>
      <c r="I8" s="32" t="n">
        <v>1964.9</v>
      </c>
      <c r="J8" s="32" t="n">
        <v>-0.6</v>
      </c>
      <c r="K8" s="32" t="n">
        <v>0</v>
      </c>
      <c r="L8" s="31" t="n">
        <v>68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74.65000000000001</v>
      </c>
      <c r="P8" s="32" t="n">
        <v>42.71</v>
      </c>
      <c r="Q8" s="32" t="n">
        <v>1671.88</v>
      </c>
      <c r="R8" s="31" t="inlineStr">
        <is>
          <t>Near 52W High Breakout</t>
        </is>
      </c>
      <c r="S8" s="31" t="inlineStr">
        <is>
          <t>Nifty Bank</t>
        </is>
      </c>
      <c r="T8" s="32" t="n">
        <v>1.76</v>
      </c>
      <c r="U8" s="32" t="n">
        <v>87.12</v>
      </c>
      <c r="V8" s="32" t="n">
        <v>83.90000000000001</v>
      </c>
      <c r="W8" s="32" t="n">
        <v>18.66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above 5x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Above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18</t>
        </is>
      </c>
      <c r="CC8" s="31">
        <f>IF(CB8&gt;20,10,IF(CB8&gt;=10,5,2))</f>
        <v/>
      </c>
    </row>
    <row r="9">
      <c r="A9" s="31">
        <f>IF(B9=0,"",RANK(B9,$B$2:$B$11,0))</f>
        <v/>
      </c>
      <c r="B9" s="32">
        <f>SUM(N9,Y9,AA9,AC9,AE9,AG9,AI9,AK9,AM9,AO9,AQ9,AS9,AU9,AW9,AY9,BA9,BC9,BE9,BG9,BI9,BK9,BM9,BO9,BQ9,BS9,BU9,BW9,BY9,CA9,CC9)</f>
        <v/>
      </c>
      <c r="C9" s="34" t="inlineStr">
        <is>
          <t>NAM-INDIA</t>
        </is>
      </c>
      <c r="D9" s="34" t="inlineStr">
        <is>
          <t>Nippon Life India Asset Management Ltd</t>
        </is>
      </c>
      <c r="E9" s="31" t="inlineStr">
        <is>
          <t>financials</t>
        </is>
      </c>
      <c r="F9" s="31" t="inlineStr">
        <is>
          <t>Finance - AMC</t>
        </is>
      </c>
      <c r="G9" s="31" t="inlineStr">
        <is>
          <t>largecap</t>
        </is>
      </c>
      <c r="H9" s="32" t="n">
        <v>76485.36</v>
      </c>
      <c r="I9" s="32" t="n">
        <v>1196.4</v>
      </c>
      <c r="J9" s="32" t="n">
        <v>2.96</v>
      </c>
      <c r="K9" s="32" t="n">
        <v>0</v>
      </c>
      <c r="L9" s="31" t="n">
        <v>71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69.22</v>
      </c>
      <c r="P9" s="32" t="n">
        <v>36.87</v>
      </c>
      <c r="Q9" s="32" t="n">
        <v>959.05</v>
      </c>
      <c r="R9" s="31" t="inlineStr">
        <is>
          <t>Near 52W High Breakout</t>
        </is>
      </c>
      <c r="S9" s="31" t="inlineStr">
        <is>
          <t>Nifty Bank</t>
        </is>
      </c>
      <c r="T9" s="32" t="n">
        <v>1.76</v>
      </c>
      <c r="U9" s="32" t="n">
        <v>56.68</v>
      </c>
      <c r="V9" s="32" t="n">
        <v>53.98</v>
      </c>
      <c r="W9" s="32" t="n">
        <v>19.97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above 5x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  <c r="CB9" s="31" t="inlineStr">
        <is>
          <t>16</t>
        </is>
      </c>
      <c r="CC9" s="31">
        <f>IF(CB9&gt;20,10,IF(CB9&gt;=10,5,2))</f>
        <v/>
      </c>
    </row>
    <row r="10">
      <c r="A10" s="31">
        <f>IF(B10=0,"",RANK(B10,$B$2:$B$11,0))</f>
        <v/>
      </c>
      <c r="B10" s="32">
        <f>SUM(N10,Y10,AA10,AC10,AE10,AG10,AI10,AK10,AM10,AO10,AQ10,AS10,AU10,AW10,AY10,BA10,BC10,BE10,BG10,BI10,BK10,BM10,BO10,BQ10,BS10,BU10,BW10,BY10,CA10,CC10)</f>
        <v/>
      </c>
      <c r="C10" s="34" t="inlineStr">
        <is>
          <t>CHOLAFIN</t>
        </is>
      </c>
      <c r="D10" s="34" t="inlineStr">
        <is>
          <t>Cholamandalam Investment &amp; Finance Company Ltd</t>
        </is>
      </c>
      <c r="E10" s="31" t="inlineStr">
        <is>
          <t>financials</t>
        </is>
      </c>
      <c r="F10" s="31" t="inlineStr">
        <is>
          <t>Conglomerate Backed NBFC</t>
        </is>
      </c>
      <c r="G10" s="31" t="inlineStr">
        <is>
          <t>largecap</t>
        </is>
      </c>
      <c r="H10" s="32" t="n">
        <v>153746.95</v>
      </c>
      <c r="I10" s="32" t="n">
        <v>1803.3</v>
      </c>
      <c r="J10" s="32" t="n">
        <v>0.75</v>
      </c>
      <c r="K10" s="32" t="n">
        <v>0</v>
      </c>
      <c r="L10" s="31" t="n">
        <v>44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61.86</v>
      </c>
      <c r="P10" s="32" t="n">
        <v>11.3</v>
      </c>
      <c r="Q10" s="32" t="n">
        <v>1462.23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1.76</v>
      </c>
      <c r="U10" s="32" t="n">
        <v>18.26</v>
      </c>
      <c r="V10" s="32" t="n">
        <v>16.22</v>
      </c>
      <c r="W10" s="32" t="n">
        <v>11.69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above 5x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0 to 20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  <c r="CB10" s="31" t="inlineStr">
        <is>
          <t>16</t>
        </is>
      </c>
      <c r="CC10" s="31">
        <f>IF(CB10&gt;20,10,IF(CB10&gt;=10,5,2))</f>
        <v/>
      </c>
    </row>
    <row r="11">
      <c r="A11" s="31">
        <f>IF(B11=0,"",RANK(B11,$B$2:$B$11,0))</f>
        <v/>
      </c>
      <c r="B11" s="32">
        <f>SUM(N11,Y11,AA11,AC11,AE11,AG11,AI11,AK11,AM11,AO11,AQ11,AS11,AU11,AW11,AY11,BA11,BC11,BE11,BG11,BI11,BK11,BM11,BO11,BQ11,BS11,BU11,BW11,BY11,CA11,CC11)</f>
        <v/>
      </c>
      <c r="C11" s="31" t="inlineStr">
        <is>
          <t>AADHARHFC</t>
        </is>
      </c>
      <c r="D11" s="31" t="inlineStr">
        <is>
          <t>Aadhar Housing Finance Ltd</t>
        </is>
      </c>
      <c r="E11" s="31" t="inlineStr">
        <is>
          <t>financials</t>
        </is>
      </c>
      <c r="F11" s="31" t="inlineStr">
        <is>
          <t>Finance - Housing</t>
        </is>
      </c>
      <c r="G11" s="31" t="inlineStr">
        <is>
          <t>largecap</t>
        </is>
      </c>
      <c r="H11" s="32" t="n">
        <v>22643.13</v>
      </c>
      <c r="I11" s="32" t="n">
        <v>517.75</v>
      </c>
      <c r="J11" s="32" t="n">
        <v>0.42</v>
      </c>
      <c r="K11" s="32" t="n">
        <v>0</v>
      </c>
      <c r="L11" s="31" t="inlineStr"/>
      <c r="M11" s="31" t="inlineStr"/>
      <c r="N11" s="32">
        <f>IF(M11="Underperforming",-5,IF(L11&gt;=95,15,IF(L11&gt;=90,10,IF(L11&gt;=80,5,0))))</f>
        <v/>
      </c>
      <c r="O11" s="32" t="inlineStr"/>
      <c r="P11" s="32" t="inlineStr"/>
      <c r="Q11" s="32" t="inlineStr"/>
      <c r="R11" s="31" t="inlineStr"/>
      <c r="S11" s="31" t="inlineStr"/>
      <c r="T11" s="32" t="inlineStr"/>
      <c r="U11" s="32" t="inlineStr"/>
      <c r="V11" s="32" t="inlineStr"/>
      <c r="W11" s="32" t="inlineStr"/>
      <c r="X11" s="31" t="n"/>
      <c r="Y11" s="31">
        <f>IF(X11="Growing Industry",10,IF(X11="Cyclical in an Upturn",5,0))</f>
        <v/>
      </c>
      <c r="Z11" s="31" t="n"/>
      <c r="AA11" s="31">
        <f>IF(Z11="Fragmented with Low ROE",-5,IF(Z11="Fragmented with High ROE",10,IF(Z11= "highly cyclical",5,0)))</f>
        <v/>
      </c>
      <c r="AB11" s="31" t="n"/>
      <c r="AC11" s="31">
        <f>IF(AB11="No",5,0)</f>
        <v/>
      </c>
      <c r="AD11" s="31" t="n"/>
      <c r="AE11" s="31">
        <f>IF(AD11="Tailwind",10,0)</f>
        <v/>
      </c>
      <c r="AF11" s="31" t="n"/>
      <c r="AG11" s="31">
        <f>IF(AF11="Structural (10 Years Consistency)",15,IF(AF11="Shallow Cyclical (2 to 3 years growth)",10,IF(AF11 = "Cyclical in an Uptick",5,IF(AF11 = "Cyclical in an Downtick",-10,0))))</f>
        <v/>
      </c>
      <c r="AH11" s="31" t="n"/>
      <c r="AI11" s="31">
        <f>IF(AH11="Yes",10,0)</f>
        <v/>
      </c>
      <c r="AJ11" s="31" t="n"/>
      <c r="AK11" s="31">
        <f>IF(AJ11="Yes",10,0)</f>
        <v/>
      </c>
      <c r="AL11" s="31" t="n"/>
      <c r="AM11" s="31">
        <f>IF(AL11="No",10,0)</f>
        <v/>
      </c>
      <c r="AN11" s="31" t="n"/>
      <c r="AO11" s="31">
        <f>IF(AN11="Yes",10,0)</f>
        <v/>
      </c>
      <c r="AP11" s="31" t="n"/>
      <c r="AQ11" s="31">
        <f>IF(AP11="Yes",10,0)</f>
        <v/>
      </c>
      <c r="AR11" s="31" t="n"/>
      <c r="AS11" s="31">
        <f>IF(AR11="Yes",5,0)</f>
        <v/>
      </c>
      <c r="AT11" s="31" t="n"/>
      <c r="AU11" s="31">
        <f>IF(AT11="No",10,IF(AT11="Yes",-10,0))</f>
        <v/>
      </c>
      <c r="AV11" s="31" t="n"/>
      <c r="AW11" s="31">
        <f>IF(AV11="No",10,0)</f>
        <v/>
      </c>
      <c r="AX11" s="31" t="n"/>
      <c r="AY11" s="31">
        <f>IF(AX11="No",10,IF(AX11= "Yes CEO Resignation",-5,0))</f>
        <v/>
      </c>
      <c r="AZ11" s="31" t="n"/>
      <c r="BA11" s="31">
        <f>IF(AZ11="No",10,IF(AZ11="Yes",-5,0))</f>
        <v/>
      </c>
      <c r="BB11" s="31" t="n"/>
      <c r="BC11" s="31">
        <f>IF(BB11="No",5,IF(BB11="Yes",-5,0))</f>
        <v/>
      </c>
      <c r="BD11" s="31" t="n"/>
      <c r="BE11" s="31">
        <f>IF(BD11="Yes",10,0)</f>
        <v/>
      </c>
      <c r="BF11" s="31" t="n"/>
      <c r="BG11" s="31">
        <f>IF(BF11="Yes",10,0)</f>
        <v/>
      </c>
      <c r="BH11" s="31" t="n"/>
      <c r="BI11" s="31">
        <f>IF(BH11="Yes",10,0)</f>
        <v/>
      </c>
      <c r="BJ11" s="31" t="n"/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n"/>
      <c r="BM11" s="31">
        <f>IF(BL11="Above 40",20,IF(BL11="20 to 40",10,IF(BL11="0 to 20",-5,0)))</f>
        <v/>
      </c>
      <c r="BN11" s="31" t="n"/>
      <c r="BO11" s="31">
        <f>IF(BN11="Between 50 to 75",10,IF(BN11="Above 75",0,0))</f>
        <v/>
      </c>
      <c r="BP11" s="31" t="n"/>
      <c r="BQ11" s="31">
        <f>IF(BP11="Stage 2",20,IF(BP11="Stage 1",0,IF(BP11="Stage 3",5,IF(BP11="Stage 4",-5,0))))</f>
        <v/>
      </c>
      <c r="BR11" s="31" t="n"/>
      <c r="BS11" s="31">
        <f>IF(BR11="Positive Trend",20,IF(BR11="Negative Trend",-10,0))</f>
        <v/>
      </c>
      <c r="BT11" s="31" t="n"/>
      <c r="BU11" s="31">
        <f>IF(BT11="Uptrend",10,IF(BT11="Sideways",5,0))</f>
        <v/>
      </c>
      <c r="BV11" s="31" t="n"/>
      <c r="BW11" s="31">
        <f>IF(BV11="Uptrend",10,IF(BV11="Sideways",5,0))</f>
        <v/>
      </c>
      <c r="BX11" s="31" t="n"/>
      <c r="BY11" s="31">
        <f>IF(BX11="Overhead supply in last 2 years in last 2 years",-5,IF(BX11="Close to 52 week high or retracement",5,IF(BX11="Blue sky scenario",10,IF(BX11="Long term Downtrend",-10,0))))</f>
        <v/>
      </c>
      <c r="BZ11" s="31" t="n"/>
      <c r="CA11" s="31">
        <f>IF(BZ11="Yes",10,0)</f>
        <v/>
      </c>
      <c r="CB11" s="31" t="n"/>
      <c r="CC11" s="31">
        <f>IF(CB11&gt;20,10,IF(CB11&gt;=10,5,2))</f>
        <v/>
      </c>
    </row>
    <row r="15">
      <c r="A15" s="25" t="inlineStr">
        <is>
          <t>❌ REMOVED SCAN MATCH STOCKS (THIS WEEK)</t>
        </is>
      </c>
    </row>
    <row r="16">
      <c r="A16" s="35" t="inlineStr">
        <is>
          <t>Symbol</t>
        </is>
      </c>
      <c r="B16" s="35" t="inlineStr">
        <is>
          <t>Company Name</t>
        </is>
      </c>
      <c r="C16" s="35" t="inlineStr">
        <is>
          <t>Sector</t>
        </is>
      </c>
      <c r="D16" s="35" t="inlineStr">
        <is>
          <t>Date of Removal</t>
        </is>
      </c>
    </row>
    <row r="17">
      <c r="A17" s="36" t="inlineStr">
        <is>
          <t>DHANBANK</t>
        </is>
      </c>
      <c r="B17" s="37" t="inlineStr">
        <is>
          <t>DHANBANK</t>
        </is>
      </c>
      <c r="C17" s="37" t="inlineStr">
        <is>
          <t>unknown</t>
        </is>
      </c>
      <c r="D17" s="38" t="inlineStr">
        <is>
          <t>2026-07-01</t>
        </is>
      </c>
    </row>
    <row r="18">
      <c r="A18" s="36" t="inlineStr">
        <is>
          <t>OFSS</t>
        </is>
      </c>
      <c r="B18" s="37" t="inlineStr">
        <is>
          <t>Oracle Financial Services Software Limited</t>
        </is>
      </c>
      <c r="C18" s="37" t="inlineStr">
        <is>
          <t>Technology</t>
        </is>
      </c>
      <c r="D18" s="38" t="inlineStr">
        <is>
          <t>2026-07-01</t>
        </is>
      </c>
    </row>
  </sheetData>
  <autoFilter ref="A1:CC11"/>
  <conditionalFormatting sqref="B2:B1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1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11">
    <cfRule type="cellIs" priority="35" operator="equal" dxfId="3" stopIfTrue="1">
      <formula>"Underperforming"</formula>
    </cfRule>
  </conditionalFormatting>
  <conditionalFormatting sqref="N2:N11">
    <cfRule type="cellIs" priority="36" operator="equal" dxfId="3" stopIfTrue="1">
      <formula>-5</formula>
    </cfRule>
  </conditionalFormatting>
  <conditionalFormatting sqref="Q2:Q11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11" showDropDown="0" showInputMessage="0" showErrorMessage="0" allowBlank="1" type="list">
      <formula1>"Growing Industry,Stagnant Industry,Cyclical in an Upturn"</formula1>
    </dataValidation>
    <dataValidation sqref="Z2:Z11" showDropDown="0" showInputMessage="0" showErrorMessage="0" allowBlank="1" type="list">
      <formula1>"Fragmented with Low ROE,Fragmented with High ROE,Highly Cyclical"</formula1>
    </dataValidation>
    <dataValidation sqref="AB2:AB11" showDropDown="0" showInputMessage="0" showErrorMessage="0" allowBlank="1" type="list">
      <formula1>"Yes,No"</formula1>
    </dataValidation>
    <dataValidation sqref="AD2:AD11" showDropDown="0" showInputMessage="0" showErrorMessage="0" allowBlank="1" type="list">
      <formula1>"Tailwind,Headwind"</formula1>
    </dataValidation>
    <dataValidation sqref="AF2:AF11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1" showDropDown="0" showInputMessage="0" showErrorMessage="0" allowBlank="1" type="list">
      <formula1>"Yes,No"</formula1>
    </dataValidation>
    <dataValidation sqref="AJ2:AJ11" showDropDown="0" showInputMessage="0" showErrorMessage="0" allowBlank="1" type="list">
      <formula1>"Yes,No,Not Applicable"</formula1>
    </dataValidation>
    <dataValidation sqref="AL2:AL11" showDropDown="0" showInputMessage="0" showErrorMessage="0" allowBlank="1" type="list">
      <formula1>"Yes,No"</formula1>
    </dataValidation>
    <dataValidation sqref="AN2:AN11" showDropDown="0" showInputMessage="0" showErrorMessage="0" allowBlank="1" type="list">
      <formula1>"Yes,No"</formula1>
    </dataValidation>
    <dataValidation sqref="AP2:AP11" showDropDown="0" showInputMessage="0" showErrorMessage="0" allowBlank="1" type="list">
      <formula1>"Yes,No"</formula1>
    </dataValidation>
    <dataValidation sqref="AR2:AR11" showDropDown="0" showInputMessage="0" showErrorMessage="0" allowBlank="1" type="list">
      <formula1>"Yes,No"</formula1>
    </dataValidation>
    <dataValidation sqref="AT2:AT11" showDropDown="0" showInputMessage="0" showErrorMessage="0" allowBlank="1" type="list">
      <formula1>"No,Yes"</formula1>
    </dataValidation>
    <dataValidation sqref="AV2:AV11" showDropDown="0" showInputMessage="0" showErrorMessage="0" allowBlank="1" type="list">
      <formula1>"No,Yes"</formula1>
    </dataValidation>
    <dataValidation sqref="AX2:AX11" showDropDown="0" showInputMessage="0" showErrorMessage="0" allowBlank="1" type="list">
      <formula1>"No,Yes CEO Resignation,Yes CEO Retirement"</formula1>
    </dataValidation>
    <dataValidation sqref="AZ2:AZ11" showDropDown="0" showInputMessage="0" showErrorMessage="0" allowBlank="1" type="list">
      <formula1>"No,Yes"</formula1>
    </dataValidation>
    <dataValidation sqref="BB2:BB11" showDropDown="0" showInputMessage="0" showErrorMessage="0" allowBlank="1" type="list">
      <formula1>"No,Yes"</formula1>
    </dataValidation>
    <dataValidation sqref="BD2:BD11" showDropDown="0" showInputMessage="0" showErrorMessage="0" allowBlank="1" type="list">
      <formula1>"Yes,No"</formula1>
    </dataValidation>
    <dataValidation sqref="BF2:BF11" showDropDown="0" showInputMessage="0" showErrorMessage="0" allowBlank="1" type="list">
      <formula1>"Yes,No"</formula1>
    </dataValidation>
    <dataValidation sqref="BH2:BH11" showDropDown="0" showInputMessage="0" showErrorMessage="0" allowBlank="1" type="list">
      <formula1>"Yes,No"</formula1>
    </dataValidation>
    <dataValidation sqref="BJ2:BJ11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1" showDropDown="0" showInputMessage="0" showErrorMessage="0" allowBlank="1" type="list">
      <formula1>"Above 40,20 to 40,0 to 20"</formula1>
    </dataValidation>
    <dataValidation sqref="BN2:BN11" showDropDown="0" showInputMessage="0" showErrorMessage="0" allowBlank="1" type="list">
      <formula1>"Between 50 to 75,Above 75,Below 45"</formula1>
    </dataValidation>
    <dataValidation sqref="BP2:BP11" showDropDown="0" showInputMessage="0" showErrorMessage="0" allowBlank="1" type="list">
      <formula1>"Stage 1,Stage 2,Stage 3,Stage 4"</formula1>
    </dataValidation>
    <dataValidation sqref="BR2:BR11" showDropDown="0" showInputMessage="0" showErrorMessage="0" allowBlank="1" type="list">
      <formula1>"Positive Trend,Negative Trend"</formula1>
    </dataValidation>
    <dataValidation sqref="BT2:BT11" showDropDown="0" showInputMessage="0" showErrorMessage="0" allowBlank="1" type="list">
      <formula1>"Uptrend,Sideways,Downtrend"</formula1>
    </dataValidation>
    <dataValidation sqref="BV2:BV11" showDropDown="0" showInputMessage="0" showErrorMessage="0" allowBlank="1" type="list">
      <formula1>"Uptrend,Sideways,Downtrend"</formula1>
    </dataValidation>
    <dataValidation sqref="BX2:BX1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2026-07-01T19:02:56Z</dcterms:created>
  <dcterms:modified xmlns:dcterms="http://purl.org/dc/terms/" xmlns:xsi="http://www.w3.org/2001/XMLSchema-instance" xsi:type="dcterms:W3CDTF">2026-07-01T19:04:46Z</dcterms:modified>
</cp:coreProperties>
</file>