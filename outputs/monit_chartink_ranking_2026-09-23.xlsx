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Universe'!$A$1:$J$380</definedName>
    <definedName name="_xlnm._FilterDatabase" localSheetId="3" hidden="1">'Confluence Overlap'!$A$1:$K$95</definedName>
    <definedName name="_xlnm._FilterDatabase" localSheetId="4" hidden="1">'Monit Non Financial'!$A$1:$CE$346</definedName>
    <definedName name="_xlnm._FilterDatabase" localSheetId="5" hidden="1">'Monit Banks NBFC'!$A$1:$CA$35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23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3" customWidth="1" min="2" max="2"/>
    <col width="21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456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61</v>
      </c>
      <c r="G6" s="19" t="n">
        <v>7281.04</v>
      </c>
      <c r="H6" s="18" t="inlineStr">
        <is>
          <t>Potential Leader</t>
        </is>
      </c>
      <c r="J6" s="18" t="inlineStr">
        <is>
          <t>telecom</t>
        </is>
      </c>
      <c r="K6" s="16" t="n">
        <v>7</v>
      </c>
      <c r="L6" s="16" t="n">
        <v>2</v>
      </c>
      <c r="M6" s="20" t="inlineStr">
        <is>
          <t>250.0%</t>
        </is>
      </c>
    </row>
    <row r="7">
      <c r="A7" s="16" t="n">
        <v>2</v>
      </c>
      <c r="B7" s="17" t="n">
        <v>450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60</v>
      </c>
      <c r="G7" s="19" t="n">
        <v>8030.54</v>
      </c>
      <c r="H7" s="18" t="inlineStr">
        <is>
          <t>Potential Leader</t>
        </is>
      </c>
      <c r="J7" s="18" t="inlineStr">
        <is>
          <t>media</t>
        </is>
      </c>
      <c r="K7" s="16" t="n">
        <v>7</v>
      </c>
      <c r="L7" s="16" t="n">
        <v>3</v>
      </c>
      <c r="M7" s="20" t="inlineStr">
        <is>
          <t>133.3%</t>
        </is>
      </c>
    </row>
    <row r="8">
      <c r="A8" s="16" t="n">
        <v>3</v>
      </c>
      <c r="B8" s="17" t="n">
        <v>384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49</v>
      </c>
      <c r="G8" s="19" t="n">
        <v>2330.07</v>
      </c>
      <c r="H8" s="18" t="inlineStr">
        <is>
          <t>Potential Leader</t>
        </is>
      </c>
      <c r="J8" s="18" t="inlineStr">
        <is>
          <t>transportation</t>
        </is>
      </c>
      <c r="K8" s="16" t="n">
        <v>53</v>
      </c>
      <c r="L8" s="16" t="n">
        <v>34</v>
      </c>
      <c r="M8" s="20" t="inlineStr">
        <is>
          <t>55.9%</t>
        </is>
      </c>
    </row>
    <row r="9">
      <c r="A9" s="16" t="n">
        <v>4</v>
      </c>
      <c r="B9" s="17" t="n">
        <v>372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47</v>
      </c>
      <c r="G9" s="19" t="n">
        <v>248266.22</v>
      </c>
      <c r="H9" s="18" t="inlineStr">
        <is>
          <t>Potential Leader</t>
        </is>
      </c>
      <c r="J9" s="18" t="inlineStr">
        <is>
          <t>i.t</t>
        </is>
      </c>
      <c r="K9" s="16" t="n">
        <v>70</v>
      </c>
      <c r="L9" s="16" t="n">
        <v>45</v>
      </c>
      <c r="M9" s="20" t="inlineStr">
        <is>
          <t>55.6%</t>
        </is>
      </c>
    </row>
    <row r="10">
      <c r="A10" s="16" t="n">
        <v>5</v>
      </c>
      <c r="B10" s="17" t="n">
        <v>372</v>
      </c>
      <c r="C10" s="17" t="inlineStr">
        <is>
          <t>MENONBE</t>
        </is>
      </c>
      <c r="D10" s="18" t="inlineStr">
        <is>
          <t>Menon Bearings Limited</t>
        </is>
      </c>
      <c r="E10" s="18" t="inlineStr">
        <is>
          <t>auto</t>
        </is>
      </c>
      <c r="F10" s="16" t="n">
        <v>47</v>
      </c>
      <c r="G10" s="19" t="n">
        <v>1718.75</v>
      </c>
      <c r="H10" s="18" t="inlineStr">
        <is>
          <t>Potential Leader</t>
        </is>
      </c>
      <c r="J10" s="18" t="inlineStr">
        <is>
          <t>chemicals</t>
        </is>
      </c>
      <c r="K10" s="16" t="n">
        <v>122</v>
      </c>
      <c r="L10" s="16" t="n">
        <v>90</v>
      </c>
      <c r="M10" s="20" t="inlineStr">
        <is>
          <t>35.6%</t>
        </is>
      </c>
    </row>
    <row r="11">
      <c r="A11" s="16" t="n">
        <v>6</v>
      </c>
      <c r="B11" s="17" t="n">
        <v>372</v>
      </c>
      <c r="C11" s="17" t="inlineStr">
        <is>
          <t>TFCILTD</t>
        </is>
      </c>
      <c r="D11" s="18" t="inlineStr">
        <is>
          <t>Tourism Finance Corporation Of India Limited</t>
        </is>
      </c>
      <c r="E11" s="18" t="inlineStr">
        <is>
          <t>financials</t>
        </is>
      </c>
      <c r="F11" s="16" t="n">
        <v>47</v>
      </c>
      <c r="G11" s="19" t="n">
        <v>6518.72</v>
      </c>
      <c r="H11" s="18" t="inlineStr">
        <is>
          <t>Potential Leader</t>
        </is>
      </c>
      <c r="J11" s="18" t="inlineStr">
        <is>
          <t>miscellaneous</t>
        </is>
      </c>
      <c r="K11" s="16" t="n">
        <v>42</v>
      </c>
      <c r="L11" s="16" t="n">
        <v>31</v>
      </c>
      <c r="M11" s="20" t="inlineStr">
        <is>
          <t>35.5%</t>
        </is>
      </c>
    </row>
    <row r="12">
      <c r="A12" s="16" t="n">
        <v>7</v>
      </c>
      <c r="B12" s="17" t="n">
        <v>372</v>
      </c>
      <c r="C12" s="17" t="inlineStr">
        <is>
          <t>VSSL</t>
        </is>
      </c>
      <c r="D12" s="18" t="inlineStr">
        <is>
          <t>Vardhman Special Steels Limited</t>
        </is>
      </c>
      <c r="E12" s="18" t="inlineStr">
        <is>
          <t>metals &amp; mining</t>
        </is>
      </c>
      <c r="F12" s="16" t="n">
        <v>47</v>
      </c>
      <c r="G12" s="19" t="n">
        <v>3942.84</v>
      </c>
      <c r="H12" s="18" t="inlineStr">
        <is>
          <t>Potential Leader</t>
        </is>
      </c>
      <c r="J12" s="18" t="inlineStr">
        <is>
          <t>services</t>
        </is>
      </c>
      <c r="K12" s="16" t="n">
        <v>52</v>
      </c>
      <c r="L12" s="16" t="n">
        <v>40</v>
      </c>
      <c r="M12" s="20" t="inlineStr">
        <is>
          <t>30.0%</t>
        </is>
      </c>
    </row>
    <row r="13">
      <c r="A13" s="16" t="n">
        <v>8</v>
      </c>
      <c r="B13" s="17" t="n">
        <v>360</v>
      </c>
      <c r="C13" s="17" t="inlineStr">
        <is>
          <t>WSTCSTPAPR</t>
        </is>
      </c>
      <c r="D13" s="18" t="inlineStr">
        <is>
          <t>West Coast Paper Mills Limited</t>
        </is>
      </c>
      <c r="E13" s="18" t="inlineStr">
        <is>
          <t>building materials</t>
        </is>
      </c>
      <c r="F13" s="16" t="n">
        <v>45</v>
      </c>
      <c r="G13" s="19" t="n">
        <v>4952.02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117</v>
      </c>
      <c r="L13" s="16" t="n">
        <v>94</v>
      </c>
      <c r="M13" s="20" t="inlineStr">
        <is>
          <t>24.5%</t>
        </is>
      </c>
    </row>
    <row r="14">
      <c r="A14" s="16" t="n">
        <v>9</v>
      </c>
      <c r="B14" s="17" t="n">
        <v>348</v>
      </c>
      <c r="C14" s="17" t="inlineStr">
        <is>
          <t>PAYTM</t>
        </is>
      </c>
      <c r="D14" s="18" t="inlineStr">
        <is>
          <t>One 97 Communications Ltd</t>
        </is>
      </c>
      <c r="E14" s="18" t="inlineStr">
        <is>
          <t>i.t</t>
        </is>
      </c>
      <c r="F14" s="16" t="n">
        <v>43</v>
      </c>
      <c r="G14" s="19" t="n">
        <v>116182.75</v>
      </c>
      <c r="H14" s="18" t="inlineStr">
        <is>
          <t>Potential Leader</t>
        </is>
      </c>
      <c r="J14" s="18" t="inlineStr">
        <is>
          <t>healthcare</t>
        </is>
      </c>
      <c r="K14" s="16" t="n">
        <v>255</v>
      </c>
      <c r="L14" s="16" t="n">
        <v>211</v>
      </c>
      <c r="M14" s="20" t="inlineStr">
        <is>
          <t>20.9%</t>
        </is>
      </c>
    </row>
    <row r="15">
      <c r="A15" s="16" t="n">
        <v>10</v>
      </c>
      <c r="B15" s="17" t="n">
        <v>342</v>
      </c>
      <c r="C15" s="17" t="inlineStr">
        <is>
          <t>REDINGTON</t>
        </is>
      </c>
      <c r="D15" s="18" t="inlineStr">
        <is>
          <t>Redington (india) Limited</t>
        </is>
      </c>
      <c r="E15" s="18" t="inlineStr">
        <is>
          <t>services</t>
        </is>
      </c>
      <c r="F15" s="16" t="n">
        <v>42</v>
      </c>
      <c r="G15" s="19" t="n">
        <v>32080.11</v>
      </c>
      <c r="H15" s="18" t="inlineStr">
        <is>
          <t>Potential Leader</t>
        </is>
      </c>
      <c r="J15" s="18" t="inlineStr">
        <is>
          <t>auto</t>
        </is>
      </c>
      <c r="K15" s="16" t="n">
        <v>92</v>
      </c>
      <c r="L15" s="16" t="n">
        <v>78</v>
      </c>
      <c r="M15" s="20" t="inlineStr">
        <is>
          <t>17.9%</t>
        </is>
      </c>
    </row>
    <row r="16">
      <c r="A16" s="16" t="n">
        <v>11</v>
      </c>
      <c r="B16" s="17" t="n">
        <v>330</v>
      </c>
      <c r="C16" s="17" t="inlineStr">
        <is>
          <t>COMSYN</t>
        </is>
      </c>
      <c r="D16" s="18" t="inlineStr">
        <is>
          <t>Commercial Syn Bags Ltd</t>
        </is>
      </c>
      <c r="E16" s="18" t="inlineStr">
        <is>
          <t>industrials</t>
        </is>
      </c>
      <c r="F16" s="16" t="n">
        <v>40</v>
      </c>
      <c r="G16" s="19" t="n">
        <v>1215.22</v>
      </c>
      <c r="H16" s="18" t="inlineStr">
        <is>
          <t>Potential Leader</t>
        </is>
      </c>
      <c r="J16" s="18" t="inlineStr">
        <is>
          <t>financials</t>
        </is>
      </c>
      <c r="K16" s="16" t="n">
        <v>101</v>
      </c>
      <c r="L16" s="16" t="n">
        <v>90</v>
      </c>
      <c r="M16" s="20" t="inlineStr">
        <is>
          <t>12.2%</t>
        </is>
      </c>
    </row>
    <row r="17">
      <c r="A17" s="16" t="n">
        <v>12</v>
      </c>
      <c r="B17" s="17" t="n">
        <v>324</v>
      </c>
      <c r="C17" s="17" t="inlineStr">
        <is>
          <t>BIRLACABLE</t>
        </is>
      </c>
      <c r="D17" s="18" t="inlineStr">
        <is>
          <t>Birla Cable Limited</t>
        </is>
      </c>
      <c r="E17" s="18" t="inlineStr">
        <is>
          <t>industrials</t>
        </is>
      </c>
      <c r="F17" s="16" t="n">
        <v>39</v>
      </c>
      <c r="G17" s="19" t="n">
        <v>1125.75</v>
      </c>
      <c r="H17" s="18" t="inlineStr">
        <is>
          <t>Potential Leader</t>
        </is>
      </c>
      <c r="J17" s="18" t="inlineStr">
        <is>
          <t>realty</t>
        </is>
      </c>
      <c r="K17" s="16" t="n">
        <v>85</v>
      </c>
      <c r="L17" s="16" t="n">
        <v>77</v>
      </c>
      <c r="M17" s="20" t="inlineStr">
        <is>
          <t>10.4%</t>
        </is>
      </c>
    </row>
    <row r="18">
      <c r="A18" s="16" t="n">
        <v>13</v>
      </c>
      <c r="B18" s="17" t="n">
        <v>324</v>
      </c>
      <c r="C18" s="17" t="inlineStr">
        <is>
          <t>MMP</t>
        </is>
      </c>
      <c r="D18" s="18" t="inlineStr">
        <is>
          <t>MMP Industries Ltd</t>
        </is>
      </c>
      <c r="E18" s="18" t="inlineStr">
        <is>
          <t>metals &amp; mining</t>
        </is>
      </c>
      <c r="F18" s="16" t="n">
        <v>39</v>
      </c>
      <c r="G18" s="19" t="n">
        <v>1171.82</v>
      </c>
      <c r="H18" s="18" t="inlineStr">
        <is>
          <t>Potential Leader</t>
        </is>
      </c>
      <c r="J18" s="18" t="inlineStr">
        <is>
          <t>building materials</t>
        </is>
      </c>
      <c r="K18" s="16" t="n">
        <v>50</v>
      </c>
      <c r="L18" s="16" t="n">
        <v>49</v>
      </c>
      <c r="M18" s="20" t="inlineStr">
        <is>
          <t>2.0%</t>
        </is>
      </c>
    </row>
    <row r="19">
      <c r="A19" s="16" t="n">
        <v>14</v>
      </c>
      <c r="B19" s="17" t="n">
        <v>318</v>
      </c>
      <c r="C19" s="17" t="inlineStr">
        <is>
          <t>DOLPHIN</t>
        </is>
      </c>
      <c r="D19" s="18" t="inlineStr">
        <is>
          <t>Dolphin Offshore Enterprises (India) Ltd</t>
        </is>
      </c>
      <c r="E19" s="18" t="inlineStr">
        <is>
          <t>energy</t>
        </is>
      </c>
      <c r="F19" s="16" t="n">
        <v>38</v>
      </c>
      <c r="G19" s="19" t="n">
        <v>2897.53</v>
      </c>
      <c r="H19" s="18" t="inlineStr">
        <is>
          <t>Potential Leader</t>
        </is>
      </c>
      <c r="J19" s="18" t="inlineStr">
        <is>
          <t>textiles</t>
        </is>
      </c>
      <c r="K19" s="16" t="n">
        <v>56</v>
      </c>
      <c r="L19" s="16" t="n">
        <v>56</v>
      </c>
      <c r="M19" s="20" t="inlineStr">
        <is>
          <t>0.0%</t>
        </is>
      </c>
    </row>
    <row r="20">
      <c r="A20" s="16" t="n">
        <v>15</v>
      </c>
      <c r="B20" s="17" t="n">
        <v>318</v>
      </c>
      <c r="C20" s="17" t="inlineStr">
        <is>
          <t>RATNAVEER</t>
        </is>
      </c>
      <c r="D20" s="18" t="inlineStr">
        <is>
          <t>Ratnaveer Precision Engineering Ltd</t>
        </is>
      </c>
      <c r="E20" s="18" t="inlineStr">
        <is>
          <t>metals &amp; mining</t>
        </is>
      </c>
      <c r="F20" s="16" t="n">
        <v>38</v>
      </c>
      <c r="G20" s="19" t="n">
        <v>2373.51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84</v>
      </c>
      <c r="L20" s="16" t="n">
        <v>85</v>
      </c>
      <c r="M20" s="21" t="inlineStr">
        <is>
          <t>-1.2%</t>
        </is>
      </c>
    </row>
    <row r="21">
      <c r="A21" s="16" t="n">
        <v>16</v>
      </c>
      <c r="B21" s="17" t="n">
        <v>318</v>
      </c>
      <c r="C21" s="17" t="inlineStr">
        <is>
          <t>SHILPAMED</t>
        </is>
      </c>
      <c r="D21" s="18" t="inlineStr">
        <is>
          <t>Shilpa Medicare Limited</t>
        </is>
      </c>
      <c r="E21" s="18" t="inlineStr">
        <is>
          <t>healthcare</t>
        </is>
      </c>
      <c r="F21" s="16" t="n">
        <v>38</v>
      </c>
      <c r="G21" s="19" t="n">
        <v>20206.54</v>
      </c>
      <c r="H21" s="18" t="inlineStr">
        <is>
          <t>Potential Leader</t>
        </is>
      </c>
    </row>
    <row r="22">
      <c r="A22" s="16" t="n">
        <v>17</v>
      </c>
      <c r="B22" s="17" t="n">
        <v>318</v>
      </c>
      <c r="C22" s="17" t="inlineStr">
        <is>
          <t>STLTECH</t>
        </is>
      </c>
      <c r="D22" s="18" t="inlineStr">
        <is>
          <t>Sterlite Technologies Limited</t>
        </is>
      </c>
      <c r="E22" s="18" t="inlineStr">
        <is>
          <t>industrials</t>
        </is>
      </c>
      <c r="F22" s="16" t="n">
        <v>38</v>
      </c>
      <c r="G22" s="19" t="n">
        <v>43144.15</v>
      </c>
      <c r="H22" s="18" t="inlineStr">
        <is>
          <t>Potential Leader</t>
        </is>
      </c>
    </row>
    <row r="23">
      <c r="A23" s="16" t="n">
        <v>18</v>
      </c>
      <c r="B23" s="17" t="n">
        <v>318</v>
      </c>
      <c r="C23" s="17" t="inlineStr">
        <is>
          <t>SUBEXLTD</t>
        </is>
      </c>
      <c r="D23" s="18" t="inlineStr">
        <is>
          <t>Subex Ltd</t>
        </is>
      </c>
      <c r="E23" s="18" t="inlineStr">
        <is>
          <t>i.t</t>
        </is>
      </c>
      <c r="F23" s="16" t="n">
        <v>38</v>
      </c>
      <c r="G23" s="19" t="n">
        <v>1088.6</v>
      </c>
      <c r="H23" s="18" t="inlineStr">
        <is>
          <t>Potential Leader</t>
        </is>
      </c>
    </row>
    <row r="24">
      <c r="A24" s="16" t="n">
        <v>19</v>
      </c>
      <c r="B24" s="17" t="n">
        <v>312</v>
      </c>
      <c r="C24" s="17" t="inlineStr">
        <is>
          <t>BIL</t>
        </is>
      </c>
      <c r="D24" s="18" t="inlineStr">
        <is>
          <t>Bhartiya International Limited</t>
        </is>
      </c>
      <c r="E24" s="18" t="inlineStr">
        <is>
          <t>consumer discretionary</t>
        </is>
      </c>
      <c r="F24" s="16" t="n">
        <v>37</v>
      </c>
      <c r="G24" s="19" t="n">
        <v>1408.76</v>
      </c>
      <c r="H24" s="18" t="inlineStr">
        <is>
          <t>Potential Leader</t>
        </is>
      </c>
    </row>
    <row r="25">
      <c r="A25" s="16" t="n">
        <v>20</v>
      </c>
      <c r="B25" s="17" t="n">
        <v>312</v>
      </c>
      <c r="C25" s="17" t="inlineStr">
        <is>
          <t>MOREPENLAB</t>
        </is>
      </c>
      <c r="D25" s="18" t="inlineStr">
        <is>
          <t>Morepen Laboratories Limited</t>
        </is>
      </c>
      <c r="E25" s="18" t="inlineStr">
        <is>
          <t>healthcare</t>
        </is>
      </c>
      <c r="F25" s="16" t="n">
        <v>37</v>
      </c>
      <c r="G25" s="19" t="n">
        <v>6522.84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STLNETWORK</t>
        </is>
      </c>
      <c r="B30" s="18" t="inlineStr">
        <is>
          <t>STL Networks Ltd</t>
        </is>
      </c>
      <c r="C30" s="18" t="inlineStr">
        <is>
          <t>telecom-service</t>
        </is>
      </c>
      <c r="D30" s="16" t="n">
        <v>10</v>
      </c>
      <c r="E30" s="16" t="n">
        <v>1</v>
      </c>
      <c r="F30" s="19" t="n">
        <v>2310.55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12537.44</v>
      </c>
      <c r="N30" s="16" t="n">
        <v>23</v>
      </c>
    </row>
    <row r="31">
      <c r="A31" s="17" t="inlineStr">
        <is>
          <t>GCSL</t>
        </is>
      </c>
      <c r="B31" s="18" t="inlineStr">
        <is>
          <t>Gretex Corporate Services Ltd</t>
        </is>
      </c>
      <c r="C31" s="18" t="inlineStr">
        <is>
          <t>financials</t>
        </is>
      </c>
      <c r="D31" s="16" t="n">
        <v>10</v>
      </c>
      <c r="E31" s="16" t="n">
        <v>0</v>
      </c>
      <c r="F31" s="19" t="n">
        <v>1598.34</v>
      </c>
      <c r="J31" s="17" t="inlineStr">
        <is>
          <t>PREMIERPOL</t>
        </is>
      </c>
      <c r="K31" s="18" t="inlineStr">
        <is>
          <t>plastic products</t>
        </is>
      </c>
      <c r="L31" s="19" t="n">
        <v>295</v>
      </c>
      <c r="M31" s="19" t="n">
        <v>848.62</v>
      </c>
      <c r="N31" s="16" t="n">
        <v>20</v>
      </c>
    </row>
    <row r="32">
      <c r="A32" s="17" t="inlineStr">
        <is>
          <t>AHCL</t>
        </is>
      </c>
      <c r="B32" s="18" t="inlineStr">
        <is>
          <t>Anlon Healthcare Ltd</t>
        </is>
      </c>
      <c r="C32" s="18" t="inlineStr">
        <is>
          <t>healthcare</t>
        </is>
      </c>
      <c r="D32" s="16" t="n">
        <v>10</v>
      </c>
      <c r="E32" s="16" t="n">
        <v>2</v>
      </c>
      <c r="F32" s="19" t="n">
        <v>1533.95</v>
      </c>
      <c r="J32" s="17" t="inlineStr">
        <is>
          <t>IBULLSLTD</t>
        </is>
      </c>
      <c r="K32" s="18" t="inlineStr">
        <is>
          <t>miscellaneous</t>
        </is>
      </c>
      <c r="L32" s="19" t="n">
        <v>295</v>
      </c>
      <c r="M32" s="19" t="n">
        <v>6874.48</v>
      </c>
      <c r="N32" s="16" t="n">
        <v>7</v>
      </c>
    </row>
    <row r="33">
      <c r="A33" s="17" t="inlineStr">
        <is>
          <t>ANDHRAPAP</t>
        </is>
      </c>
      <c r="B33" s="18" t="inlineStr">
        <is>
          <t>Andhra Paper Ltd</t>
        </is>
      </c>
      <c r="C33" s="18" t="inlineStr">
        <is>
          <t>building materials</t>
        </is>
      </c>
      <c r="D33" s="16" t="n">
        <v>10</v>
      </c>
      <c r="E33" s="16" t="n">
        <v>2</v>
      </c>
      <c r="F33" s="19" t="n">
        <v>1420.39</v>
      </c>
      <c r="J33" s="17" t="inlineStr">
        <is>
          <t>TMB</t>
        </is>
      </c>
      <c r="K33" s="18" t="inlineStr">
        <is>
          <t>bank</t>
        </is>
      </c>
      <c r="L33" s="19" t="n">
        <v>295</v>
      </c>
      <c r="M33" s="19" t="n">
        <v>13994.31</v>
      </c>
      <c r="N33" s="16" t="n">
        <v>19</v>
      </c>
    </row>
    <row r="34">
      <c r="A34" s="17" t="inlineStr">
        <is>
          <t>IL&amp;FSENGG</t>
        </is>
      </c>
      <c r="B34" s="18" t="inlineStr">
        <is>
          <t>Il&amp;fs Engineering And Construction Company Limited</t>
        </is>
      </c>
      <c r="C34" s="18" t="inlineStr">
        <is>
          <t>realty</t>
        </is>
      </c>
      <c r="D34" s="16" t="n">
        <v>9</v>
      </c>
      <c r="E34" s="16" t="n">
        <v>0</v>
      </c>
      <c r="F34" s="19" t="n">
        <v>556.08</v>
      </c>
      <c r="J34" s="17" t="inlineStr">
        <is>
          <t>RPTECH</t>
        </is>
      </c>
      <c r="K34" s="18" t="inlineStr">
        <is>
          <t>i.t</t>
        </is>
      </c>
      <c r="L34" s="19" t="n">
        <v>295</v>
      </c>
      <c r="M34" s="19" t="n">
        <v>5822.56</v>
      </c>
      <c r="N34" s="16" t="n">
        <v>9</v>
      </c>
    </row>
    <row r="35">
      <c r="A35" s="17" t="inlineStr">
        <is>
          <t>SESHAPAPER</t>
        </is>
      </c>
      <c r="B35" s="18" t="inlineStr">
        <is>
          <t>Seshasayee Paper And Boards Limited</t>
        </is>
      </c>
      <c r="C35" s="18" t="inlineStr">
        <is>
          <t>building materials</t>
        </is>
      </c>
      <c r="D35" s="16" t="n">
        <v>9</v>
      </c>
      <c r="E35" s="16" t="n">
        <v>2</v>
      </c>
      <c r="F35" s="19" t="n">
        <v>1557.4</v>
      </c>
      <c r="J35" s="17" t="inlineStr">
        <is>
          <t>GNA</t>
        </is>
      </c>
      <c r="K35" s="18" t="inlineStr">
        <is>
          <t>auto</t>
        </is>
      </c>
      <c r="L35" s="19" t="n">
        <v>290</v>
      </c>
      <c r="M35" s="19" t="n">
        <v>2411.21</v>
      </c>
      <c r="N35" s="16" t="n">
        <v>16</v>
      </c>
    </row>
    <row r="36">
      <c r="A36" s="17" t="inlineStr">
        <is>
          <t>MBECL</t>
        </is>
      </c>
      <c r="B36" s="18" t="inlineStr">
        <is>
          <t>Mcnally Bharat Engineering Company Limited</t>
        </is>
      </c>
      <c r="C36" s="18" t="inlineStr">
        <is>
          <t>realty</t>
        </is>
      </c>
      <c r="D36" s="16" t="n">
        <v>8</v>
      </c>
      <c r="E36" s="16" t="n">
        <v>0</v>
      </c>
      <c r="F36" s="19" t="n">
        <v>1433.63</v>
      </c>
      <c r="J36" s="17" t="inlineStr">
        <is>
          <t>VISHNU</t>
        </is>
      </c>
      <c r="K36" s="18" t="inlineStr">
        <is>
          <t>chemicals</t>
        </is>
      </c>
      <c r="L36" s="19" t="n">
        <v>288</v>
      </c>
      <c r="M36" s="19" t="n">
        <v>4852.76</v>
      </c>
      <c r="N36" s="16" t="n">
        <v>28</v>
      </c>
    </row>
    <row r="37">
      <c r="A37" s="17" t="inlineStr">
        <is>
          <t>EMUDHRA</t>
        </is>
      </c>
      <c r="B37" s="18" t="inlineStr">
        <is>
          <t>eMudhra Ltd</t>
        </is>
      </c>
      <c r="C37" s="18" t="inlineStr">
        <is>
          <t>i.t</t>
        </is>
      </c>
      <c r="D37" s="16" t="n">
        <v>7</v>
      </c>
      <c r="E37" s="16" t="n">
        <v>0</v>
      </c>
      <c r="F37" s="19" t="n">
        <v>5376.55</v>
      </c>
      <c r="J37" s="17" t="inlineStr">
        <is>
          <t>ASIANHOTNR</t>
        </is>
      </c>
      <c r="K37" s="18" t="inlineStr">
        <is>
          <t>services</t>
        </is>
      </c>
      <c r="L37" s="19" t="n">
        <v>288</v>
      </c>
      <c r="M37" s="19" t="n">
        <v>1641.81</v>
      </c>
      <c r="N37" s="16" t="n">
        <v>18</v>
      </c>
    </row>
    <row r="38">
      <c r="A38" s="17" t="inlineStr">
        <is>
          <t>NPST</t>
        </is>
      </c>
      <c r="B38" s="18" t="inlineStr">
        <is>
          <t>Network People Services Technologies Ltd</t>
        </is>
      </c>
      <c r="C38" s="18" t="inlineStr">
        <is>
          <t>i.t</t>
        </is>
      </c>
      <c r="D38" s="16" t="n">
        <v>6</v>
      </c>
      <c r="E38" s="16" t="n">
        <v>0</v>
      </c>
      <c r="F38" s="19" t="n">
        <v>3940.7</v>
      </c>
      <c r="J38" s="17" t="inlineStr">
        <is>
          <t>PASUPTAC</t>
        </is>
      </c>
      <c r="K38" s="18" t="inlineStr">
        <is>
          <t>textiles</t>
        </is>
      </c>
      <c r="L38" s="19" t="n">
        <v>288</v>
      </c>
      <c r="M38" s="19" t="n">
        <v>680.71</v>
      </c>
      <c r="N38" s="16" t="n">
        <v>16</v>
      </c>
    </row>
    <row r="39">
      <c r="A39" s="17" t="inlineStr">
        <is>
          <t>SHARDAMOTR</t>
        </is>
      </c>
      <c r="B39" s="18" t="inlineStr">
        <is>
          <t>Sharda Motor Industries Limited</t>
        </is>
      </c>
      <c r="C39" s="18" t="inlineStr">
        <is>
          <t>auto</t>
        </is>
      </c>
      <c r="D39" s="16" t="n">
        <v>4</v>
      </c>
      <c r="E39" s="16" t="n">
        <v>1</v>
      </c>
      <c r="F39" s="19" t="n">
        <v>5658.96</v>
      </c>
      <c r="J39" s="17" t="inlineStr">
        <is>
          <t>VINDHYATEL</t>
        </is>
      </c>
      <c r="K39" s="18" t="inlineStr">
        <is>
          <t>realty</t>
        </is>
      </c>
      <c r="L39" s="19" t="n">
        <v>288</v>
      </c>
      <c r="M39" s="19" t="n">
        <v>3395.75</v>
      </c>
      <c r="N39" s="16" t="n">
        <v>27</v>
      </c>
    </row>
    <row r="40">
      <c r="A40" s="17" t="inlineStr">
        <is>
          <t>FIVESTAR</t>
        </is>
      </c>
      <c r="B40" s="18" t="inlineStr">
        <is>
          <t>Five-Star Business Finance Ltd</t>
        </is>
      </c>
      <c r="C40" s="18" t="inlineStr">
        <is>
          <t>financials</t>
        </is>
      </c>
      <c r="D40" s="16" t="n">
        <v>4</v>
      </c>
      <c r="E40" s="16" t="n">
        <v>2</v>
      </c>
      <c r="F40" s="19" t="n">
        <v>15492.51</v>
      </c>
      <c r="J40" s="17" t="inlineStr">
        <is>
          <t>MSTCLTD</t>
        </is>
      </c>
      <c r="K40" s="18" t="inlineStr">
        <is>
          <t>i.t</t>
        </is>
      </c>
      <c r="L40" s="19" t="n">
        <v>288</v>
      </c>
      <c r="M40" s="19" t="n">
        <v>5258.53</v>
      </c>
      <c r="N40" s="16" t="n">
        <v>23</v>
      </c>
    </row>
    <row r="41">
      <c r="A41" s="17" t="inlineStr">
        <is>
          <t>PPL</t>
        </is>
      </c>
      <c r="B41" s="18" t="inlineStr">
        <is>
          <t>Prakash Pipes Limited</t>
        </is>
      </c>
      <c r="C41" s="18" t="inlineStr">
        <is>
          <t>Industrials</t>
        </is>
      </c>
      <c r="D41" s="16" t="n">
        <v>4</v>
      </c>
      <c r="E41" s="16" t="n">
        <v>2</v>
      </c>
      <c r="F41" s="19" t="n">
        <v>651.28</v>
      </c>
      <c r="J41" s="17" t="inlineStr">
        <is>
          <t>TALBROAUTO</t>
        </is>
      </c>
      <c r="K41" s="18" t="inlineStr">
        <is>
          <t>auto</t>
        </is>
      </c>
      <c r="L41" s="19" t="n">
        <v>288</v>
      </c>
      <c r="M41" s="19" t="n">
        <v>2933.94</v>
      </c>
      <c r="N41" s="16" t="n">
        <v>14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114.07</v>
      </c>
      <c r="D47" s="28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4439.92</v>
      </c>
    </row>
    <row r="48">
      <c r="A48" s="16" t="n">
        <v>2</v>
      </c>
      <c r="B48" s="27" t="n">
        <v>99</v>
      </c>
      <c r="C48" s="28" t="n">
        <v>81.98</v>
      </c>
      <c r="D48" s="28" t="n">
        <v>275</v>
      </c>
      <c r="E48" s="17" t="inlineStr">
        <is>
          <t>BODALCHEM</t>
        </is>
      </c>
      <c r="F48" s="18" t="inlineStr">
        <is>
          <t>Bodal Chemicals Limited</t>
        </is>
      </c>
      <c r="G48" s="18" t="inlineStr">
        <is>
          <t>chemicals</t>
        </is>
      </c>
      <c r="H48" s="19" t="n">
        <v>2429.46</v>
      </c>
    </row>
    <row r="49">
      <c r="A49" s="16" t="n">
        <v>3</v>
      </c>
      <c r="B49" s="27" t="n">
        <v>98</v>
      </c>
      <c r="C49" s="28" t="n">
        <v>81.31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17964.24</v>
      </c>
    </row>
    <row r="50">
      <c r="A50" s="16" t="n">
        <v>4</v>
      </c>
      <c r="B50" s="27" t="n">
        <v>98</v>
      </c>
      <c r="C50" s="28" t="n">
        <v>79.52</v>
      </c>
      <c r="D50" s="28" t="n">
        <v>275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2330.07</v>
      </c>
    </row>
    <row r="51">
      <c r="A51" s="16" t="n">
        <v>5</v>
      </c>
      <c r="B51" s="27" t="n">
        <v>98</v>
      </c>
      <c r="C51" s="28" t="n">
        <v>65.28</v>
      </c>
      <c r="D51" s="28" t="n">
        <v>235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Consumer Defensive</t>
        </is>
      </c>
      <c r="H51" s="19" t="n">
        <v>36823.53</v>
      </c>
    </row>
    <row r="52">
      <c r="A52" s="16" t="n">
        <v>6</v>
      </c>
      <c r="B52" s="27" t="n">
        <v>97</v>
      </c>
      <c r="C52" s="28" t="n">
        <v>58.24</v>
      </c>
      <c r="D52" s="28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3526.73</v>
      </c>
    </row>
    <row r="53">
      <c r="A53" s="16" t="n">
        <v>7</v>
      </c>
      <c r="B53" s="27" t="n">
        <v>97</v>
      </c>
      <c r="C53" s="28" t="n">
        <v>56.03</v>
      </c>
      <c r="D53" s="28" t="n">
        <v>277</v>
      </c>
      <c r="E53" s="17" t="inlineStr">
        <is>
          <t>MOREPENLAB</t>
        </is>
      </c>
      <c r="F53" s="18" t="inlineStr">
        <is>
          <t>Morepen Laboratories Limited</t>
        </is>
      </c>
      <c r="G53" s="18" t="inlineStr">
        <is>
          <t>healthcare</t>
        </is>
      </c>
      <c r="H53" s="19" t="n">
        <v>6522.84</v>
      </c>
    </row>
    <row r="54">
      <c r="A54" s="16" t="n">
        <v>8</v>
      </c>
      <c r="B54" s="27" t="n">
        <v>97</v>
      </c>
      <c r="C54" s="28" t="n">
        <v>51.33</v>
      </c>
      <c r="D54" s="28" t="n">
        <v>270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7366.67</v>
      </c>
    </row>
    <row r="55">
      <c r="A55" s="16" t="n">
        <v>9</v>
      </c>
      <c r="B55" s="27" t="n">
        <v>96</v>
      </c>
      <c r="C55" s="28" t="n">
        <v>50.73</v>
      </c>
      <c r="D55" s="28" t="n">
        <v>285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1427.12</v>
      </c>
    </row>
    <row r="56">
      <c r="A56" s="16" t="n">
        <v>10</v>
      </c>
      <c r="B56" s="27" t="n">
        <v>96</v>
      </c>
      <c r="C56" s="28" t="n">
        <v>50.33</v>
      </c>
      <c r="D56" s="28" t="n">
        <v>275</v>
      </c>
      <c r="E56" s="17" t="inlineStr">
        <is>
          <t>JOJO</t>
        </is>
      </c>
      <c r="F56" s="18" t="inlineStr">
        <is>
          <t>JOJO Limited</t>
        </is>
      </c>
      <c r="G56" s="18" t="inlineStr">
        <is>
          <t>Communication Services</t>
        </is>
      </c>
      <c r="H56" s="19" t="n">
        <v>1620.59</v>
      </c>
    </row>
    <row r="57">
      <c r="A57" s="16" t="n">
        <v>11</v>
      </c>
      <c r="B57" s="27" t="n">
        <v>96</v>
      </c>
      <c r="C57" s="28" t="n">
        <v>48.97</v>
      </c>
      <c r="D57" s="28" t="n">
        <v>275</v>
      </c>
      <c r="E57" s="17" t="inlineStr">
        <is>
          <t>MODISONLTD</t>
        </is>
      </c>
      <c r="F57" s="18" t="inlineStr">
        <is>
          <t>Modison Ltd</t>
        </is>
      </c>
      <c r="G57" s="18" t="inlineStr">
        <is>
          <t>industrials</t>
        </is>
      </c>
      <c r="H57" s="19" t="n">
        <v>1519.47</v>
      </c>
    </row>
    <row r="58">
      <c r="A58" s="16" t="n">
        <v>12</v>
      </c>
      <c r="B58" s="27" t="n">
        <v>95</v>
      </c>
      <c r="C58" s="28" t="n">
        <v>48.88</v>
      </c>
      <c r="D58" s="28" t="n">
        <v>278</v>
      </c>
      <c r="E58" s="17" t="inlineStr">
        <is>
          <t>CYIENTDLM</t>
        </is>
      </c>
      <c r="F58" s="18" t="inlineStr">
        <is>
          <t>Cyient DLM Ltd</t>
        </is>
      </c>
      <c r="G58" s="18" t="inlineStr">
        <is>
          <t>aerospace &amp; defence</t>
        </is>
      </c>
      <c r="H58" s="19" t="n">
        <v>7281.04</v>
      </c>
    </row>
    <row r="59">
      <c r="A59" s="16" t="n">
        <v>13</v>
      </c>
      <c r="B59" s="27" t="n">
        <v>95</v>
      </c>
      <c r="C59" s="28" t="n">
        <v>47.73</v>
      </c>
      <c r="D59" s="28" t="n">
        <v>283</v>
      </c>
      <c r="E59" s="17" t="inlineStr">
        <is>
          <t>SWANDEF</t>
        </is>
      </c>
      <c r="F59" s="18" t="inlineStr">
        <is>
          <t>Swan Defence and Heavy Industries Ltd</t>
        </is>
      </c>
      <c r="G59" s="18" t="inlineStr">
        <is>
          <t>transportation</t>
        </is>
      </c>
      <c r="H59" s="19" t="n">
        <v>14340.08</v>
      </c>
    </row>
    <row r="60">
      <c r="A60" s="16" t="n">
        <v>14</v>
      </c>
      <c r="B60" s="29" t="n">
        <v>94</v>
      </c>
      <c r="C60" s="28" t="n">
        <v>47.56</v>
      </c>
      <c r="D60" s="28" t="n">
        <v>268</v>
      </c>
      <c r="E60" s="17" t="inlineStr">
        <is>
          <t>INDORAMA</t>
        </is>
      </c>
      <c r="F60" s="18" t="inlineStr">
        <is>
          <t>Indo Rama Synthetics (india) Limited</t>
        </is>
      </c>
      <c r="G60" s="18" t="inlineStr">
        <is>
          <t>textiles</t>
        </is>
      </c>
      <c r="H60" s="19" t="n">
        <v>2704.35</v>
      </c>
    </row>
    <row r="61">
      <c r="A61" s="16" t="n">
        <v>15</v>
      </c>
      <c r="B61" s="29" t="n">
        <v>94</v>
      </c>
      <c r="C61" s="28" t="n">
        <v>47.44</v>
      </c>
      <c r="D61" s="28" t="n">
        <v>285</v>
      </c>
      <c r="E61" s="17" t="inlineStr">
        <is>
          <t>NRL</t>
        </is>
      </c>
      <c r="F61" s="18" t="inlineStr">
        <is>
          <t>Nupur Recyclers Ltd</t>
        </is>
      </c>
      <c r="G61" s="18" t="inlineStr">
        <is>
          <t>services</t>
        </is>
      </c>
      <c r="H61" s="19" t="n">
        <v>1093.71</v>
      </c>
    </row>
    <row r="62">
      <c r="A62" s="16" t="n">
        <v>16</v>
      </c>
      <c r="B62" s="29" t="n">
        <v>94</v>
      </c>
      <c r="C62" s="28" t="n">
        <v>46.63</v>
      </c>
      <c r="D62" s="28" t="n">
        <v>263</v>
      </c>
      <c r="E62" s="17" t="inlineStr">
        <is>
          <t>SETL</t>
        </is>
      </c>
      <c r="F62" s="18" t="inlineStr">
        <is>
          <t>Standard Enginnering Technology Ltd</t>
        </is>
      </c>
      <c r="G62" s="18" t="inlineStr">
        <is>
          <t>industrials</t>
        </is>
      </c>
      <c r="H62" s="19" t="n">
        <v>8030.54</v>
      </c>
    </row>
    <row r="63">
      <c r="A63" s="16" t="n">
        <v>17</v>
      </c>
      <c r="B63" s="29" t="n">
        <v>93</v>
      </c>
      <c r="C63" s="28" t="n">
        <v>45.91</v>
      </c>
      <c r="D63" s="28" t="n">
        <v>272</v>
      </c>
      <c r="E63" s="17" t="inlineStr">
        <is>
          <t>KPL</t>
        </is>
      </c>
      <c r="F63" s="18" t="inlineStr">
        <is>
          <t>Kwality Pharmaceuticals Limited</t>
        </is>
      </c>
      <c r="G63" s="18" t="inlineStr">
        <is>
          <t>Healthcare</t>
        </is>
      </c>
      <c r="H63" s="19" t="n">
        <v>3865.24</v>
      </c>
    </row>
    <row r="64">
      <c r="A64" s="16" t="n">
        <v>18</v>
      </c>
      <c r="B64" s="29" t="n">
        <v>93</v>
      </c>
      <c r="C64" s="28" t="n">
        <v>44.88</v>
      </c>
      <c r="D64" s="28" t="n">
        <v>285</v>
      </c>
      <c r="E64" s="17" t="inlineStr">
        <is>
          <t>FILATEX</t>
        </is>
      </c>
      <c r="F64" s="18" t="inlineStr">
        <is>
          <t>Filatex India Limited</t>
        </is>
      </c>
      <c r="G64" s="18" t="inlineStr">
        <is>
          <t>textiles</t>
        </is>
      </c>
      <c r="H64" s="19" t="n">
        <v>4488.1</v>
      </c>
    </row>
    <row r="65">
      <c r="A65" s="16" t="n">
        <v>19</v>
      </c>
      <c r="B65" s="29" t="n">
        <v>93</v>
      </c>
      <c r="C65" s="28" t="n">
        <v>44.71</v>
      </c>
      <c r="D65" s="28" t="n">
        <v>287</v>
      </c>
      <c r="E65" s="17" t="inlineStr">
        <is>
          <t>VIKRAMTH</t>
        </is>
      </c>
      <c r="F65" s="18" t="inlineStr">
        <is>
          <t>Vikram Thermo (India) Limited</t>
        </is>
      </c>
      <c r="G65" s="18" t="inlineStr">
        <is>
          <t>Healthcare</t>
        </is>
      </c>
      <c r="H65" s="19" t="n">
        <v>1338.35</v>
      </c>
    </row>
    <row r="66">
      <c r="A66" s="16" t="n">
        <v>20</v>
      </c>
      <c r="B66" s="29" t="n">
        <v>92</v>
      </c>
      <c r="C66" s="28" t="n">
        <v>43.78</v>
      </c>
      <c r="D66" s="28" t="n">
        <v>272</v>
      </c>
      <c r="E66" s="17" t="inlineStr">
        <is>
          <t>SHILPAMED</t>
        </is>
      </c>
      <c r="F66" s="18" t="inlineStr">
        <is>
          <t>Shilpa Medicare Limited</t>
        </is>
      </c>
      <c r="G66" s="18" t="inlineStr">
        <is>
          <t>healthcare</t>
        </is>
      </c>
      <c r="H66" s="19" t="n">
        <v>20206.54</v>
      </c>
    </row>
    <row r="67">
      <c r="A67" s="16" t="n">
        <v>21</v>
      </c>
      <c r="B67" s="29" t="n">
        <v>92</v>
      </c>
      <c r="C67" s="28" t="n">
        <v>40.1</v>
      </c>
      <c r="D67" s="28" t="n">
        <v>280</v>
      </c>
      <c r="E67" s="17" t="inlineStr">
        <is>
          <t>MACPOWER</t>
        </is>
      </c>
      <c r="F67" s="18" t="inlineStr">
        <is>
          <t>Macpower CNC Machines Ltd</t>
        </is>
      </c>
      <c r="G67" s="18" t="inlineStr">
        <is>
          <t>industrials</t>
        </is>
      </c>
      <c r="H67" s="19" t="n">
        <v>2097.37</v>
      </c>
    </row>
    <row r="68">
      <c r="A68" s="16" t="n">
        <v>22</v>
      </c>
      <c r="B68" s="29" t="n">
        <v>92</v>
      </c>
      <c r="C68" s="28" t="n">
        <v>40.04</v>
      </c>
      <c r="D68" s="28" t="n">
        <v>265</v>
      </c>
      <c r="E68" s="17" t="inlineStr">
        <is>
          <t>SUBEXLTD</t>
        </is>
      </c>
      <c r="F68" s="18" t="inlineStr">
        <is>
          <t>Subex Ltd</t>
        </is>
      </c>
      <c r="G68" s="18" t="inlineStr">
        <is>
          <t>i.t</t>
        </is>
      </c>
      <c r="H68" s="19" t="n">
        <v>1088.6</v>
      </c>
    </row>
    <row r="69">
      <c r="A69" s="16" t="n">
        <v>23</v>
      </c>
      <c r="B69" s="29" t="n">
        <v>91</v>
      </c>
      <c r="C69" s="28" t="n">
        <v>40</v>
      </c>
      <c r="D69" s="28" t="n">
        <v>258</v>
      </c>
      <c r="E69" s="17" t="inlineStr">
        <is>
          <t>RAYMOND</t>
        </is>
      </c>
      <c r="F69" s="18" t="inlineStr">
        <is>
          <t>Raymond Limited</t>
        </is>
      </c>
      <c r="G69" s="18" t="inlineStr">
        <is>
          <t>transportation</t>
        </is>
      </c>
      <c r="H69" s="19" t="n">
        <v>7435.95</v>
      </c>
    </row>
    <row r="70">
      <c r="A70" s="16" t="n">
        <v>24</v>
      </c>
      <c r="B70" s="29" t="n">
        <v>91</v>
      </c>
      <c r="C70" s="28" t="n">
        <v>39.53</v>
      </c>
      <c r="D70" s="28" t="n">
        <v>272</v>
      </c>
      <c r="E70" s="17" t="inlineStr">
        <is>
          <t>AHCL</t>
        </is>
      </c>
      <c r="F70" s="18" t="inlineStr">
        <is>
          <t>Anlon Healthcare Ltd</t>
        </is>
      </c>
      <c r="G70" s="18" t="inlineStr">
        <is>
          <t>healthcare</t>
        </is>
      </c>
      <c r="H70" s="19" t="n">
        <v>1533.95</v>
      </c>
    </row>
    <row r="71">
      <c r="A71" s="16" t="n">
        <v>25</v>
      </c>
      <c r="B71" s="29" t="n">
        <v>91</v>
      </c>
      <c r="C71" s="28" t="n">
        <v>38.73</v>
      </c>
      <c r="D71" s="28" t="n">
        <v>260</v>
      </c>
      <c r="E71" s="17" t="inlineStr">
        <is>
          <t>SPECTRUM</t>
        </is>
      </c>
      <c r="F71" s="18" t="inlineStr">
        <is>
          <t>Spectrum Electrical Industries Ltd</t>
        </is>
      </c>
      <c r="G71" s="18" t="inlineStr">
        <is>
          <t>industrials</t>
        </is>
      </c>
      <c r="H71" s="19" t="n">
        <v>5714.9</v>
      </c>
    </row>
    <row r="72">
      <c r="A72" s="16" t="n">
        <v>26</v>
      </c>
      <c r="B72" s="29" t="n">
        <v>90</v>
      </c>
      <c r="C72" s="28" t="n">
        <v>38.19</v>
      </c>
      <c r="D72" s="28" t="n">
        <v>255</v>
      </c>
      <c r="E72" s="17" t="inlineStr">
        <is>
          <t>SKYGOLD</t>
        </is>
      </c>
      <c r="F72" s="18" t="inlineStr">
        <is>
          <t>Sky Gold and Diamonds Limited</t>
        </is>
      </c>
      <c r="G72" s="18" t="inlineStr">
        <is>
          <t>Consumer Cyclical</t>
        </is>
      </c>
      <c r="H72" s="19" t="n">
        <v>12298.53</v>
      </c>
    </row>
    <row r="73">
      <c r="A73" s="16" t="n">
        <v>27</v>
      </c>
      <c r="B73" s="29" t="n">
        <v>90</v>
      </c>
      <c r="C73" s="28" t="n">
        <v>36.97</v>
      </c>
      <c r="D73" s="28" t="n">
        <v>272</v>
      </c>
      <c r="E73" s="17" t="inlineStr">
        <is>
          <t>SAKAR</t>
        </is>
      </c>
      <c r="F73" s="18" t="inlineStr">
        <is>
          <t>Sakar Healthcare Ltd</t>
        </is>
      </c>
      <c r="G73" s="18" t="inlineStr">
        <is>
          <t>healthcare</t>
        </is>
      </c>
      <c r="H73" s="19" t="n">
        <v>2644.18</v>
      </c>
    </row>
    <row r="74">
      <c r="A74" s="16" t="n">
        <v>28</v>
      </c>
      <c r="B74" s="29" t="n">
        <v>90</v>
      </c>
      <c r="C74" s="28" t="n">
        <v>36.25</v>
      </c>
      <c r="D74" s="28" t="n">
        <v>263</v>
      </c>
      <c r="E74" s="17" t="inlineStr">
        <is>
          <t>SHREEJISPG</t>
        </is>
      </c>
      <c r="F74" s="18" t="inlineStr">
        <is>
          <t>Shreeji Shipping Global Ltd</t>
        </is>
      </c>
      <c r="G74" s="18" t="inlineStr">
        <is>
          <t>transportation</t>
        </is>
      </c>
      <c r="H74" s="19" t="n">
        <v>11719.52</v>
      </c>
    </row>
    <row r="7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PREMIERPOL</t>
        </is>
      </c>
      <c r="B2" s="31" t="inlineStr">
        <is>
          <t>Premier Polyfilm Limited</t>
        </is>
      </c>
      <c r="C2" s="31" t="inlineStr">
        <is>
          <t>plastic products</t>
        </is>
      </c>
      <c r="D2" s="31" t="inlineStr">
        <is>
          <t>plastics products</t>
        </is>
      </c>
      <c r="E2" s="31" t="inlineStr">
        <is>
          <t>smallcap</t>
        </is>
      </c>
      <c r="F2" s="31" t="n">
        <v>848.62</v>
      </c>
      <c r="G2" s="31" t="n">
        <v>96.72</v>
      </c>
      <c r="H2" s="31" t="n">
        <v>19.38</v>
      </c>
      <c r="I2" s="31" t="n">
        <v>6517058</v>
      </c>
      <c r="J2" s="31" t="inlineStr">
        <is>
          <t>514354</t>
        </is>
      </c>
    </row>
    <row r="3">
      <c r="A3" s="31" t="inlineStr">
        <is>
          <t>OPTIEMUS</t>
        </is>
      </c>
      <c r="B3" s="31" t="inlineStr">
        <is>
          <t>Optiemus Infracom Ltd</t>
        </is>
      </c>
      <c r="C3" s="31" t="inlineStr">
        <is>
          <t>telecom</t>
        </is>
      </c>
      <c r="D3" s="31" t="inlineStr">
        <is>
          <t>trading</t>
        </is>
      </c>
      <c r="E3" s="31" t="inlineStr">
        <is>
          <t>midcap</t>
        </is>
      </c>
      <c r="F3" s="31" t="n">
        <v>6391.9</v>
      </c>
      <c r="G3" s="31" t="n">
        <v>828.35</v>
      </c>
      <c r="H3" s="31" t="n">
        <v>16.85</v>
      </c>
      <c r="I3" s="31" t="n">
        <v>10628491</v>
      </c>
      <c r="J3" s="31" t="inlineStr">
        <is>
          <t>530135</t>
        </is>
      </c>
    </row>
    <row r="4">
      <c r="A4" s="31" t="inlineStr">
        <is>
          <t>MANINDS</t>
        </is>
      </c>
      <c r="B4" s="31" t="inlineStr">
        <is>
          <t>Man Industries (india) Limited</t>
        </is>
      </c>
      <c r="C4" s="31" t="inlineStr">
        <is>
          <t>metals &amp; mining</t>
        </is>
      </c>
      <c r="D4" s="31" t="inlineStr">
        <is>
          <t>steel - medium / small</t>
        </is>
      </c>
      <c r="E4" s="31" t="inlineStr">
        <is>
          <t>midcap</t>
        </is>
      </c>
      <c r="F4" s="31" t="n">
        <v>6375.06</v>
      </c>
      <c r="G4" s="31" t="n">
        <v>986.7</v>
      </c>
      <c r="H4" s="31" t="n">
        <v>16.1</v>
      </c>
      <c r="I4" s="31" t="n">
        <v>10691371</v>
      </c>
      <c r="J4" s="31" t="inlineStr">
        <is>
          <t>513269</t>
        </is>
      </c>
    </row>
    <row r="5">
      <c r="A5" s="31" t="inlineStr">
        <is>
          <t>SUBEXLTD</t>
        </is>
      </c>
      <c r="B5" s="31" t="inlineStr">
        <is>
          <t>Subex Ltd</t>
        </is>
      </c>
      <c r="C5" s="31" t="inlineStr">
        <is>
          <t>i.t</t>
        </is>
      </c>
      <c r="D5" s="31" t="inlineStr">
        <is>
          <t>computers - software - medium / small</t>
        </is>
      </c>
      <c r="E5" s="31" t="inlineStr">
        <is>
          <t>smallcap</t>
        </is>
      </c>
      <c r="F5" s="31" t="n">
        <v>1088.6</v>
      </c>
      <c r="G5" s="31" t="n">
        <v>22.08</v>
      </c>
      <c r="H5" s="31" t="n">
        <v>13.99</v>
      </c>
      <c r="I5" s="31" t="n">
        <v>70960363</v>
      </c>
      <c r="J5" s="31" t="inlineStr">
        <is>
          <t>532348</t>
        </is>
      </c>
    </row>
    <row r="6">
      <c r="A6" s="31" t="inlineStr">
        <is>
          <t>RAYMONDREL</t>
        </is>
      </c>
      <c r="B6" s="31" t="inlineStr">
        <is>
          <t>Raymond Realty Ltd</t>
        </is>
      </c>
      <c r="C6" s="31" t="inlineStr">
        <is>
          <t>realty</t>
        </is>
      </c>
      <c r="D6" s="31" t="inlineStr">
        <is>
          <t>construction</t>
        </is>
      </c>
      <c r="E6" s="31" t="inlineStr">
        <is>
          <t>smallcap</t>
        </is>
      </c>
      <c r="F6" s="31" t="n">
        <v>3924.52</v>
      </c>
      <c r="G6" s="31" t="n">
        <v>671.45</v>
      </c>
      <c r="H6" s="31" t="n">
        <v>13.9</v>
      </c>
      <c r="I6" s="31" t="n">
        <v>12802316</v>
      </c>
      <c r="J6" s="31" t="inlineStr">
        <is>
          <t>544420</t>
        </is>
      </c>
    </row>
    <row r="7">
      <c r="A7" s="31" t="inlineStr">
        <is>
          <t>SHANTIGOLD</t>
        </is>
      </c>
      <c r="B7" s="31" t="inlineStr">
        <is>
          <t>Shanti Gold International Ltd</t>
        </is>
      </c>
      <c r="C7" s="31" t="inlineStr">
        <is>
          <t>consumer discretionary</t>
        </is>
      </c>
      <c r="D7" s="31" t="inlineStr">
        <is>
          <t>diamond cutting / jewellery</t>
        </is>
      </c>
      <c r="E7" s="31" t="inlineStr">
        <is>
          <t>smallcap</t>
        </is>
      </c>
      <c r="F7" s="31" t="n">
        <v>1980.19</v>
      </c>
      <c r="G7" s="31" t="n">
        <v>288.07</v>
      </c>
      <c r="H7" s="31" t="n">
        <v>11.64</v>
      </c>
      <c r="I7" s="31" t="n">
        <v>12582362</v>
      </c>
      <c r="J7" s="31" t="inlineStr">
        <is>
          <t>544459</t>
        </is>
      </c>
    </row>
    <row r="8">
      <c r="A8" s="31" t="inlineStr">
        <is>
          <t>MUKANDLTD</t>
        </is>
      </c>
      <c r="B8" s="31" t="inlineStr">
        <is>
          <t>Mukand Limited</t>
        </is>
      </c>
      <c r="C8" s="31" t="inlineStr">
        <is>
          <t>metals &amp; mining</t>
        </is>
      </c>
      <c r="D8" s="31" t="inlineStr">
        <is>
          <t>steel - medium / small</t>
        </is>
      </c>
      <c r="E8" s="31" t="inlineStr">
        <is>
          <t>smallcap</t>
        </is>
      </c>
      <c r="F8" s="31" t="n">
        <v>2043.31</v>
      </c>
      <c r="G8" s="31" t="n">
        <v>157.11</v>
      </c>
      <c r="H8" s="31" t="n">
        <v>11.1</v>
      </c>
      <c r="I8" s="31" t="n">
        <v>2525436</v>
      </c>
      <c r="J8" s="31" t="inlineStr">
        <is>
          <t>500460</t>
        </is>
      </c>
    </row>
    <row r="9">
      <c r="A9" s="31" t="inlineStr">
        <is>
          <t>RPGLIFE</t>
        </is>
      </c>
      <c r="B9" s="31" t="inlineStr">
        <is>
          <t>Rpg Life Sciences Limited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smallcap</t>
        </is>
      </c>
      <c r="F9" s="31" t="n">
        <v>4543.1</v>
      </c>
      <c r="G9" s="31" t="n">
        <v>3025.4</v>
      </c>
      <c r="H9" s="31" t="n">
        <v>10.14</v>
      </c>
      <c r="I9" s="31" t="n">
        <v>143445</v>
      </c>
      <c r="J9" s="31" t="inlineStr">
        <is>
          <t>532983</t>
        </is>
      </c>
    </row>
    <row r="10">
      <c r="A10" s="31" t="inlineStr">
        <is>
          <t>GALAPREC</t>
        </is>
      </c>
      <c r="B10" s="31" t="inlineStr">
        <is>
          <t>Gala Precision Engineering Ltd</t>
        </is>
      </c>
      <c r="C10" s="31" t="inlineStr">
        <is>
          <t>industrials</t>
        </is>
      </c>
      <c r="D10" s="31" t="inlineStr">
        <is>
          <t>fasteners</t>
        </is>
      </c>
      <c r="E10" s="31" t="inlineStr">
        <is>
          <t>smallcap</t>
        </is>
      </c>
      <c r="F10" s="31" t="n">
        <v>1355.95</v>
      </c>
      <c r="G10" s="31" t="n">
        <v>1164.2</v>
      </c>
      <c r="H10" s="31" t="n">
        <v>10.04</v>
      </c>
      <c r="I10" s="31" t="n">
        <v>143631</v>
      </c>
      <c r="J10" s="31" t="inlineStr">
        <is>
          <t>544244</t>
        </is>
      </c>
    </row>
    <row r="11">
      <c r="A11" s="31" t="inlineStr">
        <is>
          <t>KABRAEXTRU</t>
        </is>
      </c>
      <c r="B11" s="31" t="inlineStr">
        <is>
          <t>Kabra Extrusion Technik Limited</t>
        </is>
      </c>
      <c r="C11" s="31" t="inlineStr">
        <is>
          <t>industrials</t>
        </is>
      </c>
      <c r="D11" s="31" t="inlineStr">
        <is>
          <t>engineering</t>
        </is>
      </c>
      <c r="E11" s="31" t="inlineStr">
        <is>
          <t>smallcap</t>
        </is>
      </c>
      <c r="F11" s="31" t="n">
        <v>2330.07</v>
      </c>
      <c r="G11" s="31" t="n">
        <v>732.85</v>
      </c>
      <c r="H11" s="31" t="n">
        <v>10</v>
      </c>
      <c r="I11" s="31" t="n">
        <v>402751</v>
      </c>
      <c r="J11" s="31" t="inlineStr">
        <is>
          <t>524109</t>
        </is>
      </c>
    </row>
    <row r="12">
      <c r="A12" s="31" t="inlineStr">
        <is>
          <t>SUNFLAG</t>
        </is>
      </c>
      <c r="B12" s="31" t="inlineStr">
        <is>
          <t>Sunflag Iron And Steel Company Limited</t>
        </is>
      </c>
      <c r="C12" s="31" t="inlineStr">
        <is>
          <t>metals &amp; mining</t>
        </is>
      </c>
      <c r="D12" s="31" t="inlineStr">
        <is>
          <t>steel - medium / small</t>
        </is>
      </c>
      <c r="E12" s="31" t="inlineStr">
        <is>
          <t>midcap</t>
        </is>
      </c>
      <c r="F12" s="31" t="n">
        <v>6398.69</v>
      </c>
      <c r="G12" s="31" t="n">
        <v>390.55</v>
      </c>
      <c r="H12" s="31" t="n">
        <v>10</v>
      </c>
      <c r="I12" s="31" t="n">
        <v>912957</v>
      </c>
      <c r="J12" s="31" t="inlineStr">
        <is>
          <t>500404</t>
        </is>
      </c>
    </row>
    <row r="13">
      <c r="A13" s="31" t="inlineStr">
        <is>
          <t>PGIL</t>
        </is>
      </c>
      <c r="B13" s="31" t="inlineStr">
        <is>
          <t>Pearl Global Industries Limited</t>
        </is>
      </c>
      <c r="C13" s="31" t="inlineStr">
        <is>
          <t>consumer discretionary</t>
        </is>
      </c>
      <c r="D13" s="31" t="inlineStr">
        <is>
          <t>textiles - products</t>
        </is>
      </c>
      <c r="E13" s="31" t="inlineStr">
        <is>
          <t>midcap</t>
        </is>
      </c>
      <c r="F13" s="31" t="n">
        <v>5518.54</v>
      </c>
      <c r="G13" s="31" t="n">
        <v>1300.8</v>
      </c>
      <c r="H13" s="31" t="n">
        <v>8.859999999999999</v>
      </c>
      <c r="I13" s="31" t="n">
        <v>767765</v>
      </c>
      <c r="J13" s="31" t="inlineStr">
        <is>
          <t>532808</t>
        </is>
      </c>
    </row>
    <row r="14">
      <c r="A14" s="31" t="inlineStr">
        <is>
          <t>KROSS</t>
        </is>
      </c>
      <c r="B14" s="31" t="inlineStr">
        <is>
          <t>Kross Ltd</t>
        </is>
      </c>
      <c r="C14" s="31" t="inlineStr">
        <is>
          <t>auto</t>
        </is>
      </c>
      <c r="D14" s="31" t="inlineStr">
        <is>
          <t>auto ancillaries</t>
        </is>
      </c>
      <c r="E14" s="31" t="inlineStr">
        <is>
          <t>smallcap</t>
        </is>
      </c>
      <c r="F14" s="31" t="n">
        <v>1652.28</v>
      </c>
      <c r="G14" s="31" t="n">
        <v>278.56</v>
      </c>
      <c r="H14" s="31" t="n">
        <v>8.76</v>
      </c>
      <c r="I14" s="31" t="n">
        <v>6104799</v>
      </c>
      <c r="J14" s="31" t="inlineStr">
        <is>
          <t>544253</t>
        </is>
      </c>
    </row>
    <row r="15">
      <c r="A15" s="31" t="inlineStr">
        <is>
          <t>RGL</t>
        </is>
      </c>
      <c r="B15" s="31" t="inlineStr">
        <is>
          <t>Renaissance Global Ltd</t>
        </is>
      </c>
      <c r="C15" s="31" t="inlineStr">
        <is>
          <t>consumer discretionary</t>
        </is>
      </c>
      <c r="D15" s="31" t="inlineStr">
        <is>
          <t>diamond cutting / jewellery</t>
        </is>
      </c>
      <c r="E15" s="31" t="inlineStr">
        <is>
          <t>smallcap</t>
        </is>
      </c>
      <c r="F15" s="31" t="n">
        <v>1683.32</v>
      </c>
      <c r="G15" s="31" t="n">
        <v>170.48</v>
      </c>
      <c r="H15" s="31" t="n">
        <v>8.74</v>
      </c>
      <c r="I15" s="31" t="n">
        <v>4184608</v>
      </c>
      <c r="J15" s="31" t="inlineStr">
        <is>
          <t>532923</t>
        </is>
      </c>
    </row>
    <row r="16">
      <c r="A16" s="31" t="inlineStr">
        <is>
          <t>ONEPOINT</t>
        </is>
      </c>
      <c r="B16" s="31" t="inlineStr">
        <is>
          <t>One Point One Solutions Ltd</t>
        </is>
      </c>
      <c r="C16" s="31" t="inlineStr">
        <is>
          <t>i.t</t>
        </is>
      </c>
      <c r="D16" s="31" t="inlineStr">
        <is>
          <t>computers - software - medium / small</t>
        </is>
      </c>
      <c r="E16" s="31" t="inlineStr">
        <is>
          <t>smallcap</t>
        </is>
      </c>
      <c r="F16" s="31" t="n">
        <v>1661.76</v>
      </c>
      <c r="G16" s="31" t="n">
        <v>68.41</v>
      </c>
      <c r="H16" s="31" t="n">
        <v>8.24</v>
      </c>
      <c r="I16" s="31" t="n">
        <v>21831475</v>
      </c>
      <c r="J16" s="31" t="inlineStr">
        <is>
          <t>535039</t>
        </is>
      </c>
    </row>
    <row r="17">
      <c r="A17" s="31" t="inlineStr">
        <is>
          <t>ARVSMART</t>
        </is>
      </c>
      <c r="B17" s="31" t="inlineStr">
        <is>
          <t>Arvind Smartspaces Limited</t>
        </is>
      </c>
      <c r="C17" s="31" t="inlineStr">
        <is>
          <t>realty</t>
        </is>
      </c>
      <c r="D17" s="31" t="inlineStr">
        <is>
          <t>construction</t>
        </is>
      </c>
      <c r="E17" s="31" t="inlineStr">
        <is>
          <t>smallcap</t>
        </is>
      </c>
      <c r="F17" s="31" t="n">
        <v>2697.9</v>
      </c>
      <c r="G17" s="31" t="n">
        <v>634.05</v>
      </c>
      <c r="H17" s="31" t="n">
        <v>7.8</v>
      </c>
      <c r="I17" s="31" t="n">
        <v>6650986</v>
      </c>
      <c r="J17" s="31" t="inlineStr">
        <is>
          <t>539301</t>
        </is>
      </c>
    </row>
    <row r="18">
      <c r="A18" s="31" t="inlineStr">
        <is>
          <t>FILATEX</t>
        </is>
      </c>
      <c r="B18" s="31" t="inlineStr">
        <is>
          <t>Filatex India Limited</t>
        </is>
      </c>
      <c r="C18" s="31" t="inlineStr">
        <is>
          <t>textiles</t>
        </is>
      </c>
      <c r="D18" s="31" t="inlineStr">
        <is>
          <t>textiles - manmade</t>
        </is>
      </c>
      <c r="E18" s="31" t="inlineStr">
        <is>
          <t>smallcap</t>
        </is>
      </c>
      <c r="F18" s="31" t="n">
        <v>4488.1</v>
      </c>
      <c r="G18" s="31" t="n">
        <v>108.72</v>
      </c>
      <c r="H18" s="31" t="n">
        <v>7.57</v>
      </c>
      <c r="I18" s="31" t="n">
        <v>19496415</v>
      </c>
      <c r="J18" s="31" t="inlineStr">
        <is>
          <t>526227</t>
        </is>
      </c>
    </row>
    <row r="19">
      <c r="A19" s="31" t="inlineStr">
        <is>
          <t>SANATHAN</t>
        </is>
      </c>
      <c r="B19" s="31" t="inlineStr">
        <is>
          <t>Sanathan Textiles Ltd</t>
        </is>
      </c>
      <c r="C19" s="31" t="inlineStr">
        <is>
          <t>textiles</t>
        </is>
      </c>
      <c r="D19" s="31" t="inlineStr">
        <is>
          <t>textiles - cotton/blended</t>
        </is>
      </c>
      <c r="E19" s="31" t="inlineStr">
        <is>
          <t>smallcap</t>
        </is>
      </c>
      <c r="F19" s="31" t="n">
        <v>3977.96</v>
      </c>
      <c r="G19" s="31" t="n">
        <v>506.35</v>
      </c>
      <c r="H19" s="31" t="n">
        <v>7.44</v>
      </c>
      <c r="I19" s="31" t="n">
        <v>484976</v>
      </c>
      <c r="J19" s="31" t="inlineStr">
        <is>
          <t>544314</t>
        </is>
      </c>
    </row>
    <row r="20">
      <c r="A20" s="31" t="inlineStr">
        <is>
          <t>STEELXIND</t>
        </is>
      </c>
      <c r="B20" s="31" t="inlineStr">
        <is>
          <t>Steel Exchange India Ltd</t>
        </is>
      </c>
      <c r="C20" s="31" t="inlineStr">
        <is>
          <t>metals &amp; mining</t>
        </is>
      </c>
      <c r="D20" s="31" t="inlineStr">
        <is>
          <t>steel - medium / small</t>
        </is>
      </c>
      <c r="E20" s="31" t="inlineStr">
        <is>
          <t>smallcap</t>
        </is>
      </c>
      <c r="F20" s="31" t="n">
        <v>1426.03</v>
      </c>
      <c r="G20" s="31" t="n">
        <v>12.01</v>
      </c>
      <c r="H20" s="31" t="n">
        <v>7.42</v>
      </c>
      <c r="I20" s="31" t="n">
        <v>43409817</v>
      </c>
      <c r="J20" s="31" t="inlineStr">
        <is>
          <t>534748</t>
        </is>
      </c>
    </row>
    <row r="21">
      <c r="A21" s="31" t="inlineStr">
        <is>
          <t>TEXINFRA</t>
        </is>
      </c>
      <c r="B21" s="31" t="inlineStr">
        <is>
          <t>Texmaco Infrastructure &amp; Holdings Limited</t>
        </is>
      </c>
      <c r="C21" s="31" t="inlineStr">
        <is>
          <t>realty</t>
        </is>
      </c>
      <c r="D21" s="31" t="inlineStr">
        <is>
          <t>construction</t>
        </is>
      </c>
      <c r="E21" s="31" t="inlineStr">
        <is>
          <t>smallcap</t>
        </is>
      </c>
      <c r="F21" s="31" t="n">
        <v>1465.66</v>
      </c>
      <c r="G21" s="31" t="n">
        <v>123.47</v>
      </c>
      <c r="H21" s="31" t="n">
        <v>7.35</v>
      </c>
      <c r="I21" s="31" t="n">
        <v>2791859</v>
      </c>
      <c r="J21" s="31" t="inlineStr">
        <is>
          <t>505400</t>
        </is>
      </c>
    </row>
    <row r="22">
      <c r="A22" s="31" t="inlineStr">
        <is>
          <t>KDDL</t>
        </is>
      </c>
      <c r="B22" s="31" t="inlineStr">
        <is>
          <t>Kddl Limited</t>
        </is>
      </c>
      <c r="C22" s="31" t="inlineStr">
        <is>
          <t>consumer discretionary</t>
        </is>
      </c>
      <c r="D22" s="31" t="inlineStr">
        <is>
          <t>miscellaneous</t>
        </is>
      </c>
      <c r="E22" s="31" t="inlineStr">
        <is>
          <t>smallcap</t>
        </is>
      </c>
      <c r="F22" s="31" t="n">
        <v>4886.63</v>
      </c>
      <c r="G22" s="31" t="n">
        <v>4251.9</v>
      </c>
      <c r="H22" s="31" t="n">
        <v>7.02</v>
      </c>
      <c r="I22" s="31" t="n">
        <v>153006</v>
      </c>
      <c r="J22" s="31" t="inlineStr">
        <is>
          <t>532054</t>
        </is>
      </c>
    </row>
    <row r="23">
      <c r="A23" s="31" t="inlineStr">
        <is>
          <t>LLOYDSENGG</t>
        </is>
      </c>
      <c r="B23" s="31" t="inlineStr">
        <is>
          <t>Lloyds Engineering Works Ltd</t>
        </is>
      </c>
      <c r="C23" s="31" t="inlineStr">
        <is>
          <t>industrials</t>
        </is>
      </c>
      <c r="D23" s="31" t="inlineStr">
        <is>
          <t>engineering</t>
        </is>
      </c>
      <c r="E23" s="31" t="inlineStr">
        <is>
          <t>midcap</t>
        </is>
      </c>
      <c r="F23" s="31" t="n">
        <v>13297.06</v>
      </c>
      <c r="G23" s="31" t="n">
        <v>91.52</v>
      </c>
      <c r="H23" s="31" t="n">
        <v>6.75</v>
      </c>
      <c r="I23" s="31" t="n">
        <v>20150065</v>
      </c>
      <c r="J23" s="31" t="inlineStr">
        <is>
          <t>539992</t>
        </is>
      </c>
    </row>
    <row r="24">
      <c r="A24" s="31" t="inlineStr">
        <is>
          <t>WOCKPHARMA</t>
        </is>
      </c>
      <c r="B24" s="31" t="inlineStr">
        <is>
          <t>Wockhardt Limited</t>
        </is>
      </c>
      <c r="C24" s="31" t="inlineStr">
        <is>
          <t>healthcare</t>
        </is>
      </c>
      <c r="D24" s="31" t="inlineStr">
        <is>
          <t>pharmaceuticals - indian - bulk drugs &amp; formln</t>
        </is>
      </c>
      <c r="E24" s="31" t="inlineStr">
        <is>
          <t>largecap</t>
        </is>
      </c>
      <c r="F24" s="31" t="n">
        <v>35511.04</v>
      </c>
      <c r="G24" s="31" t="n">
        <v>2329.7</v>
      </c>
      <c r="H24" s="31" t="n">
        <v>6.6</v>
      </c>
      <c r="I24" s="31" t="n">
        <v>3834525</v>
      </c>
      <c r="J24" s="31" t="inlineStr">
        <is>
          <t>532300</t>
        </is>
      </c>
    </row>
    <row r="25">
      <c r="A25" s="31" t="inlineStr">
        <is>
          <t>RUBYMILLS</t>
        </is>
      </c>
      <c r="B25" s="31" t="inlineStr">
        <is>
          <t>The Ruby Mills Limited</t>
        </is>
      </c>
      <c r="C25" s="31" t="inlineStr">
        <is>
          <t>textiles</t>
        </is>
      </c>
      <c r="D25" s="31" t="inlineStr">
        <is>
          <t>textiles - composite</t>
        </is>
      </c>
      <c r="E25" s="31" t="inlineStr">
        <is>
          <t>smallcap</t>
        </is>
      </c>
      <c r="F25" s="31" t="n">
        <v>1538.07</v>
      </c>
      <c r="G25" s="31" t="n">
        <v>490.2</v>
      </c>
      <c r="H25" s="31" t="n">
        <v>6.58</v>
      </c>
      <c r="I25" s="31" t="n">
        <v>111992</v>
      </c>
      <c r="J25" s="31" t="inlineStr">
        <is>
          <t>503169</t>
        </is>
      </c>
    </row>
    <row r="26">
      <c r="A26" s="31" t="inlineStr">
        <is>
          <t>SUPRIYA</t>
        </is>
      </c>
      <c r="B26" s="31" t="inlineStr">
        <is>
          <t>Supriya Lifescience Ltd</t>
        </is>
      </c>
      <c r="C26" s="31" t="inlineStr">
        <is>
          <t>healthcare</t>
        </is>
      </c>
      <c r="D26" s="31" t="inlineStr">
        <is>
          <t>pharmaceuticals - indian - bulk drugs &amp; formln</t>
        </is>
      </c>
      <c r="E26" s="31" t="inlineStr">
        <is>
          <t>midcap</t>
        </is>
      </c>
      <c r="F26" s="31" t="n">
        <v>7558.14</v>
      </c>
      <c r="G26" s="31" t="n">
        <v>1000.9</v>
      </c>
      <c r="H26" s="31" t="n">
        <v>6.58</v>
      </c>
      <c r="I26" s="31" t="n">
        <v>1007970</v>
      </c>
      <c r="J26" s="31" t="inlineStr">
        <is>
          <t>543434</t>
        </is>
      </c>
    </row>
    <row r="27">
      <c r="A27" s="31" t="inlineStr">
        <is>
          <t>SAIL</t>
        </is>
      </c>
      <c r="B27" s="31" t="inlineStr">
        <is>
          <t>Steel Authority Of India Limited</t>
        </is>
      </c>
      <c r="C27" s="31" t="inlineStr">
        <is>
          <t>metals &amp; mining</t>
        </is>
      </c>
      <c r="D27" s="31" t="inlineStr">
        <is>
          <t>steel - large</t>
        </is>
      </c>
      <c r="E27" s="31" t="inlineStr">
        <is>
          <t>largecap</t>
        </is>
      </c>
      <c r="F27" s="31" t="n">
        <v>71875.27</v>
      </c>
      <c r="G27" s="31" t="n">
        <v>185.44</v>
      </c>
      <c r="H27" s="31" t="n">
        <v>6.57</v>
      </c>
      <c r="I27" s="31" t="n">
        <v>41615771</v>
      </c>
      <c r="J27" s="31" t="inlineStr">
        <is>
          <t>500113</t>
        </is>
      </c>
    </row>
    <row r="28">
      <c r="A28" s="31" t="inlineStr">
        <is>
          <t>LOKESHMACH</t>
        </is>
      </c>
      <c r="B28" s="31" t="inlineStr">
        <is>
          <t>Lokesh Machines Limited</t>
        </is>
      </c>
      <c r="C28" s="31" t="inlineStr">
        <is>
          <t>industrials</t>
        </is>
      </c>
      <c r="D28" s="31" t="inlineStr">
        <is>
          <t>engineering</t>
        </is>
      </c>
      <c r="E28" s="31" t="inlineStr">
        <is>
          <t>smallcap</t>
        </is>
      </c>
      <c r="F28" s="31" t="n">
        <v>734.88</v>
      </c>
      <c r="G28" s="31" t="n">
        <v>359.25</v>
      </c>
      <c r="H28" s="31" t="n">
        <v>6.55</v>
      </c>
      <c r="I28" s="31" t="n">
        <v>76824</v>
      </c>
      <c r="J28" s="31" t="inlineStr">
        <is>
          <t>532740</t>
        </is>
      </c>
    </row>
    <row r="29">
      <c r="A29" s="31" t="inlineStr">
        <is>
          <t>PCJEWELLER</t>
        </is>
      </c>
      <c r="B29" s="31" t="inlineStr">
        <is>
          <t>Pc Jeweller Limited</t>
        </is>
      </c>
      <c r="C29" s="31" t="inlineStr">
        <is>
          <t>consumer discretionary</t>
        </is>
      </c>
      <c r="D29" s="31" t="inlineStr">
        <is>
          <t>diamond cutting / jewellery</t>
        </is>
      </c>
      <c r="E29" s="31" t="inlineStr">
        <is>
          <t>midcap</t>
        </is>
      </c>
      <c r="F29" s="31" t="n">
        <v>13186.91</v>
      </c>
      <c r="G29" s="31" t="n">
        <v>14.47</v>
      </c>
      <c r="H29" s="31" t="n">
        <v>6.55</v>
      </c>
      <c r="I29" s="31" t="n">
        <v>867441415</v>
      </c>
      <c r="J29" s="31" t="inlineStr">
        <is>
          <t>534809</t>
        </is>
      </c>
    </row>
    <row r="30">
      <c r="A30" s="31" t="inlineStr">
        <is>
          <t>ROLEXRINGS</t>
        </is>
      </c>
      <c r="B30" s="31" t="inlineStr">
        <is>
          <t>Rolex Rings Ltd</t>
        </is>
      </c>
      <c r="C30" s="31" t="inlineStr">
        <is>
          <t>auto</t>
        </is>
      </c>
      <c r="D30" s="31" t="inlineStr">
        <is>
          <t>auto ancillaries</t>
        </is>
      </c>
      <c r="E30" s="31" t="inlineStr">
        <is>
          <t>smallcap</t>
        </is>
      </c>
      <c r="F30" s="31" t="n">
        <v>4697.75</v>
      </c>
      <c r="G30" s="31" t="n">
        <v>183.58</v>
      </c>
      <c r="H30" s="31" t="n">
        <v>6.42</v>
      </c>
      <c r="I30" s="31" t="n">
        <v>7085323</v>
      </c>
      <c r="J30" s="31" t="inlineStr">
        <is>
          <t>543325</t>
        </is>
      </c>
    </row>
    <row r="31">
      <c r="A31" s="31" t="inlineStr">
        <is>
          <t>NOCIL</t>
        </is>
      </c>
      <c r="B31" s="31" t="inlineStr">
        <is>
          <t>Nocil Limited</t>
        </is>
      </c>
      <c r="C31" s="31" t="inlineStr">
        <is>
          <t>chemicals</t>
        </is>
      </c>
      <c r="D31" s="31" t="inlineStr">
        <is>
          <t>chemicals</t>
        </is>
      </c>
      <c r="E31" s="31" t="inlineStr">
        <is>
          <t>smallcap</t>
        </is>
      </c>
      <c r="F31" s="31" t="n">
        <v>3238.45</v>
      </c>
      <c r="G31" s="31" t="n">
        <v>206.3</v>
      </c>
      <c r="H31" s="31" t="n">
        <v>6.4</v>
      </c>
      <c r="I31" s="31" t="n">
        <v>7384798</v>
      </c>
      <c r="J31" s="31" t="inlineStr">
        <is>
          <t>500730</t>
        </is>
      </c>
    </row>
    <row r="32">
      <c r="A32" s="31" t="inlineStr">
        <is>
          <t>UNICHEMLAB</t>
        </is>
      </c>
      <c r="B32" s="31" t="inlineStr">
        <is>
          <t>Unichem Laboratories Limited</t>
        </is>
      </c>
      <c r="C32" s="31" t="inlineStr">
        <is>
          <t>healthcare</t>
        </is>
      </c>
      <c r="D32" s="31" t="inlineStr">
        <is>
          <t>pharmaceuticals - indian - bulk drugs &amp; formln</t>
        </is>
      </c>
      <c r="E32" s="31" t="inlineStr">
        <is>
          <t>smallcap</t>
        </is>
      </c>
      <c r="F32" s="31" t="n">
        <v>3793.11</v>
      </c>
      <c r="G32" s="31" t="n">
        <v>573.2</v>
      </c>
      <c r="H32" s="31" t="n">
        <v>6.39</v>
      </c>
      <c r="I32" s="31" t="n">
        <v>294887</v>
      </c>
      <c r="J32" s="31" t="inlineStr">
        <is>
          <t>506690</t>
        </is>
      </c>
    </row>
    <row r="33">
      <c r="A33" s="31" t="inlineStr">
        <is>
          <t>AARTIPHARM</t>
        </is>
      </c>
      <c r="B33" s="31" t="inlineStr">
        <is>
          <t>Aarti Pharmalabs Ltd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midcap</t>
        </is>
      </c>
      <c r="F33" s="31" t="n">
        <v>8013.83</v>
      </c>
      <c r="G33" s="31" t="n">
        <v>940.1</v>
      </c>
      <c r="H33" s="31" t="n">
        <v>6.38</v>
      </c>
      <c r="I33" s="31" t="n">
        <v>2945650</v>
      </c>
      <c r="J33" s="31" t="inlineStr">
        <is>
          <t>543748</t>
        </is>
      </c>
    </row>
    <row r="34">
      <c r="A34" s="31" t="inlineStr">
        <is>
          <t>GNA</t>
        </is>
      </c>
      <c r="B34" s="31" t="inlineStr">
        <is>
          <t>Gna Axles Limited</t>
        </is>
      </c>
      <c r="C34" s="31" t="inlineStr">
        <is>
          <t>auto</t>
        </is>
      </c>
      <c r="D34" s="31" t="inlineStr">
        <is>
          <t>auto ancillaries</t>
        </is>
      </c>
      <c r="E34" s="31" t="inlineStr">
        <is>
          <t>smallcap</t>
        </is>
      </c>
      <c r="F34" s="31" t="n">
        <v>2411.21</v>
      </c>
      <c r="G34" s="31" t="n">
        <v>596.65</v>
      </c>
      <c r="H34" s="31" t="n">
        <v>6.23</v>
      </c>
      <c r="I34" s="31" t="n">
        <v>3594624</v>
      </c>
      <c r="J34" s="31" t="inlineStr">
        <is>
          <t>540124</t>
        </is>
      </c>
    </row>
    <row r="35">
      <c r="A35" s="31" t="inlineStr">
        <is>
          <t>DHARMAJ</t>
        </is>
      </c>
      <c r="B35" s="31" t="inlineStr">
        <is>
          <t>Dharmaj Crop Guard Ltd</t>
        </is>
      </c>
      <c r="C35" s="31" t="inlineStr">
        <is>
          <t>chemicals</t>
        </is>
      </c>
      <c r="D35" s="31" t="inlineStr">
        <is>
          <t>pesticides / agrochemicals - indian</t>
        </is>
      </c>
      <c r="E35" s="31" t="inlineStr">
        <is>
          <t>smallcap</t>
        </is>
      </c>
      <c r="F35" s="31" t="n">
        <v>951.73</v>
      </c>
      <c r="G35" s="31" t="n">
        <v>299.1</v>
      </c>
      <c r="H35" s="31" t="n">
        <v>6.21</v>
      </c>
      <c r="I35" s="31" t="n">
        <v>108051</v>
      </c>
      <c r="J35" s="31" t="inlineStr">
        <is>
          <t>543687</t>
        </is>
      </c>
    </row>
    <row r="36">
      <c r="A36" s="31" t="inlineStr">
        <is>
          <t>ICIL</t>
        </is>
      </c>
      <c r="B36" s="31" t="inlineStr">
        <is>
          <t>Indo Count Industries Limited</t>
        </is>
      </c>
      <c r="C36" s="31" t="inlineStr">
        <is>
          <t>textiles</t>
        </is>
      </c>
      <c r="D36" s="31" t="inlineStr">
        <is>
          <t>textiles - cotton/blended</t>
        </is>
      </c>
      <c r="E36" s="31" t="inlineStr">
        <is>
          <t>midcap</t>
        </is>
      </c>
      <c r="F36" s="31" t="n">
        <v>8890.66</v>
      </c>
      <c r="G36" s="31" t="n">
        <v>476.55</v>
      </c>
      <c r="H36" s="31" t="n">
        <v>6.16</v>
      </c>
      <c r="I36" s="31" t="n">
        <v>1924680</v>
      </c>
      <c r="J36" s="31" t="inlineStr">
        <is>
          <t>521016</t>
        </is>
      </c>
    </row>
    <row r="37">
      <c r="A37" s="31" t="inlineStr">
        <is>
          <t>LXCHEM</t>
        </is>
      </c>
      <c r="B37" s="31" t="inlineStr">
        <is>
          <t>Laxmi Organic Industries Ltd</t>
        </is>
      </c>
      <c r="C37" s="31" t="inlineStr">
        <is>
          <t>chemicals</t>
        </is>
      </c>
      <c r="D37" s="31" t="inlineStr">
        <is>
          <t>chemicals</t>
        </is>
      </c>
      <c r="E37" s="31" t="inlineStr">
        <is>
          <t>smallcap</t>
        </is>
      </c>
      <c r="F37" s="31" t="n">
        <v>4934.64</v>
      </c>
      <c r="G37" s="31" t="n">
        <v>188.44</v>
      </c>
      <c r="H37" s="31" t="n">
        <v>5.86</v>
      </c>
      <c r="I37" s="31" t="n">
        <v>3615692</v>
      </c>
      <c r="J37" s="31" t="inlineStr">
        <is>
          <t>543277</t>
        </is>
      </c>
    </row>
    <row r="38">
      <c r="A38" s="31" t="inlineStr">
        <is>
          <t>INNOVACAP</t>
        </is>
      </c>
      <c r="B38" s="31" t="inlineStr">
        <is>
          <t>Innova Captab Ltd</t>
        </is>
      </c>
      <c r="C38" s="31" t="inlineStr">
        <is>
          <t>healthcare</t>
        </is>
      </c>
      <c r="D38" s="31" t="inlineStr">
        <is>
          <t>pharmaceuticals - indian - bulk drugs &amp; formln</t>
        </is>
      </c>
      <c r="E38" s="31" t="inlineStr">
        <is>
          <t>midcap</t>
        </is>
      </c>
      <c r="F38" s="31" t="n">
        <v>7019.78</v>
      </c>
      <c r="G38" s="31" t="n">
        <v>1297.6</v>
      </c>
      <c r="H38" s="31" t="n">
        <v>5.78</v>
      </c>
      <c r="I38" s="31" t="n">
        <v>454203</v>
      </c>
      <c r="J38" s="31" t="inlineStr">
        <is>
          <t>544067</t>
        </is>
      </c>
    </row>
    <row r="39">
      <c r="A39" s="31" t="inlineStr">
        <is>
          <t>SMCGLOBAL</t>
        </is>
      </c>
      <c r="B39" s="31" t="inlineStr">
        <is>
          <t>SMC Global Securities Ltd</t>
        </is>
      </c>
      <c r="C39" s="31" t="inlineStr">
        <is>
          <t>financials</t>
        </is>
      </c>
      <c r="D39" s="31" t="inlineStr">
        <is>
          <t>finance &amp; investments</t>
        </is>
      </c>
      <c r="E39" s="31" t="inlineStr">
        <is>
          <t>smallcap</t>
        </is>
      </c>
      <c r="F39" s="31" t="n">
        <v>1726.08</v>
      </c>
      <c r="G39" s="31" t="n">
        <v>87.14</v>
      </c>
      <c r="H39" s="31" t="n">
        <v>5.71</v>
      </c>
      <c r="I39" s="31" t="n">
        <v>2330867</v>
      </c>
      <c r="J39" s="31" t="inlineStr">
        <is>
          <t>543263</t>
        </is>
      </c>
    </row>
    <row r="40">
      <c r="A40" s="31" t="inlineStr">
        <is>
          <t>OMAXE</t>
        </is>
      </c>
      <c r="B40" s="31" t="inlineStr">
        <is>
          <t>Omaxe Limited</t>
        </is>
      </c>
      <c r="C40" s="31" t="inlineStr">
        <is>
          <t>realty</t>
        </is>
      </c>
      <c r="D40" s="31" t="inlineStr">
        <is>
          <t>construction</t>
        </is>
      </c>
      <c r="E40" s="31" t="inlineStr">
        <is>
          <t>smallcap</t>
        </is>
      </c>
      <c r="F40" s="31" t="n">
        <v>2130.79</v>
      </c>
      <c r="G40" s="31" t="n">
        <v>123.13</v>
      </c>
      <c r="H40" s="31" t="n">
        <v>5.69</v>
      </c>
      <c r="I40" s="31" t="n">
        <v>873922</v>
      </c>
      <c r="J40" s="31" t="inlineStr">
        <is>
          <t>532880</t>
        </is>
      </c>
    </row>
    <row r="41">
      <c r="A41" s="31" t="inlineStr">
        <is>
          <t>BLUSPRING</t>
        </is>
      </c>
      <c r="B41" s="31" t="inlineStr">
        <is>
          <t>Bluspring Enterprises Ltd</t>
        </is>
      </c>
      <c r="C41" s="31" t="inlineStr">
        <is>
          <t>miscellaneous</t>
        </is>
      </c>
      <c r="D41" s="31" t="inlineStr">
        <is>
          <t>diversified - large</t>
        </is>
      </c>
      <c r="E41" s="31" t="inlineStr">
        <is>
          <t>smallcap</t>
        </is>
      </c>
      <c r="F41" s="31" t="n">
        <v>1875.04</v>
      </c>
      <c r="G41" s="31" t="n">
        <v>132.59</v>
      </c>
      <c r="H41" s="31" t="n">
        <v>5.67</v>
      </c>
      <c r="I41" s="31" t="n">
        <v>675699</v>
      </c>
      <c r="J41" s="31" t="inlineStr">
        <is>
          <t>544414</t>
        </is>
      </c>
    </row>
    <row r="42">
      <c r="A42" s="31" t="inlineStr">
        <is>
          <t>VINCOFE</t>
        </is>
      </c>
      <c r="B42" s="31" t="inlineStr">
        <is>
          <t>Vintage Coffee &amp; Beverages Ltd</t>
        </is>
      </c>
      <c r="C42" s="31" t="inlineStr">
        <is>
          <t>consumer discretionary</t>
        </is>
      </c>
      <c r="D42" s="31" t="inlineStr">
        <is>
          <t>trading</t>
        </is>
      </c>
      <c r="E42" s="31" t="inlineStr">
        <is>
          <t>smallcap</t>
        </is>
      </c>
      <c r="F42" s="31" t="n">
        <v>2537.89</v>
      </c>
      <c r="G42" s="31" t="n">
        <v>183.79</v>
      </c>
      <c r="H42" s="31" t="n">
        <v>5.51</v>
      </c>
      <c r="I42" s="31" t="n">
        <v>2596563</v>
      </c>
      <c r="J42" s="31" t="inlineStr">
        <is>
          <t>538920</t>
        </is>
      </c>
    </row>
    <row r="43">
      <c r="A43" s="31" t="inlineStr">
        <is>
          <t>LLOYDSENT</t>
        </is>
      </c>
      <c r="B43" s="31" t="inlineStr">
        <is>
          <t>Lloyds Enterprises Ltd</t>
        </is>
      </c>
      <c r="C43" s="31" t="inlineStr">
        <is>
          <t>services</t>
        </is>
      </c>
      <c r="D43" s="31" t="inlineStr">
        <is>
          <t>trading</t>
        </is>
      </c>
      <c r="E43" s="31" t="inlineStr">
        <is>
          <t>midcap</t>
        </is>
      </c>
      <c r="F43" s="31" t="n">
        <v>10748.45</v>
      </c>
      <c r="G43" s="31" t="n">
        <v>74.15000000000001</v>
      </c>
      <c r="H43" s="31" t="n">
        <v>5.31</v>
      </c>
      <c r="I43" s="31" t="n">
        <v>4441245</v>
      </c>
      <c r="J43" s="31" t="inlineStr">
        <is>
          <t>512463</t>
        </is>
      </c>
    </row>
    <row r="44">
      <c r="A44" s="31" t="inlineStr">
        <is>
          <t>DYCL</t>
        </is>
      </c>
      <c r="B44" s="31" t="inlineStr">
        <is>
          <t>Dynamic Cables Ltd</t>
        </is>
      </c>
      <c r="C44" s="31" t="inlineStr">
        <is>
          <t>industrials</t>
        </is>
      </c>
      <c r="D44" s="31" t="inlineStr">
        <is>
          <t>cables - power</t>
        </is>
      </c>
      <c r="E44" s="31" t="inlineStr">
        <is>
          <t>smallcap</t>
        </is>
      </c>
      <c r="F44" s="31" t="n">
        <v>2198.81</v>
      </c>
      <c r="G44" s="31" t="n">
        <v>476.9</v>
      </c>
      <c r="H44" s="31" t="n">
        <v>5.1</v>
      </c>
      <c r="I44" s="31" t="n">
        <v>762315</v>
      </c>
      <c r="J44" s="31" t="inlineStr">
        <is>
          <t>540795</t>
        </is>
      </c>
    </row>
    <row r="45">
      <c r="A45" s="31" t="inlineStr">
        <is>
          <t>CYIENTDLM</t>
        </is>
      </c>
      <c r="B45" s="31" t="inlineStr">
        <is>
          <t>Cyient DLM Ltd</t>
        </is>
      </c>
      <c r="C45" s="31" t="inlineStr">
        <is>
          <t>aerospace &amp; defence</t>
        </is>
      </c>
      <c r="D45" s="31" t="inlineStr">
        <is>
          <t>electronics - components</t>
        </is>
      </c>
      <c r="E45" s="31" t="inlineStr">
        <is>
          <t>midcap</t>
        </is>
      </c>
      <c r="F45" s="31" t="n">
        <v>7281.04</v>
      </c>
      <c r="G45" s="31" t="n">
        <v>963.5</v>
      </c>
      <c r="H45" s="31" t="n">
        <v>5.05</v>
      </c>
      <c r="I45" s="31" t="n">
        <v>523966</v>
      </c>
      <c r="J45" s="31" t="inlineStr">
        <is>
          <t>543933</t>
        </is>
      </c>
    </row>
    <row r="46">
      <c r="A46" s="31" t="inlineStr">
        <is>
          <t>KILITCH</t>
        </is>
      </c>
      <c r="B46" s="31" t="inlineStr">
        <is>
          <t>Kilitch Drugs (india) Limited</t>
        </is>
      </c>
      <c r="C46" s="31" t="inlineStr">
        <is>
          <t>healthcare</t>
        </is>
      </c>
      <c r="D46" s="31" t="inlineStr">
        <is>
          <t>pharmaceuticals - indian - formulations</t>
        </is>
      </c>
      <c r="E46" s="31" t="inlineStr">
        <is>
          <t>smallcap</t>
        </is>
      </c>
      <c r="F46" s="31" t="n">
        <v>737.9299999999999</v>
      </c>
      <c r="G46" s="31" t="n">
        <v>221.62</v>
      </c>
      <c r="H46" s="31" t="n">
        <v>5</v>
      </c>
      <c r="I46" s="31" t="n">
        <v>27667</v>
      </c>
      <c r="J46" s="31" t="inlineStr">
        <is>
          <t>524500</t>
        </is>
      </c>
    </row>
    <row r="47">
      <c r="A47" s="31" t="inlineStr">
        <is>
          <t>NRL</t>
        </is>
      </c>
      <c r="B47" s="31" t="inlineStr">
        <is>
          <t>Nupur Recyclers Ltd</t>
        </is>
      </c>
      <c r="C47" s="31" t="inlineStr">
        <is>
          <t>services</t>
        </is>
      </c>
      <c r="D47" s="31" t="inlineStr">
        <is>
          <t>trading</t>
        </is>
      </c>
      <c r="E47" s="31" t="inlineStr">
        <is>
          <t>smallcap</t>
        </is>
      </c>
      <c r="F47" s="31" t="n">
        <v>1093.71</v>
      </c>
      <c r="G47" s="31" t="n">
        <v>166.26</v>
      </c>
      <c r="H47" s="31" t="n">
        <v>5</v>
      </c>
      <c r="I47" s="31" t="n">
        <v>78481</v>
      </c>
      <c r="J47" s="31" t="inlineStr">
        <is>
          <t>535413</t>
        </is>
      </c>
    </row>
    <row r="48">
      <c r="A48" s="31" t="inlineStr">
        <is>
          <t>TIRUPATIFL</t>
        </is>
      </c>
      <c r="B48" s="31" t="inlineStr">
        <is>
          <t>Tirupati Forge Ltd</t>
        </is>
      </c>
      <c r="C48" s="31" t="inlineStr">
        <is>
          <t>industrials</t>
        </is>
      </c>
      <c r="D48" s="31" t="inlineStr">
        <is>
          <t>castings &amp; forgings</t>
        </is>
      </c>
      <c r="E48" s="31" t="inlineStr">
        <is>
          <t>smallcap</t>
        </is>
      </c>
      <c r="F48" s="31" t="n">
        <v>970.23</v>
      </c>
      <c r="G48" s="31" t="n">
        <v>78.34</v>
      </c>
      <c r="H48" s="31" t="n">
        <v>5</v>
      </c>
      <c r="I48" s="31" t="n">
        <v>1107996</v>
      </c>
      <c r="J48" s="31" t="inlineStr">
        <is>
          <t>535021</t>
        </is>
      </c>
    </row>
    <row r="49">
      <c r="A49" s="31" t="inlineStr">
        <is>
          <t>KANORICHEM</t>
        </is>
      </c>
      <c r="B49" s="31" t="inlineStr">
        <is>
          <t>Kanoria Chemicals &amp; Industries Limited</t>
        </is>
      </c>
      <c r="C49" s="31" t="inlineStr">
        <is>
          <t>chemicals</t>
        </is>
      </c>
      <c r="D49" s="31" t="inlineStr">
        <is>
          <t>chemicals</t>
        </is>
      </c>
      <c r="E49" s="31" t="inlineStr">
        <is>
          <t>smallcap</t>
        </is>
      </c>
      <c r="F49" s="31" t="n">
        <v>758.39</v>
      </c>
      <c r="G49" s="31" t="n">
        <v>182.24</v>
      </c>
      <c r="H49" s="31" t="n">
        <v>5</v>
      </c>
      <c r="I49" s="31" t="n">
        <v>71109</v>
      </c>
      <c r="J49" s="31" t="inlineStr">
        <is>
          <t>506525</t>
        </is>
      </c>
    </row>
    <row r="50">
      <c r="A50" s="31" t="inlineStr">
        <is>
          <t>CPPLUS</t>
        </is>
      </c>
      <c r="B50" s="31" t="inlineStr">
        <is>
          <t>Aditya Infotech Ltd</t>
        </is>
      </c>
      <c r="C50" s="31" t="inlineStr">
        <is>
          <t>consumer discretionary</t>
        </is>
      </c>
      <c r="D50" s="31" t="inlineStr">
        <is>
          <t>trading</t>
        </is>
      </c>
      <c r="E50" s="31" t="inlineStr">
        <is>
          <t>largecap</t>
        </is>
      </c>
      <c r="F50" s="31" t="n">
        <v>43009.53</v>
      </c>
      <c r="G50" s="31" t="n">
        <v>3831.9</v>
      </c>
      <c r="H50" s="31" t="n">
        <v>5</v>
      </c>
      <c r="I50" s="31" t="n">
        <v>305859</v>
      </c>
      <c r="J50" s="31" t="inlineStr">
        <is>
          <t>544466</t>
        </is>
      </c>
    </row>
    <row r="51">
      <c r="A51" s="31" t="inlineStr">
        <is>
          <t>SALSTEEL</t>
        </is>
      </c>
      <c r="B51" s="31" t="inlineStr">
        <is>
          <t>SAL Steel</t>
        </is>
      </c>
      <c r="C51" s="31" t="inlineStr">
        <is>
          <t>metals &amp; mining</t>
        </is>
      </c>
      <c r="D51" s="31" t="inlineStr">
        <is>
          <t>steel - sponge iron</t>
        </is>
      </c>
      <c r="E51" s="31" t="inlineStr">
        <is>
          <t>smallcap</t>
        </is>
      </c>
      <c r="F51" s="31" t="n">
        <v>1172.32</v>
      </c>
      <c r="G51" s="31" t="n">
        <v>85.02</v>
      </c>
      <c r="H51" s="31" t="n">
        <v>4.99</v>
      </c>
      <c r="I51" s="31" t="n">
        <v>359860</v>
      </c>
      <c r="J51" s="31" t="inlineStr">
        <is>
          <t>532604</t>
        </is>
      </c>
    </row>
    <row r="52">
      <c r="A52" s="31" t="inlineStr">
        <is>
          <t>STLNETWORK</t>
        </is>
      </c>
      <c r="B52" s="31" t="inlineStr">
        <is>
          <t>STL Networks Ltd</t>
        </is>
      </c>
      <c r="C52" s="31" t="inlineStr">
        <is>
          <t>telecom-service</t>
        </is>
      </c>
      <c r="D52" s="31" t="inlineStr">
        <is>
          <t>telecommunications - service provider</t>
        </is>
      </c>
      <c r="E52" s="31" t="inlineStr">
        <is>
          <t>smallcap</t>
        </is>
      </c>
      <c r="F52" s="31" t="n">
        <v>2310.55</v>
      </c>
      <c r="G52" s="31" t="n">
        <v>49.7</v>
      </c>
      <c r="H52" s="31" t="n">
        <v>4.99</v>
      </c>
      <c r="I52" s="31" t="n">
        <v>3086717</v>
      </c>
      <c r="J52" s="31" t="inlineStr">
        <is>
          <t>544395</t>
        </is>
      </c>
    </row>
    <row r="53">
      <c r="A53" s="31" t="inlineStr">
        <is>
          <t>PVP</t>
        </is>
      </c>
      <c r="B53" s="31" t="inlineStr">
        <is>
          <t>Pvp Ventures Limited</t>
        </is>
      </c>
      <c r="C53" s="31" t="inlineStr">
        <is>
          <t>realty</t>
        </is>
      </c>
      <c r="D53" s="31" t="inlineStr">
        <is>
          <t>construction</t>
        </is>
      </c>
      <c r="E53" s="31" t="inlineStr">
        <is>
          <t>smallcap</t>
        </is>
      </c>
      <c r="F53" s="31" t="n">
        <v>1701.74</v>
      </c>
      <c r="G53" s="31" t="n">
        <v>68.61</v>
      </c>
      <c r="H53" s="31" t="n">
        <v>4.99</v>
      </c>
      <c r="I53" s="31" t="n">
        <v>709084</v>
      </c>
      <c r="J53" s="31" t="inlineStr">
        <is>
          <t>517556</t>
        </is>
      </c>
    </row>
    <row r="54">
      <c r="A54" s="31" t="inlineStr">
        <is>
          <t>E2E</t>
        </is>
      </c>
      <c r="B54" s="31" t="inlineStr">
        <is>
          <t>E2E Networks Ltd</t>
        </is>
      </c>
      <c r="C54" s="31" t="inlineStr">
        <is>
          <t>i.t</t>
        </is>
      </c>
      <c r="D54" s="31" t="inlineStr">
        <is>
          <t>computers - software - medium / small</t>
        </is>
      </c>
      <c r="E54" s="31" t="inlineStr">
        <is>
          <t>midcap</t>
        </is>
      </c>
      <c r="F54" s="31" t="n">
        <v>12435.65</v>
      </c>
      <c r="G54" s="31" t="n">
        <v>635.15</v>
      </c>
      <c r="H54" s="31" t="n">
        <v>4.99</v>
      </c>
      <c r="I54" s="31" t="n">
        <v>1183557</v>
      </c>
      <c r="J54" s="31" t="inlineStr">
        <is>
          <t>535080</t>
        </is>
      </c>
    </row>
    <row r="55">
      <c r="A55" s="31" t="inlineStr">
        <is>
          <t>SGIL</t>
        </is>
      </c>
      <c r="B55" s="31" t="inlineStr">
        <is>
          <t>Synergy Green Industries Ltd</t>
        </is>
      </c>
      <c r="C55" s="31" t="inlineStr">
        <is>
          <t>industrials</t>
        </is>
      </c>
      <c r="D55" s="31" t="inlineStr">
        <is>
          <t>castings &amp; forgings</t>
        </is>
      </c>
      <c r="E55" s="31" t="inlineStr">
        <is>
          <t>smallcap</t>
        </is>
      </c>
      <c r="F55" s="31" t="n">
        <v>989.78</v>
      </c>
      <c r="G55" s="31" t="n">
        <v>668.5</v>
      </c>
      <c r="H55" s="31" t="n">
        <v>4.98</v>
      </c>
      <c r="I55" s="31" t="n">
        <v>84520</v>
      </c>
      <c r="J55" s="31" t="inlineStr">
        <is>
          <t>541929</t>
        </is>
      </c>
    </row>
    <row r="56">
      <c r="A56" s="31" t="inlineStr">
        <is>
          <t>LOTUSDEV</t>
        </is>
      </c>
      <c r="B56" s="31" t="inlineStr">
        <is>
          <t>Sri Lotus Developers &amp; Realty Ltd</t>
        </is>
      </c>
      <c r="C56" s="31" t="inlineStr">
        <is>
          <t>realty</t>
        </is>
      </c>
      <c r="D56" s="31" t="inlineStr">
        <is>
          <t>construction</t>
        </is>
      </c>
      <c r="E56" s="31" t="inlineStr">
        <is>
          <t>midcap</t>
        </is>
      </c>
      <c r="F56" s="31" t="n">
        <v>10450.87</v>
      </c>
      <c r="G56" s="31" t="n">
        <v>224.46</v>
      </c>
      <c r="H56" s="31" t="n">
        <v>4.97</v>
      </c>
      <c r="I56" s="31" t="n">
        <v>1269546</v>
      </c>
      <c r="J56" s="31" t="inlineStr">
        <is>
          <t>544469</t>
        </is>
      </c>
    </row>
    <row r="57">
      <c r="A57" s="31" t="inlineStr">
        <is>
          <t>MAMATA</t>
        </is>
      </c>
      <c r="B57" s="31" t="inlineStr">
        <is>
          <t>Mamata Machinery Ltd</t>
        </is>
      </c>
      <c r="C57" s="31" t="inlineStr">
        <is>
          <t>industrials</t>
        </is>
      </c>
      <c r="D57" s="31" t="inlineStr">
        <is>
          <t>engineering</t>
        </is>
      </c>
      <c r="E57" s="31" t="inlineStr">
        <is>
          <t>smallcap</t>
        </is>
      </c>
      <c r="F57" s="31" t="n">
        <v>993.05</v>
      </c>
      <c r="G57" s="31" t="n">
        <v>423.35</v>
      </c>
      <c r="H57" s="31" t="n">
        <v>4.91</v>
      </c>
      <c r="I57" s="31" t="n">
        <v>178742</v>
      </c>
      <c r="J57" s="31" t="inlineStr">
        <is>
          <t>544318</t>
        </is>
      </c>
    </row>
    <row r="58">
      <c r="A58" s="31" t="inlineStr">
        <is>
          <t>HEG</t>
        </is>
      </c>
      <c r="B58" s="31" t="inlineStr">
        <is>
          <t>Heg Limited</t>
        </is>
      </c>
      <c r="C58" s="31" t="inlineStr">
        <is>
          <t>industrials</t>
        </is>
      </c>
      <c r="D58" s="31" t="inlineStr">
        <is>
          <t>electrodes - graphites</t>
        </is>
      </c>
      <c r="E58" s="31" t="inlineStr">
        <is>
          <t>midcap</t>
        </is>
      </c>
      <c r="F58" s="31" t="n">
        <v>8195.5</v>
      </c>
      <c r="G58" s="31" t="n">
        <v>248.5</v>
      </c>
      <c r="H58" s="31" t="n">
        <v>4.83</v>
      </c>
      <c r="I58" s="31" t="n">
        <v>5439342</v>
      </c>
      <c r="J58" s="31" t="inlineStr">
        <is>
          <t>509631</t>
        </is>
      </c>
    </row>
    <row r="59">
      <c r="A59" s="31" t="inlineStr">
        <is>
          <t>FIVESTAR</t>
        </is>
      </c>
      <c r="B59" s="31" t="inlineStr">
        <is>
          <t>Five-Star Business Finance Ltd</t>
        </is>
      </c>
      <c r="C59" s="31" t="inlineStr">
        <is>
          <t>financials</t>
        </is>
      </c>
      <c r="D59" s="31" t="inlineStr">
        <is>
          <t>finance &amp; investments</t>
        </is>
      </c>
      <c r="E59" s="31" t="inlineStr">
        <is>
          <t>midcap</t>
        </is>
      </c>
      <c r="F59" s="31" t="n">
        <v>15492.51</v>
      </c>
      <c r="G59" s="31" t="n">
        <v>549.7</v>
      </c>
      <c r="H59" s="31" t="n">
        <v>4.73</v>
      </c>
      <c r="I59" s="31" t="n">
        <v>871098</v>
      </c>
      <c r="J59" s="31" t="n"/>
    </row>
    <row r="60">
      <c r="A60" s="31" t="inlineStr">
        <is>
          <t>MOTISONS</t>
        </is>
      </c>
      <c r="B60" s="31" t="inlineStr">
        <is>
          <t>Motisons Jewellers Ltd</t>
        </is>
      </c>
      <c r="C60" s="31" t="inlineStr">
        <is>
          <t>consumer discretionary</t>
        </is>
      </c>
      <c r="D60" s="31" t="inlineStr">
        <is>
          <t>diamond cutting / jewellery</t>
        </is>
      </c>
      <c r="E60" s="31" t="inlineStr">
        <is>
          <t>smallcap</t>
        </is>
      </c>
      <c r="F60" s="31" t="n">
        <v>2052.06</v>
      </c>
      <c r="G60" s="31" t="n">
        <v>18.89</v>
      </c>
      <c r="H60" s="31" t="n">
        <v>4.71</v>
      </c>
      <c r="I60" s="31" t="n">
        <v>144251390</v>
      </c>
      <c r="J60" s="31" t="inlineStr">
        <is>
          <t>544053</t>
        </is>
      </c>
    </row>
    <row r="61">
      <c r="A61" s="31" t="inlineStr">
        <is>
          <t>GANESHBE</t>
        </is>
      </c>
      <c r="B61" s="31" t="inlineStr">
        <is>
          <t>Ganesh Benzoplast Ltd</t>
        </is>
      </c>
      <c r="C61" s="31" t="inlineStr">
        <is>
          <t>miscellaneous</t>
        </is>
      </c>
      <c r="D61" s="31" t="inlineStr">
        <is>
          <t>miscellaneous</t>
        </is>
      </c>
      <c r="E61" s="31" t="inlineStr">
        <is>
          <t>smallcap</t>
        </is>
      </c>
      <c r="F61" s="31" t="n">
        <v>901.45</v>
      </c>
      <c r="G61" s="31" t="n">
        <v>131.08</v>
      </c>
      <c r="H61" s="31" t="n">
        <v>4.68</v>
      </c>
      <c r="I61" s="31" t="n">
        <v>435311</v>
      </c>
      <c r="J61" s="31" t="inlineStr">
        <is>
          <t>500153</t>
        </is>
      </c>
    </row>
    <row r="62">
      <c r="A62" s="31" t="inlineStr">
        <is>
          <t>TI</t>
        </is>
      </c>
      <c r="B62" s="31" t="inlineStr">
        <is>
          <t>Tilaknagar Industries Limited</t>
        </is>
      </c>
      <c r="C62" s="31" t="inlineStr">
        <is>
          <t>fmcg</t>
        </is>
      </c>
      <c r="D62" s="31" t="inlineStr">
        <is>
          <t>breweries &amp; distilleries</t>
        </is>
      </c>
      <c r="E62" s="31" t="inlineStr">
        <is>
          <t>midcap</t>
        </is>
      </c>
      <c r="F62" s="31" t="n">
        <v>14221.09</v>
      </c>
      <c r="G62" s="31" t="n">
        <v>601.5</v>
      </c>
      <c r="H62" s="31" t="n">
        <v>4.67</v>
      </c>
      <c r="I62" s="31" t="n">
        <v>1593921</v>
      </c>
      <c r="J62" s="31" t="inlineStr">
        <is>
          <t>507205</t>
        </is>
      </c>
    </row>
    <row r="63">
      <c r="A63" s="31" t="inlineStr">
        <is>
          <t>TEXRAIL</t>
        </is>
      </c>
      <c r="B63" s="31" t="inlineStr">
        <is>
          <t>Texmaco Rail &amp; Engineering Limited</t>
        </is>
      </c>
      <c r="C63" s="31" t="inlineStr">
        <is>
          <t>industrials</t>
        </is>
      </c>
      <c r="D63" s="31" t="inlineStr">
        <is>
          <t>engineering</t>
        </is>
      </c>
      <c r="E63" s="31" t="inlineStr">
        <is>
          <t>smallcap</t>
        </is>
      </c>
      <c r="F63" s="31" t="n">
        <v>4849.83</v>
      </c>
      <c r="G63" s="31" t="n">
        <v>124.75</v>
      </c>
      <c r="H63" s="31" t="n">
        <v>4.66</v>
      </c>
      <c r="I63" s="31" t="n">
        <v>6899587</v>
      </c>
      <c r="J63" s="31" t="inlineStr">
        <is>
          <t>533326</t>
        </is>
      </c>
    </row>
    <row r="64">
      <c r="A64" s="31" t="inlineStr">
        <is>
          <t>ANTELOPUS</t>
        </is>
      </c>
      <c r="B64" s="31" t="inlineStr">
        <is>
          <t>Antelopus Selan Energy Ltd</t>
        </is>
      </c>
      <c r="C64" s="31" t="inlineStr">
        <is>
          <t>energy</t>
        </is>
      </c>
      <c r="D64" s="31" t="inlineStr">
        <is>
          <t>oil drilling / allied services</t>
        </is>
      </c>
      <c r="E64" s="31" t="inlineStr">
        <is>
          <t>smallcap</t>
        </is>
      </c>
      <c r="F64" s="31" t="n">
        <v>3904.43</v>
      </c>
      <c r="G64" s="31" t="n">
        <v>1161.2</v>
      </c>
      <c r="H64" s="31" t="n">
        <v>4.57</v>
      </c>
      <c r="I64" s="31" t="n">
        <v>1138872</v>
      </c>
      <c r="J64" s="31" t="inlineStr">
        <is>
          <t>530075</t>
        </is>
      </c>
    </row>
    <row r="65">
      <c r="A65" s="31" t="inlineStr">
        <is>
          <t>IGPL</t>
        </is>
      </c>
      <c r="B65" s="31" t="inlineStr">
        <is>
          <t>Ig Petrochemicals Limited</t>
        </is>
      </c>
      <c r="C65" s="31" t="inlineStr">
        <is>
          <t>chemicals</t>
        </is>
      </c>
      <c r="D65" s="31" t="inlineStr">
        <is>
          <t>chemicals</t>
        </is>
      </c>
      <c r="E65" s="31" t="inlineStr">
        <is>
          <t>smallcap</t>
        </is>
      </c>
      <c r="F65" s="31" t="n">
        <v>1734.98</v>
      </c>
      <c r="G65" s="31" t="n">
        <v>588.95</v>
      </c>
      <c r="H65" s="31" t="n">
        <v>4.54</v>
      </c>
      <c r="I65" s="31" t="n">
        <v>237014</v>
      </c>
      <c r="J65" s="31" t="inlineStr">
        <is>
          <t>500199</t>
        </is>
      </c>
    </row>
    <row r="66">
      <c r="A66" s="31" t="inlineStr">
        <is>
          <t>PASUPTAC</t>
        </is>
      </c>
      <c r="B66" s="31" t="inlineStr">
        <is>
          <t>Pasupati Acrylon Ltd</t>
        </is>
      </c>
      <c r="C66" s="31" t="inlineStr">
        <is>
          <t>textiles</t>
        </is>
      </c>
      <c r="D66" s="31" t="inlineStr">
        <is>
          <t>textiles - manmade</t>
        </is>
      </c>
      <c r="E66" s="31" t="inlineStr">
        <is>
          <t>smallcap</t>
        </is>
      </c>
      <c r="F66" s="31" t="n">
        <v>680.71</v>
      </c>
      <c r="G66" s="31" t="n">
        <v>79.81999999999999</v>
      </c>
      <c r="H66" s="31" t="n">
        <v>4.52</v>
      </c>
      <c r="I66" s="31" t="n">
        <v>1040321</v>
      </c>
      <c r="J66" s="31" t="inlineStr">
        <is>
          <t>500456</t>
        </is>
      </c>
    </row>
    <row r="67">
      <c r="A67" s="31" t="inlineStr">
        <is>
          <t>POLICYBZR</t>
        </is>
      </c>
      <c r="B67" s="31" t="inlineStr">
        <is>
          <t>PB Fintech Ltd</t>
        </is>
      </c>
      <c r="C67" s="31" t="inlineStr">
        <is>
          <t>i.t</t>
        </is>
      </c>
      <c r="D67" s="31" t="inlineStr">
        <is>
          <t>miscellaneous</t>
        </is>
      </c>
      <c r="E67" s="31" t="inlineStr">
        <is>
          <t>largecap</t>
        </is>
      </c>
      <c r="F67" s="31" t="n">
        <v>83516.42</v>
      </c>
      <c r="G67" s="31" t="n">
        <v>1886.3</v>
      </c>
      <c r="H67" s="31" t="n">
        <v>4.5</v>
      </c>
      <c r="I67" s="31" t="n">
        <v>2477939</v>
      </c>
      <c r="J67" s="31" t="inlineStr">
        <is>
          <t>543390</t>
        </is>
      </c>
    </row>
    <row r="68">
      <c r="A68" s="31" t="inlineStr">
        <is>
          <t>TCPLPACK</t>
        </is>
      </c>
      <c r="B68" s="31" t="inlineStr">
        <is>
          <t>TCPL Packaging Ltd</t>
        </is>
      </c>
      <c r="C68" s="31" t="inlineStr">
        <is>
          <t>industrials</t>
        </is>
      </c>
      <c r="D68" s="31" t="inlineStr">
        <is>
          <t>packaging</t>
        </is>
      </c>
      <c r="E68" s="31" t="inlineStr">
        <is>
          <t>smallcap</t>
        </is>
      </c>
      <c r="F68" s="31" t="n">
        <v>3488.76</v>
      </c>
      <c r="G68" s="31" t="n">
        <v>4003</v>
      </c>
      <c r="H68" s="31" t="n">
        <v>4.41</v>
      </c>
      <c r="I68" s="31" t="n">
        <v>13166</v>
      </c>
      <c r="J68" s="31" t="inlineStr">
        <is>
          <t>523301</t>
        </is>
      </c>
    </row>
    <row r="69">
      <c r="A69" s="31" t="inlineStr">
        <is>
          <t>MARKSANS</t>
        </is>
      </c>
      <c r="B69" s="31" t="inlineStr">
        <is>
          <t>Marksans Pharma Limited</t>
        </is>
      </c>
      <c r="C69" s="31" t="inlineStr">
        <is>
          <t>healthcare</t>
        </is>
      </c>
      <c r="D69" s="31" t="inlineStr">
        <is>
          <t>pharmaceuticals - indian - formulations</t>
        </is>
      </c>
      <c r="E69" s="31" t="inlineStr">
        <is>
          <t>midcap</t>
        </is>
      </c>
      <c r="F69" s="31" t="n">
        <v>15088.09</v>
      </c>
      <c r="G69" s="31" t="n">
        <v>347.6</v>
      </c>
      <c r="H69" s="31" t="n">
        <v>4.4</v>
      </c>
      <c r="I69" s="31" t="n">
        <v>3317178</v>
      </c>
      <c r="J69" s="31" t="inlineStr">
        <is>
          <t>524404</t>
        </is>
      </c>
    </row>
    <row r="70">
      <c r="A70" s="31" t="inlineStr">
        <is>
          <t>CARBORUNIV</t>
        </is>
      </c>
      <c r="B70" s="31" t="inlineStr">
        <is>
          <t>Carborundum Universal Limited</t>
        </is>
      </c>
      <c r="C70" s="31" t="inlineStr">
        <is>
          <t>industrials</t>
        </is>
      </c>
      <c r="D70" s="31" t="inlineStr">
        <is>
          <t>abrasives and grinding wheels</t>
        </is>
      </c>
      <c r="E70" s="31" t="inlineStr">
        <is>
          <t>largecap</t>
        </is>
      </c>
      <c r="F70" s="31" t="n">
        <v>23074.48</v>
      </c>
      <c r="G70" s="31" t="n">
        <v>1264.5</v>
      </c>
      <c r="H70" s="31" t="n">
        <v>4.39</v>
      </c>
      <c r="I70" s="31" t="n">
        <v>597871</v>
      </c>
      <c r="J70" s="31" t="inlineStr">
        <is>
          <t>513375</t>
        </is>
      </c>
    </row>
    <row r="71">
      <c r="A71" s="31" t="inlineStr">
        <is>
          <t>BHAGYANGR</t>
        </is>
      </c>
      <c r="B71" s="31" t="inlineStr">
        <is>
          <t>Bhagyanagar India</t>
        </is>
      </c>
      <c r="C71" s="31" t="inlineStr">
        <is>
          <t>power &amp; utilities</t>
        </is>
      </c>
      <c r="D71" s="31" t="inlineStr">
        <is>
          <t>power generation and supply</t>
        </is>
      </c>
      <c r="E71" s="31" t="inlineStr">
        <is>
          <t>smallcap</t>
        </is>
      </c>
      <c r="F71" s="31" t="n">
        <v>1427.12</v>
      </c>
      <c r="G71" s="31" t="n">
        <v>444.65</v>
      </c>
      <c r="H71" s="31" t="n">
        <v>4.37</v>
      </c>
      <c r="I71" s="31" t="n">
        <v>147276</v>
      </c>
      <c r="J71" s="31" t="inlineStr">
        <is>
          <t>512296</t>
        </is>
      </c>
    </row>
    <row r="72">
      <c r="A72" s="31" t="inlineStr">
        <is>
          <t>QPOWER</t>
        </is>
      </c>
      <c r="B72" s="31" t="inlineStr">
        <is>
          <t>Quality Power Electrical Equipments Ltd</t>
        </is>
      </c>
      <c r="C72" s="31" t="inlineStr">
        <is>
          <t>industrials</t>
        </is>
      </c>
      <c r="D72" s="31" t="inlineStr">
        <is>
          <t>electric equipment</t>
        </is>
      </c>
      <c r="E72" s="31" t="inlineStr">
        <is>
          <t>midcap</t>
        </is>
      </c>
      <c r="F72" s="31" t="n">
        <v>11551.56</v>
      </c>
      <c r="G72" s="31" t="n">
        <v>1555.6</v>
      </c>
      <c r="H72" s="31" t="n">
        <v>4.29</v>
      </c>
      <c r="I72" s="31" t="n">
        <v>326604</v>
      </c>
      <c r="J72" s="31" t="inlineStr">
        <is>
          <t>544367</t>
        </is>
      </c>
    </row>
    <row r="73">
      <c r="A73" s="31" t="inlineStr">
        <is>
          <t>TMB</t>
        </is>
      </c>
      <c r="B73" s="31" t="inlineStr">
        <is>
          <t>Tamilnad Mercantile Bank Ltd</t>
        </is>
      </c>
      <c r="C73" s="31" t="inlineStr">
        <is>
          <t>bank</t>
        </is>
      </c>
      <c r="D73" s="31" t="inlineStr">
        <is>
          <t>banks - private sector</t>
        </is>
      </c>
      <c r="E73" s="31" t="inlineStr">
        <is>
          <t>midcap</t>
        </is>
      </c>
      <c r="F73" s="31" t="n">
        <v>13994.31</v>
      </c>
      <c r="G73" s="31" t="n">
        <v>921.4</v>
      </c>
      <c r="H73" s="31" t="n">
        <v>4.26</v>
      </c>
      <c r="I73" s="31" t="n">
        <v>237718</v>
      </c>
      <c r="J73" s="31" t="inlineStr">
        <is>
          <t>543596</t>
        </is>
      </c>
    </row>
    <row r="74">
      <c r="A74" s="31" t="inlineStr">
        <is>
          <t>SAMBHV</t>
        </is>
      </c>
      <c r="B74" s="31" t="inlineStr">
        <is>
          <t>Sambhv Steel Tubes Ltd</t>
        </is>
      </c>
      <c r="C74" s="31" t="inlineStr">
        <is>
          <t>metals &amp; mining</t>
        </is>
      </c>
      <c r="D74" s="31" t="inlineStr">
        <is>
          <t>steel - medium / small</t>
        </is>
      </c>
      <c r="E74" s="31" t="inlineStr">
        <is>
          <t>smallcap</t>
        </is>
      </c>
      <c r="F74" s="31" t="n">
        <v>4477.24</v>
      </c>
      <c r="G74" s="31" t="n">
        <v>158.22</v>
      </c>
      <c r="H74" s="31" t="n">
        <v>4.13</v>
      </c>
      <c r="I74" s="31" t="n">
        <v>7438082</v>
      </c>
      <c r="J74" s="31" t="inlineStr">
        <is>
          <t>544430</t>
        </is>
      </c>
    </row>
    <row r="75">
      <c r="A75" s="31" t="inlineStr">
        <is>
          <t>SOUTHBANK</t>
        </is>
      </c>
      <c r="B75" s="31" t="inlineStr">
        <is>
          <t>The South Indian Bank Limited</t>
        </is>
      </c>
      <c r="C75" s="31" t="inlineStr">
        <is>
          <t>bank</t>
        </is>
      </c>
      <c r="D75" s="31" t="inlineStr">
        <is>
          <t>banks - private sector</t>
        </is>
      </c>
      <c r="E75" s="31" t="inlineStr">
        <is>
          <t>midcap</t>
        </is>
      </c>
      <c r="F75" s="31" t="n">
        <v>11841.51</v>
      </c>
      <c r="G75" s="31" t="n">
        <v>47.08</v>
      </c>
      <c r="H75" s="31" t="n">
        <v>4.09</v>
      </c>
      <c r="I75" s="31" t="n">
        <v>14551891</v>
      </c>
      <c r="J75" s="31" t="inlineStr">
        <is>
          <t>532218</t>
        </is>
      </c>
    </row>
    <row r="76">
      <c r="A76" s="31" t="inlineStr">
        <is>
          <t>KSL</t>
        </is>
      </c>
      <c r="B76" s="31" t="inlineStr">
        <is>
          <t>Kalyani Steels Limited</t>
        </is>
      </c>
      <c r="C76" s="31" t="inlineStr">
        <is>
          <t>metals &amp; mining</t>
        </is>
      </c>
      <c r="D76" s="31" t="inlineStr">
        <is>
          <t>steel - medium / small</t>
        </is>
      </c>
      <c r="E76" s="31" t="inlineStr">
        <is>
          <t>smallcap</t>
        </is>
      </c>
      <c r="F76" s="31" t="n">
        <v>4186.98</v>
      </c>
      <c r="G76" s="31" t="n">
        <v>998.25</v>
      </c>
      <c r="H76" s="31" t="n">
        <v>4.08</v>
      </c>
      <c r="I76" s="31" t="n">
        <v>646949</v>
      </c>
      <c r="J76" s="31" t="inlineStr">
        <is>
          <t>500235</t>
        </is>
      </c>
    </row>
    <row r="77">
      <c r="A77" s="31" t="inlineStr">
        <is>
          <t>TBZ</t>
        </is>
      </c>
      <c r="B77" s="31" t="inlineStr">
        <is>
          <t>Tribhovandas Bhimji Zaveri Limited</t>
        </is>
      </c>
      <c r="C77" s="31" t="inlineStr">
        <is>
          <t>consumer discretionary</t>
        </is>
      </c>
      <c r="D77" s="31" t="inlineStr">
        <is>
          <t>diamond cutting / jewellery</t>
        </is>
      </c>
      <c r="E77" s="31" t="inlineStr">
        <is>
          <t>smallcap</t>
        </is>
      </c>
      <c r="F77" s="31" t="n">
        <v>4439.92</v>
      </c>
      <c r="G77" s="31" t="n">
        <v>692.45</v>
      </c>
      <c r="H77" s="31" t="n">
        <v>4.07</v>
      </c>
      <c r="I77" s="31" t="n">
        <v>835442</v>
      </c>
      <c r="J77" s="31" t="inlineStr">
        <is>
          <t>534369</t>
        </is>
      </c>
    </row>
    <row r="78">
      <c r="A78" s="31" t="inlineStr">
        <is>
          <t>GNFC</t>
        </is>
      </c>
      <c r="B78" s="31" t="inlineStr">
        <is>
          <t>Gujarat Narmada Valley Fertilizers And Chemicals Limited</t>
        </is>
      </c>
      <c r="C78" s="31" t="inlineStr">
        <is>
          <t>chemicals</t>
        </is>
      </c>
      <c r="D78" s="31" t="inlineStr">
        <is>
          <t>chemicals</t>
        </is>
      </c>
      <c r="E78" s="31" t="inlineStr">
        <is>
          <t>midcap</t>
        </is>
      </c>
      <c r="F78" s="31" t="n">
        <v>8797.34</v>
      </c>
      <c r="G78" s="31" t="n">
        <v>623.05</v>
      </c>
      <c r="H78" s="31" t="n">
        <v>4.07</v>
      </c>
      <c r="I78" s="31" t="n">
        <v>1894770</v>
      </c>
      <c r="J78" s="31" t="inlineStr">
        <is>
          <t>500670</t>
        </is>
      </c>
    </row>
    <row r="79">
      <c r="A79" s="31" t="inlineStr">
        <is>
          <t>MAHLOG</t>
        </is>
      </c>
      <c r="B79" s="31" t="inlineStr">
        <is>
          <t>Mahindra Logistics Ltd</t>
        </is>
      </c>
      <c r="C79" s="31" t="inlineStr">
        <is>
          <t>transportation</t>
        </is>
      </c>
      <c r="D79" s="31" t="inlineStr">
        <is>
          <t>miscellaneous</t>
        </is>
      </c>
      <c r="E79" s="31" t="inlineStr">
        <is>
          <t>smallcap</t>
        </is>
      </c>
      <c r="F79" s="31" t="n">
        <v>3971.88</v>
      </c>
      <c r="G79" s="31" t="n">
        <v>416.55</v>
      </c>
      <c r="H79" s="31" t="n">
        <v>4.06</v>
      </c>
      <c r="I79" s="31" t="n">
        <v>418086</v>
      </c>
      <c r="J79" s="31" t="inlineStr">
        <is>
          <t>540768</t>
        </is>
      </c>
    </row>
    <row r="80">
      <c r="A80" s="31" t="inlineStr">
        <is>
          <t>PITTIENG</t>
        </is>
      </c>
      <c r="B80" s="31" t="inlineStr">
        <is>
          <t>Pitti Engineering Ltd</t>
        </is>
      </c>
      <c r="C80" s="31" t="inlineStr">
        <is>
          <t>industrials</t>
        </is>
      </c>
      <c r="D80" s="31" t="inlineStr">
        <is>
          <t>engineering</t>
        </is>
      </c>
      <c r="E80" s="31" t="inlineStr">
        <is>
          <t>smallcap</t>
        </is>
      </c>
      <c r="F80" s="31" t="n">
        <v>4224.36</v>
      </c>
      <c r="G80" s="31" t="n">
        <v>1167.1</v>
      </c>
      <c r="H80" s="31" t="n">
        <v>4.03</v>
      </c>
      <c r="I80" s="31" t="n">
        <v>162348</v>
      </c>
      <c r="J80" s="31" t="inlineStr">
        <is>
          <t>513519</t>
        </is>
      </c>
    </row>
    <row r="81">
      <c r="A81" s="31" t="inlineStr">
        <is>
          <t>NRBBEARING</t>
        </is>
      </c>
      <c r="B81" s="31" t="inlineStr">
        <is>
          <t>Nrb Bearing Limited</t>
        </is>
      </c>
      <c r="C81" s="31" t="inlineStr">
        <is>
          <t>industrials</t>
        </is>
      </c>
      <c r="D81" s="31" t="inlineStr">
        <is>
          <t>bearings</t>
        </is>
      </c>
      <c r="E81" s="31" t="inlineStr">
        <is>
          <t>midcap</t>
        </is>
      </c>
      <c r="F81" s="31" t="n">
        <v>5044.82</v>
      </c>
      <c r="G81" s="31" t="n">
        <v>541.05</v>
      </c>
      <c r="H81" s="31" t="n">
        <v>3.95</v>
      </c>
      <c r="I81" s="31" t="n">
        <v>1530829</v>
      </c>
      <c r="J81" s="31" t="inlineStr">
        <is>
          <t>530367</t>
        </is>
      </c>
    </row>
    <row r="82">
      <c r="A82" s="31" t="inlineStr">
        <is>
          <t>MVGJL</t>
        </is>
      </c>
      <c r="B82" s="31" t="inlineStr">
        <is>
          <t>Manoj Vaibhav Gems N Jewellers Ltd</t>
        </is>
      </c>
      <c r="C82" s="31" t="inlineStr">
        <is>
          <t>consumer discretionary</t>
        </is>
      </c>
      <c r="D82" s="31" t="inlineStr">
        <is>
          <t>diamond cutting / jewellery</t>
        </is>
      </c>
      <c r="E82" s="31" t="inlineStr">
        <is>
          <t>smallcap</t>
        </is>
      </c>
      <c r="F82" s="31" t="n">
        <v>1041.72</v>
      </c>
      <c r="G82" s="31" t="n">
        <v>221.29</v>
      </c>
      <c r="H82" s="31" t="n">
        <v>3.77</v>
      </c>
      <c r="I82" s="31" t="n">
        <v>764238</v>
      </c>
      <c r="J82" s="31" t="inlineStr">
        <is>
          <t>543995</t>
        </is>
      </c>
    </row>
    <row r="83">
      <c r="A83" s="31" t="inlineStr">
        <is>
          <t>IKS</t>
        </is>
      </c>
      <c r="B83" s="31" t="inlineStr">
        <is>
          <t>Inventurus Knowledge Solutions Ltd</t>
        </is>
      </c>
      <c r="C83" s="31" t="inlineStr">
        <is>
          <t>i.t</t>
        </is>
      </c>
      <c r="D83" s="31" t="inlineStr">
        <is>
          <t>computers - software - medium / small</t>
        </is>
      </c>
      <c r="E83" s="31" t="inlineStr">
        <is>
          <t>largecap</t>
        </is>
      </c>
      <c r="F83" s="31" t="n">
        <v>32070.45</v>
      </c>
      <c r="G83" s="31" t="n">
        <v>1937.8</v>
      </c>
      <c r="H83" s="31" t="n">
        <v>3.67</v>
      </c>
      <c r="I83" s="31" t="n">
        <v>1011998</v>
      </c>
      <c r="J83" s="31" t="inlineStr">
        <is>
          <t>544309</t>
        </is>
      </c>
    </row>
    <row r="84">
      <c r="A84" s="31" t="inlineStr">
        <is>
          <t>BANDHANBNK</t>
        </is>
      </c>
      <c r="B84" s="31" t="inlineStr">
        <is>
          <t>Bandhan Bank Ltd</t>
        </is>
      </c>
      <c r="C84" s="31" t="inlineStr">
        <is>
          <t>bank</t>
        </is>
      </c>
      <c r="D84" s="31" t="inlineStr">
        <is>
          <t>banks - private sector</t>
        </is>
      </c>
      <c r="E84" s="31" t="inlineStr">
        <is>
          <t>largecap</t>
        </is>
      </c>
      <c r="F84" s="31" t="n">
        <v>29756.61</v>
      </c>
      <c r="G84" s="31" t="n">
        <v>191.38</v>
      </c>
      <c r="H84" s="31" t="n">
        <v>3.62</v>
      </c>
      <c r="I84" s="31" t="n">
        <v>41844761</v>
      </c>
      <c r="J84" s="31" t="inlineStr">
        <is>
          <t>541153</t>
        </is>
      </c>
    </row>
    <row r="85">
      <c r="A85" s="31" t="inlineStr">
        <is>
          <t>VIJAYA</t>
        </is>
      </c>
      <c r="B85" s="31" t="inlineStr">
        <is>
          <t>Vijaya Diagnostic Centre Ltd</t>
        </is>
      </c>
      <c r="C85" s="31" t="inlineStr">
        <is>
          <t>healthcare</t>
        </is>
      </c>
      <c r="D85" s="31" t="inlineStr">
        <is>
          <t>healthcare</t>
        </is>
      </c>
      <c r="E85" s="31" t="inlineStr">
        <is>
          <t>midcap</t>
        </is>
      </c>
      <c r="F85" s="31" t="n">
        <v>15599.14</v>
      </c>
      <c r="G85" s="31" t="n">
        <v>1570.7</v>
      </c>
      <c r="H85" s="31" t="n">
        <v>3.61</v>
      </c>
      <c r="I85" s="31" t="n">
        <v>209302</v>
      </c>
      <c r="J85" s="31" t="inlineStr">
        <is>
          <t>543350</t>
        </is>
      </c>
    </row>
    <row r="86">
      <c r="A86" s="31" t="inlineStr">
        <is>
          <t>TASTYBITE</t>
        </is>
      </c>
      <c r="B86" s="31" t="inlineStr">
        <is>
          <t>Tasty Bite Eatables Ltd</t>
        </is>
      </c>
      <c r="C86" s="31" t="inlineStr">
        <is>
          <t>fmcg</t>
        </is>
      </c>
      <c r="D86" s="31" t="inlineStr">
        <is>
          <t>food - processing - indian</t>
        </is>
      </c>
      <c r="E86" s="31" t="inlineStr">
        <is>
          <t>smallcap</t>
        </is>
      </c>
      <c r="F86" s="31" t="n">
        <v>2522.12</v>
      </c>
      <c r="G86" s="31" t="n">
        <v>10180</v>
      </c>
      <c r="H86" s="31" t="n">
        <v>3.57</v>
      </c>
      <c r="I86" s="31" t="n">
        <v>3654</v>
      </c>
      <c r="J86" s="31" t="inlineStr">
        <is>
          <t>519091</t>
        </is>
      </c>
    </row>
    <row r="87">
      <c r="A87" s="31" t="inlineStr">
        <is>
          <t>ANANTRAJ</t>
        </is>
      </c>
      <c r="B87" s="31" t="inlineStr">
        <is>
          <t>Anant Raj Limited</t>
        </is>
      </c>
      <c r="C87" s="31" t="inlineStr">
        <is>
          <t>realty</t>
        </is>
      </c>
      <c r="D87" s="31" t="inlineStr">
        <is>
          <t>construction</t>
        </is>
      </c>
      <c r="E87" s="31" t="inlineStr">
        <is>
          <t>largecap</t>
        </is>
      </c>
      <c r="F87" s="31" t="n">
        <v>21956.09</v>
      </c>
      <c r="G87" s="31" t="n">
        <v>631.8</v>
      </c>
      <c r="H87" s="31" t="n">
        <v>3.56</v>
      </c>
      <c r="I87" s="31" t="n">
        <v>3329387</v>
      </c>
      <c r="J87" s="31" t="inlineStr">
        <is>
          <t>515055</t>
        </is>
      </c>
    </row>
    <row r="88">
      <c r="A88" s="31" t="inlineStr">
        <is>
          <t>SHIVALIK</t>
        </is>
      </c>
      <c r="B88" s="31" t="inlineStr">
        <is>
          <t>Shivalik Rasayan Ltd</t>
        </is>
      </c>
      <c r="C88" s="31" t="inlineStr">
        <is>
          <t>chemicals</t>
        </is>
      </c>
      <c r="D88" s="31" t="inlineStr">
        <is>
          <t>pesticides / agrochemicals - indian</t>
        </is>
      </c>
      <c r="E88" s="31" t="inlineStr">
        <is>
          <t>smallcap</t>
        </is>
      </c>
      <c r="F88" s="31" t="n">
        <v>668.39</v>
      </c>
      <c r="G88" s="31" t="n">
        <v>431.65</v>
      </c>
      <c r="H88" s="31" t="n">
        <v>3.54</v>
      </c>
      <c r="I88" s="31" t="n">
        <v>143393</v>
      </c>
      <c r="J88" s="31" t="inlineStr">
        <is>
          <t>539148</t>
        </is>
      </c>
    </row>
    <row r="89">
      <c r="A89" s="31" t="inlineStr">
        <is>
          <t>MOTILALOFS</t>
        </is>
      </c>
      <c r="B89" s="31" t="inlineStr">
        <is>
          <t>Motilal Oswal Financial Services Limited</t>
        </is>
      </c>
      <c r="C89" s="31" t="inlineStr">
        <is>
          <t>financials</t>
        </is>
      </c>
      <c r="D89" s="31" t="inlineStr">
        <is>
          <t>finance &amp; investments</t>
        </is>
      </c>
      <c r="E89" s="31" t="inlineStr">
        <is>
          <t>largecap</t>
        </is>
      </c>
      <c r="F89" s="31" t="n">
        <v>60636.17</v>
      </c>
      <c r="G89" s="31" t="n">
        <v>1042.5</v>
      </c>
      <c r="H89" s="31" t="n">
        <v>3.53</v>
      </c>
      <c r="I89" s="31" t="n">
        <v>2096581</v>
      </c>
      <c r="J89" s="31" t="inlineStr">
        <is>
          <t>532892</t>
        </is>
      </c>
    </row>
    <row r="90">
      <c r="A90" s="31" t="inlineStr">
        <is>
          <t>MARINE</t>
        </is>
      </c>
      <c r="B90" s="31" t="inlineStr">
        <is>
          <t>Marine Electricals (India) Ltd</t>
        </is>
      </c>
      <c r="C90" s="31" t="inlineStr">
        <is>
          <t>industrials</t>
        </is>
      </c>
      <c r="D90" s="31" t="inlineStr">
        <is>
          <t>electric equipment</t>
        </is>
      </c>
      <c r="E90" s="31" t="inlineStr">
        <is>
          <t>midcap</t>
        </is>
      </c>
      <c r="F90" s="31" t="n">
        <v>5758.01</v>
      </c>
      <c r="G90" s="31" t="n">
        <v>425.8</v>
      </c>
      <c r="H90" s="31" t="n">
        <v>3.49</v>
      </c>
      <c r="I90" s="31" t="n">
        <v>19063839</v>
      </c>
      <c r="J90" s="31" t="inlineStr">
        <is>
          <t>535119</t>
        </is>
      </c>
    </row>
    <row r="91">
      <c r="A91" s="31" t="inlineStr">
        <is>
          <t>KTKBANK</t>
        </is>
      </c>
      <c r="B91" s="31" t="inlineStr">
        <is>
          <t>The Karnataka Bank Limited</t>
        </is>
      </c>
      <c r="C91" s="31" t="inlineStr">
        <is>
          <t>bank</t>
        </is>
      </c>
      <c r="D91" s="31" t="inlineStr">
        <is>
          <t>banks - private sector</t>
        </is>
      </c>
      <c r="E91" s="31" t="inlineStr">
        <is>
          <t>midcap</t>
        </is>
      </c>
      <c r="F91" s="31" t="n">
        <v>12537.44</v>
      </c>
      <c r="G91" s="31" t="n">
        <v>343.05</v>
      </c>
      <c r="H91" s="31" t="n">
        <v>3.48</v>
      </c>
      <c r="I91" s="31" t="n">
        <v>3566531</v>
      </c>
      <c r="J91" s="31" t="inlineStr">
        <is>
          <t>532652</t>
        </is>
      </c>
    </row>
    <row r="92">
      <c r="A92" s="31" t="inlineStr">
        <is>
          <t>RADICO</t>
        </is>
      </c>
      <c r="B92" s="31" t="inlineStr">
        <is>
          <t>Radico Khaitan Limited</t>
        </is>
      </c>
      <c r="C92" s="31" t="inlineStr">
        <is>
          <t>fmcg</t>
        </is>
      </c>
      <c r="D92" s="31" t="inlineStr">
        <is>
          <t>breweries &amp; distilleries</t>
        </is>
      </c>
      <c r="E92" s="31" t="inlineStr">
        <is>
          <t>largecap</t>
        </is>
      </c>
      <c r="F92" s="31" t="n">
        <v>59583.38</v>
      </c>
      <c r="G92" s="31" t="n">
        <v>4601.9</v>
      </c>
      <c r="H92" s="31" t="n">
        <v>3.44</v>
      </c>
      <c r="I92" s="31" t="n">
        <v>528324</v>
      </c>
      <c r="J92" s="31" t="inlineStr">
        <is>
          <t>532497</t>
        </is>
      </c>
    </row>
    <row r="93">
      <c r="A93" s="31" t="inlineStr">
        <is>
          <t>BODALCHEM</t>
        </is>
      </c>
      <c r="B93" s="31" t="inlineStr">
        <is>
          <t>Bodal Chemicals Limited</t>
        </is>
      </c>
      <c r="C93" s="31" t="inlineStr">
        <is>
          <t>chemicals</t>
        </is>
      </c>
      <c r="D93" s="31" t="inlineStr">
        <is>
          <t>dyes and pigments</t>
        </is>
      </c>
      <c r="E93" s="31" t="inlineStr">
        <is>
          <t>smallcap</t>
        </is>
      </c>
      <c r="F93" s="31" t="n">
        <v>2429.46</v>
      </c>
      <c r="G93" s="31" t="n">
        <v>199.53</v>
      </c>
      <c r="H93" s="31" t="n">
        <v>3.44</v>
      </c>
      <c r="I93" s="31" t="n">
        <v>2073889</v>
      </c>
      <c r="J93" s="31" t="inlineStr">
        <is>
          <t>524370</t>
        </is>
      </c>
    </row>
    <row r="94">
      <c r="A94" s="31" t="inlineStr">
        <is>
          <t>TIMKEN</t>
        </is>
      </c>
      <c r="B94" s="31" t="inlineStr">
        <is>
          <t>Timken India Limited</t>
        </is>
      </c>
      <c r="C94" s="31" t="inlineStr">
        <is>
          <t>industrials</t>
        </is>
      </c>
      <c r="D94" s="31" t="inlineStr">
        <is>
          <t>bearings</t>
        </is>
      </c>
      <c r="E94" s="31" t="inlineStr">
        <is>
          <t>largecap</t>
        </is>
      </c>
      <c r="F94" s="31" t="n">
        <v>23908.27</v>
      </c>
      <c r="G94" s="31" t="n">
        <v>3287.9</v>
      </c>
      <c r="H94" s="31" t="n">
        <v>3.44</v>
      </c>
      <c r="I94" s="31" t="n">
        <v>55180</v>
      </c>
      <c r="J94" s="31" t="inlineStr">
        <is>
          <t>522113</t>
        </is>
      </c>
    </row>
    <row r="95">
      <c r="A95" s="31" t="inlineStr">
        <is>
          <t>UFLEX</t>
        </is>
      </c>
      <c r="B95" s="31" t="inlineStr">
        <is>
          <t>Uflex Limited</t>
        </is>
      </c>
      <c r="C95" s="31" t="inlineStr">
        <is>
          <t>industrials</t>
        </is>
      </c>
      <c r="D95" s="31" t="inlineStr">
        <is>
          <t>packaging</t>
        </is>
      </c>
      <c r="E95" s="31" t="inlineStr">
        <is>
          <t>smallcap</t>
        </is>
      </c>
      <c r="F95" s="31" t="n">
        <v>4680.39</v>
      </c>
      <c r="G95" s="31" t="n">
        <v>670.45</v>
      </c>
      <c r="H95" s="31" t="n">
        <v>3.44</v>
      </c>
      <c r="I95" s="31" t="n">
        <v>150879</v>
      </c>
      <c r="J95" s="31" t="inlineStr">
        <is>
          <t>500148</t>
        </is>
      </c>
    </row>
    <row r="96">
      <c r="A96" s="31" t="inlineStr">
        <is>
          <t>MCX</t>
        </is>
      </c>
      <c r="B96" s="31" t="inlineStr">
        <is>
          <t>Multi Commodity Exchange Of India Limited</t>
        </is>
      </c>
      <c r="C96" s="31" t="inlineStr">
        <is>
          <t>financials</t>
        </is>
      </c>
      <c r="D96" s="31" t="inlineStr">
        <is>
          <t>miscellaneous</t>
        </is>
      </c>
      <c r="E96" s="31" t="inlineStr">
        <is>
          <t>largecap</t>
        </is>
      </c>
      <c r="F96" s="31" t="n">
        <v>83193.64</v>
      </c>
      <c r="G96" s="31" t="n">
        <v>3374</v>
      </c>
      <c r="H96" s="31" t="n">
        <v>3.41</v>
      </c>
      <c r="I96" s="31" t="n">
        <v>2249890</v>
      </c>
      <c r="J96" s="31" t="inlineStr">
        <is>
          <t>534091</t>
        </is>
      </c>
    </row>
    <row r="97">
      <c r="A97" s="31" t="inlineStr">
        <is>
          <t>UGARSUGAR</t>
        </is>
      </c>
      <c r="B97" s="31" t="inlineStr">
        <is>
          <t>The Ugar Sugar Works Limited</t>
        </is>
      </c>
      <c r="C97" s="31" t="inlineStr">
        <is>
          <t>fmcg</t>
        </is>
      </c>
      <c r="D97" s="31" t="inlineStr">
        <is>
          <t>sugar</t>
        </is>
      </c>
      <c r="E97" s="31" t="inlineStr">
        <is>
          <t>smallcap</t>
        </is>
      </c>
      <c r="F97" s="31" t="n">
        <v>622.6900000000001</v>
      </c>
      <c r="G97" s="31" t="n">
        <v>57.22</v>
      </c>
      <c r="H97" s="31" t="n">
        <v>3.38</v>
      </c>
      <c r="I97" s="31" t="n">
        <v>915900</v>
      </c>
      <c r="J97" s="31" t="inlineStr">
        <is>
          <t>530363</t>
        </is>
      </c>
    </row>
    <row r="98">
      <c r="A98" s="31" t="inlineStr">
        <is>
          <t>MANALIPETC</t>
        </is>
      </c>
      <c r="B98" s="31" t="inlineStr">
        <is>
          <t>Manali Petrochemicals Limited</t>
        </is>
      </c>
      <c r="C98" s="31" t="inlineStr">
        <is>
          <t>energy</t>
        </is>
      </c>
      <c r="D98" s="31" t="inlineStr">
        <is>
          <t>petrochemicals</t>
        </is>
      </c>
      <c r="E98" s="31" t="inlineStr">
        <is>
          <t>smallcap</t>
        </is>
      </c>
      <c r="F98" s="31" t="n">
        <v>1459.76</v>
      </c>
      <c r="G98" s="31" t="n">
        <v>87.69</v>
      </c>
      <c r="H98" s="31" t="n">
        <v>3.32</v>
      </c>
      <c r="I98" s="31" t="n">
        <v>2077751</v>
      </c>
      <c r="J98" s="31" t="inlineStr">
        <is>
          <t>500268</t>
        </is>
      </c>
    </row>
    <row r="99">
      <c r="A99" s="31" t="inlineStr">
        <is>
          <t>EBGNG</t>
        </is>
      </c>
      <c r="B99" s="31" t="inlineStr">
        <is>
          <t>GNG Electronics Ltd</t>
        </is>
      </c>
      <c r="C99" s="31" t="inlineStr">
        <is>
          <t>services</t>
        </is>
      </c>
      <c r="D99" s="31" t="inlineStr">
        <is>
          <t>trading</t>
        </is>
      </c>
      <c r="E99" s="31" t="inlineStr">
        <is>
          <t>midcap</t>
        </is>
      </c>
      <c r="F99" s="31" t="n">
        <v>7893.02</v>
      </c>
      <c r="G99" s="31" t="n">
        <v>715.15</v>
      </c>
      <c r="H99" s="31" t="n">
        <v>3.3</v>
      </c>
      <c r="I99" s="31" t="n">
        <v>1292762</v>
      </c>
      <c r="J99" s="31" t="inlineStr">
        <is>
          <t>544455</t>
        </is>
      </c>
    </row>
    <row r="100">
      <c r="A100" s="31" t="inlineStr">
        <is>
          <t>STLTECH</t>
        </is>
      </c>
      <c r="B100" s="31" t="inlineStr">
        <is>
          <t>Sterlite Technologies Limited</t>
        </is>
      </c>
      <c r="C100" s="31" t="inlineStr">
        <is>
          <t>industrials</t>
        </is>
      </c>
      <c r="D100" s="31" t="inlineStr">
        <is>
          <t>cables - telephone</t>
        </is>
      </c>
      <c r="E100" s="31" t="inlineStr">
        <is>
          <t>largecap</t>
        </is>
      </c>
      <c r="F100" s="31" t="n">
        <v>43144.15</v>
      </c>
      <c r="G100" s="31" t="n">
        <v>867.1</v>
      </c>
      <c r="H100" s="31" t="n">
        <v>3.28</v>
      </c>
      <c r="I100" s="31" t="n">
        <v>1292464</v>
      </c>
      <c r="J100" s="31" t="inlineStr">
        <is>
          <t>532374</t>
        </is>
      </c>
    </row>
    <row r="101">
      <c r="A101" s="31" t="inlineStr">
        <is>
          <t>TATASTEEL</t>
        </is>
      </c>
      <c r="B101" s="31" t="inlineStr">
        <is>
          <t>Tata Steel Limited</t>
        </is>
      </c>
      <c r="C101" s="31" t="inlineStr">
        <is>
          <t>metals &amp; mining</t>
        </is>
      </c>
      <c r="D101" s="31" t="inlineStr">
        <is>
          <t>steel - large</t>
        </is>
      </c>
      <c r="E101" s="31" t="inlineStr">
        <is>
          <t>largecap</t>
        </is>
      </c>
      <c r="F101" s="31" t="n">
        <v>230907.88</v>
      </c>
      <c r="G101" s="31" t="n">
        <v>190.82</v>
      </c>
      <c r="H101" s="31" t="n">
        <v>3.16</v>
      </c>
      <c r="I101" s="31" t="n">
        <v>39798327</v>
      </c>
      <c r="J101" s="31" t="inlineStr">
        <is>
          <t>500470</t>
        </is>
      </c>
    </row>
    <row r="102">
      <c r="A102" s="31" t="inlineStr">
        <is>
          <t>IOLCP</t>
        </is>
      </c>
      <c r="B102" s="31" t="inlineStr">
        <is>
          <t>Iol Chemicals And Pharmaceuticals Limited</t>
        </is>
      </c>
      <c r="C102" s="31" t="inlineStr">
        <is>
          <t>healthcare</t>
        </is>
      </c>
      <c r="D102" s="31" t="inlineStr">
        <is>
          <t>pharmaceuticals - indian - bulk drugs &amp; formln</t>
        </is>
      </c>
      <c r="E102" s="31" t="inlineStr">
        <is>
          <t>midcap</t>
        </is>
      </c>
      <c r="F102" s="31" t="n">
        <v>5882</v>
      </c>
      <c r="G102" s="31" t="n">
        <v>206.6</v>
      </c>
      <c r="H102" s="31" t="n">
        <v>3.1</v>
      </c>
      <c r="I102" s="31" t="n">
        <v>3474298</v>
      </c>
      <c r="J102" s="31" t="inlineStr">
        <is>
          <t>524164</t>
        </is>
      </c>
    </row>
    <row r="103">
      <c r="A103" s="31" t="inlineStr">
        <is>
          <t>CEIGALL</t>
        </is>
      </c>
      <c r="B103" s="31" t="inlineStr">
        <is>
          <t>Ceigall India Ltd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midcap</t>
        </is>
      </c>
      <c r="F103" s="31" t="n">
        <v>6571.01</v>
      </c>
      <c r="G103" s="31" t="n">
        <v>388.85</v>
      </c>
      <c r="H103" s="31" t="n">
        <v>3.09</v>
      </c>
      <c r="I103" s="31" t="n">
        <v>610450</v>
      </c>
      <c r="J103" s="31" t="inlineStr">
        <is>
          <t>544223</t>
        </is>
      </c>
    </row>
    <row r="104">
      <c r="A104" s="31" t="inlineStr">
        <is>
          <t>WHEELS</t>
        </is>
      </c>
      <c r="B104" s="31" t="inlineStr">
        <is>
          <t>Wheels India Limited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midcap</t>
        </is>
      </c>
      <c r="F104" s="31" t="n">
        <v>5311.74</v>
      </c>
      <c r="G104" s="31" t="n">
        <v>2240.3</v>
      </c>
      <c r="H104" s="31" t="n">
        <v>3.05</v>
      </c>
      <c r="I104" s="31" t="n">
        <v>510095</v>
      </c>
      <c r="J104" s="31" t="inlineStr">
        <is>
          <t>590073</t>
        </is>
      </c>
    </row>
    <row r="105">
      <c r="A105" s="31" t="inlineStr">
        <is>
          <t>JINDALSTEL</t>
        </is>
      </c>
      <c r="B105" s="31" t="inlineStr">
        <is>
          <t>Jindal Steel Ltd</t>
        </is>
      </c>
      <c r="C105" s="31" t="inlineStr">
        <is>
          <t>metals &amp; mining</t>
        </is>
      </c>
      <c r="D105" s="31" t="inlineStr">
        <is>
          <t>steel - large</t>
        </is>
      </c>
      <c r="E105" s="31" t="inlineStr">
        <is>
          <t>largecap</t>
        </is>
      </c>
      <c r="F105" s="31" t="n">
        <v>116392.05</v>
      </c>
      <c r="G105" s="31" t="n">
        <v>1175.3</v>
      </c>
      <c r="H105" s="31" t="n">
        <v>3.01</v>
      </c>
      <c r="I105" s="31" t="n">
        <v>994851</v>
      </c>
      <c r="J105" s="31" t="inlineStr">
        <is>
          <t>532286</t>
        </is>
      </c>
    </row>
    <row r="106">
      <c r="A106" s="31" t="inlineStr">
        <is>
          <t>SONACOMS</t>
        </is>
      </c>
      <c r="B106" s="31" t="inlineStr">
        <is>
          <t>Sona BLW Precision Forgings Ltd</t>
        </is>
      </c>
      <c r="C106" s="31" t="inlineStr">
        <is>
          <t>auto</t>
        </is>
      </c>
      <c r="D106" s="31" t="inlineStr">
        <is>
          <t>auto ancillaries</t>
        </is>
      </c>
      <c r="E106" s="31" t="inlineStr">
        <is>
          <t>largecap</t>
        </is>
      </c>
      <c r="F106" s="31" t="n">
        <v>50322.62</v>
      </c>
      <c r="G106" s="31" t="n">
        <v>833</v>
      </c>
      <c r="H106" s="31" t="n">
        <v>2.97</v>
      </c>
      <c r="I106" s="31" t="n">
        <v>3183807</v>
      </c>
      <c r="J106" s="31" t="inlineStr">
        <is>
          <t>543300</t>
        </is>
      </c>
    </row>
    <row r="107">
      <c r="A107" s="31" t="inlineStr">
        <is>
          <t>IDFCFIRSTB</t>
        </is>
      </c>
      <c r="B107" s="31" t="inlineStr">
        <is>
          <t>IDFC First Bank Ltd</t>
        </is>
      </c>
      <c r="C107" s="31" t="inlineStr">
        <is>
          <t>bank</t>
        </is>
      </c>
      <c r="D107" s="31" t="inlineStr">
        <is>
          <t>banks - private sector</t>
        </is>
      </c>
      <c r="E107" s="31" t="inlineStr">
        <is>
          <t>largecap</t>
        </is>
      </c>
      <c r="F107" s="31" t="n">
        <v>73544</v>
      </c>
      <c r="G107" s="31" t="n">
        <v>87.90000000000001</v>
      </c>
      <c r="H107" s="31" t="n">
        <v>2.96</v>
      </c>
      <c r="I107" s="31" t="n">
        <v>64518343</v>
      </c>
      <c r="J107" s="31" t="inlineStr">
        <is>
          <t>539437</t>
        </is>
      </c>
    </row>
    <row r="108">
      <c r="A108" s="31" t="inlineStr">
        <is>
          <t>YATHARTH</t>
        </is>
      </c>
      <c r="B108" s="31" t="inlineStr">
        <is>
          <t>Yatharth Hospital &amp; Trauma Care Services Ltd</t>
        </is>
      </c>
      <c r="C108" s="31" t="inlineStr">
        <is>
          <t>healthcare</t>
        </is>
      </c>
      <c r="D108" s="31" t="inlineStr">
        <is>
          <t>healthcare</t>
        </is>
      </c>
      <c r="E108" s="31" t="inlineStr">
        <is>
          <t>midcap</t>
        </is>
      </c>
      <c r="F108" s="31" t="n">
        <v>10879.37</v>
      </c>
      <c r="G108" s="31" t="n">
        <v>1162.2</v>
      </c>
      <c r="H108" s="31" t="n">
        <v>2.93</v>
      </c>
      <c r="I108" s="31" t="n">
        <v>551293</v>
      </c>
      <c r="J108" s="31" t="inlineStr">
        <is>
          <t>543950</t>
        </is>
      </c>
    </row>
    <row r="109">
      <c r="A109" s="31" t="inlineStr">
        <is>
          <t>DIVISLAB</t>
        </is>
      </c>
      <c r="B109" s="31" t="inlineStr">
        <is>
          <t>Divi's Laboratories Limited</t>
        </is>
      </c>
      <c r="C109" s="31" t="inlineStr">
        <is>
          <t>healthcare</t>
        </is>
      </c>
      <c r="D109" s="31" t="inlineStr">
        <is>
          <t>pharmaceuticals - indian - bulk drugs</t>
        </is>
      </c>
      <c r="E109" s="31" t="inlineStr">
        <is>
          <t>largecap</t>
        </is>
      </c>
      <c r="F109" s="31" t="n">
        <v>248266.22</v>
      </c>
      <c r="G109" s="31" t="n">
        <v>9624</v>
      </c>
      <c r="H109" s="31" t="n">
        <v>2.91</v>
      </c>
      <c r="I109" s="31" t="n">
        <v>489382</v>
      </c>
      <c r="J109" s="31" t="inlineStr">
        <is>
          <t>532488</t>
        </is>
      </c>
    </row>
    <row r="110">
      <c r="A110" s="31" t="inlineStr">
        <is>
          <t>BOSCH-HCIL</t>
        </is>
      </c>
      <c r="B110" s="31" t="inlineStr">
        <is>
          <t>Bosch Home Comfort India Ltd</t>
        </is>
      </c>
      <c r="C110" s="31" t="inlineStr">
        <is>
          <t>consumer discretionary</t>
        </is>
      </c>
      <c r="D110" s="31" t="inlineStr">
        <is>
          <t>air-conditioners</t>
        </is>
      </c>
      <c r="E110" s="31" t="inlineStr">
        <is>
          <t>smallcap</t>
        </is>
      </c>
      <c r="F110" s="31" t="n">
        <v>4679.01</v>
      </c>
      <c r="G110" s="31" t="n">
        <v>1769.8</v>
      </c>
      <c r="H110" s="31" t="n">
        <v>2.85</v>
      </c>
      <c r="I110" s="31" t="n">
        <v>23705</v>
      </c>
      <c r="J110" s="31" t="inlineStr">
        <is>
          <t>523398</t>
        </is>
      </c>
    </row>
    <row r="111">
      <c r="A111" s="31" t="inlineStr">
        <is>
          <t>AHCL</t>
        </is>
      </c>
      <c r="B111" s="31" t="inlineStr">
        <is>
          <t>Anlon Healthcare Ltd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smallcap</t>
        </is>
      </c>
      <c r="F111" s="31" t="n">
        <v>1533.95</v>
      </c>
      <c r="G111" s="31" t="n">
        <v>29.68</v>
      </c>
      <c r="H111" s="31" t="n">
        <v>2.84</v>
      </c>
      <c r="I111" s="31" t="n">
        <v>113090092</v>
      </c>
      <c r="J111" s="31" t="inlineStr">
        <is>
          <t>544497</t>
        </is>
      </c>
    </row>
    <row r="112">
      <c r="A112" s="31" t="inlineStr">
        <is>
          <t>KRONOX</t>
        </is>
      </c>
      <c r="B112" s="31" t="inlineStr">
        <is>
          <t>Kronox Lab Sciences Ltd</t>
        </is>
      </c>
      <c r="C112" s="31" t="inlineStr">
        <is>
          <t>chemicals</t>
        </is>
      </c>
      <c r="D112" s="31" t="inlineStr">
        <is>
          <t>chemicals</t>
        </is>
      </c>
      <c r="E112" s="31" t="inlineStr">
        <is>
          <t>smallcap</t>
        </is>
      </c>
      <c r="F112" s="31" t="n">
        <v>676.29</v>
      </c>
      <c r="G112" s="31" t="n">
        <v>187.39</v>
      </c>
      <c r="H112" s="31" t="n">
        <v>2.81</v>
      </c>
      <c r="I112" s="31" t="n">
        <v>87597</v>
      </c>
      <c r="J112" s="31" t="inlineStr">
        <is>
          <t>544187</t>
        </is>
      </c>
    </row>
    <row r="113">
      <c r="A113" s="31" t="inlineStr">
        <is>
          <t>DEEDEV</t>
        </is>
      </c>
      <c r="B113" s="31" t="inlineStr">
        <is>
          <t>DEE Development Engineers Ltd</t>
        </is>
      </c>
      <c r="C113" s="31" t="inlineStr">
        <is>
          <t>metals &amp; mining</t>
        </is>
      </c>
      <c r="D113" s="31" t="inlineStr">
        <is>
          <t>steel - medium / small</t>
        </is>
      </c>
      <c r="E113" s="31" t="inlineStr">
        <is>
          <t>midcap</t>
        </is>
      </c>
      <c r="F113" s="31" t="n">
        <v>5205.06</v>
      </c>
      <c r="G113" s="31" t="n">
        <v>711.15</v>
      </c>
      <c r="H113" s="31" t="n">
        <v>2.8</v>
      </c>
      <c r="I113" s="31" t="n">
        <v>250940</v>
      </c>
      <c r="J113" s="31" t="n"/>
    </row>
    <row r="114">
      <c r="A114" s="31" t="inlineStr">
        <is>
          <t>MOLDTECH</t>
        </is>
      </c>
      <c r="B114" s="31" t="inlineStr">
        <is>
          <t>Mold-tek Technologies Limited</t>
        </is>
      </c>
      <c r="C114" s="31" t="inlineStr">
        <is>
          <t>realty</t>
        </is>
      </c>
      <c r="D114" s="31" t="inlineStr">
        <is>
          <t>engineering - turnkey services</t>
        </is>
      </c>
      <c r="E114" s="31" t="inlineStr">
        <is>
          <t>smallcap</t>
        </is>
      </c>
      <c r="F114" s="31" t="n">
        <v>560.09</v>
      </c>
      <c r="G114" s="31" t="n">
        <v>199.88</v>
      </c>
      <c r="H114" s="31" t="n">
        <v>2.8</v>
      </c>
      <c r="I114" s="31" t="n">
        <v>49478</v>
      </c>
      <c r="J114" s="31" t="inlineStr">
        <is>
          <t>526263</t>
        </is>
      </c>
    </row>
    <row r="115">
      <c r="A115" s="31" t="inlineStr">
        <is>
          <t>MOREPENLAB</t>
        </is>
      </c>
      <c r="B115" s="31" t="inlineStr">
        <is>
          <t>Morepen Laboratories Limited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midcap</t>
        </is>
      </c>
      <c r="F115" s="31" t="n">
        <v>6522.84</v>
      </c>
      <c r="G115" s="31" t="n">
        <v>122.35</v>
      </c>
      <c r="H115" s="31" t="n">
        <v>2.78</v>
      </c>
      <c r="I115" s="31" t="n">
        <v>11266057</v>
      </c>
      <c r="J115" s="31" t="inlineStr">
        <is>
          <t>500288</t>
        </is>
      </c>
    </row>
    <row r="116">
      <c r="A116" s="31" t="inlineStr">
        <is>
          <t>STEELCAS</t>
        </is>
      </c>
      <c r="B116" s="31" t="inlineStr">
        <is>
          <t>Steelcast Ltd</t>
        </is>
      </c>
      <c r="C116" s="31" t="inlineStr">
        <is>
          <t>industrials</t>
        </is>
      </c>
      <c r="D116" s="31" t="inlineStr">
        <is>
          <t>castings &amp; forgings</t>
        </is>
      </c>
      <c r="E116" s="31" t="inlineStr">
        <is>
          <t>smallcap</t>
        </is>
      </c>
      <c r="F116" s="31" t="n">
        <v>3543.52</v>
      </c>
      <c r="G116" s="31" t="n">
        <v>359.7</v>
      </c>
      <c r="H116" s="31" t="n">
        <v>2.73</v>
      </c>
      <c r="I116" s="31" t="n">
        <v>268681</v>
      </c>
      <c r="J116" s="31" t="inlineStr">
        <is>
          <t>513517</t>
        </is>
      </c>
    </row>
    <row r="117">
      <c r="A117" s="31" t="inlineStr">
        <is>
          <t>CONFIPET</t>
        </is>
      </c>
      <c r="B117" s="31" t="inlineStr">
        <is>
          <t>Confidence Petroleum India Ltd</t>
        </is>
      </c>
      <c r="C117" s="31" t="inlineStr">
        <is>
          <t>miscellaneous</t>
        </is>
      </c>
      <c r="D117" s="31" t="inlineStr">
        <is>
          <t>miscellaneous</t>
        </is>
      </c>
      <c r="E117" s="31" t="inlineStr">
        <is>
          <t>smallcap</t>
        </is>
      </c>
      <c r="F117" s="31" t="n">
        <v>2882.52</v>
      </c>
      <c r="G117" s="31" t="n">
        <v>89.12</v>
      </c>
      <c r="H117" s="31" t="n">
        <v>2.72</v>
      </c>
      <c r="I117" s="31" t="n">
        <v>5623265</v>
      </c>
      <c r="J117" s="31" t="inlineStr">
        <is>
          <t>526829</t>
        </is>
      </c>
    </row>
    <row r="118">
      <c r="A118" s="31" t="inlineStr">
        <is>
          <t>KAPSTON</t>
        </is>
      </c>
      <c r="B118" s="31" t="inlineStr">
        <is>
          <t>Kapston Services Ltd</t>
        </is>
      </c>
      <c r="C118" s="31" t="inlineStr">
        <is>
          <t>miscellaneous</t>
        </is>
      </c>
      <c r="D118" s="31" t="inlineStr">
        <is>
          <t>miscellaneous</t>
        </is>
      </c>
      <c r="E118" s="31" t="inlineStr">
        <is>
          <t>smallcap</t>
        </is>
      </c>
      <c r="F118" s="31" t="n">
        <v>1736.31</v>
      </c>
      <c r="G118" s="31" t="n">
        <v>585.9</v>
      </c>
      <c r="H118" s="31" t="n">
        <v>2.69</v>
      </c>
      <c r="I118" s="31" t="n">
        <v>39643</v>
      </c>
      <c r="J118" s="31" t="inlineStr">
        <is>
          <t>535064</t>
        </is>
      </c>
    </row>
    <row r="119">
      <c r="A119" s="31" t="inlineStr">
        <is>
          <t>AIIL</t>
        </is>
      </c>
      <c r="B119" s="31" t="inlineStr">
        <is>
          <t>Authum Investment &amp; Infrastructure Ltd</t>
        </is>
      </c>
      <c r="C119" s="31" t="inlineStr">
        <is>
          <t>financials</t>
        </is>
      </c>
      <c r="D119" s="31" t="inlineStr">
        <is>
          <t>finance &amp; investments</t>
        </is>
      </c>
      <c r="E119" s="31" t="inlineStr">
        <is>
          <t>largecap</t>
        </is>
      </c>
      <c r="F119" s="31" t="n">
        <v>46444.14</v>
      </c>
      <c r="G119" s="31" t="n">
        <v>561.45</v>
      </c>
      <c r="H119" s="31" t="n">
        <v>2.66</v>
      </c>
      <c r="I119" s="31" t="n">
        <v>139672</v>
      </c>
      <c r="J119" s="31" t="inlineStr">
        <is>
          <t>539177</t>
        </is>
      </c>
    </row>
    <row r="120">
      <c r="A120" s="31" t="inlineStr">
        <is>
          <t>APOLLOHOSP</t>
        </is>
      </c>
      <c r="B120" s="31" t="inlineStr">
        <is>
          <t>Apollo Hospitals Enterprise Limited</t>
        </is>
      </c>
      <c r="C120" s="31" t="inlineStr">
        <is>
          <t>healthcare</t>
        </is>
      </c>
      <c r="D120" s="31" t="inlineStr">
        <is>
          <t>healthcare</t>
        </is>
      </c>
      <c r="E120" s="31" t="inlineStr">
        <is>
          <t>largecap</t>
        </is>
      </c>
      <c r="F120" s="31" t="n">
        <v>127040.93</v>
      </c>
      <c r="G120" s="31" t="n">
        <v>9069</v>
      </c>
      <c r="H120" s="31" t="n">
        <v>2.64</v>
      </c>
      <c r="I120" s="31" t="n">
        <v>419571</v>
      </c>
      <c r="J120" s="31" t="inlineStr">
        <is>
          <t>508869</t>
        </is>
      </c>
    </row>
    <row r="121">
      <c r="A121" s="31" t="inlineStr">
        <is>
          <t>AXISCADES</t>
        </is>
      </c>
      <c r="B121" s="31" t="inlineStr">
        <is>
          <t>AXISCADES Technologies Ltd</t>
        </is>
      </c>
      <c r="C121" s="31" t="inlineStr">
        <is>
          <t>aerospace &amp; defence</t>
        </is>
      </c>
      <c r="D121" s="31" t="inlineStr">
        <is>
          <t>computers - software - medium / small</t>
        </is>
      </c>
      <c r="E121" s="31" t="inlineStr">
        <is>
          <t>midcap</t>
        </is>
      </c>
      <c r="F121" s="31" t="n">
        <v>8043.04</v>
      </c>
      <c r="G121" s="31" t="n">
        <v>1940.2</v>
      </c>
      <c r="H121" s="31" t="n">
        <v>2.6</v>
      </c>
      <c r="I121" s="31" t="n">
        <v>291136</v>
      </c>
      <c r="J121" s="31" t="inlineStr">
        <is>
          <t>532395</t>
        </is>
      </c>
    </row>
    <row r="122">
      <c r="A122" s="31" t="inlineStr">
        <is>
          <t>ARIS</t>
        </is>
      </c>
      <c r="B122" s="31" t="inlineStr">
        <is>
          <t>Arisinfra Solutions Ltd</t>
        </is>
      </c>
      <c r="C122" s="31" t="inlineStr">
        <is>
          <t>services</t>
        </is>
      </c>
      <c r="D122" s="31" t="inlineStr">
        <is>
          <t>trading</t>
        </is>
      </c>
      <c r="E122" s="31" t="inlineStr">
        <is>
          <t>smallcap</t>
        </is>
      </c>
      <c r="F122" s="31" t="n">
        <v>1145.93</v>
      </c>
      <c r="G122" s="31" t="n">
        <v>143.72</v>
      </c>
      <c r="H122" s="31" t="n">
        <v>2.58</v>
      </c>
      <c r="I122" s="31" t="n">
        <v>2711866</v>
      </c>
      <c r="J122" s="31" t="inlineStr">
        <is>
          <t>544419</t>
        </is>
      </c>
    </row>
    <row r="123">
      <c r="A123" s="31" t="inlineStr">
        <is>
          <t>SBCL</t>
        </is>
      </c>
      <c r="B123" s="31" t="inlineStr">
        <is>
          <t>Shivalik Bimetal Controls Ltd</t>
        </is>
      </c>
      <c r="C123" s="31" t="inlineStr">
        <is>
          <t>metals &amp; mining</t>
        </is>
      </c>
      <c r="D123" s="31" t="inlineStr">
        <is>
          <t>mining / minerals / metals</t>
        </is>
      </c>
      <c r="E123" s="31" t="inlineStr">
        <is>
          <t>midcap</t>
        </is>
      </c>
      <c r="F123" s="31" t="n">
        <v>6491.42</v>
      </c>
      <c r="G123" s="31" t="n">
        <v>1156</v>
      </c>
      <c r="H123" s="31" t="n">
        <v>2.58</v>
      </c>
      <c r="I123" s="31" t="n">
        <v>358667</v>
      </c>
      <c r="J123" s="31" t="inlineStr">
        <is>
          <t>513097</t>
        </is>
      </c>
    </row>
    <row r="124">
      <c r="A124" s="31" t="inlineStr">
        <is>
          <t>ONWARDTEC</t>
        </is>
      </c>
      <c r="B124" s="31" t="inlineStr">
        <is>
          <t>Onward Technologies Limited</t>
        </is>
      </c>
      <c r="C124" s="31" t="inlineStr">
        <is>
          <t>i.t</t>
        </is>
      </c>
      <c r="D124" s="31" t="inlineStr">
        <is>
          <t>computers - software - medium / small</t>
        </is>
      </c>
      <c r="E124" s="31" t="inlineStr">
        <is>
          <t>smallcap</t>
        </is>
      </c>
      <c r="F124" s="31" t="n">
        <v>637.48</v>
      </c>
      <c r="G124" s="31" t="n">
        <v>294</v>
      </c>
      <c r="H124" s="31" t="n">
        <v>2.58</v>
      </c>
      <c r="I124" s="31" t="n">
        <v>33949</v>
      </c>
      <c r="J124" s="31" t="inlineStr">
        <is>
          <t>517536</t>
        </is>
      </c>
    </row>
    <row r="125">
      <c r="A125" s="31" t="inlineStr">
        <is>
          <t>IIFL</t>
        </is>
      </c>
      <c r="B125" s="31" t="inlineStr">
        <is>
          <t>IIFL Finance Ltd</t>
        </is>
      </c>
      <c r="C125" s="31" t="inlineStr">
        <is>
          <t>financials</t>
        </is>
      </c>
      <c r="D125" s="31" t="inlineStr">
        <is>
          <t>finance &amp; investments</t>
        </is>
      </c>
      <c r="E125" s="31" t="inlineStr">
        <is>
          <t>largecap</t>
        </is>
      </c>
      <c r="F125" s="31" t="n">
        <v>26265.94</v>
      </c>
      <c r="G125" s="31" t="n">
        <v>633.3</v>
      </c>
      <c r="H125" s="31" t="n">
        <v>2.55</v>
      </c>
      <c r="I125" s="31" t="n">
        <v>3608407</v>
      </c>
      <c r="J125" s="31" t="inlineStr">
        <is>
          <t>532636</t>
        </is>
      </c>
    </row>
    <row r="126">
      <c r="A126" s="31" t="inlineStr">
        <is>
          <t>KIRLOSENG</t>
        </is>
      </c>
      <c r="B126" s="31" t="inlineStr">
        <is>
          <t>Kirloskar Oil Engines Limited</t>
        </is>
      </c>
      <c r="C126" s="31" t="inlineStr">
        <is>
          <t>industrials</t>
        </is>
      </c>
      <c r="D126" s="31" t="inlineStr">
        <is>
          <t>engines</t>
        </is>
      </c>
      <c r="E126" s="31" t="inlineStr">
        <is>
          <t>largecap</t>
        </is>
      </c>
      <c r="F126" s="31" t="n">
        <v>31474.76</v>
      </c>
      <c r="G126" s="31" t="n">
        <v>2219.5</v>
      </c>
      <c r="H126" s="31" t="n">
        <v>2.52</v>
      </c>
      <c r="I126" s="31" t="n">
        <v>395759</v>
      </c>
      <c r="J126" s="31" t="inlineStr">
        <is>
          <t>533293</t>
        </is>
      </c>
    </row>
    <row r="127">
      <c r="A127" s="31" t="inlineStr">
        <is>
          <t>GODREJAGRO</t>
        </is>
      </c>
      <c r="B127" s="31" t="inlineStr">
        <is>
          <t>Godrej Agrovet Ltd</t>
        </is>
      </c>
      <c r="C127" s="31" t="inlineStr">
        <is>
          <t>fmcg</t>
        </is>
      </c>
      <c r="D127" s="31" t="inlineStr">
        <is>
          <t>food - processing - indian</t>
        </is>
      </c>
      <c r="E127" s="31" t="inlineStr">
        <is>
          <t>midcap</t>
        </is>
      </c>
      <c r="F127" s="31" t="n">
        <v>12578.42</v>
      </c>
      <c r="G127" s="31" t="n">
        <v>670.05</v>
      </c>
      <c r="H127" s="31" t="n">
        <v>2.47</v>
      </c>
      <c r="I127" s="31" t="n">
        <v>175495</v>
      </c>
      <c r="J127" s="31" t="inlineStr">
        <is>
          <t>540743</t>
        </is>
      </c>
    </row>
    <row r="128">
      <c r="A128" s="31" t="inlineStr">
        <is>
          <t>AARTIDRUGS</t>
        </is>
      </c>
      <c r="B128" s="31" t="inlineStr">
        <is>
          <t>Aarti Drugs Limited</t>
        </is>
      </c>
      <c r="C128" s="31" t="inlineStr">
        <is>
          <t>healthcare</t>
        </is>
      </c>
      <c r="D128" s="31" t="inlineStr">
        <is>
          <t>pharmaceuticals - indian - bulk drugs</t>
        </is>
      </c>
      <c r="E128" s="31" t="inlineStr">
        <is>
          <t>smallcap</t>
        </is>
      </c>
      <c r="F128" s="31" t="n">
        <v>3885.82</v>
      </c>
      <c r="G128" s="31" t="n">
        <v>436.25</v>
      </c>
      <c r="H128" s="31" t="n">
        <v>2.47</v>
      </c>
      <c r="I128" s="31" t="n">
        <v>198653</v>
      </c>
      <c r="J128" s="31" t="inlineStr">
        <is>
          <t>524348</t>
        </is>
      </c>
    </row>
    <row r="129">
      <c r="A129" s="31" t="inlineStr">
        <is>
          <t>JSFB</t>
        </is>
      </c>
      <c r="B129" s="31" t="inlineStr">
        <is>
          <t>Jana Small Finance Bank Ltd</t>
        </is>
      </c>
      <c r="C129" s="31" t="inlineStr">
        <is>
          <t>bank</t>
        </is>
      </c>
      <c r="D129" s="31" t="inlineStr">
        <is>
          <t>banks - private sector</t>
        </is>
      </c>
      <c r="E129" s="31" t="inlineStr">
        <is>
          <t>midcap</t>
        </is>
      </c>
      <c r="F129" s="31" t="n">
        <v>5622.05</v>
      </c>
      <c r="G129" s="31" t="n">
        <v>546.6</v>
      </c>
      <c r="H129" s="31" t="n">
        <v>2.42</v>
      </c>
      <c r="I129" s="31" t="n">
        <v>1082667</v>
      </c>
      <c r="J129" s="31" t="n"/>
    </row>
    <row r="130">
      <c r="A130" s="31" t="inlineStr">
        <is>
          <t>ARFIN</t>
        </is>
      </c>
      <c r="B130" s="31" t="inlineStr">
        <is>
          <t>Arfin India Ltd</t>
        </is>
      </c>
      <c r="C130" s="31" t="inlineStr">
        <is>
          <t>metals &amp; mining</t>
        </is>
      </c>
      <c r="D130" s="31" t="inlineStr">
        <is>
          <t>aluminium and aluminium products</t>
        </is>
      </c>
      <c r="E130" s="31" t="inlineStr">
        <is>
          <t>smallcap</t>
        </is>
      </c>
      <c r="F130" s="31" t="n">
        <v>1506.35</v>
      </c>
      <c r="G130" s="31" t="n">
        <v>91.42</v>
      </c>
      <c r="H130" s="31" t="n">
        <v>2.4</v>
      </c>
      <c r="I130" s="31" t="n">
        <v>1313201</v>
      </c>
      <c r="J130" s="31" t="inlineStr">
        <is>
          <t>539151</t>
        </is>
      </c>
    </row>
    <row r="131">
      <c r="A131" s="31" t="inlineStr">
        <is>
          <t>HIKAL</t>
        </is>
      </c>
      <c r="B131" s="31" t="inlineStr">
        <is>
          <t>Hikal Limited</t>
        </is>
      </c>
      <c r="C131" s="31" t="inlineStr">
        <is>
          <t>healthcare</t>
        </is>
      </c>
      <c r="D131" s="31" t="inlineStr">
        <is>
          <t>pharmaceuticals - indian - bulk drugs</t>
        </is>
      </c>
      <c r="E131" s="31" t="inlineStr">
        <is>
          <t>smallcap</t>
        </is>
      </c>
      <c r="F131" s="31" t="n">
        <v>2798.93</v>
      </c>
      <c r="G131" s="31" t="n">
        <v>232.43</v>
      </c>
      <c r="H131" s="31" t="n">
        <v>2.39</v>
      </c>
      <c r="I131" s="31" t="n">
        <v>1322731</v>
      </c>
      <c r="J131" s="31" t="inlineStr">
        <is>
          <t>524735</t>
        </is>
      </c>
    </row>
    <row r="132">
      <c r="A132" s="31" t="inlineStr">
        <is>
          <t>WELCORP</t>
        </is>
      </c>
      <c r="B132" s="31" t="inlineStr">
        <is>
          <t>Welspun Corp Limited</t>
        </is>
      </c>
      <c r="C132" s="31" t="inlineStr">
        <is>
          <t>industrials</t>
        </is>
      </c>
      <c r="D132" s="31" t="inlineStr">
        <is>
          <t>steel - large</t>
        </is>
      </c>
      <c r="E132" s="31" t="inlineStr">
        <is>
          <t>largecap</t>
        </is>
      </c>
      <c r="F132" s="31" t="n">
        <v>72054.41</v>
      </c>
      <c r="G132" s="31" t="n">
        <v>2796.8</v>
      </c>
      <c r="H132" s="31" t="n">
        <v>2.39</v>
      </c>
      <c r="I132" s="31" t="n">
        <v>1740034</v>
      </c>
      <c r="J132" s="31" t="inlineStr">
        <is>
          <t>532144</t>
        </is>
      </c>
    </row>
    <row r="133">
      <c r="A133" s="31" t="inlineStr">
        <is>
          <t>HONASA</t>
        </is>
      </c>
      <c r="B133" s="31" t="inlineStr">
        <is>
          <t>Honasa Consumer Ltd</t>
        </is>
      </c>
      <c r="C133" s="31" t="inlineStr">
        <is>
          <t>services</t>
        </is>
      </c>
      <c r="D133" s="31" t="inlineStr">
        <is>
          <t>trading</t>
        </is>
      </c>
      <c r="E133" s="31" t="inlineStr">
        <is>
          <t>midcap</t>
        </is>
      </c>
      <c r="F133" s="31" t="n">
        <v>15442.14</v>
      </c>
      <c r="G133" s="31" t="n">
        <v>484.9</v>
      </c>
      <c r="H133" s="31" t="n">
        <v>2.38</v>
      </c>
      <c r="I133" s="31" t="n">
        <v>712921</v>
      </c>
      <c r="J133" s="31" t="inlineStr">
        <is>
          <t>544014</t>
        </is>
      </c>
    </row>
    <row r="134">
      <c r="A134" s="31" t="inlineStr">
        <is>
          <t>BAJAJHLDNG</t>
        </is>
      </c>
      <c r="B134" s="31" t="inlineStr">
        <is>
          <t>Bajaj Holdings &amp; Investment Limited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largecap</t>
        </is>
      </c>
      <c r="F134" s="31" t="n">
        <v>124481.79</v>
      </c>
      <c r="G134" s="31" t="n">
        <v>11449</v>
      </c>
      <c r="H134" s="31" t="n">
        <v>2.36</v>
      </c>
      <c r="I134" s="31" t="n">
        <v>23489</v>
      </c>
      <c r="J134" s="31" t="inlineStr">
        <is>
          <t>500490</t>
        </is>
      </c>
    </row>
    <row r="135">
      <c r="A135" s="31" t="inlineStr">
        <is>
          <t>JTLIND</t>
        </is>
      </c>
      <c r="B135" s="31" t="inlineStr">
        <is>
          <t>JTL Industries Ltd</t>
        </is>
      </c>
      <c r="C135" s="31" t="inlineStr">
        <is>
          <t>metals &amp; mining</t>
        </is>
      </c>
      <c r="D135" s="31" t="inlineStr">
        <is>
          <t>steel - medium / small</t>
        </is>
      </c>
      <c r="E135" s="31" t="inlineStr">
        <is>
          <t>smallcap</t>
        </is>
      </c>
      <c r="F135" s="31" t="n">
        <v>3506.68</v>
      </c>
      <c r="G135" s="31" t="n">
        <v>91.31</v>
      </c>
      <c r="H135" s="31" t="n">
        <v>2.35</v>
      </c>
      <c r="I135" s="31" t="n">
        <v>5908069</v>
      </c>
      <c r="J135" s="31" t="inlineStr">
        <is>
          <t>534600</t>
        </is>
      </c>
    </row>
    <row r="136">
      <c r="A136" s="31" t="inlineStr">
        <is>
          <t>DCBBANK</t>
        </is>
      </c>
      <c r="B136" s="31" t="inlineStr">
        <is>
          <t>Dcb Bank Limited</t>
        </is>
      </c>
      <c r="C136" s="31" t="inlineStr">
        <is>
          <t>bank</t>
        </is>
      </c>
      <c r="D136" s="31" t="inlineStr">
        <is>
          <t>banks - private sector</t>
        </is>
      </c>
      <c r="E136" s="31" t="inlineStr">
        <is>
          <t>midcap</t>
        </is>
      </c>
      <c r="F136" s="31" t="n">
        <v>7039.97</v>
      </c>
      <c r="G136" s="31" t="n">
        <v>223.69</v>
      </c>
      <c r="H136" s="31" t="n">
        <v>2.34</v>
      </c>
      <c r="I136" s="31" t="n">
        <v>812051</v>
      </c>
      <c r="J136" s="31" t="inlineStr">
        <is>
          <t>532772</t>
        </is>
      </c>
    </row>
    <row r="137">
      <c r="A137" s="31" t="inlineStr">
        <is>
          <t>IIFLCAPS</t>
        </is>
      </c>
      <c r="B137" s="31" t="inlineStr">
        <is>
          <t>IIFL Capital Services Ltd</t>
        </is>
      </c>
      <c r="C137" s="31" t="inlineStr">
        <is>
          <t>financials</t>
        </is>
      </c>
      <c r="D137" s="31" t="inlineStr">
        <is>
          <t>finance &amp; investments</t>
        </is>
      </c>
      <c r="E137" s="31" t="inlineStr">
        <is>
          <t>midcap</t>
        </is>
      </c>
      <c r="F137" s="31" t="n">
        <v>10815.61</v>
      </c>
      <c r="G137" s="31" t="n">
        <v>353.05</v>
      </c>
      <c r="H137" s="31" t="n">
        <v>2.32</v>
      </c>
      <c r="I137" s="31" t="n">
        <v>2410124</v>
      </c>
      <c r="J137" s="31" t="inlineStr">
        <is>
          <t>542773</t>
        </is>
      </c>
    </row>
    <row r="138">
      <c r="A138" s="31" t="inlineStr">
        <is>
          <t>NYKAA</t>
        </is>
      </c>
      <c r="B138" s="31" t="inlineStr">
        <is>
          <t>FSN E-Commerce Ventures Ltd</t>
        </is>
      </c>
      <c r="C138" s="31" t="inlineStr">
        <is>
          <t>i.t</t>
        </is>
      </c>
      <c r="D138" s="31" t="inlineStr">
        <is>
          <t>trading</t>
        </is>
      </c>
      <c r="E138" s="31" t="inlineStr">
        <is>
          <t>largecap</t>
        </is>
      </c>
      <c r="F138" s="31" t="n">
        <v>95522.85000000001</v>
      </c>
      <c r="G138" s="31" t="n">
        <v>340.85</v>
      </c>
      <c r="H138" s="31" t="n">
        <v>2.19</v>
      </c>
      <c r="I138" s="31" t="n">
        <v>2246914</v>
      </c>
      <c r="J138" s="31" t="inlineStr">
        <is>
          <t>543384</t>
        </is>
      </c>
    </row>
    <row r="139">
      <c r="A139" s="31" t="inlineStr">
        <is>
          <t>PRIMESECU</t>
        </is>
      </c>
      <c r="B139" s="31" t="inlineStr">
        <is>
          <t>Prime Securities Limited</t>
        </is>
      </c>
      <c r="C139" s="31" t="inlineStr">
        <is>
          <t>financials</t>
        </is>
      </c>
      <c r="D139" s="31" t="inlineStr">
        <is>
          <t>finance &amp; investments</t>
        </is>
      </c>
      <c r="E139" s="31" t="inlineStr">
        <is>
          <t>smallcap</t>
        </is>
      </c>
      <c r="F139" s="31" t="n">
        <v>984.95</v>
      </c>
      <c r="G139" s="31" t="n">
        <v>296.35</v>
      </c>
      <c r="H139" s="31" t="n">
        <v>2.12</v>
      </c>
      <c r="I139" s="31" t="n">
        <v>41199</v>
      </c>
      <c r="J139" s="31" t="inlineStr">
        <is>
          <t>500337</t>
        </is>
      </c>
    </row>
    <row r="140">
      <c r="A140" s="31" t="inlineStr">
        <is>
          <t>GAYAPROJ</t>
        </is>
      </c>
      <c r="B140" s="31" t="inlineStr">
        <is>
          <t>Gayatri Projects Limited</t>
        </is>
      </c>
      <c r="C140" s="31" t="inlineStr">
        <is>
          <t>realty</t>
        </is>
      </c>
      <c r="D140" s="31" t="inlineStr">
        <is>
          <t>construction</t>
        </is>
      </c>
      <c r="E140" s="31" t="inlineStr">
        <is>
          <t>smallcap</t>
        </is>
      </c>
      <c r="F140" s="31" t="n">
        <v>1099.46</v>
      </c>
      <c r="G140" s="31" t="n">
        <v>24.17</v>
      </c>
      <c r="H140" s="31" t="n">
        <v>2.07</v>
      </c>
      <c r="I140" s="31" t="n">
        <v>858564</v>
      </c>
      <c r="J140" s="31" t="inlineStr">
        <is>
          <t>532767</t>
        </is>
      </c>
    </row>
    <row r="141">
      <c r="A141" s="31" t="inlineStr">
        <is>
          <t>BELRISE</t>
        </is>
      </c>
      <c r="B141" s="31" t="inlineStr">
        <is>
          <t>Belrise Industries Ltd</t>
        </is>
      </c>
      <c r="C141" s="31" t="inlineStr">
        <is>
          <t>auto</t>
        </is>
      </c>
      <c r="D141" s="31" t="inlineStr">
        <is>
          <t>auto ancillaries</t>
        </is>
      </c>
      <c r="E141" s="31" t="inlineStr">
        <is>
          <t>largecap</t>
        </is>
      </c>
      <c r="F141" s="31" t="n">
        <v>23670.08</v>
      </c>
      <c r="G141" s="31" t="n">
        <v>249.78</v>
      </c>
      <c r="H141" s="31" t="n">
        <v>2.06</v>
      </c>
      <c r="I141" s="31" t="n">
        <v>2848133</v>
      </c>
      <c r="J141" s="31" t="n"/>
    </row>
    <row r="142">
      <c r="A142" s="31" t="inlineStr">
        <is>
          <t>MANBA</t>
        </is>
      </c>
      <c r="B142" s="31" t="inlineStr">
        <is>
          <t>Manba Finance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smallcap</t>
        </is>
      </c>
      <c r="F142" s="31" t="n">
        <v>685.3200000000001</v>
      </c>
      <c r="G142" s="31" t="n">
        <v>139.19</v>
      </c>
      <c r="H142" s="31" t="n">
        <v>2.04</v>
      </c>
      <c r="I142" s="31" t="n">
        <v>789795</v>
      </c>
      <c r="J142" s="31" t="inlineStr">
        <is>
          <t>544262</t>
        </is>
      </c>
    </row>
    <row r="143">
      <c r="A143" s="31" t="inlineStr">
        <is>
          <t>PHOENIXLTD</t>
        </is>
      </c>
      <c r="B143" s="31" t="inlineStr">
        <is>
          <t>The Phoenix Mills Limited</t>
        </is>
      </c>
      <c r="C143" s="31" t="inlineStr">
        <is>
          <t>realty</t>
        </is>
      </c>
      <c r="D143" s="31" t="inlineStr">
        <is>
          <t>construction</t>
        </is>
      </c>
      <c r="E143" s="31" t="inlineStr">
        <is>
          <t>largecap</t>
        </is>
      </c>
      <c r="F143" s="31" t="n">
        <v>69861.49000000001</v>
      </c>
      <c r="G143" s="31" t="n">
        <v>1993.2</v>
      </c>
      <c r="H143" s="31" t="n">
        <v>2.04</v>
      </c>
      <c r="I143" s="31" t="n">
        <v>639296</v>
      </c>
      <c r="J143" s="31" t="inlineStr">
        <is>
          <t>503100</t>
        </is>
      </c>
    </row>
    <row r="144">
      <c r="A144" s="31" t="inlineStr">
        <is>
          <t>JSL</t>
        </is>
      </c>
      <c r="B144" s="31" t="inlineStr">
        <is>
          <t>Jindal Stainless Limited</t>
        </is>
      </c>
      <c r="C144" s="31" t="inlineStr">
        <is>
          <t>metals &amp; mining</t>
        </is>
      </c>
      <c r="D144" s="31" t="inlineStr">
        <is>
          <t>steel - large</t>
        </is>
      </c>
      <c r="E144" s="31" t="inlineStr">
        <is>
          <t>largecap</t>
        </is>
      </c>
      <c r="F144" s="31" t="n">
        <v>61291.47</v>
      </c>
      <c r="G144" s="31" t="n">
        <v>758.55</v>
      </c>
      <c r="H144" s="31" t="n">
        <v>2.03</v>
      </c>
      <c r="I144" s="31" t="n">
        <v>906824</v>
      </c>
      <c r="J144" s="31" t="inlineStr">
        <is>
          <t>532508</t>
        </is>
      </c>
    </row>
    <row r="145">
      <c r="A145" s="31" t="inlineStr">
        <is>
          <t>SPLPETRO</t>
        </is>
      </c>
      <c r="B145" s="31" t="inlineStr">
        <is>
          <t>Supreme Petrochem Ltd</t>
        </is>
      </c>
      <c r="C145" s="31" t="inlineStr">
        <is>
          <t>energy</t>
        </is>
      </c>
      <c r="D145" s="31" t="inlineStr">
        <is>
          <t>petrochemicals</t>
        </is>
      </c>
      <c r="E145" s="31" t="inlineStr">
        <is>
          <t>midcap</t>
        </is>
      </c>
      <c r="F145" s="31" t="n">
        <v>16260.88</v>
      </c>
      <c r="G145" s="31" t="n">
        <v>882.2</v>
      </c>
      <c r="H145" s="31" t="n">
        <v>2.02</v>
      </c>
      <c r="I145" s="31" t="n">
        <v>387021</v>
      </c>
      <c r="J145" s="31" t="inlineStr">
        <is>
          <t>500405</t>
        </is>
      </c>
    </row>
    <row r="146">
      <c r="A146" s="31" t="inlineStr">
        <is>
          <t>MBECL</t>
        </is>
      </c>
      <c r="B146" s="31" t="inlineStr">
        <is>
          <t>Mcnally Bharat Engineering Company Limited</t>
        </is>
      </c>
      <c r="C146" s="31" t="inlineStr">
        <is>
          <t>realty</t>
        </is>
      </c>
      <c r="D146" s="31" t="inlineStr">
        <is>
          <t>engineering - turnkey services</t>
        </is>
      </c>
      <c r="E146" s="31" t="inlineStr">
        <is>
          <t>smallcap</t>
        </is>
      </c>
      <c r="F146" s="31" t="n">
        <v>1433.63</v>
      </c>
      <c r="G146" s="31" t="n">
        <v>438.69</v>
      </c>
      <c r="H146" s="31" t="n">
        <v>2</v>
      </c>
      <c r="I146" s="31" t="n">
        <v>2485</v>
      </c>
      <c r="J146" s="31" t="inlineStr">
        <is>
          <t>532629</t>
        </is>
      </c>
    </row>
    <row r="147">
      <c r="A147" s="31" t="inlineStr">
        <is>
          <t>WELINV</t>
        </is>
      </c>
      <c r="B147" s="31" t="inlineStr">
        <is>
          <t>Welspun Investments And Commercials Limited</t>
        </is>
      </c>
      <c r="C147" s="31" t="inlineStr">
        <is>
          <t>financials</t>
        </is>
      </c>
      <c r="D147" s="31" t="inlineStr">
        <is>
          <t>finance &amp; investments</t>
        </is>
      </c>
      <c r="E147" s="31" t="inlineStr">
        <is>
          <t>smallcap</t>
        </is>
      </c>
      <c r="F147" s="31" t="n">
        <v>880.33</v>
      </c>
      <c r="G147" s="31" t="n">
        <v>2457</v>
      </c>
      <c r="H147" s="31" t="n">
        <v>2</v>
      </c>
      <c r="I147" s="31" t="n">
        <v>128</v>
      </c>
      <c r="J147" s="31" t="inlineStr">
        <is>
          <t>533252</t>
        </is>
      </c>
    </row>
    <row r="148">
      <c r="A148" s="31" t="inlineStr">
        <is>
          <t>BAFNAPH</t>
        </is>
      </c>
      <c r="B148" s="31" t="inlineStr">
        <is>
          <t>Bafna Pharmaceuticals Ltd</t>
        </is>
      </c>
      <c r="C148" s="31" t="inlineStr">
        <is>
          <t>healthcare</t>
        </is>
      </c>
      <c r="D148" s="31" t="inlineStr">
        <is>
          <t>pharmaceuticals - indian - formulations</t>
        </is>
      </c>
      <c r="E148" s="31" t="inlineStr">
        <is>
          <t>smallcap</t>
        </is>
      </c>
      <c r="F148" s="31" t="n">
        <v>780.54</v>
      </c>
      <c r="G148" s="31" t="n">
        <v>336.5</v>
      </c>
      <c r="H148" s="31" t="n">
        <v>1.99</v>
      </c>
      <c r="I148" s="31" t="n">
        <v>579</v>
      </c>
      <c r="J148" s="31" t="inlineStr">
        <is>
          <t>532989</t>
        </is>
      </c>
    </row>
    <row r="149">
      <c r="A149" s="31" t="inlineStr">
        <is>
          <t>SWANDEF</t>
        </is>
      </c>
      <c r="B149" s="31" t="inlineStr">
        <is>
          <t>Swan Defence and Heavy Industries Ltd</t>
        </is>
      </c>
      <c r="C149" s="31" t="inlineStr">
        <is>
          <t>transportation</t>
        </is>
      </c>
      <c r="D149" s="31" t="inlineStr">
        <is>
          <t>miscellaneous</t>
        </is>
      </c>
      <c r="E149" s="31" t="inlineStr">
        <is>
          <t>midcap</t>
        </is>
      </c>
      <c r="F149" s="31" t="n">
        <v>14340.08</v>
      </c>
      <c r="G149" s="31" t="n">
        <v>2776.2</v>
      </c>
      <c r="H149" s="31" t="n">
        <v>1.99</v>
      </c>
      <c r="I149" s="31" t="n">
        <v>36316</v>
      </c>
      <c r="J149" s="31" t="inlineStr">
        <is>
          <t>533107</t>
        </is>
      </c>
    </row>
    <row r="150">
      <c r="A150" s="31" t="inlineStr">
        <is>
          <t>SSWL</t>
        </is>
      </c>
      <c r="B150" s="31" t="inlineStr">
        <is>
          <t>Steel Strips Wheels Limited</t>
        </is>
      </c>
      <c r="C150" s="31" t="inlineStr">
        <is>
          <t>auto</t>
        </is>
      </c>
      <c r="D150" s="31" t="inlineStr">
        <is>
          <t>auto ancillaries</t>
        </is>
      </c>
      <c r="E150" s="31" t="inlineStr">
        <is>
          <t>midcap</t>
        </is>
      </c>
      <c r="F150" s="31" t="n">
        <v>5733.94</v>
      </c>
      <c r="G150" s="31" t="n">
        <v>371.95</v>
      </c>
      <c r="H150" s="31" t="n">
        <v>1.96</v>
      </c>
      <c r="I150" s="31" t="n">
        <v>1061277</v>
      </c>
      <c r="J150" s="31" t="inlineStr">
        <is>
          <t>513262</t>
        </is>
      </c>
    </row>
    <row r="151">
      <c r="A151" s="31" t="inlineStr">
        <is>
          <t>SPECIALITY</t>
        </is>
      </c>
      <c r="B151" s="31" t="inlineStr">
        <is>
          <t>Speciality Restaurants Limited</t>
        </is>
      </c>
      <c r="C151" s="31" t="inlineStr">
        <is>
          <t>services</t>
        </is>
      </c>
      <c r="D151" s="31" t="inlineStr">
        <is>
          <t>hotels</t>
        </is>
      </c>
      <c r="E151" s="31" t="inlineStr">
        <is>
          <t>smallcap</t>
        </is>
      </c>
      <c r="F151" s="31" t="n">
        <v>721.27</v>
      </c>
      <c r="G151" s="31" t="n">
        <v>152.45</v>
      </c>
      <c r="H151" s="31" t="n">
        <v>1.95</v>
      </c>
      <c r="I151" s="31" t="n">
        <v>36639</v>
      </c>
      <c r="J151" s="31" t="inlineStr">
        <is>
          <t>534425</t>
        </is>
      </c>
    </row>
    <row r="152">
      <c r="A152" s="31" t="inlineStr">
        <is>
          <t>TATVA</t>
        </is>
      </c>
      <c r="B152" s="31" t="inlineStr">
        <is>
          <t>Tatva Chintan Pharma Chem Ltd</t>
        </is>
      </c>
      <c r="C152" s="31" t="inlineStr">
        <is>
          <t>chemicals</t>
        </is>
      </c>
      <c r="D152" s="31" t="inlineStr">
        <is>
          <t>chemicals</t>
        </is>
      </c>
      <c r="E152" s="31" t="inlineStr">
        <is>
          <t>smallcap</t>
        </is>
      </c>
      <c r="F152" s="31" t="n">
        <v>4080.04</v>
      </c>
      <c r="G152" s="31" t="n">
        <v>1778.1</v>
      </c>
      <c r="H152" s="31" t="n">
        <v>1.94</v>
      </c>
      <c r="I152" s="31" t="n">
        <v>100979</v>
      </c>
      <c r="J152" s="31" t="inlineStr">
        <is>
          <t>543321</t>
        </is>
      </c>
    </row>
    <row r="153">
      <c r="A153" s="31" t="inlineStr">
        <is>
          <t>DMCC</t>
        </is>
      </c>
      <c r="B153" s="31" t="inlineStr">
        <is>
          <t>DMCC Speciality Chemicals Ltd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smallcap</t>
        </is>
      </c>
      <c r="F153" s="31" t="n">
        <v>724.88</v>
      </c>
      <c r="G153" s="31" t="n">
        <v>296.3</v>
      </c>
      <c r="H153" s="31" t="n">
        <v>1.94</v>
      </c>
      <c r="I153" s="31" t="n">
        <v>107730</v>
      </c>
      <c r="J153" s="31" t="inlineStr">
        <is>
          <t>506405</t>
        </is>
      </c>
    </row>
    <row r="154">
      <c r="A154" s="31" t="inlineStr">
        <is>
          <t>INDNIPPON</t>
        </is>
      </c>
      <c r="B154" s="31" t="inlineStr">
        <is>
          <t>India Nippon Electricals Limited</t>
        </is>
      </c>
      <c r="C154" s="31" t="inlineStr">
        <is>
          <t>auto</t>
        </is>
      </c>
      <c r="D154" s="31" t="inlineStr">
        <is>
          <t>auto ancillaries</t>
        </is>
      </c>
      <c r="E154" s="31" t="inlineStr">
        <is>
          <t>smallcap</t>
        </is>
      </c>
      <c r="F154" s="31" t="n">
        <v>2798.27</v>
      </c>
      <c r="G154" s="31" t="n">
        <v>1260.7</v>
      </c>
      <c r="H154" s="31" t="n">
        <v>1.92</v>
      </c>
      <c r="I154" s="31" t="n">
        <v>109262</v>
      </c>
      <c r="J154" s="31" t="inlineStr">
        <is>
          <t>532240</t>
        </is>
      </c>
    </row>
    <row r="155">
      <c r="A155" s="31" t="inlineStr">
        <is>
          <t>AKUMS</t>
        </is>
      </c>
      <c r="B155" s="31" t="inlineStr">
        <is>
          <t>Akums Drugs &amp; Pharmaceuticals Ltd</t>
        </is>
      </c>
      <c r="C155" s="31" t="inlineStr">
        <is>
          <t>healthcare</t>
        </is>
      </c>
      <c r="D155" s="31" t="inlineStr">
        <is>
          <t>pharmaceuticals - indian - bulk drugs &amp; formln</t>
        </is>
      </c>
      <c r="E155" s="31" t="inlineStr">
        <is>
          <t>midcap</t>
        </is>
      </c>
      <c r="F155" s="31" t="n">
        <v>12715.86</v>
      </c>
      <c r="G155" s="31" t="n">
        <v>823.3</v>
      </c>
      <c r="H155" s="31" t="n">
        <v>1.91</v>
      </c>
      <c r="I155" s="31" t="n">
        <v>434249</v>
      </c>
      <c r="J155" s="31" t="inlineStr">
        <is>
          <t>544222</t>
        </is>
      </c>
    </row>
    <row r="156">
      <c r="A156" s="31" t="inlineStr">
        <is>
          <t>DIACABS</t>
        </is>
      </c>
      <c r="B156" s="31" t="inlineStr">
        <is>
          <t>Diamond Power Infrastructure Ltd</t>
        </is>
      </c>
      <c r="C156" s="31" t="inlineStr">
        <is>
          <t>industrials</t>
        </is>
      </c>
      <c r="D156" s="31" t="inlineStr">
        <is>
          <t>cables - power</t>
        </is>
      </c>
      <c r="E156" s="31" t="inlineStr">
        <is>
          <t>largecap</t>
        </is>
      </c>
      <c r="F156" s="31" t="n">
        <v>22179.47</v>
      </c>
      <c r="G156" s="31" t="n">
        <v>377.85</v>
      </c>
      <c r="H156" s="31" t="n">
        <v>1.89</v>
      </c>
      <c r="I156" s="31" t="n">
        <v>1102551</v>
      </c>
      <c r="J156" s="31" t="inlineStr">
        <is>
          <t>522163</t>
        </is>
      </c>
    </row>
    <row r="157">
      <c r="A157" s="31" t="inlineStr">
        <is>
          <t>BHAGERIA</t>
        </is>
      </c>
      <c r="B157" s="31" t="inlineStr">
        <is>
          <t>Bhageria Industries Limited</t>
        </is>
      </c>
      <c r="C157" s="31" t="inlineStr">
        <is>
          <t>chemicals</t>
        </is>
      </c>
      <c r="D157" s="31" t="inlineStr">
        <is>
          <t>dyes and pigments</t>
        </is>
      </c>
      <c r="E157" s="31" t="inlineStr">
        <is>
          <t>smallcap</t>
        </is>
      </c>
      <c r="F157" s="31" t="n">
        <v>1506.82</v>
      </c>
      <c r="G157" s="31" t="n">
        <v>351.75</v>
      </c>
      <c r="H157" s="31" t="n">
        <v>1.88</v>
      </c>
      <c r="I157" s="31" t="n">
        <v>147240</v>
      </c>
      <c r="J157" s="31" t="inlineStr">
        <is>
          <t>530803</t>
        </is>
      </c>
    </row>
    <row r="158">
      <c r="A158" s="31" t="inlineStr">
        <is>
          <t>EIMCOELECO</t>
        </is>
      </c>
      <c r="B158" s="31" t="inlineStr">
        <is>
          <t>Eimco Elecon (india) Limited</t>
        </is>
      </c>
      <c r="C158" s="31" t="inlineStr">
        <is>
          <t>industrials</t>
        </is>
      </c>
      <c r="D158" s="31" t="inlineStr">
        <is>
          <t>engineering</t>
        </is>
      </c>
      <c r="E158" s="31" t="inlineStr">
        <is>
          <t>smallcap</t>
        </is>
      </c>
      <c r="F158" s="31" t="n">
        <v>1301.41</v>
      </c>
      <c r="G158" s="31" t="n">
        <v>2297.8</v>
      </c>
      <c r="H158" s="31" t="n">
        <v>1.85</v>
      </c>
      <c r="I158" s="31" t="n">
        <v>17385</v>
      </c>
      <c r="J158" s="31" t="inlineStr">
        <is>
          <t>523708</t>
        </is>
      </c>
    </row>
    <row r="159">
      <c r="A159" s="31" t="inlineStr">
        <is>
          <t>JGCHEM</t>
        </is>
      </c>
      <c r="B159" s="31" t="inlineStr">
        <is>
          <t>J.G.Chemicals Ltd</t>
        </is>
      </c>
      <c r="C159" s="31" t="inlineStr">
        <is>
          <t>chemicals</t>
        </is>
      </c>
      <c r="D159" s="31" t="inlineStr">
        <is>
          <t>chemicals</t>
        </is>
      </c>
      <c r="E159" s="31" t="inlineStr">
        <is>
          <t>smallcap</t>
        </is>
      </c>
      <c r="F159" s="31" t="n">
        <v>2391.72</v>
      </c>
      <c r="G159" s="31" t="n">
        <v>621.55</v>
      </c>
      <c r="H159" s="31" t="n">
        <v>1.84</v>
      </c>
      <c r="I159" s="31" t="n">
        <v>380279</v>
      </c>
      <c r="J159" s="31" t="n"/>
    </row>
    <row r="160">
      <c r="A160" s="31" t="inlineStr">
        <is>
          <t>CONCORDBIO</t>
        </is>
      </c>
      <c r="B160" s="31" t="inlineStr">
        <is>
          <t>Concord Biotech Ltd</t>
        </is>
      </c>
      <c r="C160" s="31" t="inlineStr">
        <is>
          <t>healthcare</t>
        </is>
      </c>
      <c r="D160" s="31" t="inlineStr">
        <is>
          <t>pharmaceuticals - indian - bulk drugs &amp; formln</t>
        </is>
      </c>
      <c r="E160" s="31" t="inlineStr">
        <is>
          <t>midcap</t>
        </is>
      </c>
      <c r="F160" s="31" t="n">
        <v>16031.39</v>
      </c>
      <c r="G160" s="31" t="n">
        <v>1560.3</v>
      </c>
      <c r="H160" s="31" t="n">
        <v>1.82</v>
      </c>
      <c r="I160" s="31" t="n">
        <v>147508</v>
      </c>
      <c r="J160" s="31" t="inlineStr">
        <is>
          <t>543960</t>
        </is>
      </c>
    </row>
    <row r="161">
      <c r="A161" s="31" t="inlineStr">
        <is>
          <t>LLOYDSME</t>
        </is>
      </c>
      <c r="B161" s="31" t="inlineStr">
        <is>
          <t>Lloyds Metals &amp; Energy Ltd</t>
        </is>
      </c>
      <c r="C161" s="31" t="inlineStr">
        <is>
          <t>metals &amp; mining</t>
        </is>
      </c>
      <c r="D161" s="31" t="inlineStr">
        <is>
          <t>mining / minerals / metals</t>
        </is>
      </c>
      <c r="E161" s="31" t="inlineStr">
        <is>
          <t>largecap</t>
        </is>
      </c>
      <c r="F161" s="31" t="n">
        <v>104554.34</v>
      </c>
      <c r="G161" s="31" t="n">
        <v>1890.9</v>
      </c>
      <c r="H161" s="31" t="n">
        <v>1.8</v>
      </c>
      <c r="I161" s="31" t="n">
        <v>739451</v>
      </c>
      <c r="J161" s="31" t="inlineStr">
        <is>
          <t>512455</t>
        </is>
      </c>
    </row>
    <row r="162">
      <c r="A162" s="31" t="inlineStr">
        <is>
          <t>DICIND</t>
        </is>
      </c>
      <c r="B162" s="31" t="inlineStr">
        <is>
          <t>Dic India Limited</t>
        </is>
      </c>
      <c r="C162" s="31" t="inlineStr">
        <is>
          <t>chemicals</t>
        </is>
      </c>
      <c r="D162" s="31" t="inlineStr">
        <is>
          <t>chemicals</t>
        </is>
      </c>
      <c r="E162" s="31" t="inlineStr">
        <is>
          <t>smallcap</t>
        </is>
      </c>
      <c r="F162" s="31" t="n">
        <v>600.53</v>
      </c>
      <c r="G162" s="31" t="n">
        <v>665.65</v>
      </c>
      <c r="H162" s="31" t="n">
        <v>1.74</v>
      </c>
      <c r="I162" s="31" t="n">
        <v>5033</v>
      </c>
      <c r="J162" s="31" t="inlineStr">
        <is>
          <t>500089</t>
        </is>
      </c>
    </row>
    <row r="163">
      <c r="A163" s="31" t="inlineStr">
        <is>
          <t>RPTECH</t>
        </is>
      </c>
      <c r="B163" s="31" t="inlineStr">
        <is>
          <t>Rashi Peripherals Ltd</t>
        </is>
      </c>
      <c r="C163" s="31" t="inlineStr">
        <is>
          <t>i.t</t>
        </is>
      </c>
      <c r="D163" s="31" t="inlineStr">
        <is>
          <t>trading</t>
        </is>
      </c>
      <c r="E163" s="31" t="inlineStr">
        <is>
          <t>midcap</t>
        </is>
      </c>
      <c r="F163" s="31" t="n">
        <v>5822.56</v>
      </c>
      <c r="G163" s="31" t="n">
        <v>898.7</v>
      </c>
      <c r="H163" s="31" t="n">
        <v>1.71</v>
      </c>
      <c r="I163" s="31" t="n">
        <v>382200</v>
      </c>
      <c r="J163" s="31" t="n"/>
    </row>
    <row r="164">
      <c r="A164" s="31" t="inlineStr">
        <is>
          <t>VISAKAIND</t>
        </is>
      </c>
      <c r="B164" s="31" t="inlineStr">
        <is>
          <t>Visaka Industries Limited</t>
        </is>
      </c>
      <c r="C164" s="31" t="inlineStr">
        <is>
          <t>building materials</t>
        </is>
      </c>
      <c r="D164" s="31" t="inlineStr">
        <is>
          <t>cement products</t>
        </is>
      </c>
      <c r="E164" s="31" t="inlineStr">
        <is>
          <t>smallcap</t>
        </is>
      </c>
      <c r="F164" s="31" t="n">
        <v>816.27</v>
      </c>
      <c r="G164" s="31" t="n">
        <v>96.08</v>
      </c>
      <c r="H164" s="31" t="n">
        <v>1.7</v>
      </c>
      <c r="I164" s="31" t="n">
        <v>149545</v>
      </c>
      <c r="J164" s="31" t="inlineStr">
        <is>
          <t>509055</t>
        </is>
      </c>
    </row>
    <row r="165">
      <c r="A165" s="31" t="inlineStr">
        <is>
          <t>INDOAMIN</t>
        </is>
      </c>
      <c r="B165" s="31" t="inlineStr">
        <is>
          <t>Indo Amines Ltd</t>
        </is>
      </c>
      <c r="C165" s="31" t="inlineStr">
        <is>
          <t>chemicals</t>
        </is>
      </c>
      <c r="D165" s="31" t="inlineStr">
        <is>
          <t>chemicals</t>
        </is>
      </c>
      <c r="E165" s="31" t="inlineStr">
        <is>
          <t>smallcap</t>
        </is>
      </c>
      <c r="F165" s="31" t="n">
        <v>978.48</v>
      </c>
      <c r="G165" s="31" t="n">
        <v>137.07</v>
      </c>
      <c r="H165" s="31" t="n">
        <v>1.68</v>
      </c>
      <c r="I165" s="31" t="n">
        <v>69250</v>
      </c>
      <c r="J165" s="31" t="inlineStr">
        <is>
          <t>524648</t>
        </is>
      </c>
    </row>
    <row r="166">
      <c r="A166" s="31" t="inlineStr">
        <is>
          <t>GLOBAL</t>
        </is>
      </c>
      <c r="B166" s="31" t="inlineStr">
        <is>
          <t>Global Education Ltd</t>
        </is>
      </c>
      <c r="C166" s="31" t="inlineStr">
        <is>
          <t>services</t>
        </is>
      </c>
      <c r="D166" s="31" t="inlineStr">
        <is>
          <t>miscellaneous</t>
        </is>
      </c>
      <c r="E166" s="31" t="inlineStr">
        <is>
          <t>smallcap</t>
        </is>
      </c>
      <c r="F166" s="31" t="n">
        <v>673.0700000000001</v>
      </c>
      <c r="G166" s="31" t="n">
        <v>134.45</v>
      </c>
      <c r="H166" s="31" t="n">
        <v>1.68</v>
      </c>
      <c r="I166" s="31" t="n">
        <v>318189</v>
      </c>
      <c r="J166" s="31" t="inlineStr">
        <is>
          <t>538406</t>
        </is>
      </c>
    </row>
    <row r="167">
      <c r="A167" s="31" t="inlineStr">
        <is>
          <t>GEOJITFSL</t>
        </is>
      </c>
      <c r="B167" s="31" t="inlineStr">
        <is>
          <t>Geojit Financial Services Ltd</t>
        </is>
      </c>
      <c r="C167" s="31" t="inlineStr">
        <is>
          <t>financials</t>
        </is>
      </c>
      <c r="D167" s="31" t="inlineStr">
        <is>
          <t>finance &amp; investments</t>
        </is>
      </c>
      <c r="E167" s="31" t="inlineStr">
        <is>
          <t>smallcap</t>
        </is>
      </c>
      <c r="F167" s="31" t="n">
        <v>2250.84</v>
      </c>
      <c r="G167" s="31" t="n">
        <v>81.98</v>
      </c>
      <c r="H167" s="31" t="n">
        <v>1.66</v>
      </c>
      <c r="I167" s="31" t="n">
        <v>263464</v>
      </c>
      <c r="J167" s="31" t="inlineStr">
        <is>
          <t>532285</t>
        </is>
      </c>
    </row>
    <row r="168">
      <c r="A168" s="31" t="inlineStr">
        <is>
          <t>INOXINDIA</t>
        </is>
      </c>
      <c r="B168" s="31" t="inlineStr">
        <is>
          <t>Inox India Ltd</t>
        </is>
      </c>
      <c r="C168" s="31" t="inlineStr">
        <is>
          <t>industrials</t>
        </is>
      </c>
      <c r="D168" s="31" t="inlineStr">
        <is>
          <t>packaging</t>
        </is>
      </c>
      <c r="E168" s="31" t="inlineStr">
        <is>
          <t>midcap</t>
        </is>
      </c>
      <c r="F168" s="31" t="n">
        <v>19366.21</v>
      </c>
      <c r="G168" s="31" t="n">
        <v>2168.9</v>
      </c>
      <c r="H168" s="31" t="n">
        <v>1.65</v>
      </c>
      <c r="I168" s="31" t="n">
        <v>144053</v>
      </c>
      <c r="J168" s="31" t="inlineStr">
        <is>
          <t>544046</t>
        </is>
      </c>
    </row>
    <row r="169">
      <c r="A169" s="31" t="inlineStr">
        <is>
          <t>PRECWIRE</t>
        </is>
      </c>
      <c r="B169" s="31" t="inlineStr">
        <is>
          <t>Precision Wires India Limited</t>
        </is>
      </c>
      <c r="C169" s="31" t="inlineStr">
        <is>
          <t>metals &amp; mining</t>
        </is>
      </c>
      <c r="D169" s="31" t="inlineStr">
        <is>
          <t>mining / minerals / metals</t>
        </is>
      </c>
      <c r="E169" s="31" t="inlineStr">
        <is>
          <t>midcap</t>
        </is>
      </c>
      <c r="F169" s="31" t="n">
        <v>8977.700000000001</v>
      </c>
      <c r="G169" s="31" t="n">
        <v>498.85</v>
      </c>
      <c r="H169" s="31" t="n">
        <v>1.58</v>
      </c>
      <c r="I169" s="31" t="n">
        <v>715914</v>
      </c>
      <c r="J169" s="31" t="inlineStr">
        <is>
          <t>523539</t>
        </is>
      </c>
    </row>
    <row r="170">
      <c r="A170" s="31" t="inlineStr">
        <is>
          <t>ASHIANA</t>
        </is>
      </c>
      <c r="B170" s="31" t="inlineStr">
        <is>
          <t>Ashiana Housing Limited</t>
        </is>
      </c>
      <c r="C170" s="31" t="inlineStr">
        <is>
          <t>realty</t>
        </is>
      </c>
      <c r="D170" s="31" t="inlineStr">
        <is>
          <t>construction</t>
        </is>
      </c>
      <c r="E170" s="31" t="inlineStr">
        <is>
          <t>smallcap</t>
        </is>
      </c>
      <c r="F170" s="31" t="n">
        <v>3870.21</v>
      </c>
      <c r="G170" s="31" t="n">
        <v>391.05</v>
      </c>
      <c r="H170" s="31" t="n">
        <v>1.57</v>
      </c>
      <c r="I170" s="31" t="n">
        <v>67327</v>
      </c>
      <c r="J170" s="31" t="inlineStr">
        <is>
          <t>523716</t>
        </is>
      </c>
    </row>
    <row r="171">
      <c r="A171" s="31" t="inlineStr">
        <is>
          <t>JYOTICNC</t>
        </is>
      </c>
      <c r="B171" s="31" t="inlineStr">
        <is>
          <t>Jyoti CNC Automation Ltd</t>
        </is>
      </c>
      <c r="C171" s="31" t="inlineStr">
        <is>
          <t>industrials</t>
        </is>
      </c>
      <c r="D171" s="31" t="inlineStr">
        <is>
          <t>engineering</t>
        </is>
      </c>
      <c r="E171" s="31" t="inlineStr">
        <is>
          <t>largecap</t>
        </is>
      </c>
      <c r="F171" s="31" t="n">
        <v>24659.49</v>
      </c>
      <c r="G171" s="31" t="n">
        <v>1100.8</v>
      </c>
      <c r="H171" s="31" t="n">
        <v>1.52</v>
      </c>
      <c r="I171" s="31" t="n">
        <v>1338131</v>
      </c>
      <c r="J171" s="31" t="inlineStr">
        <is>
          <t>544081</t>
        </is>
      </c>
    </row>
    <row r="172">
      <c r="A172" s="31" t="inlineStr">
        <is>
          <t>GESHIP</t>
        </is>
      </c>
      <c r="B172" s="31" t="inlineStr">
        <is>
          <t>The Great Eastern Shipping Company Limited</t>
        </is>
      </c>
      <c r="C172" s="31" t="inlineStr">
        <is>
          <t>transportation</t>
        </is>
      </c>
      <c r="D172" s="31" t="inlineStr">
        <is>
          <t>shipping</t>
        </is>
      </c>
      <c r="E172" s="31" t="inlineStr">
        <is>
          <t>largecap</t>
        </is>
      </c>
      <c r="F172" s="31" t="n">
        <v>20872.56</v>
      </c>
      <c r="G172" s="31" t="n">
        <v>1483.8</v>
      </c>
      <c r="H172" s="31" t="n">
        <v>1.49</v>
      </c>
      <c r="I172" s="31" t="n">
        <v>411769</v>
      </c>
      <c r="J172" s="31" t="inlineStr">
        <is>
          <t>500620</t>
        </is>
      </c>
    </row>
    <row r="173">
      <c r="A173" s="31" t="inlineStr">
        <is>
          <t>DEEPINDS</t>
        </is>
      </c>
      <c r="B173" s="31" t="inlineStr">
        <is>
          <t>Deep Industries Ltd</t>
        </is>
      </c>
      <c r="C173" s="31" t="inlineStr">
        <is>
          <t>energy</t>
        </is>
      </c>
      <c r="D173" s="31" t="inlineStr">
        <is>
          <t>oil drilling / allied services</t>
        </is>
      </c>
      <c r="E173" s="31" t="inlineStr">
        <is>
          <t>smallcap</t>
        </is>
      </c>
      <c r="F173" s="31" t="n">
        <v>4874.24</v>
      </c>
      <c r="G173" s="31" t="n">
        <v>772.9</v>
      </c>
      <c r="H173" s="31" t="n">
        <v>1.48</v>
      </c>
      <c r="I173" s="31" t="n">
        <v>335966</v>
      </c>
      <c r="J173" s="31" t="inlineStr">
        <is>
          <t>543288</t>
        </is>
      </c>
    </row>
    <row r="174">
      <c r="A174" s="31" t="inlineStr">
        <is>
          <t>POONAWALLA</t>
        </is>
      </c>
      <c r="B174" s="31" t="inlineStr">
        <is>
          <t>Poonawalla Fincorp Ltd</t>
        </is>
      </c>
      <c r="C174" s="31" t="inlineStr">
        <is>
          <t>financials</t>
        </is>
      </c>
      <c r="D174" s="31" t="inlineStr">
        <is>
          <t>finance &amp; investments</t>
        </is>
      </c>
      <c r="E174" s="31" t="inlineStr">
        <is>
          <t>largecap</t>
        </is>
      </c>
      <c r="F174" s="31" t="n">
        <v>41550.73</v>
      </c>
      <c r="G174" s="31" t="n">
        <v>478.85</v>
      </c>
      <c r="H174" s="31" t="n">
        <v>1.47</v>
      </c>
      <c r="I174" s="31" t="n">
        <v>1880797</v>
      </c>
      <c r="J174" s="31" t="inlineStr">
        <is>
          <t>524000</t>
        </is>
      </c>
    </row>
    <row r="175">
      <c r="A175" s="31" t="inlineStr">
        <is>
          <t>VSSL</t>
        </is>
      </c>
      <c r="B175" s="31" t="inlineStr">
        <is>
          <t>Vardhman Special Steels Limited</t>
        </is>
      </c>
      <c r="C175" s="31" t="inlineStr">
        <is>
          <t>metals &amp; mining</t>
        </is>
      </c>
      <c r="D175" s="31" t="inlineStr">
        <is>
          <t>steel - medium / small</t>
        </is>
      </c>
      <c r="E175" s="31" t="inlineStr">
        <is>
          <t>smallcap</t>
        </is>
      </c>
      <c r="F175" s="31" t="n">
        <v>3942.84</v>
      </c>
      <c r="G175" s="31" t="n">
        <v>413.6</v>
      </c>
      <c r="H175" s="31" t="n">
        <v>1.42</v>
      </c>
      <c r="I175" s="31" t="n">
        <v>103560</v>
      </c>
      <c r="J175" s="31" t="inlineStr">
        <is>
          <t>534392</t>
        </is>
      </c>
    </row>
    <row r="176">
      <c r="A176" s="31" t="inlineStr">
        <is>
          <t>ASIANHOTNR</t>
        </is>
      </c>
      <c r="B176" s="31" t="inlineStr">
        <is>
          <t>Asian Hotels (north) Limited</t>
        </is>
      </c>
      <c r="C176" s="31" t="inlineStr">
        <is>
          <t>services</t>
        </is>
      </c>
      <c r="D176" s="31" t="inlineStr">
        <is>
          <t>hotels</t>
        </is>
      </c>
      <c r="E176" s="31" t="inlineStr">
        <is>
          <t>smallcap</t>
        </is>
      </c>
      <c r="F176" s="31" t="n">
        <v>1641.81</v>
      </c>
      <c r="G176" s="31" t="n">
        <v>390.45</v>
      </c>
      <c r="H176" s="31" t="n">
        <v>1.39</v>
      </c>
      <c r="I176" s="31" t="n">
        <v>28435</v>
      </c>
      <c r="J176" s="31" t="inlineStr">
        <is>
          <t>500023</t>
        </is>
      </c>
    </row>
    <row r="177">
      <c r="A177" s="31" t="inlineStr">
        <is>
          <t>LAURUSLABS</t>
        </is>
      </c>
      <c r="B177" s="31" t="inlineStr">
        <is>
          <t>Laurus Labs Limited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largecap</t>
        </is>
      </c>
      <c r="F177" s="31" t="n">
        <v>108401.08</v>
      </c>
      <c r="G177" s="31" t="n">
        <v>2034</v>
      </c>
      <c r="H177" s="31" t="n">
        <v>1.37</v>
      </c>
      <c r="I177" s="31" t="n">
        <v>1363988</v>
      </c>
      <c r="J177" s="31" t="inlineStr">
        <is>
          <t>540222</t>
        </is>
      </c>
    </row>
    <row r="178">
      <c r="A178" s="31" t="inlineStr">
        <is>
          <t>MAXESTATES</t>
        </is>
      </c>
      <c r="B178" s="31" t="inlineStr">
        <is>
          <t>Max Estates Ltd</t>
        </is>
      </c>
      <c r="C178" s="31" t="inlineStr">
        <is>
          <t>realty</t>
        </is>
      </c>
      <c r="D178" s="31" t="inlineStr">
        <is>
          <t>construction</t>
        </is>
      </c>
      <c r="E178" s="31" t="inlineStr">
        <is>
          <t>midcap</t>
        </is>
      </c>
      <c r="F178" s="31" t="n">
        <v>9728.91</v>
      </c>
      <c r="G178" s="31" t="n">
        <v>603.2</v>
      </c>
      <c r="H178" s="31" t="n">
        <v>1.37</v>
      </c>
      <c r="I178" s="31" t="n">
        <v>56043</v>
      </c>
      <c r="J178" s="31" t="inlineStr">
        <is>
          <t>544008</t>
        </is>
      </c>
    </row>
    <row r="179">
      <c r="A179" s="31" t="inlineStr">
        <is>
          <t>CHALET</t>
        </is>
      </c>
      <c r="B179" s="31" t="inlineStr">
        <is>
          <t>Chalet Hotels Ltd</t>
        </is>
      </c>
      <c r="C179" s="31" t="inlineStr">
        <is>
          <t>services</t>
        </is>
      </c>
      <c r="D179" s="31" t="inlineStr">
        <is>
          <t>hotels</t>
        </is>
      </c>
      <c r="E179" s="31" t="inlineStr">
        <is>
          <t>midcap</t>
        </is>
      </c>
      <c r="F179" s="31" t="n">
        <v>19103.95</v>
      </c>
      <c r="G179" s="31" t="n">
        <v>884.05</v>
      </c>
      <c r="H179" s="31" t="n">
        <v>1.34</v>
      </c>
      <c r="I179" s="31" t="n">
        <v>188427</v>
      </c>
      <c r="J179" s="31" t="inlineStr">
        <is>
          <t>542399</t>
        </is>
      </c>
    </row>
    <row r="180">
      <c r="A180" s="31" t="inlineStr">
        <is>
          <t>LICHSGFIN</t>
        </is>
      </c>
      <c r="B180" s="31" t="inlineStr">
        <is>
          <t>Lic Housing Finance Limited</t>
        </is>
      </c>
      <c r="C180" s="31" t="inlineStr">
        <is>
          <t>financials</t>
        </is>
      </c>
      <c r="D180" s="31" t="inlineStr">
        <is>
          <t>finance - housing</t>
        </is>
      </c>
      <c r="E180" s="31" t="inlineStr">
        <is>
          <t>largecap</t>
        </is>
      </c>
      <c r="F180" s="31" t="n">
        <v>31078.56</v>
      </c>
      <c r="G180" s="31" t="n">
        <v>572.5</v>
      </c>
      <c r="H180" s="31" t="n">
        <v>1.33</v>
      </c>
      <c r="I180" s="31" t="n">
        <v>3008551</v>
      </c>
      <c r="J180" s="31" t="inlineStr">
        <is>
          <t>500253</t>
        </is>
      </c>
    </row>
    <row r="181">
      <c r="A181" s="31" t="inlineStr">
        <is>
          <t>TIPSMUSIC</t>
        </is>
      </c>
      <c r="B181" s="31" t="inlineStr">
        <is>
          <t>Tips Music Ltd</t>
        </is>
      </c>
      <c r="C181" s="31" t="inlineStr">
        <is>
          <t>media</t>
        </is>
      </c>
      <c r="D181" s="31" t="inlineStr">
        <is>
          <t>entertainment / electronic media software</t>
        </is>
      </c>
      <c r="E181" s="31" t="inlineStr">
        <is>
          <t>midcap</t>
        </is>
      </c>
      <c r="F181" s="31" t="n">
        <v>8459.889999999999</v>
      </c>
      <c r="G181" s="31" t="n">
        <v>670.5</v>
      </c>
      <c r="H181" s="31" t="n">
        <v>1.31</v>
      </c>
      <c r="I181" s="31" t="n">
        <v>326612</v>
      </c>
      <c r="J181" s="31" t="inlineStr">
        <is>
          <t>532375</t>
        </is>
      </c>
    </row>
    <row r="182">
      <c r="A182" s="31" t="inlineStr">
        <is>
          <t>ABDL</t>
        </is>
      </c>
      <c r="B182" s="31" t="inlineStr">
        <is>
          <t>Allied Blenders &amp; Distillers Ltd</t>
        </is>
      </c>
      <c r="C182" s="31" t="inlineStr">
        <is>
          <t>fmcg</t>
        </is>
      </c>
      <c r="D182" s="31" t="inlineStr">
        <is>
          <t>breweries &amp; distilleries</t>
        </is>
      </c>
      <c r="E182" s="31" t="inlineStr">
        <is>
          <t>midcap</t>
        </is>
      </c>
      <c r="F182" s="31" t="n">
        <v>18122.42</v>
      </c>
      <c r="G182" s="31" t="n">
        <v>656.4</v>
      </c>
      <c r="H182" s="31" t="n">
        <v>1.31</v>
      </c>
      <c r="I182" s="31" t="n">
        <v>2319309</v>
      </c>
      <c r="J182" s="31" t="inlineStr">
        <is>
          <t>544203</t>
        </is>
      </c>
    </row>
    <row r="183">
      <c r="A183" s="31" t="inlineStr">
        <is>
          <t>HITECHCORP</t>
        </is>
      </c>
      <c r="B183" s="31" t="inlineStr">
        <is>
          <t>Hitech Corporation</t>
        </is>
      </c>
      <c r="C183" s="31" t="inlineStr">
        <is>
          <t>industrials</t>
        </is>
      </c>
      <c r="D183" s="31" t="inlineStr">
        <is>
          <t>packaging</t>
        </is>
      </c>
      <c r="E183" s="31" t="inlineStr">
        <is>
          <t>smallcap</t>
        </is>
      </c>
      <c r="F183" s="31" t="n">
        <v>566.37</v>
      </c>
      <c r="G183" s="31" t="n">
        <v>334</v>
      </c>
      <c r="H183" s="31" t="n">
        <v>1.29</v>
      </c>
      <c r="I183" s="31" t="n">
        <v>8707</v>
      </c>
      <c r="J183" s="31" t="inlineStr">
        <is>
          <t>526217</t>
        </is>
      </c>
    </row>
    <row r="184">
      <c r="A184" s="31" t="inlineStr">
        <is>
          <t>20MICRONS</t>
        </is>
      </c>
      <c r="B184" s="31" t="inlineStr">
        <is>
          <t>20 Microns Limited</t>
        </is>
      </c>
      <c r="C184" s="31" t="inlineStr">
        <is>
          <t>metals &amp; mining</t>
        </is>
      </c>
      <c r="D184" s="31" t="inlineStr">
        <is>
          <t>mining / minerals / metals</t>
        </is>
      </c>
      <c r="E184" s="31" t="inlineStr">
        <is>
          <t>smallcap</t>
        </is>
      </c>
      <c r="F184" s="31" t="n">
        <v>763.78</v>
      </c>
      <c r="G184" s="31" t="n">
        <v>219.21</v>
      </c>
      <c r="H184" s="31" t="n">
        <v>1.28</v>
      </c>
      <c r="I184" s="31" t="n">
        <v>104573</v>
      </c>
      <c r="J184" s="31" t="inlineStr">
        <is>
          <t>533022</t>
        </is>
      </c>
    </row>
    <row r="185">
      <c r="A185" s="31" t="inlineStr">
        <is>
          <t>AUROPHARMA</t>
        </is>
      </c>
      <c r="B185" s="31" t="inlineStr">
        <is>
          <t>Aurobindo Pharma Limited</t>
        </is>
      </c>
      <c r="C185" s="31" t="inlineStr">
        <is>
          <t>healthcare</t>
        </is>
      </c>
      <c r="D185" s="31" t="inlineStr">
        <is>
          <t>pharmaceuticals - indian - bulk drugs &amp; formln</t>
        </is>
      </c>
      <c r="E185" s="31" t="inlineStr">
        <is>
          <t>largecap</t>
        </is>
      </c>
      <c r="F185" s="31" t="n">
        <v>97814.24000000001</v>
      </c>
      <c r="G185" s="31" t="n">
        <v>1721.5</v>
      </c>
      <c r="H185" s="31" t="n">
        <v>1.26</v>
      </c>
      <c r="I185" s="31" t="n">
        <v>951081</v>
      </c>
      <c r="J185" s="31" t="inlineStr">
        <is>
          <t>524804</t>
        </is>
      </c>
    </row>
    <row r="186">
      <c r="A186" s="31" t="inlineStr">
        <is>
          <t>ENGINERSIN</t>
        </is>
      </c>
      <c r="B186" s="31" t="inlineStr">
        <is>
          <t>Engineers India Limited</t>
        </is>
      </c>
      <c r="C186" s="31" t="inlineStr">
        <is>
          <t>realty</t>
        </is>
      </c>
      <c r="D186" s="31" t="inlineStr">
        <is>
          <t>engineering - turnkey services</t>
        </is>
      </c>
      <c r="E186" s="31" t="inlineStr">
        <is>
          <t>midcap</t>
        </is>
      </c>
      <c r="F186" s="31" t="n">
        <v>17004.59</v>
      </c>
      <c r="G186" s="31" t="n">
        <v>306.2</v>
      </c>
      <c r="H186" s="31" t="n">
        <v>1.21</v>
      </c>
      <c r="I186" s="31" t="n">
        <v>11229270</v>
      </c>
      <c r="J186" s="31" t="inlineStr">
        <is>
          <t>532178</t>
        </is>
      </c>
    </row>
    <row r="187">
      <c r="A187" s="31" t="inlineStr">
        <is>
          <t>TDPOWERSYS</t>
        </is>
      </c>
      <c r="B187" s="31" t="inlineStr">
        <is>
          <t>Td Power Systems Limited</t>
        </is>
      </c>
      <c r="C187" s="31" t="inlineStr">
        <is>
          <t>industrials</t>
        </is>
      </c>
      <c r="D187" s="31" t="inlineStr">
        <is>
          <t>electric equipment</t>
        </is>
      </c>
      <c r="E187" s="31" t="inlineStr">
        <is>
          <t>midcap</t>
        </is>
      </c>
      <c r="F187" s="31" t="n">
        <v>11817.12</v>
      </c>
      <c r="G187" s="31" t="n">
        <v>765.5</v>
      </c>
      <c r="H187" s="31" t="n">
        <v>1.2</v>
      </c>
      <c r="I187" s="31" t="n">
        <v>1842284</v>
      </c>
      <c r="J187" s="31" t="inlineStr">
        <is>
          <t>533553</t>
        </is>
      </c>
    </row>
    <row r="188">
      <c r="A188" s="31" t="inlineStr">
        <is>
          <t>ALEMBICLTD</t>
        </is>
      </c>
      <c r="B188" s="31" t="inlineStr">
        <is>
          <t>Alembic Limited</t>
        </is>
      </c>
      <c r="C188" s="31" t="inlineStr">
        <is>
          <t>realty</t>
        </is>
      </c>
      <c r="D188" s="31" t="inlineStr">
        <is>
          <t>construction</t>
        </is>
      </c>
      <c r="E188" s="31" t="inlineStr">
        <is>
          <t>smallcap</t>
        </is>
      </c>
      <c r="F188" s="31" t="n">
        <v>2690.82</v>
      </c>
      <c r="G188" s="31" t="n">
        <v>106.04</v>
      </c>
      <c r="H188" s="31" t="n">
        <v>1.19</v>
      </c>
      <c r="I188" s="31" t="n">
        <v>694993</v>
      </c>
      <c r="J188" s="31" t="inlineStr">
        <is>
          <t>506235</t>
        </is>
      </c>
    </row>
    <row r="189">
      <c r="A189" s="31" t="inlineStr">
        <is>
          <t>TARSONS</t>
        </is>
      </c>
      <c r="B189" s="31" t="inlineStr">
        <is>
          <t>Tarsons Products Ltd</t>
        </is>
      </c>
      <c r="C189" s="31" t="inlineStr">
        <is>
          <t>healthcare</t>
        </is>
      </c>
      <c r="D189" s="31" t="inlineStr">
        <is>
          <t>miscellaneous</t>
        </is>
      </c>
      <c r="E189" s="31" t="inlineStr">
        <is>
          <t>smallcap</t>
        </is>
      </c>
      <c r="F189" s="31" t="n">
        <v>1763.79</v>
      </c>
      <c r="G189" s="31" t="n">
        <v>335.45</v>
      </c>
      <c r="H189" s="31" t="n">
        <v>1.19</v>
      </c>
      <c r="I189" s="31" t="n">
        <v>123431</v>
      </c>
      <c r="J189" s="31" t="inlineStr">
        <is>
          <t>543399</t>
        </is>
      </c>
    </row>
    <row r="190">
      <c r="A190" s="31" t="inlineStr">
        <is>
          <t>KINGFA</t>
        </is>
      </c>
      <c r="B190" s="31" t="inlineStr">
        <is>
          <t>Kingfa Science &amp; Technology (india) Limited</t>
        </is>
      </c>
      <c r="C190" s="31" t="inlineStr">
        <is>
          <t>plastic products</t>
        </is>
      </c>
      <c r="D190" s="31" t="inlineStr">
        <is>
          <t>plastics products</t>
        </is>
      </c>
      <c r="E190" s="31" t="inlineStr">
        <is>
          <t>midcap</t>
        </is>
      </c>
      <c r="F190" s="31" t="n">
        <v>8359.17</v>
      </c>
      <c r="G190" s="31" t="n">
        <v>6240.5</v>
      </c>
      <c r="H190" s="31" t="n">
        <v>1.17</v>
      </c>
      <c r="I190" s="31" t="n">
        <v>7818</v>
      </c>
      <c r="J190" s="31" t="inlineStr">
        <is>
          <t>524019</t>
        </is>
      </c>
    </row>
    <row r="191">
      <c r="A191" s="31" t="inlineStr">
        <is>
          <t>3MINDIA</t>
        </is>
      </c>
      <c r="B191" s="31" t="inlineStr">
        <is>
          <t>3m India Limited</t>
        </is>
      </c>
      <c r="C191" s="31" t="inlineStr">
        <is>
          <t>miscellaneous</t>
        </is>
      </c>
      <c r="D191" s="31" t="inlineStr">
        <is>
          <t>diversified - large</t>
        </is>
      </c>
      <c r="E191" s="31" t="inlineStr">
        <is>
          <t>largecap</t>
        </is>
      </c>
      <c r="F191" s="31" t="n">
        <v>38549.07</v>
      </c>
      <c r="G191" s="31" t="n">
        <v>34615</v>
      </c>
      <c r="H191" s="31" t="n">
        <v>1.15</v>
      </c>
      <c r="I191" s="31" t="n">
        <v>4992</v>
      </c>
      <c r="J191" s="31" t="inlineStr">
        <is>
          <t>523395</t>
        </is>
      </c>
    </row>
    <row r="192">
      <c r="A192" s="31" t="inlineStr">
        <is>
          <t>RBLBANK</t>
        </is>
      </c>
      <c r="B192" s="31" t="inlineStr">
        <is>
          <t>Rbl Bank Limited</t>
        </is>
      </c>
      <c r="C192" s="31" t="inlineStr">
        <is>
          <t>bank</t>
        </is>
      </c>
      <c r="D192" s="31" t="inlineStr">
        <is>
          <t>banks - private sector</t>
        </is>
      </c>
      <c r="E192" s="31" t="inlineStr">
        <is>
          <t>largecap</t>
        </is>
      </c>
      <c r="F192" s="31" t="n">
        <v>65534.98</v>
      </c>
      <c r="G192" s="31" t="n">
        <v>428</v>
      </c>
      <c r="H192" s="31" t="n">
        <v>1.13</v>
      </c>
      <c r="I192" s="31" t="n">
        <v>3651779</v>
      </c>
      <c r="J192" s="31" t="inlineStr">
        <is>
          <t>540065</t>
        </is>
      </c>
    </row>
    <row r="193">
      <c r="A193" s="31" t="inlineStr">
        <is>
          <t>SMLMAH</t>
        </is>
      </c>
      <c r="B193" s="31" t="inlineStr">
        <is>
          <t>SML Mahindra Ltd</t>
        </is>
      </c>
      <c r="C193" s="31" t="inlineStr">
        <is>
          <t>auto</t>
        </is>
      </c>
      <c r="D193" s="31" t="inlineStr">
        <is>
          <t>automobiles - lcvs / hcvs</t>
        </is>
      </c>
      <c r="E193" s="31" t="inlineStr">
        <is>
          <t>midcap</t>
        </is>
      </c>
      <c r="F193" s="31" t="n">
        <v>9724.219999999999</v>
      </c>
      <c r="G193" s="31" t="n">
        <v>6794</v>
      </c>
      <c r="H193" s="31" t="n">
        <v>1.11</v>
      </c>
      <c r="I193" s="31" t="n">
        <v>53537</v>
      </c>
      <c r="J193" s="31" t="inlineStr">
        <is>
          <t>505192</t>
        </is>
      </c>
    </row>
    <row r="194">
      <c r="A194" s="31" t="inlineStr">
        <is>
          <t>SETL</t>
        </is>
      </c>
      <c r="B194" s="31" t="inlineStr">
        <is>
          <t>Standard Enginnering Technology Ltd</t>
        </is>
      </c>
      <c r="C194" s="31" t="inlineStr">
        <is>
          <t>industrials</t>
        </is>
      </c>
      <c r="D194" s="31" t="inlineStr">
        <is>
          <t>engineering</t>
        </is>
      </c>
      <c r="E194" s="31" t="inlineStr">
        <is>
          <t>midcap</t>
        </is>
      </c>
      <c r="F194" s="31" t="n">
        <v>8030.54</v>
      </c>
      <c r="G194" s="31" t="n">
        <v>407</v>
      </c>
      <c r="H194" s="31" t="n">
        <v>1.11</v>
      </c>
      <c r="I194" s="31" t="n">
        <v>437953</v>
      </c>
      <c r="J194" s="31" t="inlineStr">
        <is>
          <t>544333</t>
        </is>
      </c>
    </row>
    <row r="195">
      <c r="A195" s="31" t="inlineStr">
        <is>
          <t>PNB</t>
        </is>
      </c>
      <c r="B195" s="31" t="inlineStr">
        <is>
          <t>Punjab National Bank Ltd</t>
        </is>
      </c>
      <c r="C195" s="31" t="inlineStr">
        <is>
          <t>bank</t>
        </is>
      </c>
      <c r="D195" s="31" t="inlineStr">
        <is>
          <t>banks - public sector</t>
        </is>
      </c>
      <c r="E195" s="31" t="inlineStr">
        <is>
          <t>largecap</t>
        </is>
      </c>
      <c r="F195" s="31" t="n">
        <v>134467.44</v>
      </c>
      <c r="G195" s="31" t="n">
        <v>118.3</v>
      </c>
      <c r="H195" s="31" t="n">
        <v>1.11</v>
      </c>
      <c r="I195" s="31" t="n">
        <v>12840968</v>
      </c>
      <c r="J195" s="31" t="inlineStr">
        <is>
          <t>532461</t>
        </is>
      </c>
    </row>
    <row r="196">
      <c r="A196" s="31" t="inlineStr">
        <is>
          <t>GEECEE</t>
        </is>
      </c>
      <c r="B196" s="31" t="inlineStr">
        <is>
          <t>Geecee Ventures Limited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smallcap</t>
        </is>
      </c>
      <c r="F196" s="31" t="n">
        <v>781.79</v>
      </c>
      <c r="G196" s="31" t="n">
        <v>377.95</v>
      </c>
      <c r="H196" s="31" t="n">
        <v>1.1</v>
      </c>
      <c r="I196" s="31" t="n">
        <v>510</v>
      </c>
      <c r="J196" s="31" t="inlineStr">
        <is>
          <t>532764</t>
        </is>
      </c>
    </row>
    <row r="197">
      <c r="A197" s="31" t="inlineStr">
        <is>
          <t>MBAPL</t>
        </is>
      </c>
      <c r="B197" s="31" t="inlineStr">
        <is>
          <t>Madhya Bharat Agro Products Ltd</t>
        </is>
      </c>
      <c r="C197" s="31" t="inlineStr">
        <is>
          <t>chemicals</t>
        </is>
      </c>
      <c r="D197" s="31" t="inlineStr">
        <is>
          <t>fertilizers</t>
        </is>
      </c>
      <c r="E197" s="31" t="inlineStr">
        <is>
          <t>smallcap</t>
        </is>
      </c>
      <c r="F197" s="31" t="n">
        <v>1451.8</v>
      </c>
      <c r="G197" s="31" t="n">
        <v>167.51</v>
      </c>
      <c r="H197" s="31" t="n">
        <v>1.1</v>
      </c>
      <c r="I197" s="31" t="n">
        <v>806244</v>
      </c>
      <c r="J197" s="31" t="inlineStr">
        <is>
          <t>538370</t>
        </is>
      </c>
    </row>
    <row r="198">
      <c r="A198" s="31" t="inlineStr">
        <is>
          <t>KOPRAN</t>
        </is>
      </c>
      <c r="B198" s="31" t="inlineStr">
        <is>
          <t>Kopran Limited</t>
        </is>
      </c>
      <c r="C198" s="31" t="inlineStr">
        <is>
          <t>healthcare</t>
        </is>
      </c>
      <c r="D198" s="31" t="inlineStr">
        <is>
          <t>pharmaceuticals - indian - bulk drugs &amp; formln</t>
        </is>
      </c>
      <c r="E198" s="31" t="inlineStr">
        <is>
          <t>smallcap</t>
        </is>
      </c>
      <c r="F198" s="31" t="n">
        <v>1334.81</v>
      </c>
      <c r="G198" s="31" t="n">
        <v>279.42</v>
      </c>
      <c r="H198" s="31" t="n">
        <v>1.08</v>
      </c>
      <c r="I198" s="31" t="n">
        <v>573639</v>
      </c>
      <c r="J198" s="31" t="inlineStr">
        <is>
          <t>524280</t>
        </is>
      </c>
    </row>
    <row r="199">
      <c r="A199" s="31" t="inlineStr">
        <is>
          <t>SHYAMMETL</t>
        </is>
      </c>
      <c r="B199" s="31" t="inlineStr">
        <is>
          <t>Shyam Metalics &amp; Energy Ltd</t>
        </is>
      </c>
      <c r="C199" s="31" t="inlineStr">
        <is>
          <t>metals &amp; mining</t>
        </is>
      </c>
      <c r="D199" s="31" t="inlineStr">
        <is>
          <t>steel - large</t>
        </is>
      </c>
      <c r="E199" s="31" t="inlineStr">
        <is>
          <t>largecap</t>
        </is>
      </c>
      <c r="F199" s="31" t="n">
        <v>30539.82</v>
      </c>
      <c r="G199" s="31" t="n">
        <v>1105.8</v>
      </c>
      <c r="H199" s="31" t="n">
        <v>1.07</v>
      </c>
      <c r="I199" s="31" t="n">
        <v>418859</v>
      </c>
      <c r="J199" s="31" t="inlineStr">
        <is>
          <t>543299</t>
        </is>
      </c>
    </row>
    <row r="200">
      <c r="A200" s="31" t="inlineStr">
        <is>
          <t>RAIN</t>
        </is>
      </c>
      <c r="B200" s="31" t="inlineStr">
        <is>
          <t>Rain Industries Limited</t>
        </is>
      </c>
      <c r="C200" s="31" t="inlineStr">
        <is>
          <t>miscellaneous</t>
        </is>
      </c>
      <c r="D200" s="31" t="inlineStr">
        <is>
          <t>miscellaneous</t>
        </is>
      </c>
      <c r="E200" s="31" t="inlineStr">
        <is>
          <t>midcap</t>
        </is>
      </c>
      <c r="F200" s="31" t="n">
        <v>7384.13</v>
      </c>
      <c r="G200" s="31" t="n">
        <v>221.86</v>
      </c>
      <c r="H200" s="31" t="n">
        <v>1.06</v>
      </c>
      <c r="I200" s="31" t="n">
        <v>2970299</v>
      </c>
      <c r="J200" s="31" t="inlineStr">
        <is>
          <t>500339</t>
        </is>
      </c>
    </row>
    <row r="201">
      <c r="A201" s="31" t="inlineStr">
        <is>
          <t>INDGN</t>
        </is>
      </c>
      <c r="B201" s="31" t="inlineStr">
        <is>
          <t>Indegene Ltd</t>
        </is>
      </c>
      <c r="C201" s="31" t="inlineStr">
        <is>
          <t>healthcare</t>
        </is>
      </c>
      <c r="D201" s="31" t="inlineStr">
        <is>
          <t>miscellaneous</t>
        </is>
      </c>
      <c r="E201" s="31" t="inlineStr">
        <is>
          <t>midcap</t>
        </is>
      </c>
      <c r="F201" s="31" t="n">
        <v>14266.9</v>
      </c>
      <c r="G201" s="31" t="n">
        <v>598.4</v>
      </c>
      <c r="H201" s="31" t="n">
        <v>1.06</v>
      </c>
      <c r="I201" s="31" t="n">
        <v>279828</v>
      </c>
      <c r="J201" s="31" t="inlineStr">
        <is>
          <t>544172</t>
        </is>
      </c>
    </row>
    <row r="202">
      <c r="A202" s="31" t="inlineStr">
        <is>
          <t>KIMS</t>
        </is>
      </c>
      <c r="B202" s="31" t="inlineStr">
        <is>
          <t>Krishna Institute of Medical Sciences Ltd</t>
        </is>
      </c>
      <c r="C202" s="31" t="inlineStr">
        <is>
          <t>healthcare</t>
        </is>
      </c>
      <c r="D202" s="31" t="inlineStr">
        <is>
          <t>healthcare</t>
        </is>
      </c>
      <c r="E202" s="31" t="inlineStr">
        <is>
          <t>largecap</t>
        </is>
      </c>
      <c r="F202" s="31" t="n">
        <v>33172.11</v>
      </c>
      <c r="G202" s="31" t="n">
        <v>798.05</v>
      </c>
      <c r="H202" s="31" t="n">
        <v>1.04</v>
      </c>
      <c r="I202" s="31" t="n">
        <v>323371</v>
      </c>
      <c r="J202" s="31" t="inlineStr">
        <is>
          <t>543307</t>
        </is>
      </c>
    </row>
    <row r="203">
      <c r="A203" s="31" t="inlineStr">
        <is>
          <t>SEAMECLTD</t>
        </is>
      </c>
      <c r="B203" s="31" t="inlineStr">
        <is>
          <t>Seamec Limited</t>
        </is>
      </c>
      <c r="C203" s="31" t="inlineStr">
        <is>
          <t>miscellaneous</t>
        </is>
      </c>
      <c r="D203" s="31" t="inlineStr">
        <is>
          <t>miscellaneous</t>
        </is>
      </c>
      <c r="E203" s="31" t="inlineStr">
        <is>
          <t>smallcap</t>
        </is>
      </c>
      <c r="F203" s="31" t="n">
        <v>4410.47</v>
      </c>
      <c r="G203" s="31" t="n">
        <v>1752.7</v>
      </c>
      <c r="H203" s="31" t="n">
        <v>1.04</v>
      </c>
      <c r="I203" s="31" t="n">
        <v>26431</v>
      </c>
      <c r="J203" s="31" t="inlineStr">
        <is>
          <t>526807</t>
        </is>
      </c>
    </row>
    <row r="204">
      <c r="A204" s="31" t="inlineStr">
        <is>
          <t>WELSPUNLIV</t>
        </is>
      </c>
      <c r="B204" s="31" t="inlineStr">
        <is>
          <t>Welspun Living Ltd</t>
        </is>
      </c>
      <c r="C204" s="31" t="inlineStr">
        <is>
          <t>textiles</t>
        </is>
      </c>
      <c r="D204" s="31" t="inlineStr">
        <is>
          <t>textiles - products</t>
        </is>
      </c>
      <c r="E204" s="31" t="inlineStr">
        <is>
          <t>largecap</t>
        </is>
      </c>
      <c r="F204" s="31" t="n">
        <v>20927.21</v>
      </c>
      <c r="G204" s="31" t="n">
        <v>223.77</v>
      </c>
      <c r="H204" s="31" t="n">
        <v>1.02</v>
      </c>
      <c r="I204" s="31" t="n">
        <v>12078998</v>
      </c>
      <c r="J204" s="31" t="inlineStr">
        <is>
          <t>514162</t>
        </is>
      </c>
    </row>
    <row r="205">
      <c r="A205" s="31" t="inlineStr">
        <is>
          <t>INDHOTEL</t>
        </is>
      </c>
      <c r="B205" s="31" t="inlineStr">
        <is>
          <t>The Indian Hotels Company Limited</t>
        </is>
      </c>
      <c r="C205" s="31" t="inlineStr">
        <is>
          <t>services</t>
        </is>
      </c>
      <c r="D205" s="31" t="inlineStr">
        <is>
          <t>hotels</t>
        </is>
      </c>
      <c r="E205" s="31" t="inlineStr">
        <is>
          <t>largecap</t>
        </is>
      </c>
      <c r="F205" s="31" t="n">
        <v>104800.2</v>
      </c>
      <c r="G205" s="31" t="n">
        <v>743.7</v>
      </c>
      <c r="H205" s="31" t="n">
        <v>1.01</v>
      </c>
      <c r="I205" s="31" t="n">
        <v>1295095</v>
      </c>
      <c r="J205" s="31" t="inlineStr">
        <is>
          <t>500850</t>
        </is>
      </c>
    </row>
    <row r="206">
      <c r="A206" s="31" t="inlineStr">
        <is>
          <t>VENKEYS</t>
        </is>
      </c>
      <c r="B206" s="31" t="inlineStr">
        <is>
          <t>Venky's (india) Limited</t>
        </is>
      </c>
      <c r="C206" s="31" t="inlineStr">
        <is>
          <t>fmcg</t>
        </is>
      </c>
      <c r="D206" s="31" t="inlineStr">
        <is>
          <t>miscellaneous</t>
        </is>
      </c>
      <c r="E206" s="31" t="inlineStr">
        <is>
          <t>smallcap</t>
        </is>
      </c>
      <c r="F206" s="31" t="n">
        <v>2360.9</v>
      </c>
      <c r="G206" s="31" t="n">
        <v>1692.2</v>
      </c>
      <c r="H206" s="31" t="n">
        <v>0.97</v>
      </c>
      <c r="I206" s="31" t="n">
        <v>64935</v>
      </c>
      <c r="J206" s="31" t="inlineStr">
        <is>
          <t>523261</t>
        </is>
      </c>
    </row>
    <row r="207">
      <c r="A207" s="31" t="inlineStr">
        <is>
          <t>MODISONLTD</t>
        </is>
      </c>
      <c r="B207" s="31" t="inlineStr">
        <is>
          <t>Modison Ltd</t>
        </is>
      </c>
      <c r="C207" s="31" t="inlineStr">
        <is>
          <t>industrials</t>
        </is>
      </c>
      <c r="D207" s="31" t="inlineStr">
        <is>
          <t>electric equipment</t>
        </is>
      </c>
      <c r="E207" s="31" t="inlineStr">
        <is>
          <t>smallcap</t>
        </is>
      </c>
      <c r="F207" s="31" t="n">
        <v>1519.47</v>
      </c>
      <c r="G207" s="31" t="n">
        <v>472.8</v>
      </c>
      <c r="H207" s="31" t="n">
        <v>0.97</v>
      </c>
      <c r="I207" s="31" t="n">
        <v>51232</v>
      </c>
      <c r="J207" s="31" t="inlineStr">
        <is>
          <t>506261</t>
        </is>
      </c>
    </row>
    <row r="208">
      <c r="A208" s="31" t="inlineStr">
        <is>
          <t>ACE</t>
        </is>
      </c>
      <c r="B208" s="31" t="inlineStr">
        <is>
          <t>Action Construction Equipment Limited</t>
        </is>
      </c>
      <c r="C208" s="31" t="inlineStr">
        <is>
          <t>industrials</t>
        </is>
      </c>
      <c r="D208" s="31" t="inlineStr">
        <is>
          <t>engineering</t>
        </is>
      </c>
      <c r="E208" s="31" t="inlineStr">
        <is>
          <t>midcap</t>
        </is>
      </c>
      <c r="F208" s="31" t="n">
        <v>14788.94</v>
      </c>
      <c r="G208" s="31" t="n">
        <v>1253.9</v>
      </c>
      <c r="H208" s="31" t="n">
        <v>0.97</v>
      </c>
      <c r="I208" s="31" t="n">
        <v>259422</v>
      </c>
      <c r="J208" s="31" t="inlineStr">
        <is>
          <t>532762</t>
        </is>
      </c>
    </row>
    <row r="209">
      <c r="A209" s="31" t="inlineStr">
        <is>
          <t>NRAIL</t>
        </is>
      </c>
      <c r="B209" s="31" t="inlineStr">
        <is>
          <t>N R Agarwal Industries Ltd</t>
        </is>
      </c>
      <c r="C209" s="31" t="inlineStr">
        <is>
          <t>building materials</t>
        </is>
      </c>
      <c r="D209" s="31" t="inlineStr">
        <is>
          <t>paper</t>
        </is>
      </c>
      <c r="E209" s="31" t="inlineStr">
        <is>
          <t>smallcap</t>
        </is>
      </c>
      <c r="F209" s="31" t="n">
        <v>1109.82</v>
      </c>
      <c r="G209" s="31" t="n">
        <v>657.9</v>
      </c>
      <c r="H209" s="31" t="n">
        <v>0.89</v>
      </c>
      <c r="I209" s="31" t="n">
        <v>19435</v>
      </c>
      <c r="J209" s="31" t="inlineStr">
        <is>
          <t>516082</t>
        </is>
      </c>
    </row>
    <row r="210">
      <c r="A210" s="31" t="inlineStr">
        <is>
          <t>NELCO</t>
        </is>
      </c>
      <c r="B210" s="31" t="inlineStr">
        <is>
          <t>Nelco Limited</t>
        </is>
      </c>
      <c r="C210" s="31" t="inlineStr">
        <is>
          <t>telecom</t>
        </is>
      </c>
      <c r="D210" s="31" t="inlineStr">
        <is>
          <t>telecommunications - service provider</t>
        </is>
      </c>
      <c r="E210" s="31" t="inlineStr">
        <is>
          <t>smallcap</t>
        </is>
      </c>
      <c r="F210" s="31" t="n">
        <v>2308.65</v>
      </c>
      <c r="G210" s="31" t="n">
        <v>1020.75</v>
      </c>
      <c r="H210" s="31" t="n">
        <v>0.89</v>
      </c>
      <c r="I210" s="31" t="n">
        <v>511625</v>
      </c>
      <c r="J210" s="31" t="inlineStr">
        <is>
          <t>504112</t>
        </is>
      </c>
    </row>
    <row r="211">
      <c r="A211" s="31" t="inlineStr">
        <is>
          <t>DLF</t>
        </is>
      </c>
      <c r="B211" s="31" t="inlineStr">
        <is>
          <t>Dlf Limited</t>
        </is>
      </c>
      <c r="C211" s="31" t="inlineStr">
        <is>
          <t>realty</t>
        </is>
      </c>
      <c r="D211" s="31" t="inlineStr">
        <is>
          <t>construction</t>
        </is>
      </c>
      <c r="E211" s="31" t="inlineStr">
        <is>
          <t>largecap</t>
        </is>
      </c>
      <c r="F211" s="31" t="n">
        <v>165722.12</v>
      </c>
      <c r="G211" s="31" t="n">
        <v>675</v>
      </c>
      <c r="H211" s="31" t="n">
        <v>0.82</v>
      </c>
      <c r="I211" s="31" t="n">
        <v>2425745</v>
      </c>
      <c r="J211" s="31" t="inlineStr">
        <is>
          <t>532868</t>
        </is>
      </c>
    </row>
    <row r="212">
      <c r="A212" s="31" t="inlineStr">
        <is>
          <t>UNITEDPOLY</t>
        </is>
      </c>
      <c r="B212" s="31" t="inlineStr">
        <is>
          <t>United Polyfab Gujarat Ltd</t>
        </is>
      </c>
      <c r="C212" s="31" t="inlineStr">
        <is>
          <t>textiles</t>
        </is>
      </c>
      <c r="D212" s="31" t="inlineStr">
        <is>
          <t>textiles - products</t>
        </is>
      </c>
      <c r="E212" s="31" t="inlineStr">
        <is>
          <t>smallcap</t>
        </is>
      </c>
      <c r="F212" s="31" t="n">
        <v>1045.9</v>
      </c>
      <c r="G212" s="31" t="n">
        <v>45.94</v>
      </c>
      <c r="H212" s="31" t="n">
        <v>0.8100000000000001</v>
      </c>
      <c r="I212" s="31" t="n">
        <v>112261</v>
      </c>
      <c r="J212" s="31" t="inlineStr">
        <is>
          <t>533024</t>
        </is>
      </c>
    </row>
    <row r="213">
      <c r="A213" s="31" t="inlineStr">
        <is>
          <t>QUADFUTURE</t>
        </is>
      </c>
      <c r="B213" s="31" t="inlineStr">
        <is>
          <t>Quadrant Future Tek Ltd</t>
        </is>
      </c>
      <c r="C213" s="31" t="inlineStr">
        <is>
          <t>industrials</t>
        </is>
      </c>
      <c r="D213" s="31" t="inlineStr">
        <is>
          <t>cables - power</t>
        </is>
      </c>
      <c r="E213" s="31" t="inlineStr">
        <is>
          <t>smallcap</t>
        </is>
      </c>
      <c r="F213" s="31" t="n">
        <v>2089.6</v>
      </c>
      <c r="G213" s="31" t="n">
        <v>526.55</v>
      </c>
      <c r="H213" s="31" t="n">
        <v>0.79</v>
      </c>
      <c r="I213" s="31" t="n">
        <v>298871</v>
      </c>
      <c r="J213" s="31" t="inlineStr">
        <is>
          <t>544336</t>
        </is>
      </c>
    </row>
    <row r="214">
      <c r="A214" s="31" t="inlineStr">
        <is>
          <t>MAHSEAMLES</t>
        </is>
      </c>
      <c r="B214" s="31" t="inlineStr">
        <is>
          <t>Maharashtra Seamless Limited</t>
        </is>
      </c>
      <c r="C214" s="31" t="inlineStr">
        <is>
          <t>metals &amp; mining</t>
        </is>
      </c>
      <c r="D214" s="31" t="inlineStr">
        <is>
          <t>steel - medium / small</t>
        </is>
      </c>
      <c r="E214" s="31" t="inlineStr">
        <is>
          <t>midcap</t>
        </is>
      </c>
      <c r="F214" s="31" t="n">
        <v>9344.440000000001</v>
      </c>
      <c r="G214" s="31" t="n">
        <v>702.75</v>
      </c>
      <c r="H214" s="31" t="n">
        <v>0.77</v>
      </c>
      <c r="I214" s="31" t="n">
        <v>439951</v>
      </c>
      <c r="J214" s="31" t="inlineStr">
        <is>
          <t>500265</t>
        </is>
      </c>
    </row>
    <row r="215">
      <c r="A215" s="31" t="inlineStr">
        <is>
          <t>SANSERA</t>
        </is>
      </c>
      <c r="B215" s="31" t="inlineStr">
        <is>
          <t>Sansera Engineering Ltd</t>
        </is>
      </c>
      <c r="C215" s="31" t="inlineStr">
        <is>
          <t>auto</t>
        </is>
      </c>
      <c r="D215" s="31" t="inlineStr">
        <is>
          <t>auto ancillaries</t>
        </is>
      </c>
      <c r="E215" s="31" t="inlineStr">
        <is>
          <t>largecap</t>
        </is>
      </c>
      <c r="F215" s="31" t="n">
        <v>28621.4</v>
      </c>
      <c r="G215" s="31" t="n">
        <v>4621.4</v>
      </c>
      <c r="H215" s="31" t="n">
        <v>0.76</v>
      </c>
      <c r="I215" s="31" t="n">
        <v>546223</v>
      </c>
      <c r="J215" s="31" t="inlineStr">
        <is>
          <t>543358</t>
        </is>
      </c>
    </row>
    <row r="216">
      <c r="A216" s="31" t="inlineStr">
        <is>
          <t>MMP</t>
        </is>
      </c>
      <c r="B216" s="31" t="inlineStr">
        <is>
          <t>MMP Industries Ltd</t>
        </is>
      </c>
      <c r="C216" s="31" t="inlineStr">
        <is>
          <t>metals &amp; mining</t>
        </is>
      </c>
      <c r="D216" s="31" t="inlineStr">
        <is>
          <t>aluminium and aluminium products</t>
        </is>
      </c>
      <c r="E216" s="31" t="inlineStr">
        <is>
          <t>smallcap</t>
        </is>
      </c>
      <c r="F216" s="31" t="n">
        <v>1171.82</v>
      </c>
      <c r="G216" s="31" t="n">
        <v>464.8</v>
      </c>
      <c r="H216" s="31" t="n">
        <v>0.76</v>
      </c>
      <c r="I216" s="31" t="n">
        <v>96752</v>
      </c>
      <c r="J216" s="31" t="inlineStr">
        <is>
          <t>535071</t>
        </is>
      </c>
    </row>
    <row r="217">
      <c r="A217" s="31" t="inlineStr">
        <is>
          <t>LALPATHLAB</t>
        </is>
      </c>
      <c r="B217" s="31" t="inlineStr">
        <is>
          <t>Dr. Lal Path Labs Ltd.</t>
        </is>
      </c>
      <c r="C217" s="31" t="inlineStr">
        <is>
          <t>healthcare</t>
        </is>
      </c>
      <c r="D217" s="31" t="inlineStr">
        <is>
          <t>healthcare</t>
        </is>
      </c>
      <c r="E217" s="31" t="inlineStr">
        <is>
          <t>largecap</t>
        </is>
      </c>
      <c r="F217" s="31" t="n">
        <v>32015.46</v>
      </c>
      <c r="G217" s="31" t="n">
        <v>1924.3</v>
      </c>
      <c r="H217" s="31" t="n">
        <v>0.76</v>
      </c>
      <c r="I217" s="31" t="n">
        <v>230347</v>
      </c>
      <c r="J217" s="31" t="inlineStr">
        <is>
          <t>539524</t>
        </is>
      </c>
    </row>
    <row r="218">
      <c r="A218" s="31" t="inlineStr">
        <is>
          <t>CONSOFINVT</t>
        </is>
      </c>
      <c r="B218" s="31" t="inlineStr">
        <is>
          <t>Consolidated Finvest &amp; Holdings Limited</t>
        </is>
      </c>
      <c r="C218" s="31" t="inlineStr">
        <is>
          <t>financials</t>
        </is>
      </c>
      <c r="D218" s="31" t="inlineStr">
        <is>
          <t>finance &amp; investments</t>
        </is>
      </c>
      <c r="E218" s="31" t="inlineStr">
        <is>
          <t>smallcap</t>
        </is>
      </c>
      <c r="F218" s="31" t="n">
        <v>970.6</v>
      </c>
      <c r="G218" s="31" t="n">
        <v>302.5</v>
      </c>
      <c r="H218" s="31" t="n">
        <v>0.75</v>
      </c>
      <c r="I218" s="31" t="n">
        <v>5195</v>
      </c>
      <c r="J218" s="31" t="inlineStr">
        <is>
          <t>500226</t>
        </is>
      </c>
    </row>
    <row r="219">
      <c r="A219" s="31" t="inlineStr">
        <is>
          <t>JASH</t>
        </is>
      </c>
      <c r="B219" s="31" t="inlineStr">
        <is>
          <t>Jash Engineering Ltd</t>
        </is>
      </c>
      <c r="C219" s="31" t="inlineStr">
        <is>
          <t>industrials</t>
        </is>
      </c>
      <c r="D219" s="31" t="inlineStr">
        <is>
          <t>engineering</t>
        </is>
      </c>
      <c r="E219" s="31" t="inlineStr">
        <is>
          <t>smallcap</t>
        </is>
      </c>
      <c r="F219" s="31" t="n">
        <v>3695.25</v>
      </c>
      <c r="G219" s="31" t="n">
        <v>588.95</v>
      </c>
      <c r="H219" s="31" t="n">
        <v>0.72</v>
      </c>
      <c r="I219" s="31" t="n">
        <v>492872</v>
      </c>
      <c r="J219" s="31" t="inlineStr">
        <is>
          <t>535019</t>
        </is>
      </c>
    </row>
    <row r="220">
      <c r="A220" s="31" t="inlineStr">
        <is>
          <t>MSTCLTD</t>
        </is>
      </c>
      <c r="B220" s="31" t="inlineStr">
        <is>
          <t>MSTC Ltd</t>
        </is>
      </c>
      <c r="C220" s="31" t="inlineStr">
        <is>
          <t>i.t</t>
        </is>
      </c>
      <c r="D220" s="31" t="inlineStr">
        <is>
          <t>trading</t>
        </is>
      </c>
      <c r="E220" s="31" t="inlineStr">
        <is>
          <t>midcap</t>
        </is>
      </c>
      <c r="F220" s="31" t="n">
        <v>5258.53</v>
      </c>
      <c r="G220" s="31" t="n">
        <v>752.25</v>
      </c>
      <c r="H220" s="31" t="n">
        <v>0.71</v>
      </c>
      <c r="I220" s="31" t="n">
        <v>143600</v>
      </c>
      <c r="J220" s="31" t="inlineStr">
        <is>
          <t>542597</t>
        </is>
      </c>
    </row>
    <row r="221">
      <c r="A221" s="31" t="inlineStr">
        <is>
          <t>USHAMART</t>
        </is>
      </c>
      <c r="B221" s="31" t="inlineStr">
        <is>
          <t>Usha Martin Limited</t>
        </is>
      </c>
      <c r="C221" s="31" t="inlineStr">
        <is>
          <t>metals &amp; mining</t>
        </is>
      </c>
      <c r="D221" s="31" t="inlineStr">
        <is>
          <t>steel - medium / small</t>
        </is>
      </c>
      <c r="E221" s="31" t="inlineStr">
        <is>
          <t>midcap</t>
        </is>
      </c>
      <c r="F221" s="31" t="n">
        <v>16190.94</v>
      </c>
      <c r="G221" s="31" t="n">
        <v>535.05</v>
      </c>
      <c r="H221" s="31" t="n">
        <v>0.71</v>
      </c>
      <c r="I221" s="31" t="n">
        <v>1681147</v>
      </c>
      <c r="J221" s="31" t="inlineStr">
        <is>
          <t>517146</t>
        </is>
      </c>
    </row>
    <row r="222">
      <c r="A222" s="31" t="inlineStr">
        <is>
          <t>ADANIPORTS</t>
        </is>
      </c>
      <c r="B222" s="31" t="inlineStr">
        <is>
          <t>Adani Ports And Special Economic Zone Limited</t>
        </is>
      </c>
      <c r="C222" s="31" t="inlineStr">
        <is>
          <t>transportation</t>
        </is>
      </c>
      <c r="D222" s="31" t="inlineStr">
        <is>
          <t>miscellaneous</t>
        </is>
      </c>
      <c r="E222" s="31" t="inlineStr">
        <is>
          <t>largecap</t>
        </is>
      </c>
      <c r="F222" s="31" t="n">
        <v>413560.66</v>
      </c>
      <c r="G222" s="31" t="n">
        <v>1807.3</v>
      </c>
      <c r="H222" s="31" t="n">
        <v>0.6899999999999999</v>
      </c>
      <c r="I222" s="31" t="n">
        <v>1185484</v>
      </c>
      <c r="J222" s="31" t="inlineStr">
        <is>
          <t>532921</t>
        </is>
      </c>
    </row>
    <row r="223">
      <c r="A223" s="31" t="inlineStr">
        <is>
          <t>RATNAMANI</t>
        </is>
      </c>
      <c r="B223" s="31" t="inlineStr">
        <is>
          <t>Ratnamani Metals &amp; Tubes Limited</t>
        </is>
      </c>
      <c r="C223" s="31" t="inlineStr">
        <is>
          <t>industrials</t>
        </is>
      </c>
      <c r="D223" s="31" t="inlineStr">
        <is>
          <t>steel - medium / small</t>
        </is>
      </c>
      <c r="E223" s="31" t="inlineStr">
        <is>
          <t>midcap</t>
        </is>
      </c>
      <c r="F223" s="31" t="n">
        <v>19497.49</v>
      </c>
      <c r="G223" s="31" t="n">
        <v>2800.8</v>
      </c>
      <c r="H223" s="31" t="n">
        <v>0.6899999999999999</v>
      </c>
      <c r="I223" s="31" t="n">
        <v>28051</v>
      </c>
      <c r="J223" s="31" t="inlineStr">
        <is>
          <t>520111</t>
        </is>
      </c>
    </row>
    <row r="224">
      <c r="A224" s="31" t="inlineStr">
        <is>
          <t>ZYDUSLIFE</t>
        </is>
      </c>
      <c r="B224" s="31" t="inlineStr">
        <is>
          <t>Zydus Lifesciences Ltd</t>
        </is>
      </c>
      <c r="C224" s="31" t="inlineStr">
        <is>
          <t>healthcare</t>
        </is>
      </c>
      <c r="D224" s="31" t="inlineStr">
        <is>
          <t>pharmaceuticals - indian - bulk drugs &amp; formln</t>
        </is>
      </c>
      <c r="E224" s="31" t="inlineStr">
        <is>
          <t>largecap</t>
        </is>
      </c>
      <c r="F224" s="31" t="n">
        <v>115939.87</v>
      </c>
      <c r="G224" s="31" t="n">
        <v>1170.1</v>
      </c>
      <c r="H224" s="31" t="n">
        <v>0.67</v>
      </c>
      <c r="I224" s="31" t="n">
        <v>1088359</v>
      </c>
      <c r="J224" s="31" t="inlineStr">
        <is>
          <t>532321</t>
        </is>
      </c>
    </row>
    <row r="225">
      <c r="A225" s="31" t="inlineStr">
        <is>
          <t>KMEW</t>
        </is>
      </c>
      <c r="B225" s="31" t="inlineStr">
        <is>
          <t>Knowledge Marine &amp; Engineering Works Ltd</t>
        </is>
      </c>
      <c r="C225" s="31" t="inlineStr">
        <is>
          <t>transportation</t>
        </is>
      </c>
      <c r="D225" s="31" t="inlineStr">
        <is>
          <t>miscellaneous</t>
        </is>
      </c>
      <c r="E225" s="31" t="inlineStr">
        <is>
          <t>midcap</t>
        </is>
      </c>
      <c r="F225" s="31" t="n">
        <v>7276.28</v>
      </c>
      <c r="G225" s="31" t="n">
        <v>2996.6</v>
      </c>
      <c r="H225" s="31" t="n">
        <v>0.67</v>
      </c>
      <c r="I225" s="31" t="n">
        <v>80182</v>
      </c>
      <c r="J225" s="31" t="inlineStr">
        <is>
          <t>543273</t>
        </is>
      </c>
    </row>
    <row r="226">
      <c r="A226" s="31" t="inlineStr">
        <is>
          <t>BLISSGVS</t>
        </is>
      </c>
      <c r="B226" s="31" t="inlineStr">
        <is>
          <t>Bliss Gvs Pharma Limited</t>
        </is>
      </c>
      <c r="C226" s="31" t="inlineStr">
        <is>
          <t>healthcare</t>
        </is>
      </c>
      <c r="D226" s="31" t="inlineStr">
        <is>
          <t>pharmaceuticals - indian - formulations</t>
        </is>
      </c>
      <c r="E226" s="31" t="inlineStr">
        <is>
          <t>midcap</t>
        </is>
      </c>
      <c r="F226" s="31" t="n">
        <v>7366.67</v>
      </c>
      <c r="G226" s="31" t="n">
        <v>699.2</v>
      </c>
      <c r="H226" s="31" t="n">
        <v>0.66</v>
      </c>
      <c r="I226" s="31" t="n">
        <v>152263</v>
      </c>
      <c r="J226" s="31" t="inlineStr">
        <is>
          <t>506197</t>
        </is>
      </c>
    </row>
    <row r="227">
      <c r="A227" s="31" t="inlineStr">
        <is>
          <t>RML</t>
        </is>
      </c>
      <c r="B227" s="31" t="inlineStr">
        <is>
          <t>Rane (madras) Limited</t>
        </is>
      </c>
      <c r="C227" s="31" t="inlineStr">
        <is>
          <t>auto</t>
        </is>
      </c>
      <c r="D227" s="31" t="inlineStr">
        <is>
          <t>auto ancillaries</t>
        </is>
      </c>
      <c r="E227" s="31" t="inlineStr">
        <is>
          <t>smallcap</t>
        </is>
      </c>
      <c r="F227" s="31" t="n">
        <v>3725.21</v>
      </c>
      <c r="G227" s="31" t="n">
        <v>1356.7</v>
      </c>
      <c r="H227" s="31" t="n">
        <v>0.65</v>
      </c>
      <c r="I227" s="31" t="n">
        <v>25789</v>
      </c>
      <c r="J227" s="31" t="inlineStr">
        <is>
          <t>532661</t>
        </is>
      </c>
    </row>
    <row r="228">
      <c r="A228" s="31" t="inlineStr">
        <is>
          <t>ASAHIINDIA</t>
        </is>
      </c>
      <c r="B228" s="31" t="inlineStr">
        <is>
          <t>Asahi India Glass Limited</t>
        </is>
      </c>
      <c r="C228" s="31" t="inlineStr">
        <is>
          <t>building materials</t>
        </is>
      </c>
      <c r="D228" s="31" t="inlineStr">
        <is>
          <t>glass &amp; glass products</t>
        </is>
      </c>
      <c r="E228" s="31" t="inlineStr">
        <is>
          <t>largecap</t>
        </is>
      </c>
      <c r="F228" s="31" t="n">
        <v>24604.3</v>
      </c>
      <c r="G228" s="31" t="n">
        <v>971.3</v>
      </c>
      <c r="H228" s="31" t="n">
        <v>0.64</v>
      </c>
      <c r="I228" s="31" t="n">
        <v>262585</v>
      </c>
      <c r="J228" s="31" t="inlineStr">
        <is>
          <t>515030</t>
        </is>
      </c>
    </row>
    <row r="229">
      <c r="A229" s="31" t="inlineStr">
        <is>
          <t>EDELWEISS</t>
        </is>
      </c>
      <c r="B229" s="31" t="inlineStr">
        <is>
          <t>Edelweiss Financial Services Limited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midcap</t>
        </is>
      </c>
      <c r="F229" s="31" t="n">
        <v>13361.24</v>
      </c>
      <c r="G229" s="31" t="n">
        <v>142.03</v>
      </c>
      <c r="H229" s="31" t="n">
        <v>0.62</v>
      </c>
      <c r="I229" s="31" t="n">
        <v>15211696</v>
      </c>
      <c r="J229" s="31" t="inlineStr">
        <is>
          <t>532922</t>
        </is>
      </c>
    </row>
    <row r="230">
      <c r="A230" s="31" t="inlineStr">
        <is>
          <t>SHREEJISPG</t>
        </is>
      </c>
      <c r="B230" s="31" t="inlineStr">
        <is>
          <t>Shreeji Shipping Global Ltd</t>
        </is>
      </c>
      <c r="C230" s="31" t="inlineStr">
        <is>
          <t>transportation</t>
        </is>
      </c>
      <c r="D230" s="31" t="inlineStr">
        <is>
          <t>shipping</t>
        </is>
      </c>
      <c r="E230" s="31" t="inlineStr">
        <is>
          <t>midcap</t>
        </is>
      </c>
      <c r="F230" s="31" t="n">
        <v>11719.52</v>
      </c>
      <c r="G230" s="31" t="n">
        <v>723.75</v>
      </c>
      <c r="H230" s="31" t="n">
        <v>0.61</v>
      </c>
      <c r="I230" s="31" t="n">
        <v>321372</v>
      </c>
      <c r="J230" s="31" t="inlineStr">
        <is>
          <t>544490</t>
        </is>
      </c>
    </row>
    <row r="231">
      <c r="A231" s="31" t="inlineStr">
        <is>
          <t>NAZARA</t>
        </is>
      </c>
      <c r="B231" s="31" t="inlineStr">
        <is>
          <t>Nazara Technologies Ltd</t>
        </is>
      </c>
      <c r="C231" s="31" t="inlineStr">
        <is>
          <t>i.t</t>
        </is>
      </c>
      <c r="D231" s="31" t="inlineStr">
        <is>
          <t>telecommunications - service provider</t>
        </is>
      </c>
      <c r="E231" s="31" t="inlineStr">
        <is>
          <t>midcap</t>
        </is>
      </c>
      <c r="F231" s="31" t="n">
        <v>14251.06</v>
      </c>
      <c r="G231" s="31" t="n">
        <v>372.7</v>
      </c>
      <c r="H231" s="31" t="n">
        <v>0.61</v>
      </c>
      <c r="I231" s="31" t="n">
        <v>1327663</v>
      </c>
      <c r="J231" s="31" t="inlineStr">
        <is>
          <t>543280</t>
        </is>
      </c>
    </row>
    <row r="232">
      <c r="A232" s="31" t="inlineStr">
        <is>
          <t>WENDT</t>
        </is>
      </c>
      <c r="B232" s="31" t="inlineStr">
        <is>
          <t>Wendt (india) Limited</t>
        </is>
      </c>
      <c r="C232" s="31" t="inlineStr">
        <is>
          <t>industrials</t>
        </is>
      </c>
      <c r="D232" s="31" t="inlineStr">
        <is>
          <t>abrasives and grinding wheels</t>
        </is>
      </c>
      <c r="E232" s="31" t="inlineStr">
        <is>
          <t>smallcap</t>
        </is>
      </c>
      <c r="F232" s="31" t="n">
        <v>1725.4</v>
      </c>
      <c r="G232" s="31" t="n">
        <v>8678.5</v>
      </c>
      <c r="H232" s="31" t="n">
        <v>0.6</v>
      </c>
      <c r="I232" s="31" t="n">
        <v>8377</v>
      </c>
      <c r="J232" s="31" t="inlineStr">
        <is>
          <t>505412</t>
        </is>
      </c>
    </row>
    <row r="233">
      <c r="A233" s="31" t="inlineStr">
        <is>
          <t>CAPLIPOINT</t>
        </is>
      </c>
      <c r="B233" s="31" t="inlineStr">
        <is>
          <t>Caplin Point Laboratories Limited</t>
        </is>
      </c>
      <c r="C233" s="31" t="inlineStr">
        <is>
          <t>healthcare</t>
        </is>
      </c>
      <c r="D233" s="31" t="inlineStr">
        <is>
          <t>pharmaceuticals - indian - formulations</t>
        </is>
      </c>
      <c r="E233" s="31" t="inlineStr">
        <is>
          <t>largecap</t>
        </is>
      </c>
      <c r="F233" s="31" t="n">
        <v>21110.73</v>
      </c>
      <c r="G233" s="31" t="n">
        <v>2793.8</v>
      </c>
      <c r="H233" s="31" t="n">
        <v>0.59</v>
      </c>
      <c r="I233" s="31" t="n">
        <v>64325</v>
      </c>
      <c r="J233" s="31" t="inlineStr">
        <is>
          <t>524742</t>
        </is>
      </c>
    </row>
    <row r="234">
      <c r="A234" s="31" t="inlineStr">
        <is>
          <t>VALIANTORG</t>
        </is>
      </c>
      <c r="B234" s="31" t="inlineStr">
        <is>
          <t>Valiant Organics Ltd</t>
        </is>
      </c>
      <c r="C234" s="31" t="inlineStr">
        <is>
          <t>chemicals</t>
        </is>
      </c>
      <c r="D234" s="31" t="inlineStr">
        <is>
          <t>chemicals</t>
        </is>
      </c>
      <c r="E234" s="31" t="inlineStr">
        <is>
          <t>smallcap</t>
        </is>
      </c>
      <c r="F234" s="31" t="n">
        <v>1172.83</v>
      </c>
      <c r="G234" s="31" t="n">
        <v>420.8</v>
      </c>
      <c r="H234" s="31" t="n">
        <v>0.59</v>
      </c>
      <c r="I234" s="31" t="n">
        <v>71996</v>
      </c>
      <c r="J234" s="31" t="inlineStr">
        <is>
          <t>540145</t>
        </is>
      </c>
    </row>
    <row r="235">
      <c r="A235" s="31" t="inlineStr">
        <is>
          <t>GREENPLY</t>
        </is>
      </c>
      <c r="B235" s="31" t="inlineStr">
        <is>
          <t>Greenply Industries Limited</t>
        </is>
      </c>
      <c r="C235" s="31" t="inlineStr">
        <is>
          <t>building materials</t>
        </is>
      </c>
      <c r="D235" s="31" t="inlineStr">
        <is>
          <t>miscellaneous</t>
        </is>
      </c>
      <c r="E235" s="31" t="inlineStr">
        <is>
          <t>smallcap</t>
        </is>
      </c>
      <c r="F235" s="31" t="n">
        <v>3705.22</v>
      </c>
      <c r="G235" s="31" t="n">
        <v>298.4</v>
      </c>
      <c r="H235" s="31" t="n">
        <v>0.59</v>
      </c>
      <c r="I235" s="31" t="n">
        <v>423550</v>
      </c>
      <c r="J235" s="31" t="inlineStr">
        <is>
          <t>526797</t>
        </is>
      </c>
    </row>
    <row r="236">
      <c r="A236" s="31" t="inlineStr">
        <is>
          <t>CGCL</t>
        </is>
      </c>
      <c r="B236" s="31" t="inlineStr">
        <is>
          <t>Capri Global Capital Limited</t>
        </is>
      </c>
      <c r="C236" s="31" t="inlineStr">
        <is>
          <t>financials</t>
        </is>
      </c>
      <c r="D236" s="31" t="inlineStr">
        <is>
          <t>finance &amp; investments</t>
        </is>
      </c>
      <c r="E236" s="31" t="inlineStr">
        <is>
          <t>largecap</t>
        </is>
      </c>
      <c r="F236" s="31" t="n">
        <v>25694.32</v>
      </c>
      <c r="G236" s="31" t="n">
        <v>268.6</v>
      </c>
      <c r="H236" s="31" t="n">
        <v>0.58</v>
      </c>
      <c r="I236" s="31" t="n">
        <v>3923518</v>
      </c>
      <c r="J236" s="31" t="inlineStr">
        <is>
          <t>531595</t>
        </is>
      </c>
    </row>
    <row r="237">
      <c r="A237" s="31" t="inlineStr">
        <is>
          <t>SAILIFE</t>
        </is>
      </c>
      <c r="B237" s="31" t="inlineStr">
        <is>
          <t>Sai Life Sciences Ltd</t>
        </is>
      </c>
      <c r="C237" s="31" t="inlineStr">
        <is>
          <t>healthcare</t>
        </is>
      </c>
      <c r="D237" s="31" t="inlineStr">
        <is>
          <t>pharmaceuticals - indian - bulk drugs &amp; formln</t>
        </is>
      </c>
      <c r="E237" s="31" t="inlineStr">
        <is>
          <t>largecap</t>
        </is>
      </c>
      <c r="F237" s="31" t="n">
        <v>33976.38</v>
      </c>
      <c r="G237" s="31" t="n">
        <v>1609.6</v>
      </c>
      <c r="H237" s="31" t="n">
        <v>0.57</v>
      </c>
      <c r="I237" s="31" t="n">
        <v>265789</v>
      </c>
      <c r="J237" s="31" t="inlineStr">
        <is>
          <t>544306</t>
        </is>
      </c>
    </row>
    <row r="238">
      <c r="A238" s="31" t="inlineStr">
        <is>
          <t>MEDANTA</t>
        </is>
      </c>
      <c r="B238" s="31" t="inlineStr">
        <is>
          <t>Global Health Ltd</t>
        </is>
      </c>
      <c r="C238" s="31" t="inlineStr">
        <is>
          <t>healthcare</t>
        </is>
      </c>
      <c r="D238" s="31" t="inlineStr">
        <is>
          <t>healthcare</t>
        </is>
      </c>
      <c r="E238" s="31" t="inlineStr">
        <is>
          <t>largecap</t>
        </is>
      </c>
      <c r="F238" s="31" t="n">
        <v>40002.74</v>
      </c>
      <c r="G238" s="31" t="n">
        <v>1496.1</v>
      </c>
      <c r="H238" s="31" t="n">
        <v>0.5600000000000001</v>
      </c>
      <c r="I238" s="31" t="n">
        <v>78256</v>
      </c>
      <c r="J238" s="31" t="inlineStr">
        <is>
          <t>543654</t>
        </is>
      </c>
    </row>
    <row r="239">
      <c r="A239" s="31" t="inlineStr">
        <is>
          <t>VENUSPIPES</t>
        </is>
      </c>
      <c r="B239" s="31" t="inlineStr">
        <is>
          <t>Venus Pipes &amp; Tubes Ltd</t>
        </is>
      </c>
      <c r="C239" s="31" t="inlineStr">
        <is>
          <t>metals &amp; mining</t>
        </is>
      </c>
      <c r="D239" s="31" t="inlineStr">
        <is>
          <t>steel - medium / small</t>
        </is>
      </c>
      <c r="E239" s="31" t="inlineStr">
        <is>
          <t>smallcap</t>
        </is>
      </c>
      <c r="F239" s="31" t="n">
        <v>4605.81</v>
      </c>
      <c r="G239" s="31" t="n">
        <v>2235.5</v>
      </c>
      <c r="H239" s="31" t="n">
        <v>0.55</v>
      </c>
      <c r="I239" s="31" t="n">
        <v>156866</v>
      </c>
      <c r="J239" s="31" t="inlineStr">
        <is>
          <t>543528</t>
        </is>
      </c>
    </row>
    <row r="240">
      <c r="A240" s="31" t="inlineStr">
        <is>
          <t>GLENMARK</t>
        </is>
      </c>
      <c r="B240" s="31" t="inlineStr">
        <is>
          <t>Glenmark Pharmaceuticals Limited</t>
        </is>
      </c>
      <c r="C240" s="31" t="inlineStr">
        <is>
          <t>healthcare</t>
        </is>
      </c>
      <c r="D240" s="31" t="inlineStr">
        <is>
          <t>pharmaceuticals - indian - bulk drugs &amp; formln</t>
        </is>
      </c>
      <c r="E240" s="31" t="inlineStr">
        <is>
          <t>largecap</t>
        </is>
      </c>
      <c r="F240" s="31" t="n">
        <v>69460.91</v>
      </c>
      <c r="G240" s="31" t="n">
        <v>2475</v>
      </c>
      <c r="H240" s="31" t="n">
        <v>0.55</v>
      </c>
      <c r="I240" s="31" t="n">
        <v>597118</v>
      </c>
      <c r="J240" s="31" t="inlineStr">
        <is>
          <t>532296</t>
        </is>
      </c>
    </row>
    <row r="241">
      <c r="A241" s="31" t="inlineStr">
        <is>
          <t>LIKHITHA</t>
        </is>
      </c>
      <c r="B241" s="31" t="inlineStr">
        <is>
          <t>Likhitha Infrastructure Ltd</t>
        </is>
      </c>
      <c r="C241" s="31" t="inlineStr">
        <is>
          <t>realty</t>
        </is>
      </c>
      <c r="D241" s="31" t="inlineStr">
        <is>
          <t>construction</t>
        </is>
      </c>
      <c r="E241" s="31" t="inlineStr">
        <is>
          <t>smallcap</t>
        </is>
      </c>
      <c r="F241" s="31" t="n">
        <v>899.3</v>
      </c>
      <c r="G241" s="31" t="n">
        <v>229.21</v>
      </c>
      <c r="H241" s="31" t="n">
        <v>0.55</v>
      </c>
      <c r="I241" s="31" t="n">
        <v>184606</v>
      </c>
      <c r="J241" s="31" t="inlineStr">
        <is>
          <t>543240</t>
        </is>
      </c>
    </row>
    <row r="242">
      <c r="A242" s="31" t="inlineStr">
        <is>
          <t>SURAKSHA</t>
        </is>
      </c>
      <c r="B242" s="31" t="inlineStr">
        <is>
          <t>Suraksha Diagnostic Ltd</t>
        </is>
      </c>
      <c r="C242" s="31" t="inlineStr">
        <is>
          <t>healthcare</t>
        </is>
      </c>
      <c r="D242" s="31" t="inlineStr">
        <is>
          <t>healthcare</t>
        </is>
      </c>
      <c r="E242" s="31" t="inlineStr">
        <is>
          <t>smallcap</t>
        </is>
      </c>
      <c r="F242" s="31" t="n">
        <v>1840.53</v>
      </c>
      <c r="G242" s="31" t="n">
        <v>355.35</v>
      </c>
      <c r="H242" s="31" t="n">
        <v>0.55</v>
      </c>
      <c r="I242" s="31" t="n">
        <v>72845</v>
      </c>
      <c r="J242" s="31" t="inlineStr">
        <is>
          <t>544293</t>
        </is>
      </c>
    </row>
    <row r="243">
      <c r="A243" s="31" t="inlineStr">
        <is>
          <t>GCSL</t>
        </is>
      </c>
      <c r="B243" s="31" t="inlineStr">
        <is>
          <t>Gretex Corporate Services Ltd</t>
        </is>
      </c>
      <c r="C243" s="31" t="inlineStr">
        <is>
          <t>financials</t>
        </is>
      </c>
      <c r="D243" s="31" t="inlineStr">
        <is>
          <t>finance &amp; investments</t>
        </is>
      </c>
      <c r="E243" s="31" t="inlineStr">
        <is>
          <t>smallcap</t>
        </is>
      </c>
      <c r="F243" s="31" t="n">
        <v>1598.34</v>
      </c>
      <c r="G243" s="31" t="n">
        <v>642.7</v>
      </c>
      <c r="H243" s="31" t="n">
        <v>0.55</v>
      </c>
      <c r="I243" s="31" t="n">
        <v>431390</v>
      </c>
      <c r="J243" s="31" t="inlineStr">
        <is>
          <t>543324</t>
        </is>
      </c>
    </row>
    <row r="244">
      <c r="A244" s="31" t="inlineStr">
        <is>
          <t>NEOGEN</t>
        </is>
      </c>
      <c r="B244" s="31" t="inlineStr">
        <is>
          <t>Neogen Chemicals Ltd</t>
        </is>
      </c>
      <c r="C244" s="31" t="inlineStr">
        <is>
          <t>chemicals</t>
        </is>
      </c>
      <c r="D244" s="31" t="inlineStr">
        <is>
          <t>chemicals</t>
        </is>
      </c>
      <c r="E244" s="31" t="inlineStr">
        <is>
          <t>midcap</t>
        </is>
      </c>
      <c r="F244" s="31" t="n">
        <v>7147.69</v>
      </c>
      <c r="G244" s="31" t="n">
        <v>2392.1</v>
      </c>
      <c r="H244" s="31" t="n">
        <v>0.54</v>
      </c>
      <c r="I244" s="31" t="n">
        <v>171733</v>
      </c>
      <c r="J244" s="31" t="inlineStr">
        <is>
          <t>542665</t>
        </is>
      </c>
    </row>
    <row r="245">
      <c r="A245" s="31" t="inlineStr">
        <is>
          <t>TFCILTD</t>
        </is>
      </c>
      <c r="B245" s="31" t="inlineStr">
        <is>
          <t>Tourism Finance Corporation Of India Limited</t>
        </is>
      </c>
      <c r="C245" s="31" t="inlineStr">
        <is>
          <t>financials</t>
        </is>
      </c>
      <c r="D245" s="31" t="inlineStr">
        <is>
          <t>finance - term-lending institutions</t>
        </is>
      </c>
      <c r="E245" s="31" t="inlineStr">
        <is>
          <t>midcap</t>
        </is>
      </c>
      <c r="F245" s="31" t="n">
        <v>6518.72</v>
      </c>
      <c r="G245" s="31" t="n">
        <v>141.55</v>
      </c>
      <c r="H245" s="31" t="n">
        <v>0.53</v>
      </c>
      <c r="I245" s="31" t="n">
        <v>11104195</v>
      </c>
      <c r="J245" s="31" t="inlineStr">
        <is>
          <t>526650</t>
        </is>
      </c>
    </row>
    <row r="246">
      <c r="A246" s="31" t="inlineStr">
        <is>
          <t>GHCLTEXTIL</t>
        </is>
      </c>
      <c r="B246" s="31" t="inlineStr">
        <is>
          <t>GHCL Textiles Ltd</t>
        </is>
      </c>
      <c r="C246" s="31" t="inlineStr">
        <is>
          <t>textiles</t>
        </is>
      </c>
      <c r="D246" s="31" t="inlineStr">
        <is>
          <t>textiles - spinning - synthetic / blended</t>
        </is>
      </c>
      <c r="E246" s="31" t="inlineStr">
        <is>
          <t>smallcap</t>
        </is>
      </c>
      <c r="F246" s="31" t="n">
        <v>1280.08</v>
      </c>
      <c r="G246" s="31" t="n">
        <v>134.61</v>
      </c>
      <c r="H246" s="31" t="n">
        <v>0.52</v>
      </c>
      <c r="I246" s="31" t="n">
        <v>479396</v>
      </c>
      <c r="J246" s="31" t="inlineStr">
        <is>
          <t>543918</t>
        </is>
      </c>
    </row>
    <row r="247">
      <c r="A247" s="31" t="inlineStr">
        <is>
          <t>APLLTD</t>
        </is>
      </c>
      <c r="B247" s="31" t="inlineStr">
        <is>
          <t>Alembic Pharmaceuticals Limited</t>
        </is>
      </c>
      <c r="C247" s="31" t="inlineStr">
        <is>
          <t>healthcare</t>
        </is>
      </c>
      <c r="D247" s="31" t="inlineStr">
        <is>
          <t>pharmaceuticals - indian - bulk drugs &amp; formln</t>
        </is>
      </c>
      <c r="E247" s="31" t="inlineStr">
        <is>
          <t>midcap</t>
        </is>
      </c>
      <c r="F247" s="31" t="n">
        <v>16514.25</v>
      </c>
      <c r="G247" s="31" t="n">
        <v>844.4</v>
      </c>
      <c r="H247" s="31" t="n">
        <v>0.51</v>
      </c>
      <c r="I247" s="31" t="n">
        <v>146755</v>
      </c>
      <c r="J247" s="31" t="inlineStr">
        <is>
          <t>533573</t>
        </is>
      </c>
    </row>
    <row r="248">
      <c r="A248" s="31" t="inlineStr">
        <is>
          <t>ORIENTHOT</t>
        </is>
      </c>
      <c r="B248" s="31" t="inlineStr">
        <is>
          <t>Oriental Hotels Limited</t>
        </is>
      </c>
      <c r="C248" s="31" t="inlineStr">
        <is>
          <t>services</t>
        </is>
      </c>
      <c r="D248" s="31" t="inlineStr">
        <is>
          <t>hotels</t>
        </is>
      </c>
      <c r="E248" s="31" t="inlineStr">
        <is>
          <t>smallcap</t>
        </is>
      </c>
      <c r="F248" s="31" t="n">
        <v>2551.83</v>
      </c>
      <c r="G248" s="31" t="n">
        <v>143.58</v>
      </c>
      <c r="H248" s="31" t="n">
        <v>0.49</v>
      </c>
      <c r="I248" s="31" t="n">
        <v>295043</v>
      </c>
      <c r="J248" s="31" t="inlineStr">
        <is>
          <t>500314</t>
        </is>
      </c>
    </row>
    <row r="249">
      <c r="A249" s="31" t="inlineStr">
        <is>
          <t>STAR</t>
        </is>
      </c>
      <c r="B249" s="31" t="inlineStr">
        <is>
          <t>Strides Shasun Limited</t>
        </is>
      </c>
      <c r="C249" s="31" t="inlineStr">
        <is>
          <t>healthcare</t>
        </is>
      </c>
      <c r="D249" s="31" t="inlineStr">
        <is>
          <t>pharmaceuticals - indian - bulk drugs &amp; formln</t>
        </is>
      </c>
      <c r="E249" s="31" t="inlineStr">
        <is>
          <t>midcap</t>
        </is>
      </c>
      <c r="F249" s="31" t="n">
        <v>11221.11</v>
      </c>
      <c r="G249" s="31" t="n">
        <v>1223.3</v>
      </c>
      <c r="H249" s="31" t="n">
        <v>0.48</v>
      </c>
      <c r="I249" s="31" t="n">
        <v>153250</v>
      </c>
      <c r="J249" s="31" t="inlineStr">
        <is>
          <t>532531</t>
        </is>
      </c>
    </row>
    <row r="250">
      <c r="A250" s="31" t="inlineStr">
        <is>
          <t>TEGA</t>
        </is>
      </c>
      <c r="B250" s="31" t="inlineStr">
        <is>
          <t>Tega Industries Ltd</t>
        </is>
      </c>
      <c r="C250" s="31" t="inlineStr">
        <is>
          <t>industrials</t>
        </is>
      </c>
      <c r="D250" s="31" t="inlineStr">
        <is>
          <t>engineering</t>
        </is>
      </c>
      <c r="E250" s="31" t="inlineStr">
        <is>
          <t>midcap</t>
        </is>
      </c>
      <c r="F250" s="31" t="n">
        <v>15543.92</v>
      </c>
      <c r="G250" s="31" t="n">
        <v>2078.8</v>
      </c>
      <c r="H250" s="31" t="n">
        <v>0.47</v>
      </c>
      <c r="I250" s="31" t="n">
        <v>671454</v>
      </c>
      <c r="J250" s="31" t="inlineStr">
        <is>
          <t>543413</t>
        </is>
      </c>
    </row>
    <row r="251">
      <c r="A251" s="31" t="inlineStr">
        <is>
          <t>AEGISVOPAK</t>
        </is>
      </c>
      <c r="B251" s="31" t="inlineStr">
        <is>
          <t>Aegis Vopak Terminals Ltd</t>
        </is>
      </c>
      <c r="C251" s="31" t="inlineStr">
        <is>
          <t>transportation</t>
        </is>
      </c>
      <c r="D251" s="31" t="inlineStr">
        <is>
          <t>miscellaneous</t>
        </is>
      </c>
      <c r="E251" s="31" t="inlineStr">
        <is>
          <t>largecap</t>
        </is>
      </c>
      <c r="F251" s="31" t="n">
        <v>33394.86</v>
      </c>
      <c r="G251" s="31" t="n">
        <v>302.8</v>
      </c>
      <c r="H251" s="31" t="n">
        <v>0.46</v>
      </c>
      <c r="I251" s="31" t="n">
        <v>1254083</v>
      </c>
      <c r="J251" s="31" t="inlineStr">
        <is>
          <t>544407</t>
        </is>
      </c>
    </row>
    <row r="252">
      <c r="A252" s="31" t="inlineStr">
        <is>
          <t>SHILPAMED</t>
        </is>
      </c>
      <c r="B252" s="31" t="inlineStr">
        <is>
          <t>Shilpa Medicare Limited</t>
        </is>
      </c>
      <c r="C252" s="31" t="inlineStr">
        <is>
          <t>healthcare</t>
        </is>
      </c>
      <c r="D252" s="31" t="inlineStr">
        <is>
          <t>pharmaceuticals - indian - formulations</t>
        </is>
      </c>
      <c r="E252" s="31" t="inlineStr">
        <is>
          <t>largecap</t>
        </is>
      </c>
      <c r="F252" s="31" t="n">
        <v>20206.54</v>
      </c>
      <c r="G252" s="31" t="n">
        <v>1037.7</v>
      </c>
      <c r="H252" s="31" t="n">
        <v>0.44</v>
      </c>
      <c r="I252" s="31" t="n">
        <v>613628</v>
      </c>
      <c r="J252" s="31" t="inlineStr">
        <is>
          <t>530549</t>
        </is>
      </c>
    </row>
    <row r="253">
      <c r="A253" s="31" t="inlineStr">
        <is>
          <t>VISHNU</t>
        </is>
      </c>
      <c r="B253" s="31" t="inlineStr">
        <is>
          <t>Vishnu Chemicals Limited</t>
        </is>
      </c>
      <c r="C253" s="31" t="inlineStr">
        <is>
          <t>chemicals</t>
        </is>
      </c>
      <c r="D253" s="31" t="inlineStr">
        <is>
          <t>chemicals</t>
        </is>
      </c>
      <c r="E253" s="31" t="inlineStr">
        <is>
          <t>smallcap</t>
        </is>
      </c>
      <c r="F253" s="31" t="n">
        <v>4852.76</v>
      </c>
      <c r="G253" s="31" t="n">
        <v>723.95</v>
      </c>
      <c r="H253" s="31" t="n">
        <v>0.42</v>
      </c>
      <c r="I253" s="31" t="n">
        <v>33418</v>
      </c>
      <c r="J253" s="31" t="inlineStr">
        <is>
          <t>516072</t>
        </is>
      </c>
    </row>
    <row r="254">
      <c r="A254" s="31" t="inlineStr">
        <is>
          <t>SESHAPAPER</t>
        </is>
      </c>
      <c r="B254" s="31" t="inlineStr">
        <is>
          <t>Seshasayee Paper And Boards Limited</t>
        </is>
      </c>
      <c r="C254" s="31" t="inlineStr">
        <is>
          <t>building materials</t>
        </is>
      </c>
      <c r="D254" s="31" t="inlineStr">
        <is>
          <t>paper</t>
        </is>
      </c>
      <c r="E254" s="31" t="inlineStr">
        <is>
          <t>smallcap</t>
        </is>
      </c>
      <c r="F254" s="31" t="n">
        <v>1557.4</v>
      </c>
      <c r="G254" s="31" t="n">
        <v>247.95</v>
      </c>
      <c r="H254" s="31" t="n">
        <v>0.41</v>
      </c>
      <c r="I254" s="31" t="n">
        <v>20258</v>
      </c>
      <c r="J254" s="31" t="inlineStr">
        <is>
          <t>502450</t>
        </is>
      </c>
    </row>
    <row r="255">
      <c r="A255" s="31" t="inlineStr">
        <is>
          <t>DYNAMATECH</t>
        </is>
      </c>
      <c r="B255" s="31" t="inlineStr">
        <is>
          <t>Dynamatic Technologies Limited</t>
        </is>
      </c>
      <c r="C255" s="31" t="inlineStr">
        <is>
          <t>aerospace &amp; defence</t>
        </is>
      </c>
      <c r="D255" s="31" t="inlineStr">
        <is>
          <t>engineering</t>
        </is>
      </c>
      <c r="E255" s="31" t="inlineStr">
        <is>
          <t>midcap</t>
        </is>
      </c>
      <c r="F255" s="31" t="n">
        <v>8500.17</v>
      </c>
      <c r="G255" s="31" t="n">
        <v>12561</v>
      </c>
      <c r="H255" s="31" t="n">
        <v>0.36</v>
      </c>
      <c r="I255" s="31" t="n">
        <v>37310</v>
      </c>
      <c r="J255" s="31" t="inlineStr">
        <is>
          <t>505242</t>
        </is>
      </c>
    </row>
    <row r="256">
      <c r="A256" s="31" t="inlineStr">
        <is>
          <t>EMCURE</t>
        </is>
      </c>
      <c r="B256" s="31" t="inlineStr">
        <is>
          <t>Emcure Pharmaceuticals Ltd</t>
        </is>
      </c>
      <c r="C256" s="31" t="inlineStr">
        <is>
          <t>healthcare</t>
        </is>
      </c>
      <c r="D256" s="31" t="inlineStr">
        <is>
          <t>pharmaceuticals - indian - bulk drugs &amp; formln</t>
        </is>
      </c>
      <c r="E256" s="31" t="inlineStr">
        <is>
          <t>largecap</t>
        </is>
      </c>
      <c r="F256" s="31" t="n">
        <v>37461.83</v>
      </c>
      <c r="G256" s="31" t="n">
        <v>1981.7</v>
      </c>
      <c r="H256" s="31" t="n">
        <v>0.34</v>
      </c>
      <c r="I256" s="31" t="n">
        <v>37562</v>
      </c>
      <c r="J256" s="31" t="inlineStr">
        <is>
          <t>544210</t>
        </is>
      </c>
    </row>
    <row r="257">
      <c r="A257" s="31" t="inlineStr">
        <is>
          <t>MAXHEALTH</t>
        </is>
      </c>
      <c r="B257" s="31" t="inlineStr">
        <is>
          <t>Max Healthcare Institute Ltd</t>
        </is>
      </c>
      <c r="C257" s="31" t="inlineStr">
        <is>
          <t>healthcare</t>
        </is>
      </c>
      <c r="D257" s="31" t="inlineStr">
        <is>
          <t>healthcare</t>
        </is>
      </c>
      <c r="E257" s="31" t="inlineStr">
        <is>
          <t>largecap</t>
        </is>
      </c>
      <c r="F257" s="31" t="n">
        <v>102823.21</v>
      </c>
      <c r="G257" s="31" t="n">
        <v>1059.9</v>
      </c>
      <c r="H257" s="31" t="n">
        <v>0.32</v>
      </c>
      <c r="I257" s="31" t="n">
        <v>1122755</v>
      </c>
      <c r="J257" s="31" t="inlineStr">
        <is>
          <t>543220</t>
        </is>
      </c>
    </row>
    <row r="258">
      <c r="A258" s="31" t="inlineStr">
        <is>
          <t>ARTEMISMED</t>
        </is>
      </c>
      <c r="B258" s="31" t="inlineStr">
        <is>
          <t>Artemis Medicare Services Ltd</t>
        </is>
      </c>
      <c r="C258" s="31" t="inlineStr">
        <is>
          <t>healthcare</t>
        </is>
      </c>
      <c r="D258" s="31" t="inlineStr">
        <is>
          <t>healthcare</t>
        </is>
      </c>
      <c r="E258" s="31" t="inlineStr">
        <is>
          <t>midcap</t>
        </is>
      </c>
      <c r="F258" s="31" t="n">
        <v>5395.87</v>
      </c>
      <c r="G258" s="31" t="n">
        <v>341.9</v>
      </c>
      <c r="H258" s="31" t="n">
        <v>0.31</v>
      </c>
      <c r="I258" s="31" t="n">
        <v>155838</v>
      </c>
      <c r="J258" s="31" t="inlineStr">
        <is>
          <t>542919</t>
        </is>
      </c>
    </row>
    <row r="259">
      <c r="A259" s="31" t="inlineStr">
        <is>
          <t>SUNDROP</t>
        </is>
      </c>
      <c r="B259" s="31" t="inlineStr">
        <is>
          <t>Sundrop Brands Ltd</t>
        </is>
      </c>
      <c r="C259" s="31" t="inlineStr">
        <is>
          <t>fmcg</t>
        </is>
      </c>
      <c r="D259" s="31" t="inlineStr">
        <is>
          <t>food - processing - indian</t>
        </is>
      </c>
      <c r="E259" s="31" t="inlineStr">
        <is>
          <t>smallcap</t>
        </is>
      </c>
      <c r="F259" s="31" t="n">
        <v>2798.43</v>
      </c>
      <c r="G259" s="31" t="n">
        <v>744.3</v>
      </c>
      <c r="H259" s="31" t="n">
        <v>0.26</v>
      </c>
      <c r="I259" s="31" t="n">
        <v>36238</v>
      </c>
      <c r="J259" s="31" t="inlineStr">
        <is>
          <t>500215</t>
        </is>
      </c>
    </row>
    <row r="260">
      <c r="A260" s="31" t="inlineStr">
        <is>
          <t>THEJO</t>
        </is>
      </c>
      <c r="B260" s="31" t="inlineStr">
        <is>
          <t>Thejo Engineering Ltd</t>
        </is>
      </c>
      <c r="C260" s="31" t="inlineStr">
        <is>
          <t>industrials</t>
        </is>
      </c>
      <c r="D260" s="31" t="inlineStr">
        <is>
          <t>engineering</t>
        </is>
      </c>
      <c r="E260" s="31" t="inlineStr">
        <is>
          <t>smallcap</t>
        </is>
      </c>
      <c r="F260" s="31" t="n">
        <v>2351.63</v>
      </c>
      <c r="G260" s="31" t="n">
        <v>2173.5</v>
      </c>
      <c r="H260" s="31" t="n">
        <v>0.26</v>
      </c>
      <c r="I260" s="31" t="n">
        <v>3114</v>
      </c>
      <c r="J260" s="31" t="inlineStr">
        <is>
          <t>500492</t>
        </is>
      </c>
    </row>
    <row r="261">
      <c r="A261" s="31" t="inlineStr">
        <is>
          <t>OAL</t>
        </is>
      </c>
      <c r="B261" s="31" t="inlineStr">
        <is>
          <t>Oriental Aromatics Ltd</t>
        </is>
      </c>
      <c r="C261" s="31" t="inlineStr">
        <is>
          <t>chemicals</t>
        </is>
      </c>
      <c r="D261" s="31" t="inlineStr">
        <is>
          <t>chemicals</t>
        </is>
      </c>
      <c r="E261" s="31" t="inlineStr">
        <is>
          <t>smallcap</t>
        </is>
      </c>
      <c r="F261" s="31" t="n">
        <v>1874.17</v>
      </c>
      <c r="G261" s="31" t="n">
        <v>558.35</v>
      </c>
      <c r="H261" s="31" t="n">
        <v>0.26</v>
      </c>
      <c r="I261" s="31" t="n">
        <v>23735</v>
      </c>
      <c r="J261" s="31" t="inlineStr">
        <is>
          <t>500078</t>
        </is>
      </c>
    </row>
    <row r="262">
      <c r="A262" s="31" t="inlineStr">
        <is>
          <t>SOMANYCERA</t>
        </is>
      </c>
      <c r="B262" s="31" t="inlineStr">
        <is>
          <t>Somany Ceramics Limited</t>
        </is>
      </c>
      <c r="C262" s="31" t="inlineStr">
        <is>
          <t>building materials</t>
        </is>
      </c>
      <c r="D262" s="31" t="inlineStr">
        <is>
          <t>ceramics - tiles / sanitaryware</t>
        </is>
      </c>
      <c r="E262" s="31" t="inlineStr">
        <is>
          <t>smallcap</t>
        </is>
      </c>
      <c r="F262" s="31" t="n">
        <v>2439.24</v>
      </c>
      <c r="G262" s="31" t="n">
        <v>596.3</v>
      </c>
      <c r="H262" s="31" t="n">
        <v>0.26</v>
      </c>
      <c r="I262" s="31" t="n">
        <v>108719</v>
      </c>
      <c r="J262" s="31" t="inlineStr">
        <is>
          <t>531548</t>
        </is>
      </c>
    </row>
    <row r="263">
      <c r="A263" s="31" t="inlineStr">
        <is>
          <t>LGBBROSLTD</t>
        </is>
      </c>
      <c r="B263" s="31" t="inlineStr">
        <is>
          <t>Lg Balakrishnan &amp; Bros Limited</t>
        </is>
      </c>
      <c r="C263" s="31" t="inlineStr">
        <is>
          <t>auto</t>
        </is>
      </c>
      <c r="D263" s="31" t="inlineStr">
        <is>
          <t>bearings</t>
        </is>
      </c>
      <c r="E263" s="31" t="inlineStr">
        <is>
          <t>midcap</t>
        </is>
      </c>
      <c r="F263" s="31" t="n">
        <v>5518.03</v>
      </c>
      <c r="G263" s="31" t="n">
        <v>1734.5</v>
      </c>
      <c r="H263" s="31" t="n">
        <v>0.25</v>
      </c>
      <c r="I263" s="31" t="n">
        <v>14459</v>
      </c>
      <c r="J263" s="31" t="inlineStr">
        <is>
          <t>500250</t>
        </is>
      </c>
    </row>
    <row r="264">
      <c r="A264" s="31" t="inlineStr">
        <is>
          <t>BEPL</t>
        </is>
      </c>
      <c r="B264" s="31" t="inlineStr">
        <is>
          <t>Bhansali Engineering Polymers Limited</t>
        </is>
      </c>
      <c r="C264" s="31" t="inlineStr">
        <is>
          <t>energy</t>
        </is>
      </c>
      <c r="D264" s="31" t="inlineStr">
        <is>
          <t>petrochemicals</t>
        </is>
      </c>
      <c r="E264" s="31" t="inlineStr">
        <is>
          <t>smallcap</t>
        </is>
      </c>
      <c r="F264" s="31" t="n">
        <v>3240.88</v>
      </c>
      <c r="G264" s="31" t="n">
        <v>130.49</v>
      </c>
      <c r="H264" s="31" t="n">
        <v>0.2</v>
      </c>
      <c r="I264" s="31" t="n">
        <v>778846</v>
      </c>
      <c r="J264" s="31" t="inlineStr">
        <is>
          <t>500052</t>
        </is>
      </c>
    </row>
    <row r="265">
      <c r="A265" s="31" t="inlineStr">
        <is>
          <t>ETERNAL</t>
        </is>
      </c>
      <c r="B265" s="31" t="inlineStr">
        <is>
          <t>Eternal Ltd</t>
        </is>
      </c>
      <c r="C265" s="31" t="inlineStr">
        <is>
          <t>i.t</t>
        </is>
      </c>
      <c r="D265" s="31" t="inlineStr">
        <is>
          <t>miscellaneous</t>
        </is>
      </c>
      <c r="E265" s="31" t="inlineStr">
        <is>
          <t>largecap</t>
        </is>
      </c>
      <c r="F265" s="31" t="n">
        <v>330041.99</v>
      </c>
      <c r="G265" s="31" t="n">
        <v>342.65</v>
      </c>
      <c r="H265" s="31" t="n">
        <v>0.19</v>
      </c>
      <c r="I265" s="31" t="n">
        <v>18360484</v>
      </c>
      <c r="J265" s="31" t="inlineStr">
        <is>
          <t>543320</t>
        </is>
      </c>
    </row>
    <row r="266">
      <c r="A266" s="31" t="inlineStr">
        <is>
          <t>YESBANK</t>
        </is>
      </c>
      <c r="B266" s="31" t="inlineStr">
        <is>
          <t>Yes Bank Limited</t>
        </is>
      </c>
      <c r="C266" s="31" t="inlineStr">
        <is>
          <t>bank</t>
        </is>
      </c>
      <c r="D266" s="31" t="inlineStr">
        <is>
          <t>banks - private sector</t>
        </is>
      </c>
      <c r="E266" s="31" t="inlineStr">
        <is>
          <t>largecap</t>
        </is>
      </c>
      <c r="F266" s="31" t="n">
        <v>72817.28999999999</v>
      </c>
      <c r="G266" s="31" t="n">
        <v>23.24</v>
      </c>
      <c r="H266" s="31" t="n">
        <v>0.17</v>
      </c>
      <c r="I266" s="31" t="n">
        <v>46135166</v>
      </c>
      <c r="J266" s="31" t="inlineStr">
        <is>
          <t>532648</t>
        </is>
      </c>
    </row>
    <row r="267">
      <c r="A267" s="31" t="inlineStr">
        <is>
          <t>RBZJEWEL</t>
        </is>
      </c>
      <c r="B267" s="31" t="inlineStr">
        <is>
          <t>RBZ Jewellers Ltd</t>
        </is>
      </c>
      <c r="C267" s="31" t="inlineStr">
        <is>
          <t>consumer discretionary</t>
        </is>
      </c>
      <c r="D267" s="31" t="inlineStr">
        <is>
          <t>diamond cutting / jewellery</t>
        </is>
      </c>
      <c r="E267" s="31" t="inlineStr">
        <is>
          <t>smallcap</t>
        </is>
      </c>
      <c r="F267" s="31" t="n">
        <v>711.12</v>
      </c>
      <c r="G267" s="31" t="n">
        <v>178.05</v>
      </c>
      <c r="H267" s="31" t="n">
        <v>0.15</v>
      </c>
      <c r="I267" s="31" t="n">
        <v>106045</v>
      </c>
      <c r="J267" s="31" t="inlineStr">
        <is>
          <t>544060</t>
        </is>
      </c>
    </row>
    <row r="268">
      <c r="A268" s="31" t="inlineStr">
        <is>
          <t>FINCABLES</t>
        </is>
      </c>
      <c r="B268" s="31" t="inlineStr">
        <is>
          <t>Finolex Cables Limited</t>
        </is>
      </c>
      <c r="C268" s="31" t="inlineStr">
        <is>
          <t>industrials</t>
        </is>
      </c>
      <c r="D268" s="31" t="inlineStr">
        <is>
          <t>cables - power</t>
        </is>
      </c>
      <c r="E268" s="31" t="inlineStr">
        <is>
          <t>largecap</t>
        </is>
      </c>
      <c r="F268" s="31" t="n">
        <v>22453.03</v>
      </c>
      <c r="G268" s="31" t="n">
        <v>1470.2</v>
      </c>
      <c r="H268" s="31" t="n">
        <v>0.14</v>
      </c>
      <c r="I268" s="31" t="n">
        <v>594101</v>
      </c>
      <c r="J268" s="31" t="inlineStr">
        <is>
          <t>500144</t>
        </is>
      </c>
    </row>
    <row r="269">
      <c r="A269" s="31" t="inlineStr">
        <is>
          <t>PREMEXPLN</t>
        </is>
      </c>
      <c r="B269" s="31" t="inlineStr">
        <is>
          <t>Premier Explosives Limited</t>
        </is>
      </c>
      <c r="C269" s="31" t="inlineStr">
        <is>
          <t>aerospace &amp; defence</t>
        </is>
      </c>
      <c r="D269" s="31" t="inlineStr">
        <is>
          <t>chemicals</t>
        </is>
      </c>
      <c r="E269" s="31" t="inlineStr">
        <is>
          <t>smallcap</t>
        </is>
      </c>
      <c r="F269" s="31" t="n">
        <v>3624.85</v>
      </c>
      <c r="G269" s="31" t="n">
        <v>675.15</v>
      </c>
      <c r="H269" s="31" t="n">
        <v>0.13</v>
      </c>
      <c r="I269" s="31" t="n">
        <v>180909</v>
      </c>
      <c r="J269" s="31" t="inlineStr">
        <is>
          <t>526247</t>
        </is>
      </c>
    </row>
    <row r="270">
      <c r="A270" s="31" t="inlineStr">
        <is>
          <t>MUNJALSHOW</t>
        </is>
      </c>
      <c r="B270" s="31" t="inlineStr">
        <is>
          <t>Munjal Showa Limited</t>
        </is>
      </c>
      <c r="C270" s="31" t="inlineStr">
        <is>
          <t>auto</t>
        </is>
      </c>
      <c r="D270" s="31" t="inlineStr">
        <is>
          <t>auto ancillaries</t>
        </is>
      </c>
      <c r="E270" s="31" t="inlineStr">
        <is>
          <t>smallcap</t>
        </is>
      </c>
      <c r="F270" s="31" t="n">
        <v>533.21</v>
      </c>
      <c r="G270" s="31" t="n">
        <v>133.44</v>
      </c>
      <c r="H270" s="31" t="n">
        <v>0.09</v>
      </c>
      <c r="I270" s="31" t="n">
        <v>54209</v>
      </c>
      <c r="J270" s="31" t="inlineStr">
        <is>
          <t>520043</t>
        </is>
      </c>
    </row>
    <row r="271">
      <c r="A271" s="31" t="inlineStr">
        <is>
          <t>YUKEN</t>
        </is>
      </c>
      <c r="B271" s="31" t="inlineStr">
        <is>
          <t>Yuken India Ltd</t>
        </is>
      </c>
      <c r="C271" s="31" t="inlineStr">
        <is>
          <t>industrials</t>
        </is>
      </c>
      <c r="D271" s="31" t="inlineStr">
        <is>
          <t>engineering</t>
        </is>
      </c>
      <c r="E271" s="31" t="inlineStr">
        <is>
          <t>smallcap</t>
        </is>
      </c>
      <c r="F271" s="31" t="n">
        <v>1545.79</v>
      </c>
      <c r="G271" s="31" t="n">
        <v>1138.9</v>
      </c>
      <c r="H271" s="31" t="n">
        <v>0.08</v>
      </c>
      <c r="I271" s="31" t="n">
        <v>11505</v>
      </c>
      <c r="J271" s="31" t="inlineStr">
        <is>
          <t>522108</t>
        </is>
      </c>
    </row>
    <row r="272">
      <c r="A272" s="31" t="inlineStr">
        <is>
          <t>IONEXCHANG</t>
        </is>
      </c>
      <c r="B272" s="31" t="inlineStr">
        <is>
          <t>Ion Exchange (India) Ltd</t>
        </is>
      </c>
      <c r="C272" s="31" t="inlineStr">
        <is>
          <t>realty</t>
        </is>
      </c>
      <c r="D272" s="31" t="inlineStr">
        <is>
          <t>engineering - turnkey services</t>
        </is>
      </c>
      <c r="E272" s="31" t="inlineStr">
        <is>
          <t>midcap</t>
        </is>
      </c>
      <c r="F272" s="31" t="n">
        <v>6303.73</v>
      </c>
      <c r="G272" s="31" t="n">
        <v>430.1</v>
      </c>
      <c r="H272" s="31" t="n">
        <v>0.07000000000000001</v>
      </c>
      <c r="I272" s="31" t="n">
        <v>117980</v>
      </c>
      <c r="J272" s="31" t="inlineStr">
        <is>
          <t>500214</t>
        </is>
      </c>
    </row>
    <row r="273">
      <c r="A273" s="31" t="inlineStr">
        <is>
          <t>TBOTEK</t>
        </is>
      </c>
      <c r="B273" s="31" t="inlineStr">
        <is>
          <t>TBO Tek Ltd</t>
        </is>
      </c>
      <c r="C273" s="31" t="inlineStr">
        <is>
          <t>i.t</t>
        </is>
      </c>
      <c r="D273" s="31" t="inlineStr">
        <is>
          <t>travel agencies</t>
        </is>
      </c>
      <c r="E273" s="31" t="inlineStr">
        <is>
          <t>midcap</t>
        </is>
      </c>
      <c r="F273" s="31" t="n">
        <v>18500.1</v>
      </c>
      <c r="G273" s="31" t="n">
        <v>1704.5</v>
      </c>
      <c r="H273" s="31" t="n">
        <v>0.05</v>
      </c>
      <c r="I273" s="31" t="n">
        <v>137694</v>
      </c>
      <c r="J273" s="31" t="inlineStr">
        <is>
          <t>544174</t>
        </is>
      </c>
    </row>
    <row r="274">
      <c r="A274" s="31" t="inlineStr">
        <is>
          <t>ENTERO</t>
        </is>
      </c>
      <c r="B274" s="31" t="inlineStr">
        <is>
          <t>Entero Healthcare Solutions Ltd</t>
        </is>
      </c>
      <c r="C274" s="31" t="inlineStr">
        <is>
          <t>healthcare</t>
        </is>
      </c>
      <c r="D274" s="31" t="inlineStr">
        <is>
          <t>trading</t>
        </is>
      </c>
      <c r="E274" s="31" t="inlineStr">
        <is>
          <t>midcap</t>
        </is>
      </c>
      <c r="F274" s="31" t="n">
        <v>8016.08</v>
      </c>
      <c r="G274" s="31" t="n">
        <v>1842.5</v>
      </c>
      <c r="H274" s="31" t="n">
        <v>0.04</v>
      </c>
      <c r="I274" s="31" t="n">
        <v>164838</v>
      </c>
      <c r="J274" s="31" t="inlineStr">
        <is>
          <t>544122</t>
        </is>
      </c>
    </row>
    <row r="275">
      <c r="A275" s="31" t="inlineStr">
        <is>
          <t>IRISDOREME</t>
        </is>
      </c>
      <c r="B275" s="31" t="inlineStr">
        <is>
          <t>Iris Clothings Ltd</t>
        </is>
      </c>
      <c r="C275" s="31" t="inlineStr">
        <is>
          <t>consumer discretionary</t>
        </is>
      </c>
      <c r="D275" s="31" t="inlineStr">
        <is>
          <t>textiles - products</t>
        </is>
      </c>
      <c r="E275" s="31" t="inlineStr">
        <is>
          <t>smallcap</t>
        </is>
      </c>
      <c r="F275" s="31" t="n">
        <v>1260.76</v>
      </c>
      <c r="G275" s="31" t="n">
        <v>66.26000000000001</v>
      </c>
      <c r="H275" s="31" t="n">
        <v>0.03</v>
      </c>
      <c r="I275" s="31" t="n">
        <v>392682</v>
      </c>
      <c r="J275" s="31" t="inlineStr">
        <is>
          <t>535123</t>
        </is>
      </c>
    </row>
    <row r="276">
      <c r="A276" s="31" t="inlineStr">
        <is>
          <t>APLAPOLLO</t>
        </is>
      </c>
      <c r="B276" s="31" t="inlineStr">
        <is>
          <t>Apl Apollo Tubes Limited</t>
        </is>
      </c>
      <c r="C276" s="31" t="inlineStr">
        <is>
          <t>industrials</t>
        </is>
      </c>
      <c r="D276" s="31" t="inlineStr">
        <is>
          <t>steel - large</t>
        </is>
      </c>
      <c r="E276" s="31" t="inlineStr">
        <is>
          <t>largecap</t>
        </is>
      </c>
      <c r="F276" s="31" t="n">
        <v>60946.02</v>
      </c>
      <c r="G276" s="31" t="n">
        <v>2195</v>
      </c>
      <c r="H276" s="31" t="n">
        <v>0</v>
      </c>
      <c r="I276" s="31" t="n">
        <v>357496</v>
      </c>
      <c r="J276" s="31" t="inlineStr">
        <is>
          <t>533758</t>
        </is>
      </c>
    </row>
    <row r="277">
      <c r="A277" s="31" t="inlineStr">
        <is>
          <t>PDSL</t>
        </is>
      </c>
      <c r="B277" s="31" t="inlineStr">
        <is>
          <t>PDS Ltd</t>
        </is>
      </c>
      <c r="C277" s="31" t="inlineStr">
        <is>
          <t>textiles</t>
        </is>
      </c>
      <c r="D277" s="31" t="inlineStr">
        <is>
          <t>trading</t>
        </is>
      </c>
      <c r="E277" s="31" t="inlineStr">
        <is>
          <t>midcap</t>
        </is>
      </c>
      <c r="F277" s="31" t="n">
        <v>5112.43</v>
      </c>
      <c r="G277" s="31" t="n">
        <v>361.4</v>
      </c>
      <c r="H277" s="31" t="n">
        <v>-0.01</v>
      </c>
      <c r="I277" s="31" t="n">
        <v>67691</v>
      </c>
      <c r="J277" s="31" t="inlineStr">
        <is>
          <t>538730</t>
        </is>
      </c>
    </row>
    <row r="278">
      <c r="A278" s="31" t="inlineStr">
        <is>
          <t>TNPETRO</t>
        </is>
      </c>
      <c r="B278" s="31" t="inlineStr">
        <is>
          <t>Tamilnadu Petroproducts Limited</t>
        </is>
      </c>
      <c r="C278" s="31" t="inlineStr">
        <is>
          <t>energy</t>
        </is>
      </c>
      <c r="D278" s="31" t="inlineStr">
        <is>
          <t>petrochemicals</t>
        </is>
      </c>
      <c r="E278" s="31" t="inlineStr">
        <is>
          <t>smallcap</t>
        </is>
      </c>
      <c r="F278" s="31" t="n">
        <v>1160.63</v>
      </c>
      <c r="G278" s="31" t="n">
        <v>128.98</v>
      </c>
      <c r="H278" s="31" t="n">
        <v>-0.02</v>
      </c>
      <c r="I278" s="31" t="n">
        <v>486120</v>
      </c>
      <c r="J278" s="31" t="inlineStr">
        <is>
          <t>500777</t>
        </is>
      </c>
    </row>
    <row r="279">
      <c r="A279" s="31" t="inlineStr">
        <is>
          <t>VIDHIING</t>
        </is>
      </c>
      <c r="B279" s="31" t="inlineStr">
        <is>
          <t>Vidhi Specialty Food Ingredients</t>
        </is>
      </c>
      <c r="C279" s="31" t="inlineStr">
        <is>
          <t>chemicals</t>
        </is>
      </c>
      <c r="D279" s="31" t="inlineStr">
        <is>
          <t>dyes and pigments</t>
        </is>
      </c>
      <c r="E279" s="31" t="inlineStr">
        <is>
          <t>smallcap</t>
        </is>
      </c>
      <c r="F279" s="31" t="n">
        <v>1797.77</v>
      </c>
      <c r="G279" s="31" t="n">
        <v>359.85</v>
      </c>
      <c r="H279" s="31" t="n">
        <v>-0.03</v>
      </c>
      <c r="I279" s="31" t="n">
        <v>48059</v>
      </c>
      <c r="J279" s="31" t="inlineStr">
        <is>
          <t>531717</t>
        </is>
      </c>
    </row>
    <row r="280">
      <c r="A280" s="31" t="inlineStr">
        <is>
          <t>VINDHYATEL</t>
        </is>
      </c>
      <c r="B280" s="31" t="inlineStr">
        <is>
          <t>Vindhya Telelinks Limited</t>
        </is>
      </c>
      <c r="C280" s="31" t="inlineStr">
        <is>
          <t>realty</t>
        </is>
      </c>
      <c r="D280" s="31" t="inlineStr">
        <is>
          <t>construction</t>
        </is>
      </c>
      <c r="E280" s="31" t="inlineStr">
        <is>
          <t>smallcap</t>
        </is>
      </c>
      <c r="F280" s="31" t="n">
        <v>3395.75</v>
      </c>
      <c r="G280" s="31" t="n">
        <v>2864.6</v>
      </c>
      <c r="H280" s="31" t="n">
        <v>-0.03</v>
      </c>
      <c r="I280" s="31" t="n">
        <v>39450</v>
      </c>
      <c r="J280" s="31" t="inlineStr">
        <is>
          <t>517015</t>
        </is>
      </c>
    </row>
    <row r="281">
      <c r="A281" s="31" t="inlineStr">
        <is>
          <t>JINDWORLD</t>
        </is>
      </c>
      <c r="B281" s="31" t="inlineStr">
        <is>
          <t>Jindal Worldwide Limited</t>
        </is>
      </c>
      <c r="C281" s="31" t="inlineStr">
        <is>
          <t>textiles</t>
        </is>
      </c>
      <c r="D281" s="31" t="inlineStr">
        <is>
          <t>textiles - products</t>
        </is>
      </c>
      <c r="E281" s="31" t="inlineStr">
        <is>
          <t>midcap</t>
        </is>
      </c>
      <c r="F281" s="31" t="n">
        <v>5235.59</v>
      </c>
      <c r="G281" s="31" t="n">
        <v>52.2</v>
      </c>
      <c r="H281" s="31" t="n">
        <v>-0.04</v>
      </c>
      <c r="I281" s="31" t="n">
        <v>8712868</v>
      </c>
      <c r="J281" s="31" t="inlineStr">
        <is>
          <t>531543</t>
        </is>
      </c>
    </row>
    <row r="282">
      <c r="A282" s="31" t="inlineStr">
        <is>
          <t>BEML</t>
        </is>
      </c>
      <c r="B282" s="31" t="inlineStr">
        <is>
          <t>Beml Limited</t>
        </is>
      </c>
      <c r="C282" s="31" t="inlineStr">
        <is>
          <t>aerospace &amp; defence</t>
        </is>
      </c>
      <c r="D282" s="31" t="inlineStr">
        <is>
          <t>engineering</t>
        </is>
      </c>
      <c r="E282" s="31" t="inlineStr">
        <is>
          <t>midcap</t>
        </is>
      </c>
      <c r="F282" s="31" t="n">
        <v>17464.04</v>
      </c>
      <c r="G282" s="31" t="n">
        <v>2095.4</v>
      </c>
      <c r="H282" s="31" t="n">
        <v>-0.07000000000000001</v>
      </c>
      <c r="I282" s="31" t="n">
        <v>204095</v>
      </c>
      <c r="J282" s="31" t="inlineStr">
        <is>
          <t>500048</t>
        </is>
      </c>
    </row>
    <row r="283">
      <c r="A283" s="31" t="inlineStr">
        <is>
          <t>SMSPHARMA</t>
        </is>
      </c>
      <c r="B283" s="31" t="inlineStr">
        <is>
          <t>Sms Pharmaceuticals Limited</t>
        </is>
      </c>
      <c r="C283" s="31" t="inlineStr">
        <is>
          <t>healthcare</t>
        </is>
      </c>
      <c r="D283" s="31" t="inlineStr">
        <is>
          <t>pharmaceuticals - indian - bulk drugs</t>
        </is>
      </c>
      <c r="E283" s="31" t="inlineStr">
        <is>
          <t>smallcap</t>
        </is>
      </c>
      <c r="F283" s="31" t="n">
        <v>4526.67</v>
      </c>
      <c r="G283" s="31" t="n">
        <v>482.95</v>
      </c>
      <c r="H283" s="31" t="n">
        <v>-0.08</v>
      </c>
      <c r="I283" s="31" t="n">
        <v>801318</v>
      </c>
      <c r="J283" s="31" t="inlineStr">
        <is>
          <t>532815</t>
        </is>
      </c>
    </row>
    <row r="284">
      <c r="A284" s="31" t="inlineStr">
        <is>
          <t>ANUHPHR</t>
        </is>
      </c>
      <c r="B284" s="31" t="inlineStr">
        <is>
          <t>Anuh Pharma Ltd</t>
        </is>
      </c>
      <c r="C284" s="31" t="inlineStr">
        <is>
          <t>healthcare</t>
        </is>
      </c>
      <c r="D284" s="31" t="inlineStr">
        <is>
          <t>pharmaceuticals - indian - bulk drugs</t>
        </is>
      </c>
      <c r="E284" s="31" t="inlineStr">
        <is>
          <t>smallcap</t>
        </is>
      </c>
      <c r="F284" s="31" t="n">
        <v>936.89</v>
      </c>
      <c r="G284" s="31" t="n">
        <v>93.39</v>
      </c>
      <c r="H284" s="31" t="n">
        <v>-0.1</v>
      </c>
      <c r="I284" s="31" t="n">
        <v>134416</v>
      </c>
      <c r="J284" s="31" t="inlineStr">
        <is>
          <t>506260</t>
        </is>
      </c>
    </row>
    <row r="285">
      <c r="A285" s="31" t="inlineStr">
        <is>
          <t>DOLPHIN</t>
        </is>
      </c>
      <c r="B285" s="31" t="inlineStr">
        <is>
          <t>Dolphin Offshore Enterprises (India) Ltd</t>
        </is>
      </c>
      <c r="C285" s="31" t="inlineStr">
        <is>
          <t>energy</t>
        </is>
      </c>
      <c r="D285" s="31" t="inlineStr">
        <is>
          <t>oil drilling / allied services</t>
        </is>
      </c>
      <c r="E285" s="31" t="inlineStr">
        <is>
          <t>smallcap</t>
        </is>
      </c>
      <c r="F285" s="31" t="n">
        <v>2897.53</v>
      </c>
      <c r="G285" s="31" t="n">
        <v>723.55</v>
      </c>
      <c r="H285" s="31" t="n">
        <v>-0.1</v>
      </c>
      <c r="I285" s="31" t="n">
        <v>105950</v>
      </c>
      <c r="J285" s="31" t="inlineStr">
        <is>
          <t>522261</t>
        </is>
      </c>
    </row>
    <row r="286">
      <c r="A286" s="31" t="inlineStr">
        <is>
          <t>FOSECOIND</t>
        </is>
      </c>
      <c r="B286" s="31" t="inlineStr">
        <is>
          <t>Foseco India Limited</t>
        </is>
      </c>
      <c r="C286" s="31" t="inlineStr">
        <is>
          <t>chemicals</t>
        </is>
      </c>
      <c r="D286" s="31" t="inlineStr">
        <is>
          <t>chemicals</t>
        </is>
      </c>
      <c r="E286" s="31" t="inlineStr">
        <is>
          <t>smallcap</t>
        </is>
      </c>
      <c r="F286" s="31" t="n">
        <v>4945.95</v>
      </c>
      <c r="G286" s="31" t="n">
        <v>6555</v>
      </c>
      <c r="H286" s="31" t="n">
        <v>-0.11</v>
      </c>
      <c r="I286" s="31" t="n">
        <v>11166</v>
      </c>
      <c r="J286" s="31" t="inlineStr">
        <is>
          <t>500150</t>
        </is>
      </c>
    </row>
    <row r="287">
      <c r="A287" s="31" t="inlineStr">
        <is>
          <t>INDSWFTLAB</t>
        </is>
      </c>
      <c r="B287" s="31" t="inlineStr">
        <is>
          <t>Ind-swift Laboratories Limited</t>
        </is>
      </c>
      <c r="C287" s="31" t="inlineStr">
        <is>
          <t>healthcare</t>
        </is>
      </c>
      <c r="D287" s="31" t="inlineStr">
        <is>
          <t>pharmaceuticals - indian - bulk drugs &amp; formln</t>
        </is>
      </c>
      <c r="E287" s="31" t="inlineStr">
        <is>
          <t>smallcap</t>
        </is>
      </c>
      <c r="F287" s="31" t="n">
        <v>3526.73</v>
      </c>
      <c r="G287" s="31" t="n">
        <v>405.05</v>
      </c>
      <c r="H287" s="31" t="n">
        <v>-0.12</v>
      </c>
      <c r="I287" s="31" t="n">
        <v>807681</v>
      </c>
      <c r="J287" s="31" t="inlineStr">
        <is>
          <t>532305</t>
        </is>
      </c>
    </row>
    <row r="288">
      <c r="A288" s="31" t="inlineStr">
        <is>
          <t>HARSHA</t>
        </is>
      </c>
      <c r="B288" s="31" t="inlineStr">
        <is>
          <t>Harsha Engineers International Ltd</t>
        </is>
      </c>
      <c r="C288" s="31" t="inlineStr">
        <is>
          <t>industrials</t>
        </is>
      </c>
      <c r="D288" s="31" t="inlineStr">
        <is>
          <t>engineering</t>
        </is>
      </c>
      <c r="E288" s="31" t="inlineStr">
        <is>
          <t>smallcap</t>
        </is>
      </c>
      <c r="F288" s="31" t="n">
        <v>4234.46</v>
      </c>
      <c r="G288" s="31" t="n">
        <v>464.5</v>
      </c>
      <c r="H288" s="31" t="n">
        <v>-0.13</v>
      </c>
      <c r="I288" s="31" t="n">
        <v>97147</v>
      </c>
      <c r="J288" s="31" t="inlineStr">
        <is>
          <t>543600</t>
        </is>
      </c>
    </row>
    <row r="289">
      <c r="A289" s="31" t="inlineStr">
        <is>
          <t>ZIMLAB</t>
        </is>
      </c>
      <c r="B289" s="31" t="inlineStr">
        <is>
          <t>Zim Laboratories Ltd</t>
        </is>
      </c>
      <c r="C289" s="31" t="inlineStr">
        <is>
          <t>healthcare</t>
        </is>
      </c>
      <c r="D289" s="31" t="inlineStr">
        <is>
          <t>pharmaceuticals - indian - bulk drugs &amp; formln</t>
        </is>
      </c>
      <c r="E289" s="31" t="inlineStr">
        <is>
          <t>smallcap</t>
        </is>
      </c>
      <c r="F289" s="31" t="n">
        <v>716.49</v>
      </c>
      <c r="G289" s="31" t="n">
        <v>133.56</v>
      </c>
      <c r="H289" s="31" t="n">
        <v>-0.18</v>
      </c>
      <c r="I289" s="31" t="n">
        <v>118261</v>
      </c>
      <c r="J289" s="31" t="inlineStr">
        <is>
          <t>541400</t>
        </is>
      </c>
    </row>
    <row r="290">
      <c r="A290" s="31" t="inlineStr">
        <is>
          <t>GPPL</t>
        </is>
      </c>
      <c r="B290" s="31" t="inlineStr">
        <is>
          <t>Gujarat Pipavav Port Limited</t>
        </is>
      </c>
      <c r="C290" s="31" t="inlineStr">
        <is>
          <t>transportation</t>
        </is>
      </c>
      <c r="D290" s="31" t="inlineStr">
        <is>
          <t>miscellaneous</t>
        </is>
      </c>
      <c r="E290" s="31" t="inlineStr">
        <is>
          <t>midcap</t>
        </is>
      </c>
      <c r="F290" s="31" t="n">
        <v>7948.24</v>
      </c>
      <c r="G290" s="31" t="n">
        <v>164.12</v>
      </c>
      <c r="H290" s="31" t="n">
        <v>-0.18</v>
      </c>
      <c r="I290" s="31" t="n">
        <v>658410</v>
      </c>
      <c r="J290" s="31" t="inlineStr">
        <is>
          <t>533248</t>
        </is>
      </c>
    </row>
    <row r="291">
      <c r="A291" s="31" t="inlineStr">
        <is>
          <t>GOODLUCK</t>
        </is>
      </c>
      <c r="B291" s="31" t="inlineStr">
        <is>
          <t>Goodluck India Limited</t>
        </is>
      </c>
      <c r="C291" s="31" t="inlineStr">
        <is>
          <t>metals &amp; mining</t>
        </is>
      </c>
      <c r="D291" s="31" t="inlineStr">
        <is>
          <t>steel - medium / small</t>
        </is>
      </c>
      <c r="E291" s="31" t="inlineStr">
        <is>
          <t>midcap</t>
        </is>
      </c>
      <c r="F291" s="31" t="n">
        <v>5365.19</v>
      </c>
      <c r="G291" s="31" t="n">
        <v>537.1</v>
      </c>
      <c r="H291" s="31" t="n">
        <v>-0.18</v>
      </c>
      <c r="I291" s="31" t="n">
        <v>928120</v>
      </c>
      <c r="J291" s="31" t="inlineStr">
        <is>
          <t>530655</t>
        </is>
      </c>
    </row>
    <row r="292">
      <c r="A292" s="31" t="inlineStr">
        <is>
          <t>RAYMOND</t>
        </is>
      </c>
      <c r="B292" s="31" t="inlineStr">
        <is>
          <t>Raymond Limited</t>
        </is>
      </c>
      <c r="C292" s="31" t="inlineStr">
        <is>
          <t>transportation</t>
        </is>
      </c>
      <c r="D292" s="31" t="inlineStr">
        <is>
          <t>transport - airlines</t>
        </is>
      </c>
      <c r="E292" s="31" t="inlineStr">
        <is>
          <t>midcap</t>
        </is>
      </c>
      <c r="F292" s="31" t="n">
        <v>7435.95</v>
      </c>
      <c r="G292" s="31" t="n">
        <v>1114.65</v>
      </c>
      <c r="H292" s="31" t="n">
        <v>-0.21</v>
      </c>
      <c r="I292" s="31" t="n">
        <v>4461009</v>
      </c>
      <c r="J292" s="31" t="inlineStr">
        <is>
          <t>500330</t>
        </is>
      </c>
    </row>
    <row r="293">
      <c r="A293" s="31" t="inlineStr">
        <is>
          <t>GANDHAR</t>
        </is>
      </c>
      <c r="B293" s="31" t="inlineStr">
        <is>
          <t>Gandhar Oil Refinery (India) Ltd</t>
        </is>
      </c>
      <c r="C293" s="31" t="inlineStr">
        <is>
          <t>energy</t>
        </is>
      </c>
      <c r="D293" s="31" t="inlineStr">
        <is>
          <t>refineries</t>
        </is>
      </c>
      <c r="E293" s="31" t="inlineStr">
        <is>
          <t>smallcap</t>
        </is>
      </c>
      <c r="F293" s="31" t="n">
        <v>2633.45</v>
      </c>
      <c r="G293" s="31" t="n">
        <v>268.4</v>
      </c>
      <c r="H293" s="31" t="n">
        <v>-0.24</v>
      </c>
      <c r="I293" s="31" t="n">
        <v>365423</v>
      </c>
      <c r="J293" s="31" t="inlineStr">
        <is>
          <t>544029</t>
        </is>
      </c>
    </row>
    <row r="294">
      <c r="A294" s="31" t="inlineStr">
        <is>
          <t>RATNAVEER</t>
        </is>
      </c>
      <c r="B294" s="31" t="inlineStr">
        <is>
          <t>Ratnaveer Precision Engineering Ltd</t>
        </is>
      </c>
      <c r="C294" s="31" t="inlineStr">
        <is>
          <t>metals &amp; mining</t>
        </is>
      </c>
      <c r="D294" s="31" t="inlineStr">
        <is>
          <t>steel - medium / small</t>
        </is>
      </c>
      <c r="E294" s="31" t="inlineStr">
        <is>
          <t>smallcap</t>
        </is>
      </c>
      <c r="F294" s="31" t="n">
        <v>2373.51</v>
      </c>
      <c r="G294" s="31" t="n">
        <v>331.4</v>
      </c>
      <c r="H294" s="31" t="n">
        <v>-0.27</v>
      </c>
      <c r="I294" s="31" t="n">
        <v>7495098</v>
      </c>
      <c r="J294" s="31" t="inlineStr">
        <is>
          <t>543978</t>
        </is>
      </c>
    </row>
    <row r="295">
      <c r="A295" s="31" t="inlineStr">
        <is>
          <t>JKPAPER</t>
        </is>
      </c>
      <c r="B295" s="31" t="inlineStr">
        <is>
          <t>Jk Paper Limited</t>
        </is>
      </c>
      <c r="C295" s="31" t="inlineStr">
        <is>
          <t>building materials</t>
        </is>
      </c>
      <c r="D295" s="31" t="inlineStr">
        <is>
          <t>paper</t>
        </is>
      </c>
      <c r="E295" s="31" t="inlineStr">
        <is>
          <t>midcap</t>
        </is>
      </c>
      <c r="F295" s="31" t="n">
        <v>7550.11</v>
      </c>
      <c r="G295" s="31" t="n">
        <v>415.25</v>
      </c>
      <c r="H295" s="31" t="n">
        <v>-0.28</v>
      </c>
      <c r="I295" s="31" t="n">
        <v>268928</v>
      </c>
      <c r="J295" s="31" t="inlineStr">
        <is>
          <t>532162</t>
        </is>
      </c>
    </row>
    <row r="296">
      <c r="A296" s="31" t="inlineStr">
        <is>
          <t>WSTCSTPAPR</t>
        </is>
      </c>
      <c r="B296" s="31" t="inlineStr">
        <is>
          <t>West Coast Paper Mills Limited</t>
        </is>
      </c>
      <c r="C296" s="31" t="inlineStr">
        <is>
          <t>building materials</t>
        </is>
      </c>
      <c r="D296" s="31" t="inlineStr">
        <is>
          <t>paper</t>
        </is>
      </c>
      <c r="E296" s="31" t="inlineStr">
        <is>
          <t>smallcap</t>
        </is>
      </c>
      <c r="F296" s="31" t="n">
        <v>4952.02</v>
      </c>
      <c r="G296" s="31" t="n">
        <v>747.25</v>
      </c>
      <c r="H296" s="31" t="n">
        <v>-0.33</v>
      </c>
      <c r="I296" s="31" t="n">
        <v>83716</v>
      </c>
      <c r="J296" s="31" t="inlineStr">
        <is>
          <t>500444</t>
        </is>
      </c>
    </row>
    <row r="297">
      <c r="A297" s="31" t="inlineStr">
        <is>
          <t>ORIENTBELL</t>
        </is>
      </c>
      <c r="B297" s="31" t="inlineStr">
        <is>
          <t>Orient Bell Limited</t>
        </is>
      </c>
      <c r="C297" s="31" t="inlineStr">
        <is>
          <t>building materials</t>
        </is>
      </c>
      <c r="D297" s="31" t="inlineStr">
        <is>
          <t>ceramics - tiles / sanitaryware</t>
        </is>
      </c>
      <c r="E297" s="31" t="inlineStr">
        <is>
          <t>smallcap</t>
        </is>
      </c>
      <c r="F297" s="31" t="n">
        <v>577.83</v>
      </c>
      <c r="G297" s="31" t="n">
        <v>391.5</v>
      </c>
      <c r="H297" s="31" t="n">
        <v>-0.33</v>
      </c>
      <c r="I297" s="31" t="n">
        <v>28548</v>
      </c>
      <c r="J297" s="31" t="inlineStr">
        <is>
          <t>530365</t>
        </is>
      </c>
    </row>
    <row r="298">
      <c r="A298" s="31" t="inlineStr">
        <is>
          <t>ANDHRAPAP</t>
        </is>
      </c>
      <c r="B298" s="31" t="inlineStr">
        <is>
          <t>Andhra Paper Ltd</t>
        </is>
      </c>
      <c r="C298" s="31" t="inlineStr">
        <is>
          <t>building materials</t>
        </is>
      </c>
      <c r="D298" s="31" t="inlineStr">
        <is>
          <t>paper</t>
        </is>
      </c>
      <c r="E298" s="31" t="inlineStr">
        <is>
          <t>smallcap</t>
        </is>
      </c>
      <c r="F298" s="31" t="n">
        <v>1420.39</v>
      </c>
      <c r="G298" s="31" t="n">
        <v>71.19</v>
      </c>
      <c r="H298" s="31" t="n">
        <v>-0.34</v>
      </c>
      <c r="I298" s="31" t="n">
        <v>286782</v>
      </c>
      <c r="J298" s="31" t="inlineStr">
        <is>
          <t>502330</t>
        </is>
      </c>
    </row>
    <row r="299">
      <c r="A299" s="31" t="inlineStr">
        <is>
          <t>KIRLFER</t>
        </is>
      </c>
      <c r="B299" s="31" t="inlineStr">
        <is>
          <t>Kirloskar Ferrous Industries Ltd</t>
        </is>
      </c>
      <c r="C299" s="31" t="inlineStr">
        <is>
          <t>metals &amp; mining</t>
        </is>
      </c>
      <c r="D299" s="31" t="inlineStr">
        <is>
          <t>steel - large</t>
        </is>
      </c>
      <c r="E299" s="31" t="inlineStr">
        <is>
          <t>midcap</t>
        </is>
      </c>
      <c r="F299" s="31" t="n">
        <v>7917.16</v>
      </c>
      <c r="G299" s="31" t="n">
        <v>478.1</v>
      </c>
      <c r="H299" s="31" t="n">
        <v>-0.36</v>
      </c>
      <c r="I299" s="31" t="n">
        <v>126883</v>
      </c>
      <c r="J299" s="31" t="inlineStr">
        <is>
          <t>500245</t>
        </is>
      </c>
    </row>
    <row r="300">
      <c r="A300" s="31" t="inlineStr">
        <is>
          <t>PRABHA</t>
        </is>
      </c>
      <c r="B300" s="31" t="inlineStr">
        <is>
          <t>Prabha Energy Ltd</t>
        </is>
      </c>
      <c r="C300" s="31" t="inlineStr">
        <is>
          <t>energy</t>
        </is>
      </c>
      <c r="D300" s="31" t="inlineStr">
        <is>
          <t>oil drilling / allied services</t>
        </is>
      </c>
      <c r="E300" s="31" t="inlineStr">
        <is>
          <t>smallcap</t>
        </is>
      </c>
      <c r="F300" s="31" t="n">
        <v>3455.01</v>
      </c>
      <c r="G300" s="31" t="n">
        <v>234.8</v>
      </c>
      <c r="H300" s="31" t="n">
        <v>-0.39</v>
      </c>
      <c r="I300" s="31" t="n">
        <v>84663</v>
      </c>
      <c r="J300" s="31" t="inlineStr">
        <is>
          <t>544379</t>
        </is>
      </c>
    </row>
    <row r="301">
      <c r="A301" s="31" t="inlineStr">
        <is>
          <t>QUESS</t>
        </is>
      </c>
      <c r="B301" s="31" t="inlineStr">
        <is>
          <t>Quess Corp Limited</t>
        </is>
      </c>
      <c r="C301" s="31" t="inlineStr">
        <is>
          <t>miscellaneous</t>
        </is>
      </c>
      <c r="D301" s="31" t="inlineStr">
        <is>
          <t>diversified - large</t>
        </is>
      </c>
      <c r="E301" s="31" t="inlineStr">
        <is>
          <t>midcap</t>
        </is>
      </c>
      <c r="F301" s="31" t="n">
        <v>5383.68</v>
      </c>
      <c r="G301" s="31" t="n">
        <v>359</v>
      </c>
      <c r="H301" s="31" t="n">
        <v>-0.4</v>
      </c>
      <c r="I301" s="31" t="n">
        <v>220486</v>
      </c>
      <c r="J301" s="31" t="inlineStr">
        <is>
          <t>539978</t>
        </is>
      </c>
    </row>
    <row r="302">
      <c r="A302" s="31" t="inlineStr">
        <is>
          <t>ITDC</t>
        </is>
      </c>
      <c r="B302" s="31" t="inlineStr">
        <is>
          <t>India Tourism Development Corporation Ltd</t>
        </is>
      </c>
      <c r="C302" s="31" t="inlineStr">
        <is>
          <t>services</t>
        </is>
      </c>
      <c r="D302" s="31" t="inlineStr">
        <is>
          <t>hotels</t>
        </is>
      </c>
      <c r="E302" s="31" t="inlineStr">
        <is>
          <t>midcap</t>
        </is>
      </c>
      <c r="F302" s="31" t="n">
        <v>6053.18</v>
      </c>
      <c r="G302" s="31" t="n">
        <v>702.65</v>
      </c>
      <c r="H302" s="31" t="n">
        <v>-0.44</v>
      </c>
      <c r="I302" s="31" t="n">
        <v>204985</v>
      </c>
      <c r="J302" s="31" t="inlineStr">
        <is>
          <t>532189</t>
        </is>
      </c>
    </row>
    <row r="303">
      <c r="A303" s="31" t="inlineStr">
        <is>
          <t>ORCHPHARMA</t>
        </is>
      </c>
      <c r="B303" s="31" t="inlineStr">
        <is>
          <t>Orchid Pharma Ltd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midcap</t>
        </is>
      </c>
      <c r="F303" s="31" t="n">
        <v>5615.62</v>
      </c>
      <c r="G303" s="31" t="n">
        <v>1102.05</v>
      </c>
      <c r="H303" s="31" t="n">
        <v>-0.47</v>
      </c>
      <c r="I303" s="31" t="n">
        <v>134909</v>
      </c>
      <c r="J303" s="31" t="inlineStr">
        <is>
          <t>524372</t>
        </is>
      </c>
    </row>
    <row r="304">
      <c r="A304" s="31" t="inlineStr">
        <is>
          <t>SMARTWORKS</t>
        </is>
      </c>
      <c r="B304" s="31" t="inlineStr">
        <is>
          <t>Smartworks Coworking Spaces Ltd</t>
        </is>
      </c>
      <c r="C304" s="31" t="inlineStr">
        <is>
          <t>co-working</t>
        </is>
      </c>
      <c r="D304" s="31" t="inlineStr">
        <is>
          <t>miscellaneous</t>
        </is>
      </c>
      <c r="E304" s="31" t="inlineStr">
        <is>
          <t>midcap</t>
        </is>
      </c>
      <c r="F304" s="31" t="n">
        <v>6214.71</v>
      </c>
      <c r="G304" s="31" t="n">
        <v>541.05</v>
      </c>
      <c r="H304" s="31" t="n">
        <v>-0.52</v>
      </c>
      <c r="I304" s="31" t="n">
        <v>27592</v>
      </c>
      <c r="J304" s="31" t="inlineStr">
        <is>
          <t>544447</t>
        </is>
      </c>
    </row>
    <row r="305">
      <c r="A305" s="31" t="inlineStr">
        <is>
          <t>MANAKSTEEL</t>
        </is>
      </c>
      <c r="B305" s="31" t="inlineStr">
        <is>
          <t>Manaksia Steels Limited</t>
        </is>
      </c>
      <c r="C305" s="31" t="inlineStr">
        <is>
          <t>metals &amp; mining</t>
        </is>
      </c>
      <c r="D305" s="31" t="inlineStr">
        <is>
          <t>steel - medium / small</t>
        </is>
      </c>
      <c r="E305" s="31" t="inlineStr">
        <is>
          <t>smallcap</t>
        </is>
      </c>
      <c r="F305" s="31" t="n">
        <v>702.85</v>
      </c>
      <c r="G305" s="31" t="n">
        <v>106.62</v>
      </c>
      <c r="H305" s="31" t="n">
        <v>-0.59</v>
      </c>
      <c r="I305" s="31" t="n">
        <v>17828</v>
      </c>
      <c r="J305" s="31" t="inlineStr">
        <is>
          <t>539044</t>
        </is>
      </c>
    </row>
    <row r="306">
      <c r="A306" s="31" t="inlineStr">
        <is>
          <t>MANKIND</t>
        </is>
      </c>
      <c r="B306" s="31" t="inlineStr">
        <is>
          <t>Mankind Pharma Ltd</t>
        </is>
      </c>
      <c r="C306" s="31" t="inlineStr">
        <is>
          <t>healthcare</t>
        </is>
      </c>
      <c r="D306" s="31" t="inlineStr">
        <is>
          <t>pharmaceuticals - indian - bulk drugs &amp; formln</t>
        </is>
      </c>
      <c r="E306" s="31" t="inlineStr">
        <is>
          <t>largecap</t>
        </is>
      </c>
      <c r="F306" s="31" t="n">
        <v>102423</v>
      </c>
      <c r="G306" s="31" t="n">
        <v>2465</v>
      </c>
      <c r="H306" s="31" t="n">
        <v>-0.6</v>
      </c>
      <c r="I306" s="31" t="n">
        <v>352575</v>
      </c>
      <c r="J306" s="31" t="inlineStr">
        <is>
          <t>543904</t>
        </is>
      </c>
    </row>
    <row r="307">
      <c r="A307" s="31" t="inlineStr">
        <is>
          <t>CYIENT</t>
        </is>
      </c>
      <c r="B307" s="31" t="inlineStr">
        <is>
          <t>Cyient Limited</t>
        </is>
      </c>
      <c r="C307" s="31" t="inlineStr">
        <is>
          <t>i.t</t>
        </is>
      </c>
      <c r="D307" s="31" t="inlineStr">
        <is>
          <t>computers - software - medium / small</t>
        </is>
      </c>
      <c r="E307" s="31" t="inlineStr">
        <is>
          <t>midcap</t>
        </is>
      </c>
      <c r="F307" s="31" t="n">
        <v>11301.64</v>
      </c>
      <c r="G307" s="31" t="n">
        <v>1072.2</v>
      </c>
      <c r="H307" s="31" t="n">
        <v>-0.63</v>
      </c>
      <c r="I307" s="31" t="n">
        <v>310466</v>
      </c>
      <c r="J307" s="31" t="inlineStr">
        <is>
          <t>532175</t>
        </is>
      </c>
    </row>
    <row r="308">
      <c r="A308" s="31" t="inlineStr">
        <is>
          <t>COMSYN</t>
        </is>
      </c>
      <c r="B308" s="31" t="inlineStr">
        <is>
          <t>Commercial Syn Bags Ltd</t>
        </is>
      </c>
      <c r="C308" s="31" t="inlineStr">
        <is>
          <t>industrials</t>
        </is>
      </c>
      <c r="D308" s="31" t="inlineStr">
        <is>
          <t>packaging</t>
        </is>
      </c>
      <c r="E308" s="31" t="inlineStr">
        <is>
          <t>smallcap</t>
        </is>
      </c>
      <c r="F308" s="31" t="n">
        <v>1215.22</v>
      </c>
      <c r="G308" s="31" t="n">
        <v>299.3</v>
      </c>
      <c r="H308" s="31" t="n">
        <v>-0.65</v>
      </c>
      <c r="I308" s="31" t="n">
        <v>1010524</v>
      </c>
      <c r="J308" s="31" t="inlineStr">
        <is>
          <t>539986</t>
        </is>
      </c>
    </row>
    <row r="309">
      <c r="A309" s="31" t="inlineStr">
        <is>
          <t>PCBL</t>
        </is>
      </c>
      <c r="B309" s="31" t="inlineStr">
        <is>
          <t>PCBL Ltd</t>
        </is>
      </c>
      <c r="C309" s="31" t="inlineStr">
        <is>
          <t>chemicals</t>
        </is>
      </c>
      <c r="D309" s="31" t="inlineStr">
        <is>
          <t>chemicals</t>
        </is>
      </c>
      <c r="E309" s="31" t="inlineStr">
        <is>
          <t>midcap</t>
        </is>
      </c>
      <c r="F309" s="31" t="n">
        <v>13682.66</v>
      </c>
      <c r="G309" s="31" t="n">
        <v>345.45</v>
      </c>
      <c r="H309" s="31" t="n">
        <v>-0.66</v>
      </c>
      <c r="I309" s="31" t="n">
        <v>1432331</v>
      </c>
      <c r="J309" s="31" t="inlineStr">
        <is>
          <t>506590</t>
        </is>
      </c>
    </row>
    <row r="310">
      <c r="A310" s="31" t="inlineStr">
        <is>
          <t>NORTHARC</t>
        </is>
      </c>
      <c r="B310" s="31" t="inlineStr">
        <is>
          <t>Northern ARC Capital Ltd</t>
        </is>
      </c>
      <c r="C310" s="31" t="inlineStr">
        <is>
          <t>financials</t>
        </is>
      </c>
      <c r="D310" s="31" t="inlineStr">
        <is>
          <t>finance &amp; investments</t>
        </is>
      </c>
      <c r="E310" s="31" t="inlineStr">
        <is>
          <t>midcap</t>
        </is>
      </c>
      <c r="F310" s="31" t="n">
        <v>5105.33</v>
      </c>
      <c r="G310" s="31" t="n">
        <v>313.8</v>
      </c>
      <c r="H310" s="31" t="n">
        <v>-0.66</v>
      </c>
      <c r="I310" s="31" t="n">
        <v>587471</v>
      </c>
      <c r="J310" s="31" t="n"/>
    </row>
    <row r="311">
      <c r="A311" s="31" t="inlineStr">
        <is>
          <t>CENTUM</t>
        </is>
      </c>
      <c r="B311" s="31" t="inlineStr">
        <is>
          <t>Centum Electronics Limited</t>
        </is>
      </c>
      <c r="C311" s="31" t="inlineStr">
        <is>
          <t>aerospace &amp; defence</t>
        </is>
      </c>
      <c r="D311" s="31" t="inlineStr">
        <is>
          <t>electronics - components</t>
        </is>
      </c>
      <c r="E311" s="31" t="inlineStr">
        <is>
          <t>midcap</t>
        </is>
      </c>
      <c r="F311" s="31" t="n">
        <v>7170.96</v>
      </c>
      <c r="G311" s="31" t="n">
        <v>4826.1</v>
      </c>
      <c r="H311" s="31" t="n">
        <v>-0.67</v>
      </c>
      <c r="I311" s="31" t="n">
        <v>196068</v>
      </c>
      <c r="J311" s="31" t="inlineStr">
        <is>
          <t>517544</t>
        </is>
      </c>
    </row>
    <row r="312">
      <c r="A312" s="31" t="inlineStr">
        <is>
          <t>EMIL</t>
        </is>
      </c>
      <c r="B312" s="31" t="inlineStr">
        <is>
          <t>Electronics Mart India Ltd</t>
        </is>
      </c>
      <c r="C312" s="31" t="inlineStr">
        <is>
          <t>consumer discretionary</t>
        </is>
      </c>
      <c r="D312" s="31" t="inlineStr">
        <is>
          <t>trading</t>
        </is>
      </c>
      <c r="E312" s="31" t="inlineStr">
        <is>
          <t>midcap</t>
        </is>
      </c>
      <c r="F312" s="31" t="n">
        <v>7410.65</v>
      </c>
      <c r="G312" s="31" t="n">
        <v>191.32</v>
      </c>
      <c r="H312" s="31" t="n">
        <v>-0.67</v>
      </c>
      <c r="I312" s="31" t="n">
        <v>3823676</v>
      </c>
      <c r="J312" s="31" t="inlineStr">
        <is>
          <t>543626</t>
        </is>
      </c>
    </row>
    <row r="313">
      <c r="A313" s="31" t="inlineStr">
        <is>
          <t>BLACKBUCK</t>
        </is>
      </c>
      <c r="B313" s="31" t="inlineStr">
        <is>
          <t>BlackBuck Ltd</t>
        </is>
      </c>
      <c r="C313" s="31" t="inlineStr">
        <is>
          <t>transportation</t>
        </is>
      </c>
      <c r="D313" s="31" t="inlineStr">
        <is>
          <t>miscellaneous</t>
        </is>
      </c>
      <c r="E313" s="31" t="inlineStr">
        <is>
          <t>midcap</t>
        </is>
      </c>
      <c r="F313" s="31" t="n">
        <v>11298.97</v>
      </c>
      <c r="G313" s="31" t="n">
        <v>616.05</v>
      </c>
      <c r="H313" s="31" t="n">
        <v>-0.6899999999999999</v>
      </c>
      <c r="I313" s="31" t="n">
        <v>548088</v>
      </c>
      <c r="J313" s="31" t="inlineStr">
        <is>
          <t>544288</t>
        </is>
      </c>
    </row>
    <row r="314">
      <c r="A314" s="31" t="inlineStr">
        <is>
          <t>SVLL</t>
        </is>
      </c>
      <c r="B314" s="31" t="inlineStr">
        <is>
          <t>Shree Vasu Logistics Ltd</t>
        </is>
      </c>
      <c r="C314" s="31" t="inlineStr">
        <is>
          <t>transportation</t>
        </is>
      </c>
      <c r="D314" s="31" t="inlineStr">
        <is>
          <t>miscellaneous</t>
        </is>
      </c>
      <c r="E314" s="31" t="inlineStr">
        <is>
          <t>smallcap</t>
        </is>
      </c>
      <c r="F314" s="31" t="n">
        <v>997.25</v>
      </c>
      <c r="G314" s="31" t="n">
        <v>861.3</v>
      </c>
      <c r="H314" s="31" t="n">
        <v>-0.73</v>
      </c>
      <c r="I314" s="31" t="n">
        <v>4492</v>
      </c>
      <c r="J314" s="31" t="inlineStr">
        <is>
          <t>535084</t>
        </is>
      </c>
    </row>
    <row r="315">
      <c r="A315" s="31" t="inlineStr">
        <is>
          <t>RAMRAT</t>
        </is>
      </c>
      <c r="B315" s="31" t="inlineStr">
        <is>
          <t>Ram Ratna Wires Ltd</t>
        </is>
      </c>
      <c r="C315" s="31" t="inlineStr">
        <is>
          <t>metals &amp; mining</t>
        </is>
      </c>
      <c r="D315" s="31" t="inlineStr">
        <is>
          <t>mining / minerals / metals</t>
        </is>
      </c>
      <c r="E315" s="31" t="inlineStr">
        <is>
          <t>midcap</t>
        </is>
      </c>
      <c r="F315" s="31" t="n">
        <v>5253.22</v>
      </c>
      <c r="G315" s="31" t="n">
        <v>558.65</v>
      </c>
      <c r="H315" s="31" t="n">
        <v>-0.73</v>
      </c>
      <c r="I315" s="31" t="n">
        <v>243033</v>
      </c>
      <c r="J315" s="31" t="inlineStr">
        <is>
          <t>522281</t>
        </is>
      </c>
    </row>
    <row r="316">
      <c r="A316" s="31" t="inlineStr">
        <is>
          <t>KRISHANA</t>
        </is>
      </c>
      <c r="B316" s="31" t="inlineStr">
        <is>
          <t>Krishana Phoschem Ltd</t>
        </is>
      </c>
      <c r="C316" s="31" t="inlineStr">
        <is>
          <t>chemicals</t>
        </is>
      </c>
      <c r="D316" s="31" t="inlineStr">
        <is>
          <t>fertilizers</t>
        </is>
      </c>
      <c r="E316" s="31" t="inlineStr">
        <is>
          <t>smallcap</t>
        </is>
      </c>
      <c r="F316" s="31" t="n">
        <v>1171.94</v>
      </c>
      <c r="G316" s="31" t="n">
        <v>188.15</v>
      </c>
      <c r="H316" s="31" t="n">
        <v>-0.74</v>
      </c>
      <c r="I316" s="31" t="n">
        <v>526685</v>
      </c>
      <c r="J316" s="31" t="inlineStr">
        <is>
          <t>538405</t>
        </is>
      </c>
    </row>
    <row r="317">
      <c r="A317" s="31" t="inlineStr">
        <is>
          <t>RSWM</t>
        </is>
      </c>
      <c r="B317" s="31" t="inlineStr">
        <is>
          <t>Rswm Limited</t>
        </is>
      </c>
      <c r="C317" s="31" t="inlineStr">
        <is>
          <t>textiles</t>
        </is>
      </c>
      <c r="D317" s="31" t="inlineStr">
        <is>
          <t>textiles - cotton/blended</t>
        </is>
      </c>
      <c r="E317" s="31" t="inlineStr">
        <is>
          <t>smallcap</t>
        </is>
      </c>
      <c r="F317" s="31" t="n">
        <v>1069.26</v>
      </c>
      <c r="G317" s="31" t="n">
        <v>225.28</v>
      </c>
      <c r="H317" s="31" t="n">
        <v>-0.76</v>
      </c>
      <c r="I317" s="31" t="n">
        <v>71503</v>
      </c>
      <c r="J317" s="31" t="inlineStr">
        <is>
          <t>500350</t>
        </is>
      </c>
    </row>
    <row r="318">
      <c r="A318" s="31" t="inlineStr">
        <is>
          <t>ORIENTCER</t>
        </is>
      </c>
      <c r="B318" s="31" t="inlineStr">
        <is>
          <t>Orient Ceratech Ltd</t>
        </is>
      </c>
      <c r="C318" s="31" t="inlineStr">
        <is>
          <t>building materials</t>
        </is>
      </c>
      <c r="D318" s="31" t="inlineStr">
        <is>
          <t>refractories / intermediates</t>
        </is>
      </c>
      <c r="E318" s="31" t="inlineStr">
        <is>
          <t>smallcap</t>
        </is>
      </c>
      <c r="F318" s="31" t="n">
        <v>575.23</v>
      </c>
      <c r="G318" s="31" t="n">
        <v>47.7</v>
      </c>
      <c r="H318" s="31" t="n">
        <v>-0.79</v>
      </c>
      <c r="I318" s="31" t="n">
        <v>42804</v>
      </c>
      <c r="J318" s="31" t="inlineStr">
        <is>
          <t>504879</t>
        </is>
      </c>
    </row>
    <row r="319">
      <c r="A319" s="31" t="inlineStr">
        <is>
          <t>GANDHITUBE</t>
        </is>
      </c>
      <c r="B319" s="31" t="inlineStr">
        <is>
          <t>Gandhi Special Tubes Limited</t>
        </is>
      </c>
      <c r="C319" s="31" t="inlineStr">
        <is>
          <t>metals &amp; mining</t>
        </is>
      </c>
      <c r="D319" s="31" t="inlineStr">
        <is>
          <t>steel - medium / small</t>
        </is>
      </c>
      <c r="E319" s="31" t="inlineStr">
        <is>
          <t>smallcap</t>
        </is>
      </c>
      <c r="F319" s="31" t="n">
        <v>1219.09</v>
      </c>
      <c r="G319" s="31" t="n">
        <v>995.05</v>
      </c>
      <c r="H319" s="31" t="n">
        <v>-0.8100000000000001</v>
      </c>
      <c r="I319" s="31" t="n">
        <v>27224</v>
      </c>
      <c r="J319" s="31" t="inlineStr">
        <is>
          <t>513108</t>
        </is>
      </c>
    </row>
    <row r="320">
      <c r="A320" s="31" t="inlineStr">
        <is>
          <t>GRAPHITE</t>
        </is>
      </c>
      <c r="B320" s="31" t="inlineStr">
        <is>
          <t>Graphite India Limited</t>
        </is>
      </c>
      <c r="C320" s="31" t="inlineStr">
        <is>
          <t>industrials</t>
        </is>
      </c>
      <c r="D320" s="31" t="inlineStr">
        <is>
          <t>electrodes - graphites</t>
        </is>
      </c>
      <c r="E320" s="31" t="inlineStr">
        <is>
          <t>midcap</t>
        </is>
      </c>
      <c r="F320" s="31" t="n">
        <v>16172.21</v>
      </c>
      <c r="G320" s="31" t="n">
        <v>821</v>
      </c>
      <c r="H320" s="31" t="n">
        <v>-0.82</v>
      </c>
      <c r="I320" s="31" t="n">
        <v>2358335</v>
      </c>
      <c r="J320" s="31" t="inlineStr">
        <is>
          <t>509488</t>
        </is>
      </c>
    </row>
    <row r="321">
      <c r="A321" s="31" t="inlineStr">
        <is>
          <t>SHANTIGEAR</t>
        </is>
      </c>
      <c r="B321" s="31" t="inlineStr">
        <is>
          <t>Shanthi Gears Limited</t>
        </is>
      </c>
      <c r="C321" s="31" t="inlineStr">
        <is>
          <t>industrials</t>
        </is>
      </c>
      <c r="D321" s="31" t="inlineStr">
        <is>
          <t>engineering</t>
        </is>
      </c>
      <c r="E321" s="31" t="inlineStr">
        <is>
          <t>midcap</t>
        </is>
      </c>
      <c r="F321" s="31" t="n">
        <v>5168.35</v>
      </c>
      <c r="G321" s="31" t="n">
        <v>668.05</v>
      </c>
      <c r="H321" s="31" t="n">
        <v>-0.84</v>
      </c>
      <c r="I321" s="31" t="n">
        <v>42582</v>
      </c>
      <c r="J321" s="31" t="inlineStr">
        <is>
          <t>522034</t>
        </is>
      </c>
    </row>
    <row r="322">
      <c r="A322" s="31" t="inlineStr">
        <is>
          <t>URBANCO</t>
        </is>
      </c>
      <c r="B322" s="31" t="inlineStr">
        <is>
          <t>Urban Company Ltd</t>
        </is>
      </c>
      <c r="C322" s="31" t="inlineStr">
        <is>
          <t>i.t</t>
        </is>
      </c>
      <c r="D322" s="31" t="inlineStr">
        <is>
          <t>miscellaneous</t>
        </is>
      </c>
      <c r="E322" s="31" t="inlineStr">
        <is>
          <t>largecap</t>
        </is>
      </c>
      <c r="F322" s="31" t="n">
        <v>26866.33</v>
      </c>
      <c r="G322" s="31" t="n">
        <v>172.73</v>
      </c>
      <c r="H322" s="31" t="n">
        <v>-0.85</v>
      </c>
      <c r="I322" s="31" t="n">
        <v>5282197</v>
      </c>
      <c r="J322" s="31" t="inlineStr">
        <is>
          <t>544515</t>
        </is>
      </c>
    </row>
    <row r="323">
      <c r="A323" s="31" t="inlineStr">
        <is>
          <t>AYMSYNTEX</t>
        </is>
      </c>
      <c r="B323" s="31" t="inlineStr">
        <is>
          <t>Aym Syntex Limited</t>
        </is>
      </c>
      <c r="C323" s="31" t="inlineStr">
        <is>
          <t>textiles</t>
        </is>
      </c>
      <c r="D323" s="31" t="inlineStr">
        <is>
          <t>textiles - processing</t>
        </is>
      </c>
      <c r="E323" s="31" t="inlineStr">
        <is>
          <t>smallcap</t>
        </is>
      </c>
      <c r="F323" s="31" t="n">
        <v>1735.01</v>
      </c>
      <c r="G323" s="31" t="n">
        <v>292.8</v>
      </c>
      <c r="H323" s="31" t="n">
        <v>-0.88</v>
      </c>
      <c r="I323" s="31" t="n">
        <v>65117</v>
      </c>
      <c r="J323" s="31" t="inlineStr">
        <is>
          <t>508933</t>
        </is>
      </c>
    </row>
    <row r="324">
      <c r="A324" s="31" t="inlineStr">
        <is>
          <t>SBC</t>
        </is>
      </c>
      <c r="B324" s="31" t="inlineStr">
        <is>
          <t>SBC Exports Ltd</t>
        </is>
      </c>
      <c r="C324" s="31" t="inlineStr">
        <is>
          <t>textiles</t>
        </is>
      </c>
      <c r="D324" s="31" t="inlineStr">
        <is>
          <t>textiles - products</t>
        </is>
      </c>
      <c r="E324" s="31" t="inlineStr">
        <is>
          <t>smallcap</t>
        </is>
      </c>
      <c r="F324" s="31" t="n">
        <v>2344.28</v>
      </c>
      <c r="G324" s="31" t="n">
        <v>48.78</v>
      </c>
      <c r="H324" s="31" t="n">
        <v>-0.91</v>
      </c>
      <c r="I324" s="31" t="n">
        <v>9405721</v>
      </c>
      <c r="J324" s="31" t="inlineStr">
        <is>
          <t>542725</t>
        </is>
      </c>
    </row>
    <row r="325">
      <c r="A325" s="31" t="inlineStr">
        <is>
          <t>DPABHUSHAN</t>
        </is>
      </c>
      <c r="B325" s="31" t="inlineStr">
        <is>
          <t>D.P. Abhushan Ltd</t>
        </is>
      </c>
      <c r="C325" s="31" t="inlineStr">
        <is>
          <t>consumer discretionary</t>
        </is>
      </c>
      <c r="D325" s="31" t="inlineStr">
        <is>
          <t>diamond cutting / jewellery</t>
        </is>
      </c>
      <c r="E325" s="31" t="inlineStr">
        <is>
          <t>smallcap</t>
        </is>
      </c>
      <c r="F325" s="31" t="n">
        <v>3354.33</v>
      </c>
      <c r="G325" s="31" t="n">
        <v>1455.9</v>
      </c>
      <c r="H325" s="31" t="n">
        <v>-0.92</v>
      </c>
      <c r="I325" s="31" t="n">
        <v>23394</v>
      </c>
      <c r="J325" s="31" t="inlineStr">
        <is>
          <t>535026</t>
        </is>
      </c>
    </row>
    <row r="326">
      <c r="A326" s="31" t="inlineStr">
        <is>
          <t>AVALON</t>
        </is>
      </c>
      <c r="B326" s="31" t="inlineStr">
        <is>
          <t>Avalon Technologies Ltd</t>
        </is>
      </c>
      <c r="C326" s="31" t="inlineStr">
        <is>
          <t>consumer discretionary</t>
        </is>
      </c>
      <c r="D326" s="31" t="inlineStr">
        <is>
          <t>electronics - components</t>
        </is>
      </c>
      <c r="E326" s="31" t="inlineStr">
        <is>
          <t>midcap</t>
        </is>
      </c>
      <c r="F326" s="31" t="n">
        <v>16492.48</v>
      </c>
      <c r="G326" s="31" t="n">
        <v>2445.6</v>
      </c>
      <c r="H326" s="31" t="n">
        <v>-0.93</v>
      </c>
      <c r="I326" s="31" t="n">
        <v>165657</v>
      </c>
      <c r="J326" s="31" t="inlineStr">
        <is>
          <t>543896</t>
        </is>
      </c>
    </row>
    <row r="327">
      <c r="A327" s="31" t="inlineStr">
        <is>
          <t>UNIMECH</t>
        </is>
      </c>
      <c r="B327" s="31" t="inlineStr">
        <is>
          <t>Unimech Aerospace and Manufacturing Ltd</t>
        </is>
      </c>
      <c r="C327" s="31" t="inlineStr">
        <is>
          <t>aerospace &amp; defence</t>
        </is>
      </c>
      <c r="D327" s="31" t="inlineStr">
        <is>
          <t>engineering</t>
        </is>
      </c>
      <c r="E327" s="31" t="inlineStr">
        <is>
          <t>midcap</t>
        </is>
      </c>
      <c r="F327" s="31" t="n">
        <v>8810.959999999999</v>
      </c>
      <c r="G327" s="31" t="n">
        <v>1716.1</v>
      </c>
      <c r="H327" s="31" t="n">
        <v>-0.95</v>
      </c>
      <c r="I327" s="31" t="n">
        <v>221674</v>
      </c>
      <c r="J327" s="31" t="inlineStr">
        <is>
          <t>544322</t>
        </is>
      </c>
    </row>
    <row r="328">
      <c r="A328" s="31" t="inlineStr">
        <is>
          <t>IL&amp;FSENGG</t>
        </is>
      </c>
      <c r="B328" s="31" t="inlineStr">
        <is>
          <t>Il&amp;fs Engineering And Construction Company Limited</t>
        </is>
      </c>
      <c r="C328" s="31" t="inlineStr">
        <is>
          <t>realty</t>
        </is>
      </c>
      <c r="D328" s="31" t="inlineStr">
        <is>
          <t>construction</t>
        </is>
      </c>
      <c r="E328" s="31" t="inlineStr">
        <is>
          <t>smallcap</t>
        </is>
      </c>
      <c r="F328" s="31" t="n">
        <v>556.08</v>
      </c>
      <c r="G328" s="31" t="n">
        <v>42</v>
      </c>
      <c r="H328" s="31" t="n">
        <v>-0.97</v>
      </c>
      <c r="I328" s="31" t="n">
        <v>19869</v>
      </c>
      <c r="J328" s="31" t="inlineStr">
        <is>
          <t>532907</t>
        </is>
      </c>
    </row>
    <row r="329">
      <c r="A329" s="31" t="inlineStr">
        <is>
          <t>FCL</t>
        </is>
      </c>
      <c r="B329" s="31" t="inlineStr">
        <is>
          <t>Fineotex Chemical Limited</t>
        </is>
      </c>
      <c r="C329" s="31" t="inlineStr">
        <is>
          <t>chemicals</t>
        </is>
      </c>
      <c r="D329" s="31" t="inlineStr">
        <is>
          <t>chemicals</t>
        </is>
      </c>
      <c r="E329" s="31" t="inlineStr">
        <is>
          <t>midcap</t>
        </is>
      </c>
      <c r="F329" s="31" t="n">
        <v>6683.07</v>
      </c>
      <c r="G329" s="31" t="n">
        <v>56.81</v>
      </c>
      <c r="H329" s="31" t="n">
        <v>-1.01</v>
      </c>
      <c r="I329" s="31" t="n">
        <v>12216676</v>
      </c>
      <c r="J329" s="31" t="inlineStr">
        <is>
          <t>533333</t>
        </is>
      </c>
    </row>
    <row r="330">
      <c r="A330" s="31" t="inlineStr">
        <is>
          <t>AGI</t>
        </is>
      </c>
      <c r="B330" s="31" t="inlineStr">
        <is>
          <t>AGI Greenpac Ltd</t>
        </is>
      </c>
      <c r="C330" s="31" t="inlineStr">
        <is>
          <t>industrials</t>
        </is>
      </c>
      <c r="D330" s="31" t="inlineStr">
        <is>
          <t>packaging</t>
        </is>
      </c>
      <c r="E330" s="31" t="inlineStr">
        <is>
          <t>midcap</t>
        </is>
      </c>
      <c r="F330" s="31" t="n">
        <v>5471.46</v>
      </c>
      <c r="G330" s="31" t="n">
        <v>837.2</v>
      </c>
      <c r="H330" s="31" t="n">
        <v>-1.01</v>
      </c>
      <c r="I330" s="31" t="n">
        <v>188739</v>
      </c>
      <c r="J330" s="31" t="inlineStr">
        <is>
          <t>500187</t>
        </is>
      </c>
    </row>
    <row r="331">
      <c r="A331" s="31" t="inlineStr">
        <is>
          <t>MATRIMONY</t>
        </is>
      </c>
      <c r="B331" s="31" t="inlineStr">
        <is>
          <t>Matrimony.com Ltd</t>
        </is>
      </c>
      <c r="C331" s="31" t="inlineStr">
        <is>
          <t>miscellaneous</t>
        </is>
      </c>
      <c r="D331" s="31" t="inlineStr">
        <is>
          <t>miscellaneous</t>
        </is>
      </c>
      <c r="E331" s="31" t="inlineStr">
        <is>
          <t>smallcap</t>
        </is>
      </c>
      <c r="F331" s="31" t="n">
        <v>1138.59</v>
      </c>
      <c r="G331" s="31" t="n">
        <v>544.95</v>
      </c>
      <c r="H331" s="31" t="n">
        <v>-1.05</v>
      </c>
      <c r="I331" s="31" t="n">
        <v>15296</v>
      </c>
      <c r="J331" s="31" t="inlineStr">
        <is>
          <t>540704</t>
        </is>
      </c>
    </row>
    <row r="332">
      <c r="A332" s="31" t="inlineStr">
        <is>
          <t>GUFICBIO</t>
        </is>
      </c>
      <c r="B332" s="31" t="inlineStr">
        <is>
          <t>Gufic Biosciences Limited</t>
        </is>
      </c>
      <c r="C332" s="31" t="inlineStr">
        <is>
          <t>healthcare</t>
        </is>
      </c>
      <c r="D332" s="31" t="inlineStr">
        <is>
          <t>pharmaceuticals - indian - bulk drugs &amp; formln</t>
        </is>
      </c>
      <c r="E332" s="31" t="inlineStr">
        <is>
          <t>smallcap</t>
        </is>
      </c>
      <c r="F332" s="31" t="n">
        <v>4433.99</v>
      </c>
      <c r="G332" s="31" t="n">
        <v>437.45</v>
      </c>
      <c r="H332" s="31" t="n">
        <v>-1.06</v>
      </c>
      <c r="I332" s="31" t="n">
        <v>87869</v>
      </c>
      <c r="J332" s="31" t="inlineStr">
        <is>
          <t>509079</t>
        </is>
      </c>
    </row>
    <row r="333">
      <c r="A333" s="31" t="inlineStr">
        <is>
          <t>JSWINFRA</t>
        </is>
      </c>
      <c r="B333" s="31" t="inlineStr">
        <is>
          <t>JSW Infrastructure Ltd</t>
        </is>
      </c>
      <c r="C333" s="31" t="inlineStr">
        <is>
          <t>transportation</t>
        </is>
      </c>
      <c r="D333" s="31" t="inlineStr">
        <is>
          <t>miscellaneous</t>
        </is>
      </c>
      <c r="E333" s="31" t="inlineStr">
        <is>
          <t>largecap</t>
        </is>
      </c>
      <c r="F333" s="31" t="n">
        <v>85650.86</v>
      </c>
      <c r="G333" s="31" t="n">
        <v>363.6</v>
      </c>
      <c r="H333" s="31" t="n">
        <v>-1.09</v>
      </c>
      <c r="I333" s="31" t="n">
        <v>3338113</v>
      </c>
      <c r="J333" s="31" t="inlineStr">
        <is>
          <t>543994</t>
        </is>
      </c>
    </row>
    <row r="334">
      <c r="A334" s="31" t="inlineStr">
        <is>
          <t>3IINFOLTD</t>
        </is>
      </c>
      <c r="B334" s="31" t="inlineStr">
        <is>
          <t>3i Infotech Ltd</t>
        </is>
      </c>
      <c r="C334" s="31" t="inlineStr">
        <is>
          <t>i.t</t>
        </is>
      </c>
      <c r="D334" s="31" t="inlineStr">
        <is>
          <t>computers - software - medium / small</t>
        </is>
      </c>
      <c r="E334" s="31" t="inlineStr">
        <is>
          <t>smallcap</t>
        </is>
      </c>
      <c r="F334" s="31" t="n">
        <v>539.87</v>
      </c>
      <c r="G334" s="31" t="n">
        <v>25.74</v>
      </c>
      <c r="H334" s="31" t="n">
        <v>-1.11</v>
      </c>
      <c r="I334" s="31" t="n">
        <v>181329</v>
      </c>
      <c r="J334" s="31" t="inlineStr">
        <is>
          <t>532628</t>
        </is>
      </c>
    </row>
    <row r="335">
      <c r="A335" s="31" t="inlineStr">
        <is>
          <t>SIGMAADV</t>
        </is>
      </c>
      <c r="B335" s="31" t="inlineStr">
        <is>
          <t>Sigma Advanced System Ltd</t>
        </is>
      </c>
      <c r="C335" s="31" t="inlineStr">
        <is>
          <t>aerospace &amp; defence</t>
        </is>
      </c>
      <c r="D335" s="31" t="inlineStr">
        <is>
          <t>electronics - components</t>
        </is>
      </c>
      <c r="E335" s="31" t="inlineStr">
        <is>
          <t>midcap</t>
        </is>
      </c>
      <c r="F335" s="31" t="n">
        <v>17964.24</v>
      </c>
      <c r="G335" s="31" t="n">
        <v>936.7</v>
      </c>
      <c r="H335" s="31" t="n">
        <v>-1.19</v>
      </c>
      <c r="I335" s="31" t="n">
        <v>252649</v>
      </c>
      <c r="J335" s="31" t="inlineStr">
        <is>
          <t>532408</t>
        </is>
      </c>
    </row>
    <row r="336">
      <c r="A336" s="31" t="inlineStr">
        <is>
          <t>JUBLPHARMA</t>
        </is>
      </c>
      <c r="B336" s="31" t="inlineStr">
        <is>
          <t>Jubilant Pharmova Ltd</t>
        </is>
      </c>
      <c r="C336" s="31" t="inlineStr">
        <is>
          <t>healthcare</t>
        </is>
      </c>
      <c r="D336" s="31" t="inlineStr">
        <is>
          <t>pharmaceuticals - indian - bulk drugs</t>
        </is>
      </c>
      <c r="E336" s="31" t="inlineStr">
        <is>
          <t>midcap</t>
        </is>
      </c>
      <c r="F336" s="31" t="n">
        <v>17056.62</v>
      </c>
      <c r="G336" s="31" t="n">
        <v>1058</v>
      </c>
      <c r="H336" s="31" t="n">
        <v>-1.2</v>
      </c>
      <c r="I336" s="31" t="n">
        <v>135144</v>
      </c>
      <c r="J336" s="31" t="inlineStr">
        <is>
          <t>530019</t>
        </is>
      </c>
    </row>
    <row r="337">
      <c r="A337" s="31" t="inlineStr">
        <is>
          <t>CASTROLIND</t>
        </is>
      </c>
      <c r="B337" s="31" t="inlineStr">
        <is>
          <t>Castrol India Limited</t>
        </is>
      </c>
      <c r="C337" s="31" t="inlineStr">
        <is>
          <t>chemicals</t>
        </is>
      </c>
      <c r="D337" s="31" t="inlineStr">
        <is>
          <t>chemicals</t>
        </is>
      </c>
      <c r="E337" s="31" t="inlineStr">
        <is>
          <t>midcap</t>
        </is>
      </c>
      <c r="F337" s="31" t="n">
        <v>19348.22</v>
      </c>
      <c r="G337" s="31" t="n">
        <v>193.23</v>
      </c>
      <c r="H337" s="31" t="n">
        <v>-1.22</v>
      </c>
      <c r="I337" s="31" t="n">
        <v>3637883</v>
      </c>
      <c r="J337" s="31" t="inlineStr">
        <is>
          <t>500870</t>
        </is>
      </c>
    </row>
    <row r="338">
      <c r="A338" s="31" t="inlineStr">
        <is>
          <t>WELENT</t>
        </is>
      </c>
      <c r="B338" s="31" t="inlineStr">
        <is>
          <t>Welspun Enterprises Limited</t>
        </is>
      </c>
      <c r="C338" s="31" t="inlineStr">
        <is>
          <t>realty</t>
        </is>
      </c>
      <c r="D338" s="31" t="inlineStr">
        <is>
          <t>construction</t>
        </is>
      </c>
      <c r="E338" s="31" t="inlineStr">
        <is>
          <t>midcap</t>
        </is>
      </c>
      <c r="F338" s="31" t="n">
        <v>10848.18</v>
      </c>
      <c r="G338" s="31" t="n">
        <v>774</v>
      </c>
      <c r="H338" s="31" t="n">
        <v>-1.24</v>
      </c>
      <c r="I338" s="31" t="n">
        <v>310123</v>
      </c>
      <c r="J338" s="31" t="inlineStr">
        <is>
          <t>532553</t>
        </is>
      </c>
    </row>
    <row r="339">
      <c r="A339" s="31" t="inlineStr">
        <is>
          <t>SOFTTECH</t>
        </is>
      </c>
      <c r="B339" s="31" t="inlineStr">
        <is>
          <t>Softtech Engineers Ltd</t>
        </is>
      </c>
      <c r="C339" s="31" t="inlineStr">
        <is>
          <t>i.t</t>
        </is>
      </c>
      <c r="D339" s="31" t="inlineStr">
        <is>
          <t>computers - software - medium / small</t>
        </is>
      </c>
      <c r="E339" s="31" t="inlineStr">
        <is>
          <t>smallcap</t>
        </is>
      </c>
      <c r="F339" s="31" t="n">
        <v>689.6799999999999</v>
      </c>
      <c r="G339" s="31" t="n">
        <v>491.85</v>
      </c>
      <c r="H339" s="31" t="n">
        <v>-1.28</v>
      </c>
      <c r="I339" s="31" t="n">
        <v>3096</v>
      </c>
      <c r="J339" s="31" t="inlineStr">
        <is>
          <t>535078</t>
        </is>
      </c>
    </row>
    <row r="340">
      <c r="A340" s="31" t="inlineStr">
        <is>
          <t>SYRMA</t>
        </is>
      </c>
      <c r="B340" s="31" t="inlineStr">
        <is>
          <t>Syrma SGS Technology Ltd</t>
        </is>
      </c>
      <c r="C340" s="31" t="inlineStr">
        <is>
          <t>consumer discretionary</t>
        </is>
      </c>
      <c r="D340" s="31" t="inlineStr">
        <is>
          <t>electronics - components</t>
        </is>
      </c>
      <c r="E340" s="31" t="inlineStr">
        <is>
          <t>largecap</t>
        </is>
      </c>
      <c r="F340" s="31" t="n">
        <v>33587.21</v>
      </c>
      <c r="G340" s="31" t="n">
        <v>1719.4</v>
      </c>
      <c r="H340" s="31" t="n">
        <v>-1.29</v>
      </c>
      <c r="I340" s="31" t="n">
        <v>1400218</v>
      </c>
      <c r="J340" s="31" t="inlineStr">
        <is>
          <t>543573</t>
        </is>
      </c>
    </row>
    <row r="341">
      <c r="A341" s="31" t="inlineStr">
        <is>
          <t>PVRINOX</t>
        </is>
      </c>
      <c r="B341" s="31" t="inlineStr">
        <is>
          <t>PVR Inox Ltd</t>
        </is>
      </c>
      <c r="C341" s="31" t="inlineStr">
        <is>
          <t>media</t>
        </is>
      </c>
      <c r="D341" s="31" t="inlineStr">
        <is>
          <t>entertainment / electronic media software</t>
        </is>
      </c>
      <c r="E341" s="31" t="inlineStr">
        <is>
          <t>midcap</t>
        </is>
      </c>
      <c r="F341" s="31" t="n">
        <v>13107.73</v>
      </c>
      <c r="G341" s="31" t="n">
        <v>1317.5</v>
      </c>
      <c r="H341" s="31" t="n">
        <v>-1.3</v>
      </c>
      <c r="I341" s="31" t="n">
        <v>481134</v>
      </c>
      <c r="J341" s="31" t="inlineStr">
        <is>
          <t>532689</t>
        </is>
      </c>
    </row>
    <row r="342">
      <c r="A342" s="31" t="inlineStr">
        <is>
          <t>IBULLSLTD</t>
        </is>
      </c>
      <c r="B342" s="31" t="inlineStr">
        <is>
          <t>Indiabulls Limited</t>
        </is>
      </c>
      <c r="C342" s="31" t="inlineStr">
        <is>
          <t>miscellaneous</t>
        </is>
      </c>
      <c r="D342" s="31" t="inlineStr">
        <is>
          <t>diversified - medium / small</t>
        </is>
      </c>
      <c r="E342" s="31" t="inlineStr">
        <is>
          <t>midcap</t>
        </is>
      </c>
      <c r="F342" s="31" t="n">
        <v>6874.48</v>
      </c>
      <c r="G342" s="31" t="n">
        <v>29.12</v>
      </c>
      <c r="H342" s="31" t="n">
        <v>-1.32</v>
      </c>
      <c r="I342" s="31" t="n">
        <v>6131763</v>
      </c>
      <c r="J342" s="31" t="inlineStr">
        <is>
          <t>533520</t>
        </is>
      </c>
    </row>
    <row r="343">
      <c r="A343" s="31" t="inlineStr">
        <is>
          <t>ACMESOLAR</t>
        </is>
      </c>
      <c r="B343" s="31" t="inlineStr">
        <is>
          <t>ACME Solar Holdings Ltd</t>
        </is>
      </c>
      <c r="C343" s="31" t="inlineStr">
        <is>
          <t>realty</t>
        </is>
      </c>
      <c r="D343" s="31" t="inlineStr">
        <is>
          <t>engineering - turnkey services</t>
        </is>
      </c>
      <c r="E343" s="31" t="inlineStr">
        <is>
          <t>largecap</t>
        </is>
      </c>
      <c r="F343" s="31" t="n">
        <v>32420.79</v>
      </c>
      <c r="G343" s="31" t="n">
        <v>452.3</v>
      </c>
      <c r="H343" s="31" t="n">
        <v>-1.38</v>
      </c>
      <c r="I343" s="31" t="n">
        <v>2719156</v>
      </c>
      <c r="J343" s="31" t="inlineStr">
        <is>
          <t>544283</t>
        </is>
      </c>
    </row>
    <row r="344">
      <c r="A344" s="31" t="inlineStr">
        <is>
          <t>AEGISLOG</t>
        </is>
      </c>
      <c r="B344" s="31" t="inlineStr">
        <is>
          <t>Aegis Logistics Ltd</t>
        </is>
      </c>
      <c r="C344" s="31" t="inlineStr">
        <is>
          <t>services</t>
        </is>
      </c>
      <c r="D344" s="31" t="inlineStr">
        <is>
          <t>trading</t>
        </is>
      </c>
      <c r="E344" s="31" t="inlineStr">
        <is>
          <t>largecap</t>
        </is>
      </c>
      <c r="F344" s="31" t="n">
        <v>49999.95</v>
      </c>
      <c r="G344" s="31" t="n">
        <v>1404.5</v>
      </c>
      <c r="H344" s="31" t="n">
        <v>-1.4</v>
      </c>
      <c r="I344" s="31" t="n">
        <v>447832</v>
      </c>
      <c r="J344" s="31" t="inlineStr">
        <is>
          <t>500003</t>
        </is>
      </c>
    </row>
    <row r="345">
      <c r="A345" s="31" t="inlineStr">
        <is>
          <t>AVTNPL</t>
        </is>
      </c>
      <c r="B345" s="31" t="inlineStr">
        <is>
          <t>Avt Natural Products Limited</t>
        </is>
      </c>
      <c r="C345" s="31" t="inlineStr">
        <is>
          <t>fmcg</t>
        </is>
      </c>
      <c r="D345" s="31" t="inlineStr">
        <is>
          <t>solvent extraction</t>
        </is>
      </c>
      <c r="E345" s="31" t="inlineStr">
        <is>
          <t>smallcap</t>
        </is>
      </c>
      <c r="F345" s="31" t="n">
        <v>1496.34</v>
      </c>
      <c r="G345" s="31" t="n">
        <v>96.88</v>
      </c>
      <c r="H345" s="31" t="n">
        <v>-1.4</v>
      </c>
      <c r="I345" s="31" t="n">
        <v>1064371</v>
      </c>
      <c r="J345" s="31" t="inlineStr">
        <is>
          <t>519105</t>
        </is>
      </c>
    </row>
    <row r="346">
      <c r="A346" s="31" t="inlineStr">
        <is>
          <t>SHARDAMOTR</t>
        </is>
      </c>
      <c r="B346" s="31" t="inlineStr">
        <is>
          <t>Sharda Motor Industries Limited</t>
        </is>
      </c>
      <c r="C346" s="31" t="inlineStr">
        <is>
          <t>auto</t>
        </is>
      </c>
      <c r="D346" s="31" t="inlineStr">
        <is>
          <t>auto ancillaries</t>
        </is>
      </c>
      <c r="E346" s="31" t="inlineStr">
        <is>
          <t>midcap</t>
        </is>
      </c>
      <c r="F346" s="31" t="n">
        <v>5658.96</v>
      </c>
      <c r="G346" s="31" t="n">
        <v>971.85</v>
      </c>
      <c r="H346" s="31" t="n">
        <v>-1.41</v>
      </c>
      <c r="I346" s="31" t="n">
        <v>161127</v>
      </c>
      <c r="J346" s="31" t="inlineStr">
        <is>
          <t>535602</t>
        </is>
      </c>
    </row>
    <row r="347">
      <c r="A347" s="31" t="inlineStr">
        <is>
          <t>ARROWGREEN</t>
        </is>
      </c>
      <c r="B347" s="31" t="inlineStr">
        <is>
          <t>Arrow Greentech Limited</t>
        </is>
      </c>
      <c r="C347" s="31" t="inlineStr">
        <is>
          <t>plastic products</t>
        </is>
      </c>
      <c r="D347" s="31" t="inlineStr">
        <is>
          <t>plastics products</t>
        </is>
      </c>
      <c r="E347" s="31" t="inlineStr">
        <is>
          <t>smallcap</t>
        </is>
      </c>
      <c r="F347" s="31" t="n">
        <v>1377.6</v>
      </c>
      <c r="G347" s="31" t="n">
        <v>900</v>
      </c>
      <c r="H347" s="31" t="n">
        <v>-1.43</v>
      </c>
      <c r="I347" s="31" t="n">
        <v>89479</v>
      </c>
      <c r="J347" s="31" t="inlineStr">
        <is>
          <t>516064</t>
        </is>
      </c>
    </row>
    <row r="348">
      <c r="A348" s="31" t="inlineStr">
        <is>
          <t>BIL</t>
        </is>
      </c>
      <c r="B348" s="31" t="inlineStr">
        <is>
          <t>Bhartiya International Limited</t>
        </is>
      </c>
      <c r="C348" s="31" t="inlineStr">
        <is>
          <t>consumer discretionary</t>
        </is>
      </c>
      <c r="D348" s="31" t="inlineStr">
        <is>
          <t>leather / leather products</t>
        </is>
      </c>
      <c r="E348" s="31" t="inlineStr">
        <is>
          <t>smallcap</t>
        </is>
      </c>
      <c r="F348" s="31" t="n">
        <v>1408.76</v>
      </c>
      <c r="G348" s="31" t="n">
        <v>1034.95</v>
      </c>
      <c r="H348" s="31" t="n">
        <v>-1.48</v>
      </c>
      <c r="I348" s="31" t="n">
        <v>4569</v>
      </c>
      <c r="J348" s="31" t="inlineStr">
        <is>
          <t>526666</t>
        </is>
      </c>
    </row>
    <row r="349">
      <c r="A349" s="31" t="inlineStr">
        <is>
          <t>IPCALAB</t>
        </is>
      </c>
      <c r="B349" s="31" t="inlineStr">
        <is>
          <t>Ipca Laboratories Limited</t>
        </is>
      </c>
      <c r="C349" s="31" t="inlineStr">
        <is>
          <t>healthcare</t>
        </is>
      </c>
      <c r="D349" s="31" t="inlineStr">
        <is>
          <t>pharmaceuticals - indian - bulk drugs &amp; formln</t>
        </is>
      </c>
      <c r="E349" s="31" t="inlineStr">
        <is>
          <t>largecap</t>
        </is>
      </c>
      <c r="F349" s="31" t="n">
        <v>50548.03</v>
      </c>
      <c r="G349" s="31" t="n">
        <v>1962.6</v>
      </c>
      <c r="H349" s="31" t="n">
        <v>-1.5</v>
      </c>
      <c r="I349" s="31" t="n">
        <v>159445</v>
      </c>
      <c r="J349" s="31" t="inlineStr">
        <is>
          <t>524494</t>
        </is>
      </c>
    </row>
    <row r="350">
      <c r="A350" s="31" t="inlineStr">
        <is>
          <t>SHAREINDIA</t>
        </is>
      </c>
      <c r="B350" s="31" t="inlineStr">
        <is>
          <t>Share India Securities Ltd</t>
        </is>
      </c>
      <c r="C350" s="31" t="inlineStr">
        <is>
          <t>financials</t>
        </is>
      </c>
      <c r="D350" s="31" t="inlineStr">
        <is>
          <t>finance &amp; investments</t>
        </is>
      </c>
      <c r="E350" s="31" t="inlineStr">
        <is>
          <t>smallcap</t>
        </is>
      </c>
      <c r="F350" s="31" t="n">
        <v>4886.81</v>
      </c>
      <c r="G350" s="31" t="n">
        <v>219.98</v>
      </c>
      <c r="H350" s="31" t="n">
        <v>-1.5</v>
      </c>
      <c r="I350" s="31" t="n">
        <v>1845463</v>
      </c>
      <c r="J350" s="31" t="inlineStr">
        <is>
          <t>540725</t>
        </is>
      </c>
    </row>
    <row r="351">
      <c r="A351" s="31" t="inlineStr">
        <is>
          <t>BLSE</t>
        </is>
      </c>
      <c r="B351" s="31" t="inlineStr">
        <is>
          <t>BLS E-Services Ltd</t>
        </is>
      </c>
      <c r="C351" s="31" t="inlineStr">
        <is>
          <t>i.t</t>
        </is>
      </c>
      <c r="D351" s="31" t="inlineStr">
        <is>
          <t>computers - software - medium / small</t>
        </is>
      </c>
      <c r="E351" s="31" t="inlineStr">
        <is>
          <t>smallcap</t>
        </is>
      </c>
      <c r="F351" s="31" t="n">
        <v>2981</v>
      </c>
      <c r="G351" s="31" t="n">
        <v>322.45</v>
      </c>
      <c r="H351" s="31" t="n">
        <v>-1.72</v>
      </c>
      <c r="I351" s="31" t="n">
        <v>430157</v>
      </c>
      <c r="J351" s="31" t="inlineStr">
        <is>
          <t>544107</t>
        </is>
      </c>
    </row>
    <row r="352">
      <c r="A352" s="31" t="inlineStr">
        <is>
          <t>MACPOWER</t>
        </is>
      </c>
      <c r="B352" s="31" t="inlineStr">
        <is>
          <t>Macpower CNC Machines Ltd</t>
        </is>
      </c>
      <c r="C352" s="31" t="inlineStr">
        <is>
          <t>industrials</t>
        </is>
      </c>
      <c r="D352" s="31" t="inlineStr">
        <is>
          <t>engineering</t>
        </is>
      </c>
      <c r="E352" s="31" t="inlineStr">
        <is>
          <t>smallcap</t>
        </is>
      </c>
      <c r="F352" s="31" t="n">
        <v>2097.37</v>
      </c>
      <c r="G352" s="31" t="n">
        <v>2059.5</v>
      </c>
      <c r="H352" s="31" t="n">
        <v>-1.76</v>
      </c>
      <c r="I352" s="31" t="n">
        <v>43775</v>
      </c>
      <c r="J352" s="31" t="inlineStr">
        <is>
          <t>535057</t>
        </is>
      </c>
    </row>
    <row r="353">
      <c r="A353" s="31" t="inlineStr">
        <is>
          <t>EMUDHRA</t>
        </is>
      </c>
      <c r="B353" s="31" t="inlineStr">
        <is>
          <t>eMudhra Ltd</t>
        </is>
      </c>
      <c r="C353" s="31" t="inlineStr">
        <is>
          <t>i.t</t>
        </is>
      </c>
      <c r="D353" s="31" t="inlineStr">
        <is>
          <t>computers - software - medium / small</t>
        </is>
      </c>
      <c r="E353" s="31" t="inlineStr">
        <is>
          <t>midcap</t>
        </is>
      </c>
      <c r="F353" s="31" t="n">
        <v>5376.55</v>
      </c>
      <c r="G353" s="31" t="n">
        <v>637.8</v>
      </c>
      <c r="H353" s="31" t="n">
        <v>-1.76</v>
      </c>
      <c r="I353" s="31" t="n">
        <v>966799</v>
      </c>
      <c r="J353" s="31" t="inlineStr">
        <is>
          <t>543533</t>
        </is>
      </c>
    </row>
    <row r="354">
      <c r="A354" s="31" t="inlineStr">
        <is>
          <t>TALBROAUTO</t>
        </is>
      </c>
      <c r="B354" s="31" t="inlineStr">
        <is>
          <t>Talbros Automotive Components Limited</t>
        </is>
      </c>
      <c r="C354" s="31" t="inlineStr">
        <is>
          <t>auto</t>
        </is>
      </c>
      <c r="D354" s="31" t="inlineStr">
        <is>
          <t>auto ancillaries</t>
        </is>
      </c>
      <c r="E354" s="31" t="inlineStr">
        <is>
          <t>smallcap</t>
        </is>
      </c>
      <c r="F354" s="31" t="n">
        <v>2933.94</v>
      </c>
      <c r="G354" s="31" t="n">
        <v>466.9</v>
      </c>
      <c r="H354" s="31" t="n">
        <v>-1.77</v>
      </c>
      <c r="I354" s="31" t="n">
        <v>206297</v>
      </c>
      <c r="J354" s="31" t="inlineStr">
        <is>
          <t>505160</t>
        </is>
      </c>
    </row>
    <row r="355">
      <c r="A355" s="31" t="inlineStr">
        <is>
          <t>KAMDHENU</t>
        </is>
      </c>
      <c r="B355" s="31" t="inlineStr">
        <is>
          <t>Kamdhenu Limited</t>
        </is>
      </c>
      <c r="C355" s="31" t="inlineStr">
        <is>
          <t>metals &amp; mining</t>
        </is>
      </c>
      <c r="D355" s="31" t="inlineStr">
        <is>
          <t>steel - medium / small</t>
        </is>
      </c>
      <c r="E355" s="31" t="inlineStr">
        <is>
          <t>smallcap</t>
        </is>
      </c>
      <c r="F355" s="31" t="n">
        <v>1170.1</v>
      </c>
      <c r="G355" s="31" t="n">
        <v>40.77</v>
      </c>
      <c r="H355" s="31" t="n">
        <v>-1.78</v>
      </c>
      <c r="I355" s="31" t="n">
        <v>1666669</v>
      </c>
      <c r="J355" s="31" t="inlineStr">
        <is>
          <t>532741</t>
        </is>
      </c>
    </row>
    <row r="356">
      <c r="A356" s="31" t="inlineStr">
        <is>
          <t>MENONBE</t>
        </is>
      </c>
      <c r="B356" s="31" t="inlineStr">
        <is>
          <t>Menon Bearings Limited</t>
        </is>
      </c>
      <c r="C356" s="31" t="inlineStr">
        <is>
          <t>auto</t>
        </is>
      </c>
      <c r="D356" s="31" t="inlineStr">
        <is>
          <t>auto ancillaries</t>
        </is>
      </c>
      <c r="E356" s="31" t="inlineStr">
        <is>
          <t>smallcap</t>
        </is>
      </c>
      <c r="F356" s="31" t="n">
        <v>1718.75</v>
      </c>
      <c r="G356" s="31" t="n">
        <v>301.25</v>
      </c>
      <c r="H356" s="31" t="n">
        <v>-1.78</v>
      </c>
      <c r="I356" s="31" t="n">
        <v>43163</v>
      </c>
      <c r="J356" s="31" t="inlineStr">
        <is>
          <t>523828</t>
        </is>
      </c>
    </row>
    <row r="357">
      <c r="A357" s="31" t="inlineStr">
        <is>
          <t>ASKAUTOLTD</t>
        </is>
      </c>
      <c r="B357" s="31" t="inlineStr">
        <is>
          <t>ASK Automotive Ltd</t>
        </is>
      </c>
      <c r="C357" s="31" t="inlineStr">
        <is>
          <t>auto</t>
        </is>
      </c>
      <c r="D357" s="31" t="inlineStr">
        <is>
          <t>auto ancillaries</t>
        </is>
      </c>
      <c r="E357" s="31" t="inlineStr">
        <is>
          <t>midcap</t>
        </is>
      </c>
      <c r="F357" s="31" t="n">
        <v>13078.44</v>
      </c>
      <c r="G357" s="31" t="n">
        <v>651.25</v>
      </c>
      <c r="H357" s="31" t="n">
        <v>-1.83</v>
      </c>
      <c r="I357" s="31" t="n">
        <v>327609</v>
      </c>
      <c r="J357" s="31" t="inlineStr">
        <is>
          <t>544022</t>
        </is>
      </c>
    </row>
    <row r="358">
      <c r="A358" s="31" t="inlineStr">
        <is>
          <t>SYNCOMF</t>
        </is>
      </c>
      <c r="B358" s="31" t="inlineStr">
        <is>
          <t>Syncom Formulations (India) Ltd</t>
        </is>
      </c>
      <c r="C358" s="31" t="inlineStr">
        <is>
          <t>healthcare</t>
        </is>
      </c>
      <c r="D358" s="31" t="inlineStr">
        <is>
          <t>pharmaceuticals - indian - bulk drugs &amp; formln</t>
        </is>
      </c>
      <c r="E358" s="31" t="inlineStr">
        <is>
          <t>smallcap</t>
        </is>
      </c>
      <c r="F358" s="31" t="n">
        <v>1917.6</v>
      </c>
      <c r="G358" s="31" t="n">
        <v>20.01</v>
      </c>
      <c r="H358" s="31" t="n">
        <v>-1.91</v>
      </c>
      <c r="I358" s="31" t="n">
        <v>5293142</v>
      </c>
      <c r="J358" s="31" t="inlineStr">
        <is>
          <t>524470</t>
        </is>
      </c>
    </row>
    <row r="359">
      <c r="A359" s="31" t="inlineStr">
        <is>
          <t>SRHHYPOLTD</t>
        </is>
      </c>
      <c r="B359" s="31" t="inlineStr">
        <is>
          <t>Sree Rayalaseema Hi-strength Hypo Limited</t>
        </is>
      </c>
      <c r="C359" s="31" t="inlineStr">
        <is>
          <t>chemicals</t>
        </is>
      </c>
      <c r="D359" s="31" t="inlineStr">
        <is>
          <t>chemicals</t>
        </is>
      </c>
      <c r="E359" s="31" t="inlineStr">
        <is>
          <t>smallcap</t>
        </is>
      </c>
      <c r="F359" s="31" t="n">
        <v>1028.6</v>
      </c>
      <c r="G359" s="31" t="n">
        <v>587.5</v>
      </c>
      <c r="H359" s="31" t="n">
        <v>-1.96</v>
      </c>
      <c r="I359" s="31" t="n">
        <v>48715</v>
      </c>
      <c r="J359" s="31" t="inlineStr">
        <is>
          <t>532842</t>
        </is>
      </c>
    </row>
    <row r="360">
      <c r="A360" s="31" t="inlineStr">
        <is>
          <t>SHREEPUSHK</t>
        </is>
      </c>
      <c r="B360" s="31" t="inlineStr">
        <is>
          <t>Shree Pushkar Chemicals &amp; Fertilisers Limited</t>
        </is>
      </c>
      <c r="C360" s="31" t="inlineStr">
        <is>
          <t>chemicals</t>
        </is>
      </c>
      <c r="D360" s="31" t="inlineStr">
        <is>
          <t>dyes and pigments</t>
        </is>
      </c>
      <c r="E360" s="31" t="inlineStr">
        <is>
          <t>smallcap</t>
        </is>
      </c>
      <c r="F360" s="31" t="n">
        <v>1635.8</v>
      </c>
      <c r="G360" s="31" t="n">
        <v>495.8</v>
      </c>
      <c r="H360" s="31" t="n">
        <v>-1.99</v>
      </c>
      <c r="I360" s="31" t="n">
        <v>50695</v>
      </c>
      <c r="J360" s="31" t="inlineStr">
        <is>
          <t>539334</t>
        </is>
      </c>
    </row>
    <row r="361">
      <c r="A361" s="31" t="inlineStr">
        <is>
          <t>GMMPFAUDLR</t>
        </is>
      </c>
      <c r="B361" s="31" t="inlineStr">
        <is>
          <t>GMM Pfaudler Ltd</t>
        </is>
      </c>
      <c r="C361" s="31" t="inlineStr">
        <is>
          <t>industrials</t>
        </is>
      </c>
      <c r="D361" s="31" t="inlineStr">
        <is>
          <t>engineering</t>
        </is>
      </c>
      <c r="E361" s="31" t="inlineStr">
        <is>
          <t>midcap</t>
        </is>
      </c>
      <c r="F361" s="31" t="n">
        <v>6574.09</v>
      </c>
      <c r="G361" s="31" t="n">
        <v>1432.6</v>
      </c>
      <c r="H361" s="31" t="n">
        <v>-2.03</v>
      </c>
      <c r="I361" s="31" t="n">
        <v>245810</v>
      </c>
      <c r="J361" s="31" t="inlineStr">
        <is>
          <t>505255</t>
        </is>
      </c>
    </row>
    <row r="362">
      <c r="A362" s="31" t="inlineStr">
        <is>
          <t>UNIVPHOTO</t>
        </is>
      </c>
      <c r="B362" s="31" t="inlineStr">
        <is>
          <t>Universus Photo Imagings Ltd</t>
        </is>
      </c>
      <c r="C362" s="31" t="inlineStr">
        <is>
          <t>consumer discretionary</t>
        </is>
      </c>
      <c r="D362" s="31" t="inlineStr">
        <is>
          <t>photographic and allied products</t>
        </is>
      </c>
      <c r="E362" s="31" t="inlineStr">
        <is>
          <t>smallcap</t>
        </is>
      </c>
      <c r="F362" s="31" t="n">
        <v>645.47</v>
      </c>
      <c r="G362" s="31" t="n">
        <v>577.05</v>
      </c>
      <c r="H362" s="31" t="n">
        <v>-2.14</v>
      </c>
      <c r="I362" s="31" t="n">
        <v>1036</v>
      </c>
      <c r="J362" s="31" t="inlineStr">
        <is>
          <t>542933</t>
        </is>
      </c>
    </row>
    <row r="363">
      <c r="A363" s="31" t="inlineStr">
        <is>
          <t>PAYTM</t>
        </is>
      </c>
      <c r="B363" s="31" t="inlineStr">
        <is>
          <t>One 97 Communications Ltd</t>
        </is>
      </c>
      <c r="C363" s="31" t="inlineStr">
        <is>
          <t>i.t</t>
        </is>
      </c>
      <c r="D363" s="31" t="inlineStr">
        <is>
          <t>miscellaneous</t>
        </is>
      </c>
      <c r="E363" s="31" t="inlineStr">
        <is>
          <t>largecap</t>
        </is>
      </c>
      <c r="F363" s="31" t="n">
        <v>116182.75</v>
      </c>
      <c r="G363" s="31" t="n">
        <v>1775</v>
      </c>
      <c r="H363" s="31" t="n">
        <v>-2.17</v>
      </c>
      <c r="I363" s="31" t="n">
        <v>2410487</v>
      </c>
      <c r="J363" s="31" t="inlineStr">
        <is>
          <t>543396</t>
        </is>
      </c>
    </row>
    <row r="364">
      <c r="A364" s="31" t="inlineStr">
        <is>
          <t>SAKAR</t>
        </is>
      </c>
      <c r="B364" s="31" t="inlineStr">
        <is>
          <t>Sakar Healthcare Ltd</t>
        </is>
      </c>
      <c r="C364" s="31" t="inlineStr">
        <is>
          <t>healthcare</t>
        </is>
      </c>
      <c r="D364" s="31" t="inlineStr">
        <is>
          <t>pharmaceuticals - indian - bulk drugs &amp; formln</t>
        </is>
      </c>
      <c r="E364" s="31" t="inlineStr">
        <is>
          <t>smallcap</t>
        </is>
      </c>
      <c r="F364" s="31" t="n">
        <v>2644.18</v>
      </c>
      <c r="G364" s="31" t="n">
        <v>1162.65</v>
      </c>
      <c r="H364" s="31" t="n">
        <v>-2.17</v>
      </c>
      <c r="I364" s="31" t="n">
        <v>228348</v>
      </c>
      <c r="J364" s="31" t="inlineStr">
        <is>
          <t>538377</t>
        </is>
      </c>
    </row>
    <row r="365">
      <c r="A365" s="31" t="inlineStr">
        <is>
          <t>NPST</t>
        </is>
      </c>
      <c r="B365" s="31" t="inlineStr">
        <is>
          <t>Network People Services Technologies Ltd</t>
        </is>
      </c>
      <c r="C365" s="31" t="inlineStr">
        <is>
          <t>i.t</t>
        </is>
      </c>
      <c r="D365" s="31" t="inlineStr">
        <is>
          <t>computers - software - medium / small</t>
        </is>
      </c>
      <c r="E365" s="31" t="inlineStr">
        <is>
          <t>smallcap</t>
        </is>
      </c>
      <c r="F365" s="31" t="n">
        <v>3940.7</v>
      </c>
      <c r="G365" s="31" t="n">
        <v>1844.7</v>
      </c>
      <c r="H365" s="31" t="n">
        <v>-2.33</v>
      </c>
      <c r="I365" s="31" t="n">
        <v>46146</v>
      </c>
      <c r="J365" s="31" t="inlineStr">
        <is>
          <t>535391</t>
        </is>
      </c>
    </row>
    <row r="366">
      <c r="A366" s="31" t="inlineStr">
        <is>
          <t>REDINGTON</t>
        </is>
      </c>
      <c r="B366" s="31" t="inlineStr">
        <is>
          <t>Redington (india) Limited</t>
        </is>
      </c>
      <c r="C366" s="31" t="inlineStr">
        <is>
          <t>services</t>
        </is>
      </c>
      <c r="D366" s="31" t="inlineStr">
        <is>
          <t>trading</t>
        </is>
      </c>
      <c r="E366" s="31" t="inlineStr">
        <is>
          <t>largecap</t>
        </is>
      </c>
      <c r="F366" s="31" t="n">
        <v>32080.11</v>
      </c>
      <c r="G366" s="31" t="n">
        <v>400.75</v>
      </c>
      <c r="H366" s="31" t="n">
        <v>-2.34</v>
      </c>
      <c r="I366" s="31" t="n">
        <v>4661529</v>
      </c>
      <c r="J366" s="31" t="inlineStr">
        <is>
          <t>532805</t>
        </is>
      </c>
    </row>
    <row r="367">
      <c r="A367" s="31" t="inlineStr">
        <is>
          <t>REGAAL</t>
        </is>
      </c>
      <c r="B367" s="31" t="inlineStr">
        <is>
          <t>Regaal Resources Ltd</t>
        </is>
      </c>
      <c r="C367" s="31" t="inlineStr">
        <is>
          <t>miscellaneous</t>
        </is>
      </c>
      <c r="D367" s="31" t="inlineStr">
        <is>
          <t>miscellaneous</t>
        </is>
      </c>
      <c r="E367" s="31" t="inlineStr">
        <is>
          <t>smallcap</t>
        </is>
      </c>
      <c r="F367" s="31" t="n">
        <v>998.5700000000001</v>
      </c>
      <c r="G367" s="31" t="n">
        <v>94.56</v>
      </c>
      <c r="H367" s="31" t="n">
        <v>-2.73</v>
      </c>
      <c r="I367" s="31" t="n">
        <v>3705161</v>
      </c>
      <c r="J367" s="31" t="inlineStr">
        <is>
          <t>544485</t>
        </is>
      </c>
    </row>
    <row r="368">
      <c r="A368" s="31" t="inlineStr">
        <is>
          <t>SOLARA</t>
        </is>
      </c>
      <c r="B368" s="31" t="inlineStr">
        <is>
          <t>Solara Active Pharma Sciences Ltd</t>
        </is>
      </c>
      <c r="C368" s="31" t="inlineStr">
        <is>
          <t>healthcare</t>
        </is>
      </c>
      <c r="D368" s="31" t="inlineStr">
        <is>
          <t>pharmaceuticals - indian - bulk drugs &amp; formln</t>
        </is>
      </c>
      <c r="E368" s="31" t="inlineStr">
        <is>
          <t>smallcap</t>
        </is>
      </c>
      <c r="F368" s="31" t="n">
        <v>3592.16</v>
      </c>
      <c r="G368" s="31" t="n">
        <v>722.9</v>
      </c>
      <c r="H368" s="31" t="n">
        <v>-2.91</v>
      </c>
      <c r="I368" s="31" t="n">
        <v>491844</v>
      </c>
      <c r="J368" s="31" t="inlineStr">
        <is>
          <t>541540</t>
        </is>
      </c>
    </row>
    <row r="369">
      <c r="A369" s="31" t="inlineStr">
        <is>
          <t>GABRIEL</t>
        </is>
      </c>
      <c r="B369" s="31" t="inlineStr">
        <is>
          <t>Gabriel India Limited</t>
        </is>
      </c>
      <c r="C369" s="31" t="inlineStr">
        <is>
          <t>auto</t>
        </is>
      </c>
      <c r="D369" s="31" t="inlineStr">
        <is>
          <t>auto ancillaries</t>
        </is>
      </c>
      <c r="E369" s="31" t="inlineStr">
        <is>
          <t>largecap</t>
        </is>
      </c>
      <c r="F369" s="31" t="n">
        <v>28197.06</v>
      </c>
      <c r="G369" s="31" t="n">
        <v>1428.1</v>
      </c>
      <c r="H369" s="31" t="n">
        <v>-2.94</v>
      </c>
      <c r="I369" s="31" t="n">
        <v>1533195</v>
      </c>
      <c r="J369" s="31" t="inlineStr">
        <is>
          <t>505714</t>
        </is>
      </c>
    </row>
    <row r="370">
      <c r="A370" s="31" t="inlineStr">
        <is>
          <t>ROSSTECH</t>
        </is>
      </c>
      <c r="B370" s="31" t="inlineStr">
        <is>
          <t>Rossell Techsys Ltd</t>
        </is>
      </c>
      <c r="C370" s="31" t="inlineStr">
        <is>
          <t>aerospace &amp; defence</t>
        </is>
      </c>
      <c r="D370" s="31" t="inlineStr">
        <is>
          <t>engineering</t>
        </is>
      </c>
      <c r="E370" s="31" t="inlineStr">
        <is>
          <t>midcap</t>
        </is>
      </c>
      <c r="F370" s="31" t="n">
        <v>5632.23</v>
      </c>
      <c r="G370" s="31" t="n">
        <v>1449.8</v>
      </c>
      <c r="H370" s="31" t="n">
        <v>-2.97</v>
      </c>
      <c r="I370" s="31" t="n">
        <v>276498</v>
      </c>
      <c r="J370" s="31" t="inlineStr">
        <is>
          <t>544294</t>
        </is>
      </c>
    </row>
    <row r="371">
      <c r="A371" s="31" t="inlineStr">
        <is>
          <t>SPECTRUM</t>
        </is>
      </c>
      <c r="B371" s="31" t="inlineStr">
        <is>
          <t>Spectrum Electrical Industries Ltd</t>
        </is>
      </c>
      <c r="C371" s="31" t="inlineStr">
        <is>
          <t>industrials</t>
        </is>
      </c>
      <c r="D371" s="31" t="inlineStr">
        <is>
          <t>electric equipment</t>
        </is>
      </c>
      <c r="E371" s="31" t="inlineStr">
        <is>
          <t>midcap</t>
        </is>
      </c>
      <c r="F371" s="31" t="n">
        <v>5714.9</v>
      </c>
      <c r="G371" s="31" t="n">
        <v>3241.6</v>
      </c>
      <c r="H371" s="31" t="n">
        <v>-3.08</v>
      </c>
      <c r="I371" s="31" t="n">
        <v>11852</v>
      </c>
      <c r="J371" s="31" t="inlineStr">
        <is>
          <t>535112</t>
        </is>
      </c>
    </row>
    <row r="372">
      <c r="A372" s="31" t="inlineStr">
        <is>
          <t>PAISALO</t>
        </is>
      </c>
      <c r="B372" s="31" t="inlineStr">
        <is>
          <t>Paisalo Digital Ltd</t>
        </is>
      </c>
      <c r="C372" s="31" t="inlineStr">
        <is>
          <t>financials</t>
        </is>
      </c>
      <c r="D372" s="31" t="inlineStr">
        <is>
          <t>finance &amp; investments</t>
        </is>
      </c>
      <c r="E372" s="31" t="inlineStr">
        <is>
          <t>midcap</t>
        </is>
      </c>
      <c r="F372" s="31" t="n">
        <v>8497.66</v>
      </c>
      <c r="G372" s="31" t="n">
        <v>90.39</v>
      </c>
      <c r="H372" s="31" t="n">
        <v>-3.25</v>
      </c>
      <c r="I372" s="31" t="n">
        <v>16379793</v>
      </c>
      <c r="J372" s="31" t="inlineStr">
        <is>
          <t>532900</t>
        </is>
      </c>
    </row>
    <row r="373">
      <c r="A373" s="31" t="inlineStr">
        <is>
          <t>LUMAXTECH</t>
        </is>
      </c>
      <c r="B373" s="31" t="inlineStr">
        <is>
          <t>Lumax Auto Technologies Limited</t>
        </is>
      </c>
      <c r="C373" s="31" t="inlineStr">
        <is>
          <t>auto</t>
        </is>
      </c>
      <c r="D373" s="31" t="inlineStr">
        <is>
          <t>auto ancillaries</t>
        </is>
      </c>
      <c r="E373" s="31" t="inlineStr">
        <is>
          <t>midcap</t>
        </is>
      </c>
      <c r="F373" s="31" t="n">
        <v>14424.9</v>
      </c>
      <c r="G373" s="31" t="n">
        <v>2044.9</v>
      </c>
      <c r="H373" s="31" t="n">
        <v>-3.38</v>
      </c>
      <c r="I373" s="31" t="n">
        <v>280450</v>
      </c>
      <c r="J373" s="31" t="inlineStr">
        <is>
          <t>532796</t>
        </is>
      </c>
    </row>
    <row r="374">
      <c r="A374" s="31" t="inlineStr">
        <is>
          <t>INDORAMA</t>
        </is>
      </c>
      <c r="B374" s="31" t="inlineStr">
        <is>
          <t>Indo Rama Synthetics (india) Limited</t>
        </is>
      </c>
      <c r="C374" s="31" t="inlineStr">
        <is>
          <t>textiles</t>
        </is>
      </c>
      <c r="D374" s="31" t="inlineStr">
        <is>
          <t>textiles - manmade</t>
        </is>
      </c>
      <c r="E374" s="31" t="inlineStr">
        <is>
          <t>smallcap</t>
        </is>
      </c>
      <c r="F374" s="31" t="n">
        <v>2704.35</v>
      </c>
      <c r="G374" s="31" t="n">
        <v>100</v>
      </c>
      <c r="H374" s="31" t="n">
        <v>-3.45</v>
      </c>
      <c r="I374" s="31" t="n">
        <v>1969705</v>
      </c>
      <c r="J374" s="31" t="inlineStr">
        <is>
          <t>500207</t>
        </is>
      </c>
    </row>
    <row r="375">
      <c r="A375" s="31" t="inlineStr">
        <is>
          <t>STEL</t>
        </is>
      </c>
      <c r="B375" s="31" t="inlineStr">
        <is>
          <t>Stel Holdings Limited</t>
        </is>
      </c>
      <c r="C375" s="31" t="inlineStr">
        <is>
          <t>financials</t>
        </is>
      </c>
      <c r="D375" s="31" t="inlineStr">
        <is>
          <t>finance &amp; investments</t>
        </is>
      </c>
      <c r="E375" s="31" t="inlineStr">
        <is>
          <t>smallcap</t>
        </is>
      </c>
      <c r="F375" s="31" t="n">
        <v>1224.61</v>
      </c>
      <c r="G375" s="31" t="n">
        <v>640.6</v>
      </c>
      <c r="H375" s="31" t="n">
        <v>-3.46</v>
      </c>
      <c r="I375" s="31" t="n">
        <v>11945</v>
      </c>
      <c r="J375" s="31" t="n"/>
    </row>
    <row r="376">
      <c r="A376" s="31" t="inlineStr">
        <is>
          <t>BIRLACABLE</t>
        </is>
      </c>
      <c r="B376" s="31" t="inlineStr">
        <is>
          <t>Birla Cable Limited</t>
        </is>
      </c>
      <c r="C376" s="31" t="inlineStr">
        <is>
          <t>industrials</t>
        </is>
      </c>
      <c r="D376" s="31" t="inlineStr">
        <is>
          <t>cables - telephone</t>
        </is>
      </c>
      <c r="E376" s="31" t="inlineStr">
        <is>
          <t>smallcap</t>
        </is>
      </c>
      <c r="F376" s="31" t="n">
        <v>1125.75</v>
      </c>
      <c r="G376" s="31" t="n">
        <v>361.9</v>
      </c>
      <c r="H376" s="31" t="n">
        <v>-3.56</v>
      </c>
      <c r="I376" s="31" t="n">
        <v>519169</v>
      </c>
      <c r="J376" s="31" t="inlineStr">
        <is>
          <t>500060</t>
        </is>
      </c>
    </row>
    <row r="377">
      <c r="A377" s="31" t="inlineStr">
        <is>
          <t>RACLGEAR</t>
        </is>
      </c>
      <c r="B377" s="31" t="inlineStr">
        <is>
          <t>RACL Geartech Ltd</t>
        </is>
      </c>
      <c r="C377" s="31" t="inlineStr">
        <is>
          <t>auto</t>
        </is>
      </c>
      <c r="D377" s="31" t="inlineStr">
        <is>
          <t>auto ancillaries</t>
        </is>
      </c>
      <c r="E377" s="31" t="inlineStr">
        <is>
          <t>smallcap</t>
        </is>
      </c>
      <c r="F377" s="31" t="n">
        <v>2072.34</v>
      </c>
      <c r="G377" s="31" t="n">
        <v>1689.6</v>
      </c>
      <c r="H377" s="31" t="n">
        <v>-3.89</v>
      </c>
      <c r="I377" s="31" t="n">
        <v>68163</v>
      </c>
      <c r="J377" s="31" t="inlineStr">
        <is>
          <t>520073</t>
        </is>
      </c>
    </row>
    <row r="378">
      <c r="A378" s="31" t="inlineStr">
        <is>
          <t>VALIANTLAB</t>
        </is>
      </c>
      <c r="B378" s="31" t="inlineStr">
        <is>
          <t>Valiant Laboratories Ltd</t>
        </is>
      </c>
      <c r="C378" s="31" t="inlineStr">
        <is>
          <t>healthcare</t>
        </is>
      </c>
      <c r="D378" s="31" t="inlineStr">
        <is>
          <t>pharmaceuticals - indian - bulk drugs &amp; formln</t>
        </is>
      </c>
      <c r="E378" s="31" t="inlineStr">
        <is>
          <t>smallcap</t>
        </is>
      </c>
      <c r="F378" s="31" t="n">
        <v>687.38</v>
      </c>
      <c r="G378" s="31" t="n">
        <v>121.24</v>
      </c>
      <c r="H378" s="31" t="n">
        <v>-4.2</v>
      </c>
      <c r="I378" s="31" t="n">
        <v>100822</v>
      </c>
      <c r="J378" s="31" t="n"/>
    </row>
    <row r="379">
      <c r="A379" s="31" t="inlineStr">
        <is>
          <t>ASTEC</t>
        </is>
      </c>
      <c r="B379" s="31" t="inlineStr">
        <is>
          <t>Astec Lifesciences Limited</t>
        </is>
      </c>
      <c r="C379" s="31" t="inlineStr">
        <is>
          <t>chemicals</t>
        </is>
      </c>
      <c r="D379" s="31" t="inlineStr">
        <is>
          <t>pesticides / agrochemicals - indian</t>
        </is>
      </c>
      <c r="E379" s="31" t="inlineStr">
        <is>
          <t>smallcap</t>
        </is>
      </c>
      <c r="F379" s="31" t="n">
        <v>1770.37</v>
      </c>
      <c r="G379" s="31" t="n">
        <v>757.45</v>
      </c>
      <c r="H379" s="31" t="n">
        <v>-4.66</v>
      </c>
      <c r="I379" s="31" t="n">
        <v>335710</v>
      </c>
      <c r="J379" s="31" t="inlineStr">
        <is>
          <t>533138</t>
        </is>
      </c>
    </row>
    <row r="380">
      <c r="A380" s="31" t="inlineStr">
        <is>
          <t>PFOCUS</t>
        </is>
      </c>
      <c r="B380" s="31" t="inlineStr">
        <is>
          <t>Prime Focus Limited</t>
        </is>
      </c>
      <c r="C380" s="31" t="inlineStr">
        <is>
          <t>realty</t>
        </is>
      </c>
      <c r="D380" s="31" t="inlineStr">
        <is>
          <t>miscellaneous</t>
        </is>
      </c>
      <c r="E380" s="31" t="inlineStr">
        <is>
          <t>largecap</t>
        </is>
      </c>
      <c r="F380" s="31" t="n">
        <v>27755.65</v>
      </c>
      <c r="G380" s="31" t="n">
        <v>337.15</v>
      </c>
      <c r="H380" s="31" t="n">
        <v>-5.68</v>
      </c>
      <c r="I380" s="31" t="n">
        <v>6885605</v>
      </c>
      <c r="J380" s="31" t="inlineStr">
        <is>
          <t>532748</t>
        </is>
      </c>
    </row>
  </sheetData>
  <autoFilter ref="A1:J3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GNA</t>
        </is>
      </c>
      <c r="E2" s="31" t="inlineStr">
        <is>
          <t>Gna Axles Limited</t>
        </is>
      </c>
      <c r="F2" s="31" t="inlineStr">
        <is>
          <t>Auto &amp; Auto Ancl - CV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16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NRL</t>
        </is>
      </c>
      <c r="E3" s="31" t="inlineStr">
        <is>
          <t>Nupur Recyclers Ltd</t>
        </is>
      </c>
      <c r="F3" s="31" t="inlineStr">
        <is>
          <t>Trading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26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TBZ</t>
        </is>
      </c>
      <c r="E4" s="31" t="inlineStr">
        <is>
          <t>Tribhovandas Bhimji Zaveri Limited</t>
        </is>
      </c>
      <c r="F4" s="31" t="inlineStr">
        <is>
          <t>Diamond, Gems &amp;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24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KINGFA</t>
        </is>
      </c>
      <c r="E5" s="31" t="inlineStr">
        <is>
          <t>Kingfa Science &amp; Technology (india) Limited</t>
        </is>
      </c>
      <c r="F5" s="31" t="inlineStr">
        <is>
          <t>Plastics - Plastic &amp; Plastic Products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25</v>
      </c>
      <c r="K5" s="31" t="n">
        <v>26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KABRAEXTRU</t>
        </is>
      </c>
      <c r="E6" s="31" t="inlineStr">
        <is>
          <t>Kabra Extrusion Technik Limited</t>
        </is>
      </c>
      <c r="F6" s="31" t="inlineStr">
        <is>
          <t>Capital Goods - Engineering Heavy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21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LOTUSDEV</t>
        </is>
      </c>
      <c r="E7" s="31" t="inlineStr">
        <is>
          <t>Sri Lotus Developers &amp; Realty Ltd</t>
        </is>
      </c>
      <c r="F7" s="31" t="inlineStr">
        <is>
          <t>Construction - Factories/Offices/Commercial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24</v>
      </c>
      <c r="K7" s="31" t="n">
        <v>20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LAURUSLABS</t>
        </is>
      </c>
      <c r="E8" s="31" t="inlineStr">
        <is>
          <t>Laurus Labs Limited</t>
        </is>
      </c>
      <c r="F8" s="31" t="inlineStr">
        <is>
          <t>Pharma - API &amp; CRAMS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21</v>
      </c>
      <c r="K8" s="31" t="n">
        <v>29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NRBBEARING</t>
        </is>
      </c>
      <c r="E9" s="31" t="inlineStr">
        <is>
          <t>Nrb Bearing Limited</t>
        </is>
      </c>
      <c r="F9" s="31" t="inlineStr">
        <is>
          <t>Bearings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23</v>
      </c>
      <c r="K9" s="31" t="n">
        <v>22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PREMIERPOL</t>
        </is>
      </c>
      <c r="E10" s="31" t="inlineStr">
        <is>
          <t>Premier Polyfilm Limited</t>
        </is>
      </c>
      <c r="F10" s="31" t="inlineStr">
        <is>
          <t>Plastics - Sheets/Films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22</v>
      </c>
      <c r="K10" s="31" t="n">
        <v>20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IBULLSLTD</t>
        </is>
      </c>
      <c r="E11" s="31" t="inlineStr">
        <is>
          <t>Indiabulls Limited</t>
        </is>
      </c>
      <c r="F11" s="31" t="inlineStr">
        <is>
          <t>Diversified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20</v>
      </c>
      <c r="K11" s="31" t="n">
        <v>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RPTECH</t>
        </is>
      </c>
      <c r="E12" s="31" t="inlineStr">
        <is>
          <t>Rashi Peripherals Ltd</t>
        </is>
      </c>
      <c r="F12" s="31" t="inlineStr">
        <is>
          <t>Trading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19</v>
      </c>
      <c r="K12" s="31" t="n">
        <v>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PGIL</t>
        </is>
      </c>
      <c r="E13" s="31" t="inlineStr">
        <is>
          <t>Pearl Global Industries Limited</t>
        </is>
      </c>
      <c r="F13" s="31" t="inlineStr">
        <is>
          <t>unknown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0</v>
      </c>
      <c r="K13" s="31" t="n">
        <v>17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AVTNPL</t>
        </is>
      </c>
      <c r="E14" s="31" t="inlineStr">
        <is>
          <t>Avt Natural Products Limited</t>
        </is>
      </c>
      <c r="F14" s="31" t="inlineStr">
        <is>
          <t>Agricultural Processing - Maize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26</v>
      </c>
      <c r="K14" s="31" t="n">
        <v>25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VINCOFE</t>
        </is>
      </c>
      <c r="E15" s="31" t="inlineStr">
        <is>
          <t>Vintage Coffee &amp; Beverages Ltd</t>
        </is>
      </c>
      <c r="F15" s="31" t="inlineStr">
        <is>
          <t>FMCG - Coffee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22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BHAGYANGR</t>
        </is>
      </c>
      <c r="E16" s="31" t="inlineStr">
        <is>
          <t>Bhagyanagar India</t>
        </is>
      </c>
      <c r="F16" s="31" t="inlineStr">
        <is>
          <t>Recycling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23</v>
      </c>
      <c r="K16" s="31" t="n">
        <v>12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IOLCP</t>
        </is>
      </c>
      <c r="E17" s="31" t="inlineStr">
        <is>
          <t>Iol Chemicals And Pharmaceuticals Limited</t>
        </is>
      </c>
      <c r="F17" s="31" t="inlineStr">
        <is>
          <t>Pharma - API &amp; CRAMS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27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PAISALO</t>
        </is>
      </c>
      <c r="E18" s="31" t="inlineStr">
        <is>
          <t>Paisalo Digital Ltd</t>
        </is>
      </c>
      <c r="F18" s="31" t="inlineStr">
        <is>
          <t>Finance - Capital Markets - Brokers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21</v>
      </c>
      <c r="K18" s="31" t="n">
        <v>15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SHAREINDIA</t>
        </is>
      </c>
      <c r="E19" s="31" t="inlineStr">
        <is>
          <t>Share India Securities Ltd</t>
        </is>
      </c>
      <c r="F19" s="31" t="inlineStr">
        <is>
          <t>Finance - Capital Markets - Brokers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12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MBECL</t>
        </is>
      </c>
      <c r="E20" s="31" t="inlineStr">
        <is>
          <t>Mcnally Bharat Engineering Company Limited</t>
        </is>
      </c>
      <c r="F20" s="31" t="inlineStr">
        <is>
          <t>Engineering - Turnkey Services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20</v>
      </c>
      <c r="K20" s="31" t="n">
        <v>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IGPL</t>
        </is>
      </c>
      <c r="E21" s="31" t="inlineStr">
        <is>
          <t>Ig Petrochemicals Limited</t>
        </is>
      </c>
      <c r="F21" s="31" t="inlineStr">
        <is>
          <t>Chemicals - Organic - Maleic Anhydride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22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MACPOWER</t>
        </is>
      </c>
      <c r="E22" s="31" t="inlineStr">
        <is>
          <t>Macpower CNC Machines Ltd</t>
        </is>
      </c>
      <c r="F22" s="31" t="inlineStr">
        <is>
          <t>CNC - Machines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23</v>
      </c>
      <c r="K22" s="31" t="n">
        <v>26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HONASA</t>
        </is>
      </c>
      <c r="E23" s="31" t="inlineStr">
        <is>
          <t>Honasa Consumer Ltd</t>
        </is>
      </c>
      <c r="F23" s="31" t="inlineStr">
        <is>
          <t>New age - Platform - E-Retail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11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CONFIPET</t>
        </is>
      </c>
      <c r="E24" s="31" t="inlineStr">
        <is>
          <t>Confidence Petroleum India Ltd</t>
        </is>
      </c>
      <c r="F24" s="31" t="inlineStr">
        <is>
          <t>LPG Bottling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21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MARINE</t>
        </is>
      </c>
      <c r="E25" s="31" t="inlineStr">
        <is>
          <t>Marine Electricals (India) Ltd</t>
        </is>
      </c>
      <c r="F25" s="31" t="inlineStr">
        <is>
          <t>Shipping - Proxy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22</v>
      </c>
      <c r="K25" s="31" t="n">
        <v>26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QUADFUTURE</t>
        </is>
      </c>
      <c r="E26" s="31" t="inlineStr">
        <is>
          <t>Quadrant Future Tek Ltd</t>
        </is>
      </c>
      <c r="F26" s="31" t="inlineStr">
        <is>
          <t>Railways - Kavach/Springs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24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AEGISLOG</t>
        </is>
      </c>
      <c r="E27" s="31" t="inlineStr">
        <is>
          <t>Aegis Logistics Ltd</t>
        </is>
      </c>
      <c r="F27" s="31" t="inlineStr">
        <is>
          <t>Logistics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26</v>
      </c>
      <c r="K27" s="31" t="n">
        <v>11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IRISDOREME</t>
        </is>
      </c>
      <c r="E28" s="31" t="inlineStr">
        <is>
          <t>Iris Clothings Ltd</t>
        </is>
      </c>
      <c r="F28" s="31" t="inlineStr">
        <is>
          <t>unknown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0</v>
      </c>
      <c r="K28" s="31" t="n">
        <v>28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24</v>
      </c>
      <c r="K29" s="31" t="n">
        <v>20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MOREPENLAB</t>
        </is>
      </c>
      <c r="E30" s="31" t="inlineStr">
        <is>
          <t>Morepen Laboratories Limited</t>
        </is>
      </c>
      <c r="F30" s="31" t="inlineStr">
        <is>
          <t>Pharma - API &amp; CRAMS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20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ENTERO</t>
        </is>
      </c>
      <c r="E31" s="31" t="inlineStr">
        <is>
          <t>Entero Healthcare Solutions Ltd</t>
        </is>
      </c>
      <c r="F31" s="31" t="inlineStr">
        <is>
          <t>Pharmacy Distribution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24</v>
      </c>
      <c r="K31" s="31" t="n">
        <v>29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INDSWFTLAB</t>
        </is>
      </c>
      <c r="E32" s="31" t="inlineStr">
        <is>
          <t>Ind-swift Laboratories Limited</t>
        </is>
      </c>
      <c r="F32" s="31" t="inlineStr">
        <is>
          <t>Pharma - API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MARKSANS</t>
        </is>
      </c>
      <c r="E33" s="31" t="inlineStr">
        <is>
          <t>Marksans Pharma Limited</t>
        </is>
      </c>
      <c r="F33" s="31" t="inlineStr">
        <is>
          <t>Pharma - Formulators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24</v>
      </c>
      <c r="K33" s="31" t="n">
        <v>26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MODISONLTD</t>
        </is>
      </c>
      <c r="E34" s="31" t="inlineStr">
        <is>
          <t>Modison Ltd</t>
        </is>
      </c>
      <c r="F34" s="31" t="inlineStr">
        <is>
          <t>Capital Goods - Electric General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22</v>
      </c>
      <c r="K34" s="31" t="n">
        <v>29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BODALCHEM</t>
        </is>
      </c>
      <c r="E35" s="31" t="inlineStr">
        <is>
          <t>Bodal Chemicals Limited</t>
        </is>
      </c>
      <c r="F35" s="31" t="inlineStr">
        <is>
          <t>Dyes &amp; Pigments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31</v>
      </c>
      <c r="K35" s="31" t="n">
        <v>26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BHAGERIA</t>
        </is>
      </c>
      <c r="E36" s="31" t="inlineStr">
        <is>
          <t>Bhageria Industries Limited</t>
        </is>
      </c>
      <c r="F36" s="31" t="inlineStr">
        <is>
          <t>Dyes &amp; Pigments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26</v>
      </c>
      <c r="K36" s="31" t="n">
        <v>24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SYRMA</t>
        </is>
      </c>
      <c r="E37" s="31" t="inlineStr">
        <is>
          <t>Syrma SGS Technology Ltd</t>
        </is>
      </c>
      <c r="F37" s="31" t="inlineStr">
        <is>
          <t>Consumer Electronics - EMS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24</v>
      </c>
      <c r="K37" s="31" t="n">
        <v>21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PCJEWELLER</t>
        </is>
      </c>
      <c r="E38" s="31" t="inlineStr">
        <is>
          <t>Pc Jeweller Limited</t>
        </is>
      </c>
      <c r="F38" s="31" t="inlineStr">
        <is>
          <t>Diamond, Gems &amp; Jewellery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29</v>
      </c>
      <c r="K38" s="31" t="n">
        <v>13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VALIANTORG</t>
        </is>
      </c>
      <c r="E39" s="31" t="inlineStr">
        <is>
          <t>Valiant Organics Ltd</t>
        </is>
      </c>
      <c r="F39" s="31" t="inlineStr">
        <is>
          <t>Chemicals - Organic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16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MOTISONS</t>
        </is>
      </c>
      <c r="E40" s="31" t="inlineStr">
        <is>
          <t>Motisons Jewellers Ltd</t>
        </is>
      </c>
      <c r="F40" s="31" t="inlineStr">
        <is>
          <t>Diamond, Gems &amp; Jewellery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25</v>
      </c>
      <c r="K40" s="31" t="n">
        <v>12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ARROWGREEN</t>
        </is>
      </c>
      <c r="E41" s="31" t="inlineStr">
        <is>
          <t>Arrow Greentech Limited</t>
        </is>
      </c>
      <c r="F41" s="31" t="inlineStr">
        <is>
          <t>Plastics - Plastic &amp; Plastic Products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19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KDDL</t>
        </is>
      </c>
      <c r="E42" s="31" t="inlineStr">
        <is>
          <t>Kddl Limited</t>
        </is>
      </c>
      <c r="F42" s="31" t="inlineStr">
        <is>
          <t>unknown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0</v>
      </c>
      <c r="K42" s="31" t="n">
        <v>24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SAKAR</t>
        </is>
      </c>
      <c r="E43" s="31" t="inlineStr">
        <is>
          <t>Sakar Healthcare Ltd</t>
        </is>
      </c>
      <c r="F43" s="31" t="inlineStr">
        <is>
          <t>Hospitals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18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SHILPAMED</t>
        </is>
      </c>
      <c r="E44" s="31" t="inlineStr">
        <is>
          <t>Shilpa Medicare Limited</t>
        </is>
      </c>
      <c r="F44" s="31" t="inlineStr">
        <is>
          <t>Pharma - API &amp; CRAMS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AHCL</t>
        </is>
      </c>
      <c r="E45" s="31" t="inlineStr">
        <is>
          <t>Anlon Healthcare Ltd</t>
        </is>
      </c>
      <c r="F45" s="31" t="inlineStr">
        <is>
          <t>Pharmaceuticals Bulk Drugs &amp; Formulation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12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INNOVACAP</t>
        </is>
      </c>
      <c r="E46" s="31" t="inlineStr">
        <is>
          <t>Innova Captab Ltd</t>
        </is>
      </c>
      <c r="F46" s="31" t="inlineStr">
        <is>
          <t>unknown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0</v>
      </c>
      <c r="K46" s="31" t="n">
        <v>28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WHEELS</t>
        </is>
      </c>
      <c r="E47" s="31" t="inlineStr">
        <is>
          <t>Wheels India Limited</t>
        </is>
      </c>
      <c r="F47" s="31" t="inlineStr">
        <is>
          <t>Auto Ancillaries - Wheels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24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AVALON</t>
        </is>
      </c>
      <c r="E48" s="31" t="inlineStr">
        <is>
          <t>Avalon Technologies Ltd</t>
        </is>
      </c>
      <c r="F48" s="31" t="inlineStr">
        <is>
          <t>Consumer Electronics - EMS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24</v>
      </c>
      <c r="K48" s="31" t="n">
        <v>27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FCL</t>
        </is>
      </c>
      <c r="E49" s="31" t="inlineStr">
        <is>
          <t>Fineotex Chemical Limited</t>
        </is>
      </c>
      <c r="F49" s="31" t="inlineStr">
        <is>
          <t>Speciality Chemicals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FINCABLES</t>
        </is>
      </c>
      <c r="E50" s="31" t="inlineStr">
        <is>
          <t>Finolex Cables Limited</t>
        </is>
      </c>
      <c r="F50" s="31" t="inlineStr">
        <is>
          <t>Cables - Telecom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27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RBLBANK</t>
        </is>
      </c>
      <c r="E51" s="31" t="inlineStr">
        <is>
          <t>Rbl Bank Limited</t>
        </is>
      </c>
      <c r="F51" s="31" t="inlineStr">
        <is>
          <t>unknown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0</v>
      </c>
      <c r="K51" s="31" t="n">
        <v>21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DIVISLAB</t>
        </is>
      </c>
      <c r="E52" s="31" t="inlineStr">
        <is>
          <t>Divi's Laboratories Limited</t>
        </is>
      </c>
      <c r="F52" s="31" t="inlineStr">
        <is>
          <t>unknown</t>
        </is>
      </c>
      <c r="G52" s="31" t="n">
        <v>2</v>
      </c>
      <c r="H52" s="31" t="inlineStr">
        <is>
          <t>52W Breakout</t>
        </is>
      </c>
      <c r="I52" s="31" t="inlineStr">
        <is>
          <t>Yes</t>
        </is>
      </c>
      <c r="J52" s="31" t="n">
        <v>0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VIJAYA</t>
        </is>
      </c>
      <c r="E53" s="31" t="inlineStr">
        <is>
          <t>Vijaya Diagnostic Centre Ltd</t>
        </is>
      </c>
      <c r="F53" s="31" t="inlineStr">
        <is>
          <t>unknown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0</v>
      </c>
      <c r="K53" s="31" t="n">
        <v>27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AARTIPHARM</t>
        </is>
      </c>
      <c r="E54" s="31" t="inlineStr">
        <is>
          <t>Aarti Pharmalabs Ltd</t>
        </is>
      </c>
      <c r="F54" s="31" t="inlineStr">
        <is>
          <t>Pharma - API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27</v>
      </c>
      <c r="K54" s="31" t="n">
        <v>22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ACMESOLAR</t>
        </is>
      </c>
      <c r="E55" s="31" t="inlineStr">
        <is>
          <t>ACME Solar Holdings Ltd</t>
        </is>
      </c>
      <c r="F55" s="31" t="inlineStr">
        <is>
          <t>Engineering - Turnkey Services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23</v>
      </c>
      <c r="K55" s="31" t="n">
        <v>24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GAYAPROJ</t>
        </is>
      </c>
      <c r="E56" s="31" t="inlineStr">
        <is>
          <t>Gayatri Projects Limited</t>
        </is>
      </c>
      <c r="F56" s="31" t="inlineStr">
        <is>
          <t>Construction - Civil/Turnkey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27</v>
      </c>
      <c r="K56" s="31" t="n">
        <v>23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WELCORP</t>
        </is>
      </c>
      <c r="E57" s="31" t="inlineStr">
        <is>
          <t>Welspun Corp Limited</t>
        </is>
      </c>
      <c r="F57" s="31" t="inlineStr">
        <is>
          <t>DI Pipes/Saw Pipes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ONEPOINT</t>
        </is>
      </c>
      <c r="E58" s="31" t="inlineStr">
        <is>
          <t>One Point One Solutions Ltd</t>
        </is>
      </c>
      <c r="F58" s="31" t="inlineStr">
        <is>
          <t>IT Enabled Services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23</v>
      </c>
      <c r="K58" s="31" t="n">
        <v>10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SANSERA</t>
        </is>
      </c>
      <c r="E59" s="31" t="inlineStr">
        <is>
          <t>Sansera Engineering Ltd</t>
        </is>
      </c>
      <c r="F59" s="31" t="inlineStr">
        <is>
          <t>Auto Ancillaries - Diversified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26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USHAMART</t>
        </is>
      </c>
      <c r="E60" s="31" t="inlineStr">
        <is>
          <t>Usha Martin Limited</t>
        </is>
      </c>
      <c r="F60" s="31" t="inlineStr">
        <is>
          <t>Steel - Wires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BIRLACABLE</t>
        </is>
      </c>
      <c r="E61" s="31" t="inlineStr">
        <is>
          <t>Birla Cable Limited</t>
        </is>
      </c>
      <c r="F61" s="31" t="inlineStr">
        <is>
          <t>Cables - Telecom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26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STEELCAS</t>
        </is>
      </c>
      <c r="E62" s="31" t="inlineStr">
        <is>
          <t>Steelcast Ltd</t>
        </is>
      </c>
      <c r="F62" s="31" t="inlineStr">
        <is>
          <t>unknown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0</v>
      </c>
      <c r="K62" s="31" t="n">
        <v>12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SHREEJISPG</t>
        </is>
      </c>
      <c r="E63" s="31" t="inlineStr">
        <is>
          <t>Shreeji Shipping Global Ltd</t>
        </is>
      </c>
      <c r="F63" s="31" t="inlineStr">
        <is>
          <t>unknown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0</v>
      </c>
      <c r="K63" s="31" t="n">
        <v>15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MVGJL</t>
        </is>
      </c>
      <c r="E64" s="31" t="inlineStr">
        <is>
          <t>Manoj Vaibhav Gems N Jewellers Ltd</t>
        </is>
      </c>
      <c r="F64" s="31" t="inlineStr">
        <is>
          <t>Diamond, Gems &amp; Jewellery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15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NRAIL</t>
        </is>
      </c>
      <c r="E65" s="31" t="inlineStr">
        <is>
          <t>N R Agarwal Industries Ltd</t>
        </is>
      </c>
      <c r="F65" s="31" t="inlineStr">
        <is>
          <t>Paper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22</v>
      </c>
      <c r="K65" s="31" t="n">
        <v>20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GANDHAR</t>
        </is>
      </c>
      <c r="E66" s="31" t="inlineStr">
        <is>
          <t>Gandhar Oil Refinery (India) Ltd</t>
        </is>
      </c>
      <c r="F66" s="31" t="inlineStr">
        <is>
          <t>Refineries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28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SPECTRUM</t>
        </is>
      </c>
      <c r="E67" s="31" t="inlineStr">
        <is>
          <t>Spectrum Electrical Industries Ltd</t>
        </is>
      </c>
      <c r="F67" s="31" t="inlineStr">
        <is>
          <t>Capital Goods - Electric General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20</v>
      </c>
      <c r="K67" s="31" t="n">
        <v>15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PAYTM</t>
        </is>
      </c>
      <c r="E68" s="31" t="inlineStr">
        <is>
          <t>One 97 Communications Ltd</t>
        </is>
      </c>
      <c r="F68" s="31" t="inlineStr">
        <is>
          <t>E-Commerce - Platform - Utility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OPTIEMUS</t>
        </is>
      </c>
      <c r="E69" s="31" t="inlineStr">
        <is>
          <t>Optiemus Infracom Ltd</t>
        </is>
      </c>
      <c r="F69" s="31" t="inlineStr">
        <is>
          <t>Telecom Services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7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GCSL</t>
        </is>
      </c>
      <c r="E70" s="31" t="inlineStr">
        <is>
          <t>Gretex Corporate Services Ltd</t>
        </is>
      </c>
      <c r="F70" s="31" t="inlineStr">
        <is>
          <t>Finance &amp; Investments - Others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24</v>
      </c>
      <c r="K70" s="31" t="n">
        <v>10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EMUDHRA</t>
        </is>
      </c>
      <c r="E71" s="31" t="inlineStr">
        <is>
          <t>eMudhra Ltd</t>
        </is>
      </c>
      <c r="F71" s="31" t="inlineStr">
        <is>
          <t>Services - Others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7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MANINDS</t>
        </is>
      </c>
      <c r="E72" s="31" t="inlineStr">
        <is>
          <t>Man Industries (india) Limited</t>
        </is>
      </c>
      <c r="F72" s="31" t="inlineStr">
        <is>
          <t>Steel - Tubes/Pipes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28</v>
      </c>
      <c r="K72" s="31" t="n">
        <v>30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STLTECH</t>
        </is>
      </c>
      <c r="E73" s="31" t="inlineStr">
        <is>
          <t>Sterlite Technologies Limited</t>
        </is>
      </c>
      <c r="F73" s="31" t="inlineStr">
        <is>
          <t>Cables - Telecom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23</v>
      </c>
      <c r="K73" s="31" t="n">
        <v>30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RGL</t>
        </is>
      </c>
      <c r="E74" s="31" t="inlineStr">
        <is>
          <t>Renaissance Global Ltd</t>
        </is>
      </c>
      <c r="F74" s="31" t="inlineStr">
        <is>
          <t>Lab Grown Diamonds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29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MMP</t>
        </is>
      </c>
      <c r="E75" s="31" t="inlineStr">
        <is>
          <t>MMP Industries Ltd</t>
        </is>
      </c>
      <c r="F75" s="31" t="inlineStr">
        <is>
          <t>Aluminium Products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NEOGEN</t>
        </is>
      </c>
      <c r="E76" s="31" t="inlineStr">
        <is>
          <t>Neogen Chemicals Ltd</t>
        </is>
      </c>
      <c r="F76" s="31" t="inlineStr">
        <is>
          <t>Speciality Chemicals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21</v>
      </c>
      <c r="K76" s="31" t="n">
        <v>21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LUMAXTECH</t>
        </is>
      </c>
      <c r="E77" s="31" t="inlineStr">
        <is>
          <t>Lumax Auto Technologies Limited</t>
        </is>
      </c>
      <c r="F77" s="31" t="inlineStr">
        <is>
          <t>Auto Ancillaries - Diversified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20</v>
      </c>
      <c r="K77" s="31" t="n">
        <v>27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BAFNAPH</t>
        </is>
      </c>
      <c r="E78" s="31" t="inlineStr">
        <is>
          <t>Bafna Pharmaceuticals Ltd</t>
        </is>
      </c>
      <c r="F78" s="31" t="inlineStr">
        <is>
          <t>unknown</t>
        </is>
      </c>
      <c r="G78" s="31" t="n">
        <v>2</v>
      </c>
      <c r="H78" s="31" t="inlineStr">
        <is>
          <t>52W Breakout</t>
        </is>
      </c>
      <c r="I78" s="31" t="inlineStr">
        <is>
          <t>Yes</t>
        </is>
      </c>
      <c r="J78" s="31" t="n">
        <v>0</v>
      </c>
      <c r="K78" s="31" t="n">
        <v>25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TI</t>
        </is>
      </c>
      <c r="E79" s="31" t="inlineStr">
        <is>
          <t>Tilaknagar Industries Limited</t>
        </is>
      </c>
      <c r="F79" s="31" t="inlineStr">
        <is>
          <t>unknown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0</v>
      </c>
      <c r="K79" s="31" t="n">
        <v>19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SAMBHV</t>
        </is>
      </c>
      <c r="E80" s="31" t="inlineStr">
        <is>
          <t>Sambhv Steel Tubes Ltd</t>
        </is>
      </c>
      <c r="F80" s="31" t="inlineStr">
        <is>
          <t>Steel - Tubes/Pipes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28</v>
      </c>
      <c r="K80" s="31" t="n">
        <v>21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ENGINERSIN</t>
        </is>
      </c>
      <c r="E81" s="31" t="inlineStr">
        <is>
          <t>Engineers India Limited</t>
        </is>
      </c>
      <c r="F81" s="31" t="inlineStr">
        <is>
          <t>unknown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0</v>
      </c>
      <c r="K81" s="31" t="n">
        <v>24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SMLMAH</t>
        </is>
      </c>
      <c r="E82" s="31" t="inlineStr">
        <is>
          <t>SML Mahindra Ltd</t>
        </is>
      </c>
      <c r="F82" s="31" t="inlineStr">
        <is>
          <t>unknown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0</v>
      </c>
      <c r="K82" s="31" t="n">
        <v>29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YATHARTH</t>
        </is>
      </c>
      <c r="E83" s="31" t="inlineStr">
        <is>
          <t>Yatharth Hospital &amp; Trauma Care Services Ltd</t>
        </is>
      </c>
      <c r="F83" s="31" t="inlineStr">
        <is>
          <t>Hospitals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19</v>
      </c>
      <c r="K83" s="31" t="n">
        <v>23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ANTELOPUS</t>
        </is>
      </c>
      <c r="E84" s="31" t="inlineStr">
        <is>
          <t>Antelopus Selan Energy Ltd</t>
        </is>
      </c>
      <c r="F84" s="31" t="inlineStr">
        <is>
          <t>Oil Drilling &amp; Exploration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30</v>
      </c>
      <c r="K84" s="31" t="n">
        <v>17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KMEW</t>
        </is>
      </c>
      <c r="E85" s="31" t="inlineStr">
        <is>
          <t>Knowledge Marine &amp; Engineering Works Ltd</t>
        </is>
      </c>
      <c r="F85" s="31" t="inlineStr">
        <is>
          <t>Shipping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23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QPOWER</t>
        </is>
      </c>
      <c r="E86" s="31" t="inlineStr">
        <is>
          <t>Quality Power Electrical Equipments Ltd</t>
        </is>
      </c>
      <c r="F86" s="31" t="inlineStr">
        <is>
          <t>unknown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0</v>
      </c>
      <c r="K86" s="31" t="n">
        <v>29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SBC</t>
        </is>
      </c>
      <c r="E87" s="31" t="inlineStr">
        <is>
          <t>SBC Exports Ltd</t>
        </is>
      </c>
      <c r="F87" s="31" t="inlineStr">
        <is>
          <t>Textiles - Readymade Apparel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DYCL</t>
        </is>
      </c>
      <c r="E88" s="31" t="inlineStr">
        <is>
          <t>Dynamic Cables Ltd</t>
        </is>
      </c>
      <c r="F88" s="31" t="inlineStr">
        <is>
          <t>Cables - Power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19</v>
      </c>
      <c r="K88" s="31" t="n">
        <v>16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SPLPETRO</t>
        </is>
      </c>
      <c r="E89" s="31" t="inlineStr">
        <is>
          <t>Supreme Petrochem Ltd</t>
        </is>
      </c>
      <c r="F89" s="31" t="inlineStr">
        <is>
          <t>Petrochem - Polymers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20</v>
      </c>
      <c r="K89" s="31" t="n">
        <v>13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RATNAVEER</t>
        </is>
      </c>
      <c r="E90" s="31" t="inlineStr">
        <is>
          <t>Ratnaveer Precision Engineering Ltd</t>
        </is>
      </c>
      <c r="F90" s="31" t="inlineStr">
        <is>
          <t>Stainless Steel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21</v>
      </c>
      <c r="K90" s="31" t="n">
        <v>30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APOLLOHOSP</t>
        </is>
      </c>
      <c r="E91" s="31" t="inlineStr">
        <is>
          <t>Apollo Hospitals Enterprise Limited</t>
        </is>
      </c>
      <c r="F91" s="31" t="inlineStr">
        <is>
          <t>unknown</t>
        </is>
      </c>
      <c r="G91" s="31" t="n">
        <v>2</v>
      </c>
      <c r="H91" s="31" t="inlineStr">
        <is>
          <t>52W Breakout</t>
        </is>
      </c>
      <c r="I91" s="31" t="inlineStr">
        <is>
          <t>Yes</t>
        </is>
      </c>
      <c r="J91" s="31" t="n">
        <v>0</v>
      </c>
      <c r="K91" s="31" t="n">
        <v>4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ROSSTECH</t>
        </is>
      </c>
      <c r="E92" s="31" t="inlineStr">
        <is>
          <t>Rossell Techsys Ltd</t>
        </is>
      </c>
      <c r="F92" s="31" t="inlineStr">
        <is>
          <t>Aerospace &amp; Defence - Equipments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23</v>
      </c>
      <c r="K92" s="31" t="n">
        <v>28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PRABHA</t>
        </is>
      </c>
      <c r="E93" s="31" t="inlineStr">
        <is>
          <t>Prabha Energy Ltd</t>
        </is>
      </c>
      <c r="F93" s="31" t="inlineStr">
        <is>
          <t>Oil Exploration/Allied Services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19</v>
      </c>
      <c r="K93" s="31" t="n">
        <v>17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TIMKEN</t>
        </is>
      </c>
      <c r="E94" s="31" t="inlineStr">
        <is>
          <t>Timken India Limited</t>
        </is>
      </c>
      <c r="F94" s="31" t="inlineStr">
        <is>
          <t>unknown</t>
        </is>
      </c>
      <c r="G94" s="31" t="n">
        <v>2</v>
      </c>
      <c r="H94" s="31" t="inlineStr">
        <is>
          <t>EMA Crossover</t>
        </is>
      </c>
      <c r="I94" s="31" t="inlineStr">
        <is>
          <t>Yes</t>
        </is>
      </c>
      <c r="J94" s="31" t="n">
        <v>0</v>
      </c>
      <c r="K94" s="31" t="n">
        <v>4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GNFC</t>
        </is>
      </c>
      <c r="E95" s="31" t="inlineStr">
        <is>
          <t>Gujarat Narmada Valley Fertilizers And Chemicals Limited</t>
        </is>
      </c>
      <c r="F95" s="31" t="inlineStr">
        <is>
          <t>Fertilisers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25</v>
      </c>
      <c r="K95" s="31" t="n">
        <v>24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IF(B2=0,"",RANK(B2,$B$2:$B$346,0))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848.62</v>
      </c>
      <c r="I2" s="32" t="n">
        <v>96.72</v>
      </c>
      <c r="J2" s="32" t="n">
        <v>19.38</v>
      </c>
      <c r="K2" s="32" t="n">
        <v>6517058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67.48</v>
      </c>
      <c r="P2" s="32" t="n">
        <v>58.03</v>
      </c>
      <c r="Q2" s="32" t="n">
        <v>66.11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-4.9</v>
      </c>
      <c r="U2" s="32" t="n">
        <v>112.12</v>
      </c>
      <c r="V2" s="32" t="n">
        <v>123.05</v>
      </c>
      <c r="W2" s="32" t="n">
        <v>30.36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IF(B3=0,"",RANK(B3,$B$2:$B$346,0))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i.t</t>
        </is>
      </c>
      <c r="F3" s="31" t="inlineStr">
        <is>
          <t>trading</t>
        </is>
      </c>
      <c r="G3" s="31" t="inlineStr">
        <is>
          <t>midcap</t>
        </is>
      </c>
      <c r="H3" s="32" t="n">
        <v>5822.56</v>
      </c>
      <c r="I3" s="32" t="n">
        <v>898.7</v>
      </c>
      <c r="J3" s="32" t="n">
        <v>1.71</v>
      </c>
      <c r="K3" s="32" t="n">
        <v>382200</v>
      </c>
      <c r="L3" s="31" t="n">
        <v>86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71.18000000000001</v>
      </c>
      <c r="P3" s="32" t="n">
        <v>71</v>
      </c>
      <c r="Q3" s="32" t="n">
        <v>663.29</v>
      </c>
      <c r="R3" s="31" t="inlineStr">
        <is>
          <t>Near 52W High Breakout</t>
        </is>
      </c>
      <c r="S3" s="31" t="inlineStr">
        <is>
          <t>Nifty IT</t>
        </is>
      </c>
      <c r="T3" s="32" t="n">
        <v>-15.93</v>
      </c>
      <c r="U3" s="32" t="n">
        <v>185.55</v>
      </c>
      <c r="V3" s="32" t="n">
        <v>239.65</v>
      </c>
      <c r="W3" s="32" t="n">
        <v>33.26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IF(B4=0,"",RANK(B4,$B$2:$B$346,0))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 - medium / small</t>
        </is>
      </c>
      <c r="G4" s="31" t="inlineStr">
        <is>
          <t>midcap</t>
        </is>
      </c>
      <c r="H4" s="32" t="n">
        <v>6874.48</v>
      </c>
      <c r="I4" s="32" t="n">
        <v>29.12</v>
      </c>
      <c r="J4" s="32" t="n">
        <v>-1.32</v>
      </c>
      <c r="K4" s="32" t="n">
        <v>6131763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62.29</v>
      </c>
      <c r="P4" s="32" t="n">
        <v>40.79</v>
      </c>
      <c r="Q4" s="32" t="n">
        <v>21.06</v>
      </c>
      <c r="R4" s="31" t="inlineStr">
        <is>
          <t>Near 52W High Breakout</t>
        </is>
      </c>
      <c r="S4" s="31" t="inlineStr">
        <is>
          <t>Nifty 50</t>
        </is>
      </c>
      <c r="T4" s="32" t="n">
        <v>-4.9</v>
      </c>
      <c r="U4" s="32" t="n">
        <v>55.31</v>
      </c>
      <c r="V4" s="32" t="n">
        <v>63.31</v>
      </c>
      <c r="W4" s="32" t="n">
        <v>29.45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IF(B5=0,"",RANK(B5,$B$2:$B$346,0))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PGIL</t>
        </is>
      </c>
      <c r="D5" s="31" t="inlineStr">
        <is>
          <t>Pearl Global Industries Limited</t>
        </is>
      </c>
      <c r="E5" s="31" t="inlineStr">
        <is>
          <t>consumer discretionary</t>
        </is>
      </c>
      <c r="F5" s="31" t="inlineStr">
        <is>
          <t>textiles - products</t>
        </is>
      </c>
      <c r="G5" s="31" t="inlineStr">
        <is>
          <t>midcap</t>
        </is>
      </c>
      <c r="H5" s="32" t="n">
        <v>5518.54</v>
      </c>
      <c r="I5" s="32" t="n">
        <v>1300.8</v>
      </c>
      <c r="J5" s="32" t="n">
        <v>8.859999999999999</v>
      </c>
      <c r="K5" s="32" t="n">
        <v>767765</v>
      </c>
      <c r="L5" s="31" t="n">
        <v>69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70.97</v>
      </c>
      <c r="P5" s="32" t="n">
        <v>59.26</v>
      </c>
      <c r="Q5" s="32" t="n">
        <v>996.36</v>
      </c>
      <c r="R5" s="31" t="inlineStr">
        <is>
          <t>Near 52W High Breakout</t>
        </is>
      </c>
      <c r="S5" s="31" t="inlineStr">
        <is>
          <t>Nifty 50</t>
        </is>
      </c>
      <c r="T5" s="32" t="n">
        <v>-4.9</v>
      </c>
      <c r="U5" s="32" t="n">
        <v>104.99</v>
      </c>
      <c r="V5" s="32" t="n">
        <v>115.55</v>
      </c>
      <c r="W5" s="32" t="n">
        <v>22.6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IF(B6=0,"",RANK(B6,$B$2:$B$346,0))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GNA</t>
        </is>
      </c>
      <c r="D6" s="31" t="inlineStr">
        <is>
          <t>Gna Axles Limited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2411.21</v>
      </c>
      <c r="I6" s="32" t="n">
        <v>596.65</v>
      </c>
      <c r="J6" s="32" t="n">
        <v>6.23</v>
      </c>
      <c r="K6" s="32" t="n">
        <v>3594624</v>
      </c>
      <c r="L6" s="31" t="inlineStr"/>
      <c r="M6" s="31" t="inlineStr"/>
      <c r="N6" s="32">
        <f>IF(M6="Underperforming",-5,IF(L6&gt;=95,15,IF(L6&gt;=90,10,IF(L6&gt;=80,5,0))))</f>
        <v/>
      </c>
      <c r="O6" s="32" t="n">
        <v>70.79000000000001</v>
      </c>
      <c r="P6" s="32" t="n">
        <v>48.52</v>
      </c>
      <c r="Q6" s="32" t="n">
        <v>449.13</v>
      </c>
      <c r="R6" s="31" t="inlineStr">
        <is>
          <t>Volume Spike &amp; Near 52W High Breakout</t>
        </is>
      </c>
      <c r="S6" s="31" t="inlineStr">
        <is>
          <t>Nifty Auto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IF(B7=0,"",RANK(B7,$B$2:$B$346,0))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BLUSPRING</t>
        </is>
      </c>
      <c r="D7" s="31" t="inlineStr">
        <is>
          <t>Bluspring Enterprises Ltd</t>
        </is>
      </c>
      <c r="E7" s="31" t="inlineStr">
        <is>
          <t>miscellaneous</t>
        </is>
      </c>
      <c r="F7" s="31" t="inlineStr">
        <is>
          <t>diversified - large</t>
        </is>
      </c>
      <c r="G7" s="31" t="inlineStr">
        <is>
          <t>smallcap</t>
        </is>
      </c>
      <c r="H7" s="32" t="n">
        <v>1875.04</v>
      </c>
      <c r="I7" s="32" t="n">
        <v>132.59</v>
      </c>
      <c r="J7" s="32" t="n">
        <v>5.67</v>
      </c>
      <c r="K7" s="32" t="n">
        <v>675699</v>
      </c>
      <c r="L7" s="31" t="n">
        <v>71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65.73</v>
      </c>
      <c r="P7" s="32" t="n">
        <v>61.97</v>
      </c>
      <c r="Q7" s="32" t="n">
        <v>94.22</v>
      </c>
      <c r="R7" s="31" t="inlineStr">
        <is>
          <t>Near 52W High Breakout</t>
        </is>
      </c>
      <c r="S7" s="31" t="inlineStr">
        <is>
          <t>Nifty 50</t>
        </is>
      </c>
      <c r="T7" s="32" t="n">
        <v>-4.9</v>
      </c>
      <c r="U7" s="32" t="n">
        <v>67.73</v>
      </c>
      <c r="V7" s="32" t="n">
        <v>76.37</v>
      </c>
      <c r="W7" s="32" t="n">
        <v>23.49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IF(B8=0,"",RANK(B8,$B$2:$B$346,0))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PASUPTAC</t>
        </is>
      </c>
      <c r="D8" s="31" t="inlineStr">
        <is>
          <t>Pasupati Acrylon Ltd</t>
        </is>
      </c>
      <c r="E8" s="31" t="inlineStr">
        <is>
          <t>textiles</t>
        </is>
      </c>
      <c r="F8" s="31" t="inlineStr">
        <is>
          <t>textiles - manmade</t>
        </is>
      </c>
      <c r="G8" s="31" t="inlineStr">
        <is>
          <t>smallcap</t>
        </is>
      </c>
      <c r="H8" s="32" t="n">
        <v>680.71</v>
      </c>
      <c r="I8" s="32" t="n">
        <v>79.81999999999999</v>
      </c>
      <c r="J8" s="32" t="n">
        <v>4.52</v>
      </c>
      <c r="K8" s="32" t="n">
        <v>1040321</v>
      </c>
      <c r="L8" s="31" t="n">
        <v>62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71.68000000000001</v>
      </c>
      <c r="P8" s="32" t="n">
        <v>47.18</v>
      </c>
      <c r="Q8" s="32" t="n">
        <v>59.96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-4.9</v>
      </c>
      <c r="U8" s="32" t="n">
        <v>76.13</v>
      </c>
      <c r="V8" s="32" t="n">
        <v>85.2</v>
      </c>
      <c r="W8" s="32" t="n">
        <v>20.03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IF(B9=0,"",RANK(B9,$B$2:$B$346,0))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ASIANHOTNR</t>
        </is>
      </c>
      <c r="D9" s="31" t="inlineStr">
        <is>
          <t>Asian Hotels (north) Limited</t>
        </is>
      </c>
      <c r="E9" s="31" t="inlineStr">
        <is>
          <t>services</t>
        </is>
      </c>
      <c r="F9" s="31" t="inlineStr">
        <is>
          <t>hotels</t>
        </is>
      </c>
      <c r="G9" s="31" t="inlineStr">
        <is>
          <t>smallcap</t>
        </is>
      </c>
      <c r="H9" s="32" t="n">
        <v>1641.81</v>
      </c>
      <c r="I9" s="32" t="n">
        <v>390.45</v>
      </c>
      <c r="J9" s="32" t="n">
        <v>1.39</v>
      </c>
      <c r="K9" s="32" t="n">
        <v>28435</v>
      </c>
      <c r="L9" s="31" t="n">
        <v>38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69.48</v>
      </c>
      <c r="P9" s="32" t="n">
        <v>42.23</v>
      </c>
      <c r="Q9" s="32" t="n">
        <v>280.88</v>
      </c>
      <c r="R9" s="31" t="inlineStr">
        <is>
          <t>Near 52W High Breakout</t>
        </is>
      </c>
      <c r="S9" s="31" t="inlineStr">
        <is>
          <t>Nifty 50</t>
        </is>
      </c>
      <c r="T9" s="32" t="n">
        <v>-4.9</v>
      </c>
      <c r="U9" s="32" t="n">
        <v>22.71</v>
      </c>
      <c r="V9" s="32" t="n">
        <v>29.03</v>
      </c>
      <c r="W9" s="32" t="n">
        <v>11.41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IF(B10=0,"",RANK(B10,$B$2:$B$346,0))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MSTCLTD</t>
        </is>
      </c>
      <c r="D10" s="31" t="inlineStr">
        <is>
          <t>MSTC Ltd</t>
        </is>
      </c>
      <c r="E10" s="31" t="inlineStr">
        <is>
          <t>i.t</t>
        </is>
      </c>
      <c r="F10" s="31" t="inlineStr">
        <is>
          <t>trading</t>
        </is>
      </c>
      <c r="G10" s="31" t="inlineStr">
        <is>
          <t>midcap</t>
        </is>
      </c>
      <c r="H10" s="32" t="n">
        <v>5258.53</v>
      </c>
      <c r="I10" s="32" t="n">
        <v>752.25</v>
      </c>
      <c r="J10" s="32" t="n">
        <v>0.71</v>
      </c>
      <c r="K10" s="32" t="n">
        <v>143600</v>
      </c>
      <c r="L10" s="31" t="n">
        <v>55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68.48999999999999</v>
      </c>
      <c r="P10" s="32" t="n">
        <v>46.37</v>
      </c>
      <c r="Q10" s="32" t="n">
        <v>564.5</v>
      </c>
      <c r="R10" s="31" t="inlineStr">
        <is>
          <t>Near 52W High Breakout</t>
        </is>
      </c>
      <c r="S10" s="31" t="inlineStr">
        <is>
          <t>Nifty IT</t>
        </is>
      </c>
      <c r="T10" s="32" t="n">
        <v>-15.93</v>
      </c>
      <c r="U10" s="32" t="n">
        <v>59.9</v>
      </c>
      <c r="V10" s="32" t="n">
        <v>90.2</v>
      </c>
      <c r="W10" s="32" t="n">
        <v>17.28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IF(B11=0,"",RANK(B11,$B$2:$B$346,0))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VISHNU</t>
        </is>
      </c>
      <c r="D11" s="31" t="inlineStr">
        <is>
          <t>Vishnu Chemicals Limited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4852.76</v>
      </c>
      <c r="I11" s="32" t="n">
        <v>723.95</v>
      </c>
      <c r="J11" s="32" t="n">
        <v>0.42</v>
      </c>
      <c r="K11" s="32" t="n">
        <v>33418</v>
      </c>
      <c r="L11" s="31" t="n">
        <v>46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72.41</v>
      </c>
      <c r="P11" s="32" t="n">
        <v>45.16</v>
      </c>
      <c r="Q11" s="32" t="n">
        <v>587.76</v>
      </c>
      <c r="R11" s="31" t="inlineStr">
        <is>
          <t>Near 52W High Breakout</t>
        </is>
      </c>
      <c r="S11" s="31" t="inlineStr">
        <is>
          <t>Nifty 50</t>
        </is>
      </c>
      <c r="T11" s="32" t="n">
        <v>-4.9</v>
      </c>
      <c r="U11" s="32" t="n">
        <v>53.31</v>
      </c>
      <c r="V11" s="32" t="n">
        <v>61.2</v>
      </c>
      <c r="W11" s="32" t="n">
        <v>13.51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IF(B12=0,"",RANK(B12,$B$2:$B$346,0))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VINDHYATEL</t>
        </is>
      </c>
      <c r="D12" s="31" t="inlineStr">
        <is>
          <t>Vindhya Telelinks Limited</t>
        </is>
      </c>
      <c r="E12" s="31" t="inlineStr">
        <is>
          <t>realty</t>
        </is>
      </c>
      <c r="F12" s="31" t="inlineStr">
        <is>
          <t>construction</t>
        </is>
      </c>
      <c r="G12" s="31" t="inlineStr">
        <is>
          <t>smallcap</t>
        </is>
      </c>
      <c r="H12" s="32" t="n">
        <v>3395.75</v>
      </c>
      <c r="I12" s="32" t="n">
        <v>2864.6</v>
      </c>
      <c r="J12" s="32" t="n">
        <v>-0.03</v>
      </c>
      <c r="K12" s="32" t="n">
        <v>39450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70.19</v>
      </c>
      <c r="P12" s="32" t="n">
        <v>50.29</v>
      </c>
      <c r="Q12" s="32" t="n">
        <v>2070.59</v>
      </c>
      <c r="R12" s="31" t="inlineStr">
        <is>
          <t>Near 52W High Breakout</t>
        </is>
      </c>
      <c r="S12" s="31" t="inlineStr">
        <is>
          <t>Nifty Realty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IF(B13=0,"",RANK(B13,$B$2:$B$346,0))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TALBROAUTO</t>
        </is>
      </c>
      <c r="D13" s="31" t="inlineStr">
        <is>
          <t>Talbros Automotive Components Limited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smallcap</t>
        </is>
      </c>
      <c r="H13" s="32" t="n">
        <v>2933.94</v>
      </c>
      <c r="I13" s="32" t="n">
        <v>466.9</v>
      </c>
      <c r="J13" s="32" t="n">
        <v>-1.77</v>
      </c>
      <c r="K13" s="32" t="n">
        <v>206297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70.94</v>
      </c>
      <c r="P13" s="32" t="n">
        <v>46.27</v>
      </c>
      <c r="Q13" s="32" t="n">
        <v>372.19</v>
      </c>
      <c r="R13" s="31" t="inlineStr">
        <is>
          <t>Near 52W High Breakout</t>
        </is>
      </c>
      <c r="S13" s="31" t="inlineStr">
        <is>
          <t>Nifty Auto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IF(B14=0,"",RANK(B14,$B$2:$B$346,0))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AUROPHARMA</t>
        </is>
      </c>
      <c r="D14" s="31" t="inlineStr">
        <is>
          <t>Aurobindo Pharma Limited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largecap</t>
        </is>
      </c>
      <c r="H14" s="32" t="n">
        <v>97814.24000000001</v>
      </c>
      <c r="I14" s="32" t="n">
        <v>1721.5</v>
      </c>
      <c r="J14" s="32" t="n">
        <v>1.26</v>
      </c>
      <c r="K14" s="32" t="n">
        <v>951081</v>
      </c>
      <c r="L14" s="31" t="n">
        <v>41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72.2</v>
      </c>
      <c r="P14" s="32" t="n">
        <v>44.81</v>
      </c>
      <c r="Q14" s="32" t="n">
        <v>1501.99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26.25</v>
      </c>
      <c r="U14" s="32" t="n">
        <v>57.94</v>
      </c>
      <c r="V14" s="32" t="n">
        <v>25.1</v>
      </c>
      <c r="W14" s="32" t="n">
        <v>11.87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IF(B15=0,"",RANK(B15,$B$2:$B$346,0))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EMCURE</t>
        </is>
      </c>
      <c r="D15" s="31" t="inlineStr">
        <is>
          <t>Emcure Pharmaceuticals Ltd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largecap</t>
        </is>
      </c>
      <c r="H15" s="32" t="n">
        <v>37461.83</v>
      </c>
      <c r="I15" s="32" t="n">
        <v>1981.7</v>
      </c>
      <c r="J15" s="32" t="n">
        <v>0.34</v>
      </c>
      <c r="K15" s="32" t="n">
        <v>37562</v>
      </c>
      <c r="L15" s="31" t="n">
        <v>34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65.41</v>
      </c>
      <c r="P15" s="32" t="n">
        <v>60.07</v>
      </c>
      <c r="Q15" s="32" t="n">
        <v>1641.24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26.25</v>
      </c>
      <c r="U15" s="32" t="n">
        <v>54.61</v>
      </c>
      <c r="V15" s="32" t="n">
        <v>22.47</v>
      </c>
      <c r="W15" s="32" t="n">
        <v>10.38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IF(B16=0,"",RANK(B16,$B$2:$B$346,0))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AVTNPL</t>
        </is>
      </c>
      <c r="D16" s="31" t="inlineStr">
        <is>
          <t>Avt Natural Products Limited</t>
        </is>
      </c>
      <c r="E16" s="31" t="inlineStr">
        <is>
          <t>fmcg</t>
        </is>
      </c>
      <c r="F16" s="31" t="inlineStr">
        <is>
          <t>solvent extraction</t>
        </is>
      </c>
      <c r="G16" s="31" t="inlineStr">
        <is>
          <t>smallcap</t>
        </is>
      </c>
      <c r="H16" s="32" t="n">
        <v>1496.34</v>
      </c>
      <c r="I16" s="32" t="n">
        <v>96.88</v>
      </c>
      <c r="J16" s="32" t="n">
        <v>-1.4</v>
      </c>
      <c r="K16" s="32" t="n">
        <v>1064371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73.66</v>
      </c>
      <c r="P16" s="32" t="n">
        <v>46.3</v>
      </c>
      <c r="Q16" s="32" t="n">
        <v>75.95999999999999</v>
      </c>
      <c r="R16" s="31" t="inlineStr">
        <is>
          <t>Volume Spike &amp; Near 52W High Breakout</t>
        </is>
      </c>
      <c r="S16" s="31" t="inlineStr">
        <is>
          <t>Nifty FMCG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IF(B17=0,"",RANK(B17,$B$2:$B$346,0))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IPCALAB</t>
        </is>
      </c>
      <c r="D17" s="31" t="inlineStr">
        <is>
          <t>Ipca Laboratories Limited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largecap</t>
        </is>
      </c>
      <c r="H17" s="32" t="n">
        <v>50548.03</v>
      </c>
      <c r="I17" s="32" t="n">
        <v>1962.6</v>
      </c>
      <c r="J17" s="32" t="n">
        <v>-1.5</v>
      </c>
      <c r="K17" s="32" t="n">
        <v>159445</v>
      </c>
      <c r="L17" s="31" t="n">
        <v>43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66.53</v>
      </c>
      <c r="P17" s="32" t="n">
        <v>48.15</v>
      </c>
      <c r="Q17" s="32" t="n">
        <v>1653.74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26.25</v>
      </c>
      <c r="U17" s="32" t="n">
        <v>43.63</v>
      </c>
      <c r="V17" s="32" t="n">
        <v>13.77</v>
      </c>
      <c r="W17" s="32" t="n">
        <v>12.12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IF(B18=0,"",RANK(B18,$B$2:$B$346,0))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FILATEX</t>
        </is>
      </c>
      <c r="D18" s="31" t="inlineStr">
        <is>
          <t>Filatex India Limited</t>
        </is>
      </c>
      <c r="E18" s="31" t="inlineStr">
        <is>
          <t>textiles</t>
        </is>
      </c>
      <c r="F18" s="31" t="inlineStr">
        <is>
          <t>textiles - manmade</t>
        </is>
      </c>
      <c r="G18" s="31" t="inlineStr">
        <is>
          <t>smallcap</t>
        </is>
      </c>
      <c r="H18" s="32" t="n">
        <v>4488.1</v>
      </c>
      <c r="I18" s="32" t="n">
        <v>108.72</v>
      </c>
      <c r="J18" s="32" t="n">
        <v>7.57</v>
      </c>
      <c r="K18" s="32" t="n">
        <v>19496415</v>
      </c>
      <c r="L18" s="31" t="n">
        <v>93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83.53</v>
      </c>
      <c r="P18" s="32" t="n">
        <v>47.71</v>
      </c>
      <c r="Q18" s="32" t="n">
        <v>81.89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-4.9</v>
      </c>
      <c r="U18" s="32" t="n">
        <v>111.22</v>
      </c>
      <c r="V18" s="32" t="n">
        <v>122.1</v>
      </c>
      <c r="W18" s="32" t="n">
        <v>44.88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Between 12 to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IF(B19=0,"",RANK(B19,$B$2:$B$346,0))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ROLEXRINGS</t>
        </is>
      </c>
      <c r="D19" s="31" t="inlineStr">
        <is>
          <t>Rolex Rings Ltd</t>
        </is>
      </c>
      <c r="E19" s="31" t="inlineStr">
        <is>
          <t>auto</t>
        </is>
      </c>
      <c r="F19" s="31" t="inlineStr">
        <is>
          <t>auto ancillaries</t>
        </is>
      </c>
      <c r="G19" s="31" t="inlineStr">
        <is>
          <t>smallcap</t>
        </is>
      </c>
      <c r="H19" s="32" t="n">
        <v>4697.75</v>
      </c>
      <c r="I19" s="32" t="n">
        <v>183.58</v>
      </c>
      <c r="J19" s="32" t="n">
        <v>6.42</v>
      </c>
      <c r="K19" s="32" t="n">
        <v>7085323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65.06</v>
      </c>
      <c r="P19" s="32" t="n">
        <v>42.93</v>
      </c>
      <c r="Q19" s="32" t="n">
        <v>140.53</v>
      </c>
      <c r="R19" s="31" t="inlineStr">
        <is>
          <t>Near 52W High Breakout</t>
        </is>
      </c>
      <c r="S19" s="31" t="inlineStr">
        <is>
          <t>Nifty Auto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IF(B20=0,"",RANK(B20,$B$2:$B$346,0))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ICIL</t>
        </is>
      </c>
      <c r="D20" s="31" t="inlineStr">
        <is>
          <t>Indo Count Industries Limited</t>
        </is>
      </c>
      <c r="E20" s="31" t="inlineStr">
        <is>
          <t>textiles</t>
        </is>
      </c>
      <c r="F20" s="31" t="inlineStr">
        <is>
          <t>textiles - cotton/blended</t>
        </is>
      </c>
      <c r="G20" s="31" t="inlineStr">
        <is>
          <t>midcap</t>
        </is>
      </c>
      <c r="H20" s="32" t="n">
        <v>8890.66</v>
      </c>
      <c r="I20" s="32" t="n">
        <v>476.55</v>
      </c>
      <c r="J20" s="32" t="n">
        <v>6.16</v>
      </c>
      <c r="K20" s="32" t="n">
        <v>1924680</v>
      </c>
      <c r="L20" s="31" t="n">
        <v>54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68.66</v>
      </c>
      <c r="P20" s="32" t="n">
        <v>54.34</v>
      </c>
      <c r="Q20" s="32" t="n">
        <v>347.57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-4.9</v>
      </c>
      <c r="U20" s="32" t="n">
        <v>77.81999999999999</v>
      </c>
      <c r="V20" s="32" t="n">
        <v>86.98</v>
      </c>
      <c r="W20" s="32" t="n">
        <v>17.22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IF(B21=0,"",RANK(B21,$B$2:$B$346,0))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NRL</t>
        </is>
      </c>
      <c r="D21" s="31" t="inlineStr">
        <is>
          <t>Nupur Recyclers Ltd</t>
        </is>
      </c>
      <c r="E21" s="31" t="inlineStr">
        <is>
          <t>services</t>
        </is>
      </c>
      <c r="F21" s="31" t="inlineStr">
        <is>
          <t>trading</t>
        </is>
      </c>
      <c r="G21" s="31" t="inlineStr">
        <is>
          <t>smallcap</t>
        </is>
      </c>
      <c r="H21" s="32" t="n">
        <v>1093.71</v>
      </c>
      <c r="I21" s="32" t="n">
        <v>166.26</v>
      </c>
      <c r="J21" s="32" t="n">
        <v>5</v>
      </c>
      <c r="K21" s="32" t="n">
        <v>78481</v>
      </c>
      <c r="L21" s="31" t="n">
        <v>94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93.22</v>
      </c>
      <c r="P21" s="32" t="n">
        <v>74.05</v>
      </c>
      <c r="Q21" s="32" t="n">
        <v>138.4</v>
      </c>
      <c r="R21" s="31" t="inlineStr">
        <is>
          <t>Near 52W High Breakout</t>
        </is>
      </c>
      <c r="S21" s="31" t="inlineStr">
        <is>
          <t>Nifty 50</t>
        </is>
      </c>
      <c r="T21" s="32" t="n">
        <v>-4.9</v>
      </c>
      <c r="U21" s="32" t="n">
        <v>129.58</v>
      </c>
      <c r="V21" s="32" t="n">
        <v>141.4</v>
      </c>
      <c r="W21" s="32" t="n">
        <v>47.44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IF(B22=0,"",RANK(B22,$B$2:$B$346,0))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BHAGYANGR</t>
        </is>
      </c>
      <c r="D22" s="31" t="inlineStr">
        <is>
          <t>Bhagyanagar India</t>
        </is>
      </c>
      <c r="E22" s="31" t="inlineStr">
        <is>
          <t>power &amp; utilities</t>
        </is>
      </c>
      <c r="F22" s="31" t="inlineStr">
        <is>
          <t>power generation and supply</t>
        </is>
      </c>
      <c r="G22" s="31" t="inlineStr">
        <is>
          <t>smallcap</t>
        </is>
      </c>
      <c r="H22" s="32" t="n">
        <v>1427.12</v>
      </c>
      <c r="I22" s="32" t="n">
        <v>444.65</v>
      </c>
      <c r="J22" s="32" t="n">
        <v>4.37</v>
      </c>
      <c r="K22" s="32" t="n">
        <v>147276</v>
      </c>
      <c r="L22" s="31" t="n">
        <v>96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70.42</v>
      </c>
      <c r="P22" s="32" t="n">
        <v>66.04000000000001</v>
      </c>
      <c r="Q22" s="32" t="n">
        <v>314.45</v>
      </c>
      <c r="R22" s="31" t="inlineStr">
        <is>
          <t>Near 52W High Breakout</t>
        </is>
      </c>
      <c r="S22" s="31" t="inlineStr">
        <is>
          <t>Nifty IT</t>
        </is>
      </c>
      <c r="T22" s="32" t="n">
        <v>-15.93</v>
      </c>
      <c r="U22" s="32" t="n">
        <v>363.27</v>
      </c>
      <c r="V22" s="32" t="n">
        <v>451.04</v>
      </c>
      <c r="W22" s="32" t="n">
        <v>50.73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IF(B23=0,"",RANK(B23,$B$2:$B$346,0))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TBZ</t>
        </is>
      </c>
      <c r="D23" s="31" t="inlineStr">
        <is>
          <t>Tribhovandas Bhimji Zaveri Limited</t>
        </is>
      </c>
      <c r="E23" s="31" t="inlineStr">
        <is>
          <t>consumer discretionary</t>
        </is>
      </c>
      <c r="F23" s="31" t="inlineStr">
        <is>
          <t>diamond cutting / jewellery</t>
        </is>
      </c>
      <c r="G23" s="31" t="inlineStr">
        <is>
          <t>smallcap</t>
        </is>
      </c>
      <c r="H23" s="32" t="n">
        <v>4439.92</v>
      </c>
      <c r="I23" s="32" t="n">
        <v>692.45</v>
      </c>
      <c r="J23" s="32" t="n">
        <v>4.07</v>
      </c>
      <c r="K23" s="32" t="n">
        <v>835442</v>
      </c>
      <c r="L23" s="31" t="n">
        <v>99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93.25</v>
      </c>
      <c r="P23" s="32" t="n">
        <v>59.98</v>
      </c>
      <c r="Q23" s="32" t="n">
        <v>533.16</v>
      </c>
      <c r="R23" s="31" t="inlineStr">
        <is>
          <t>Near 52W High Breakout</t>
        </is>
      </c>
      <c r="S23" s="31" t="inlineStr">
        <is>
          <t>Nifty 50</t>
        </is>
      </c>
      <c r="T23" s="32" t="n">
        <v>-4.9</v>
      </c>
      <c r="U23" s="32" t="n">
        <v>285.34</v>
      </c>
      <c r="V23" s="32" t="n">
        <v>305.2</v>
      </c>
      <c r="W23" s="32" t="n">
        <v>114.07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IF(B24=0,"",RANK(B24,$B$2:$B$346,0))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SWANDEF</t>
        </is>
      </c>
      <c r="D24" s="31" t="inlineStr">
        <is>
          <t>Swan Defence and Heavy Industries Ltd</t>
        </is>
      </c>
      <c r="E24" s="31" t="inlineStr">
        <is>
          <t>transportation</t>
        </is>
      </c>
      <c r="F24" s="31" t="inlineStr">
        <is>
          <t>miscellaneous</t>
        </is>
      </c>
      <c r="G24" s="31" t="inlineStr">
        <is>
          <t>midcap</t>
        </is>
      </c>
      <c r="H24" s="32" t="n">
        <v>14340.08</v>
      </c>
      <c r="I24" s="32" t="n">
        <v>2776.2</v>
      </c>
      <c r="J24" s="32" t="n">
        <v>1.99</v>
      </c>
      <c r="K24" s="32" t="n">
        <v>36316</v>
      </c>
      <c r="L24" s="31" t="n">
        <v>95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69.44</v>
      </c>
      <c r="P24" s="32" t="n">
        <v>57.01</v>
      </c>
      <c r="Q24" s="32" t="n">
        <v>2123.03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-4.9</v>
      </c>
      <c r="U24" s="32" t="n">
        <v>381.06</v>
      </c>
      <c r="V24" s="32" t="n">
        <v>405.84</v>
      </c>
      <c r="W24" s="32" t="n">
        <v>47.73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More than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IF(B25=0,"",RANK(B25,$B$2:$B$346,0))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SPECIALITY</t>
        </is>
      </c>
      <c r="D25" s="31" t="inlineStr">
        <is>
          <t>Speciality Restaurants Limited</t>
        </is>
      </c>
      <c r="E25" s="31" t="inlineStr">
        <is>
          <t>services</t>
        </is>
      </c>
      <c r="F25" s="31" t="inlineStr">
        <is>
          <t>hotels</t>
        </is>
      </c>
      <c r="G25" s="31" t="inlineStr">
        <is>
          <t>smallcap</t>
        </is>
      </c>
      <c r="H25" s="32" t="n">
        <v>721.27</v>
      </c>
      <c r="I25" s="32" t="n">
        <v>152.45</v>
      </c>
      <c r="J25" s="32" t="n">
        <v>1.95</v>
      </c>
      <c r="K25" s="32" t="n">
        <v>36639</v>
      </c>
      <c r="L25" s="31" t="n">
        <v>33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69.03</v>
      </c>
      <c r="P25" s="32" t="n">
        <v>43.15</v>
      </c>
      <c r="Q25" s="32" t="n">
        <v>111.86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-4.9</v>
      </c>
      <c r="U25" s="32" t="n">
        <v>21.08</v>
      </c>
      <c r="V25" s="32" t="n">
        <v>27.32</v>
      </c>
      <c r="W25" s="32" t="n">
        <v>10.32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IF(B26=0,"",RANK(B26,$B$2:$B$346,0))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UNIVPHOTO</t>
        </is>
      </c>
      <c r="D26" s="31" t="inlineStr">
        <is>
          <t>Universus Photo Imagings Ltd</t>
        </is>
      </c>
      <c r="E26" s="31" t="inlineStr">
        <is>
          <t>consumer discretionary</t>
        </is>
      </c>
      <c r="F26" s="31" t="inlineStr">
        <is>
          <t>photographic and allied products</t>
        </is>
      </c>
      <c r="G26" s="31" t="inlineStr">
        <is>
          <t>smallcap</t>
        </is>
      </c>
      <c r="H26" s="32" t="n">
        <v>645.47</v>
      </c>
      <c r="I26" s="32" t="n">
        <v>577.05</v>
      </c>
      <c r="J26" s="32" t="n">
        <v>-2.14</v>
      </c>
      <c r="K26" s="32" t="n">
        <v>1036</v>
      </c>
      <c r="L26" s="31" t="n">
        <v>88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70.95999999999999</v>
      </c>
      <c r="P26" s="32" t="n">
        <v>25.07</v>
      </c>
      <c r="Q26" s="32" t="n">
        <v>430.7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-4.9</v>
      </c>
      <c r="U26" s="32" t="n">
        <v>125.59</v>
      </c>
      <c r="V26" s="32" t="n">
        <v>137.21</v>
      </c>
      <c r="W26" s="32" t="n">
        <v>34.81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IF(B27=0,"",RANK(B27,$B$2:$B$346,0))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E2E</t>
        </is>
      </c>
      <c r="D27" s="31" t="inlineStr">
        <is>
          <t>E2E Networks Ltd</t>
        </is>
      </c>
      <c r="E27" s="31" t="inlineStr">
        <is>
          <t>i.t</t>
        </is>
      </c>
      <c r="F27" s="31" t="inlineStr">
        <is>
          <t>computers - software - medium / small</t>
        </is>
      </c>
      <c r="G27" s="31" t="inlineStr">
        <is>
          <t>midcap</t>
        </is>
      </c>
      <c r="H27" s="32" t="n">
        <v>12435.65</v>
      </c>
      <c r="I27" s="32" t="n">
        <v>635.15</v>
      </c>
      <c r="J27" s="32" t="n">
        <v>4.99</v>
      </c>
      <c r="K27" s="32" t="n">
        <v>1183557</v>
      </c>
      <c r="L27" s="31" t="n">
        <v>85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71.61</v>
      </c>
      <c r="P27" s="32" t="n">
        <v>52.81</v>
      </c>
      <c r="Q27" s="32" t="n">
        <v>480.81</v>
      </c>
      <c r="R27" s="31" t="inlineStr">
        <is>
          <t>Near 52W High Breakout</t>
        </is>
      </c>
      <c r="S27" s="31" t="inlineStr">
        <is>
          <t>Nifty IT</t>
        </is>
      </c>
      <c r="T27" s="32" t="n">
        <v>-15.93</v>
      </c>
      <c r="U27" s="32" t="n">
        <v>84.06</v>
      </c>
      <c r="V27" s="32" t="n">
        <v>118.93</v>
      </c>
      <c r="W27" s="32" t="n">
        <v>32.95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IF(B28=0,"",RANK(B28,$B$2:$B$346,0))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IOLCP</t>
        </is>
      </c>
      <c r="D28" s="31" t="inlineStr">
        <is>
          <t>Iol Chemicals And Pharmaceuticals Limited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5882</v>
      </c>
      <c r="I28" s="32" t="n">
        <v>206.6</v>
      </c>
      <c r="J28" s="32" t="n">
        <v>3.1</v>
      </c>
      <c r="K28" s="32" t="n">
        <v>3474298</v>
      </c>
      <c r="L28" s="31" t="n">
        <v>83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77.93000000000001</v>
      </c>
      <c r="P28" s="32" t="n">
        <v>80.13</v>
      </c>
      <c r="Q28" s="32" t="n">
        <v>149.56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26.25</v>
      </c>
      <c r="U28" s="32" t="n">
        <v>101.6</v>
      </c>
      <c r="V28" s="32" t="n">
        <v>59.69</v>
      </c>
      <c r="W28" s="32" t="n">
        <v>31.21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IF(B29=0,"",RANK(B29,$B$2:$B$346,0))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SHANTIGOLD</t>
        </is>
      </c>
      <c r="D29" s="31" t="inlineStr">
        <is>
          <t>Shanti Gold International Ltd</t>
        </is>
      </c>
      <c r="E29" s="31" t="inlineStr">
        <is>
          <t>consumer discretionary</t>
        </is>
      </c>
      <c r="F29" s="31" t="inlineStr">
        <is>
          <t>diamond cutting / jewellery</t>
        </is>
      </c>
      <c r="G29" s="31" t="inlineStr">
        <is>
          <t>smallcap</t>
        </is>
      </c>
      <c r="H29" s="32" t="n">
        <v>1980.19</v>
      </c>
      <c r="I29" s="32" t="n">
        <v>288.07</v>
      </c>
      <c r="J29" s="32" t="n">
        <v>11.64</v>
      </c>
      <c r="K29" s="32" t="n">
        <v>12582362</v>
      </c>
      <c r="L29" s="31" t="n">
        <v>46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68.51000000000001</v>
      </c>
      <c r="P29" s="32" t="n">
        <v>38.51</v>
      </c>
      <c r="Q29" s="32" t="n">
        <v>212.12</v>
      </c>
      <c r="R29" s="31" t="inlineStr">
        <is>
          <t>Near 52W High Breakout</t>
        </is>
      </c>
      <c r="S29" s="31" t="inlineStr">
        <is>
          <t>Nifty 50</t>
        </is>
      </c>
      <c r="T29" s="32" t="n">
        <v>-4.9</v>
      </c>
      <c r="U29" s="32" t="n">
        <v>31.94</v>
      </c>
      <c r="V29" s="32" t="n">
        <v>38.74</v>
      </c>
      <c r="W29" s="32" t="n">
        <v>13.68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IF(B30=0,"",RANK(B30,$B$2:$B$346,0))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KROSS</t>
        </is>
      </c>
      <c r="D30" s="31" t="inlineStr">
        <is>
          <t>Kross Ltd</t>
        </is>
      </c>
      <c r="E30" s="31" t="inlineStr">
        <is>
          <t>auto</t>
        </is>
      </c>
      <c r="F30" s="31" t="inlineStr">
        <is>
          <t>auto ancillaries</t>
        </is>
      </c>
      <c r="G30" s="31" t="inlineStr">
        <is>
          <t>smallcap</t>
        </is>
      </c>
      <c r="H30" s="32" t="n">
        <v>1652.28</v>
      </c>
      <c r="I30" s="32" t="n">
        <v>278.56</v>
      </c>
      <c r="J30" s="32" t="n">
        <v>8.76</v>
      </c>
      <c r="K30" s="32" t="n">
        <v>6104799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74.76000000000001</v>
      </c>
      <c r="P30" s="32" t="n">
        <v>33.22</v>
      </c>
      <c r="Q30" s="32" t="n">
        <v>214.46</v>
      </c>
      <c r="R30" s="31" t="inlineStr">
        <is>
          <t>Volume Spike &amp; Near 52W High Breakout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IF(B31=0,"",RANK(B31,$B$2:$B$346,0))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VINCOFE</t>
        </is>
      </c>
      <c r="D31" s="31" t="inlineStr">
        <is>
          <t>Vintage Coffee &amp; Beverages Ltd</t>
        </is>
      </c>
      <c r="E31" s="31" t="inlineStr">
        <is>
          <t>consumer discretionary</t>
        </is>
      </c>
      <c r="F31" s="31" t="inlineStr">
        <is>
          <t>trading</t>
        </is>
      </c>
      <c r="G31" s="31" t="inlineStr">
        <is>
          <t>smallcap</t>
        </is>
      </c>
      <c r="H31" s="32" t="n">
        <v>2537.89</v>
      </c>
      <c r="I31" s="32" t="n">
        <v>183.79</v>
      </c>
      <c r="J31" s="32" t="n">
        <v>5.51</v>
      </c>
      <c r="K31" s="32" t="n">
        <v>2596563</v>
      </c>
      <c r="L31" s="31" t="n">
        <v>31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67.28</v>
      </c>
      <c r="P31" s="32" t="n">
        <v>28.71</v>
      </c>
      <c r="Q31" s="32" t="n">
        <v>138.48</v>
      </c>
      <c r="R31" s="31" t="inlineStr">
        <is>
          <t>Near 52W High Breakout</t>
        </is>
      </c>
      <c r="S31" s="31" t="inlineStr">
        <is>
          <t>Nifty 50</t>
        </is>
      </c>
      <c r="T31" s="32" t="n">
        <v>-4.9</v>
      </c>
      <c r="U31" s="32" t="n">
        <v>24.3</v>
      </c>
      <c r="V31" s="32" t="n">
        <v>30.7</v>
      </c>
      <c r="W31" s="32" t="n">
        <v>9.52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IF(B32=0,"",RANK(B32,$B$2:$B$346,0))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CYIENTDLM</t>
        </is>
      </c>
      <c r="D32" s="31" t="inlineStr">
        <is>
          <t>Cyient DLM Ltd</t>
        </is>
      </c>
      <c r="E32" s="31" t="inlineStr">
        <is>
          <t>aerospace &amp; defence</t>
        </is>
      </c>
      <c r="F32" s="31" t="inlineStr">
        <is>
          <t>electronics - components</t>
        </is>
      </c>
      <c r="G32" s="31" t="inlineStr">
        <is>
          <t>midcap</t>
        </is>
      </c>
      <c r="H32" s="32" t="n">
        <v>7281.04</v>
      </c>
      <c r="I32" s="32" t="n">
        <v>963.5</v>
      </c>
      <c r="J32" s="32" t="n">
        <v>5.05</v>
      </c>
      <c r="K32" s="32" t="n">
        <v>523966</v>
      </c>
      <c r="L32" s="31" t="n">
        <v>95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92.41</v>
      </c>
      <c r="P32" s="32" t="n">
        <v>77.31</v>
      </c>
      <c r="Q32" s="32" t="n">
        <v>745.7</v>
      </c>
      <c r="R32" s="31" t="inlineStr">
        <is>
          <t>Near 52W High Breakout</t>
        </is>
      </c>
      <c r="S32" s="31" t="inlineStr">
        <is>
          <t>Nifty 50</t>
        </is>
      </c>
      <c r="T32" s="32" t="n">
        <v>-4.9</v>
      </c>
      <c r="U32" s="32" t="n">
        <v>122</v>
      </c>
      <c r="V32" s="32" t="n">
        <v>133.44</v>
      </c>
      <c r="W32" s="32" t="n">
        <v>48.88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IF(B33=0,"",RANK(B33,$B$2:$B$346,0))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CPPLUS</t>
        </is>
      </c>
      <c r="D33" s="31" t="inlineStr">
        <is>
          <t>Aditya Infotech Ltd</t>
        </is>
      </c>
      <c r="E33" s="31" t="inlineStr">
        <is>
          <t>consumer discretionary</t>
        </is>
      </c>
      <c r="F33" s="31" t="inlineStr">
        <is>
          <t>trading</t>
        </is>
      </c>
      <c r="G33" s="31" t="inlineStr">
        <is>
          <t>largecap</t>
        </is>
      </c>
      <c r="H33" s="32" t="n">
        <v>43009.53</v>
      </c>
      <c r="I33" s="32" t="n">
        <v>3831.9</v>
      </c>
      <c r="J33" s="32" t="n">
        <v>5</v>
      </c>
      <c r="K33" s="32" t="n">
        <v>305859</v>
      </c>
      <c r="L33" s="31" t="n">
        <v>81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65.06999999999999</v>
      </c>
      <c r="P33" s="32" t="n">
        <v>51.05</v>
      </c>
      <c r="Q33" s="32" t="n">
        <v>2816.98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-4.9</v>
      </c>
      <c r="U33" s="32" t="n">
        <v>205.54</v>
      </c>
      <c r="V33" s="32" t="n">
        <v>221.28</v>
      </c>
      <c r="W33" s="32" t="n">
        <v>30.32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IF(B34=0,"",RANK(B34,$B$2:$B$346,0))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IGPL</t>
        </is>
      </c>
      <c r="D34" s="31" t="inlineStr">
        <is>
          <t>Ig Petrochemicals Limited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smallcap</t>
        </is>
      </c>
      <c r="H34" s="32" t="n">
        <v>1734.98</v>
      </c>
      <c r="I34" s="32" t="n">
        <v>588.95</v>
      </c>
      <c r="J34" s="32" t="n">
        <v>4.54</v>
      </c>
      <c r="K34" s="32" t="n">
        <v>237014</v>
      </c>
      <c r="L34" s="31" t="n">
        <v>50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71.25</v>
      </c>
      <c r="P34" s="32" t="n">
        <v>33.42</v>
      </c>
      <c r="Q34" s="32" t="n">
        <v>461.56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-4.9</v>
      </c>
      <c r="U34" s="32" t="n">
        <v>42.42</v>
      </c>
      <c r="V34" s="32" t="n">
        <v>49.75</v>
      </c>
      <c r="W34" s="32" t="n">
        <v>15.56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IF(B35=0,"",RANK(B35,$B$2:$B$346,0))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MARINE</t>
        </is>
      </c>
      <c r="D35" s="31" t="inlineStr">
        <is>
          <t>Marine Electricals (India) Ltd</t>
        </is>
      </c>
      <c r="E35" s="31" t="inlineStr">
        <is>
          <t>industrials</t>
        </is>
      </c>
      <c r="F35" s="31" t="inlineStr">
        <is>
          <t>electric equipment</t>
        </is>
      </c>
      <c r="G35" s="31" t="inlineStr">
        <is>
          <t>midcap</t>
        </is>
      </c>
      <c r="H35" s="32" t="n">
        <v>5758.01</v>
      </c>
      <c r="I35" s="32" t="n">
        <v>425.8</v>
      </c>
      <c r="J35" s="32" t="n">
        <v>3.49</v>
      </c>
      <c r="K35" s="32" t="n">
        <v>19063839</v>
      </c>
      <c r="L35" s="31" t="n">
        <v>83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71.13</v>
      </c>
      <c r="P35" s="32" t="n">
        <v>48.69</v>
      </c>
      <c r="Q35" s="32" t="n">
        <v>307.98</v>
      </c>
      <c r="R35" s="31" t="inlineStr">
        <is>
          <t>Volume Spike &amp; Near 52W High Breakout</t>
        </is>
      </c>
      <c r="S35" s="31" t="inlineStr">
        <is>
          <t>Nifty 50</t>
        </is>
      </c>
      <c r="T35" s="32" t="n">
        <v>-4.9</v>
      </c>
      <c r="U35" s="32" t="n">
        <v>100.58</v>
      </c>
      <c r="V35" s="32" t="n">
        <v>110.91</v>
      </c>
      <c r="W35" s="32" t="n">
        <v>32.01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IF(B36=0,"",RANK(B36,$B$2:$B$346,0))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CEIGALL</t>
        </is>
      </c>
      <c r="D36" s="31" t="inlineStr">
        <is>
          <t>Ceigall India Ltd</t>
        </is>
      </c>
      <c r="E36" s="31" t="inlineStr">
        <is>
          <t>realty</t>
        </is>
      </c>
      <c r="F36" s="31" t="inlineStr">
        <is>
          <t>construction</t>
        </is>
      </c>
      <c r="G36" s="31" t="inlineStr">
        <is>
          <t>midcap</t>
        </is>
      </c>
      <c r="H36" s="32" t="n">
        <v>6571.01</v>
      </c>
      <c r="I36" s="32" t="n">
        <v>388.85</v>
      </c>
      <c r="J36" s="32" t="n">
        <v>3.09</v>
      </c>
      <c r="K36" s="32" t="n">
        <v>610450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65.25</v>
      </c>
      <c r="P36" s="32" t="n">
        <v>28.25</v>
      </c>
      <c r="Q36" s="32" t="n">
        <v>307.76</v>
      </c>
      <c r="R36" s="31" t="inlineStr">
        <is>
          <t>Near 52W High Breakout</t>
        </is>
      </c>
      <c r="S36" s="31" t="inlineStr">
        <is>
          <t>Nifty Realty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IF(B37=0,"",RANK(B37,$B$2:$B$346,0))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CONFIPET</t>
        </is>
      </c>
      <c r="D37" s="31" t="inlineStr">
        <is>
          <t>Confidence Petroleum India Ltd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smallcap</t>
        </is>
      </c>
      <c r="H37" s="32" t="n">
        <v>2882.52</v>
      </c>
      <c r="I37" s="32" t="n">
        <v>89.12</v>
      </c>
      <c r="J37" s="32" t="n">
        <v>2.72</v>
      </c>
      <c r="K37" s="32" t="n">
        <v>5623265</v>
      </c>
      <c r="L37" s="31" t="n">
        <v>72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68.95999999999999</v>
      </c>
      <c r="P37" s="32" t="n">
        <v>59.07</v>
      </c>
      <c r="Q37" s="32" t="n">
        <v>65.58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-4.9</v>
      </c>
      <c r="U37" s="32" t="n">
        <v>96.09</v>
      </c>
      <c r="V37" s="32" t="n">
        <v>106.2</v>
      </c>
      <c r="W37" s="32" t="n">
        <v>24.02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IF(B38=0,"",RANK(B38,$B$2:$B$346,0))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MBECL</t>
        </is>
      </c>
      <c r="D38" s="31" t="inlineStr">
        <is>
          <t>Mcnally Bharat Engineering Company Limited</t>
        </is>
      </c>
      <c r="E38" s="31" t="inlineStr">
        <is>
          <t>realty</t>
        </is>
      </c>
      <c r="F38" s="31" t="inlineStr">
        <is>
          <t>engineering - turnkey services</t>
        </is>
      </c>
      <c r="G38" s="31" t="inlineStr">
        <is>
          <t>smallcap</t>
        </is>
      </c>
      <c r="H38" s="32" t="n">
        <v>1433.63</v>
      </c>
      <c r="I38" s="32" t="n">
        <v>438.69</v>
      </c>
      <c r="J38" s="32" t="n">
        <v>2</v>
      </c>
      <c r="K38" s="32" t="n">
        <v>2485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99.98</v>
      </c>
      <c r="P38" s="32" t="n">
        <v>64.65000000000001</v>
      </c>
      <c r="Q38" s="32" t="n">
        <v>369.94</v>
      </c>
      <c r="R38" s="31" t="inlineStr">
        <is>
          <t>Volume Spike &amp; Near 52W High Breakout</t>
        </is>
      </c>
      <c r="S38" s="31" t="inlineStr">
        <is>
          <t>Nifty Realty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IF(B39=0,"",RANK(B39,$B$2:$B$346,0))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SSWL</t>
        </is>
      </c>
      <c r="D39" s="31" t="inlineStr">
        <is>
          <t>Steel Strips Wheels Limited</t>
        </is>
      </c>
      <c r="E39" s="31" t="inlineStr">
        <is>
          <t>auto</t>
        </is>
      </c>
      <c r="F39" s="31" t="inlineStr">
        <is>
          <t>auto ancillaries</t>
        </is>
      </c>
      <c r="G39" s="31" t="inlineStr">
        <is>
          <t>midcap</t>
        </is>
      </c>
      <c r="H39" s="32" t="n">
        <v>5733.94</v>
      </c>
      <c r="I39" s="32" t="n">
        <v>371.95</v>
      </c>
      <c r="J39" s="32" t="n">
        <v>1.96</v>
      </c>
      <c r="K39" s="32" t="n">
        <v>1061277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79.62</v>
      </c>
      <c r="P39" s="32" t="n">
        <v>45.69</v>
      </c>
      <c r="Q39" s="32" t="n">
        <v>290.32</v>
      </c>
      <c r="R39" s="31" t="inlineStr">
        <is>
          <t>Near 52W High Breakout</t>
        </is>
      </c>
      <c r="S39" s="31" t="inlineStr">
        <is>
          <t>Nifty Auto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IF(B40=0,"",RANK(B40,$B$2:$B$346,0))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KINGFA</t>
        </is>
      </c>
      <c r="D40" s="31" t="inlineStr">
        <is>
          <t>Kingfa Science &amp; Technology (india) Limited</t>
        </is>
      </c>
      <c r="E40" s="31" t="inlineStr">
        <is>
          <t>plastic products</t>
        </is>
      </c>
      <c r="F40" s="31" t="inlineStr">
        <is>
          <t>plastics products</t>
        </is>
      </c>
      <c r="G40" s="31" t="inlineStr">
        <is>
          <t>midcap</t>
        </is>
      </c>
      <c r="H40" s="32" t="n">
        <v>8359.17</v>
      </c>
      <c r="I40" s="32" t="n">
        <v>6240.5</v>
      </c>
      <c r="J40" s="32" t="n">
        <v>1.17</v>
      </c>
      <c r="K40" s="32" t="n">
        <v>7818</v>
      </c>
      <c r="L40" s="31" t="n">
        <v>44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68.03</v>
      </c>
      <c r="P40" s="32" t="n">
        <v>39.52</v>
      </c>
      <c r="Q40" s="32" t="n">
        <v>4964.81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-4.9</v>
      </c>
      <c r="U40" s="32" t="n">
        <v>44.08</v>
      </c>
      <c r="V40" s="32" t="n">
        <v>51.5</v>
      </c>
      <c r="W40" s="32" t="n">
        <v>13.13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IF(B41=0,"",RANK(B41,$B$2:$B$346,0))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QUADFUTURE</t>
        </is>
      </c>
      <c r="D41" s="31" t="inlineStr">
        <is>
          <t>Quadrant Future Tek Ltd</t>
        </is>
      </c>
      <c r="E41" s="31" t="inlineStr">
        <is>
          <t>industrials</t>
        </is>
      </c>
      <c r="F41" s="31" t="inlineStr">
        <is>
          <t>cables - power</t>
        </is>
      </c>
      <c r="G41" s="31" t="inlineStr">
        <is>
          <t>smallcap</t>
        </is>
      </c>
      <c r="H41" s="32" t="n">
        <v>2089.6</v>
      </c>
      <c r="I41" s="32" t="n">
        <v>526.55</v>
      </c>
      <c r="J41" s="32" t="n">
        <v>0.79</v>
      </c>
      <c r="K41" s="32" t="n">
        <v>298871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70.08</v>
      </c>
      <c r="P41" s="32" t="n">
        <v>40.31</v>
      </c>
      <c r="Q41" s="32" t="n">
        <v>373.25</v>
      </c>
      <c r="R41" s="31" t="inlineStr">
        <is>
          <t>Near 52W High Breakout</t>
        </is>
      </c>
      <c r="S41" s="31" t="inlineStr">
        <is>
          <t>Nifty Energy</t>
        </is>
      </c>
      <c r="T41" s="32" t="inlineStr"/>
      <c r="U41" s="32" t="inlineStr"/>
      <c r="V41" s="32" t="inlineStr"/>
      <c r="W41" s="32" t="inlineStr"/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IF(B42=0,"",RANK(B42,$B$2:$B$346,0))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RML</t>
        </is>
      </c>
      <c r="D42" s="31" t="inlineStr">
        <is>
          <t>Rane (madras) Limited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smallcap</t>
        </is>
      </c>
      <c r="H42" s="32" t="n">
        <v>3725.21</v>
      </c>
      <c r="I42" s="32" t="n">
        <v>1356.7</v>
      </c>
      <c r="J42" s="32" t="n">
        <v>0.65</v>
      </c>
      <c r="K42" s="32" t="n">
        <v>25789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67.83</v>
      </c>
      <c r="P42" s="32" t="n">
        <v>56.5</v>
      </c>
      <c r="Q42" s="32" t="n">
        <v>1012.54</v>
      </c>
      <c r="R42" s="31" t="inlineStr">
        <is>
          <t>Near 52W High Breakout</t>
        </is>
      </c>
      <c r="S42" s="31" t="inlineStr">
        <is>
          <t>Nifty Auto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IF(B43=0,"",RANK(B43,$B$2:$B$346,0))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GHCLTEXTIL</t>
        </is>
      </c>
      <c r="D43" s="31" t="inlineStr">
        <is>
          <t>GHCL Textiles Ltd</t>
        </is>
      </c>
      <c r="E43" s="31" t="inlineStr">
        <is>
          <t>textiles</t>
        </is>
      </c>
      <c r="F43" s="31" t="inlineStr">
        <is>
          <t>textiles - spinning - synthetic / blended</t>
        </is>
      </c>
      <c r="G43" s="31" t="inlineStr">
        <is>
          <t>smallcap</t>
        </is>
      </c>
      <c r="H43" s="32" t="n">
        <v>1280.08</v>
      </c>
      <c r="I43" s="32" t="n">
        <v>134.61</v>
      </c>
      <c r="J43" s="32" t="n">
        <v>0.52</v>
      </c>
      <c r="K43" s="32" t="n">
        <v>479396</v>
      </c>
      <c r="L43" s="31" t="n">
        <v>70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68.84</v>
      </c>
      <c r="P43" s="32" t="n">
        <v>48.35</v>
      </c>
      <c r="Q43" s="32" t="n">
        <v>104.18</v>
      </c>
      <c r="R43" s="31" t="inlineStr">
        <is>
          <t>Near 52W High Breakout</t>
        </is>
      </c>
      <c r="S43" s="31" t="inlineStr">
        <is>
          <t>Nifty 50</t>
        </is>
      </c>
      <c r="T43" s="32" t="n">
        <v>-4.9</v>
      </c>
      <c r="U43" s="32" t="n">
        <v>75.11</v>
      </c>
      <c r="V43" s="32" t="n">
        <v>84.13</v>
      </c>
      <c r="W43" s="32" t="n">
        <v>22.98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IF(B44=0,"",RANK(B44,$B$2:$B$346,0))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IRISDOREME</t>
        </is>
      </c>
      <c r="D44" s="31" t="inlineStr">
        <is>
          <t>Iris Clothings Ltd</t>
        </is>
      </c>
      <c r="E44" s="31" t="inlineStr">
        <is>
          <t>consumer discretionary</t>
        </is>
      </c>
      <c r="F44" s="31" t="inlineStr">
        <is>
          <t>textiles - products</t>
        </is>
      </c>
      <c r="G44" s="31" t="inlineStr">
        <is>
          <t>smallcap</t>
        </is>
      </c>
      <c r="H44" s="32" t="n">
        <v>1260.76</v>
      </c>
      <c r="I44" s="32" t="n">
        <v>66.26000000000001</v>
      </c>
      <c r="J44" s="32" t="n">
        <v>0.03</v>
      </c>
      <c r="K44" s="32" t="n">
        <v>392682</v>
      </c>
      <c r="L44" s="31" t="n">
        <v>87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82.59</v>
      </c>
      <c r="P44" s="32" t="n">
        <v>55.69</v>
      </c>
      <c r="Q44" s="32" t="n">
        <v>51.66</v>
      </c>
      <c r="R44" s="31" t="inlineStr">
        <is>
          <t>Near 52W High Breakout</t>
        </is>
      </c>
      <c r="S44" s="31" t="inlineStr">
        <is>
          <t>Nifty 50</t>
        </is>
      </c>
      <c r="T44" s="32" t="n">
        <v>-4.9</v>
      </c>
      <c r="U44" s="32" t="n">
        <v>107.65</v>
      </c>
      <c r="V44" s="32" t="n">
        <v>118.34</v>
      </c>
      <c r="W44" s="32" t="n">
        <v>33.79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IF(B45=0,"",RANK(B45,$B$2:$B$346,0))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IL&amp;FSENGG</t>
        </is>
      </c>
      <c r="D45" s="31" t="inlineStr">
        <is>
          <t>Il&amp;fs Engineering And Construction Company Limited</t>
        </is>
      </c>
      <c r="E45" s="31" t="inlineStr">
        <is>
          <t>realty</t>
        </is>
      </c>
      <c r="F45" s="31" t="inlineStr">
        <is>
          <t>construction</t>
        </is>
      </c>
      <c r="G45" s="31" t="inlineStr">
        <is>
          <t>smallcap</t>
        </is>
      </c>
      <c r="H45" s="32" t="n">
        <v>556.08</v>
      </c>
      <c r="I45" s="32" t="n">
        <v>42</v>
      </c>
      <c r="J45" s="32" t="n">
        <v>-0.97</v>
      </c>
      <c r="K45" s="32" t="n">
        <v>19869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71.34999999999999</v>
      </c>
      <c r="P45" s="32" t="n">
        <v>41.88</v>
      </c>
      <c r="Q45" s="32" t="n">
        <v>31.08</v>
      </c>
      <c r="R45" s="31" t="inlineStr">
        <is>
          <t>Near 52W High Breakout</t>
        </is>
      </c>
      <c r="S45" s="31" t="inlineStr">
        <is>
          <t>Nifty Realty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IF(B46=0,"",RANK(B46,$B$2:$B$346,0))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AEGISLOG</t>
        </is>
      </c>
      <c r="D46" s="31" t="inlineStr">
        <is>
          <t>Aegis Logistics Ltd</t>
        </is>
      </c>
      <c r="E46" s="31" t="inlineStr">
        <is>
          <t>services</t>
        </is>
      </c>
      <c r="F46" s="31" t="inlineStr">
        <is>
          <t>trading</t>
        </is>
      </c>
      <c r="G46" s="31" t="inlineStr">
        <is>
          <t>largecap</t>
        </is>
      </c>
      <c r="H46" s="32" t="n">
        <v>49999.95</v>
      </c>
      <c r="I46" s="32" t="n">
        <v>1404.5</v>
      </c>
      <c r="J46" s="32" t="n">
        <v>-1.4</v>
      </c>
      <c r="K46" s="32" t="n">
        <v>447832</v>
      </c>
      <c r="L46" s="31" t="n">
        <v>71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66.55</v>
      </c>
      <c r="P46" s="32" t="n">
        <v>60.43</v>
      </c>
      <c r="Q46" s="32" t="n">
        <v>1023.27</v>
      </c>
      <c r="R46" s="31" t="inlineStr">
        <is>
          <t>Near 52W High Breakout</t>
        </is>
      </c>
      <c r="S46" s="31" t="inlineStr">
        <is>
          <t>Nifty 50</t>
        </is>
      </c>
      <c r="T46" s="32" t="n">
        <v>-4.9</v>
      </c>
      <c r="U46" s="32" t="n">
        <v>88.64</v>
      </c>
      <c r="V46" s="32" t="n">
        <v>98.36</v>
      </c>
      <c r="W46" s="32" t="n">
        <v>23.03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IF(B47=0,"",RANK(B47,$B$2:$B$346,0))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MACPOWER</t>
        </is>
      </c>
      <c r="D47" s="31" t="inlineStr">
        <is>
          <t>Macpower CNC Machines Ltd</t>
        </is>
      </c>
      <c r="E47" s="31" t="inlineStr">
        <is>
          <t>industrials</t>
        </is>
      </c>
      <c r="F47" s="31" t="inlineStr">
        <is>
          <t>engineering</t>
        </is>
      </c>
      <c r="G47" s="31" t="inlineStr">
        <is>
          <t>smallcap</t>
        </is>
      </c>
      <c r="H47" s="32" t="n">
        <v>2097.37</v>
      </c>
      <c r="I47" s="32" t="n">
        <v>2059.5</v>
      </c>
      <c r="J47" s="32" t="n">
        <v>-1.76</v>
      </c>
      <c r="K47" s="32" t="n">
        <v>43775</v>
      </c>
      <c r="L47" s="31" t="n">
        <v>92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72.95999999999999</v>
      </c>
      <c r="P47" s="32" t="n">
        <v>51.89</v>
      </c>
      <c r="Q47" s="32" t="n">
        <v>1485.47</v>
      </c>
      <c r="R47" s="31" t="inlineStr">
        <is>
          <t>Near 52W High Breakout</t>
        </is>
      </c>
      <c r="S47" s="31" t="inlineStr">
        <is>
          <t>Nifty 50</t>
        </is>
      </c>
      <c r="T47" s="32" t="n">
        <v>-4.9</v>
      </c>
      <c r="U47" s="32" t="n">
        <v>146.84</v>
      </c>
      <c r="V47" s="32" t="n">
        <v>159.56</v>
      </c>
      <c r="W47" s="32" t="n">
        <v>40.1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IF(B48=0,"",RANK(B48,$B$2:$B$346,0))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REDINGTON</t>
        </is>
      </c>
      <c r="D48" s="31" t="inlineStr">
        <is>
          <t>Redington (india) Limited</t>
        </is>
      </c>
      <c r="E48" s="31" t="inlineStr">
        <is>
          <t>services</t>
        </is>
      </c>
      <c r="F48" s="31" t="inlineStr">
        <is>
          <t>trading</t>
        </is>
      </c>
      <c r="G48" s="31" t="inlineStr">
        <is>
          <t>largecap</t>
        </is>
      </c>
      <c r="H48" s="32" t="n">
        <v>32080.11</v>
      </c>
      <c r="I48" s="32" t="n">
        <v>400.75</v>
      </c>
      <c r="J48" s="32" t="n">
        <v>-2.34</v>
      </c>
      <c r="K48" s="32" t="n">
        <v>4661529</v>
      </c>
      <c r="L48" s="31" t="n">
        <v>65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75.16</v>
      </c>
      <c r="P48" s="32" t="n">
        <v>48.96</v>
      </c>
      <c r="Q48" s="32" t="n">
        <v>311.67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-4.9</v>
      </c>
      <c r="U48" s="32" t="n">
        <v>54.65</v>
      </c>
      <c r="V48" s="32" t="n">
        <v>62.61</v>
      </c>
      <c r="W48" s="32" t="n">
        <v>21.02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IF(B49=0,"",RANK(B49,$B$2:$B$346,0))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GABRIEL</t>
        </is>
      </c>
      <c r="D49" s="31" t="inlineStr">
        <is>
          <t>Gabriel India Limited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largecap</t>
        </is>
      </c>
      <c r="H49" s="32" t="n">
        <v>28197.06</v>
      </c>
      <c r="I49" s="32" t="n">
        <v>1428.1</v>
      </c>
      <c r="J49" s="32" t="n">
        <v>-2.94</v>
      </c>
      <c r="K49" s="32" t="n">
        <v>1533195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64.48999999999999</v>
      </c>
      <c r="P49" s="32" t="n">
        <v>42.63</v>
      </c>
      <c r="Q49" s="32" t="n">
        <v>1156.29</v>
      </c>
      <c r="R49" s="31" t="inlineStr">
        <is>
          <t>Volume Spike &amp; Near 52W High Breakout</t>
        </is>
      </c>
      <c r="S49" s="31" t="inlineStr">
        <is>
          <t>Nifty Auto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IF(B50=0,"",RANK(B50,$B$2:$B$346,0))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MARKSANS</t>
        </is>
      </c>
      <c r="D50" s="31" t="inlineStr">
        <is>
          <t>Marksans Pharma Limited</t>
        </is>
      </c>
      <c r="E50" s="31" t="inlineStr">
        <is>
          <t>healthcare</t>
        </is>
      </c>
      <c r="F50" s="31" t="inlineStr">
        <is>
          <t>pharmaceuticals - indian - formulations</t>
        </is>
      </c>
      <c r="G50" s="31" t="inlineStr">
        <is>
          <t>midcap</t>
        </is>
      </c>
      <c r="H50" s="32" t="n">
        <v>15088.09</v>
      </c>
      <c r="I50" s="32" t="n">
        <v>347.6</v>
      </c>
      <c r="J50" s="32" t="n">
        <v>4.4</v>
      </c>
      <c r="K50" s="32" t="n">
        <v>3317178</v>
      </c>
      <c r="L50" s="31" t="n">
        <v>76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74.22</v>
      </c>
      <c r="P50" s="32" t="n">
        <v>57.02</v>
      </c>
      <c r="Q50" s="32" t="n">
        <v>271.67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26.25</v>
      </c>
      <c r="U50" s="32" t="n">
        <v>112.04</v>
      </c>
      <c r="V50" s="32" t="n">
        <v>67.95999999999999</v>
      </c>
      <c r="W50" s="32" t="n">
        <v>25.85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IF(B51=0,"",RANK(B51,$B$2:$B$346,0))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MOREPENLAB</t>
        </is>
      </c>
      <c r="D51" s="31" t="inlineStr">
        <is>
          <t>Morepen Laboratories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6522.84</v>
      </c>
      <c r="I51" s="32" t="n">
        <v>122.35</v>
      </c>
      <c r="J51" s="32" t="n">
        <v>2.78</v>
      </c>
      <c r="K51" s="32" t="n">
        <v>11266057</v>
      </c>
      <c r="L51" s="31" t="n">
        <v>97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88.88</v>
      </c>
      <c r="P51" s="32" t="n">
        <v>55.3</v>
      </c>
      <c r="Q51" s="32" t="n">
        <v>91.48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26.25</v>
      </c>
      <c r="U51" s="32" t="n">
        <v>150.77</v>
      </c>
      <c r="V51" s="32" t="n">
        <v>98.64</v>
      </c>
      <c r="W51" s="32" t="n">
        <v>56.03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IF(B52=0,"",RANK(B52,$B$2:$B$346,0))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ENTERO</t>
        </is>
      </c>
      <c r="D52" s="31" t="inlineStr">
        <is>
          <t>Entero Healthcare Solutions Ltd</t>
        </is>
      </c>
      <c r="E52" s="31" t="inlineStr">
        <is>
          <t>healthcare</t>
        </is>
      </c>
      <c r="F52" s="31" t="inlineStr">
        <is>
          <t>trading</t>
        </is>
      </c>
      <c r="G52" s="31" t="inlineStr">
        <is>
          <t>midcap</t>
        </is>
      </c>
      <c r="H52" s="32" t="n">
        <v>8016.08</v>
      </c>
      <c r="I52" s="32" t="n">
        <v>1842.5</v>
      </c>
      <c r="J52" s="32" t="n">
        <v>0.04</v>
      </c>
      <c r="K52" s="32" t="n">
        <v>164838</v>
      </c>
      <c r="L52" s="31" t="n">
        <v>74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73.8</v>
      </c>
      <c r="P52" s="32" t="n">
        <v>42.82</v>
      </c>
      <c r="Q52" s="32" t="n">
        <v>1434.82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26.25</v>
      </c>
      <c r="U52" s="32" t="n">
        <v>70.09999999999999</v>
      </c>
      <c r="V52" s="32" t="n">
        <v>34.73</v>
      </c>
      <c r="W52" s="32" t="n">
        <v>25.09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IF(B53=0,"",RANK(B53,$B$2:$B$346,0))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INDSWFTLAB</t>
        </is>
      </c>
      <c r="D53" s="31" t="inlineStr">
        <is>
          <t>Ind-swift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smallcap</t>
        </is>
      </c>
      <c r="H53" s="32" t="n">
        <v>3526.73</v>
      </c>
      <c r="I53" s="32" t="n">
        <v>405.05</v>
      </c>
      <c r="J53" s="32" t="n">
        <v>-0.12</v>
      </c>
      <c r="K53" s="32" t="n">
        <v>807681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85.48</v>
      </c>
      <c r="P53" s="32" t="n">
        <v>75.98</v>
      </c>
      <c r="Q53" s="32" t="n">
        <v>299.29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26.25</v>
      </c>
      <c r="U53" s="32" t="n">
        <v>305.33</v>
      </c>
      <c r="V53" s="32" t="n">
        <v>221.07</v>
      </c>
      <c r="W53" s="32" t="n">
        <v>58.24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IF(B54=0,"",RANK(B54,$B$2:$B$346,0))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KABRAEXTRU</t>
        </is>
      </c>
      <c r="D54" s="31" t="inlineStr">
        <is>
          <t>Kabra Extrusion Technik Limited</t>
        </is>
      </c>
      <c r="E54" s="31" t="inlineStr">
        <is>
          <t>industrials</t>
        </is>
      </c>
      <c r="F54" s="31" t="inlineStr">
        <is>
          <t>engineering</t>
        </is>
      </c>
      <c r="G54" s="31" t="inlineStr">
        <is>
          <t>smallcap</t>
        </is>
      </c>
      <c r="H54" s="32" t="n">
        <v>2330.07</v>
      </c>
      <c r="I54" s="32" t="n">
        <v>732.85</v>
      </c>
      <c r="J54" s="32" t="n">
        <v>10</v>
      </c>
      <c r="K54" s="32" t="n">
        <v>402751</v>
      </c>
      <c r="L54" s="31" t="n">
        <v>98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82.97</v>
      </c>
      <c r="P54" s="32" t="n">
        <v>66.04000000000001</v>
      </c>
      <c r="Q54" s="32" t="n">
        <v>547.86</v>
      </c>
      <c r="R54" s="31" t="inlineStr">
        <is>
          <t>Near 52W High Breakout</t>
        </is>
      </c>
      <c r="S54" s="31" t="inlineStr">
        <is>
          <t>Nifty 50</t>
        </is>
      </c>
      <c r="T54" s="32" t="n">
        <v>-4.9</v>
      </c>
      <c r="U54" s="32" t="n">
        <v>179.98</v>
      </c>
      <c r="V54" s="32" t="n">
        <v>194.4</v>
      </c>
      <c r="W54" s="32" t="n">
        <v>79.52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IF(B55=0,"",RANK(B55,$B$2:$B$346,0))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KDDL</t>
        </is>
      </c>
      <c r="D55" s="31" t="inlineStr">
        <is>
          <t>Kddl Limited</t>
        </is>
      </c>
      <c r="E55" s="31" t="inlineStr">
        <is>
          <t>consumer discretionary</t>
        </is>
      </c>
      <c r="F55" s="31" t="inlineStr">
        <is>
          <t>miscellaneous</t>
        </is>
      </c>
      <c r="G55" s="31" t="inlineStr">
        <is>
          <t>smallcap</t>
        </is>
      </c>
      <c r="H55" s="32" t="n">
        <v>4886.63</v>
      </c>
      <c r="I55" s="32" t="n">
        <v>4251.9</v>
      </c>
      <c r="J55" s="32" t="n">
        <v>7.02</v>
      </c>
      <c r="K55" s="32" t="n">
        <v>153006</v>
      </c>
      <c r="L55" s="31" t="n">
        <v>62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78.25</v>
      </c>
      <c r="P55" s="32" t="n">
        <v>47.08</v>
      </c>
      <c r="Q55" s="32" t="n">
        <v>3341.08</v>
      </c>
      <c r="R55" s="31" t="inlineStr">
        <is>
          <t>Near 52W High Breakout</t>
        </is>
      </c>
      <c r="S55" s="31" t="inlineStr">
        <is>
          <t>Nifty 50</t>
        </is>
      </c>
      <c r="T55" s="32" t="n">
        <v>-4.9</v>
      </c>
      <c r="U55" s="32" t="n">
        <v>60.89</v>
      </c>
      <c r="V55" s="32" t="n">
        <v>69.18000000000001</v>
      </c>
      <c r="W55" s="32" t="n">
        <v>19.72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IF(B56=0,"",RANK(B56,$B$2:$B$346,0))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PCJEWELLER</t>
        </is>
      </c>
      <c r="D56" s="31" t="inlineStr">
        <is>
          <t>Pc Jeweller Limited</t>
        </is>
      </c>
      <c r="E56" s="31" t="inlineStr">
        <is>
          <t>consumer discretionary</t>
        </is>
      </c>
      <c r="F56" s="31" t="inlineStr">
        <is>
          <t>diamond cutting / jewellery</t>
        </is>
      </c>
      <c r="G56" s="31" t="inlineStr">
        <is>
          <t>midcap</t>
        </is>
      </c>
      <c r="H56" s="32" t="n">
        <v>13186.91</v>
      </c>
      <c r="I56" s="32" t="n">
        <v>14.47</v>
      </c>
      <c r="J56" s="32" t="n">
        <v>6.55</v>
      </c>
      <c r="K56" s="32" t="n">
        <v>867441415</v>
      </c>
      <c r="L56" s="31" t="n">
        <v>67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70.86</v>
      </c>
      <c r="P56" s="32" t="n">
        <v>29.99</v>
      </c>
      <c r="Q56" s="32" t="n">
        <v>10.37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-4.9</v>
      </c>
      <c r="U56" s="32" t="n">
        <v>19.09</v>
      </c>
      <c r="V56" s="32" t="n">
        <v>25.23</v>
      </c>
      <c r="W56" s="32" t="n">
        <v>21.5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IF(B57=0,"",RANK(B57,$B$2:$B$346,0))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KANORICHEM</t>
        </is>
      </c>
      <c r="D57" s="31" t="inlineStr">
        <is>
          <t>Kanoria Chemicals &amp; Industries Limited</t>
        </is>
      </c>
      <c r="E57" s="31" t="inlineStr">
        <is>
          <t>chemicals</t>
        </is>
      </c>
      <c r="F57" s="31" t="inlineStr">
        <is>
          <t>chemicals</t>
        </is>
      </c>
      <c r="G57" s="31" t="inlineStr">
        <is>
          <t>smallcap</t>
        </is>
      </c>
      <c r="H57" s="32" t="n">
        <v>758.39</v>
      </c>
      <c r="I57" s="32" t="n">
        <v>182.24</v>
      </c>
      <c r="J57" s="32" t="n">
        <v>5</v>
      </c>
      <c r="K57" s="32" t="n">
        <v>71109</v>
      </c>
      <c r="L57" s="31" t="n">
        <v>87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76.31999999999999</v>
      </c>
      <c r="P57" s="32" t="n">
        <v>70.67</v>
      </c>
      <c r="Q57" s="32" t="n">
        <v>136.95</v>
      </c>
      <c r="R57" s="31" t="inlineStr">
        <is>
          <t>Near 52W High Breakout</t>
        </is>
      </c>
      <c r="S57" s="31" t="inlineStr">
        <is>
          <t>Nifty 50</t>
        </is>
      </c>
      <c r="T57" s="32" t="n">
        <v>-4.9</v>
      </c>
      <c r="U57" s="32" t="n">
        <v>126.67</v>
      </c>
      <c r="V57" s="32" t="n">
        <v>138.34</v>
      </c>
      <c r="W57" s="32" t="n">
        <v>34.25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IF(B58=0,"",RANK(B58,$B$2:$B$346,0))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LOTUSDEV</t>
        </is>
      </c>
      <c r="D58" s="31" t="inlineStr">
        <is>
          <t>Sri Lotus Developers &amp; Realty Ltd</t>
        </is>
      </c>
      <c r="E58" s="31" t="inlineStr">
        <is>
          <t>realty</t>
        </is>
      </c>
      <c r="F58" s="31" t="inlineStr">
        <is>
          <t>construction</t>
        </is>
      </c>
      <c r="G58" s="31" t="inlineStr">
        <is>
          <t>midcap</t>
        </is>
      </c>
      <c r="H58" s="32" t="n">
        <v>10450.87</v>
      </c>
      <c r="I58" s="32" t="n">
        <v>224.46</v>
      </c>
      <c r="J58" s="32" t="n">
        <v>4.97</v>
      </c>
      <c r="K58" s="32" t="n">
        <v>1269546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69.08</v>
      </c>
      <c r="P58" s="32" t="n">
        <v>26.4</v>
      </c>
      <c r="Q58" s="32" t="n">
        <v>172.77</v>
      </c>
      <c r="R58" s="31" t="inlineStr">
        <is>
          <t>Near 52W High Breakout</t>
        </is>
      </c>
      <c r="S58" s="31" t="inlineStr">
        <is>
          <t>Nifty Realty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IF(B59=0,"",RANK(B59,$B$2:$B$346,0))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MOTISONS</t>
        </is>
      </c>
      <c r="D59" s="31" t="inlineStr">
        <is>
          <t>Motisons Jewellers Ltd</t>
        </is>
      </c>
      <c r="E59" s="31" t="inlineStr">
        <is>
          <t>consumer discretionary</t>
        </is>
      </c>
      <c r="F59" s="31" t="inlineStr">
        <is>
          <t>diamond cutting / jewellery</t>
        </is>
      </c>
      <c r="G59" s="31" t="inlineStr">
        <is>
          <t>smallcap</t>
        </is>
      </c>
      <c r="H59" s="32" t="n">
        <v>2052.06</v>
      </c>
      <c r="I59" s="32" t="n">
        <v>18.89</v>
      </c>
      <c r="J59" s="32" t="n">
        <v>4.71</v>
      </c>
      <c r="K59" s="32" t="n">
        <v>144251390</v>
      </c>
      <c r="L59" s="31" t="n">
        <v>33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68.31</v>
      </c>
      <c r="P59" s="32" t="n">
        <v>23.92</v>
      </c>
      <c r="Q59" s="32" t="n">
        <v>13.16</v>
      </c>
      <c r="R59" s="31" t="inlineStr">
        <is>
          <t>Near 52W High Breakout</t>
        </is>
      </c>
      <c r="S59" s="31" t="inlineStr">
        <is>
          <t>Nifty 50</t>
        </is>
      </c>
      <c r="T59" s="32" t="n">
        <v>-4.9</v>
      </c>
      <c r="U59" s="32" t="n">
        <v>3.79</v>
      </c>
      <c r="V59" s="32" t="n">
        <v>9.140000000000001</v>
      </c>
      <c r="W59" s="32" t="n">
        <v>10.23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IF(B60=0,"",RANK(B60,$B$2:$B$346,0))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BODALCHEM</t>
        </is>
      </c>
      <c r="D60" s="31" t="inlineStr">
        <is>
          <t>Bodal Chemicals Limited</t>
        </is>
      </c>
      <c r="E60" s="31" t="inlineStr">
        <is>
          <t>chemicals</t>
        </is>
      </c>
      <c r="F60" s="31" t="inlineStr">
        <is>
          <t>dyes and pigments</t>
        </is>
      </c>
      <c r="G60" s="31" t="inlineStr">
        <is>
          <t>smallcap</t>
        </is>
      </c>
      <c r="H60" s="32" t="n">
        <v>2429.46</v>
      </c>
      <c r="I60" s="32" t="n">
        <v>199.53</v>
      </c>
      <c r="J60" s="32" t="n">
        <v>3.44</v>
      </c>
      <c r="K60" s="32" t="n">
        <v>2073889</v>
      </c>
      <c r="L60" s="31" t="n">
        <v>99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90.97</v>
      </c>
      <c r="P60" s="32" t="n">
        <v>44.72</v>
      </c>
      <c r="Q60" s="32" t="n">
        <v>156.86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-4.9</v>
      </c>
      <c r="U60" s="32" t="n">
        <v>217.72</v>
      </c>
      <c r="V60" s="32" t="n">
        <v>234.09</v>
      </c>
      <c r="W60" s="32" t="n">
        <v>81.98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IF(B61=0,"",RANK(B61,$B$2:$B$346,0))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MOLDTECH</t>
        </is>
      </c>
      <c r="D61" s="31" t="inlineStr">
        <is>
          <t>Mold-tek Technologies Limited</t>
        </is>
      </c>
      <c r="E61" s="31" t="inlineStr">
        <is>
          <t>realty</t>
        </is>
      </c>
      <c r="F61" s="31" t="inlineStr">
        <is>
          <t>engineering - turnkey services</t>
        </is>
      </c>
      <c r="G61" s="31" t="inlineStr">
        <is>
          <t>smallcap</t>
        </is>
      </c>
      <c r="H61" s="32" t="n">
        <v>560.09</v>
      </c>
      <c r="I61" s="32" t="n">
        <v>199.88</v>
      </c>
      <c r="J61" s="32" t="n">
        <v>2.8</v>
      </c>
      <c r="K61" s="32" t="n">
        <v>49478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67.67</v>
      </c>
      <c r="P61" s="32" t="n">
        <v>44.21</v>
      </c>
      <c r="Q61" s="32" t="n">
        <v>148.97</v>
      </c>
      <c r="R61" s="31" t="inlineStr">
        <is>
          <t>Near 52W High Breakout</t>
        </is>
      </c>
      <c r="S61" s="31" t="inlineStr">
        <is>
          <t>Nifty Realty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IF(B62=0,"",RANK(B62,$B$2:$B$346,0))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HONASA</t>
        </is>
      </c>
      <c r="D62" s="31" t="inlineStr">
        <is>
          <t>Honasa Consumer Ltd</t>
        </is>
      </c>
      <c r="E62" s="31" t="inlineStr">
        <is>
          <t>services</t>
        </is>
      </c>
      <c r="F62" s="31" t="inlineStr">
        <is>
          <t>trading</t>
        </is>
      </c>
      <c r="G62" s="31" t="inlineStr">
        <is>
          <t>midcap</t>
        </is>
      </c>
      <c r="H62" s="32" t="n">
        <v>15442.14</v>
      </c>
      <c r="I62" s="32" t="n">
        <v>484.9</v>
      </c>
      <c r="J62" s="32" t="n">
        <v>2.38</v>
      </c>
      <c r="K62" s="32" t="n">
        <v>712921</v>
      </c>
      <c r="L62" s="31" t="n">
        <v>51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70.90000000000001</v>
      </c>
      <c r="P62" s="32" t="n">
        <v>60.34</v>
      </c>
      <c r="Q62" s="32" t="n">
        <v>410.89</v>
      </c>
      <c r="R62" s="31" t="inlineStr">
        <is>
          <t>Near 52W High Breakout</t>
        </is>
      </c>
      <c r="S62" s="31" t="inlineStr">
        <is>
          <t>Nifty 50</t>
        </is>
      </c>
      <c r="T62" s="32" t="n">
        <v>-4.9</v>
      </c>
      <c r="U62" s="32" t="n">
        <v>71.59</v>
      </c>
      <c r="V62" s="32" t="n">
        <v>80.43000000000001</v>
      </c>
      <c r="W62" s="32" t="n">
        <v>15.84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IF(B63=0,"",RANK(B63,$B$2:$B$346,0))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BHAGERIA</t>
        </is>
      </c>
      <c r="D63" s="31" t="inlineStr">
        <is>
          <t>Bhageria Industries Limited</t>
        </is>
      </c>
      <c r="E63" s="31" t="inlineStr">
        <is>
          <t>chemicals</t>
        </is>
      </c>
      <c r="F63" s="31" t="inlineStr">
        <is>
          <t>dyes and pigments</t>
        </is>
      </c>
      <c r="G63" s="31" t="inlineStr">
        <is>
          <t>smallcap</t>
        </is>
      </c>
      <c r="H63" s="32" t="n">
        <v>1506.82</v>
      </c>
      <c r="I63" s="32" t="n">
        <v>351.75</v>
      </c>
      <c r="J63" s="32" t="n">
        <v>1.88</v>
      </c>
      <c r="K63" s="32" t="n">
        <v>147240</v>
      </c>
      <c r="L63" s="31" t="n">
        <v>84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80.20999999999999</v>
      </c>
      <c r="P63" s="32" t="n">
        <v>40.74</v>
      </c>
      <c r="Q63" s="32" t="n">
        <v>267.76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-4.9</v>
      </c>
      <c r="U63" s="32" t="n">
        <v>100.68</v>
      </c>
      <c r="V63" s="32" t="n">
        <v>111.02</v>
      </c>
      <c r="W63" s="32" t="n">
        <v>32.91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IF(B64=0,"",RANK(B64,$B$2:$B$346,0))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HITECHCORP</t>
        </is>
      </c>
      <c r="D64" s="31" t="inlineStr">
        <is>
          <t>Hitech Corporation</t>
        </is>
      </c>
      <c r="E64" s="31" t="inlineStr">
        <is>
          <t>industrials</t>
        </is>
      </c>
      <c r="F64" s="31" t="inlineStr">
        <is>
          <t>packaging</t>
        </is>
      </c>
      <c r="G64" s="31" t="inlineStr">
        <is>
          <t>smallcap</t>
        </is>
      </c>
      <c r="H64" s="32" t="n">
        <v>566.37</v>
      </c>
      <c r="I64" s="32" t="n">
        <v>334</v>
      </c>
      <c r="J64" s="32" t="n">
        <v>1.29</v>
      </c>
      <c r="K64" s="32" t="n">
        <v>8707</v>
      </c>
      <c r="L64" s="31" t="n">
        <v>76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77.2</v>
      </c>
      <c r="P64" s="32" t="n">
        <v>65.81999999999999</v>
      </c>
      <c r="Q64" s="32" t="n">
        <v>281.87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-4.9</v>
      </c>
      <c r="U64" s="32" t="n">
        <v>75.31999999999999</v>
      </c>
      <c r="V64" s="32" t="n">
        <v>84.34999999999999</v>
      </c>
      <c r="W64" s="32" t="n">
        <v>26.43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IF(B65=0,"",RANK(B65,$B$2:$B$346,0))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WELSPUNLIV</t>
        </is>
      </c>
      <c r="D65" s="31" t="inlineStr">
        <is>
          <t>Welspun Living Ltd</t>
        </is>
      </c>
      <c r="E65" s="31" t="inlineStr">
        <is>
          <t>textiles</t>
        </is>
      </c>
      <c r="F65" s="31" t="inlineStr">
        <is>
          <t>textiles - products</t>
        </is>
      </c>
      <c r="G65" s="31" t="inlineStr">
        <is>
          <t>largecap</t>
        </is>
      </c>
      <c r="H65" s="32" t="n">
        <v>20927.21</v>
      </c>
      <c r="I65" s="32" t="n">
        <v>223.77</v>
      </c>
      <c r="J65" s="32" t="n">
        <v>1.02</v>
      </c>
      <c r="K65" s="32" t="n">
        <v>12078998</v>
      </c>
      <c r="L65" s="31" t="n">
        <v>69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81.77</v>
      </c>
      <c r="P65" s="32" t="n">
        <v>43.95</v>
      </c>
      <c r="Q65" s="32" t="n">
        <v>179.66</v>
      </c>
      <c r="R65" s="31" t="inlineStr">
        <is>
          <t>Near 52W High Breakout</t>
        </is>
      </c>
      <c r="S65" s="31" t="inlineStr">
        <is>
          <t>Nifty 50</t>
        </is>
      </c>
      <c r="T65" s="32" t="n">
        <v>-4.9</v>
      </c>
      <c r="U65" s="32" t="n">
        <v>92.23999999999999</v>
      </c>
      <c r="V65" s="32" t="n">
        <v>102.15</v>
      </c>
      <c r="W65" s="32" t="n">
        <v>22.6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IF(B66=0,"",RANK(B66,$B$2:$B$346,0))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MODISONLTD</t>
        </is>
      </c>
      <c r="D66" s="31" t="inlineStr">
        <is>
          <t>Modison Ltd</t>
        </is>
      </c>
      <c r="E66" s="31" t="inlineStr">
        <is>
          <t>industrials</t>
        </is>
      </c>
      <c r="F66" s="31" t="inlineStr">
        <is>
          <t>electric equipment</t>
        </is>
      </c>
      <c r="G66" s="31" t="inlineStr">
        <is>
          <t>smallcap</t>
        </is>
      </c>
      <c r="H66" s="32" t="n">
        <v>1519.47</v>
      </c>
      <c r="I66" s="32" t="n">
        <v>472.8</v>
      </c>
      <c r="J66" s="32" t="n">
        <v>0.97</v>
      </c>
      <c r="K66" s="32" t="n">
        <v>51232</v>
      </c>
      <c r="L66" s="31" t="n">
        <v>96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73.54000000000001</v>
      </c>
      <c r="P66" s="32" t="n">
        <v>57.7</v>
      </c>
      <c r="Q66" s="32" t="n">
        <v>362.94</v>
      </c>
      <c r="R66" s="31" t="inlineStr">
        <is>
          <t>Earnings / Momentum Support</t>
        </is>
      </c>
      <c r="S66" s="31" t="inlineStr">
        <is>
          <t>Nifty 50</t>
        </is>
      </c>
      <c r="T66" s="32" t="n">
        <v>-4.9</v>
      </c>
      <c r="U66" s="32" t="n">
        <v>204.43</v>
      </c>
      <c r="V66" s="32" t="n">
        <v>220.11</v>
      </c>
      <c r="W66" s="32" t="n">
        <v>48.97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IF(B67=0,"",RANK(B67,$B$2:$B$346,0))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VALIANTORG</t>
        </is>
      </c>
      <c r="D67" s="31" t="inlineStr">
        <is>
          <t>Valiant Organics Ltd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smallcap</t>
        </is>
      </c>
      <c r="H67" s="32" t="n">
        <v>1172.83</v>
      </c>
      <c r="I67" s="32" t="n">
        <v>420.8</v>
      </c>
      <c r="J67" s="32" t="n">
        <v>0.59</v>
      </c>
      <c r="K67" s="32" t="n">
        <v>71996</v>
      </c>
      <c r="L67" s="31" t="n">
        <v>56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71.67</v>
      </c>
      <c r="P67" s="32" t="n">
        <v>41.59</v>
      </c>
      <c r="Q67" s="32" t="n">
        <v>314.03</v>
      </c>
      <c r="R67" s="31" t="inlineStr">
        <is>
          <t>Near 52W High Breakout</t>
        </is>
      </c>
      <c r="S67" s="31" t="inlineStr">
        <is>
          <t>Nifty 50</t>
        </is>
      </c>
      <c r="T67" s="32" t="n">
        <v>-4.9</v>
      </c>
      <c r="U67" s="32" t="n">
        <v>26.35</v>
      </c>
      <c r="V67" s="32" t="n">
        <v>32.86</v>
      </c>
      <c r="W67" s="32" t="n">
        <v>17.76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IF(B68=0,"",RANK(B68,$B$2:$B$346,0))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THEJO</t>
        </is>
      </c>
      <c r="D68" s="31" t="inlineStr">
        <is>
          <t>Thejo Engineering Ltd</t>
        </is>
      </c>
      <c r="E68" s="31" t="inlineStr">
        <is>
          <t>industrials</t>
        </is>
      </c>
      <c r="F68" s="31" t="inlineStr">
        <is>
          <t>engineering</t>
        </is>
      </c>
      <c r="G68" s="31" t="inlineStr">
        <is>
          <t>smallcap</t>
        </is>
      </c>
      <c r="H68" s="32" t="n">
        <v>2351.63</v>
      </c>
      <c r="I68" s="32" t="n">
        <v>2173.5</v>
      </c>
      <c r="J68" s="32" t="n">
        <v>0.26</v>
      </c>
      <c r="K68" s="32" t="n">
        <v>3114</v>
      </c>
      <c r="L68" s="31" t="n">
        <v>27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64.45999999999999</v>
      </c>
      <c r="P68" s="32" t="n">
        <v>41.7</v>
      </c>
      <c r="Q68" s="32" t="n">
        <v>1760.65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-4.9</v>
      </c>
      <c r="U68" s="32" t="n">
        <v>19.64</v>
      </c>
      <c r="V68" s="32" t="n">
        <v>25.8</v>
      </c>
      <c r="W68" s="32" t="n">
        <v>8.369999999999999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IF(B69=0,"",RANK(B69,$B$2:$B$346,0))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FINCABLES</t>
        </is>
      </c>
      <c r="D69" s="31" t="inlineStr">
        <is>
          <t>Finolex Cables Limited</t>
        </is>
      </c>
      <c r="E69" s="31" t="inlineStr">
        <is>
          <t>industrials</t>
        </is>
      </c>
      <c r="F69" s="31" t="inlineStr">
        <is>
          <t>cables - power</t>
        </is>
      </c>
      <c r="G69" s="31" t="inlineStr">
        <is>
          <t>largecap</t>
        </is>
      </c>
      <c r="H69" s="32" t="n">
        <v>22453.03</v>
      </c>
      <c r="I69" s="32" t="n">
        <v>1470.2</v>
      </c>
      <c r="J69" s="32" t="n">
        <v>0.14</v>
      </c>
      <c r="K69" s="32" t="n">
        <v>594101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71.53</v>
      </c>
      <c r="P69" s="32" t="n">
        <v>38.4</v>
      </c>
      <c r="Q69" s="32" t="n">
        <v>1119.83</v>
      </c>
      <c r="R69" s="31" t="inlineStr">
        <is>
          <t>Near 52W High Breakout</t>
        </is>
      </c>
      <c r="S69" s="31" t="inlineStr">
        <is>
          <t>Nifty Energy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IF(B70=0,"",RANK(B70,$B$2:$B$346,0))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VIDHIING</t>
        </is>
      </c>
      <c r="D70" s="31" t="inlineStr">
        <is>
          <t>Vidhi Specialty Food Ingredients</t>
        </is>
      </c>
      <c r="E70" s="31" t="inlineStr">
        <is>
          <t>chemicals</t>
        </is>
      </c>
      <c r="F70" s="31" t="inlineStr">
        <is>
          <t>dyes and pigments</t>
        </is>
      </c>
      <c r="G70" s="31" t="inlineStr">
        <is>
          <t>smallcap</t>
        </is>
      </c>
      <c r="H70" s="32" t="n">
        <v>1797.77</v>
      </c>
      <c r="I70" s="32" t="n">
        <v>359.85</v>
      </c>
      <c r="J70" s="32" t="n">
        <v>-0.03</v>
      </c>
      <c r="K70" s="32" t="n">
        <v>48059</v>
      </c>
      <c r="L70" s="31" t="n">
        <v>24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62.47</v>
      </c>
      <c r="P70" s="32" t="n">
        <v>22.85</v>
      </c>
      <c r="Q70" s="32" t="n">
        <v>278.03</v>
      </c>
      <c r="R70" s="31" t="inlineStr">
        <is>
          <t>Near 52W High Breakout</t>
        </is>
      </c>
      <c r="S70" s="31" t="inlineStr">
        <is>
          <t>Nifty 50</t>
        </is>
      </c>
      <c r="T70" s="32" t="n">
        <v>-4.9</v>
      </c>
      <c r="U70" s="32" t="n">
        <v>0.24</v>
      </c>
      <c r="V70" s="32" t="n">
        <v>5.41</v>
      </c>
      <c r="W70" s="32" t="n">
        <v>7.24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IF(B71=0,"",RANK(B71,$B$2:$B$346,0))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JKPAPER</t>
        </is>
      </c>
      <c r="D71" s="31" t="inlineStr">
        <is>
          <t>Jk Paper Limited</t>
        </is>
      </c>
      <c r="E71" s="31" t="inlineStr">
        <is>
          <t>building materials</t>
        </is>
      </c>
      <c r="F71" s="31" t="inlineStr">
        <is>
          <t>paper</t>
        </is>
      </c>
      <c r="G71" s="31" t="inlineStr">
        <is>
          <t>midcap</t>
        </is>
      </c>
      <c r="H71" s="32" t="n">
        <v>7550.11</v>
      </c>
      <c r="I71" s="32" t="n">
        <v>415.25</v>
      </c>
      <c r="J71" s="32" t="n">
        <v>-0.28</v>
      </c>
      <c r="K71" s="32" t="n">
        <v>268928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62.87</v>
      </c>
      <c r="P71" s="32" t="n">
        <v>39.77</v>
      </c>
      <c r="Q71" s="32" t="n">
        <v>350.73</v>
      </c>
      <c r="R71" s="31" t="inlineStr">
        <is>
          <t>Near 52W High Breakout</t>
        </is>
      </c>
      <c r="S71" s="31" t="inlineStr">
        <is>
          <t>Nifty Infra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IF(B72=0,"",RANK(B72,$B$2:$B$346,0))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ORIENTBELL</t>
        </is>
      </c>
      <c r="D72" s="31" t="inlineStr">
        <is>
          <t>Orient Bell Limited</t>
        </is>
      </c>
      <c r="E72" s="31" t="inlineStr">
        <is>
          <t>building materials</t>
        </is>
      </c>
      <c r="F72" s="31" t="inlineStr">
        <is>
          <t>ceramics - tiles / sanitaryware</t>
        </is>
      </c>
      <c r="G72" s="31" t="inlineStr">
        <is>
          <t>smallcap</t>
        </is>
      </c>
      <c r="H72" s="32" t="n">
        <v>577.83</v>
      </c>
      <c r="I72" s="32" t="n">
        <v>391.5</v>
      </c>
      <c r="J72" s="32" t="n">
        <v>-0.33</v>
      </c>
      <c r="K72" s="32" t="n">
        <v>28548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64.44</v>
      </c>
      <c r="P72" s="32" t="n">
        <v>44.3</v>
      </c>
      <c r="Q72" s="32" t="n">
        <v>322.26</v>
      </c>
      <c r="R72" s="31" t="inlineStr">
        <is>
          <t>Earnings / Momentum Support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IF(B73=0,"",RANK(B73,$B$2:$B$346,0))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URBANCO</t>
        </is>
      </c>
      <c r="D73" s="31" t="inlineStr">
        <is>
          <t>Urban Company Ltd</t>
        </is>
      </c>
      <c r="E73" s="31" t="inlineStr">
        <is>
          <t>i.t</t>
        </is>
      </c>
      <c r="F73" s="31" t="inlineStr">
        <is>
          <t>miscellaneous</t>
        </is>
      </c>
      <c r="G73" s="31" t="inlineStr">
        <is>
          <t>largecap</t>
        </is>
      </c>
      <c r="H73" s="32" t="n">
        <v>26866.33</v>
      </c>
      <c r="I73" s="32" t="n">
        <v>172.73</v>
      </c>
      <c r="J73" s="32" t="n">
        <v>-0.85</v>
      </c>
      <c r="K73" s="32" t="n">
        <v>5282197</v>
      </c>
      <c r="L73" s="31" t="n">
        <v>28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64.63</v>
      </c>
      <c r="P73" s="32" t="n">
        <v>36.36</v>
      </c>
      <c r="Q73" s="32" t="n">
        <v>140.51</v>
      </c>
      <c r="R73" s="31" t="inlineStr">
        <is>
          <t>Near 52W High Breakout</t>
        </is>
      </c>
      <c r="S73" s="31" t="inlineStr">
        <is>
          <t>Nifty IT</t>
        </is>
      </c>
      <c r="T73" s="32" t="n">
        <v>-15.93</v>
      </c>
      <c r="U73" s="32" t="n">
        <v>0.64</v>
      </c>
      <c r="V73" s="32" t="n">
        <v>19.71</v>
      </c>
      <c r="W73" s="32" t="n">
        <v>8.69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IF(B74=0,"",RANK(B74,$B$2:$B$346,0))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MATRIMONY</t>
        </is>
      </c>
      <c r="D74" s="31" t="inlineStr">
        <is>
          <t>Matrimony.com Ltd</t>
        </is>
      </c>
      <c r="E74" s="31" t="inlineStr">
        <is>
          <t>miscellaneous</t>
        </is>
      </c>
      <c r="F74" s="31" t="inlineStr">
        <is>
          <t>miscellaneous</t>
        </is>
      </c>
      <c r="G74" s="31" t="inlineStr">
        <is>
          <t>smallcap</t>
        </is>
      </c>
      <c r="H74" s="32" t="n">
        <v>1138.59</v>
      </c>
      <c r="I74" s="32" t="n">
        <v>544.95</v>
      </c>
      <c r="J74" s="32" t="n">
        <v>-1.05</v>
      </c>
      <c r="K74" s="32" t="n">
        <v>15296</v>
      </c>
      <c r="L74" s="31" t="n">
        <v>34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65.5</v>
      </c>
      <c r="P74" s="32" t="n">
        <v>40.02</v>
      </c>
      <c r="Q74" s="32" t="n">
        <v>428.45</v>
      </c>
      <c r="R74" s="31" t="inlineStr">
        <is>
          <t>Near 52W High Breakout</t>
        </is>
      </c>
      <c r="S74" s="31" t="inlineStr">
        <is>
          <t>Nifty 50</t>
        </is>
      </c>
      <c r="T74" s="32" t="n">
        <v>-4.9</v>
      </c>
      <c r="U74" s="32" t="n">
        <v>6.28</v>
      </c>
      <c r="V74" s="32" t="n">
        <v>11.76</v>
      </c>
      <c r="W74" s="32" t="n">
        <v>10.4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IF(B75=0,"",RANK(B75,$B$2:$B$346,0))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SYRMA</t>
        </is>
      </c>
      <c r="D75" s="31" t="inlineStr">
        <is>
          <t>Syrma SGS Technology Ltd</t>
        </is>
      </c>
      <c r="E75" s="31" t="inlineStr">
        <is>
          <t>consumer discretionary</t>
        </is>
      </c>
      <c r="F75" s="31" t="inlineStr">
        <is>
          <t>electronics - components</t>
        </is>
      </c>
      <c r="G75" s="31" t="inlineStr">
        <is>
          <t>largecap</t>
        </is>
      </c>
      <c r="H75" s="32" t="n">
        <v>33587.21</v>
      </c>
      <c r="I75" s="32" t="n">
        <v>1719.4</v>
      </c>
      <c r="J75" s="32" t="n">
        <v>-1.29</v>
      </c>
      <c r="K75" s="32" t="n">
        <v>1400218</v>
      </c>
      <c r="L75" s="31" t="n">
        <v>72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75.70999999999999</v>
      </c>
      <c r="P75" s="32" t="n">
        <v>60.77</v>
      </c>
      <c r="Q75" s="32" t="n">
        <v>1334.55</v>
      </c>
      <c r="R75" s="31" t="inlineStr">
        <is>
          <t>Near 52W High Breakout</t>
        </is>
      </c>
      <c r="S75" s="31" t="inlineStr">
        <is>
          <t>Nifty 50</t>
        </is>
      </c>
      <c r="T75" s="32" t="n">
        <v>-4.9</v>
      </c>
      <c r="U75" s="32" t="n">
        <v>114.38</v>
      </c>
      <c r="V75" s="32" t="n">
        <v>125.43</v>
      </c>
      <c r="W75" s="32" t="n">
        <v>23.56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IF(B76=0,"",RANK(B76,$B$2:$B$346,0))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ARROWGREEN</t>
        </is>
      </c>
      <c r="D76" s="31" t="inlineStr">
        <is>
          <t>Arrow Greentech Limited</t>
        </is>
      </c>
      <c r="E76" s="31" t="inlineStr">
        <is>
          <t>plastic products</t>
        </is>
      </c>
      <c r="F76" s="31" t="inlineStr">
        <is>
          <t>plastics products</t>
        </is>
      </c>
      <c r="G76" s="31" t="inlineStr">
        <is>
          <t>smallcap</t>
        </is>
      </c>
      <c r="H76" s="32" t="n">
        <v>1377.6</v>
      </c>
      <c r="I76" s="32" t="n">
        <v>900</v>
      </c>
      <c r="J76" s="32" t="n">
        <v>-1.43</v>
      </c>
      <c r="K76" s="32" t="n">
        <v>89479</v>
      </c>
      <c r="L76" s="31" t="n">
        <v>75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71.58</v>
      </c>
      <c r="P76" s="32" t="n">
        <v>47.87</v>
      </c>
      <c r="Q76" s="32" t="n">
        <v>665.64</v>
      </c>
      <c r="R76" s="31" t="inlineStr">
        <is>
          <t>Near 52W High Breakout</t>
        </is>
      </c>
      <c r="S76" s="31" t="inlineStr">
        <is>
          <t>Nifty 50</t>
        </is>
      </c>
      <c r="T76" s="32" t="n">
        <v>-4.9</v>
      </c>
      <c r="U76" s="32" t="n">
        <v>65.40000000000001</v>
      </c>
      <c r="V76" s="32" t="n">
        <v>73.92</v>
      </c>
      <c r="W76" s="32" t="n">
        <v>25.83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IF(B77=0,"",RANK(B77,$B$2:$B$346,0))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MENONBE</t>
        </is>
      </c>
      <c r="D77" s="31" t="inlineStr">
        <is>
          <t>Menon Bearings Limited</t>
        </is>
      </c>
      <c r="E77" s="31" t="inlineStr">
        <is>
          <t>auto</t>
        </is>
      </c>
      <c r="F77" s="31" t="inlineStr">
        <is>
          <t>auto ancillaries</t>
        </is>
      </c>
      <c r="G77" s="31" t="inlineStr">
        <is>
          <t>smallcap</t>
        </is>
      </c>
      <c r="H77" s="32" t="n">
        <v>1718.75</v>
      </c>
      <c r="I77" s="32" t="n">
        <v>301.25</v>
      </c>
      <c r="J77" s="32" t="n">
        <v>-1.78</v>
      </c>
      <c r="K77" s="32" t="n">
        <v>43163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72.48</v>
      </c>
      <c r="P77" s="32" t="n">
        <v>67</v>
      </c>
      <c r="Q77" s="32" t="n">
        <v>236.54</v>
      </c>
      <c r="R77" s="31" t="inlineStr">
        <is>
          <t>Earnings / Momentum Support</t>
        </is>
      </c>
      <c r="S77" s="31" t="inlineStr">
        <is>
          <t>Nifty Auto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IF(B78=0,"",RANK(B78,$B$2:$B$346,0))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ASKAUTOLTD</t>
        </is>
      </c>
      <c r="D78" s="31" t="inlineStr">
        <is>
          <t>ASK Automotive Ltd</t>
        </is>
      </c>
      <c r="E78" s="31" t="inlineStr">
        <is>
          <t>auto</t>
        </is>
      </c>
      <c r="F78" s="31" t="inlineStr">
        <is>
          <t>auto ancillaries</t>
        </is>
      </c>
      <c r="G78" s="31" t="inlineStr">
        <is>
          <t>midcap</t>
        </is>
      </c>
      <c r="H78" s="32" t="n">
        <v>13078.44</v>
      </c>
      <c r="I78" s="32" t="n">
        <v>651.25</v>
      </c>
      <c r="J78" s="32" t="n">
        <v>-1.83</v>
      </c>
      <c r="K78" s="32" t="n">
        <v>327609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73.3</v>
      </c>
      <c r="P78" s="32" t="n">
        <v>35.41</v>
      </c>
      <c r="Q78" s="32" t="n">
        <v>530.16</v>
      </c>
      <c r="R78" s="31" t="inlineStr">
        <is>
          <t>Near 52W High Breakout</t>
        </is>
      </c>
      <c r="S78" s="31" t="inlineStr">
        <is>
          <t>Nifty Auto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IF(B79=0,"",RANK(B79,$B$2:$B$346,0))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WOCKPHARMA</t>
        </is>
      </c>
      <c r="D79" s="31" t="inlineStr">
        <is>
          <t>Wockhardt Limited</t>
        </is>
      </c>
      <c r="E79" s="31" t="inlineStr">
        <is>
          <t>healthcare</t>
        </is>
      </c>
      <c r="F79" s="31" t="inlineStr">
        <is>
          <t>pharmaceuticals - indian - bulk drugs &amp; formln</t>
        </is>
      </c>
      <c r="G79" s="31" t="inlineStr">
        <is>
          <t>largecap</t>
        </is>
      </c>
      <c r="H79" s="32" t="n">
        <v>35511.04</v>
      </c>
      <c r="I79" s="32" t="n">
        <v>2329.7</v>
      </c>
      <c r="J79" s="32" t="n">
        <v>6.6</v>
      </c>
      <c r="K79" s="32" t="n">
        <v>3834525</v>
      </c>
      <c r="L79" s="31" t="n">
        <v>59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69.61</v>
      </c>
      <c r="P79" s="32" t="n">
        <v>46.76</v>
      </c>
      <c r="Q79" s="32" t="n">
        <v>1771.32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26.25</v>
      </c>
      <c r="U79" s="32" t="n">
        <v>74.31</v>
      </c>
      <c r="V79" s="32" t="n">
        <v>38.07</v>
      </c>
      <c r="W79" s="32" t="n">
        <v>18.51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IF(B80=0,"",RANK(B80,$B$2:$B$346,0))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INNOVACAP</t>
        </is>
      </c>
      <c r="D80" s="31" t="inlineStr">
        <is>
          <t>Innova Captab Ltd</t>
        </is>
      </c>
      <c r="E80" s="31" t="inlineStr">
        <is>
          <t>healthcare</t>
        </is>
      </c>
      <c r="F80" s="31" t="inlineStr">
        <is>
          <t>pharmaceuticals - indian - bulk drugs &amp; formln</t>
        </is>
      </c>
      <c r="G80" s="31" t="inlineStr">
        <is>
          <t>midcap</t>
        </is>
      </c>
      <c r="H80" s="32" t="n">
        <v>7019.78</v>
      </c>
      <c r="I80" s="32" t="n">
        <v>1297.6</v>
      </c>
      <c r="J80" s="32" t="n">
        <v>5.78</v>
      </c>
      <c r="K80" s="32" t="n">
        <v>454203</v>
      </c>
      <c r="L80" s="31" t="n">
        <v>60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78.73</v>
      </c>
      <c r="P80" s="32" t="n">
        <v>62.61</v>
      </c>
      <c r="Q80" s="32" t="n">
        <v>1015.97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26.25</v>
      </c>
      <c r="U80" s="32" t="n">
        <v>54.01</v>
      </c>
      <c r="V80" s="32" t="n">
        <v>21.99</v>
      </c>
      <c r="W80" s="32" t="n">
        <v>18.95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IF(B81=0,"",RANK(B81,$B$2:$B$346,0))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VIJAYA</t>
        </is>
      </c>
      <c r="D81" s="31" t="inlineStr">
        <is>
          <t>Vijaya Diagnostic Centre Ltd</t>
        </is>
      </c>
      <c r="E81" s="31" t="inlineStr">
        <is>
          <t>healthcare</t>
        </is>
      </c>
      <c r="F81" s="31" t="inlineStr">
        <is>
          <t>healthcare</t>
        </is>
      </c>
      <c r="G81" s="31" t="inlineStr">
        <is>
          <t>midcap</t>
        </is>
      </c>
      <c r="H81" s="32" t="n">
        <v>15599.14</v>
      </c>
      <c r="I81" s="32" t="n">
        <v>1570.7</v>
      </c>
      <c r="J81" s="32" t="n">
        <v>3.61</v>
      </c>
      <c r="K81" s="32" t="n">
        <v>209302</v>
      </c>
      <c r="L81" s="31" t="n">
        <v>48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71.66</v>
      </c>
      <c r="P81" s="32" t="n">
        <v>59.07</v>
      </c>
      <c r="Q81" s="32" t="n">
        <v>1254.02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26.25</v>
      </c>
      <c r="U81" s="32" t="n">
        <v>54.22</v>
      </c>
      <c r="V81" s="32" t="n">
        <v>22.16</v>
      </c>
      <c r="W81" s="32" t="n">
        <v>14.54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IF(B82=0,"",RANK(B82,$B$2:$B$346,0))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DIVISLAB</t>
        </is>
      </c>
      <c r="D82" s="31" t="inlineStr">
        <is>
          <t>Divi's Laboratories Limited</t>
        </is>
      </c>
      <c r="E82" s="31" t="inlineStr">
        <is>
          <t>healthcare</t>
        </is>
      </c>
      <c r="F82" s="31" t="inlineStr">
        <is>
          <t>pharmaceuticals - indian - bulk drugs</t>
        </is>
      </c>
      <c r="G82" s="31" t="inlineStr">
        <is>
          <t>largecap</t>
        </is>
      </c>
      <c r="H82" s="32" t="n">
        <v>248266.22</v>
      </c>
      <c r="I82" s="32" t="n">
        <v>9624</v>
      </c>
      <c r="J82" s="32" t="n">
        <v>2.91</v>
      </c>
      <c r="K82" s="32" t="n">
        <v>489382</v>
      </c>
      <c r="L82" s="31" t="n">
        <v>66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86.48</v>
      </c>
      <c r="P82" s="32" t="n">
        <v>52.03</v>
      </c>
      <c r="Q82" s="32" t="n">
        <v>8424.08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26.25</v>
      </c>
      <c r="U82" s="32" t="n">
        <v>69.84999999999999</v>
      </c>
      <c r="V82" s="32" t="n">
        <v>34.54</v>
      </c>
      <c r="W82" s="32" t="n">
        <v>21.22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IF(B83=0,"",RANK(B83,$B$2:$B$346,0))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AHCL</t>
        </is>
      </c>
      <c r="D83" s="31" t="inlineStr">
        <is>
          <t>Anlon Healthcare Ltd</t>
        </is>
      </c>
      <c r="E83" s="31" t="inlineStr">
        <is>
          <t>healthcare</t>
        </is>
      </c>
      <c r="F83" s="31" t="inlineStr">
        <is>
          <t>pharmaceuticals - indian - bulk drugs &amp; formln</t>
        </is>
      </c>
      <c r="G83" s="31" t="inlineStr">
        <is>
          <t>smallcap</t>
        </is>
      </c>
      <c r="H83" s="32" t="n">
        <v>1533.95</v>
      </c>
      <c r="I83" s="32" t="n">
        <v>29.68</v>
      </c>
      <c r="J83" s="32" t="n">
        <v>2.84</v>
      </c>
      <c r="K83" s="32" t="n">
        <v>113090092</v>
      </c>
      <c r="L83" s="31" t="n">
        <v>91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86.29000000000001</v>
      </c>
      <c r="P83" s="32" t="n">
        <v>44.74</v>
      </c>
      <c r="Q83" s="32" t="n">
        <v>22.57</v>
      </c>
      <c r="R83" s="31" t="inlineStr">
        <is>
          <t>Volume Spike &amp; Near 52W High Breakout</t>
        </is>
      </c>
      <c r="S83" s="31" t="inlineStr">
        <is>
          <t>Nifty Pharma</t>
        </is>
      </c>
      <c r="T83" s="32" t="n">
        <v>26.25</v>
      </c>
      <c r="U83" s="32" t="n">
        <v>130.67</v>
      </c>
      <c r="V83" s="32" t="n">
        <v>82.70999999999999</v>
      </c>
      <c r="W83" s="32" t="n">
        <v>39.53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IF(B84=0,"",RANK(B84,$B$2:$B$346,0))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VENKEYS</t>
        </is>
      </c>
      <c r="D84" s="31" t="inlineStr">
        <is>
          <t>Venky's (india) Limited</t>
        </is>
      </c>
      <c r="E84" s="31" t="inlineStr">
        <is>
          <t>fmcg</t>
        </is>
      </c>
      <c r="F84" s="31" t="inlineStr">
        <is>
          <t>miscellaneous</t>
        </is>
      </c>
      <c r="G84" s="31" t="inlineStr">
        <is>
          <t>smallcap</t>
        </is>
      </c>
      <c r="H84" s="32" t="n">
        <v>2360.9</v>
      </c>
      <c r="I84" s="32" t="n">
        <v>1692.2</v>
      </c>
      <c r="J84" s="32" t="n">
        <v>0.97</v>
      </c>
      <c r="K84" s="32" t="n">
        <v>64935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59.98</v>
      </c>
      <c r="P84" s="32" t="n">
        <v>47.26</v>
      </c>
      <c r="Q84" s="32" t="n">
        <v>1413.61</v>
      </c>
      <c r="R84" s="31" t="inlineStr">
        <is>
          <t>Earnings / Momentum Support</t>
        </is>
      </c>
      <c r="S84" s="31" t="inlineStr">
        <is>
          <t>Nifty FMCG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IF(B85=0,"",RANK(B85,$B$2:$B$346,0))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BLISSGVS</t>
        </is>
      </c>
      <c r="D85" s="31" t="inlineStr">
        <is>
          <t>Bliss Gvs Pharma Limited</t>
        </is>
      </c>
      <c r="E85" s="31" t="inlineStr">
        <is>
          <t>healthcare</t>
        </is>
      </c>
      <c r="F85" s="31" t="inlineStr">
        <is>
          <t>pharmaceuticals - indian - formulations</t>
        </is>
      </c>
      <c r="G85" s="31" t="inlineStr">
        <is>
          <t>midcap</t>
        </is>
      </c>
      <c r="H85" s="32" t="n">
        <v>7366.67</v>
      </c>
      <c r="I85" s="32" t="n">
        <v>699.2</v>
      </c>
      <c r="J85" s="32" t="n">
        <v>0.66</v>
      </c>
      <c r="K85" s="32" t="n">
        <v>152263</v>
      </c>
      <c r="L85" s="31" t="n">
        <v>97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80.72</v>
      </c>
      <c r="P85" s="32" t="n">
        <v>72.83</v>
      </c>
      <c r="Q85" s="32" t="n">
        <v>557.24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26.25</v>
      </c>
      <c r="U85" s="32" t="n">
        <v>384.9</v>
      </c>
      <c r="V85" s="32" t="n">
        <v>284.09</v>
      </c>
      <c r="W85" s="32" t="n">
        <v>51.33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Between 12 to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IF(B86=0,"",RANK(B86,$B$2:$B$346,0))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SHILPAMED</t>
        </is>
      </c>
      <c r="D86" s="31" t="inlineStr">
        <is>
          <t>Shilpa Medicare Limited</t>
        </is>
      </c>
      <c r="E86" s="31" t="inlineStr">
        <is>
          <t>healthcare</t>
        </is>
      </c>
      <c r="F86" s="31" t="inlineStr">
        <is>
          <t>pharmaceuticals - indian - formulations</t>
        </is>
      </c>
      <c r="G86" s="31" t="inlineStr">
        <is>
          <t>largecap</t>
        </is>
      </c>
      <c r="H86" s="32" t="n">
        <v>20206.54</v>
      </c>
      <c r="I86" s="32" t="n">
        <v>1037.7</v>
      </c>
      <c r="J86" s="32" t="n">
        <v>0.44</v>
      </c>
      <c r="K86" s="32" t="n">
        <v>613628</v>
      </c>
      <c r="L86" s="31" t="n">
        <v>92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92.31999999999999</v>
      </c>
      <c r="P86" s="32" t="n">
        <v>81.55</v>
      </c>
      <c r="Q86" s="32" t="n">
        <v>838.16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26.25</v>
      </c>
      <c r="U86" s="32" t="n">
        <v>169.06</v>
      </c>
      <c r="V86" s="32" t="n">
        <v>113.12</v>
      </c>
      <c r="W86" s="32" t="n">
        <v>43.78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IF(B87=0,"",RANK(B87,$B$2:$B$346,0))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ARTEMISMED</t>
        </is>
      </c>
      <c r="D87" s="31" t="inlineStr">
        <is>
          <t>Artemis Medicare Services Ltd</t>
        </is>
      </c>
      <c r="E87" s="31" t="inlineStr">
        <is>
          <t>healthcare</t>
        </is>
      </c>
      <c r="F87" s="31" t="inlineStr">
        <is>
          <t>healthcare</t>
        </is>
      </c>
      <c r="G87" s="31" t="inlineStr">
        <is>
          <t>midcap</t>
        </is>
      </c>
      <c r="H87" s="32" t="n">
        <v>5395.87</v>
      </c>
      <c r="I87" s="32" t="n">
        <v>341.9</v>
      </c>
      <c r="J87" s="32" t="n">
        <v>0.31</v>
      </c>
      <c r="K87" s="32" t="n">
        <v>155838</v>
      </c>
      <c r="L87" s="31" t="n">
        <v>52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71.84</v>
      </c>
      <c r="P87" s="32" t="n">
        <v>41.8</v>
      </c>
      <c r="Q87" s="32" t="n">
        <v>279.26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26.25</v>
      </c>
      <c r="U87" s="32" t="n">
        <v>47.61</v>
      </c>
      <c r="V87" s="32" t="n">
        <v>16.92</v>
      </c>
      <c r="W87" s="32" t="n">
        <v>16.07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IF(B88=0,"",RANK(B88,$B$2:$B$346,0))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ZIMLAB</t>
        </is>
      </c>
      <c r="D88" s="31" t="inlineStr">
        <is>
          <t>Zim Laboratories Ltd</t>
        </is>
      </c>
      <c r="E88" s="31" t="inlineStr">
        <is>
          <t>healthcare</t>
        </is>
      </c>
      <c r="F88" s="31" t="inlineStr">
        <is>
          <t>pharmaceuticals - indian - bulk drugs &amp; formln</t>
        </is>
      </c>
      <c r="G88" s="31" t="inlineStr">
        <is>
          <t>smallcap</t>
        </is>
      </c>
      <c r="H88" s="32" t="n">
        <v>716.49</v>
      </c>
      <c r="I88" s="32" t="n">
        <v>133.56</v>
      </c>
      <c r="J88" s="32" t="n">
        <v>-0.18</v>
      </c>
      <c r="K88" s="32" t="n">
        <v>118261</v>
      </c>
      <c r="L88" s="31" t="n">
        <v>61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67.11</v>
      </c>
      <c r="P88" s="32" t="n">
        <v>59.29</v>
      </c>
      <c r="Q88" s="32" t="n">
        <v>102.58</v>
      </c>
      <c r="R88" s="31" t="inlineStr">
        <is>
          <t>Near 52W High Breakout</t>
        </is>
      </c>
      <c r="S88" s="31" t="inlineStr">
        <is>
          <t>Nifty Pharma</t>
        </is>
      </c>
      <c r="T88" s="32" t="n">
        <v>26.25</v>
      </c>
      <c r="U88" s="32" t="n">
        <v>82.38</v>
      </c>
      <c r="V88" s="32" t="n">
        <v>44.47</v>
      </c>
      <c r="W88" s="32" t="n">
        <v>19.37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IF(B89=0,"",RANK(B89,$B$2:$B$346,0))</f>
        <v/>
      </c>
      <c r="B89" s="32">
        <f>SUM(N89,Y89,AA89,AC89,AE89,AG89,AI89,AK89,AM89,AO89,AQ89,AS89,AU89,AW89,AY89,BA89,BC89,BE89,BG89,BI89,BK89,BM89,BO89,BQ89,BS89,BU89,BW89,BY89,CA89,CC89,CE89)</f>
        <v/>
      </c>
      <c r="C89" s="33" t="inlineStr">
        <is>
          <t>GUFICBIO</t>
        </is>
      </c>
      <c r="D89" s="33" t="inlineStr">
        <is>
          <t>Gufic Biosciences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smallcap</t>
        </is>
      </c>
      <c r="H89" s="32" t="n">
        <v>4433.99</v>
      </c>
      <c r="I89" s="32" t="n">
        <v>437.45</v>
      </c>
      <c r="J89" s="32" t="n">
        <v>-1.06</v>
      </c>
      <c r="K89" s="32" t="n">
        <v>87869</v>
      </c>
      <c r="L89" s="31" t="n">
        <v>32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65.20999999999999</v>
      </c>
      <c r="P89" s="32" t="n">
        <v>57.08</v>
      </c>
      <c r="Q89" s="32" t="n">
        <v>343.98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26.25</v>
      </c>
      <c r="U89" s="32" t="n">
        <v>22.22</v>
      </c>
      <c r="V89" s="32" t="n">
        <v>-3.19</v>
      </c>
      <c r="W89" s="32" t="n">
        <v>9.640000000000001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IF(B90=0,"",RANK(B90,$B$2:$B$346,0))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SAKAR</t>
        </is>
      </c>
      <c r="D90" s="31" t="inlineStr">
        <is>
          <t>Sakar Healthcare Ltd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smallcap</t>
        </is>
      </c>
      <c r="H90" s="32" t="n">
        <v>2644.18</v>
      </c>
      <c r="I90" s="32" t="n">
        <v>1162.65</v>
      </c>
      <c r="J90" s="32" t="n">
        <v>-2.17</v>
      </c>
      <c r="K90" s="32" t="n">
        <v>228348</v>
      </c>
      <c r="L90" s="31" t="n">
        <v>90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75.22</v>
      </c>
      <c r="P90" s="32" t="n">
        <v>53.93</v>
      </c>
      <c r="Q90" s="32" t="n">
        <v>866.66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26.25</v>
      </c>
      <c r="U90" s="32" t="n">
        <v>226.13</v>
      </c>
      <c r="V90" s="32" t="n">
        <v>158.33</v>
      </c>
      <c r="W90" s="32" t="n">
        <v>36.97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IF(B91=0,"",RANK(B91,$B$2:$B$346,0))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GALAPREC</t>
        </is>
      </c>
      <c r="D91" s="31" t="inlineStr">
        <is>
          <t>Gala Precision Engineering Ltd</t>
        </is>
      </c>
      <c r="E91" s="31" t="inlineStr">
        <is>
          <t>industrials</t>
        </is>
      </c>
      <c r="F91" s="31" t="inlineStr">
        <is>
          <t>fasteners</t>
        </is>
      </c>
      <c r="G91" s="31" t="inlineStr">
        <is>
          <t>smallcap</t>
        </is>
      </c>
      <c r="H91" s="32" t="n">
        <v>1355.95</v>
      </c>
      <c r="I91" s="32" t="n">
        <v>1164.2</v>
      </c>
      <c r="J91" s="32" t="n">
        <v>10.04</v>
      </c>
      <c r="K91" s="32" t="n">
        <v>143631</v>
      </c>
      <c r="L91" s="31" t="n">
        <v>40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64.76000000000001</v>
      </c>
      <c r="P91" s="32" t="n">
        <v>47.91</v>
      </c>
      <c r="Q91" s="32" t="n">
        <v>879.3</v>
      </c>
      <c r="R91" s="31" t="inlineStr">
        <is>
          <t>Near 52W High Breakout</t>
        </is>
      </c>
      <c r="S91" s="31" t="inlineStr">
        <is>
          <t>Nifty 50</t>
        </is>
      </c>
      <c r="T91" s="32" t="n">
        <v>-4.9</v>
      </c>
      <c r="U91" s="32" t="n">
        <v>51.63</v>
      </c>
      <c r="V91" s="32" t="n">
        <v>59.44</v>
      </c>
      <c r="W91" s="32" t="n">
        <v>11.56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IF(B92=0,"",RANK(B92,$B$2:$B$346,0))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NOCIL</t>
        </is>
      </c>
      <c r="D92" s="31" t="inlineStr">
        <is>
          <t>Nocil Limited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smallcap</t>
        </is>
      </c>
      <c r="H92" s="32" t="n">
        <v>3238.45</v>
      </c>
      <c r="I92" s="32" t="n">
        <v>206.3</v>
      </c>
      <c r="J92" s="32" t="n">
        <v>6.4</v>
      </c>
      <c r="K92" s="32" t="n">
        <v>7384798</v>
      </c>
      <c r="L92" s="31" t="n">
        <v>22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68.59</v>
      </c>
      <c r="P92" s="32" t="n">
        <v>27.96</v>
      </c>
      <c r="Q92" s="32" t="n">
        <v>160.71</v>
      </c>
      <c r="R92" s="31" t="inlineStr">
        <is>
          <t>Near 52W High Breakout</t>
        </is>
      </c>
      <c r="S92" s="31" t="inlineStr">
        <is>
          <t>Nifty 50</t>
        </is>
      </c>
      <c r="T92" s="32" t="n">
        <v>-4.9</v>
      </c>
      <c r="U92" s="32" t="n">
        <v>17.67</v>
      </c>
      <c r="V92" s="32" t="n">
        <v>23.73</v>
      </c>
      <c r="W92" s="32" t="n">
        <v>6.71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IF(B93=0,"",RANK(B93,$B$2:$B$346,0))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TCPLPACK</t>
        </is>
      </c>
      <c r="D93" s="31" t="inlineStr">
        <is>
          <t>TCPL Packaging Ltd</t>
        </is>
      </c>
      <c r="E93" s="31" t="inlineStr">
        <is>
          <t>industrials</t>
        </is>
      </c>
      <c r="F93" s="31" t="inlineStr">
        <is>
          <t>packaging</t>
        </is>
      </c>
      <c r="G93" s="31" t="inlineStr">
        <is>
          <t>smallcap</t>
        </is>
      </c>
      <c r="H93" s="32" t="n">
        <v>3488.76</v>
      </c>
      <c r="I93" s="32" t="n">
        <v>4003</v>
      </c>
      <c r="J93" s="32" t="n">
        <v>4.41</v>
      </c>
      <c r="K93" s="32" t="n">
        <v>13166</v>
      </c>
      <c r="L93" s="31" t="n">
        <v>45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66.39</v>
      </c>
      <c r="P93" s="32" t="n">
        <v>45.71</v>
      </c>
      <c r="Q93" s="32" t="n">
        <v>3133.63</v>
      </c>
      <c r="R93" s="31" t="inlineStr">
        <is>
          <t>Near 52W High Breakout</t>
        </is>
      </c>
      <c r="S93" s="31" t="inlineStr">
        <is>
          <t>Nifty 50</t>
        </is>
      </c>
      <c r="T93" s="32" t="n">
        <v>-4.9</v>
      </c>
      <c r="U93" s="32" t="n">
        <v>21.78</v>
      </c>
      <c r="V93" s="32" t="n">
        <v>28.05</v>
      </c>
      <c r="W93" s="32" t="n">
        <v>13.17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IF(B94=0,"",RANK(B94,$B$2:$B$346,0))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WHEELS</t>
        </is>
      </c>
      <c r="D94" s="31" t="inlineStr">
        <is>
          <t>Wheels India Limited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midcap</t>
        </is>
      </c>
      <c r="H94" s="32" t="n">
        <v>5311.74</v>
      </c>
      <c r="I94" s="32" t="n">
        <v>2240.3</v>
      </c>
      <c r="J94" s="32" t="n">
        <v>3.05</v>
      </c>
      <c r="K94" s="32" t="n">
        <v>510095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77.26000000000001</v>
      </c>
      <c r="P94" s="32" t="n">
        <v>58.23</v>
      </c>
      <c r="Q94" s="32" t="n">
        <v>1665.79</v>
      </c>
      <c r="R94" s="31" t="inlineStr">
        <is>
          <t>Near 52W High Breakout</t>
        </is>
      </c>
      <c r="S94" s="31" t="inlineStr">
        <is>
          <t>Nifty Auto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IF(B95=0,"",RANK(B95,$B$2:$B$346,0))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SONACOMS</t>
        </is>
      </c>
      <c r="D95" s="31" t="inlineStr">
        <is>
          <t>Sona BLW Precision Forgings Ltd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largecap</t>
        </is>
      </c>
      <c r="H95" s="32" t="n">
        <v>50322.62</v>
      </c>
      <c r="I95" s="32" t="n">
        <v>833</v>
      </c>
      <c r="J95" s="32" t="n">
        <v>2.97</v>
      </c>
      <c r="K95" s="32" t="n">
        <v>3183807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75.2</v>
      </c>
      <c r="P95" s="32" t="n">
        <v>62.12</v>
      </c>
      <c r="Q95" s="32" t="n">
        <v>707.4400000000001</v>
      </c>
      <c r="R95" s="31" t="inlineStr">
        <is>
          <t>Near 52W High Breakout</t>
        </is>
      </c>
      <c r="S95" s="31" t="inlineStr">
        <is>
          <t>Nifty Auto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Between 1.5 to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IF(B96=0,"",RANK(B96,$B$2:$B$346,0))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KRONOX</t>
        </is>
      </c>
      <c r="D96" s="31" t="inlineStr">
        <is>
          <t>Kronox Lab Sciences Ltd</t>
        </is>
      </c>
      <c r="E96" s="31" t="inlineStr">
        <is>
          <t>chemicals</t>
        </is>
      </c>
      <c r="F96" s="31" t="inlineStr">
        <is>
          <t>chemicals</t>
        </is>
      </c>
      <c r="G96" s="31" t="inlineStr">
        <is>
          <t>smallcap</t>
        </is>
      </c>
      <c r="H96" s="32" t="n">
        <v>676.29</v>
      </c>
      <c r="I96" s="32" t="n">
        <v>187.39</v>
      </c>
      <c r="J96" s="32" t="n">
        <v>2.81</v>
      </c>
      <c r="K96" s="32" t="n">
        <v>87597</v>
      </c>
      <c r="L96" s="31" t="n">
        <v>37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60.24</v>
      </c>
      <c r="P96" s="32" t="n">
        <v>46.24</v>
      </c>
      <c r="Q96" s="32" t="n">
        <v>151.81</v>
      </c>
      <c r="R96" s="31" t="inlineStr">
        <is>
          <t>Earnings / Momentum Support</t>
        </is>
      </c>
      <c r="S96" s="31" t="inlineStr">
        <is>
          <t>Nifty 50</t>
        </is>
      </c>
      <c r="T96" s="32" t="n">
        <v>-4.9</v>
      </c>
      <c r="U96" s="32" t="n">
        <v>15.94</v>
      </c>
      <c r="V96" s="32" t="n">
        <v>21.91</v>
      </c>
      <c r="W96" s="32" t="n">
        <v>10.99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IF(B97=0,"",RANK(B97,$B$2:$B$346,0))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WENDT</t>
        </is>
      </c>
      <c r="D97" s="31" t="inlineStr">
        <is>
          <t>Wendt (india) Limited</t>
        </is>
      </c>
      <c r="E97" s="31" t="inlineStr">
        <is>
          <t>industrials</t>
        </is>
      </c>
      <c r="F97" s="31" t="inlineStr">
        <is>
          <t>abrasives and grinding wheels</t>
        </is>
      </c>
      <c r="G97" s="31" t="inlineStr">
        <is>
          <t>smallcap</t>
        </is>
      </c>
      <c r="H97" s="32" t="n">
        <v>1725.4</v>
      </c>
      <c r="I97" s="32" t="n">
        <v>8678.5</v>
      </c>
      <c r="J97" s="32" t="n">
        <v>0.6</v>
      </c>
      <c r="K97" s="32" t="n">
        <v>8377</v>
      </c>
      <c r="L97" s="31" t="n">
        <v>10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61.48</v>
      </c>
      <c r="P97" s="32" t="n">
        <v>41.8</v>
      </c>
      <c r="Q97" s="32" t="n">
        <v>7040.35</v>
      </c>
      <c r="R97" s="31" t="inlineStr">
        <is>
          <t>Near 52W High Breakout</t>
        </is>
      </c>
      <c r="S97" s="31" t="inlineStr">
        <is>
          <t>Nifty 50</t>
        </is>
      </c>
      <c r="T97" s="32" t="n">
        <v>-4.9</v>
      </c>
      <c r="U97" s="32" t="n">
        <v>-1.51</v>
      </c>
      <c r="V97" s="32" t="n">
        <v>3.56</v>
      </c>
      <c r="W97" s="32" t="n">
        <v>3.85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IF(B98=0,"",RANK(B98,$B$2:$B$346,0))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JINDWORLD</t>
        </is>
      </c>
      <c r="D98" s="31" t="inlineStr">
        <is>
          <t>Jindal Worldwide Limited</t>
        </is>
      </c>
      <c r="E98" s="31" t="inlineStr">
        <is>
          <t>textiles</t>
        </is>
      </c>
      <c r="F98" s="31" t="inlineStr">
        <is>
          <t>textiles - products</t>
        </is>
      </c>
      <c r="G98" s="31" t="inlineStr">
        <is>
          <t>midcap</t>
        </is>
      </c>
      <c r="H98" s="32" t="n">
        <v>5235.59</v>
      </c>
      <c r="I98" s="32" t="n">
        <v>52.2</v>
      </c>
      <c r="J98" s="32" t="n">
        <v>-0.04</v>
      </c>
      <c r="K98" s="32" t="n">
        <v>8712868</v>
      </c>
      <c r="L98" s="31" t="n">
        <v>79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68.42</v>
      </c>
      <c r="P98" s="32" t="n">
        <v>44.77</v>
      </c>
      <c r="Q98" s="32" t="n">
        <v>41.1</v>
      </c>
      <c r="R98" s="31" t="inlineStr">
        <is>
          <t>Earnings / Momentum Support</t>
        </is>
      </c>
      <c r="S98" s="31" t="inlineStr">
        <is>
          <t>Nifty 50</t>
        </is>
      </c>
      <c r="T98" s="32" t="n">
        <v>-4.9</v>
      </c>
      <c r="U98" s="32" t="n">
        <v>45.28</v>
      </c>
      <c r="V98" s="32" t="n">
        <v>52.77</v>
      </c>
      <c r="W98" s="32" t="n">
        <v>29.16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IF(B99=0,"",RANK(B99,$B$2:$B$346,0))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FOSECOIND</t>
        </is>
      </c>
      <c r="D99" s="31" t="inlineStr">
        <is>
          <t>Foseco India Limited</t>
        </is>
      </c>
      <c r="E99" s="31" t="inlineStr">
        <is>
          <t>chemicals</t>
        </is>
      </c>
      <c r="F99" s="31" t="inlineStr">
        <is>
          <t>chemicals</t>
        </is>
      </c>
      <c r="G99" s="31" t="inlineStr">
        <is>
          <t>smallcap</t>
        </is>
      </c>
      <c r="H99" s="32" t="n">
        <v>4945.95</v>
      </c>
      <c r="I99" s="32" t="n">
        <v>6555</v>
      </c>
      <c r="J99" s="32" t="n">
        <v>-0.11</v>
      </c>
      <c r="K99" s="32" t="n">
        <v>11166</v>
      </c>
      <c r="L99" s="31" t="n">
        <v>29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68.59</v>
      </c>
      <c r="P99" s="32" t="n">
        <v>33.86</v>
      </c>
      <c r="Q99" s="32" t="n">
        <v>5182.43</v>
      </c>
      <c r="R99" s="31" t="inlineStr">
        <is>
          <t>Near 52W High Breakout</t>
        </is>
      </c>
      <c r="S99" s="31" t="inlineStr">
        <is>
          <t>Nifty 50</t>
        </is>
      </c>
      <c r="T99" s="32" t="n">
        <v>-4.9</v>
      </c>
      <c r="U99" s="32" t="n">
        <v>13.85</v>
      </c>
      <c r="V99" s="32" t="n">
        <v>19.71</v>
      </c>
      <c r="W99" s="32" t="n">
        <v>8.699999999999999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Between 1.5 to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IF(B100=0,"",RANK(B100,$B$2:$B$346,0))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WSTCSTPAPR</t>
        </is>
      </c>
      <c r="D100" s="31" t="inlineStr">
        <is>
          <t>West Coast Paper Mills Limited</t>
        </is>
      </c>
      <c r="E100" s="31" t="inlineStr">
        <is>
          <t>building materials</t>
        </is>
      </c>
      <c r="F100" s="31" t="inlineStr">
        <is>
          <t>paper</t>
        </is>
      </c>
      <c r="G100" s="31" t="inlineStr">
        <is>
          <t>smallcap</t>
        </is>
      </c>
      <c r="H100" s="32" t="n">
        <v>4952.02</v>
      </c>
      <c r="I100" s="32" t="n">
        <v>747.25</v>
      </c>
      <c r="J100" s="32" t="n">
        <v>-0.33</v>
      </c>
      <c r="K100" s="32" t="n">
        <v>83716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75.06</v>
      </c>
      <c r="P100" s="32" t="n">
        <v>58.63</v>
      </c>
      <c r="Q100" s="32" t="n">
        <v>618.26</v>
      </c>
      <c r="R100" s="31" t="inlineStr">
        <is>
          <t>Near 52W High Breakout</t>
        </is>
      </c>
      <c r="S100" s="31" t="inlineStr">
        <is>
          <t>Nifty Infra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IF(B101=0,"",RANK(B101,$B$2:$B$346,0))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RSWM</t>
        </is>
      </c>
      <c r="D101" s="31" t="inlineStr">
        <is>
          <t>Rswm Limited</t>
        </is>
      </c>
      <c r="E101" s="31" t="inlineStr">
        <is>
          <t>textiles</t>
        </is>
      </c>
      <c r="F101" s="31" t="inlineStr">
        <is>
          <t>textiles - cotton/blended</t>
        </is>
      </c>
      <c r="G101" s="31" t="inlineStr">
        <is>
          <t>smallcap</t>
        </is>
      </c>
      <c r="H101" s="32" t="n">
        <v>1069.26</v>
      </c>
      <c r="I101" s="32" t="n">
        <v>225.28</v>
      </c>
      <c r="J101" s="32" t="n">
        <v>-0.76</v>
      </c>
      <c r="K101" s="32" t="n">
        <v>71503</v>
      </c>
      <c r="L101" s="31" t="n">
        <v>49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65.73999999999999</v>
      </c>
      <c r="P101" s="32" t="n">
        <v>48.34</v>
      </c>
      <c r="Q101" s="32" t="n">
        <v>166.34</v>
      </c>
      <c r="R101" s="31" t="inlineStr">
        <is>
          <t>Volume Spike &amp; Near 52W High Breakout</t>
        </is>
      </c>
      <c r="S101" s="31" t="inlineStr">
        <is>
          <t>Nifty 50</t>
        </is>
      </c>
      <c r="T101" s="32" t="n">
        <v>-4.9</v>
      </c>
      <c r="U101" s="32" t="n">
        <v>52.37</v>
      </c>
      <c r="V101" s="32" t="n">
        <v>60.22</v>
      </c>
      <c r="W101" s="32" t="n">
        <v>14.8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More than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IF(B102=0,"",RANK(B102,$B$2:$B$346,0))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AVALON</t>
        </is>
      </c>
      <c r="D102" s="31" t="inlineStr">
        <is>
          <t>Avalon Technologies Ltd</t>
        </is>
      </c>
      <c r="E102" s="31" t="inlineStr">
        <is>
          <t>consumer discretionary</t>
        </is>
      </c>
      <c r="F102" s="31" t="inlineStr">
        <is>
          <t>electronics - components</t>
        </is>
      </c>
      <c r="G102" s="31" t="inlineStr">
        <is>
          <t>midcap</t>
        </is>
      </c>
      <c r="H102" s="32" t="n">
        <v>16492.48</v>
      </c>
      <c r="I102" s="32" t="n">
        <v>2445.6</v>
      </c>
      <c r="J102" s="32" t="n">
        <v>-0.93</v>
      </c>
      <c r="K102" s="32" t="n">
        <v>165657</v>
      </c>
      <c r="L102" s="31" t="n">
        <v>83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79.41</v>
      </c>
      <c r="P102" s="32" t="n">
        <v>55.69</v>
      </c>
      <c r="Q102" s="32" t="n">
        <v>1896.63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-4.9</v>
      </c>
      <c r="U102" s="32" t="n">
        <v>146.05</v>
      </c>
      <c r="V102" s="32" t="n">
        <v>158.72</v>
      </c>
      <c r="W102" s="32" t="n">
        <v>31.8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IF(B103=0,"",RANK(B103,$B$2:$B$346,0))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FCL</t>
        </is>
      </c>
      <c r="D103" s="31" t="inlineStr">
        <is>
          <t>Fineotex Chemical Limited</t>
        </is>
      </c>
      <c r="E103" s="31" t="inlineStr">
        <is>
          <t>chemicals</t>
        </is>
      </c>
      <c r="F103" s="31" t="inlineStr">
        <is>
          <t>chemicals</t>
        </is>
      </c>
      <c r="G103" s="31" t="inlineStr">
        <is>
          <t>midcap</t>
        </is>
      </c>
      <c r="H103" s="32" t="n">
        <v>6683.07</v>
      </c>
      <c r="I103" s="32" t="n">
        <v>56.81</v>
      </c>
      <c r="J103" s="32" t="n">
        <v>-1.01</v>
      </c>
      <c r="K103" s="32" t="n">
        <v>12216676</v>
      </c>
      <c r="L103" s="31" t="n">
        <v>84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78.91</v>
      </c>
      <c r="P103" s="32" t="n">
        <v>48.61</v>
      </c>
      <c r="Q103" s="32" t="n">
        <v>42.84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-4.9</v>
      </c>
      <c r="U103" s="32" t="n">
        <v>127.8</v>
      </c>
      <c r="V103" s="32" t="n">
        <v>139.54</v>
      </c>
      <c r="W103" s="32" t="n">
        <v>32.37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IF(B104=0,"",RANK(B104,$B$2:$B$346,0))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CASTROLIND</t>
        </is>
      </c>
      <c r="D104" s="31" t="inlineStr">
        <is>
          <t>Castrol India Limited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midcap</t>
        </is>
      </c>
      <c r="H104" s="32" t="n">
        <v>19348.22</v>
      </c>
      <c r="I104" s="32" t="n">
        <v>193.23</v>
      </c>
      <c r="J104" s="32" t="n">
        <v>-1.22</v>
      </c>
      <c r="K104" s="32" t="n">
        <v>3637883</v>
      </c>
      <c r="L104" s="31" t="n">
        <v>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64.34999999999999</v>
      </c>
      <c r="P104" s="32" t="n">
        <v>38.09</v>
      </c>
      <c r="Q104" s="32" t="n">
        <v>180.51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-4.9</v>
      </c>
      <c r="U104" s="32" t="n">
        <v>4.99</v>
      </c>
      <c r="V104" s="32" t="n">
        <v>10.4</v>
      </c>
      <c r="W104" s="32" t="n">
        <v>2.66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IF(B105=0,"",RANK(B105,$B$2:$B$346,0))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SHREEPUSHK</t>
        </is>
      </c>
      <c r="D105" s="31" t="inlineStr">
        <is>
          <t>Shree Pushkar Chemicals &amp; Fertilisers Limited</t>
        </is>
      </c>
      <c r="E105" s="31" t="inlineStr">
        <is>
          <t>chemicals</t>
        </is>
      </c>
      <c r="F105" s="31" t="inlineStr">
        <is>
          <t>dyes and pigments</t>
        </is>
      </c>
      <c r="G105" s="31" t="inlineStr">
        <is>
          <t>smallcap</t>
        </is>
      </c>
      <c r="H105" s="32" t="n">
        <v>1635.8</v>
      </c>
      <c r="I105" s="32" t="n">
        <v>495.8</v>
      </c>
      <c r="J105" s="32" t="n">
        <v>-1.99</v>
      </c>
      <c r="K105" s="32" t="n">
        <v>50695</v>
      </c>
      <c r="L105" s="31" t="n">
        <v>30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66.84</v>
      </c>
      <c r="P105" s="32" t="n">
        <v>42.85</v>
      </c>
      <c r="Q105" s="32" t="n">
        <v>383.86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-4.9</v>
      </c>
      <c r="U105" s="32" t="n">
        <v>13.88</v>
      </c>
      <c r="V105" s="32" t="n">
        <v>19.75</v>
      </c>
      <c r="W105" s="32" t="n">
        <v>9.19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IF(B106=0,"",RANK(B106,$B$2:$B$346,0))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INDORAMA</t>
        </is>
      </c>
      <c r="D106" s="31" t="inlineStr">
        <is>
          <t>Indo Rama Synthetics (india) Limited</t>
        </is>
      </c>
      <c r="E106" s="31" t="inlineStr">
        <is>
          <t>textiles</t>
        </is>
      </c>
      <c r="F106" s="31" t="inlineStr">
        <is>
          <t>textiles - manmade</t>
        </is>
      </c>
      <c r="G106" s="31" t="inlineStr">
        <is>
          <t>smallcap</t>
        </is>
      </c>
      <c r="H106" s="32" t="n">
        <v>2704.35</v>
      </c>
      <c r="I106" s="32" t="n">
        <v>100</v>
      </c>
      <c r="J106" s="32" t="n">
        <v>-3.45</v>
      </c>
      <c r="K106" s="32" t="n">
        <v>1969705</v>
      </c>
      <c r="L106" s="31" t="n">
        <v>94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86.28</v>
      </c>
      <c r="P106" s="32" t="n">
        <v>60.36</v>
      </c>
      <c r="Q106" s="32" t="n">
        <v>73.01000000000001</v>
      </c>
      <c r="R106" s="31" t="inlineStr">
        <is>
          <t>Volume Spike &amp; Near 52W High Breakout</t>
        </is>
      </c>
      <c r="S106" s="31" t="inlineStr">
        <is>
          <t>Nifty 50</t>
        </is>
      </c>
      <c r="T106" s="32" t="n">
        <v>-4.9</v>
      </c>
      <c r="U106" s="32" t="n">
        <v>82.38</v>
      </c>
      <c r="V106" s="32" t="n">
        <v>91.78</v>
      </c>
      <c r="W106" s="32" t="n">
        <v>47.56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More than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IF(B107=0,"",RANK(B107,$B$2:$B$346,0))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BIRLACABLE</t>
        </is>
      </c>
      <c r="D107" s="31" t="inlineStr">
        <is>
          <t>Birla Cable Limited</t>
        </is>
      </c>
      <c r="E107" s="31" t="inlineStr">
        <is>
          <t>industrials</t>
        </is>
      </c>
      <c r="F107" s="31" t="inlineStr">
        <is>
          <t>cables - telephone</t>
        </is>
      </c>
      <c r="G107" s="31" t="inlineStr">
        <is>
          <t>smallcap</t>
        </is>
      </c>
      <c r="H107" s="32" t="n">
        <v>1125.75</v>
      </c>
      <c r="I107" s="32" t="n">
        <v>361.9</v>
      </c>
      <c r="J107" s="32" t="n">
        <v>-3.56</v>
      </c>
      <c r="K107" s="32" t="n">
        <v>519169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69.45</v>
      </c>
      <c r="P107" s="32" t="n">
        <v>54.33</v>
      </c>
      <c r="Q107" s="32" t="n">
        <v>296.86</v>
      </c>
      <c r="R107" s="31" t="inlineStr">
        <is>
          <t>Earnings / Momentum Support</t>
        </is>
      </c>
      <c r="S107" s="31" t="inlineStr">
        <is>
          <t>Nifty Infra</t>
        </is>
      </c>
      <c r="T107" s="32" t="inlineStr"/>
      <c r="U107" s="32" t="inlineStr"/>
      <c r="V107" s="32" t="inlineStr"/>
      <c r="W107" s="32" t="inlineStr"/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IF(B108=0,"",RANK(B108,$B$2:$B$346,0))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RACLGEAR</t>
        </is>
      </c>
      <c r="D108" s="31" t="inlineStr">
        <is>
          <t>RACL Geartech Ltd</t>
        </is>
      </c>
      <c r="E108" s="31" t="inlineStr">
        <is>
          <t>auto</t>
        </is>
      </c>
      <c r="F108" s="31" t="inlineStr">
        <is>
          <t>auto ancillaries</t>
        </is>
      </c>
      <c r="G108" s="31" t="inlineStr">
        <is>
          <t>smallcap</t>
        </is>
      </c>
      <c r="H108" s="32" t="n">
        <v>2072.34</v>
      </c>
      <c r="I108" s="32" t="n">
        <v>1689.6</v>
      </c>
      <c r="J108" s="32" t="n">
        <v>-3.89</v>
      </c>
      <c r="K108" s="32" t="n">
        <v>68163</v>
      </c>
      <c r="L108" s="31" t="inlineStr"/>
      <c r="M108" s="31" t="inlineStr"/>
      <c r="N108" s="32">
        <f>IF(M108="Underperforming",-5,IF(L108&gt;=95,15,IF(L108&gt;=90,10,IF(L108&gt;=80,5,0))))</f>
        <v/>
      </c>
      <c r="O108" s="32" t="n">
        <v>63.93</v>
      </c>
      <c r="P108" s="32" t="n">
        <v>53.41</v>
      </c>
      <c r="Q108" s="32" t="n">
        <v>1244.35</v>
      </c>
      <c r="R108" s="31" t="inlineStr">
        <is>
          <t>Near 52W High Breakout</t>
        </is>
      </c>
      <c r="S108" s="31" t="inlineStr">
        <is>
          <t>Nifty Auto</t>
        </is>
      </c>
      <c r="T108" s="32" t="inlineStr"/>
      <c r="U108" s="32" t="inlineStr"/>
      <c r="V108" s="32" t="inlineStr"/>
      <c r="W108" s="32" t="inlineStr"/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IF(B109=0,"",RANK(B109,$B$2:$B$346,0))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SUBEXLTD</t>
        </is>
      </c>
      <c r="D109" s="31" t="inlineStr">
        <is>
          <t>Subex Ltd</t>
        </is>
      </c>
      <c r="E109" s="31" t="inlineStr">
        <is>
          <t>i.t</t>
        </is>
      </c>
      <c r="F109" s="31" t="inlineStr">
        <is>
          <t>computers - software - medium / small</t>
        </is>
      </c>
      <c r="G109" s="31" t="inlineStr">
        <is>
          <t>smallcap</t>
        </is>
      </c>
      <c r="H109" s="32" t="n">
        <v>1088.6</v>
      </c>
      <c r="I109" s="32" t="n">
        <v>22.08</v>
      </c>
      <c r="J109" s="32" t="n">
        <v>13.99</v>
      </c>
      <c r="K109" s="32" t="n">
        <v>70960363</v>
      </c>
      <c r="L109" s="31" t="n">
        <v>92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76.09</v>
      </c>
      <c r="P109" s="32" t="n">
        <v>44.21</v>
      </c>
      <c r="Q109" s="32" t="n">
        <v>15.92</v>
      </c>
      <c r="R109" s="31" t="inlineStr">
        <is>
          <t>Volume Spike &amp; Near 52W High Breakout</t>
        </is>
      </c>
      <c r="S109" s="31" t="inlineStr">
        <is>
          <t>Nifty IT</t>
        </is>
      </c>
      <c r="T109" s="32" t="n">
        <v>-15.93</v>
      </c>
      <c r="U109" s="32" t="n">
        <v>84.15000000000001</v>
      </c>
      <c r="V109" s="32" t="n">
        <v>119.04</v>
      </c>
      <c r="W109" s="32" t="n">
        <v>40.04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Between 12 to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IF(B110=0,"",RANK(B110,$B$2:$B$346,0))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RPGLIFE</t>
        </is>
      </c>
      <c r="D110" s="31" t="inlineStr">
        <is>
          <t>Rpg Life Sciences Limited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smallcap</t>
        </is>
      </c>
      <c r="H110" s="32" t="n">
        <v>4543.1</v>
      </c>
      <c r="I110" s="32" t="n">
        <v>3025.4</v>
      </c>
      <c r="J110" s="32" t="n">
        <v>10.14</v>
      </c>
      <c r="K110" s="32" t="n">
        <v>143445</v>
      </c>
      <c r="L110" s="31" t="n">
        <v>48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67.5</v>
      </c>
      <c r="P110" s="32" t="n">
        <v>41.37</v>
      </c>
      <c r="Q110" s="32" t="n">
        <v>2338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26.25</v>
      </c>
      <c r="U110" s="32" t="n">
        <v>32.54</v>
      </c>
      <c r="V110" s="32" t="n">
        <v>4.98</v>
      </c>
      <c r="W110" s="32" t="n">
        <v>14.39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Between 12 to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IF(B111=0,"",RANK(B111,$B$2:$B$346,0))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ONEPOINT</t>
        </is>
      </c>
      <c r="D111" s="31" t="inlineStr">
        <is>
          <t>One Point One Solutions Ltd</t>
        </is>
      </c>
      <c r="E111" s="31" t="inlineStr">
        <is>
          <t>i.t</t>
        </is>
      </c>
      <c r="F111" s="31" t="inlineStr">
        <is>
          <t>computers - software - medium / small</t>
        </is>
      </c>
      <c r="G111" s="31" t="inlineStr">
        <is>
          <t>smallcap</t>
        </is>
      </c>
      <c r="H111" s="32" t="n">
        <v>1661.76</v>
      </c>
      <c r="I111" s="32" t="n">
        <v>68.41</v>
      </c>
      <c r="J111" s="32" t="n">
        <v>8.24</v>
      </c>
      <c r="K111" s="32" t="n">
        <v>21831475</v>
      </c>
      <c r="L111" s="31" t="n">
        <v>50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67.66</v>
      </c>
      <c r="P111" s="32" t="n">
        <v>13.46</v>
      </c>
      <c r="Q111" s="32" t="n">
        <v>52.7</v>
      </c>
      <c r="R111" s="31" t="inlineStr">
        <is>
          <t>Volume Spike &amp; Near 52W High Breakout</t>
        </is>
      </c>
      <c r="S111" s="31" t="inlineStr">
        <is>
          <t>Nifty IT</t>
        </is>
      </c>
      <c r="T111" s="32" t="n">
        <v>-15.93</v>
      </c>
      <c r="U111" s="32" t="n">
        <v>56.01</v>
      </c>
      <c r="V111" s="32" t="n">
        <v>85.56999999999999</v>
      </c>
      <c r="W111" s="32" t="n">
        <v>15.65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0 to 20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IF(B112=0,"",RANK(B112,$B$2:$B$346,0))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UNICHEMLAB</t>
        </is>
      </c>
      <c r="D112" s="33" t="inlineStr">
        <is>
          <t>Unichem Laboratories Limited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smallcap</t>
        </is>
      </c>
      <c r="H112" s="32" t="n">
        <v>3793.11</v>
      </c>
      <c r="I112" s="32" t="n">
        <v>573.2</v>
      </c>
      <c r="J112" s="32" t="n">
        <v>6.39</v>
      </c>
      <c r="K112" s="32" t="n">
        <v>294887</v>
      </c>
      <c r="L112" s="31" t="n">
        <v>49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61.7</v>
      </c>
      <c r="P112" s="32" t="n">
        <v>48.89</v>
      </c>
      <c r="Q112" s="32" t="n">
        <v>457.05</v>
      </c>
      <c r="R112" s="31" t="inlineStr">
        <is>
          <t>Earnings / Momentum Support</t>
        </is>
      </c>
      <c r="S112" s="31" t="inlineStr">
        <is>
          <t>Nifty Pharma</t>
        </is>
      </c>
      <c r="T112" s="32" t="n">
        <v>26.25</v>
      </c>
      <c r="U112" s="32" t="n">
        <v>19.69</v>
      </c>
      <c r="V112" s="32" t="n">
        <v>-5.19</v>
      </c>
      <c r="W112" s="32" t="n">
        <v>14.79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IF(B113=0,"",RANK(B113,$B$2:$B$346,0))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AARTIPHARM</t>
        </is>
      </c>
      <c r="D113" s="33" t="inlineStr">
        <is>
          <t>Aarti Pharmalabs Ltd</t>
        </is>
      </c>
      <c r="E113" s="31" t="inlineStr">
        <is>
          <t>healthcare</t>
        </is>
      </c>
      <c r="F113" s="31" t="inlineStr">
        <is>
          <t>pharmaceuticals - indian - bulk drugs &amp; formln</t>
        </is>
      </c>
      <c r="G113" s="31" t="inlineStr">
        <is>
          <t>midcap</t>
        </is>
      </c>
      <c r="H113" s="32" t="n">
        <v>8013.83</v>
      </c>
      <c r="I113" s="32" t="n">
        <v>940.1</v>
      </c>
      <c r="J113" s="32" t="n">
        <v>6.38</v>
      </c>
      <c r="K113" s="32" t="n">
        <v>2945650</v>
      </c>
      <c r="L113" s="31" t="n">
        <v>40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69.17</v>
      </c>
      <c r="P113" s="32" t="n">
        <v>22.55</v>
      </c>
      <c r="Q113" s="32" t="n">
        <v>715.54</v>
      </c>
      <c r="R113" s="31" t="inlineStr">
        <is>
          <t>Volume Spike &amp; Near 52W High Breakout</t>
        </is>
      </c>
      <c r="S113" s="31" t="inlineStr">
        <is>
          <t>Nifty Pharma</t>
        </is>
      </c>
      <c r="T113" s="32" t="n">
        <v>26.25</v>
      </c>
      <c r="U113" s="32" t="n">
        <v>14.6</v>
      </c>
      <c r="V113" s="32" t="n">
        <v>-9.220000000000001</v>
      </c>
      <c r="W113" s="32" t="n">
        <v>11.72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IF(B114=0,"",RANK(B114,$B$2:$B$346,0))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TASTYBITE</t>
        </is>
      </c>
      <c r="D114" s="31" t="inlineStr">
        <is>
          <t>Tasty Bite Eatables Ltd</t>
        </is>
      </c>
      <c r="E114" s="31" t="inlineStr">
        <is>
          <t>fmcg</t>
        </is>
      </c>
      <c r="F114" s="31" t="inlineStr">
        <is>
          <t>food - processing - indian</t>
        </is>
      </c>
      <c r="G114" s="31" t="inlineStr">
        <is>
          <t>smallcap</t>
        </is>
      </c>
      <c r="H114" s="32" t="n">
        <v>2522.12</v>
      </c>
      <c r="I114" s="32" t="n">
        <v>10180</v>
      </c>
      <c r="J114" s="32" t="n">
        <v>3.57</v>
      </c>
      <c r="K114" s="32" t="n">
        <v>3654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67.56999999999999</v>
      </c>
      <c r="P114" s="32" t="n">
        <v>54.66</v>
      </c>
      <c r="Q114" s="32" t="n">
        <v>8162.25</v>
      </c>
      <c r="R114" s="31" t="inlineStr">
        <is>
          <t>Near 52W High Breakout</t>
        </is>
      </c>
      <c r="S114" s="31" t="inlineStr">
        <is>
          <t>Nifty FMCG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IF(B115=0,"",RANK(B115,$B$2:$B$346,0))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AKUMS</t>
        </is>
      </c>
      <c r="D115" s="31" t="inlineStr">
        <is>
          <t>Akums Drugs &amp; Pharmaceuticals Ltd</t>
        </is>
      </c>
      <c r="E115" s="31" t="inlineStr">
        <is>
          <t>healthcare</t>
        </is>
      </c>
      <c r="F115" s="31" t="inlineStr">
        <is>
          <t>pharmaceuticals - indian - bulk drugs &amp; formln</t>
        </is>
      </c>
      <c r="G115" s="31" t="inlineStr">
        <is>
          <t>midcap</t>
        </is>
      </c>
      <c r="H115" s="32" t="n">
        <v>12715.86</v>
      </c>
      <c r="I115" s="32" t="n">
        <v>823.3</v>
      </c>
      <c r="J115" s="32" t="n">
        <v>1.91</v>
      </c>
      <c r="K115" s="32" t="n">
        <v>434249</v>
      </c>
      <c r="L115" s="31" t="n">
        <v>66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77.75</v>
      </c>
      <c r="P115" s="32" t="n">
        <v>64.09999999999999</v>
      </c>
      <c r="Q115" s="32" t="n">
        <v>674.65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26.25</v>
      </c>
      <c r="U115" s="32" t="n">
        <v>85.2</v>
      </c>
      <c r="V115" s="32" t="n">
        <v>46.7</v>
      </c>
      <c r="W115" s="32" t="n">
        <v>21.23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IF(B116=0,"",RANK(B116,$B$2:$B$346,0))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LAURUSLABS</t>
        </is>
      </c>
      <c r="D116" s="31" t="inlineStr">
        <is>
          <t>Laurus Labs Limited</t>
        </is>
      </c>
      <c r="E116" s="31" t="inlineStr">
        <is>
          <t>healthcare</t>
        </is>
      </c>
      <c r="F116" s="31" t="inlineStr">
        <is>
          <t>pharmaceuticals - indian - bulk drugs &amp; formln</t>
        </is>
      </c>
      <c r="G116" s="31" t="inlineStr">
        <is>
          <t>largecap</t>
        </is>
      </c>
      <c r="H116" s="32" t="n">
        <v>108401.08</v>
      </c>
      <c r="I116" s="32" t="n">
        <v>2034</v>
      </c>
      <c r="J116" s="32" t="n">
        <v>1.37</v>
      </c>
      <c r="K116" s="32" t="n">
        <v>1363988</v>
      </c>
      <c r="L116" s="31" t="n">
        <v>81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78.22</v>
      </c>
      <c r="P116" s="32" t="n">
        <v>74.7</v>
      </c>
      <c r="Q116" s="32" t="n">
        <v>1738.99</v>
      </c>
      <c r="R116" s="31" t="inlineStr">
        <is>
          <t>Near 52W High Breakout</t>
        </is>
      </c>
      <c r="S116" s="31" t="inlineStr">
        <is>
          <t>Nifty Pharma</t>
        </is>
      </c>
      <c r="T116" s="32" t="n">
        <v>26.25</v>
      </c>
      <c r="U116" s="32" t="n">
        <v>144.83</v>
      </c>
      <c r="V116" s="32" t="n">
        <v>93.93000000000001</v>
      </c>
      <c r="W116" s="32" t="n">
        <v>29.58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IF(B117=0,"",RANK(B117,$B$2:$B$346,0))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3IINFOLTD</t>
        </is>
      </c>
      <c r="D117" s="31" t="inlineStr">
        <is>
          <t>3i Infotech Ltd</t>
        </is>
      </c>
      <c r="E117" s="31" t="inlineStr">
        <is>
          <t>i.t</t>
        </is>
      </c>
      <c r="F117" s="31" t="inlineStr">
        <is>
          <t>computers - software - medium / small</t>
        </is>
      </c>
      <c r="G117" s="31" t="inlineStr">
        <is>
          <t>smallcap</t>
        </is>
      </c>
      <c r="H117" s="32" t="n">
        <v>539.87</v>
      </c>
      <c r="I117" s="32" t="n">
        <v>25.74</v>
      </c>
      <c r="J117" s="32" t="n">
        <v>-1.11</v>
      </c>
      <c r="K117" s="32" t="n">
        <v>181329</v>
      </c>
      <c r="L117" s="31" t="n">
        <v>53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66.90000000000001</v>
      </c>
      <c r="P117" s="32" t="n">
        <v>42.53</v>
      </c>
      <c r="Q117" s="32" t="n">
        <v>21.09</v>
      </c>
      <c r="R117" s="31" t="inlineStr">
        <is>
          <t>Near 52W High Breakout</t>
        </is>
      </c>
      <c r="S117" s="31" t="inlineStr">
        <is>
          <t>Nifty IT</t>
        </is>
      </c>
      <c r="T117" s="32" t="n">
        <v>-15.93</v>
      </c>
      <c r="U117" s="32" t="n">
        <v>17.11</v>
      </c>
      <c r="V117" s="32" t="n">
        <v>39.29</v>
      </c>
      <c r="W117" s="32" t="n">
        <v>16.52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IF(B118=0,"",RANK(B118,$B$2:$B$346,0))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3" t="inlineStr">
        <is>
          <t>SYNCOMF</t>
        </is>
      </c>
      <c r="D118" s="33" t="inlineStr">
        <is>
          <t>Syncom Formulations (India) Ltd</t>
        </is>
      </c>
      <c r="E118" s="31" t="inlineStr">
        <is>
          <t>healthcare</t>
        </is>
      </c>
      <c r="F118" s="31" t="inlineStr">
        <is>
          <t>pharmaceuticals - indian - bulk drugs &amp; formln</t>
        </is>
      </c>
      <c r="G118" s="31" t="inlineStr">
        <is>
          <t>smallcap</t>
        </is>
      </c>
      <c r="H118" s="32" t="n">
        <v>1917.6</v>
      </c>
      <c r="I118" s="32" t="n">
        <v>20.01</v>
      </c>
      <c r="J118" s="32" t="n">
        <v>-1.91</v>
      </c>
      <c r="K118" s="32" t="n">
        <v>5293142</v>
      </c>
      <c r="L118" s="31" t="n">
        <v>51</v>
      </c>
      <c r="M118" s="31" t="inlineStr">
        <is>
          <t>Underperforming</t>
        </is>
      </c>
      <c r="N118" s="32">
        <f>IF(M118="Underperforming",-5,IF(L118&gt;=95,15,IF(L118&gt;=90,10,IF(L118&gt;=80,5,0))))</f>
        <v/>
      </c>
      <c r="O118" s="32" t="n">
        <v>71.12</v>
      </c>
      <c r="P118" s="32" t="n">
        <v>30.74</v>
      </c>
      <c r="Q118" s="32" t="n">
        <v>14.86</v>
      </c>
      <c r="R118" s="31" t="inlineStr">
        <is>
          <t>Near 52W High Breakout</t>
        </is>
      </c>
      <c r="S118" s="31" t="inlineStr">
        <is>
          <t>Nifty Pharma</t>
        </is>
      </c>
      <c r="T118" s="32" t="n">
        <v>26.25</v>
      </c>
      <c r="U118" s="32" t="n">
        <v>21.21</v>
      </c>
      <c r="V118" s="32" t="n">
        <v>-3.99</v>
      </c>
      <c r="W118" s="32" t="n">
        <v>15.86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IF(B119=0,"",RANK(B119,$B$2:$B$346,0))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3" t="inlineStr">
        <is>
          <t>SOLARA</t>
        </is>
      </c>
      <c r="D119" s="33" t="inlineStr">
        <is>
          <t>Solara Active Pharma Sciences Ltd</t>
        </is>
      </c>
      <c r="E119" s="31" t="inlineStr">
        <is>
          <t>healthcare</t>
        </is>
      </c>
      <c r="F119" s="31" t="inlineStr">
        <is>
          <t>pharmaceuticals - indian - bulk drugs &amp; formln</t>
        </is>
      </c>
      <c r="G119" s="31" t="inlineStr">
        <is>
          <t>smallcap</t>
        </is>
      </c>
      <c r="H119" s="32" t="n">
        <v>3592.16</v>
      </c>
      <c r="I119" s="32" t="n">
        <v>722.9</v>
      </c>
      <c r="J119" s="32" t="n">
        <v>-2.91</v>
      </c>
      <c r="K119" s="32" t="n">
        <v>491844</v>
      </c>
      <c r="L119" s="31" t="n">
        <v>35</v>
      </c>
      <c r="M119" s="31" t="inlineStr">
        <is>
          <t>Underperforming</t>
        </is>
      </c>
      <c r="N119" s="32">
        <f>IF(M119="Underperforming",-5,IF(L119&gt;=95,15,IF(L119&gt;=90,10,IF(L119&gt;=80,5,0))))</f>
        <v/>
      </c>
      <c r="O119" s="32" t="n">
        <v>67.48</v>
      </c>
      <c r="P119" s="32" t="n">
        <v>31.52</v>
      </c>
      <c r="Q119" s="32" t="n">
        <v>559.12</v>
      </c>
      <c r="R119" s="31" t="inlineStr">
        <is>
          <t>Near 52W High Breakout</t>
        </is>
      </c>
      <c r="S119" s="31" t="inlineStr">
        <is>
          <t>Nifty Pharma</t>
        </is>
      </c>
      <c r="T119" s="32" t="n">
        <v>26.25</v>
      </c>
      <c r="U119" s="32" t="n">
        <v>17.49</v>
      </c>
      <c r="V119" s="32" t="n">
        <v>-6.94</v>
      </c>
      <c r="W119" s="32" t="n">
        <v>10.58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IF(B120=0,"",RANK(B120,$B$2:$B$346,0))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LLOYDSENGG</t>
        </is>
      </c>
      <c r="D120" s="31" t="inlineStr">
        <is>
          <t>Lloyds Engineering Works Ltd</t>
        </is>
      </c>
      <c r="E120" s="31" t="inlineStr">
        <is>
          <t>industrials</t>
        </is>
      </c>
      <c r="F120" s="31" t="inlineStr">
        <is>
          <t>engineering</t>
        </is>
      </c>
      <c r="G120" s="31" t="inlineStr">
        <is>
          <t>midcap</t>
        </is>
      </c>
      <c r="H120" s="32" t="n">
        <v>13297.06</v>
      </c>
      <c r="I120" s="32" t="n">
        <v>91.52</v>
      </c>
      <c r="J120" s="32" t="n">
        <v>6.75</v>
      </c>
      <c r="K120" s="32" t="n">
        <v>20150065</v>
      </c>
      <c r="L120" s="31" t="n">
        <v>61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64.66</v>
      </c>
      <c r="P120" s="32" t="n">
        <v>45.23</v>
      </c>
      <c r="Q120" s="32" t="n">
        <v>73.76000000000001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-4.9</v>
      </c>
      <c r="U120" s="32" t="n">
        <v>55.47</v>
      </c>
      <c r="V120" s="32" t="n">
        <v>63.48</v>
      </c>
      <c r="W120" s="32" t="n">
        <v>19.66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IF(B121=0,"",RANK(B121,$B$2:$B$346,0))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RUBYMILLS</t>
        </is>
      </c>
      <c r="D121" s="31" t="inlineStr">
        <is>
          <t>The Ruby Mills Limited</t>
        </is>
      </c>
      <c r="E121" s="31" t="inlineStr">
        <is>
          <t>textiles</t>
        </is>
      </c>
      <c r="F121" s="31" t="inlineStr">
        <is>
          <t>textiles - composite</t>
        </is>
      </c>
      <c r="G121" s="31" t="inlineStr">
        <is>
          <t>smallcap</t>
        </is>
      </c>
      <c r="H121" s="32" t="n">
        <v>1538.07</v>
      </c>
      <c r="I121" s="32" t="n">
        <v>490.2</v>
      </c>
      <c r="J121" s="32" t="n">
        <v>6.58</v>
      </c>
      <c r="K121" s="32" t="n">
        <v>111992</v>
      </c>
      <c r="L121" s="31" t="n">
        <v>82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77.67</v>
      </c>
      <c r="P121" s="32" t="n">
        <v>53.2</v>
      </c>
      <c r="Q121" s="32" t="n">
        <v>348.01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-4.9</v>
      </c>
      <c r="U121" s="32" t="n">
        <v>122.64</v>
      </c>
      <c r="V121" s="32" t="n">
        <v>134.11</v>
      </c>
      <c r="W121" s="32" t="n">
        <v>30.71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IF(B122=0,"",RANK(B122,$B$2:$B$346,0))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TIRUPATIFL</t>
        </is>
      </c>
      <c r="D122" s="31" t="inlineStr">
        <is>
          <t>Tirupati Forge Ltd</t>
        </is>
      </c>
      <c r="E122" s="31" t="inlineStr">
        <is>
          <t>industrials</t>
        </is>
      </c>
      <c r="F122" s="31" t="inlineStr">
        <is>
          <t>castings &amp; forgings</t>
        </is>
      </c>
      <c r="G122" s="31" t="inlineStr">
        <is>
          <t>smallcap</t>
        </is>
      </c>
      <c r="H122" s="32" t="n">
        <v>970.23</v>
      </c>
      <c r="I122" s="32" t="n">
        <v>78.34</v>
      </c>
      <c r="J122" s="32" t="n">
        <v>5</v>
      </c>
      <c r="K122" s="32" t="n">
        <v>1107996</v>
      </c>
      <c r="L122" s="31" t="n">
        <v>82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72.81999999999999</v>
      </c>
      <c r="P122" s="32" t="n">
        <v>56.22</v>
      </c>
      <c r="Q122" s="32" t="n">
        <v>55.95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-4.9</v>
      </c>
      <c r="U122" s="32" t="n">
        <v>109.75</v>
      </c>
      <c r="V122" s="32" t="n">
        <v>120.55</v>
      </c>
      <c r="W122" s="32" t="n">
        <v>30.73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IF(B123=0,"",RANK(B123,$B$2:$B$346,0))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PVP</t>
        </is>
      </c>
      <c r="D123" s="31" t="inlineStr">
        <is>
          <t>Pvp Ventures Limited</t>
        </is>
      </c>
      <c r="E123" s="31" t="inlineStr">
        <is>
          <t>realty</t>
        </is>
      </c>
      <c r="F123" s="31" t="inlineStr">
        <is>
          <t>construction</t>
        </is>
      </c>
      <c r="G123" s="31" t="inlineStr">
        <is>
          <t>smallcap</t>
        </is>
      </c>
      <c r="H123" s="32" t="n">
        <v>1701.74</v>
      </c>
      <c r="I123" s="32" t="n">
        <v>68.61</v>
      </c>
      <c r="J123" s="32" t="n">
        <v>4.99</v>
      </c>
      <c r="K123" s="32" t="n">
        <v>709084</v>
      </c>
      <c r="L123" s="31" t="inlineStr"/>
      <c r="M123" s="31" t="inlineStr"/>
      <c r="N123" s="32">
        <f>IF(M123="Underperforming",-5,IF(L123&gt;=95,15,IF(L123&gt;=90,10,IF(L123&gt;=80,5,0))))</f>
        <v/>
      </c>
      <c r="O123" s="32" t="n">
        <v>74.86</v>
      </c>
      <c r="P123" s="32" t="n">
        <v>35.09</v>
      </c>
      <c r="Q123" s="32" t="n">
        <v>47.97</v>
      </c>
      <c r="R123" s="31" t="inlineStr">
        <is>
          <t>Near 52W High Breakout</t>
        </is>
      </c>
      <c r="S123" s="31" t="inlineStr">
        <is>
          <t>Nifty Realty</t>
        </is>
      </c>
      <c r="T123" s="32" t="inlineStr"/>
      <c r="U123" s="32" t="inlineStr"/>
      <c r="V123" s="32" t="inlineStr"/>
      <c r="W123" s="32" t="inlineStr"/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IF(B124=0,"",RANK(B124,$B$2:$B$346,0))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CARBORUNIV</t>
        </is>
      </c>
      <c r="D124" s="31" t="inlineStr">
        <is>
          <t>Carborundum Universal Limited</t>
        </is>
      </c>
      <c r="E124" s="31" t="inlineStr">
        <is>
          <t>industrials</t>
        </is>
      </c>
      <c r="F124" s="31" t="inlineStr">
        <is>
          <t>abrasives and grinding wheels</t>
        </is>
      </c>
      <c r="G124" s="31" t="inlineStr">
        <is>
          <t>largecap</t>
        </is>
      </c>
      <c r="H124" s="32" t="n">
        <v>23074.48</v>
      </c>
      <c r="I124" s="32" t="n">
        <v>1264.5</v>
      </c>
      <c r="J124" s="32" t="n">
        <v>4.39</v>
      </c>
      <c r="K124" s="32" t="n">
        <v>597871</v>
      </c>
      <c r="L124" s="31" t="n">
        <v>36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66.65000000000001</v>
      </c>
      <c r="P124" s="32" t="n">
        <v>45.7</v>
      </c>
      <c r="Q124" s="32" t="n">
        <v>983.27</v>
      </c>
      <c r="R124" s="31" t="inlineStr">
        <is>
          <t>Volume Spike &amp; Near 52W High Breakout</t>
        </is>
      </c>
      <c r="S124" s="31" t="inlineStr">
        <is>
          <t>Nifty 50</t>
        </is>
      </c>
      <c r="T124" s="32" t="n">
        <v>-4.9</v>
      </c>
      <c r="U124" s="32" t="n">
        <v>38.05</v>
      </c>
      <c r="V124" s="32" t="n">
        <v>45.16</v>
      </c>
      <c r="W124" s="32" t="n">
        <v>10.71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IF(B125=0,"",RANK(B125,$B$2:$B$346,0))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EBGNG</t>
        </is>
      </c>
      <c r="D125" s="31" t="inlineStr">
        <is>
          <t>GNG Electronics Ltd</t>
        </is>
      </c>
      <c r="E125" s="31" t="inlineStr">
        <is>
          <t>services</t>
        </is>
      </c>
      <c r="F125" s="31" t="inlineStr">
        <is>
          <t>trading</t>
        </is>
      </c>
      <c r="G125" s="31" t="inlineStr">
        <is>
          <t>midcap</t>
        </is>
      </c>
      <c r="H125" s="32" t="n">
        <v>7893.02</v>
      </c>
      <c r="I125" s="32" t="n">
        <v>715.15</v>
      </c>
      <c r="J125" s="32" t="n">
        <v>3.3</v>
      </c>
      <c r="K125" s="32" t="n">
        <v>1292762</v>
      </c>
      <c r="L125" s="31" t="n">
        <v>70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70.84999999999999</v>
      </c>
      <c r="P125" s="32" t="n">
        <v>39.22</v>
      </c>
      <c r="Q125" s="32" t="n">
        <v>514.9400000000001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-4.9</v>
      </c>
      <c r="U125" s="32" t="n">
        <v>106.99</v>
      </c>
      <c r="V125" s="32" t="n">
        <v>117.65</v>
      </c>
      <c r="W125" s="32" t="n">
        <v>22.86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IF(B126=0,"",RANK(B126,$B$2:$B$346,0))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STEELCAS</t>
        </is>
      </c>
      <c r="D126" s="31" t="inlineStr">
        <is>
          <t>Steelcast Ltd</t>
        </is>
      </c>
      <c r="E126" s="31" t="inlineStr">
        <is>
          <t>industrials</t>
        </is>
      </c>
      <c r="F126" s="31" t="inlineStr">
        <is>
          <t>castings &amp; forgings</t>
        </is>
      </c>
      <c r="G126" s="31" t="inlineStr">
        <is>
          <t>smallcap</t>
        </is>
      </c>
      <c r="H126" s="32" t="n">
        <v>3543.52</v>
      </c>
      <c r="I126" s="32" t="n">
        <v>359.7</v>
      </c>
      <c r="J126" s="32" t="n">
        <v>2.73</v>
      </c>
      <c r="K126" s="32" t="n">
        <v>268681</v>
      </c>
      <c r="L126" s="31" t="n">
        <v>53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70.01000000000001</v>
      </c>
      <c r="P126" s="32" t="n">
        <v>42.41</v>
      </c>
      <c r="Q126" s="32" t="n">
        <v>268.98</v>
      </c>
      <c r="R126" s="31" t="inlineStr">
        <is>
          <t>Volume Spike &amp; Near 52W High Breakout</t>
        </is>
      </c>
      <c r="S126" s="31" t="inlineStr">
        <is>
          <t>Nifty 50</t>
        </is>
      </c>
      <c r="T126" s="32" t="n">
        <v>-4.9</v>
      </c>
      <c r="U126" s="32" t="n">
        <v>72.14</v>
      </c>
      <c r="V126" s="32" t="n">
        <v>81.01000000000001</v>
      </c>
      <c r="W126" s="32" t="n">
        <v>16.38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Between 12 to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IF(B127=0,"",RANK(B127,$B$2:$B$346,0))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KAPSTON</t>
        </is>
      </c>
      <c r="D127" s="31" t="inlineStr">
        <is>
          <t>Kapston Services Ltd</t>
        </is>
      </c>
      <c r="E127" s="31" t="inlineStr">
        <is>
          <t>miscellaneous</t>
        </is>
      </c>
      <c r="F127" s="31" t="inlineStr">
        <is>
          <t>miscellaneous</t>
        </is>
      </c>
      <c r="G127" s="31" t="inlineStr">
        <is>
          <t>smallcap</t>
        </is>
      </c>
      <c r="H127" s="32" t="n">
        <v>1736.31</v>
      </c>
      <c r="I127" s="32" t="n">
        <v>585.9</v>
      </c>
      <c r="J127" s="32" t="n">
        <v>2.69</v>
      </c>
      <c r="K127" s="32" t="n">
        <v>39643</v>
      </c>
      <c r="L127" s="31" t="n">
        <v>85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74.01000000000001</v>
      </c>
      <c r="P127" s="32" t="n">
        <v>43.13</v>
      </c>
      <c r="Q127" s="32" t="n">
        <v>453.71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-4.9</v>
      </c>
      <c r="U127" s="32" t="n">
        <v>135.18</v>
      </c>
      <c r="V127" s="32" t="n">
        <v>147.29</v>
      </c>
      <c r="W127" s="32" t="n">
        <v>33.01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Between 1.5 to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More than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IF(B128=0,"",RANK(B128,$B$2:$B$346,0))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WELCORP</t>
        </is>
      </c>
      <c r="D128" s="31" t="inlineStr">
        <is>
          <t>Welspun Corp Limited</t>
        </is>
      </c>
      <c r="E128" s="31" t="inlineStr">
        <is>
          <t>industrials</t>
        </is>
      </c>
      <c r="F128" s="31" t="inlineStr">
        <is>
          <t>steel - large</t>
        </is>
      </c>
      <c r="G128" s="31" t="inlineStr">
        <is>
          <t>largecap</t>
        </is>
      </c>
      <c r="H128" s="32" t="n">
        <v>72054.41</v>
      </c>
      <c r="I128" s="32" t="n">
        <v>2796.8</v>
      </c>
      <c r="J128" s="32" t="n">
        <v>2.39</v>
      </c>
      <c r="K128" s="32" t="n">
        <v>1740034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94.41</v>
      </c>
      <c r="P128" s="32" t="n">
        <v>76.34</v>
      </c>
      <c r="Q128" s="32" t="n">
        <v>2244.47</v>
      </c>
      <c r="R128" s="31" t="inlineStr">
        <is>
          <t>Near 52W High Breakout</t>
        </is>
      </c>
      <c r="S128" s="31" t="inlineStr">
        <is>
          <t>Nifty Metal</t>
        </is>
      </c>
      <c r="T128" s="32" t="inlineStr"/>
      <c r="U128" s="32" t="inlineStr"/>
      <c r="V128" s="32" t="inlineStr"/>
      <c r="W128" s="32" t="inlineStr"/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IF(B129=0,"",RANK(B129,$B$2:$B$346,0))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NYKAA</t>
        </is>
      </c>
      <c r="D129" s="31" t="inlineStr">
        <is>
          <t>FSN E-Commerce Ventures Ltd</t>
        </is>
      </c>
      <c r="E129" s="31" t="inlineStr">
        <is>
          <t>i.t</t>
        </is>
      </c>
      <c r="F129" s="31" t="inlineStr">
        <is>
          <t>trading</t>
        </is>
      </c>
      <c r="G129" s="31" t="inlineStr">
        <is>
          <t>largecap</t>
        </is>
      </c>
      <c r="H129" s="32" t="n">
        <v>95522.85000000001</v>
      </c>
      <c r="I129" s="32" t="n">
        <v>340.85</v>
      </c>
      <c r="J129" s="32" t="n">
        <v>2.19</v>
      </c>
      <c r="K129" s="32" t="n">
        <v>2246914</v>
      </c>
      <c r="L129" s="31" t="n">
        <v>38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67.59999999999999</v>
      </c>
      <c r="P129" s="32" t="n">
        <v>52.29</v>
      </c>
      <c r="Q129" s="32" t="n">
        <v>293.61</v>
      </c>
      <c r="R129" s="31" t="inlineStr">
        <is>
          <t>Near 52W High Breakout</t>
        </is>
      </c>
      <c r="S129" s="31" t="inlineStr">
        <is>
          <t>Nifty IT</t>
        </is>
      </c>
      <c r="T129" s="32" t="n">
        <v>-15.93</v>
      </c>
      <c r="U129" s="32" t="n">
        <v>47.8</v>
      </c>
      <c r="V129" s="32" t="n">
        <v>75.8</v>
      </c>
      <c r="W129" s="32" t="n">
        <v>11.37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IF(B130=0,"",RANK(B130,$B$2:$B$346,0))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GAYAPROJ</t>
        </is>
      </c>
      <c r="D130" s="31" t="inlineStr">
        <is>
          <t>Gayatri Projects Limited</t>
        </is>
      </c>
      <c r="E130" s="31" t="inlineStr">
        <is>
          <t>realty</t>
        </is>
      </c>
      <c r="F130" s="31" t="inlineStr">
        <is>
          <t>construction</t>
        </is>
      </c>
      <c r="G130" s="31" t="inlineStr">
        <is>
          <t>smallcap</t>
        </is>
      </c>
      <c r="H130" s="32" t="n">
        <v>1099.46</v>
      </c>
      <c r="I130" s="32" t="n">
        <v>24.17</v>
      </c>
      <c r="J130" s="32" t="n">
        <v>2.07</v>
      </c>
      <c r="K130" s="32" t="n">
        <v>858564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64.33</v>
      </c>
      <c r="P130" s="32" t="n">
        <v>27.94</v>
      </c>
      <c r="Q130" s="32" t="n">
        <v>19.01</v>
      </c>
      <c r="R130" s="31" t="inlineStr">
        <is>
          <t>Earnings / Momentum Support</t>
        </is>
      </c>
      <c r="S130" s="31" t="inlineStr">
        <is>
          <t>Nifty Realty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IF(B131=0,"",RANK(B131,$B$2:$B$346,0))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TATVA</t>
        </is>
      </c>
      <c r="D131" s="31" t="inlineStr">
        <is>
          <t>Tatva Chintan Pharma Chem Ltd</t>
        </is>
      </c>
      <c r="E131" s="31" t="inlineStr">
        <is>
          <t>chemicals</t>
        </is>
      </c>
      <c r="F131" s="31" t="inlineStr">
        <is>
          <t>chemicals</t>
        </is>
      </c>
      <c r="G131" s="31" t="inlineStr">
        <is>
          <t>smallcap</t>
        </is>
      </c>
      <c r="H131" s="32" t="n">
        <v>4080.04</v>
      </c>
      <c r="I131" s="32" t="n">
        <v>1778.1</v>
      </c>
      <c r="J131" s="32" t="n">
        <v>1.94</v>
      </c>
      <c r="K131" s="32" t="n">
        <v>100979</v>
      </c>
      <c r="L131" s="31" t="n">
        <v>73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67.25</v>
      </c>
      <c r="P131" s="32" t="n">
        <v>37.74</v>
      </c>
      <c r="Q131" s="32" t="n">
        <v>1338.96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-4.9</v>
      </c>
      <c r="U131" s="32" t="n">
        <v>76.16</v>
      </c>
      <c r="V131" s="32" t="n">
        <v>85.23</v>
      </c>
      <c r="W131" s="32" t="n">
        <v>24.5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IF(B132=0,"",RANK(B132,$B$2:$B$346,0))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INDNIPPON</t>
        </is>
      </c>
      <c r="D132" s="31" t="inlineStr">
        <is>
          <t>India Nippon Electricals Limited</t>
        </is>
      </c>
      <c r="E132" s="31" t="inlineStr">
        <is>
          <t>auto</t>
        </is>
      </c>
      <c r="F132" s="31" t="inlineStr">
        <is>
          <t>auto ancillaries</t>
        </is>
      </c>
      <c r="G132" s="31" t="inlineStr">
        <is>
          <t>smallcap</t>
        </is>
      </c>
      <c r="H132" s="32" t="n">
        <v>2798.27</v>
      </c>
      <c r="I132" s="32" t="n">
        <v>1260.7</v>
      </c>
      <c r="J132" s="32" t="n">
        <v>1.92</v>
      </c>
      <c r="K132" s="32" t="n">
        <v>109262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65.38</v>
      </c>
      <c r="P132" s="32" t="n">
        <v>50.54</v>
      </c>
      <c r="Q132" s="32" t="n">
        <v>1016.99</v>
      </c>
      <c r="R132" s="31" t="inlineStr">
        <is>
          <t>Earnings / Momentum Support</t>
        </is>
      </c>
      <c r="S132" s="31" t="inlineStr">
        <is>
          <t>Nifty Auto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Between 12 to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Between 1.5 to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IF(B133=0,"",RANK(B133,$B$2:$B$346,0))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VISAKAIND</t>
        </is>
      </c>
      <c r="D133" s="31" t="inlineStr">
        <is>
          <t>Visaka Industries Limited</t>
        </is>
      </c>
      <c r="E133" s="31" t="inlineStr">
        <is>
          <t>building materials</t>
        </is>
      </c>
      <c r="F133" s="31" t="inlineStr">
        <is>
          <t>cement products</t>
        </is>
      </c>
      <c r="G133" s="31" t="inlineStr">
        <is>
          <t>smallcap</t>
        </is>
      </c>
      <c r="H133" s="32" t="n">
        <v>816.27</v>
      </c>
      <c r="I133" s="32" t="n">
        <v>96.08</v>
      </c>
      <c r="J133" s="32" t="n">
        <v>1.7</v>
      </c>
      <c r="K133" s="32" t="n">
        <v>149545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66.83</v>
      </c>
      <c r="P133" s="32" t="n">
        <v>47.48</v>
      </c>
      <c r="Q133" s="32" t="n">
        <v>75.39</v>
      </c>
      <c r="R133" s="31" t="inlineStr">
        <is>
          <t>Near 52W High Breakout</t>
        </is>
      </c>
      <c r="S133" s="31" t="inlineStr">
        <is>
          <t>Nifty Infra</t>
        </is>
      </c>
      <c r="T133" s="32" t="inlineStr"/>
      <c r="U133" s="32" t="inlineStr"/>
      <c r="V133" s="32" t="inlineStr"/>
      <c r="W133" s="32" t="inlineStr"/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IF(B134=0,"",RANK(B134,$B$2:$B$346,0))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SETL</t>
        </is>
      </c>
      <c r="D134" s="31" t="inlineStr">
        <is>
          <t>Standard Enginnering Technology Ltd</t>
        </is>
      </c>
      <c r="E134" s="31" t="inlineStr">
        <is>
          <t>industrials</t>
        </is>
      </c>
      <c r="F134" s="31" t="inlineStr">
        <is>
          <t>engineering</t>
        </is>
      </c>
      <c r="G134" s="31" t="inlineStr">
        <is>
          <t>midcap</t>
        </is>
      </c>
      <c r="H134" s="32" t="n">
        <v>8030.54</v>
      </c>
      <c r="I134" s="32" t="n">
        <v>407</v>
      </c>
      <c r="J134" s="32" t="n">
        <v>1.11</v>
      </c>
      <c r="K134" s="32" t="n">
        <v>437953</v>
      </c>
      <c r="L134" s="31" t="n">
        <v>94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73.58</v>
      </c>
      <c r="P134" s="32" t="n">
        <v>75.16</v>
      </c>
      <c r="Q134" s="32" t="n">
        <v>361.79</v>
      </c>
      <c r="R134" s="31" t="inlineStr">
        <is>
          <t>Earnings / Momentum Support</t>
        </is>
      </c>
      <c r="S134" s="31" t="inlineStr">
        <is>
          <t>Nifty 50</t>
        </is>
      </c>
      <c r="T134" s="32" t="n">
        <v>-4.9</v>
      </c>
      <c r="U134" s="32" t="n">
        <v>130.59</v>
      </c>
      <c r="V134" s="32" t="n">
        <v>142.47</v>
      </c>
      <c r="W134" s="32" t="n">
        <v>46.63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IF(B135=0,"",RANK(B135,$B$2:$B$346,0))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ACE</t>
        </is>
      </c>
      <c r="D135" s="31" t="inlineStr">
        <is>
          <t>Action Construction Equipment Limited</t>
        </is>
      </c>
      <c r="E135" s="31" t="inlineStr">
        <is>
          <t>industrials</t>
        </is>
      </c>
      <c r="F135" s="31" t="inlineStr">
        <is>
          <t>engineering</t>
        </is>
      </c>
      <c r="G135" s="31" t="inlineStr">
        <is>
          <t>midcap</t>
        </is>
      </c>
      <c r="H135" s="32" t="n">
        <v>14788.94</v>
      </c>
      <c r="I135" s="32" t="n">
        <v>1253.9</v>
      </c>
      <c r="J135" s="32" t="n">
        <v>0.97</v>
      </c>
      <c r="K135" s="32" t="n">
        <v>259422</v>
      </c>
      <c r="L135" s="31" t="n">
        <v>33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74.19</v>
      </c>
      <c r="P135" s="32" t="n">
        <v>38.93</v>
      </c>
      <c r="Q135" s="32" t="n">
        <v>1024.19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-4.9</v>
      </c>
      <c r="U135" s="32" t="n">
        <v>16.3</v>
      </c>
      <c r="V135" s="32" t="n">
        <v>22.3</v>
      </c>
      <c r="W135" s="32" t="n">
        <v>10.19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IF(B136=0,"",RANK(B136,$B$2:$B$346,0))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NELCO</t>
        </is>
      </c>
      <c r="D136" s="31" t="inlineStr">
        <is>
          <t>Nelco Limited</t>
        </is>
      </c>
      <c r="E136" s="31" t="inlineStr">
        <is>
          <t>telecom</t>
        </is>
      </c>
      <c r="F136" s="31" t="inlineStr">
        <is>
          <t>telecommunications - service provider</t>
        </is>
      </c>
      <c r="G136" s="31" t="inlineStr">
        <is>
          <t>smallcap</t>
        </is>
      </c>
      <c r="H136" s="32" t="n">
        <v>2308.65</v>
      </c>
      <c r="I136" s="32" t="n">
        <v>1020.75</v>
      </c>
      <c r="J136" s="32" t="n">
        <v>0.89</v>
      </c>
      <c r="K136" s="32" t="n">
        <v>511625</v>
      </c>
      <c r="L136" s="31" t="n">
        <v>37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61.61</v>
      </c>
      <c r="P136" s="32" t="n">
        <v>42.17</v>
      </c>
      <c r="Q136" s="32" t="n">
        <v>737.24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-4.9</v>
      </c>
      <c r="U136" s="32" t="n">
        <v>19.04</v>
      </c>
      <c r="V136" s="32" t="n">
        <v>25.17</v>
      </c>
      <c r="W136" s="32" t="n">
        <v>11.24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Oligopoly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IF(B137=0,"",RANK(B137,$B$2:$B$346,0))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SANSERA</t>
        </is>
      </c>
      <c r="D137" s="31" t="inlineStr">
        <is>
          <t>Sansera Engineering Ltd</t>
        </is>
      </c>
      <c r="E137" s="31" t="inlineStr">
        <is>
          <t>auto</t>
        </is>
      </c>
      <c r="F137" s="31" t="inlineStr">
        <is>
          <t>auto ancillaries</t>
        </is>
      </c>
      <c r="G137" s="31" t="inlineStr">
        <is>
          <t>largecap</t>
        </is>
      </c>
      <c r="H137" s="32" t="n">
        <v>28621.4</v>
      </c>
      <c r="I137" s="32" t="n">
        <v>4621.4</v>
      </c>
      <c r="J137" s="32" t="n">
        <v>0.76</v>
      </c>
      <c r="K137" s="32" t="n">
        <v>546223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85.40000000000001</v>
      </c>
      <c r="P137" s="32" t="n">
        <v>67.64</v>
      </c>
      <c r="Q137" s="32" t="n">
        <v>3706.82</v>
      </c>
      <c r="R137" s="31" t="inlineStr">
        <is>
          <t>Near 52W High Breakout</t>
        </is>
      </c>
      <c r="S137" s="31" t="inlineStr">
        <is>
          <t>Nifty Auto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IF(B138=0,"",RANK(B138,$B$2:$B$346,0))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USHAMART</t>
        </is>
      </c>
      <c r="D138" s="31" t="inlineStr">
        <is>
          <t>Usha Martin Limited</t>
        </is>
      </c>
      <c r="E138" s="31" t="inlineStr">
        <is>
          <t>metals &amp; mining</t>
        </is>
      </c>
      <c r="F138" s="31" t="inlineStr">
        <is>
          <t>steel - medium / small</t>
        </is>
      </c>
      <c r="G138" s="31" t="inlineStr">
        <is>
          <t>midcap</t>
        </is>
      </c>
      <c r="H138" s="32" t="n">
        <v>16190.94</v>
      </c>
      <c r="I138" s="32" t="n">
        <v>535.05</v>
      </c>
      <c r="J138" s="32" t="n">
        <v>0.71</v>
      </c>
      <c r="K138" s="32" t="n">
        <v>1681147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64.25</v>
      </c>
      <c r="P138" s="32" t="n">
        <v>44.02</v>
      </c>
      <c r="Q138" s="32" t="n">
        <v>434.88</v>
      </c>
      <c r="R138" s="31" t="inlineStr">
        <is>
          <t>Volume Spike &amp; Near 52W High Breakout</t>
        </is>
      </c>
      <c r="S138" s="31" t="inlineStr">
        <is>
          <t>Nifty Metal</t>
        </is>
      </c>
      <c r="T138" s="32" t="inlineStr"/>
      <c r="U138" s="32" t="inlineStr"/>
      <c r="V138" s="32" t="inlineStr"/>
      <c r="W138" s="32" t="inlineStr"/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Cyclical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Volatile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IF(B139=0,"",RANK(B139,$B$2:$B$346,0))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SHREEJISPG</t>
        </is>
      </c>
      <c r="D139" s="31" t="inlineStr">
        <is>
          <t>Shreeji Shipping Global Ltd</t>
        </is>
      </c>
      <c r="E139" s="31" t="inlineStr">
        <is>
          <t>transportation</t>
        </is>
      </c>
      <c r="F139" s="31" t="inlineStr">
        <is>
          <t>shipping</t>
        </is>
      </c>
      <c r="G139" s="31" t="inlineStr">
        <is>
          <t>midcap</t>
        </is>
      </c>
      <c r="H139" s="32" t="n">
        <v>11719.52</v>
      </c>
      <c r="I139" s="32" t="n">
        <v>723.75</v>
      </c>
      <c r="J139" s="32" t="n">
        <v>0.61</v>
      </c>
      <c r="K139" s="32" t="n">
        <v>321372</v>
      </c>
      <c r="L139" s="31" t="n">
        <v>90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80.43000000000001</v>
      </c>
      <c r="P139" s="32" t="n">
        <v>56.04</v>
      </c>
      <c r="Q139" s="32" t="n">
        <v>597.84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-4.9</v>
      </c>
      <c r="U139" s="32" t="n">
        <v>194.59</v>
      </c>
      <c r="V139" s="32" t="n">
        <v>209.76</v>
      </c>
      <c r="W139" s="32" t="n">
        <v>36.25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IF(B140=0,"",RANK(B140,$B$2:$B$346,0))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GREENPLY</t>
        </is>
      </c>
      <c r="D140" s="31" t="inlineStr">
        <is>
          <t>Greenply Industries Limited</t>
        </is>
      </c>
      <c r="E140" s="31" t="inlineStr">
        <is>
          <t>building materials</t>
        </is>
      </c>
      <c r="F140" s="31" t="inlineStr">
        <is>
          <t>miscellaneous</t>
        </is>
      </c>
      <c r="G140" s="31" t="inlineStr">
        <is>
          <t>smallcap</t>
        </is>
      </c>
      <c r="H140" s="32" t="n">
        <v>3705.22</v>
      </c>
      <c r="I140" s="32" t="n">
        <v>298.4</v>
      </c>
      <c r="J140" s="32" t="n">
        <v>0.59</v>
      </c>
      <c r="K140" s="32" t="n">
        <v>423550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56.72</v>
      </c>
      <c r="P140" s="32" t="n">
        <v>23.64</v>
      </c>
      <c r="Q140" s="32" t="n">
        <v>248.38</v>
      </c>
      <c r="R140" s="31" t="inlineStr">
        <is>
          <t>Earnings / Momentum Support</t>
        </is>
      </c>
      <c r="S140" s="31" t="inlineStr">
        <is>
          <t>Nifty Infra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IF(B141=0,"",RANK(B141,$B$2:$B$346,0))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ORIENTHOT</t>
        </is>
      </c>
      <c r="D141" s="31" t="inlineStr">
        <is>
          <t>Oriental Hotels Limited</t>
        </is>
      </c>
      <c r="E141" s="31" t="inlineStr">
        <is>
          <t>services</t>
        </is>
      </c>
      <c r="F141" s="31" t="inlineStr">
        <is>
          <t>hotels</t>
        </is>
      </c>
      <c r="G141" s="31" t="inlineStr">
        <is>
          <t>smallcap</t>
        </is>
      </c>
      <c r="H141" s="32" t="n">
        <v>2551.83</v>
      </c>
      <c r="I141" s="32" t="n">
        <v>143.58</v>
      </c>
      <c r="J141" s="32" t="n">
        <v>0.49</v>
      </c>
      <c r="K141" s="32" t="n">
        <v>295043</v>
      </c>
      <c r="L141" s="31" t="n">
        <v>18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64.7</v>
      </c>
      <c r="P141" s="32" t="n">
        <v>42.06</v>
      </c>
      <c r="Q141" s="32" t="n">
        <v>110.3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-4.9</v>
      </c>
      <c r="U141" s="32" t="n">
        <v>9.19</v>
      </c>
      <c r="V141" s="32" t="n">
        <v>14.81</v>
      </c>
      <c r="W141" s="32" t="n">
        <v>6.06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IF(B142=0,"",RANK(B142,$B$2:$B$346,0))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AEGISVOPAK</t>
        </is>
      </c>
      <c r="D142" s="31" t="inlineStr">
        <is>
          <t>Aegis Vopak Terminals Ltd</t>
        </is>
      </c>
      <c r="E142" s="31" t="inlineStr">
        <is>
          <t>transportation</t>
        </is>
      </c>
      <c r="F142" s="31" t="inlineStr">
        <is>
          <t>miscellaneous</t>
        </is>
      </c>
      <c r="G142" s="31" t="inlineStr">
        <is>
          <t>largecap</t>
        </is>
      </c>
      <c r="H142" s="32" t="n">
        <v>33394.86</v>
      </c>
      <c r="I142" s="32" t="n">
        <v>302.8</v>
      </c>
      <c r="J142" s="32" t="n">
        <v>0.46</v>
      </c>
      <c r="K142" s="32" t="n">
        <v>1254083</v>
      </c>
      <c r="L142" s="31" t="n">
        <v>45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62.41</v>
      </c>
      <c r="P142" s="32" t="n">
        <v>45.88</v>
      </c>
      <c r="Q142" s="32" t="n">
        <v>235.99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-4.9</v>
      </c>
      <c r="U142" s="32" t="n">
        <v>24.44</v>
      </c>
      <c r="V142" s="32" t="n">
        <v>30.85</v>
      </c>
      <c r="W142" s="32" t="n">
        <v>13.34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IF(B143=0,"",RANK(B143,$B$2:$B$346,0))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SOMANYCERA</t>
        </is>
      </c>
      <c r="D143" s="31" t="inlineStr">
        <is>
          <t>Somany Ceramics Limited</t>
        </is>
      </c>
      <c r="E143" s="31" t="inlineStr">
        <is>
          <t>building materials</t>
        </is>
      </c>
      <c r="F143" s="31" t="inlineStr">
        <is>
          <t>ceramics - tiles / sanitaryware</t>
        </is>
      </c>
      <c r="G143" s="31" t="inlineStr">
        <is>
          <t>smallcap</t>
        </is>
      </c>
      <c r="H143" s="32" t="n">
        <v>2439.24</v>
      </c>
      <c r="I143" s="32" t="n">
        <v>596.3</v>
      </c>
      <c r="J143" s="32" t="n">
        <v>0.26</v>
      </c>
      <c r="K143" s="32" t="n">
        <v>108719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70.45</v>
      </c>
      <c r="P143" s="32" t="n">
        <v>32.78</v>
      </c>
      <c r="Q143" s="32" t="n">
        <v>479.76</v>
      </c>
      <c r="R143" s="31" t="inlineStr">
        <is>
          <t>Near 52W High Breakout</t>
        </is>
      </c>
      <c r="S143" s="31" t="inlineStr">
        <is>
          <t>Nifty Infra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IF(B144=0,"",RANK(B144,$B$2:$B$346,0))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ETERNAL</t>
        </is>
      </c>
      <c r="D144" s="31" t="inlineStr">
        <is>
          <t>Eternal Ltd</t>
        </is>
      </c>
      <c r="E144" s="31" t="inlineStr">
        <is>
          <t>i.t</t>
        </is>
      </c>
      <c r="F144" s="31" t="inlineStr">
        <is>
          <t>miscellaneous</t>
        </is>
      </c>
      <c r="G144" s="31" t="inlineStr">
        <is>
          <t>largecap</t>
        </is>
      </c>
      <c r="H144" s="32" t="n">
        <v>330041.99</v>
      </c>
      <c r="I144" s="32" t="n">
        <v>342.65</v>
      </c>
      <c r="J144" s="32" t="n">
        <v>0.19</v>
      </c>
      <c r="K144" s="32" t="n">
        <v>18360484</v>
      </c>
      <c r="L144" s="31" t="n">
        <v>32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70.83</v>
      </c>
      <c r="P144" s="32" t="n">
        <v>28.97</v>
      </c>
      <c r="Q144" s="32" t="n">
        <v>285.2</v>
      </c>
      <c r="R144" s="31" t="inlineStr">
        <is>
          <t>Near 52W High Breakout</t>
        </is>
      </c>
      <c r="S144" s="31" t="inlineStr">
        <is>
          <t>Nifty IT</t>
        </is>
      </c>
      <c r="T144" s="32" t="n">
        <v>-15.93</v>
      </c>
      <c r="U144" s="32" t="n">
        <v>6.74</v>
      </c>
      <c r="V144" s="32" t="n">
        <v>26.97</v>
      </c>
      <c r="W144" s="32" t="n">
        <v>9.710000000000001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IF(B145=0,"",RANK(B145,$B$2:$B$346,0))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RBZJEWEL</t>
        </is>
      </c>
      <c r="D145" s="31" t="inlineStr">
        <is>
          <t>RBZ Jewellers Ltd</t>
        </is>
      </c>
      <c r="E145" s="31" t="inlineStr">
        <is>
          <t>consumer discretionary</t>
        </is>
      </c>
      <c r="F145" s="31" t="inlineStr">
        <is>
          <t>diamond cutting / jewellery</t>
        </is>
      </c>
      <c r="G145" s="31" t="inlineStr">
        <is>
          <t>smallcap</t>
        </is>
      </c>
      <c r="H145" s="32" t="n">
        <v>711.12</v>
      </c>
      <c r="I145" s="32" t="n">
        <v>178.05</v>
      </c>
      <c r="J145" s="32" t="n">
        <v>0.15</v>
      </c>
      <c r="K145" s="32" t="n">
        <v>106045</v>
      </c>
      <c r="L145" s="31" t="n">
        <v>50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60.2</v>
      </c>
      <c r="P145" s="32" t="n">
        <v>33.09</v>
      </c>
      <c r="Q145" s="32" t="n">
        <v>144.37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-4.9</v>
      </c>
      <c r="U145" s="32" t="n">
        <v>33.55</v>
      </c>
      <c r="V145" s="32" t="n">
        <v>40.43</v>
      </c>
      <c r="W145" s="32" t="n">
        <v>15.51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IF(B146=0,"",RANK(B146,$B$2:$B$346,0))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COMSYN</t>
        </is>
      </c>
      <c r="D146" s="31" t="inlineStr">
        <is>
          <t>Commercial Syn Bags Ltd</t>
        </is>
      </c>
      <c r="E146" s="31" t="inlineStr">
        <is>
          <t>industrials</t>
        </is>
      </c>
      <c r="F146" s="31" t="inlineStr">
        <is>
          <t>packaging</t>
        </is>
      </c>
      <c r="G146" s="31" t="inlineStr">
        <is>
          <t>smallcap</t>
        </is>
      </c>
      <c r="H146" s="32" t="n">
        <v>1215.22</v>
      </c>
      <c r="I146" s="32" t="n">
        <v>299.3</v>
      </c>
      <c r="J146" s="32" t="n">
        <v>-0.65</v>
      </c>
      <c r="K146" s="32" t="n">
        <v>1010524</v>
      </c>
      <c r="L146" s="31" t="n">
        <v>88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77.28</v>
      </c>
      <c r="P146" s="32" t="n">
        <v>70.75</v>
      </c>
      <c r="Q146" s="32" t="n">
        <v>230.28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-4.9</v>
      </c>
      <c r="U146" s="32" t="n">
        <v>94.08</v>
      </c>
      <c r="V146" s="32" t="n">
        <v>104.08</v>
      </c>
      <c r="W146" s="32" t="n">
        <v>35.02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IF(B147=0,"",RANK(B147,$B$2:$B$346,0))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CENTUM</t>
        </is>
      </c>
      <c r="D147" s="31" t="inlineStr">
        <is>
          <t>Centum Electronics Limited</t>
        </is>
      </c>
      <c r="E147" s="31" t="inlineStr">
        <is>
          <t>aerospace &amp; defence</t>
        </is>
      </c>
      <c r="F147" s="31" t="inlineStr">
        <is>
          <t>electronics - components</t>
        </is>
      </c>
      <c r="G147" s="31" t="inlineStr">
        <is>
          <t>midcap</t>
        </is>
      </c>
      <c r="H147" s="32" t="n">
        <v>7170.96</v>
      </c>
      <c r="I147" s="32" t="n">
        <v>4826.1</v>
      </c>
      <c r="J147" s="32" t="n">
        <v>-0.67</v>
      </c>
      <c r="K147" s="32" t="n">
        <v>196068</v>
      </c>
      <c r="L147" s="31" t="n">
        <v>66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77.13</v>
      </c>
      <c r="P147" s="32" t="n">
        <v>52.47</v>
      </c>
      <c r="Q147" s="32" t="n">
        <v>3689.01</v>
      </c>
      <c r="R147" s="31" t="inlineStr">
        <is>
          <t>Volume Spike &amp; Near 52W High Breakout</t>
        </is>
      </c>
      <c r="S147" s="31" t="inlineStr">
        <is>
          <t>Nifty 50</t>
        </is>
      </c>
      <c r="T147" s="32" t="n">
        <v>-4.9</v>
      </c>
      <c r="U147" s="32" t="n">
        <v>84.62</v>
      </c>
      <c r="V147" s="32" t="n">
        <v>94.13</v>
      </c>
      <c r="W147" s="32" t="n">
        <v>21.27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IF(B148=0,"",RANK(B148,$B$2:$B$346,0))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ORIENTCER</t>
        </is>
      </c>
      <c r="D148" s="31" t="inlineStr">
        <is>
          <t>Orient Ceratech Ltd</t>
        </is>
      </c>
      <c r="E148" s="31" t="inlineStr">
        <is>
          <t>building materials</t>
        </is>
      </c>
      <c r="F148" s="31" t="inlineStr">
        <is>
          <t>refractories / intermediates</t>
        </is>
      </c>
      <c r="G148" s="31" t="inlineStr">
        <is>
          <t>smallcap</t>
        </is>
      </c>
      <c r="H148" s="32" t="n">
        <v>575.23</v>
      </c>
      <c r="I148" s="32" t="n">
        <v>47.7</v>
      </c>
      <c r="J148" s="32" t="n">
        <v>-0.79</v>
      </c>
      <c r="K148" s="32" t="n">
        <v>42804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62.74</v>
      </c>
      <c r="P148" s="32" t="n">
        <v>35.35</v>
      </c>
      <c r="Q148" s="32" t="n">
        <v>35.55</v>
      </c>
      <c r="R148" s="31" t="inlineStr">
        <is>
          <t>Earnings / Momentum Support</t>
        </is>
      </c>
      <c r="S148" s="31" t="inlineStr">
        <is>
          <t>Nifty Infra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IF(B149=0,"",RANK(B149,$B$2:$B$346,0))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UNIMECH</t>
        </is>
      </c>
      <c r="D149" s="31" t="inlineStr">
        <is>
          <t>Unimech Aerospace and Manufacturing Ltd</t>
        </is>
      </c>
      <c r="E149" s="31" t="inlineStr">
        <is>
          <t>aerospace &amp; defence</t>
        </is>
      </c>
      <c r="F149" s="31" t="inlineStr">
        <is>
          <t>engineering</t>
        </is>
      </c>
      <c r="G149" s="31" t="inlineStr">
        <is>
          <t>midcap</t>
        </is>
      </c>
      <c r="H149" s="32" t="n">
        <v>8810.959999999999</v>
      </c>
      <c r="I149" s="32" t="n">
        <v>1716.1</v>
      </c>
      <c r="J149" s="32" t="n">
        <v>-0.95</v>
      </c>
      <c r="K149" s="32" t="n">
        <v>221674</v>
      </c>
      <c r="L149" s="31" t="n">
        <v>74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78.88</v>
      </c>
      <c r="P149" s="32" t="n">
        <v>46.17</v>
      </c>
      <c r="Q149" s="32" t="n">
        <v>1299.87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-4.9</v>
      </c>
      <c r="U149" s="32" t="n">
        <v>64.53</v>
      </c>
      <c r="V149" s="32" t="n">
        <v>73.01000000000001</v>
      </c>
      <c r="W149" s="32" t="n">
        <v>25.04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IF(B150=0,"",RANK(B150,$B$2:$B$346,0))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JSWINFRA</t>
        </is>
      </c>
      <c r="D150" s="31" t="inlineStr">
        <is>
          <t>JSW Infrastructure Ltd</t>
        </is>
      </c>
      <c r="E150" s="31" t="inlineStr">
        <is>
          <t>transportation</t>
        </is>
      </c>
      <c r="F150" s="31" t="inlineStr">
        <is>
          <t>miscellaneous</t>
        </is>
      </c>
      <c r="G150" s="31" t="inlineStr">
        <is>
          <t>largecap</t>
        </is>
      </c>
      <c r="H150" s="32" t="n">
        <v>85650.86</v>
      </c>
      <c r="I150" s="32" t="n">
        <v>363.6</v>
      </c>
      <c r="J150" s="32" t="n">
        <v>-1.09</v>
      </c>
      <c r="K150" s="32" t="n">
        <v>3338113</v>
      </c>
      <c r="L150" s="31" t="n">
        <v>17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68.77</v>
      </c>
      <c r="P150" s="32" t="n">
        <v>43.36</v>
      </c>
      <c r="Q150" s="32" t="n">
        <v>297.24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-4.9</v>
      </c>
      <c r="U150" s="32" t="n">
        <v>13.03</v>
      </c>
      <c r="V150" s="32" t="n">
        <v>18.85</v>
      </c>
      <c r="W150" s="32" t="n">
        <v>5.77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IF(B151=0,"",RANK(B151,$B$2:$B$346,0))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ACMESOLAR</t>
        </is>
      </c>
      <c r="D151" s="31" t="inlineStr">
        <is>
          <t>ACME Solar Holdings Ltd</t>
        </is>
      </c>
      <c r="E151" s="31" t="inlineStr">
        <is>
          <t>realty</t>
        </is>
      </c>
      <c r="F151" s="31" t="inlineStr">
        <is>
          <t>engineering - turnkey services</t>
        </is>
      </c>
      <c r="G151" s="31" t="inlineStr">
        <is>
          <t>largecap</t>
        </is>
      </c>
      <c r="H151" s="32" t="n">
        <v>32420.79</v>
      </c>
      <c r="I151" s="32" t="n">
        <v>452.3</v>
      </c>
      <c r="J151" s="32" t="n">
        <v>-1.38</v>
      </c>
      <c r="K151" s="32" t="n">
        <v>2719156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73.40000000000001</v>
      </c>
      <c r="P151" s="32" t="n">
        <v>52.07</v>
      </c>
      <c r="Q151" s="32" t="n">
        <v>354.69</v>
      </c>
      <c r="R151" s="31" t="inlineStr">
        <is>
          <t>Near 52W High Breakout</t>
        </is>
      </c>
      <c r="S151" s="31" t="inlineStr">
        <is>
          <t>Nifty Realty</t>
        </is>
      </c>
      <c r="T151" s="32" t="inlineStr"/>
      <c r="U151" s="32" t="inlineStr"/>
      <c r="V151" s="32" t="inlineStr"/>
      <c r="W151" s="32" t="inlineStr"/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IF(B152=0,"",RANK(B152,$B$2:$B$346,0))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PAYTM</t>
        </is>
      </c>
      <c r="D152" s="31" t="inlineStr">
        <is>
          <t>One 97 Communications Ltd</t>
        </is>
      </c>
      <c r="E152" s="31" t="inlineStr">
        <is>
          <t>i.t</t>
        </is>
      </c>
      <c r="F152" s="31" t="inlineStr">
        <is>
          <t>miscellaneous</t>
        </is>
      </c>
      <c r="G152" s="31" t="inlineStr">
        <is>
          <t>largecap</t>
        </is>
      </c>
      <c r="H152" s="32" t="n">
        <v>116182.75</v>
      </c>
      <c r="I152" s="32" t="n">
        <v>1775</v>
      </c>
      <c r="J152" s="32" t="n">
        <v>-2.17</v>
      </c>
      <c r="K152" s="32" t="n">
        <v>2410487</v>
      </c>
      <c r="L152" s="31" t="n">
        <v>73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73.51000000000001</v>
      </c>
      <c r="P152" s="32" t="n">
        <v>32.62</v>
      </c>
      <c r="Q152" s="32" t="n">
        <v>1505.46</v>
      </c>
      <c r="R152" s="31" t="inlineStr">
        <is>
          <t>Near 52W High Breakout</t>
        </is>
      </c>
      <c r="S152" s="31" t="inlineStr">
        <is>
          <t>Nifty IT</t>
        </is>
      </c>
      <c r="T152" s="32" t="n">
        <v>-15.93</v>
      </c>
      <c r="U152" s="32" t="n">
        <v>57.75</v>
      </c>
      <c r="V152" s="32" t="n">
        <v>87.64</v>
      </c>
      <c r="W152" s="32" t="n">
        <v>24.14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IF(B153=0,"",RANK(B153,$B$2:$B$346,0))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RADICO</t>
        </is>
      </c>
      <c r="D153" s="31" t="inlineStr">
        <is>
          <t>Radico Khaitan Limited</t>
        </is>
      </c>
      <c r="E153" s="31" t="inlineStr">
        <is>
          <t>fmcg</t>
        </is>
      </c>
      <c r="F153" s="31" t="inlineStr">
        <is>
          <t>breweries &amp; distilleries</t>
        </is>
      </c>
      <c r="G153" s="31" t="inlineStr">
        <is>
          <t>largecap</t>
        </is>
      </c>
      <c r="H153" s="32" t="n">
        <v>59583.38</v>
      </c>
      <c r="I153" s="32" t="n">
        <v>4601.9</v>
      </c>
      <c r="J153" s="32" t="n">
        <v>3.44</v>
      </c>
      <c r="K153" s="32" t="n">
        <v>528324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74.64</v>
      </c>
      <c r="P153" s="32" t="n">
        <v>66.03</v>
      </c>
      <c r="Q153" s="32" t="n">
        <v>4022.68</v>
      </c>
      <c r="R153" s="31" t="inlineStr">
        <is>
          <t>Near 52W High Breakout</t>
        </is>
      </c>
      <c r="S153" s="31" t="inlineStr">
        <is>
          <t>Nifty FMCG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B2C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IF(B154=0,"",RANK(B154,$B$2:$B$346,0))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ABDL</t>
        </is>
      </c>
      <c r="D154" s="31" t="inlineStr">
        <is>
          <t>Allied Blenders &amp; Distillers Ltd</t>
        </is>
      </c>
      <c r="E154" s="31" t="inlineStr">
        <is>
          <t>fmcg</t>
        </is>
      </c>
      <c r="F154" s="31" t="inlineStr">
        <is>
          <t>breweries &amp; distilleries</t>
        </is>
      </c>
      <c r="G154" s="31" t="inlineStr">
        <is>
          <t>midcap</t>
        </is>
      </c>
      <c r="H154" s="32" t="n">
        <v>18122.42</v>
      </c>
      <c r="I154" s="32" t="n">
        <v>656.4</v>
      </c>
      <c r="J154" s="32" t="n">
        <v>1.31</v>
      </c>
      <c r="K154" s="32" t="n">
        <v>2319309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63.25</v>
      </c>
      <c r="P154" s="32" t="n">
        <v>24.07</v>
      </c>
      <c r="Q154" s="32" t="n">
        <v>519.16</v>
      </c>
      <c r="R154" s="31" t="inlineStr">
        <is>
          <t>Volume Spike &amp; Near 52W High Breakout</t>
        </is>
      </c>
      <c r="S154" s="31" t="inlineStr">
        <is>
          <t>Nifty FMCG</t>
        </is>
      </c>
      <c r="T154" s="32" t="inlineStr"/>
      <c r="U154" s="32" t="inlineStr"/>
      <c r="V154" s="32" t="inlineStr"/>
      <c r="W154" s="32" t="inlineStr"/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IF(B155=0,"",RANK(B155,$B$2:$B$346,0))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3" t="inlineStr">
        <is>
          <t>TARSONS</t>
        </is>
      </c>
      <c r="D155" s="33" t="inlineStr">
        <is>
          <t>Tarsons Products Ltd</t>
        </is>
      </c>
      <c r="E155" s="31" t="inlineStr">
        <is>
          <t>healthcare</t>
        </is>
      </c>
      <c r="F155" s="31" t="inlineStr">
        <is>
          <t>miscellaneous</t>
        </is>
      </c>
      <c r="G155" s="31" t="inlineStr">
        <is>
          <t>smallcap</t>
        </is>
      </c>
      <c r="H155" s="32" t="n">
        <v>1763.79</v>
      </c>
      <c r="I155" s="32" t="n">
        <v>335.45</v>
      </c>
      <c r="J155" s="32" t="n">
        <v>1.19</v>
      </c>
      <c r="K155" s="32" t="n">
        <v>123431</v>
      </c>
      <c r="L155" s="31" t="n">
        <v>40</v>
      </c>
      <c r="M155" s="31" t="inlineStr">
        <is>
          <t>Underperforming</t>
        </is>
      </c>
      <c r="N155" s="32">
        <f>IF(M155="Underperforming",-5,IF(L155&gt;=95,15,IF(L155&gt;=90,10,IF(L155&gt;=80,5,0))))</f>
        <v/>
      </c>
      <c r="O155" s="32" t="n">
        <v>62.81</v>
      </c>
      <c r="P155" s="32" t="n">
        <v>48.2</v>
      </c>
      <c r="Q155" s="32" t="n">
        <v>257.79</v>
      </c>
      <c r="R155" s="31" t="inlineStr">
        <is>
          <t>Volume Spike / Accumulation</t>
        </is>
      </c>
      <c r="S155" s="31" t="inlineStr">
        <is>
          <t>Nifty Pharma</t>
        </is>
      </c>
      <c r="T155" s="32" t="n">
        <v>26.25</v>
      </c>
      <c r="U155" s="32" t="n">
        <v>9.18</v>
      </c>
      <c r="V155" s="32" t="n">
        <v>-13.52</v>
      </c>
      <c r="W155" s="32" t="n">
        <v>11.46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IF(B156=0,"",RANK(B156,$B$2:$B$346,0))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CAPLIPOINT</t>
        </is>
      </c>
      <c r="D156" s="31" t="inlineStr">
        <is>
          <t>Caplin Point Laboratories Limited</t>
        </is>
      </c>
      <c r="E156" s="31" t="inlineStr">
        <is>
          <t>healthcare</t>
        </is>
      </c>
      <c r="F156" s="31" t="inlineStr">
        <is>
          <t>pharmaceuticals - indian - formulations</t>
        </is>
      </c>
      <c r="G156" s="31" t="inlineStr">
        <is>
          <t>largecap</t>
        </is>
      </c>
      <c r="H156" s="32" t="n">
        <v>21110.73</v>
      </c>
      <c r="I156" s="32" t="n">
        <v>2793.8</v>
      </c>
      <c r="J156" s="32" t="n">
        <v>0.59</v>
      </c>
      <c r="K156" s="32" t="n">
        <v>64325</v>
      </c>
      <c r="L156" s="31" t="n">
        <v>42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71.40000000000001</v>
      </c>
      <c r="P156" s="32" t="n">
        <v>38.14</v>
      </c>
      <c r="Q156" s="32" t="n">
        <v>2266.65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26.25</v>
      </c>
      <c r="U156" s="32" t="n">
        <v>37.64</v>
      </c>
      <c r="V156" s="32" t="n">
        <v>9.029999999999999</v>
      </c>
      <c r="W156" s="32" t="n">
        <v>11.97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Between 12 to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IF(B157=0,"",RANK(B157,$B$2:$B$346,0))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SAILIFE</t>
        </is>
      </c>
      <c r="D157" s="31" t="inlineStr">
        <is>
          <t>Sai Life Sciences Ltd</t>
        </is>
      </c>
      <c r="E157" s="31" t="inlineStr">
        <is>
          <t>healthcare</t>
        </is>
      </c>
      <c r="F157" s="31" t="inlineStr">
        <is>
          <t>pharmaceuticals - indian - bulk drugs &amp; formln</t>
        </is>
      </c>
      <c r="G157" s="31" t="inlineStr">
        <is>
          <t>largecap</t>
        </is>
      </c>
      <c r="H157" s="32" t="n">
        <v>33976.38</v>
      </c>
      <c r="I157" s="32" t="n">
        <v>1609.6</v>
      </c>
      <c r="J157" s="32" t="n">
        <v>0.57</v>
      </c>
      <c r="K157" s="32" t="n">
        <v>265789</v>
      </c>
      <c r="L157" s="31" t="n">
        <v>63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85.75</v>
      </c>
      <c r="P157" s="32" t="n">
        <v>47.32</v>
      </c>
      <c r="Q157" s="32" t="n">
        <v>1334.71</v>
      </c>
      <c r="R157" s="31" t="inlineStr">
        <is>
          <t>Near 52W High Breakout</t>
        </is>
      </c>
      <c r="S157" s="31" t="inlineStr">
        <is>
          <t>Nifty Pharma</t>
        </is>
      </c>
      <c r="T157" s="32" t="n">
        <v>26.25</v>
      </c>
      <c r="U157" s="32" t="n">
        <v>87.51000000000001</v>
      </c>
      <c r="V157" s="32" t="n">
        <v>48.53</v>
      </c>
      <c r="W157" s="32" t="n">
        <v>20.38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IF(B158=0,"",RANK(B158,$B$2:$B$346,0))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SURAKSHA</t>
        </is>
      </c>
      <c r="D158" s="33" t="inlineStr">
        <is>
          <t>Suraksha Diagnostic Ltd</t>
        </is>
      </c>
      <c r="E158" s="31" t="inlineStr">
        <is>
          <t>healthcare</t>
        </is>
      </c>
      <c r="F158" s="31" t="inlineStr">
        <is>
          <t>healthcare</t>
        </is>
      </c>
      <c r="G158" s="31" t="inlineStr">
        <is>
          <t>smallcap</t>
        </is>
      </c>
      <c r="H158" s="32" t="n">
        <v>1840.53</v>
      </c>
      <c r="I158" s="32" t="n">
        <v>355.35</v>
      </c>
      <c r="J158" s="32" t="n">
        <v>0.55</v>
      </c>
      <c r="K158" s="32" t="n">
        <v>72845</v>
      </c>
      <c r="L158" s="31" t="n">
        <v>36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69.16</v>
      </c>
      <c r="P158" s="32" t="n">
        <v>20.98</v>
      </c>
      <c r="Q158" s="32" t="n">
        <v>279.01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26.25</v>
      </c>
      <c r="U158" s="32" t="n">
        <v>19.24</v>
      </c>
      <c r="V158" s="32" t="n">
        <v>-5.55</v>
      </c>
      <c r="W158" s="32" t="n">
        <v>10.96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IF(B159=0,"",RANK(B159,$B$2:$B$346,0))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OPTIEMUS</t>
        </is>
      </c>
      <c r="D159" s="31" t="inlineStr">
        <is>
          <t>Optiemus Infracom Ltd</t>
        </is>
      </c>
      <c r="E159" s="31" t="inlineStr">
        <is>
          <t>telecom</t>
        </is>
      </c>
      <c r="F159" s="31" t="inlineStr">
        <is>
          <t>trading</t>
        </is>
      </c>
      <c r="G159" s="31" t="inlineStr">
        <is>
          <t>midcap</t>
        </is>
      </c>
      <c r="H159" s="32" t="n">
        <v>6391.9</v>
      </c>
      <c r="I159" s="32" t="n">
        <v>828.35</v>
      </c>
      <c r="J159" s="32" t="n">
        <v>16.85</v>
      </c>
      <c r="K159" s="32" t="n">
        <v>10628491</v>
      </c>
      <c r="L159" s="31" t="n">
        <v>78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76.95999999999999</v>
      </c>
      <c r="P159" s="32" t="n">
        <v>40.24</v>
      </c>
      <c r="Q159" s="32" t="n">
        <v>628.23</v>
      </c>
      <c r="R159" s="31" t="inlineStr">
        <is>
          <t>Volume Spike &amp; Near 52W High Breakout</t>
        </is>
      </c>
      <c r="S159" s="31" t="inlineStr">
        <is>
          <t>Nifty 50</t>
        </is>
      </c>
      <c r="T159" s="32" t="n">
        <v>-4.9</v>
      </c>
      <c r="U159" s="32" t="n">
        <v>26.16</v>
      </c>
      <c r="V159" s="32" t="n">
        <v>32.66</v>
      </c>
      <c r="W159" s="32" t="n">
        <v>28.35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Oligopoly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IF(B160=0,"",RANK(B160,$B$2:$B$346,0))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TEXINFRA</t>
        </is>
      </c>
      <c r="D160" s="31" t="inlineStr">
        <is>
          <t>Texmaco Infrastructure &amp; Holdings Limited</t>
        </is>
      </c>
      <c r="E160" s="31" t="inlineStr">
        <is>
          <t>realty</t>
        </is>
      </c>
      <c r="F160" s="31" t="inlineStr">
        <is>
          <t>construction</t>
        </is>
      </c>
      <c r="G160" s="31" t="inlineStr">
        <is>
          <t>smallcap</t>
        </is>
      </c>
      <c r="H160" s="32" t="n">
        <v>1465.66</v>
      </c>
      <c r="I160" s="32" t="n">
        <v>123.47</v>
      </c>
      <c r="J160" s="32" t="n">
        <v>7.35</v>
      </c>
      <c r="K160" s="32" t="n">
        <v>2791859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69.93000000000001</v>
      </c>
      <c r="P160" s="32" t="n">
        <v>41.92</v>
      </c>
      <c r="Q160" s="32" t="n">
        <v>100.49</v>
      </c>
      <c r="R160" s="31" t="inlineStr">
        <is>
          <t>Volume Spike &amp; Near 52W High Breakout</t>
        </is>
      </c>
      <c r="S160" s="31" t="inlineStr">
        <is>
          <t>Nifty Realty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IF(B161=0,"",RANK(B161,$B$2:$B$346,0))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DHARMAJ</t>
        </is>
      </c>
      <c r="D161" s="31" t="inlineStr">
        <is>
          <t>Dharmaj Crop Guard Ltd</t>
        </is>
      </c>
      <c r="E161" s="31" t="inlineStr">
        <is>
          <t>chemicals</t>
        </is>
      </c>
      <c r="F161" s="31" t="inlineStr">
        <is>
          <t>pesticides / agrochemicals - indian</t>
        </is>
      </c>
      <c r="G161" s="31" t="inlineStr">
        <is>
          <t>smallcap</t>
        </is>
      </c>
      <c r="H161" s="32" t="n">
        <v>951.73</v>
      </c>
      <c r="I161" s="32" t="n">
        <v>299.1</v>
      </c>
      <c r="J161" s="32" t="n">
        <v>6.21</v>
      </c>
      <c r="K161" s="32" t="n">
        <v>108051</v>
      </c>
      <c r="L161" s="31" t="n">
        <v>8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69.03</v>
      </c>
      <c r="P161" s="32" t="n">
        <v>33.76</v>
      </c>
      <c r="Q161" s="32" t="n">
        <v>243.52</v>
      </c>
      <c r="R161" s="31" t="inlineStr">
        <is>
          <t>Earnings / Momentum Support</t>
        </is>
      </c>
      <c r="S161" s="31" t="inlineStr">
        <is>
          <t>Nifty 50</t>
        </is>
      </c>
      <c r="T161" s="32" t="n">
        <v>-4.9</v>
      </c>
      <c r="U161" s="32" t="n">
        <v>-3.52</v>
      </c>
      <c r="V161" s="32" t="n">
        <v>1.45</v>
      </c>
      <c r="W161" s="32" t="n">
        <v>2.86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Between 12 to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IF(B162=0,"",RANK(B162,$B$2:$B$346,0))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STLNETWORK</t>
        </is>
      </c>
      <c r="D162" s="31" t="inlineStr">
        <is>
          <t>STL Networks Ltd</t>
        </is>
      </c>
      <c r="E162" s="31" t="inlineStr">
        <is>
          <t>telecom-service</t>
        </is>
      </c>
      <c r="F162" s="31" t="inlineStr">
        <is>
          <t>telecommunications - service provider</t>
        </is>
      </c>
      <c r="G162" s="31" t="inlineStr">
        <is>
          <t>smallcap</t>
        </is>
      </c>
      <c r="H162" s="32" t="n">
        <v>2310.55</v>
      </c>
      <c r="I162" s="32" t="n">
        <v>49.7</v>
      </c>
      <c r="J162" s="32" t="n">
        <v>4.99</v>
      </c>
      <c r="K162" s="32" t="n">
        <v>3086717</v>
      </c>
      <c r="L162" s="31" t="n">
        <v>89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83.77</v>
      </c>
      <c r="P162" s="32" t="n">
        <v>31.78</v>
      </c>
      <c r="Q162" s="32" t="n">
        <v>39.2</v>
      </c>
      <c r="R162" s="31" t="inlineStr">
        <is>
          <t>Near 52W High Breakout</t>
        </is>
      </c>
      <c r="S162" s="31" t="inlineStr">
        <is>
          <t>Nifty 50</t>
        </is>
      </c>
      <c r="T162" s="32" t="n">
        <v>-4.9</v>
      </c>
      <c r="U162" s="32" t="n">
        <v>65.12</v>
      </c>
      <c r="V162" s="32" t="n">
        <v>73.62</v>
      </c>
      <c r="W162" s="32" t="n">
        <v>35.44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Oligopoly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IF(B163=0,"",RANK(B163,$B$2:$B$346,0))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MAHLOG</t>
        </is>
      </c>
      <c r="D163" s="31" t="inlineStr">
        <is>
          <t>Mahindra Logistics Ltd</t>
        </is>
      </c>
      <c r="E163" s="31" t="inlineStr">
        <is>
          <t>transportation</t>
        </is>
      </c>
      <c r="F163" s="31" t="inlineStr">
        <is>
          <t>miscellaneous</t>
        </is>
      </c>
      <c r="G163" s="31" t="inlineStr">
        <is>
          <t>smallcap</t>
        </is>
      </c>
      <c r="H163" s="32" t="n">
        <v>3971.88</v>
      </c>
      <c r="I163" s="32" t="n">
        <v>416.55</v>
      </c>
      <c r="J163" s="32" t="n">
        <v>4.06</v>
      </c>
      <c r="K163" s="32" t="n">
        <v>418086</v>
      </c>
      <c r="L163" s="31" t="n">
        <v>23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59.69</v>
      </c>
      <c r="P163" s="32" t="n">
        <v>27.92</v>
      </c>
      <c r="Q163" s="32" t="n">
        <v>331.73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-4.9</v>
      </c>
      <c r="U163" s="32" t="n">
        <v>21.43</v>
      </c>
      <c r="V163" s="32" t="n">
        <v>27.69</v>
      </c>
      <c r="W163" s="32" t="n">
        <v>6.98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IF(B164=0,"",RANK(B164,$B$2:$B$346,0))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PITTIENG</t>
        </is>
      </c>
      <c r="D164" s="31" t="inlineStr">
        <is>
          <t>Pitti Engineering Ltd</t>
        </is>
      </c>
      <c r="E164" s="31" t="inlineStr">
        <is>
          <t>industrials</t>
        </is>
      </c>
      <c r="F164" s="31" t="inlineStr">
        <is>
          <t>engineering</t>
        </is>
      </c>
      <c r="G164" s="31" t="inlineStr">
        <is>
          <t>smallcap</t>
        </is>
      </c>
      <c r="H164" s="32" t="n">
        <v>4224.36</v>
      </c>
      <c r="I164" s="32" t="n">
        <v>1167.1</v>
      </c>
      <c r="J164" s="32" t="n">
        <v>4.03</v>
      </c>
      <c r="K164" s="32" t="n">
        <v>162348</v>
      </c>
      <c r="L164" s="31" t="n">
        <v>28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67.52</v>
      </c>
      <c r="P164" s="32" t="n">
        <v>22.41</v>
      </c>
      <c r="Q164" s="32" t="n">
        <v>910.6900000000001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-4.9</v>
      </c>
      <c r="U164" s="32" t="n">
        <v>15.8</v>
      </c>
      <c r="V164" s="32" t="n">
        <v>21.76</v>
      </c>
      <c r="W164" s="32" t="n">
        <v>8.68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IF(B165=0,"",RANK(B165,$B$2:$B$346,0))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NRBBEARING</t>
        </is>
      </c>
      <c r="D165" s="31" t="inlineStr">
        <is>
          <t>Nrb Bearing Limited</t>
        </is>
      </c>
      <c r="E165" s="31" t="inlineStr">
        <is>
          <t>industrials</t>
        </is>
      </c>
      <c r="F165" s="31" t="inlineStr">
        <is>
          <t>bearings</t>
        </is>
      </c>
      <c r="G165" s="31" t="inlineStr">
        <is>
          <t>midcap</t>
        </is>
      </c>
      <c r="H165" s="32" t="n">
        <v>5044.82</v>
      </c>
      <c r="I165" s="32" t="n">
        <v>541.05</v>
      </c>
      <c r="J165" s="32" t="n">
        <v>3.95</v>
      </c>
      <c r="K165" s="32" t="n">
        <v>1530829</v>
      </c>
      <c r="L165" s="31" t="n">
        <v>73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75.52</v>
      </c>
      <c r="P165" s="32" t="n">
        <v>50.8</v>
      </c>
      <c r="Q165" s="32" t="n">
        <v>419.34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-4.9</v>
      </c>
      <c r="U165" s="32" t="n">
        <v>98.7</v>
      </c>
      <c r="V165" s="32" t="n">
        <v>108.93</v>
      </c>
      <c r="W165" s="32" t="n">
        <v>24.96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Between 12 to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IF(B166=0,"",RANK(B166,$B$2:$B$346,0))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MVGJL</t>
        </is>
      </c>
      <c r="D166" s="31" t="inlineStr">
        <is>
          <t>Manoj Vaibhav Gems N Jewellers Ltd</t>
        </is>
      </c>
      <c r="E166" s="31" t="inlineStr">
        <is>
          <t>consumer discretionary</t>
        </is>
      </c>
      <c r="F166" s="31" t="inlineStr">
        <is>
          <t>diamond cutting / jewellery</t>
        </is>
      </c>
      <c r="G166" s="31" t="inlineStr">
        <is>
          <t>smallcap</t>
        </is>
      </c>
      <c r="H166" s="32" t="n">
        <v>1041.72</v>
      </c>
      <c r="I166" s="32" t="n">
        <v>221.29</v>
      </c>
      <c r="J166" s="32" t="n">
        <v>3.77</v>
      </c>
      <c r="K166" s="32" t="n">
        <v>764238</v>
      </c>
      <c r="L166" s="31" t="n">
        <v>54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71.09</v>
      </c>
      <c r="P166" s="32" t="n">
        <v>19.63</v>
      </c>
      <c r="Q166" s="32" t="n">
        <v>159.99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-4.9</v>
      </c>
      <c r="U166" s="32" t="n">
        <v>15.9</v>
      </c>
      <c r="V166" s="32" t="n">
        <v>21.87</v>
      </c>
      <c r="W166" s="32" t="n">
        <v>16.74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IF(B167=0,"",RANK(B167,$B$2:$B$346,0))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STLTECH</t>
        </is>
      </c>
      <c r="D167" s="31" t="inlineStr">
        <is>
          <t>Sterlite Technologies Limited</t>
        </is>
      </c>
      <c r="E167" s="31" t="inlineStr">
        <is>
          <t>industrials</t>
        </is>
      </c>
      <c r="F167" s="31" t="inlineStr">
        <is>
          <t>cables - telephone</t>
        </is>
      </c>
      <c r="G167" s="31" t="inlineStr">
        <is>
          <t>largecap</t>
        </is>
      </c>
      <c r="H167" s="32" t="n">
        <v>43144.15</v>
      </c>
      <c r="I167" s="32" t="n">
        <v>867.1</v>
      </c>
      <c r="J167" s="32" t="n">
        <v>3.28</v>
      </c>
      <c r="K167" s="32" t="n">
        <v>1292464</v>
      </c>
      <c r="L167" s="31" t="inlineStr"/>
      <c r="M167" s="31" t="inlineStr"/>
      <c r="N167" s="32">
        <f>IF(M167="Underperforming",-5,IF(L167&gt;=95,15,IF(L167&gt;=90,10,IF(L167&gt;=80,5,0))))</f>
        <v/>
      </c>
      <c r="O167" s="32" t="n">
        <v>74.92</v>
      </c>
      <c r="P167" s="32" t="n">
        <v>72.02</v>
      </c>
      <c r="Q167" s="32" t="n">
        <v>655.85</v>
      </c>
      <c r="R167" s="31" t="inlineStr">
        <is>
          <t>Near 52W High Breakout</t>
        </is>
      </c>
      <c r="S167" s="31" t="inlineStr">
        <is>
          <t>Nifty Infra</t>
        </is>
      </c>
      <c r="T167" s="32" t="inlineStr"/>
      <c r="U167" s="32" t="inlineStr"/>
      <c r="V167" s="32" t="inlineStr"/>
      <c r="W167" s="32" t="inlineStr"/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IF(B168=0,"",RANK(B168,$B$2:$B$346,0))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BOSCH-HCIL</t>
        </is>
      </c>
      <c r="D168" s="31" t="inlineStr">
        <is>
          <t>Bosch Home Comfort India Ltd</t>
        </is>
      </c>
      <c r="E168" s="31" t="inlineStr">
        <is>
          <t>consumer discretionary</t>
        </is>
      </c>
      <c r="F168" s="31" t="inlineStr">
        <is>
          <t>air-conditioners</t>
        </is>
      </c>
      <c r="G168" s="31" t="inlineStr">
        <is>
          <t>smallcap</t>
        </is>
      </c>
      <c r="H168" s="32" t="n">
        <v>4679.01</v>
      </c>
      <c r="I168" s="32" t="n">
        <v>1769.8</v>
      </c>
      <c r="J168" s="32" t="n">
        <v>2.85</v>
      </c>
      <c r="K168" s="32" t="n">
        <v>23705</v>
      </c>
      <c r="L168" s="31" t="n">
        <v>28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65.02</v>
      </c>
      <c r="P168" s="32" t="n">
        <v>33.16</v>
      </c>
      <c r="Q168" s="32" t="n">
        <v>1453.97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-4.9</v>
      </c>
      <c r="U168" s="32" t="n">
        <v>2.19</v>
      </c>
      <c r="V168" s="32" t="n">
        <v>7.46</v>
      </c>
      <c r="W168" s="32" t="n">
        <v>8.550000000000001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IF(B169=0,"",RANK(B169,$B$2:$B$346,0))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DIACABS</t>
        </is>
      </c>
      <c r="D169" s="31" t="inlineStr">
        <is>
          <t>Diamond Power Infrastructure Ltd</t>
        </is>
      </c>
      <c r="E169" s="31" t="inlineStr">
        <is>
          <t>industrials</t>
        </is>
      </c>
      <c r="F169" s="31" t="inlineStr">
        <is>
          <t>cables - power</t>
        </is>
      </c>
      <c r="G169" s="31" t="inlineStr">
        <is>
          <t>largecap</t>
        </is>
      </c>
      <c r="H169" s="32" t="n">
        <v>22179.47</v>
      </c>
      <c r="I169" s="32" t="n">
        <v>377.85</v>
      </c>
      <c r="J169" s="32" t="n">
        <v>1.89</v>
      </c>
      <c r="K169" s="32" t="n">
        <v>1102551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78.40000000000001</v>
      </c>
      <c r="P169" s="32" t="n">
        <v>68.06</v>
      </c>
      <c r="Q169" s="32" t="n">
        <v>286.2</v>
      </c>
      <c r="R169" s="31" t="inlineStr">
        <is>
          <t>Near 52W High Breakout</t>
        </is>
      </c>
      <c r="S169" s="31" t="inlineStr">
        <is>
          <t>Nifty Energy</t>
        </is>
      </c>
      <c r="T169" s="32" t="inlineStr"/>
      <c r="U169" s="32" t="inlineStr"/>
      <c r="V169" s="32" t="inlineStr"/>
      <c r="W169" s="32" t="inlineStr"/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IF(B170=0,"",RANK(B170,$B$2:$B$346,0))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EIMCOELECO</t>
        </is>
      </c>
      <c r="D170" s="31" t="inlineStr">
        <is>
          <t>Eimco Elecon (india) Limited</t>
        </is>
      </c>
      <c r="E170" s="31" t="inlineStr">
        <is>
          <t>industrials</t>
        </is>
      </c>
      <c r="F170" s="31" t="inlineStr">
        <is>
          <t>engineering</t>
        </is>
      </c>
      <c r="G170" s="31" t="inlineStr">
        <is>
          <t>smallcap</t>
        </is>
      </c>
      <c r="H170" s="32" t="n">
        <v>1301.41</v>
      </c>
      <c r="I170" s="32" t="n">
        <v>2297.8</v>
      </c>
      <c r="J170" s="32" t="n">
        <v>1.85</v>
      </c>
      <c r="K170" s="32" t="n">
        <v>17385</v>
      </c>
      <c r="L170" s="31" t="n">
        <v>44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71.15000000000001</v>
      </c>
      <c r="P170" s="32" t="n">
        <v>55.98</v>
      </c>
      <c r="Q170" s="32" t="n">
        <v>1838.46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-4.9</v>
      </c>
      <c r="U170" s="32" t="n">
        <v>30.35</v>
      </c>
      <c r="V170" s="32" t="n">
        <v>37.07</v>
      </c>
      <c r="W170" s="32" t="n">
        <v>13.14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IF(B171=0,"",RANK(B171,$B$2:$B$346,0))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JGCHEM</t>
        </is>
      </c>
      <c r="D171" s="31" t="inlineStr">
        <is>
          <t>J.G.Chemicals Ltd</t>
        </is>
      </c>
      <c r="E171" s="31" t="inlineStr">
        <is>
          <t>chemicals</t>
        </is>
      </c>
      <c r="F171" s="31" t="inlineStr">
        <is>
          <t>chemicals</t>
        </is>
      </c>
      <c r="G171" s="31" t="inlineStr">
        <is>
          <t>smallcap</t>
        </is>
      </c>
      <c r="H171" s="32" t="n">
        <v>2391.72</v>
      </c>
      <c r="I171" s="32" t="n">
        <v>621.55</v>
      </c>
      <c r="J171" s="32" t="n">
        <v>1.84</v>
      </c>
      <c r="K171" s="32" t="n">
        <v>380279</v>
      </c>
      <c r="L171" s="31" t="n">
        <v>65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70.29000000000001</v>
      </c>
      <c r="P171" s="32" t="n">
        <v>44.1</v>
      </c>
      <c r="Q171" s="32" t="n">
        <v>489.9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-4.9</v>
      </c>
      <c r="U171" s="32" t="n">
        <v>52.06</v>
      </c>
      <c r="V171" s="32" t="n">
        <v>59.89</v>
      </c>
      <c r="W171" s="32" t="n">
        <v>21.21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IF(B172=0,"",RANK(B172,$B$2:$B$346,0))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INOXINDIA</t>
        </is>
      </c>
      <c r="D172" s="31" t="inlineStr">
        <is>
          <t>Inox India Ltd</t>
        </is>
      </c>
      <c r="E172" s="31" t="inlineStr">
        <is>
          <t>industrials</t>
        </is>
      </c>
      <c r="F172" s="31" t="inlineStr">
        <is>
          <t>packaging</t>
        </is>
      </c>
      <c r="G172" s="31" t="inlineStr">
        <is>
          <t>midcap</t>
        </is>
      </c>
      <c r="H172" s="32" t="n">
        <v>19366.21</v>
      </c>
      <c r="I172" s="32" t="n">
        <v>2168.9</v>
      </c>
      <c r="J172" s="32" t="n">
        <v>1.65</v>
      </c>
      <c r="K172" s="32" t="n">
        <v>144053</v>
      </c>
      <c r="L172" s="31" t="n">
        <v>57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70.45</v>
      </c>
      <c r="P172" s="32" t="n">
        <v>58.73</v>
      </c>
      <c r="Q172" s="32" t="n">
        <v>1700.02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-4.9</v>
      </c>
      <c r="U172" s="32" t="n">
        <v>83.40000000000001</v>
      </c>
      <c r="V172" s="32" t="n">
        <v>92.84999999999999</v>
      </c>
      <c r="W172" s="32" t="n">
        <v>18.02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IF(B173=0,"",RANK(B173,$B$2:$B$346,0))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ASHIANA</t>
        </is>
      </c>
      <c r="D173" s="31" t="inlineStr">
        <is>
          <t>Ashiana Housing Limited</t>
        </is>
      </c>
      <c r="E173" s="31" t="inlineStr">
        <is>
          <t>realty</t>
        </is>
      </c>
      <c r="F173" s="31" t="inlineStr">
        <is>
          <t>construction</t>
        </is>
      </c>
      <c r="G173" s="31" t="inlineStr">
        <is>
          <t>smallcap</t>
        </is>
      </c>
      <c r="H173" s="32" t="n">
        <v>3870.21</v>
      </c>
      <c r="I173" s="32" t="n">
        <v>391.05</v>
      </c>
      <c r="J173" s="32" t="n">
        <v>1.57</v>
      </c>
      <c r="K173" s="32" t="n">
        <v>67327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61.12</v>
      </c>
      <c r="P173" s="32" t="n">
        <v>34.74</v>
      </c>
      <c r="Q173" s="32" t="n">
        <v>304.47</v>
      </c>
      <c r="R173" s="31" t="inlineStr">
        <is>
          <t>Near 52W High Breakout</t>
        </is>
      </c>
      <c r="S173" s="31" t="inlineStr">
        <is>
          <t>Nifty Realty</t>
        </is>
      </c>
      <c r="T173" s="32" t="inlineStr"/>
      <c r="U173" s="32" t="inlineStr"/>
      <c r="V173" s="32" t="inlineStr"/>
      <c r="W173" s="32" t="inlineStr"/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IF(B174=0,"",RANK(B174,$B$2:$B$346,0))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ALEMBICLTD</t>
        </is>
      </c>
      <c r="D174" s="31" t="inlineStr">
        <is>
          <t>Alembic Limited</t>
        </is>
      </c>
      <c r="E174" s="31" t="inlineStr">
        <is>
          <t>realty</t>
        </is>
      </c>
      <c r="F174" s="31" t="inlineStr">
        <is>
          <t>construction</t>
        </is>
      </c>
      <c r="G174" s="31" t="inlineStr">
        <is>
          <t>smallcap</t>
        </is>
      </c>
      <c r="H174" s="32" t="n">
        <v>2690.82</v>
      </c>
      <c r="I174" s="32" t="n">
        <v>106.04</v>
      </c>
      <c r="J174" s="32" t="n">
        <v>1.19</v>
      </c>
      <c r="K174" s="32" t="n">
        <v>694993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63.32</v>
      </c>
      <c r="P174" s="32" t="n">
        <v>21.43</v>
      </c>
      <c r="Q174" s="32" t="n">
        <v>89.41</v>
      </c>
      <c r="R174" s="31" t="inlineStr">
        <is>
          <t>Near 52W High Breakout</t>
        </is>
      </c>
      <c r="S174" s="31" t="inlineStr">
        <is>
          <t>Nifty Realty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Between 1.5 to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IF(B175=0,"",RANK(B175,$B$2:$B$346,0))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NRAIL</t>
        </is>
      </c>
      <c r="D175" s="31" t="inlineStr">
        <is>
          <t>N R Agarwal Industries Ltd</t>
        </is>
      </c>
      <c r="E175" s="31" t="inlineStr">
        <is>
          <t>building materials</t>
        </is>
      </c>
      <c r="F175" s="31" t="inlineStr">
        <is>
          <t>paper</t>
        </is>
      </c>
      <c r="G175" s="31" t="inlineStr">
        <is>
          <t>smallcap</t>
        </is>
      </c>
      <c r="H175" s="32" t="n">
        <v>1109.82</v>
      </c>
      <c r="I175" s="32" t="n">
        <v>657.9</v>
      </c>
      <c r="J175" s="32" t="n">
        <v>0.89</v>
      </c>
      <c r="K175" s="32" t="n">
        <v>19435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71.38</v>
      </c>
      <c r="P175" s="32" t="n">
        <v>38.89</v>
      </c>
      <c r="Q175" s="32" t="n">
        <v>482.1</v>
      </c>
      <c r="R175" s="31" t="inlineStr">
        <is>
          <t>Near 52W High Breakout</t>
        </is>
      </c>
      <c r="S175" s="31" t="inlineStr">
        <is>
          <t>Nifty Infra</t>
        </is>
      </c>
      <c r="T175" s="32" t="inlineStr"/>
      <c r="U175" s="32" t="inlineStr"/>
      <c r="V175" s="32" t="inlineStr"/>
      <c r="W175" s="32" t="inlineStr"/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IF(B176=0,"",RANK(B176,$B$2:$B$346,0))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TBOTEK</t>
        </is>
      </c>
      <c r="D176" s="31" t="inlineStr">
        <is>
          <t>TBO Tek Ltd</t>
        </is>
      </c>
      <c r="E176" s="31" t="inlineStr">
        <is>
          <t>i.t</t>
        </is>
      </c>
      <c r="F176" s="31" t="inlineStr">
        <is>
          <t>travel agencies</t>
        </is>
      </c>
      <c r="G176" s="31" t="inlineStr">
        <is>
          <t>midcap</t>
        </is>
      </c>
      <c r="H176" s="32" t="n">
        <v>18500.1</v>
      </c>
      <c r="I176" s="32" t="n">
        <v>1704.5</v>
      </c>
      <c r="J176" s="32" t="n">
        <v>0.05</v>
      </c>
      <c r="K176" s="32" t="n">
        <v>137694</v>
      </c>
      <c r="L176" s="31" t="n">
        <v>29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66.63</v>
      </c>
      <c r="P176" s="32" t="n">
        <v>30.54</v>
      </c>
      <c r="Q176" s="32" t="n">
        <v>1377.57</v>
      </c>
      <c r="R176" s="31" t="inlineStr">
        <is>
          <t>Near 52W High Breakout</t>
        </is>
      </c>
      <c r="S176" s="31" t="inlineStr">
        <is>
          <t>Nifty IT</t>
        </is>
      </c>
      <c r="T176" s="32" t="n">
        <v>-15.93</v>
      </c>
      <c r="U176" s="32" t="n">
        <v>14.04</v>
      </c>
      <c r="V176" s="32" t="n">
        <v>35.64</v>
      </c>
      <c r="W176" s="32" t="n">
        <v>8.869999999999999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IF(B177=0,"",RANK(B177,$B$2:$B$346,0))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RAYMOND</t>
        </is>
      </c>
      <c r="D177" s="31" t="inlineStr">
        <is>
          <t>Raymond Limited</t>
        </is>
      </c>
      <c r="E177" s="31" t="inlineStr">
        <is>
          <t>transportation</t>
        </is>
      </c>
      <c r="F177" s="31" t="inlineStr">
        <is>
          <t>transport - airlines</t>
        </is>
      </c>
      <c r="G177" s="31" t="inlineStr">
        <is>
          <t>midcap</t>
        </is>
      </c>
      <c r="H177" s="32" t="n">
        <v>7435.95</v>
      </c>
      <c r="I177" s="32" t="n">
        <v>1114.65</v>
      </c>
      <c r="J177" s="32" t="n">
        <v>-0.21</v>
      </c>
      <c r="K177" s="32" t="n">
        <v>4461009</v>
      </c>
      <c r="L177" s="31" t="n">
        <v>91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83.39</v>
      </c>
      <c r="P177" s="32" t="n">
        <v>52.73</v>
      </c>
      <c r="Q177" s="32" t="n">
        <v>844.75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-4.9</v>
      </c>
      <c r="U177" s="32" t="n">
        <v>83.59</v>
      </c>
      <c r="V177" s="32" t="n">
        <v>93.05</v>
      </c>
      <c r="W177" s="32" t="n">
        <v>40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IF(B178=0,"",RANK(B178,$B$2:$B$346,0))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GANDHAR</t>
        </is>
      </c>
      <c r="D178" s="31" t="inlineStr">
        <is>
          <t>Gandhar Oil Refinery (India) Ltd</t>
        </is>
      </c>
      <c r="E178" s="31" t="inlineStr">
        <is>
          <t>energy</t>
        </is>
      </c>
      <c r="F178" s="31" t="inlineStr">
        <is>
          <t>refineries</t>
        </is>
      </c>
      <c r="G178" s="31" t="inlineStr">
        <is>
          <t>smallcap</t>
        </is>
      </c>
      <c r="H178" s="32" t="n">
        <v>2633.45</v>
      </c>
      <c r="I178" s="32" t="n">
        <v>268.4</v>
      </c>
      <c r="J178" s="32" t="n">
        <v>-0.24</v>
      </c>
      <c r="K178" s="32" t="n">
        <v>365423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68.11</v>
      </c>
      <c r="P178" s="32" t="n">
        <v>76.3</v>
      </c>
      <c r="Q178" s="32" t="n">
        <v>214.8</v>
      </c>
      <c r="R178" s="31" t="inlineStr">
        <is>
          <t>Near 52W High Breakout</t>
        </is>
      </c>
      <c r="S178" s="31" t="inlineStr">
        <is>
          <t>Nifty Energy</t>
        </is>
      </c>
      <c r="T178" s="32" t="inlineStr"/>
      <c r="U178" s="32" t="inlineStr"/>
      <c r="V178" s="32" t="inlineStr"/>
      <c r="W178" s="32" t="inlineStr"/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IF(B179=0,"",RANK(B179,$B$2:$B$346,0))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AYMSYNTEX</t>
        </is>
      </c>
      <c r="D179" s="31" t="inlineStr">
        <is>
          <t>Aym Syntex Limited</t>
        </is>
      </c>
      <c r="E179" s="31" t="inlineStr">
        <is>
          <t>textiles</t>
        </is>
      </c>
      <c r="F179" s="31" t="inlineStr">
        <is>
          <t>textiles - processing</t>
        </is>
      </c>
      <c r="G179" s="31" t="inlineStr">
        <is>
          <t>smallcap</t>
        </is>
      </c>
      <c r="H179" s="32" t="n">
        <v>1735.01</v>
      </c>
      <c r="I179" s="32" t="n">
        <v>292.8</v>
      </c>
      <c r="J179" s="32" t="n">
        <v>-0.88</v>
      </c>
      <c r="K179" s="32" t="n">
        <v>65117</v>
      </c>
      <c r="L179" s="31" t="n">
        <v>55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62.8</v>
      </c>
      <c r="P179" s="32" t="n">
        <v>48.95</v>
      </c>
      <c r="Q179" s="32" t="n">
        <v>214.5</v>
      </c>
      <c r="R179" s="31" t="inlineStr">
        <is>
          <t>Earnings / Momentum Support</t>
        </is>
      </c>
      <c r="S179" s="31" t="inlineStr">
        <is>
          <t>Nifty 50</t>
        </is>
      </c>
      <c r="T179" s="32" t="n">
        <v>-4.9</v>
      </c>
      <c r="U179" s="32" t="n">
        <v>50.26</v>
      </c>
      <c r="V179" s="32" t="n">
        <v>58</v>
      </c>
      <c r="W179" s="32" t="n">
        <v>17.32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IF(B180=0,"",RANK(B180,$B$2:$B$346,0))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AGI</t>
        </is>
      </c>
      <c r="D180" s="31" t="inlineStr">
        <is>
          <t>AGI Greenpac Ltd</t>
        </is>
      </c>
      <c r="E180" s="31" t="inlineStr">
        <is>
          <t>industrials</t>
        </is>
      </c>
      <c r="F180" s="31" t="inlineStr">
        <is>
          <t>packaging</t>
        </is>
      </c>
      <c r="G180" s="31" t="inlineStr">
        <is>
          <t>midcap</t>
        </is>
      </c>
      <c r="H180" s="32" t="n">
        <v>5471.46</v>
      </c>
      <c r="I180" s="32" t="n">
        <v>837.2</v>
      </c>
      <c r="J180" s="32" t="n">
        <v>-1.01</v>
      </c>
      <c r="K180" s="32" t="n">
        <v>188739</v>
      </c>
      <c r="L180" s="31" t="n">
        <v>24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67.88</v>
      </c>
      <c r="P180" s="32" t="n">
        <v>33.97</v>
      </c>
      <c r="Q180" s="32" t="n">
        <v>659.62</v>
      </c>
      <c r="R180" s="31" t="inlineStr">
        <is>
          <t>Volume Spike &amp; Near 52W High Breakout</t>
        </is>
      </c>
      <c r="S180" s="31" t="inlineStr">
        <is>
          <t>Nifty 50</t>
        </is>
      </c>
      <c r="T180" s="32" t="n">
        <v>-4.9</v>
      </c>
      <c r="U180" s="32" t="n">
        <v>-2.98</v>
      </c>
      <c r="V180" s="32" t="n">
        <v>2.01</v>
      </c>
      <c r="W180" s="32" t="n">
        <v>7.35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IF(B181=0,"",RANK(B181,$B$2:$B$346,0))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SIGMAADV</t>
        </is>
      </c>
      <c r="D181" s="31" t="inlineStr">
        <is>
          <t>Sigma Advanced System Ltd</t>
        </is>
      </c>
      <c r="E181" s="31" t="inlineStr">
        <is>
          <t>aerospace &amp; defence</t>
        </is>
      </c>
      <c r="F181" s="31" t="inlineStr">
        <is>
          <t>electronics - components</t>
        </is>
      </c>
      <c r="G181" s="31" t="inlineStr">
        <is>
          <t>midcap</t>
        </is>
      </c>
      <c r="H181" s="32" t="n">
        <v>17964.24</v>
      </c>
      <c r="I181" s="32" t="n">
        <v>936.7</v>
      </c>
      <c r="J181" s="32" t="n">
        <v>-1.19</v>
      </c>
      <c r="K181" s="32" t="n">
        <v>252649</v>
      </c>
      <c r="L181" s="31" t="n">
        <v>98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82.2</v>
      </c>
      <c r="P181" s="32" t="n">
        <v>63.69</v>
      </c>
      <c r="Q181" s="32" t="n">
        <v>701.55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-4.9</v>
      </c>
      <c r="U181" s="32" t="n">
        <v>494.43</v>
      </c>
      <c r="V181" s="32" t="n">
        <v>525.05</v>
      </c>
      <c r="W181" s="32" t="n">
        <v>81.31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IF(B182=0,"",RANK(B182,$B$2:$B$346,0))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SPECTRUM</t>
        </is>
      </c>
      <c r="D182" s="31" t="inlineStr">
        <is>
          <t>Spectrum Electrical Industries Ltd</t>
        </is>
      </c>
      <c r="E182" s="31" t="inlineStr">
        <is>
          <t>industrials</t>
        </is>
      </c>
      <c r="F182" s="31" t="inlineStr">
        <is>
          <t>electric equipment</t>
        </is>
      </c>
      <c r="G182" s="31" t="inlineStr">
        <is>
          <t>midcap</t>
        </is>
      </c>
      <c r="H182" s="32" t="n">
        <v>5714.9</v>
      </c>
      <c r="I182" s="32" t="n">
        <v>3241.6</v>
      </c>
      <c r="J182" s="32" t="n">
        <v>-3.08</v>
      </c>
      <c r="K182" s="32" t="n">
        <v>11852</v>
      </c>
      <c r="L182" s="31" t="n">
        <v>91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80.15000000000001</v>
      </c>
      <c r="P182" s="32" t="n">
        <v>62.75</v>
      </c>
      <c r="Q182" s="32" t="n">
        <v>2398.33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-4.9</v>
      </c>
      <c r="U182" s="32" t="n">
        <v>135.94</v>
      </c>
      <c r="V182" s="32" t="n">
        <v>148.1</v>
      </c>
      <c r="W182" s="32" t="n">
        <v>38.73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IF(B183=0,"",RANK(B183,$B$2:$B$346,0))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KILITCH</t>
        </is>
      </c>
      <c r="D183" s="31" t="inlineStr">
        <is>
          <t>Kilitch Drugs (india) Limited</t>
        </is>
      </c>
      <c r="E183" s="31" t="inlineStr">
        <is>
          <t>healthcare</t>
        </is>
      </c>
      <c r="F183" s="31" t="inlineStr">
        <is>
          <t>pharmaceuticals - indian - formulations</t>
        </is>
      </c>
      <c r="G183" s="31" t="inlineStr">
        <is>
          <t>smallcap</t>
        </is>
      </c>
      <c r="H183" s="32" t="n">
        <v>737.9299999999999</v>
      </c>
      <c r="I183" s="32" t="n">
        <v>221.62</v>
      </c>
      <c r="J183" s="32" t="n">
        <v>5</v>
      </c>
      <c r="K183" s="32" t="n">
        <v>27667</v>
      </c>
      <c r="L183" s="31" t="n">
        <v>36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67.28</v>
      </c>
      <c r="P183" s="32" t="n">
        <v>26.54</v>
      </c>
      <c r="Q183" s="32" t="n">
        <v>166.44</v>
      </c>
      <c r="R183" s="31" t="inlineStr">
        <is>
          <t>Near 52W High Breakout</t>
        </is>
      </c>
      <c r="S183" s="31" t="inlineStr">
        <is>
          <t>Nifty Pharma</t>
        </is>
      </c>
      <c r="T183" s="32" t="n">
        <v>26.25</v>
      </c>
      <c r="U183" s="32" t="n">
        <v>30.04</v>
      </c>
      <c r="V183" s="32" t="n">
        <v>3</v>
      </c>
      <c r="W183" s="32" t="n">
        <v>10.85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IF(B184=0,"",RANK(B184,$B$2:$B$346,0))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TI</t>
        </is>
      </c>
      <c r="D184" s="31" t="inlineStr">
        <is>
          <t>Tilaknagar Industries Limited</t>
        </is>
      </c>
      <c r="E184" s="31" t="inlineStr">
        <is>
          <t>fmcg</t>
        </is>
      </c>
      <c r="F184" s="31" t="inlineStr">
        <is>
          <t>breweries &amp; distilleries</t>
        </is>
      </c>
      <c r="G184" s="31" t="inlineStr">
        <is>
          <t>midcap</t>
        </is>
      </c>
      <c r="H184" s="32" t="n">
        <v>14221.09</v>
      </c>
      <c r="I184" s="32" t="n">
        <v>601.5</v>
      </c>
      <c r="J184" s="32" t="n">
        <v>4.67</v>
      </c>
      <c r="K184" s="32" t="n">
        <v>1593921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69.64</v>
      </c>
      <c r="P184" s="32" t="n">
        <v>23.19</v>
      </c>
      <c r="Q184" s="32" t="n">
        <v>479.12</v>
      </c>
      <c r="R184" s="31" t="inlineStr">
        <is>
          <t>Near 52W High Breakout</t>
        </is>
      </c>
      <c r="S184" s="31" t="inlineStr">
        <is>
          <t>Nifty FMCG</t>
        </is>
      </c>
      <c r="T184" s="32" t="inlineStr"/>
      <c r="U184" s="32" t="inlineStr"/>
      <c r="V184" s="32" t="inlineStr"/>
      <c r="W184" s="32" t="inlineStr"/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B2C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IF(B185=0,"",RANK(B185,$B$2:$B$346,0))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IKS</t>
        </is>
      </c>
      <c r="D185" s="31" t="inlineStr">
        <is>
          <t>Inventurus Knowledge Solutions Ltd</t>
        </is>
      </c>
      <c r="E185" s="31" t="inlineStr">
        <is>
          <t>i.t</t>
        </is>
      </c>
      <c r="F185" s="31" t="inlineStr">
        <is>
          <t>computers - software - medium / small</t>
        </is>
      </c>
      <c r="G185" s="31" t="inlineStr">
        <is>
          <t>largecap</t>
        </is>
      </c>
      <c r="H185" s="32" t="n">
        <v>32070.45</v>
      </c>
      <c r="I185" s="32" t="n">
        <v>1937.8</v>
      </c>
      <c r="J185" s="32" t="n">
        <v>3.67</v>
      </c>
      <c r="K185" s="32" t="n">
        <v>1011998</v>
      </c>
      <c r="L185" s="31" t="n">
        <v>31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62.41</v>
      </c>
      <c r="P185" s="32" t="n">
        <v>13.22</v>
      </c>
      <c r="Q185" s="32" t="n">
        <v>1550.76</v>
      </c>
      <c r="R185" s="31" t="inlineStr">
        <is>
          <t>Volume Spike &amp; Near 52W High Breakout</t>
        </is>
      </c>
      <c r="S185" s="31" t="inlineStr">
        <is>
          <t>Nifty IT</t>
        </is>
      </c>
      <c r="T185" s="32" t="n">
        <v>-15.93</v>
      </c>
      <c r="U185" s="32" t="n">
        <v>30.3</v>
      </c>
      <c r="V185" s="32" t="n">
        <v>54.98</v>
      </c>
      <c r="W185" s="32" t="n">
        <v>9.57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IF(B186=0,"",RANK(B186,$B$2:$B$346,0))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BAFNAPH</t>
        </is>
      </c>
      <c r="D186" s="31" t="inlineStr">
        <is>
          <t>Bafna Pharmaceuticals Ltd</t>
        </is>
      </c>
      <c r="E186" s="31" t="inlineStr">
        <is>
          <t>healthcare</t>
        </is>
      </c>
      <c r="F186" s="31" t="inlineStr">
        <is>
          <t>pharmaceuticals - indian - formulations</t>
        </is>
      </c>
      <c r="G186" s="31" t="inlineStr">
        <is>
          <t>smallcap</t>
        </is>
      </c>
      <c r="H186" s="32" t="n">
        <v>780.54</v>
      </c>
      <c r="I186" s="32" t="n">
        <v>336.5</v>
      </c>
      <c r="J186" s="32" t="n">
        <v>1.99</v>
      </c>
      <c r="K186" s="32" t="n">
        <v>579</v>
      </c>
      <c r="L186" s="31" t="n">
        <v>89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76.45</v>
      </c>
      <c r="P186" s="32" t="n">
        <v>60.97</v>
      </c>
      <c r="Q186" s="32" t="n">
        <v>266.66</v>
      </c>
      <c r="R186" s="31" t="inlineStr">
        <is>
          <t>Near 52W High Breakout</t>
        </is>
      </c>
      <c r="S186" s="31" t="inlineStr">
        <is>
          <t>Nifty Pharma</t>
        </is>
      </c>
      <c r="T186" s="32" t="n">
        <v>26.25</v>
      </c>
      <c r="U186" s="32" t="n">
        <v>90.84</v>
      </c>
      <c r="V186" s="32" t="n">
        <v>51.16</v>
      </c>
      <c r="W186" s="32" t="n">
        <v>35.76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IF(B187=0,"",RANK(B187,$B$2:$B$346,0))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CONCORDBIO</t>
        </is>
      </c>
      <c r="D187" s="33" t="inlineStr">
        <is>
          <t>Concord Biotech Ltd</t>
        </is>
      </c>
      <c r="E187" s="31" t="inlineStr">
        <is>
          <t>healthcare</t>
        </is>
      </c>
      <c r="F187" s="31" t="inlineStr">
        <is>
          <t>pharmaceuticals - indian - bulk drugs &amp; formln</t>
        </is>
      </c>
      <c r="G187" s="31" t="inlineStr">
        <is>
          <t>midcap</t>
        </is>
      </c>
      <c r="H187" s="32" t="n">
        <v>16031.39</v>
      </c>
      <c r="I187" s="32" t="n">
        <v>1560.3</v>
      </c>
      <c r="J187" s="32" t="n">
        <v>1.82</v>
      </c>
      <c r="K187" s="32" t="n">
        <v>147508</v>
      </c>
      <c r="L187" s="31" t="n">
        <v>20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61.02</v>
      </c>
      <c r="P187" s="32" t="n">
        <v>26.69</v>
      </c>
      <c r="Q187" s="32" t="n">
        <v>1222.8</v>
      </c>
      <c r="R187" s="31" t="inlineStr">
        <is>
          <t>Near 52W High Breakout</t>
        </is>
      </c>
      <c r="S187" s="31" t="inlineStr">
        <is>
          <t>Nifty Pharma</t>
        </is>
      </c>
      <c r="T187" s="32" t="n">
        <v>26.25</v>
      </c>
      <c r="U187" s="32" t="n">
        <v>0.27</v>
      </c>
      <c r="V187" s="32" t="n">
        <v>-20.58</v>
      </c>
      <c r="W187" s="32" t="n">
        <v>6.43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IF(B188=0,"",RANK(B188,$B$2:$B$346,0))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STAR</t>
        </is>
      </c>
      <c r="D188" s="31" t="inlineStr">
        <is>
          <t>Strides Shasun Limited</t>
        </is>
      </c>
      <c r="E188" s="31" t="inlineStr">
        <is>
          <t>healthcare</t>
        </is>
      </c>
      <c r="F188" s="31" t="inlineStr">
        <is>
          <t>pharmaceuticals - indian - bulk drugs &amp; formln</t>
        </is>
      </c>
      <c r="G188" s="31" t="inlineStr">
        <is>
          <t>midcap</t>
        </is>
      </c>
      <c r="H188" s="32" t="n">
        <v>11221.11</v>
      </c>
      <c r="I188" s="32" t="n">
        <v>1223.3</v>
      </c>
      <c r="J188" s="32" t="n">
        <v>0.48</v>
      </c>
      <c r="K188" s="32" t="n">
        <v>153250</v>
      </c>
      <c r="L188" s="31" t="n">
        <v>39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67.84</v>
      </c>
      <c r="P188" s="32" t="n">
        <v>14.8</v>
      </c>
      <c r="Q188" s="32" t="n">
        <v>948.35</v>
      </c>
      <c r="R188" s="31" t="inlineStr">
        <is>
          <t>Near 52W High Breakout</t>
        </is>
      </c>
      <c r="S188" s="31" t="inlineStr">
        <is>
          <t>Nifty Pharma</t>
        </is>
      </c>
      <c r="T188" s="32" t="n">
        <v>26.25</v>
      </c>
      <c r="U188" s="32" t="n">
        <v>50.71</v>
      </c>
      <c r="V188" s="32" t="n">
        <v>19.38</v>
      </c>
      <c r="W188" s="32" t="n">
        <v>11.43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IF(B189=0,"",RANK(B189,$B$2:$B$346,0))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ORCHPHARMA</t>
        </is>
      </c>
      <c r="D189" s="31" t="inlineStr">
        <is>
          <t>Orchid Pharma Ltd</t>
        </is>
      </c>
      <c r="E189" s="31" t="inlineStr">
        <is>
          <t>healthcare</t>
        </is>
      </c>
      <c r="F189" s="31" t="inlineStr">
        <is>
          <t>pharmaceuticals - indian - bulk drugs &amp; formln</t>
        </is>
      </c>
      <c r="G189" s="31" t="inlineStr">
        <is>
          <t>midcap</t>
        </is>
      </c>
      <c r="H189" s="32" t="n">
        <v>5615.62</v>
      </c>
      <c r="I189" s="32" t="n">
        <v>1102.05</v>
      </c>
      <c r="J189" s="32" t="n">
        <v>-0.47</v>
      </c>
      <c r="K189" s="32" t="n">
        <v>134909</v>
      </c>
      <c r="L189" s="31" t="n">
        <v>58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69.36</v>
      </c>
      <c r="P189" s="32" t="n">
        <v>54.34</v>
      </c>
      <c r="Q189" s="32" t="n">
        <v>801.98</v>
      </c>
      <c r="R189" s="31" t="inlineStr">
        <is>
          <t>Volume Spike &amp; Near 52W High Breakout</t>
        </is>
      </c>
      <c r="S189" s="31" t="inlineStr">
        <is>
          <t>Nifty Pharma</t>
        </is>
      </c>
      <c r="T189" s="32" t="n">
        <v>26.25</v>
      </c>
      <c r="U189" s="32" t="n">
        <v>52.75</v>
      </c>
      <c r="V189" s="32" t="n">
        <v>21</v>
      </c>
      <c r="W189" s="32" t="n">
        <v>18.43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IF(B190=0,"",RANK(B190,$B$2:$B$346,0))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EMUDHRA</t>
        </is>
      </c>
      <c r="D190" s="31" t="inlineStr">
        <is>
          <t>eMudhra Ltd</t>
        </is>
      </c>
      <c r="E190" s="31" t="inlineStr">
        <is>
          <t>i.t</t>
        </is>
      </c>
      <c r="F190" s="31" t="inlineStr">
        <is>
          <t>computers - software - medium / small</t>
        </is>
      </c>
      <c r="G190" s="31" t="inlineStr">
        <is>
          <t>midcap</t>
        </is>
      </c>
      <c r="H190" s="32" t="n">
        <v>5376.55</v>
      </c>
      <c r="I190" s="32" t="n">
        <v>637.8</v>
      </c>
      <c r="J190" s="32" t="n">
        <v>-1.76</v>
      </c>
      <c r="K190" s="32" t="n">
        <v>966799</v>
      </c>
      <c r="L190" s="31" t="n">
        <v>43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66.84999999999999</v>
      </c>
      <c r="P190" s="32" t="n">
        <v>26.01</v>
      </c>
      <c r="Q190" s="32" t="n">
        <v>480.72</v>
      </c>
      <c r="R190" s="31" t="inlineStr">
        <is>
          <t>Earnings / Momentum Support</t>
        </is>
      </c>
      <c r="S190" s="31" t="inlineStr">
        <is>
          <t>Nifty IT</t>
        </is>
      </c>
      <c r="T190" s="32" t="n">
        <v>-15.93</v>
      </c>
      <c r="U190" s="32" t="n">
        <v>1.15</v>
      </c>
      <c r="V190" s="32" t="n">
        <v>20.31</v>
      </c>
      <c r="W190" s="32" t="n">
        <v>12.69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Between 1.5 to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IF(B191=0,"",RANK(B191,$B$2:$B$346,0))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NPST</t>
        </is>
      </c>
      <c r="D191" s="31" t="inlineStr">
        <is>
          <t>Network People Services Technologies Ltd</t>
        </is>
      </c>
      <c r="E191" s="31" t="inlineStr">
        <is>
          <t>i.t</t>
        </is>
      </c>
      <c r="F191" s="31" t="inlineStr">
        <is>
          <t>computers - software - medium / small</t>
        </is>
      </c>
      <c r="G191" s="31" t="inlineStr">
        <is>
          <t>smallcap</t>
        </is>
      </c>
      <c r="H191" s="32" t="n">
        <v>3940.7</v>
      </c>
      <c r="I191" s="32" t="n">
        <v>1844.7</v>
      </c>
      <c r="J191" s="32" t="n">
        <v>-2.33</v>
      </c>
      <c r="K191" s="32" t="n">
        <v>46146</v>
      </c>
      <c r="L191" s="31" t="n">
        <v>19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65.05</v>
      </c>
      <c r="P191" s="32" t="n">
        <v>34.28</v>
      </c>
      <c r="Q191" s="32" t="n">
        <v>1302.63</v>
      </c>
      <c r="R191" s="31" t="inlineStr">
        <is>
          <t>Earnings / Momentum Support</t>
        </is>
      </c>
      <c r="S191" s="31" t="inlineStr">
        <is>
          <t>Nifty IT</t>
        </is>
      </c>
      <c r="T191" s="32" t="n">
        <v>-15.93</v>
      </c>
      <c r="U191" s="32" t="n">
        <v>-3.43</v>
      </c>
      <c r="V191" s="32" t="n">
        <v>14.87</v>
      </c>
      <c r="W191" s="32" t="n">
        <v>6.14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IF(B192=0,"",RANK(B192,$B$2:$B$346,0))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MANINDS</t>
        </is>
      </c>
      <c r="D192" s="31" t="inlineStr">
        <is>
          <t>Man Industries (india) Limited</t>
        </is>
      </c>
      <c r="E192" s="31" t="inlineStr">
        <is>
          <t>metals &amp; mining</t>
        </is>
      </c>
      <c r="F192" s="31" t="inlineStr">
        <is>
          <t>steel - medium / small</t>
        </is>
      </c>
      <c r="G192" s="31" t="inlineStr">
        <is>
          <t>midcap</t>
        </is>
      </c>
      <c r="H192" s="32" t="n">
        <v>6375.06</v>
      </c>
      <c r="I192" s="32" t="n">
        <v>986.7</v>
      </c>
      <c r="J192" s="32" t="n">
        <v>16.1</v>
      </c>
      <c r="K192" s="32" t="n">
        <v>10691371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82.59999999999999</v>
      </c>
      <c r="P192" s="32" t="n">
        <v>40.68</v>
      </c>
      <c r="Q192" s="32" t="n">
        <v>744.91</v>
      </c>
      <c r="R192" s="31" t="inlineStr">
        <is>
          <t>Volume Spike &amp; Near 52W High Breakout</t>
        </is>
      </c>
      <c r="S192" s="31" t="inlineStr">
        <is>
          <t>Nifty Metal</t>
        </is>
      </c>
      <c r="T192" s="32" t="inlineStr"/>
      <c r="U192" s="32" t="inlineStr"/>
      <c r="V192" s="32" t="inlineStr"/>
      <c r="W192" s="32" t="inlineStr"/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Volatile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IF(B193=0,"",RANK(B193,$B$2:$B$346,0))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RAYMONDREL</t>
        </is>
      </c>
      <c r="D193" s="31" t="inlineStr">
        <is>
          <t>Raymond Realty Ltd</t>
        </is>
      </c>
      <c r="E193" s="31" t="inlineStr">
        <is>
          <t>realty</t>
        </is>
      </c>
      <c r="F193" s="31" t="inlineStr">
        <is>
          <t>construction</t>
        </is>
      </c>
      <c r="G193" s="31" t="inlineStr">
        <is>
          <t>smallcap</t>
        </is>
      </c>
      <c r="H193" s="32" t="n">
        <v>3924.52</v>
      </c>
      <c r="I193" s="32" t="n">
        <v>671.45</v>
      </c>
      <c r="J193" s="32" t="n">
        <v>13.9</v>
      </c>
      <c r="K193" s="32" t="n">
        <v>12802316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58.2</v>
      </c>
      <c r="P193" s="32" t="n">
        <v>32.44</v>
      </c>
      <c r="Q193" s="32" t="n">
        <v>498.28</v>
      </c>
      <c r="R193" s="31" t="inlineStr">
        <is>
          <t>Volume Spike &amp; Near 52W High Breakout</t>
        </is>
      </c>
      <c r="S193" s="31" t="inlineStr">
        <is>
          <t>Nifty Realty</t>
        </is>
      </c>
      <c r="T193" s="32" t="inlineStr"/>
      <c r="U193" s="32" t="inlineStr"/>
      <c r="V193" s="32" t="inlineStr"/>
      <c r="W193" s="32" t="inlineStr"/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IF(B194=0,"",RANK(B194,$B$2:$B$346,0))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RGL</t>
        </is>
      </c>
      <c r="D194" s="31" t="inlineStr">
        <is>
          <t>Renaissance Global Ltd</t>
        </is>
      </c>
      <c r="E194" s="31" t="inlineStr">
        <is>
          <t>consumer discretionary</t>
        </is>
      </c>
      <c r="F194" s="31" t="inlineStr">
        <is>
          <t>diamond cutting / jewellery</t>
        </is>
      </c>
      <c r="G194" s="31" t="inlineStr">
        <is>
          <t>smallcap</t>
        </is>
      </c>
      <c r="H194" s="32" t="n">
        <v>1683.32</v>
      </c>
      <c r="I194" s="32" t="n">
        <v>170.48</v>
      </c>
      <c r="J194" s="32" t="n">
        <v>8.74</v>
      </c>
      <c r="K194" s="32" t="n">
        <v>4184608</v>
      </c>
      <c r="L194" s="31" t="n">
        <v>63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78.09999999999999</v>
      </c>
      <c r="P194" s="32" t="n">
        <v>31.63</v>
      </c>
      <c r="Q194" s="32" t="n">
        <v>128.56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-4.9</v>
      </c>
      <c r="U194" s="32" t="n">
        <v>49.86</v>
      </c>
      <c r="V194" s="32" t="n">
        <v>57.58</v>
      </c>
      <c r="W194" s="32" t="n">
        <v>20.35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IF(B195=0,"",RANK(B195,$B$2:$B$346,0))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LOKESHMACH</t>
        </is>
      </c>
      <c r="D195" s="31" t="inlineStr">
        <is>
          <t>Lokesh Machines Limited</t>
        </is>
      </c>
      <c r="E195" s="31" t="inlineStr">
        <is>
          <t>industrials</t>
        </is>
      </c>
      <c r="F195" s="31" t="inlineStr">
        <is>
          <t>engineering</t>
        </is>
      </c>
      <c r="G195" s="31" t="inlineStr">
        <is>
          <t>smallcap</t>
        </is>
      </c>
      <c r="H195" s="32" t="n">
        <v>734.88</v>
      </c>
      <c r="I195" s="32" t="n">
        <v>359.25</v>
      </c>
      <c r="J195" s="32" t="n">
        <v>6.55</v>
      </c>
      <c r="K195" s="32" t="n">
        <v>76824</v>
      </c>
      <c r="L195" s="31" t="n">
        <v>67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66.89</v>
      </c>
      <c r="P195" s="32" t="n">
        <v>40.89</v>
      </c>
      <c r="Q195" s="32" t="n">
        <v>273.19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-4.9</v>
      </c>
      <c r="U195" s="32" t="n">
        <v>87.39</v>
      </c>
      <c r="V195" s="32" t="n">
        <v>97.05</v>
      </c>
      <c r="W195" s="32" t="n">
        <v>21.32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IF(B196=0,"",RANK(B196,$B$2:$B$346,0))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LXCHEM</t>
        </is>
      </c>
      <c r="D196" s="33" t="inlineStr">
        <is>
          <t>Laxmi Organic Industries Ltd</t>
        </is>
      </c>
      <c r="E196" s="31" t="inlineStr">
        <is>
          <t>chemicals</t>
        </is>
      </c>
      <c r="F196" s="31" t="inlineStr">
        <is>
          <t>chemicals</t>
        </is>
      </c>
      <c r="G196" s="31" t="inlineStr">
        <is>
          <t>smallcap</t>
        </is>
      </c>
      <c r="H196" s="32" t="n">
        <v>4934.64</v>
      </c>
      <c r="I196" s="32" t="n">
        <v>188.44</v>
      </c>
      <c r="J196" s="32" t="n">
        <v>5.86</v>
      </c>
      <c r="K196" s="32" t="n">
        <v>3615692</v>
      </c>
      <c r="L196" s="31" t="n">
        <v>16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65.73</v>
      </c>
      <c r="P196" s="32" t="n">
        <v>41.03</v>
      </c>
      <c r="Q196" s="32" t="n">
        <v>143.18</v>
      </c>
      <c r="R196" s="31" t="inlineStr">
        <is>
          <t>Earnings / Momentum Support</t>
        </is>
      </c>
      <c r="S196" s="31" t="inlineStr">
        <is>
          <t>Nifty 50</t>
        </is>
      </c>
      <c r="T196" s="32" t="n">
        <v>-4.9</v>
      </c>
      <c r="U196" s="32" t="n">
        <v>-9.460000000000001</v>
      </c>
      <c r="V196" s="32" t="n">
        <v>-4.79</v>
      </c>
      <c r="W196" s="32" t="n">
        <v>5.67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IF(B197=0,"",RANK(B197,$B$2:$B$346,0))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SGIL</t>
        </is>
      </c>
      <c r="D197" s="31" t="inlineStr">
        <is>
          <t>Synergy Green Industries Ltd</t>
        </is>
      </c>
      <c r="E197" s="31" t="inlineStr">
        <is>
          <t>industrials</t>
        </is>
      </c>
      <c r="F197" s="31" t="inlineStr">
        <is>
          <t>castings &amp; forgings</t>
        </is>
      </c>
      <c r="G197" s="31" t="inlineStr">
        <is>
          <t>smallcap</t>
        </is>
      </c>
      <c r="H197" s="32" t="n">
        <v>989.78</v>
      </c>
      <c r="I197" s="32" t="n">
        <v>668.5</v>
      </c>
      <c r="J197" s="32" t="n">
        <v>4.98</v>
      </c>
      <c r="K197" s="32" t="n">
        <v>84520</v>
      </c>
      <c r="L197" s="31" t="n">
        <v>26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66.58</v>
      </c>
      <c r="P197" s="32" t="n">
        <v>23.3</v>
      </c>
      <c r="Q197" s="32" t="n">
        <v>509.67</v>
      </c>
      <c r="R197" s="31" t="inlineStr">
        <is>
          <t>Volume Spike &amp; Near 52W High Breakout</t>
        </is>
      </c>
      <c r="S197" s="31" t="inlineStr">
        <is>
          <t>Nifty 50</t>
        </is>
      </c>
      <c r="T197" s="32" t="n">
        <v>-4.9</v>
      </c>
      <c r="U197" s="32" t="n">
        <v>24.73</v>
      </c>
      <c r="V197" s="32" t="n">
        <v>31.16</v>
      </c>
      <c r="W197" s="32" t="n">
        <v>7.9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More than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IF(B198=0,"",RANK(B198,$B$2:$B$346,0))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GANESHBE</t>
        </is>
      </c>
      <c r="D198" s="31" t="inlineStr">
        <is>
          <t>Ganesh Benzoplast Ltd</t>
        </is>
      </c>
      <c r="E198" s="31" t="inlineStr">
        <is>
          <t>miscellaneous</t>
        </is>
      </c>
      <c r="F198" s="31" t="inlineStr">
        <is>
          <t>miscellaneous</t>
        </is>
      </c>
      <c r="G198" s="31" t="inlineStr">
        <is>
          <t>smallcap</t>
        </is>
      </c>
      <c r="H198" s="32" t="n">
        <v>901.45</v>
      </c>
      <c r="I198" s="32" t="n">
        <v>131.08</v>
      </c>
      <c r="J198" s="32" t="n">
        <v>4.68</v>
      </c>
      <c r="K198" s="32" t="n">
        <v>435311</v>
      </c>
      <c r="L198" s="31" t="n">
        <v>48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67.52</v>
      </c>
      <c r="P198" s="32" t="n">
        <v>31.76</v>
      </c>
      <c r="Q198" s="32" t="n">
        <v>97.18000000000001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-4.9</v>
      </c>
      <c r="U198" s="32" t="n">
        <v>47.3</v>
      </c>
      <c r="V198" s="32" t="n">
        <v>54.89</v>
      </c>
      <c r="W198" s="32" t="n">
        <v>14.77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IF(B199=0,"",RANK(B199,$B$2:$B$346,0))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SAMBHV</t>
        </is>
      </c>
      <c r="D199" s="31" t="inlineStr">
        <is>
          <t>Sambhv Steel Tubes Ltd</t>
        </is>
      </c>
      <c r="E199" s="31" t="inlineStr">
        <is>
          <t>metals &amp; mining</t>
        </is>
      </c>
      <c r="F199" s="31" t="inlineStr">
        <is>
          <t>steel - medium / small</t>
        </is>
      </c>
      <c r="G199" s="31" t="inlineStr">
        <is>
          <t>smallcap</t>
        </is>
      </c>
      <c r="H199" s="32" t="n">
        <v>4477.24</v>
      </c>
      <c r="I199" s="32" t="n">
        <v>158.22</v>
      </c>
      <c r="J199" s="32" t="n">
        <v>4.13</v>
      </c>
      <c r="K199" s="32" t="n">
        <v>7438082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78.04000000000001</v>
      </c>
      <c r="P199" s="32" t="n">
        <v>42.09</v>
      </c>
      <c r="Q199" s="32" t="n">
        <v>123.54</v>
      </c>
      <c r="R199" s="31" t="inlineStr">
        <is>
          <t>Volume Spike &amp; Near 52W High Breakout</t>
        </is>
      </c>
      <c r="S199" s="31" t="inlineStr">
        <is>
          <t>Nifty Metal</t>
        </is>
      </c>
      <c r="T199" s="32" t="inlineStr"/>
      <c r="U199" s="32" t="inlineStr"/>
      <c r="V199" s="32" t="inlineStr"/>
      <c r="W199" s="32" t="inlineStr"/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IF(B200=0,"",RANK(B200,$B$2:$B$346,0))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BELRISE</t>
        </is>
      </c>
      <c r="D200" s="31" t="inlineStr">
        <is>
          <t>Belrise Industries Ltd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largecap</t>
        </is>
      </c>
      <c r="H200" s="32" t="n">
        <v>23670.08</v>
      </c>
      <c r="I200" s="32" t="n">
        <v>249.78</v>
      </c>
      <c r="J200" s="32" t="n">
        <v>2.06</v>
      </c>
      <c r="K200" s="32" t="n">
        <v>2848133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62.66</v>
      </c>
      <c r="P200" s="32" t="n">
        <v>34.41</v>
      </c>
      <c r="Q200" s="32" t="n">
        <v>208</v>
      </c>
      <c r="R200" s="31" t="inlineStr">
        <is>
          <t>Near 52W High Breakout</t>
        </is>
      </c>
      <c r="S200" s="31" t="inlineStr">
        <is>
          <t>Nifty Auto</t>
        </is>
      </c>
      <c r="T200" s="32" t="inlineStr"/>
      <c r="U200" s="32" t="inlineStr"/>
      <c r="V200" s="32" t="inlineStr"/>
      <c r="W200" s="32" t="inlineStr"/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IF(B201=0,"",RANK(B201,$B$2:$B$346,0))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GESHIP</t>
        </is>
      </c>
      <c r="D201" s="31" t="inlineStr">
        <is>
          <t>The Great Eastern Shipping Company Limited</t>
        </is>
      </c>
      <c r="E201" s="31" t="inlineStr">
        <is>
          <t>transportation</t>
        </is>
      </c>
      <c r="F201" s="31" t="inlineStr">
        <is>
          <t>shipping</t>
        </is>
      </c>
      <c r="G201" s="31" t="inlineStr">
        <is>
          <t>largecap</t>
        </is>
      </c>
      <c r="H201" s="32" t="n">
        <v>20872.56</v>
      </c>
      <c r="I201" s="32" t="n">
        <v>1483.8</v>
      </c>
      <c r="J201" s="32" t="n">
        <v>1.49</v>
      </c>
      <c r="K201" s="32" t="n">
        <v>411769</v>
      </c>
      <c r="L201" s="31" t="n">
        <v>31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58.63</v>
      </c>
      <c r="P201" s="32" t="n">
        <v>23.16</v>
      </c>
      <c r="Q201" s="32" t="n">
        <v>1158.45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-4.9</v>
      </c>
      <c r="U201" s="32" t="n">
        <v>53.83</v>
      </c>
      <c r="V201" s="32" t="n">
        <v>61.75</v>
      </c>
      <c r="W201" s="32" t="n">
        <v>9.529999999999999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IF(B202=0,"",RANK(B202,$B$2:$B$346,0))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VSSL</t>
        </is>
      </c>
      <c r="D202" s="31" t="inlineStr">
        <is>
          <t>Vardhman Special Steels Limited</t>
        </is>
      </c>
      <c r="E202" s="31" t="inlineStr">
        <is>
          <t>metals &amp; mining</t>
        </is>
      </c>
      <c r="F202" s="31" t="inlineStr">
        <is>
          <t>steel - medium / small</t>
        </is>
      </c>
      <c r="G202" s="31" t="inlineStr">
        <is>
          <t>smallcap</t>
        </is>
      </c>
      <c r="H202" s="32" t="n">
        <v>3942.84</v>
      </c>
      <c r="I202" s="32" t="n">
        <v>413.6</v>
      </c>
      <c r="J202" s="32" t="n">
        <v>1.42</v>
      </c>
      <c r="K202" s="32" t="n">
        <v>103560</v>
      </c>
      <c r="L202" s="31" t="inlineStr"/>
      <c r="M202" s="31" t="inlineStr"/>
      <c r="N202" s="32">
        <f>IF(M202="Underperforming",-5,IF(L202&gt;=95,15,IF(L202&gt;=90,10,IF(L202&gt;=80,5,0))))</f>
        <v/>
      </c>
      <c r="O202" s="32" t="n">
        <v>84.22</v>
      </c>
      <c r="P202" s="32" t="n">
        <v>46.61</v>
      </c>
      <c r="Q202" s="32" t="n">
        <v>328.25</v>
      </c>
      <c r="R202" s="31" t="inlineStr">
        <is>
          <t>Near 52W High Breakout</t>
        </is>
      </c>
      <c r="S202" s="31" t="inlineStr">
        <is>
          <t>Nifty Metal</t>
        </is>
      </c>
      <c r="T202" s="32" t="inlineStr"/>
      <c r="U202" s="32" t="inlineStr"/>
      <c r="V202" s="32" t="inlineStr"/>
      <c r="W202" s="32" t="inlineStr"/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Volatile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IF(B203=0,"",RANK(B203,$B$2:$B$346,0))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ENGINERSIN</t>
        </is>
      </c>
      <c r="D203" s="31" t="inlineStr">
        <is>
          <t>Engineers India Limited</t>
        </is>
      </c>
      <c r="E203" s="31" t="inlineStr">
        <is>
          <t>realty</t>
        </is>
      </c>
      <c r="F203" s="31" t="inlineStr">
        <is>
          <t>engineering - turnkey services</t>
        </is>
      </c>
      <c r="G203" s="31" t="inlineStr">
        <is>
          <t>midcap</t>
        </is>
      </c>
      <c r="H203" s="32" t="n">
        <v>17004.59</v>
      </c>
      <c r="I203" s="32" t="n">
        <v>306.2</v>
      </c>
      <c r="J203" s="32" t="n">
        <v>1.21</v>
      </c>
      <c r="K203" s="32" t="n">
        <v>11229270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71.14</v>
      </c>
      <c r="P203" s="32" t="n">
        <v>18.25</v>
      </c>
      <c r="Q203" s="32" t="n">
        <v>243.4</v>
      </c>
      <c r="R203" s="31" t="inlineStr">
        <is>
          <t>Volume Spike &amp; Near 52W High Breakout</t>
        </is>
      </c>
      <c r="S203" s="31" t="inlineStr">
        <is>
          <t>Nifty Realty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IF(B204=0,"",RANK(B204,$B$2:$B$346,0))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TDPOWERSYS</t>
        </is>
      </c>
      <c r="D204" s="31" t="inlineStr">
        <is>
          <t>Td Power Systems Limited</t>
        </is>
      </c>
      <c r="E204" s="31" t="inlineStr">
        <is>
          <t>industrials</t>
        </is>
      </c>
      <c r="F204" s="31" t="inlineStr">
        <is>
          <t>electric equipment</t>
        </is>
      </c>
      <c r="G204" s="31" t="inlineStr">
        <is>
          <t>midcap</t>
        </is>
      </c>
      <c r="H204" s="32" t="n">
        <v>11817.12</v>
      </c>
      <c r="I204" s="32" t="n">
        <v>765.5</v>
      </c>
      <c r="J204" s="32" t="n">
        <v>1.2</v>
      </c>
      <c r="K204" s="32" t="n">
        <v>1842284</v>
      </c>
      <c r="L204" s="31" t="n">
        <v>77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67.01000000000001</v>
      </c>
      <c r="P204" s="32" t="n">
        <v>19.25</v>
      </c>
      <c r="Q204" s="32" t="n">
        <v>583.99</v>
      </c>
      <c r="R204" s="31" t="inlineStr">
        <is>
          <t>Near 52W High Breakout</t>
        </is>
      </c>
      <c r="S204" s="31" t="inlineStr">
        <is>
          <t>Nifty 50</t>
        </is>
      </c>
      <c r="T204" s="32" t="n">
        <v>-4.9</v>
      </c>
      <c r="U204" s="32" t="n">
        <v>167.71</v>
      </c>
      <c r="V204" s="32" t="n">
        <v>181.5</v>
      </c>
      <c r="W204" s="32" t="n">
        <v>27.13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IF(B205=0,"",RANK(B205,$B$2:$B$346,0))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SMLMAH</t>
        </is>
      </c>
      <c r="D205" s="31" t="inlineStr">
        <is>
          <t>SML Mahindra Ltd</t>
        </is>
      </c>
      <c r="E205" s="31" t="inlineStr">
        <is>
          <t>auto</t>
        </is>
      </c>
      <c r="F205" s="31" t="inlineStr">
        <is>
          <t>automobiles - lcvs / hcvs</t>
        </is>
      </c>
      <c r="G205" s="31" t="inlineStr">
        <is>
          <t>midcap</t>
        </is>
      </c>
      <c r="H205" s="32" t="n">
        <v>9724.219999999999</v>
      </c>
      <c r="I205" s="32" t="n">
        <v>6794</v>
      </c>
      <c r="J205" s="32" t="n">
        <v>1.11</v>
      </c>
      <c r="K205" s="32" t="n">
        <v>53537</v>
      </c>
      <c r="L205" s="31" t="inlineStr"/>
      <c r="M205" s="31" t="inlineStr"/>
      <c r="N205" s="32">
        <f>IF(M205="Underperforming",-5,IF(L205&gt;=95,15,IF(L205&gt;=90,10,IF(L205&gt;=80,5,0))))</f>
        <v/>
      </c>
      <c r="O205" s="32" t="n">
        <v>71.13</v>
      </c>
      <c r="P205" s="32" t="n">
        <v>30.19</v>
      </c>
      <c r="Q205" s="32" t="n">
        <v>5052.76</v>
      </c>
      <c r="R205" s="31" t="inlineStr">
        <is>
          <t>Near 52W High Breakout</t>
        </is>
      </c>
      <c r="S205" s="31" t="inlineStr">
        <is>
          <t>Nifty Auto</t>
        </is>
      </c>
      <c r="T205" s="32" t="inlineStr"/>
      <c r="U205" s="32" t="inlineStr"/>
      <c r="V205" s="32" t="inlineStr"/>
      <c r="W205" s="32" t="inlineStr"/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IF(B206=0,"",RANK(B206,$B$2:$B$346,0))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SHYAMMETL</t>
        </is>
      </c>
      <c r="D206" s="31" t="inlineStr">
        <is>
          <t>Shyam Metalics &amp; Energy Ltd</t>
        </is>
      </c>
      <c r="E206" s="31" t="inlineStr">
        <is>
          <t>metals &amp; mining</t>
        </is>
      </c>
      <c r="F206" s="31" t="inlineStr">
        <is>
          <t>steel - large</t>
        </is>
      </c>
      <c r="G206" s="31" t="inlineStr">
        <is>
          <t>largecap</t>
        </is>
      </c>
      <c r="H206" s="32" t="n">
        <v>30539.82</v>
      </c>
      <c r="I206" s="32" t="n">
        <v>1105.8</v>
      </c>
      <c r="J206" s="32" t="n">
        <v>1.07</v>
      </c>
      <c r="K206" s="32" t="n">
        <v>418859</v>
      </c>
      <c r="L206" s="31" t="inlineStr"/>
      <c r="M206" s="31" t="inlineStr"/>
      <c r="N206" s="32">
        <f>IF(M206="Underperforming",-5,IF(L206&gt;=95,15,IF(L206&gt;=90,10,IF(L206&gt;=80,5,0))))</f>
        <v/>
      </c>
      <c r="O206" s="32" t="n">
        <v>67.52</v>
      </c>
      <c r="P206" s="32" t="n">
        <v>26.6</v>
      </c>
      <c r="Q206" s="32" t="n">
        <v>920.76</v>
      </c>
      <c r="R206" s="31" t="inlineStr">
        <is>
          <t>Near 52W High Breakout</t>
        </is>
      </c>
      <c r="S206" s="31" t="inlineStr">
        <is>
          <t>Nifty Metal</t>
        </is>
      </c>
      <c r="T206" s="32" t="inlineStr"/>
      <c r="U206" s="32" t="inlineStr"/>
      <c r="V206" s="32" t="inlineStr"/>
      <c r="W206" s="32" t="inlineStr"/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Cyclical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Volatile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IF(B207=0,"",RANK(B207,$B$2:$B$346,0))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RAIN</t>
        </is>
      </c>
      <c r="D207" s="31" t="inlineStr">
        <is>
          <t>Rain Industries Limited</t>
        </is>
      </c>
      <c r="E207" s="31" t="inlineStr">
        <is>
          <t>miscellaneous</t>
        </is>
      </c>
      <c r="F207" s="31" t="inlineStr">
        <is>
          <t>miscellaneous</t>
        </is>
      </c>
      <c r="G207" s="31" t="inlineStr">
        <is>
          <t>midcap</t>
        </is>
      </c>
      <c r="H207" s="32" t="n">
        <v>7384.13</v>
      </c>
      <c r="I207" s="32" t="n">
        <v>221.86</v>
      </c>
      <c r="J207" s="32" t="n">
        <v>1.06</v>
      </c>
      <c r="K207" s="32" t="n">
        <v>2970299</v>
      </c>
      <c r="L207" s="31" t="n">
        <v>60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65.23999999999999</v>
      </c>
      <c r="P207" s="32" t="n">
        <v>45.13</v>
      </c>
      <c r="Q207" s="32" t="n">
        <v>166.2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-4.9</v>
      </c>
      <c r="U207" s="32" t="n">
        <v>71.69</v>
      </c>
      <c r="V207" s="32" t="n">
        <v>80.53</v>
      </c>
      <c r="W207" s="32" t="n">
        <v>19.15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More than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IF(B208=0,"",RANK(B208,$B$2:$B$346,0))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MMP</t>
        </is>
      </c>
      <c r="D208" s="31" t="inlineStr">
        <is>
          <t>MMP Industries Ltd</t>
        </is>
      </c>
      <c r="E208" s="31" t="inlineStr">
        <is>
          <t>metals &amp; mining</t>
        </is>
      </c>
      <c r="F208" s="31" t="inlineStr">
        <is>
          <t>aluminium and aluminium products</t>
        </is>
      </c>
      <c r="G208" s="31" t="inlineStr">
        <is>
          <t>smallcap</t>
        </is>
      </c>
      <c r="H208" s="32" t="n">
        <v>1171.82</v>
      </c>
      <c r="I208" s="32" t="n">
        <v>464.8</v>
      </c>
      <c r="J208" s="32" t="n">
        <v>0.76</v>
      </c>
      <c r="K208" s="32" t="n">
        <v>96752</v>
      </c>
      <c r="L208" s="31" t="inlineStr"/>
      <c r="M208" s="31" t="inlineStr"/>
      <c r="N208" s="32">
        <f>IF(M208="Underperforming",-5,IF(L208&gt;=95,15,IF(L208&gt;=90,10,IF(L208&gt;=80,5,0))))</f>
        <v/>
      </c>
      <c r="O208" s="32" t="n">
        <v>83.03</v>
      </c>
      <c r="P208" s="32" t="n">
        <v>56.5</v>
      </c>
      <c r="Q208" s="32" t="n">
        <v>351.6</v>
      </c>
      <c r="R208" s="31" t="inlineStr">
        <is>
          <t>Near 52W High Breakout</t>
        </is>
      </c>
      <c r="S208" s="31" t="inlineStr">
        <is>
          <t>Nifty Metal</t>
        </is>
      </c>
      <c r="T208" s="32" t="inlineStr"/>
      <c r="U208" s="32" t="inlineStr"/>
      <c r="V208" s="32" t="inlineStr"/>
      <c r="W208" s="32" t="inlineStr"/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Above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IF(B209=0,"",RANK(B209,$B$2:$B$346,0))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JASH</t>
        </is>
      </c>
      <c r="D209" s="31" t="inlineStr">
        <is>
          <t>Jash Engineering Ltd</t>
        </is>
      </c>
      <c r="E209" s="31" t="inlineStr">
        <is>
          <t>industrials</t>
        </is>
      </c>
      <c r="F209" s="31" t="inlineStr">
        <is>
          <t>engineering</t>
        </is>
      </c>
      <c r="G209" s="31" t="inlineStr">
        <is>
          <t>smallcap</t>
        </is>
      </c>
      <c r="H209" s="32" t="n">
        <v>3695.25</v>
      </c>
      <c r="I209" s="32" t="n">
        <v>588.95</v>
      </c>
      <c r="J209" s="32" t="n">
        <v>0.72</v>
      </c>
      <c r="K209" s="32" t="n">
        <v>492872</v>
      </c>
      <c r="L209" s="31" t="n">
        <v>26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69.48999999999999</v>
      </c>
      <c r="P209" s="32" t="n">
        <v>21.44</v>
      </c>
      <c r="Q209" s="32" t="n">
        <v>457.44</v>
      </c>
      <c r="R209" s="31" t="inlineStr">
        <is>
          <t>Volume Spike &amp; Near 52W High Breakout</t>
        </is>
      </c>
      <c r="S209" s="31" t="inlineStr">
        <is>
          <t>Nifty 50</t>
        </is>
      </c>
      <c r="T209" s="32" t="n">
        <v>-4.9</v>
      </c>
      <c r="U209" s="32" t="n">
        <v>17.78</v>
      </c>
      <c r="V209" s="32" t="n">
        <v>23.85</v>
      </c>
      <c r="W209" s="32" t="n">
        <v>8.27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IF(B210=0,"",RANK(B210,$B$2:$B$346,0))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NEOGEN</t>
        </is>
      </c>
      <c r="D210" s="31" t="inlineStr">
        <is>
          <t>Neogen Chemicals Ltd</t>
        </is>
      </c>
      <c r="E210" s="31" t="inlineStr">
        <is>
          <t>chemicals</t>
        </is>
      </c>
      <c r="F210" s="31" t="inlineStr">
        <is>
          <t>chemicals</t>
        </is>
      </c>
      <c r="G210" s="31" t="inlineStr">
        <is>
          <t>midcap</t>
        </is>
      </c>
      <c r="H210" s="32" t="n">
        <v>7147.69</v>
      </c>
      <c r="I210" s="32" t="n">
        <v>2392.1</v>
      </c>
      <c r="J210" s="32" t="n">
        <v>0.54</v>
      </c>
      <c r="K210" s="32" t="n">
        <v>171733</v>
      </c>
      <c r="L210" s="31" t="n">
        <v>59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67.23999999999999</v>
      </c>
      <c r="P210" s="32" t="n">
        <v>58.15</v>
      </c>
      <c r="Q210" s="32" t="n">
        <v>1881.06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-4.9</v>
      </c>
      <c r="U210" s="32" t="n">
        <v>57.53</v>
      </c>
      <c r="V210" s="32" t="n">
        <v>65.65000000000001</v>
      </c>
      <c r="W210" s="32" t="n">
        <v>18.48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IF(B211=0,"",RANK(B211,$B$2:$B$346,0))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DYNAMATECH</t>
        </is>
      </c>
      <c r="D211" s="31" t="inlineStr">
        <is>
          <t>Dynamatic Technologies Limited</t>
        </is>
      </c>
      <c r="E211" s="31" t="inlineStr">
        <is>
          <t>aerospace &amp; defence</t>
        </is>
      </c>
      <c r="F211" s="31" t="inlineStr">
        <is>
          <t>engineering</t>
        </is>
      </c>
      <c r="G211" s="31" t="inlineStr">
        <is>
          <t>midcap</t>
        </is>
      </c>
      <c r="H211" s="32" t="n">
        <v>8500.17</v>
      </c>
      <c r="I211" s="32" t="n">
        <v>12561</v>
      </c>
      <c r="J211" s="32" t="n">
        <v>0.36</v>
      </c>
      <c r="K211" s="32" t="n">
        <v>37310</v>
      </c>
      <c r="L211" s="31" t="n">
        <v>58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64.81</v>
      </c>
      <c r="P211" s="32" t="n">
        <v>26.3</v>
      </c>
      <c r="Q211" s="32" t="n">
        <v>9478.940000000001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-4.9</v>
      </c>
      <c r="U211" s="32" t="n">
        <v>81.56</v>
      </c>
      <c r="V211" s="32" t="n">
        <v>90.91</v>
      </c>
      <c r="W211" s="32" t="n">
        <v>18.31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IF(B212=0,"",RANK(B212,$B$2:$B$346,0))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OAL</t>
        </is>
      </c>
      <c r="D212" s="31" t="inlineStr">
        <is>
          <t>Oriental Aromatics Ltd</t>
        </is>
      </c>
      <c r="E212" s="31" t="inlineStr">
        <is>
          <t>chemicals</t>
        </is>
      </c>
      <c r="F212" s="31" t="inlineStr">
        <is>
          <t>chemicals</t>
        </is>
      </c>
      <c r="G212" s="31" t="inlineStr">
        <is>
          <t>smallcap</t>
        </is>
      </c>
      <c r="H212" s="32" t="n">
        <v>1874.17</v>
      </c>
      <c r="I212" s="32" t="n">
        <v>558.35</v>
      </c>
      <c r="J212" s="32" t="n">
        <v>0.26</v>
      </c>
      <c r="K212" s="32" t="n">
        <v>23735</v>
      </c>
      <c r="L212" s="31" t="n">
        <v>81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76.44</v>
      </c>
      <c r="P212" s="32" t="n">
        <v>37.39</v>
      </c>
      <c r="Q212" s="32" t="n">
        <v>407.75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-4.9</v>
      </c>
      <c r="U212" s="32" t="n">
        <v>66.31999999999999</v>
      </c>
      <c r="V212" s="32" t="n">
        <v>74.89</v>
      </c>
      <c r="W212" s="32" t="n">
        <v>30.11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IF(B213=0,"",RANK(B213,$B$2:$B$346,0))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BEPL</t>
        </is>
      </c>
      <c r="D213" s="31" t="inlineStr">
        <is>
          <t>Bhansali Engineering Polymers Limited</t>
        </is>
      </c>
      <c r="E213" s="31" t="inlineStr">
        <is>
          <t>energy</t>
        </is>
      </c>
      <c r="F213" s="31" t="inlineStr">
        <is>
          <t>petrochemicals</t>
        </is>
      </c>
      <c r="G213" s="31" t="inlineStr">
        <is>
          <t>smallcap</t>
        </is>
      </c>
      <c r="H213" s="32" t="n">
        <v>3240.88</v>
      </c>
      <c r="I213" s="32" t="n">
        <v>130.49</v>
      </c>
      <c r="J213" s="32" t="n">
        <v>0.2</v>
      </c>
      <c r="K213" s="32" t="n">
        <v>778846</v>
      </c>
      <c r="L213" s="31" t="inlineStr"/>
      <c r="M213" s="31" t="inlineStr"/>
      <c r="N213" s="32">
        <f>IF(M213="Underperforming",-5,IF(L213&gt;=95,15,IF(L213&gt;=90,10,IF(L213&gt;=80,5,0))))</f>
        <v/>
      </c>
      <c r="O213" s="32" t="n">
        <v>73.39</v>
      </c>
      <c r="P213" s="32" t="n">
        <v>58.55</v>
      </c>
      <c r="Q213" s="32" t="n">
        <v>102.26</v>
      </c>
      <c r="R213" s="31" t="inlineStr">
        <is>
          <t>Near 52W High Breakout</t>
        </is>
      </c>
      <c r="S213" s="31" t="inlineStr">
        <is>
          <t>Nifty Energy</t>
        </is>
      </c>
      <c r="T213" s="32" t="inlineStr"/>
      <c r="U213" s="32" t="inlineStr"/>
      <c r="V213" s="32" t="inlineStr"/>
      <c r="W213" s="32" t="inlineStr"/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IF(B214=0,"",RANK(B214,$B$2:$B$346,0))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MUNJALSHOW</t>
        </is>
      </c>
      <c r="D214" s="31" t="inlineStr">
        <is>
          <t>Munjal Showa Limited</t>
        </is>
      </c>
      <c r="E214" s="31" t="inlineStr">
        <is>
          <t>auto</t>
        </is>
      </c>
      <c r="F214" s="31" t="inlineStr">
        <is>
          <t>auto ancillaries</t>
        </is>
      </c>
      <c r="G214" s="31" t="inlineStr">
        <is>
          <t>smallcap</t>
        </is>
      </c>
      <c r="H214" s="32" t="n">
        <v>533.21</v>
      </c>
      <c r="I214" s="32" t="n">
        <v>133.44</v>
      </c>
      <c r="J214" s="32" t="n">
        <v>0.09</v>
      </c>
      <c r="K214" s="32" t="n">
        <v>54209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56.12</v>
      </c>
      <c r="P214" s="32" t="n">
        <v>31.47</v>
      </c>
      <c r="Q214" s="32" t="n">
        <v>114.19</v>
      </c>
      <c r="R214" s="31" t="inlineStr">
        <is>
          <t>Near 52W High Breakout</t>
        </is>
      </c>
      <c r="S214" s="31" t="inlineStr">
        <is>
          <t>Nifty Auto</t>
        </is>
      </c>
      <c r="T214" s="32" t="inlineStr"/>
      <c r="U214" s="32" t="inlineStr"/>
      <c r="V214" s="32" t="inlineStr"/>
      <c r="W214" s="32" t="inlineStr"/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1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IF(B215=0,"",RANK(B215,$B$2:$B$346,0))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QUESS</t>
        </is>
      </c>
      <c r="D215" s="31" t="inlineStr">
        <is>
          <t>Quess Corp Limited</t>
        </is>
      </c>
      <c r="E215" s="31" t="inlineStr">
        <is>
          <t>miscellaneous</t>
        </is>
      </c>
      <c r="F215" s="31" t="inlineStr">
        <is>
          <t>diversified - large</t>
        </is>
      </c>
      <c r="G215" s="31" t="inlineStr">
        <is>
          <t>midcap</t>
        </is>
      </c>
      <c r="H215" s="32" t="n">
        <v>5383.68</v>
      </c>
      <c r="I215" s="32" t="n">
        <v>359</v>
      </c>
      <c r="J215" s="32" t="n">
        <v>-0.4</v>
      </c>
      <c r="K215" s="32" t="n">
        <v>220486</v>
      </c>
      <c r="L215" s="31" t="n">
        <v>64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71.26000000000001</v>
      </c>
      <c r="P215" s="32" t="n">
        <v>66.14</v>
      </c>
      <c r="Q215" s="32" t="n">
        <v>288.38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-4.9</v>
      </c>
      <c r="U215" s="32" t="n">
        <v>48.69</v>
      </c>
      <c r="V215" s="32" t="n">
        <v>56.35</v>
      </c>
      <c r="W215" s="32" t="n">
        <v>20.56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IF(B216=0,"",RANK(B216,$B$2:$B$346,0))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EMIL</t>
        </is>
      </c>
      <c r="D216" s="31" t="inlineStr">
        <is>
          <t>Electronics Mart India Ltd</t>
        </is>
      </c>
      <c r="E216" s="31" t="inlineStr">
        <is>
          <t>consumer discretionary</t>
        </is>
      </c>
      <c r="F216" s="31" t="inlineStr">
        <is>
          <t>trading</t>
        </is>
      </c>
      <c r="G216" s="31" t="inlineStr">
        <is>
          <t>midcap</t>
        </is>
      </c>
      <c r="H216" s="32" t="n">
        <v>7410.65</v>
      </c>
      <c r="I216" s="32" t="n">
        <v>191.32</v>
      </c>
      <c r="J216" s="32" t="n">
        <v>-0.67</v>
      </c>
      <c r="K216" s="32" t="n">
        <v>3823676</v>
      </c>
      <c r="L216" s="31" t="n">
        <v>68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70.20999999999999</v>
      </c>
      <c r="P216" s="32" t="n">
        <v>41.97</v>
      </c>
      <c r="Q216" s="32" t="n">
        <v>147.99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-4.9</v>
      </c>
      <c r="U216" s="32" t="n">
        <v>30.59</v>
      </c>
      <c r="V216" s="32" t="n">
        <v>37.32</v>
      </c>
      <c r="W216" s="32" t="n">
        <v>22.11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IF(B217=0,"",RANK(B217,$B$2:$B$346,0))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GANDHITUBE</t>
        </is>
      </c>
      <c r="D217" s="31" t="inlineStr">
        <is>
          <t>Gandhi Special Tubes Limited</t>
        </is>
      </c>
      <c r="E217" s="31" t="inlineStr">
        <is>
          <t>metals &amp; mining</t>
        </is>
      </c>
      <c r="F217" s="31" t="inlineStr">
        <is>
          <t>steel - medium / small</t>
        </is>
      </c>
      <c r="G217" s="31" t="inlineStr">
        <is>
          <t>smallcap</t>
        </is>
      </c>
      <c r="H217" s="32" t="n">
        <v>1219.09</v>
      </c>
      <c r="I217" s="32" t="n">
        <v>995.05</v>
      </c>
      <c r="J217" s="32" t="n">
        <v>-0.8100000000000001</v>
      </c>
      <c r="K217" s="32" t="n">
        <v>27224</v>
      </c>
      <c r="L217" s="31" t="inlineStr"/>
      <c r="M217" s="31" t="inlineStr"/>
      <c r="N217" s="32">
        <f>IF(M217="Underperforming",-5,IF(L217&gt;=95,15,IF(L217&gt;=90,10,IF(L217&gt;=80,5,0))))</f>
        <v/>
      </c>
      <c r="O217" s="32" t="n">
        <v>71.56999999999999</v>
      </c>
      <c r="P217" s="32" t="n">
        <v>32.01</v>
      </c>
      <c r="Q217" s="32" t="n">
        <v>822.83</v>
      </c>
      <c r="R217" s="31" t="inlineStr">
        <is>
          <t>Volume Spike &amp; Near 52W High Breakout</t>
        </is>
      </c>
      <c r="S217" s="31" t="inlineStr">
        <is>
          <t>Nifty Metal</t>
        </is>
      </c>
      <c r="T217" s="32" t="inlineStr"/>
      <c r="U217" s="32" t="inlineStr"/>
      <c r="V217" s="32" t="inlineStr"/>
      <c r="W217" s="32" t="inlineStr"/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IF(B218=0,"",RANK(B218,$B$2:$B$346,0))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BIL</t>
        </is>
      </c>
      <c r="D218" s="31" t="inlineStr">
        <is>
          <t>Bhartiya International Limited</t>
        </is>
      </c>
      <c r="E218" s="31" t="inlineStr">
        <is>
          <t>consumer discretionary</t>
        </is>
      </c>
      <c r="F218" s="31" t="inlineStr">
        <is>
          <t>leather / leather products</t>
        </is>
      </c>
      <c r="G218" s="31" t="inlineStr">
        <is>
          <t>smallcap</t>
        </is>
      </c>
      <c r="H218" s="32" t="n">
        <v>1408.76</v>
      </c>
      <c r="I218" s="32" t="n">
        <v>1034.95</v>
      </c>
      <c r="J218" s="32" t="n">
        <v>-1.48</v>
      </c>
      <c r="K218" s="32" t="n">
        <v>4569</v>
      </c>
      <c r="L218" s="31" t="n">
        <v>35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70.06999999999999</v>
      </c>
      <c r="P218" s="32" t="n">
        <v>29.28</v>
      </c>
      <c r="Q218" s="32" t="n">
        <v>801.79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-4.9</v>
      </c>
      <c r="U218" s="32" t="n">
        <v>20.56</v>
      </c>
      <c r="V218" s="32" t="n">
        <v>26.77</v>
      </c>
      <c r="W218" s="32" t="n">
        <v>10.57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Between 0.7 to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IF(B219=0,"",RANK(B219,$B$2:$B$346,0))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LUMAXTECH</t>
        </is>
      </c>
      <c r="D219" s="31" t="inlineStr">
        <is>
          <t>Lumax Auto Technologies Limited</t>
        </is>
      </c>
      <c r="E219" s="31" t="inlineStr">
        <is>
          <t>auto</t>
        </is>
      </c>
      <c r="F219" s="31" t="inlineStr">
        <is>
          <t>auto ancillaries</t>
        </is>
      </c>
      <c r="G219" s="31" t="inlineStr">
        <is>
          <t>midcap</t>
        </is>
      </c>
      <c r="H219" s="32" t="n">
        <v>14424.9</v>
      </c>
      <c r="I219" s="32" t="n">
        <v>2044.9</v>
      </c>
      <c r="J219" s="32" t="n">
        <v>-3.38</v>
      </c>
      <c r="K219" s="32" t="n">
        <v>280450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64.75</v>
      </c>
      <c r="P219" s="32" t="n">
        <v>24.1</v>
      </c>
      <c r="Q219" s="32" t="n">
        <v>1611.67</v>
      </c>
      <c r="R219" s="31" t="inlineStr">
        <is>
          <t>Near 52W High Breakout</t>
        </is>
      </c>
      <c r="S219" s="31" t="inlineStr">
        <is>
          <t>Nifty Auto</t>
        </is>
      </c>
      <c r="T219" s="32" t="inlineStr"/>
      <c r="U219" s="32" t="inlineStr"/>
      <c r="V219" s="32" t="inlineStr"/>
      <c r="W219" s="32" t="inlineStr"/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IF(B220=0,"",RANK(B220,$B$2:$B$346,0))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SUPRIYA</t>
        </is>
      </c>
      <c r="D220" s="31" t="inlineStr">
        <is>
          <t>Supriya Lifescience Ltd</t>
        </is>
      </c>
      <c r="E220" s="31" t="inlineStr">
        <is>
          <t>healthcare</t>
        </is>
      </c>
      <c r="F220" s="31" t="inlineStr">
        <is>
          <t>pharmaceuticals - indian - bulk drugs &amp; formln</t>
        </is>
      </c>
      <c r="G220" s="31" t="inlineStr">
        <is>
          <t>midcap</t>
        </is>
      </c>
      <c r="H220" s="32" t="n">
        <v>7558.14</v>
      </c>
      <c r="I220" s="32" t="n">
        <v>1000.9</v>
      </c>
      <c r="J220" s="32" t="n">
        <v>6.58</v>
      </c>
      <c r="K220" s="32" t="n">
        <v>1007970</v>
      </c>
      <c r="L220" s="31" t="n">
        <v>41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65.22</v>
      </c>
      <c r="P220" s="32" t="n">
        <v>37.1</v>
      </c>
      <c r="Q220" s="32" t="n">
        <v>747.73</v>
      </c>
      <c r="R220" s="31" t="inlineStr">
        <is>
          <t>Near 52W High Breakout</t>
        </is>
      </c>
      <c r="S220" s="31" t="inlineStr">
        <is>
          <t>Nifty Pharma</t>
        </is>
      </c>
      <c r="T220" s="32" t="n">
        <v>26.25</v>
      </c>
      <c r="U220" s="32" t="n">
        <v>42.75</v>
      </c>
      <c r="V220" s="32" t="n">
        <v>13.07</v>
      </c>
      <c r="W220" s="32" t="n">
        <v>11.73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IF(B221=0,"",RANK(B221,$B$2:$B$346,0))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SHIVALIK</t>
        </is>
      </c>
      <c r="D221" s="31" t="inlineStr">
        <is>
          <t>Shivalik Rasayan Ltd</t>
        </is>
      </c>
      <c r="E221" s="31" t="inlineStr">
        <is>
          <t>chemicals</t>
        </is>
      </c>
      <c r="F221" s="31" t="inlineStr">
        <is>
          <t>pesticides / agrochemicals - indian</t>
        </is>
      </c>
      <c r="G221" s="31" t="inlineStr">
        <is>
          <t>smallcap</t>
        </is>
      </c>
      <c r="H221" s="32" t="n">
        <v>668.39</v>
      </c>
      <c r="I221" s="32" t="n">
        <v>431.65</v>
      </c>
      <c r="J221" s="32" t="n">
        <v>3.54</v>
      </c>
      <c r="K221" s="32" t="n">
        <v>143393</v>
      </c>
      <c r="L221" s="31" t="n">
        <v>79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75.66</v>
      </c>
      <c r="P221" s="32" t="n">
        <v>28.42</v>
      </c>
      <c r="Q221" s="32" t="n">
        <v>307.68</v>
      </c>
      <c r="R221" s="31" t="inlineStr">
        <is>
          <t>Volume Spike / Accumulation</t>
        </is>
      </c>
      <c r="S221" s="31" t="inlineStr">
        <is>
          <t>Nifty 50</t>
        </is>
      </c>
      <c r="T221" s="32" t="n">
        <v>-4.9</v>
      </c>
      <c r="U221" s="32" t="n">
        <v>-1.05</v>
      </c>
      <c r="V221" s="32" t="n">
        <v>4.05</v>
      </c>
      <c r="W221" s="32" t="n">
        <v>29.07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Monopoly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Shallow Cyclical (2 to 3 Years Growth)</t>
        </is>
      </c>
      <c r="AG221" s="31">
        <f>IF(AF221="Structural (10 Years Consistency)",10,IF(AF221="Shallow Cyclical (2 to 3 years growth)",5,0))</f>
        <v/>
      </c>
      <c r="AH221" s="31" t="inlineStr">
        <is>
          <t>Yes due to Product Mix change or Operating Leverage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Fully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Yes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Less than 50%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IF(B222=0,"",RANK(B222,$B$2:$B$346,0))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UGARSUGAR</t>
        </is>
      </c>
      <c r="D222" s="31" t="inlineStr">
        <is>
          <t>The Ugar Sugar Works Limited</t>
        </is>
      </c>
      <c r="E222" s="31" t="inlineStr">
        <is>
          <t>fmcg</t>
        </is>
      </c>
      <c r="F222" s="31" t="inlineStr">
        <is>
          <t>sugar</t>
        </is>
      </c>
      <c r="G222" s="31" t="inlineStr">
        <is>
          <t>smallcap</t>
        </is>
      </c>
      <c r="H222" s="32" t="n">
        <v>622.6900000000001</v>
      </c>
      <c r="I222" s="32" t="n">
        <v>57.22</v>
      </c>
      <c r="J222" s="32" t="n">
        <v>3.38</v>
      </c>
      <c r="K222" s="32" t="n">
        <v>915900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75.02</v>
      </c>
      <c r="P222" s="32" t="n">
        <v>31.66</v>
      </c>
      <c r="Q222" s="32" t="n">
        <v>40.93</v>
      </c>
      <c r="R222" s="31" t="inlineStr">
        <is>
          <t>Near 52W High Breakout</t>
        </is>
      </c>
      <c r="S222" s="31" t="inlineStr">
        <is>
          <t>Nifty FMCG</t>
        </is>
      </c>
      <c r="T222" s="32" t="inlineStr"/>
      <c r="U222" s="32" t="inlineStr"/>
      <c r="V222" s="32" t="inlineStr"/>
      <c r="W222" s="32" t="inlineStr"/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B2C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IF(B223=0,"",RANK(B223,$B$2:$B$346,0))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YATHARTH</t>
        </is>
      </c>
      <c r="D223" s="31" t="inlineStr">
        <is>
          <t>Yatharth Hospital &amp; Trauma Care Services Ltd</t>
        </is>
      </c>
      <c r="E223" s="31" t="inlineStr">
        <is>
          <t>healthcare</t>
        </is>
      </c>
      <c r="F223" s="31" t="inlineStr">
        <is>
          <t>healthcare</t>
        </is>
      </c>
      <c r="G223" s="31" t="inlineStr">
        <is>
          <t>midcap</t>
        </is>
      </c>
      <c r="H223" s="32" t="n">
        <v>10879.37</v>
      </c>
      <c r="I223" s="32" t="n">
        <v>1162.2</v>
      </c>
      <c r="J223" s="32" t="n">
        <v>2.93</v>
      </c>
      <c r="K223" s="32" t="n">
        <v>551293</v>
      </c>
      <c r="L223" s="31" t="n">
        <v>57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76.56</v>
      </c>
      <c r="P223" s="32" t="n">
        <v>45.6</v>
      </c>
      <c r="Q223" s="32" t="n">
        <v>929.63</v>
      </c>
      <c r="R223" s="31" t="inlineStr">
        <is>
          <t>Near 52W High Breakout</t>
        </is>
      </c>
      <c r="S223" s="31" t="inlineStr">
        <is>
          <t>Nifty Pharma</t>
        </is>
      </c>
      <c r="T223" s="32" t="n">
        <v>26.25</v>
      </c>
      <c r="U223" s="32" t="n">
        <v>48.83</v>
      </c>
      <c r="V223" s="32" t="n">
        <v>17.89</v>
      </c>
      <c r="W223" s="32" t="n">
        <v>17.92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IF(B224=0,"",RANK(B224,$B$2:$B$346,0))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SBCL</t>
        </is>
      </c>
      <c r="D224" s="31" t="inlineStr">
        <is>
          <t>Shivalik Bimetal Controls Ltd</t>
        </is>
      </c>
      <c r="E224" s="31" t="inlineStr">
        <is>
          <t>metals &amp; mining</t>
        </is>
      </c>
      <c r="F224" s="31" t="inlineStr">
        <is>
          <t>mining / minerals / metals</t>
        </is>
      </c>
      <c r="G224" s="31" t="inlineStr">
        <is>
          <t>midcap</t>
        </is>
      </c>
      <c r="H224" s="32" t="n">
        <v>6491.42</v>
      </c>
      <c r="I224" s="32" t="n">
        <v>1156</v>
      </c>
      <c r="J224" s="32" t="n">
        <v>2.58</v>
      </c>
      <c r="K224" s="32" t="n">
        <v>358667</v>
      </c>
      <c r="L224" s="31" t="inlineStr"/>
      <c r="M224" s="31" t="inlineStr"/>
      <c r="N224" s="32">
        <f>IF(M224="Underperforming",-5,IF(L224&gt;=95,15,IF(L224&gt;=90,10,IF(L224&gt;=80,5,0))))</f>
        <v/>
      </c>
      <c r="O224" s="32" t="n">
        <v>77.98999999999999</v>
      </c>
      <c r="P224" s="32" t="n">
        <v>52.9</v>
      </c>
      <c r="Q224" s="32" t="n">
        <v>869.17</v>
      </c>
      <c r="R224" s="31" t="inlineStr">
        <is>
          <t>Near 52W High Breakout</t>
        </is>
      </c>
      <c r="S224" s="31" t="inlineStr">
        <is>
          <t>Nifty Metal</t>
        </is>
      </c>
      <c r="T224" s="32" t="inlineStr"/>
      <c r="U224" s="32" t="inlineStr"/>
      <c r="V224" s="32" t="inlineStr"/>
      <c r="W224" s="32" t="inlineStr"/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Monopoly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Shallow Cyclical (2 to 3 Years Growth)</t>
        </is>
      </c>
      <c r="AG224" s="31">
        <f>IF(AF224="Structural (10 Years Consistency)",10,IF(AF224="Shallow Cyclical (2 to 3 years growth)",5,0))</f>
        <v/>
      </c>
      <c r="AH224" s="31" t="inlineStr">
        <is>
          <t>Yes due to Product Mix change or Operating Leverage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Fully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Yes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IF(B225=0,"",RANK(B225,$B$2:$B$346,0))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GODREJAGRO</t>
        </is>
      </c>
      <c r="D225" s="31" t="inlineStr">
        <is>
          <t>Godrej Agrovet Ltd</t>
        </is>
      </c>
      <c r="E225" s="31" t="inlineStr">
        <is>
          <t>fmcg</t>
        </is>
      </c>
      <c r="F225" s="31" t="inlineStr">
        <is>
          <t>food - processing - indian</t>
        </is>
      </c>
      <c r="G225" s="31" t="inlineStr">
        <is>
          <t>midcap</t>
        </is>
      </c>
      <c r="H225" s="32" t="n">
        <v>12578.42</v>
      </c>
      <c r="I225" s="32" t="n">
        <v>670.05</v>
      </c>
      <c r="J225" s="32" t="n">
        <v>2.47</v>
      </c>
      <c r="K225" s="32" t="n">
        <v>175495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66.41</v>
      </c>
      <c r="P225" s="32" t="n">
        <v>21.1</v>
      </c>
      <c r="Q225" s="32" t="n">
        <v>557.04</v>
      </c>
      <c r="R225" s="31" t="inlineStr">
        <is>
          <t>Near 52W High Breakout</t>
        </is>
      </c>
      <c r="S225" s="31" t="inlineStr">
        <is>
          <t>Nifty FMCG</t>
        </is>
      </c>
      <c r="T225" s="32" t="inlineStr"/>
      <c r="U225" s="32" t="inlineStr"/>
      <c r="V225" s="32" t="inlineStr"/>
      <c r="W225" s="32" t="inlineStr"/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B2C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IF(B226=0,"",RANK(B226,$B$2:$B$346,0))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SUNDROP</t>
        </is>
      </c>
      <c r="D226" s="31" t="inlineStr">
        <is>
          <t>Sundrop Brands Ltd</t>
        </is>
      </c>
      <c r="E226" s="31" t="inlineStr">
        <is>
          <t>fmcg</t>
        </is>
      </c>
      <c r="F226" s="31" t="inlineStr">
        <is>
          <t>food - processing - indian</t>
        </is>
      </c>
      <c r="G226" s="31" t="inlineStr">
        <is>
          <t>smallcap</t>
        </is>
      </c>
      <c r="H226" s="32" t="n">
        <v>2798.43</v>
      </c>
      <c r="I226" s="32" t="n">
        <v>744.3</v>
      </c>
      <c r="J226" s="32" t="n">
        <v>0.26</v>
      </c>
      <c r="K226" s="32" t="n">
        <v>36238</v>
      </c>
      <c r="L226" s="31" t="inlineStr"/>
      <c r="M226" s="31" t="inlineStr"/>
      <c r="N226" s="32">
        <f>IF(M226="Underperforming",-5,IF(L226&gt;=95,15,IF(L226&gt;=90,10,IF(L226&gt;=80,5,0))))</f>
        <v/>
      </c>
      <c r="O226" s="32" t="n">
        <v>64.09</v>
      </c>
      <c r="P226" s="32" t="n">
        <v>17.83</v>
      </c>
      <c r="Q226" s="32" t="n">
        <v>610.9</v>
      </c>
      <c r="R226" s="31" t="inlineStr">
        <is>
          <t>Volume Spike / Accumulation</t>
        </is>
      </c>
      <c r="S226" s="31" t="inlineStr">
        <is>
          <t>Nifty FMCG</t>
        </is>
      </c>
      <c r="T226" s="32" t="inlineStr"/>
      <c r="U226" s="32" t="inlineStr"/>
      <c r="V226" s="32" t="inlineStr"/>
      <c r="W226" s="32" t="inlineStr"/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B2C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IF(B227=0,"",RANK(B227,$B$2:$B$346,0))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SMSPHARMA</t>
        </is>
      </c>
      <c r="D227" s="31" t="inlineStr">
        <is>
          <t>Sms Pharmaceuticals Limited</t>
        </is>
      </c>
      <c r="E227" s="31" t="inlineStr">
        <is>
          <t>healthcare</t>
        </is>
      </c>
      <c r="F227" s="31" t="inlineStr">
        <is>
          <t>pharmaceuticals - indian - bulk drugs</t>
        </is>
      </c>
      <c r="G227" s="31" t="inlineStr">
        <is>
          <t>smallcap</t>
        </is>
      </c>
      <c r="H227" s="32" t="n">
        <v>4526.67</v>
      </c>
      <c r="I227" s="32" t="n">
        <v>482.95</v>
      </c>
      <c r="J227" s="32" t="n">
        <v>-0.08</v>
      </c>
      <c r="K227" s="32" t="n">
        <v>801318</v>
      </c>
      <c r="L227" s="31" t="n">
        <v>64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68.40000000000001</v>
      </c>
      <c r="P227" s="32" t="n">
        <v>34.19</v>
      </c>
      <c r="Q227" s="32" t="n">
        <v>362.54</v>
      </c>
      <c r="R227" s="31" t="inlineStr">
        <is>
          <t>Near 52W High Breakout</t>
        </is>
      </c>
      <c r="S227" s="31" t="inlineStr">
        <is>
          <t>Nifty Pharma</t>
        </is>
      </c>
      <c r="T227" s="32" t="n">
        <v>26.25</v>
      </c>
      <c r="U227" s="32" t="n">
        <v>92.06</v>
      </c>
      <c r="V227" s="32" t="n">
        <v>52.13</v>
      </c>
      <c r="W227" s="32" t="n">
        <v>20.4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IF(B228=0,"",RANK(B228,$B$2:$B$346,0))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ANUHPHR</t>
        </is>
      </c>
      <c r="D228" s="33" t="inlineStr">
        <is>
          <t>Anuh Pharma Ltd</t>
        </is>
      </c>
      <c r="E228" s="31" t="inlineStr">
        <is>
          <t>healthcare</t>
        </is>
      </c>
      <c r="F228" s="31" t="inlineStr">
        <is>
          <t>pharmaceuticals - indian - bulk drugs</t>
        </is>
      </c>
      <c r="G228" s="31" t="inlineStr">
        <is>
          <t>smallcap</t>
        </is>
      </c>
      <c r="H228" s="32" t="n">
        <v>936.89</v>
      </c>
      <c r="I228" s="32" t="n">
        <v>93.39</v>
      </c>
      <c r="J228" s="32" t="n">
        <v>-0.1</v>
      </c>
      <c r="K228" s="32" t="n">
        <v>134416</v>
      </c>
      <c r="L228" s="31" t="n">
        <v>25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66.78</v>
      </c>
      <c r="P228" s="32" t="n">
        <v>19.44</v>
      </c>
      <c r="Q228" s="32" t="n">
        <v>75.20999999999999</v>
      </c>
      <c r="R228" s="31" t="inlineStr">
        <is>
          <t>Near 52W High Breakout</t>
        </is>
      </c>
      <c r="S228" s="31" t="inlineStr">
        <is>
          <t>Nifty Pharma</t>
        </is>
      </c>
      <c r="T228" s="32" t="n">
        <v>26.25</v>
      </c>
      <c r="U228" s="32" t="n">
        <v>14.74</v>
      </c>
      <c r="V228" s="32" t="n">
        <v>-9.109999999999999</v>
      </c>
      <c r="W228" s="32" t="n">
        <v>7.81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IF(B229=0,"",RANK(B229,$B$2:$B$346,0))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ANTELOPUS</t>
        </is>
      </c>
      <c r="D229" s="31" t="inlineStr">
        <is>
          <t>Antelopus Selan Energy Ltd</t>
        </is>
      </c>
      <c r="E229" s="31" t="inlineStr">
        <is>
          <t>energy</t>
        </is>
      </c>
      <c r="F229" s="31" t="inlineStr">
        <is>
          <t>oil drilling / allied services</t>
        </is>
      </c>
      <c r="G229" s="31" t="inlineStr">
        <is>
          <t>smallcap</t>
        </is>
      </c>
      <c r="H229" s="32" t="n">
        <v>3904.43</v>
      </c>
      <c r="I229" s="32" t="n">
        <v>1161.2</v>
      </c>
      <c r="J229" s="32" t="n">
        <v>4.57</v>
      </c>
      <c r="K229" s="32" t="n">
        <v>1138872</v>
      </c>
      <c r="L229" s="31" t="inlineStr"/>
      <c r="M229" s="31" t="inlineStr"/>
      <c r="N229" s="32">
        <f>IF(M229="Underperforming",-5,IF(L229&gt;=95,15,IF(L229&gt;=90,10,IF(L229&gt;=80,5,0))))</f>
        <v/>
      </c>
      <c r="O229" s="32" t="n">
        <v>73.11</v>
      </c>
      <c r="P229" s="32" t="n">
        <v>47.27</v>
      </c>
      <c r="Q229" s="32" t="n">
        <v>798.83</v>
      </c>
      <c r="R229" s="31" t="inlineStr">
        <is>
          <t>Near 52W High Breakout</t>
        </is>
      </c>
      <c r="S229" s="31" t="inlineStr">
        <is>
          <t>Nifty Energy</t>
        </is>
      </c>
      <c r="T229" s="32" t="inlineStr"/>
      <c r="U229" s="32" t="inlineStr"/>
      <c r="V229" s="32" t="inlineStr"/>
      <c r="W229" s="32" t="inlineStr"/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Oligopoly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Cyclical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Volatile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IF(B230=0,"",RANK(B230,$B$2:$B$346,0))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QPOWER</t>
        </is>
      </c>
      <c r="D230" s="31" t="inlineStr">
        <is>
          <t>Quality Power Electrical Equipments Ltd</t>
        </is>
      </c>
      <c r="E230" s="31" t="inlineStr">
        <is>
          <t>industrials</t>
        </is>
      </c>
      <c r="F230" s="31" t="inlineStr">
        <is>
          <t>electric equipment</t>
        </is>
      </c>
      <c r="G230" s="31" t="inlineStr">
        <is>
          <t>midcap</t>
        </is>
      </c>
      <c r="H230" s="32" t="n">
        <v>11551.56</v>
      </c>
      <c r="I230" s="32" t="n">
        <v>1555.6</v>
      </c>
      <c r="J230" s="32" t="n">
        <v>4.29</v>
      </c>
      <c r="K230" s="32" t="n">
        <v>326604</v>
      </c>
      <c r="L230" s="31" t="n">
        <v>53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67.69</v>
      </c>
      <c r="P230" s="32" t="n">
        <v>19.23</v>
      </c>
      <c r="Q230" s="32" t="n">
        <v>1137.4</v>
      </c>
      <c r="R230" s="31" t="inlineStr">
        <is>
          <t>Near 52W High Breakout</t>
        </is>
      </c>
      <c r="S230" s="31" t="inlineStr">
        <is>
          <t>Nifty 50</t>
        </is>
      </c>
      <c r="T230" s="32" t="n">
        <v>-4.9</v>
      </c>
      <c r="U230" s="32" t="n">
        <v>53.63</v>
      </c>
      <c r="V230" s="32" t="n">
        <v>61.54</v>
      </c>
      <c r="W230" s="32" t="n">
        <v>16.62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Between 1.5 to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IF(B231=0,"",RANK(B231,$B$2:$B$346,0))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ANANTRAJ</t>
        </is>
      </c>
      <c r="D231" s="31" t="inlineStr">
        <is>
          <t>Anant Raj Limited</t>
        </is>
      </c>
      <c r="E231" s="31" t="inlineStr">
        <is>
          <t>realty</t>
        </is>
      </c>
      <c r="F231" s="31" t="inlineStr">
        <is>
          <t>construction</t>
        </is>
      </c>
      <c r="G231" s="31" t="inlineStr">
        <is>
          <t>largecap</t>
        </is>
      </c>
      <c r="H231" s="32" t="n">
        <v>21956.09</v>
      </c>
      <c r="I231" s="32" t="n">
        <v>631.8</v>
      </c>
      <c r="J231" s="32" t="n">
        <v>3.56</v>
      </c>
      <c r="K231" s="32" t="n">
        <v>3329387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59.55</v>
      </c>
      <c r="P231" s="32" t="n">
        <v>23.9</v>
      </c>
      <c r="Q231" s="32" t="n">
        <v>490.76</v>
      </c>
      <c r="R231" s="31" t="inlineStr">
        <is>
          <t>Earnings / Momentum Support</t>
        </is>
      </c>
      <c r="S231" s="31" t="inlineStr">
        <is>
          <t>Nifty Realty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Between 12 to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IF(B232=0,"",RANK(B232,$B$2:$B$346,0))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MANALIPETC</t>
        </is>
      </c>
      <c r="D232" s="31" t="inlineStr">
        <is>
          <t>Manali Petrochemicals Limited</t>
        </is>
      </c>
      <c r="E232" s="31" t="inlineStr">
        <is>
          <t>energy</t>
        </is>
      </c>
      <c r="F232" s="31" t="inlineStr">
        <is>
          <t>petrochemicals</t>
        </is>
      </c>
      <c r="G232" s="31" t="inlineStr">
        <is>
          <t>smallcap</t>
        </is>
      </c>
      <c r="H232" s="32" t="n">
        <v>1459.76</v>
      </c>
      <c r="I232" s="32" t="n">
        <v>87.69</v>
      </c>
      <c r="J232" s="32" t="n">
        <v>3.32</v>
      </c>
      <c r="K232" s="32" t="n">
        <v>2077751</v>
      </c>
      <c r="L232" s="31" t="inlineStr"/>
      <c r="M232" s="31" t="inlineStr"/>
      <c r="N232" s="32">
        <f>IF(M232="Underperforming",-5,IF(L232&gt;=95,15,IF(L232&gt;=90,10,IF(L232&gt;=80,5,0))))</f>
        <v/>
      </c>
      <c r="O232" s="32" t="n">
        <v>73.06</v>
      </c>
      <c r="P232" s="32" t="n">
        <v>44.13</v>
      </c>
      <c r="Q232" s="32" t="n">
        <v>65.26000000000001</v>
      </c>
      <c r="R232" s="31" t="inlineStr">
        <is>
          <t>Near 52W High Breakout</t>
        </is>
      </c>
      <c r="S232" s="31" t="inlineStr">
        <is>
          <t>Nifty Energy</t>
        </is>
      </c>
      <c r="T232" s="32" t="inlineStr"/>
      <c r="U232" s="32" t="inlineStr"/>
      <c r="V232" s="32" t="inlineStr"/>
      <c r="W232" s="32" t="inlineStr"/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Oligopoly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IF(B233=0,"",RANK(B233,$B$2:$B$346,0))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GLOBAL</t>
        </is>
      </c>
      <c r="D233" s="31" t="inlineStr">
        <is>
          <t>Global Education Ltd</t>
        </is>
      </c>
      <c r="E233" s="31" t="inlineStr">
        <is>
          <t>services</t>
        </is>
      </c>
      <c r="F233" s="31" t="inlineStr">
        <is>
          <t>miscellaneous</t>
        </is>
      </c>
      <c r="G233" s="31" t="inlineStr">
        <is>
          <t>smallcap</t>
        </is>
      </c>
      <c r="H233" s="32" t="n">
        <v>673.0700000000001</v>
      </c>
      <c r="I233" s="32" t="n">
        <v>134.45</v>
      </c>
      <c r="J233" s="32" t="n">
        <v>1.68</v>
      </c>
      <c r="K233" s="32" t="n">
        <v>318189</v>
      </c>
      <c r="L233" s="31" t="n">
        <v>69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74.88</v>
      </c>
      <c r="P233" s="32" t="n">
        <v>34.21</v>
      </c>
      <c r="Q233" s="32" t="n">
        <v>102.95</v>
      </c>
      <c r="R233" s="31" t="inlineStr">
        <is>
          <t>Volume Spike &amp; Near 52W High Breakout</t>
        </is>
      </c>
      <c r="S233" s="31" t="inlineStr">
        <is>
          <t>Nifty 50</t>
        </is>
      </c>
      <c r="T233" s="32" t="n">
        <v>-4.9</v>
      </c>
      <c r="U233" s="32" t="n">
        <v>110.33</v>
      </c>
      <c r="V233" s="32" t="n">
        <v>121.17</v>
      </c>
      <c r="W233" s="32" t="n">
        <v>22.52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IF(B234=0,"",RANK(B234,$B$2:$B$346,0))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DEEPINDS</t>
        </is>
      </c>
      <c r="D234" s="31" t="inlineStr">
        <is>
          <t>Deep Industries Ltd</t>
        </is>
      </c>
      <c r="E234" s="31" t="inlineStr">
        <is>
          <t>energy</t>
        </is>
      </c>
      <c r="F234" s="31" t="inlineStr">
        <is>
          <t>oil drilling / allied services</t>
        </is>
      </c>
      <c r="G234" s="31" t="inlineStr">
        <is>
          <t>smallcap</t>
        </is>
      </c>
      <c r="H234" s="32" t="n">
        <v>4874.24</v>
      </c>
      <c r="I234" s="32" t="n">
        <v>772.9</v>
      </c>
      <c r="J234" s="32" t="n">
        <v>1.48</v>
      </c>
      <c r="K234" s="32" t="n">
        <v>335966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74.34</v>
      </c>
      <c r="P234" s="32" t="n">
        <v>35.26</v>
      </c>
      <c r="Q234" s="32" t="n">
        <v>600.9</v>
      </c>
      <c r="R234" s="31" t="inlineStr">
        <is>
          <t>Near 52W High Breakout</t>
        </is>
      </c>
      <c r="S234" s="31" t="inlineStr">
        <is>
          <t>Nifty Energy</t>
        </is>
      </c>
      <c r="T234" s="32" t="inlineStr"/>
      <c r="U234" s="32" t="inlineStr"/>
      <c r="V234" s="32" t="inlineStr"/>
      <c r="W234" s="32" t="inlineStr"/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Oligopoly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IF(B235=0,"",RANK(B235,$B$2:$B$346,0))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KMEW</t>
        </is>
      </c>
      <c r="D235" s="31" t="inlineStr">
        <is>
          <t>Knowledge Marine &amp; Engineering Works Ltd</t>
        </is>
      </c>
      <c r="E235" s="31" t="inlineStr">
        <is>
          <t>transportation</t>
        </is>
      </c>
      <c r="F235" s="31" t="inlineStr">
        <is>
          <t>miscellaneous</t>
        </is>
      </c>
      <c r="G235" s="31" t="inlineStr">
        <is>
          <t>midcap</t>
        </is>
      </c>
      <c r="H235" s="32" t="n">
        <v>7276.28</v>
      </c>
      <c r="I235" s="32" t="n">
        <v>2996.6</v>
      </c>
      <c r="J235" s="32" t="n">
        <v>0.67</v>
      </c>
      <c r="K235" s="32" t="n">
        <v>80182</v>
      </c>
      <c r="L235" s="31" t="n">
        <v>80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74.39</v>
      </c>
      <c r="P235" s="32" t="n">
        <v>58.63</v>
      </c>
      <c r="Q235" s="32" t="n">
        <v>2229.47</v>
      </c>
      <c r="R235" s="31" t="inlineStr">
        <is>
          <t>Near 52W High Breakout</t>
        </is>
      </c>
      <c r="S235" s="31" t="inlineStr">
        <is>
          <t>Nifty 50</t>
        </is>
      </c>
      <c r="T235" s="32" t="n">
        <v>-4.9</v>
      </c>
      <c r="U235" s="32" t="n">
        <v>140.5</v>
      </c>
      <c r="V235" s="32" t="n">
        <v>152.89</v>
      </c>
      <c r="W235" s="32" t="n">
        <v>29.28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IF(B236=0,"",RANK(B236,$B$2:$B$346,0))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ASAHIINDIA</t>
        </is>
      </c>
      <c r="D236" s="31" t="inlineStr">
        <is>
          <t>Asahi India Glass Limited</t>
        </is>
      </c>
      <c r="E236" s="31" t="inlineStr">
        <is>
          <t>building materials</t>
        </is>
      </c>
      <c r="F236" s="31" t="inlineStr">
        <is>
          <t>glass &amp; glass products</t>
        </is>
      </c>
      <c r="G236" s="31" t="inlineStr">
        <is>
          <t>largecap</t>
        </is>
      </c>
      <c r="H236" s="32" t="n">
        <v>24604.3</v>
      </c>
      <c r="I236" s="32" t="n">
        <v>971.3</v>
      </c>
      <c r="J236" s="32" t="n">
        <v>0.64</v>
      </c>
      <c r="K236" s="32" t="n">
        <v>262585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60</v>
      </c>
      <c r="P236" s="32" t="n">
        <v>27.98</v>
      </c>
      <c r="Q236" s="32" t="n">
        <v>816.01</v>
      </c>
      <c r="R236" s="31" t="inlineStr">
        <is>
          <t>Earnings / Momentum Support</t>
        </is>
      </c>
      <c r="S236" s="31" t="inlineStr">
        <is>
          <t>Nifty Infra</t>
        </is>
      </c>
      <c r="T236" s="32" t="inlineStr"/>
      <c r="U236" s="32" t="inlineStr"/>
      <c r="V236" s="32" t="inlineStr"/>
      <c r="W236" s="32" t="inlineStr"/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IF(B237=0,"",RANK(B237,$B$2:$B$346,0))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TNPETRO</t>
        </is>
      </c>
      <c r="D237" s="31" t="inlineStr">
        <is>
          <t>Tamilnadu Petroproducts Limited</t>
        </is>
      </c>
      <c r="E237" s="31" t="inlineStr">
        <is>
          <t>energy</t>
        </is>
      </c>
      <c r="F237" s="31" t="inlineStr">
        <is>
          <t>petrochemicals</t>
        </is>
      </c>
      <c r="G237" s="31" t="inlineStr">
        <is>
          <t>smallcap</t>
        </is>
      </c>
      <c r="H237" s="32" t="n">
        <v>1160.63</v>
      </c>
      <c r="I237" s="32" t="n">
        <v>128.98</v>
      </c>
      <c r="J237" s="32" t="n">
        <v>-0.02</v>
      </c>
      <c r="K237" s="32" t="n">
        <v>486120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72.88</v>
      </c>
      <c r="P237" s="32" t="n">
        <v>45.46</v>
      </c>
      <c r="Q237" s="32" t="n">
        <v>99.70999999999999</v>
      </c>
      <c r="R237" s="31" t="inlineStr">
        <is>
          <t>Near 52W High Breakout</t>
        </is>
      </c>
      <c r="S237" s="31" t="inlineStr">
        <is>
          <t>Nifty Energy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Oligopoly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IF(B238=0,"",RANK(B238,$B$2:$B$346,0))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HARSHA</t>
        </is>
      </c>
      <c r="D238" s="31" t="inlineStr">
        <is>
          <t>Harsha Engineers International Ltd</t>
        </is>
      </c>
      <c r="E238" s="31" t="inlineStr">
        <is>
          <t>industrials</t>
        </is>
      </c>
      <c r="F238" s="31" t="inlineStr">
        <is>
          <t>engineering</t>
        </is>
      </c>
      <c r="G238" s="31" t="inlineStr">
        <is>
          <t>smallcap</t>
        </is>
      </c>
      <c r="H238" s="32" t="n">
        <v>4234.46</v>
      </c>
      <c r="I238" s="32" t="n">
        <v>464.5</v>
      </c>
      <c r="J238" s="32" t="n">
        <v>-0.13</v>
      </c>
      <c r="K238" s="32" t="n">
        <v>97147</v>
      </c>
      <c r="L238" s="31" t="n">
        <v>20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63.72</v>
      </c>
      <c r="P238" s="32" t="n">
        <v>35.65</v>
      </c>
      <c r="Q238" s="32" t="n">
        <v>368.2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-4.9</v>
      </c>
      <c r="U238" s="32" t="n">
        <v>15.3</v>
      </c>
      <c r="V238" s="32" t="n">
        <v>21.24</v>
      </c>
      <c r="W238" s="32" t="n">
        <v>6.37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IF(B239=0,"",RANK(B239,$B$2:$B$346,0))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ITDC</t>
        </is>
      </c>
      <c r="D239" s="31" t="inlineStr">
        <is>
          <t>India Tourism Development Corporation Ltd</t>
        </is>
      </c>
      <c r="E239" s="31" t="inlineStr">
        <is>
          <t>services</t>
        </is>
      </c>
      <c r="F239" s="31" t="inlineStr">
        <is>
          <t>hotels</t>
        </is>
      </c>
      <c r="G239" s="31" t="inlineStr">
        <is>
          <t>midcap</t>
        </is>
      </c>
      <c r="H239" s="32" t="n">
        <v>6053.18</v>
      </c>
      <c r="I239" s="32" t="n">
        <v>702.65</v>
      </c>
      <c r="J239" s="32" t="n">
        <v>-0.44</v>
      </c>
      <c r="K239" s="32" t="n">
        <v>204985</v>
      </c>
      <c r="L239" s="31" t="n">
        <v>39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58.02</v>
      </c>
      <c r="P239" s="32" t="n">
        <v>42.99</v>
      </c>
      <c r="Q239" s="32" t="n">
        <v>527.22</v>
      </c>
      <c r="R239" s="31" t="inlineStr">
        <is>
          <t>Earnings / Momentum Support</t>
        </is>
      </c>
      <c r="S239" s="31" t="inlineStr">
        <is>
          <t>Nifty 50</t>
        </is>
      </c>
      <c r="T239" s="32" t="n">
        <v>-4.9</v>
      </c>
      <c r="U239" s="32" t="n">
        <v>20.97</v>
      </c>
      <c r="V239" s="32" t="n">
        <v>27.2</v>
      </c>
      <c r="W239" s="32" t="n">
        <v>11.45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IF(B240=0,"",RANK(B240,$B$2:$B$346,0))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SVLL</t>
        </is>
      </c>
      <c r="D240" s="31" t="inlineStr">
        <is>
          <t>Shree Vasu Logistics Ltd</t>
        </is>
      </c>
      <c r="E240" s="31" t="inlineStr">
        <is>
          <t>transportation</t>
        </is>
      </c>
      <c r="F240" s="31" t="inlineStr">
        <is>
          <t>miscellaneous</t>
        </is>
      </c>
      <c r="G240" s="31" t="inlineStr">
        <is>
          <t>smallcap</t>
        </is>
      </c>
      <c r="H240" s="32" t="n">
        <v>997.25</v>
      </c>
      <c r="I240" s="32" t="n">
        <v>861.3</v>
      </c>
      <c r="J240" s="32" t="n">
        <v>-0.73</v>
      </c>
      <c r="K240" s="32" t="n">
        <v>4492</v>
      </c>
      <c r="L240" s="31" t="n">
        <v>32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67.97</v>
      </c>
      <c r="P240" s="32" t="n">
        <v>39.92</v>
      </c>
      <c r="Q240" s="32" t="n">
        <v>660.3099999999999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-4.9</v>
      </c>
      <c r="U240" s="32" t="n">
        <v>13.86</v>
      </c>
      <c r="V240" s="32" t="n">
        <v>19.73</v>
      </c>
      <c r="W240" s="32" t="n">
        <v>9.98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Blue sky scenario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Between 1.5 to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More than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IF(B241=0,"",RANK(B241,$B$2:$B$346,0))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KAMDHENU</t>
        </is>
      </c>
      <c r="D241" s="31" t="inlineStr">
        <is>
          <t>Kamdhenu Limited</t>
        </is>
      </c>
      <c r="E241" s="31" t="inlineStr">
        <is>
          <t>metals &amp; mining</t>
        </is>
      </c>
      <c r="F241" s="31" t="inlineStr">
        <is>
          <t>steel - medium / small</t>
        </is>
      </c>
      <c r="G241" s="31" t="inlineStr">
        <is>
          <t>smallcap</t>
        </is>
      </c>
      <c r="H241" s="32" t="n">
        <v>1170.1</v>
      </c>
      <c r="I241" s="32" t="n">
        <v>40.77</v>
      </c>
      <c r="J241" s="32" t="n">
        <v>-1.78</v>
      </c>
      <c r="K241" s="32" t="n">
        <v>1666669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75.73999999999999</v>
      </c>
      <c r="P241" s="32" t="n">
        <v>54.27</v>
      </c>
      <c r="Q241" s="32" t="n">
        <v>30.84</v>
      </c>
      <c r="R241" s="31" t="inlineStr">
        <is>
          <t>Volume Spike &amp; Near 52W High Breakout</t>
        </is>
      </c>
      <c r="S241" s="31" t="inlineStr">
        <is>
          <t>Nifty Metal</t>
        </is>
      </c>
      <c r="T241" s="32" t="inlineStr"/>
      <c r="U241" s="32" t="inlineStr"/>
      <c r="V241" s="32" t="inlineStr"/>
      <c r="W241" s="32" t="inlineStr"/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Above 40</t>
        </is>
      </c>
      <c r="AY241" s="31">
        <f>IF(AX241="Above 40",20,IF(AX241="20 to 40",10,IF(AX241="0 to 20",-5,0)))</f>
        <v/>
      </c>
      <c r="AZ241" s="31" t="inlineStr">
        <is>
          <t>Above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IF(B242=0,"",RANK(B242,$B$2:$B$346,0))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SRHHYPOLTD</t>
        </is>
      </c>
      <c r="D242" s="31" t="inlineStr">
        <is>
          <t>Sree Rayalaseema Hi-strength Hypo Limited</t>
        </is>
      </c>
      <c r="E242" s="31" t="inlineStr">
        <is>
          <t>chemicals</t>
        </is>
      </c>
      <c r="F242" s="31" t="inlineStr">
        <is>
          <t>chemicals</t>
        </is>
      </c>
      <c r="G242" s="31" t="inlineStr">
        <is>
          <t>smallcap</t>
        </is>
      </c>
      <c r="H242" s="32" t="n">
        <v>1028.6</v>
      </c>
      <c r="I242" s="32" t="n">
        <v>587.5</v>
      </c>
      <c r="J242" s="32" t="n">
        <v>-1.96</v>
      </c>
      <c r="K242" s="32" t="n">
        <v>48715</v>
      </c>
      <c r="L242" s="31" t="n">
        <v>18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65.48</v>
      </c>
      <c r="P242" s="32" t="n">
        <v>12.59</v>
      </c>
      <c r="Q242" s="32" t="n">
        <v>452.65</v>
      </c>
      <c r="R242" s="31" t="inlineStr">
        <is>
          <t>Volume Spike &amp; Near 52W High Breakout</t>
        </is>
      </c>
      <c r="S242" s="31" t="inlineStr">
        <is>
          <t>Nifty 50</t>
        </is>
      </c>
      <c r="T242" s="32" t="n">
        <v>-4.9</v>
      </c>
      <c r="U242" s="32" t="n">
        <v>1.94</v>
      </c>
      <c r="V242" s="32" t="n">
        <v>7.19</v>
      </c>
      <c r="W242" s="32" t="n">
        <v>6.11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IF(B243=0,"",RANK(B243,$B$2:$B$346,0))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REGAAL</t>
        </is>
      </c>
      <c r="D243" s="31" t="inlineStr">
        <is>
          <t>Regaal Resources Ltd</t>
        </is>
      </c>
      <c r="E243" s="31" t="inlineStr">
        <is>
          <t>miscellaneous</t>
        </is>
      </c>
      <c r="F243" s="31" t="inlineStr">
        <is>
          <t>miscellaneous</t>
        </is>
      </c>
      <c r="G243" s="31" t="inlineStr">
        <is>
          <t>smallcap</t>
        </is>
      </c>
      <c r="H243" s="32" t="n">
        <v>998.5700000000001</v>
      </c>
      <c r="I243" s="32" t="n">
        <v>94.56</v>
      </c>
      <c r="J243" s="32" t="n">
        <v>-2.73</v>
      </c>
      <c r="K243" s="32" t="n">
        <v>3705161</v>
      </c>
      <c r="L243" s="31" t="n">
        <v>21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56.31</v>
      </c>
      <c r="P243" s="32" t="n">
        <v>22.49</v>
      </c>
      <c r="Q243" s="32" t="n">
        <v>64.25</v>
      </c>
      <c r="R243" s="31" t="inlineStr">
        <is>
          <t>Volume Spike &amp; Near 52W High Breakout</t>
        </is>
      </c>
      <c r="S243" s="31" t="inlineStr">
        <is>
          <t>Nifty 50</t>
        </is>
      </c>
      <c r="T243" s="32" t="n">
        <v>-4.9</v>
      </c>
      <c r="U243" s="32" t="n">
        <v>5.75</v>
      </c>
      <c r="V243" s="32" t="n">
        <v>11.2</v>
      </c>
      <c r="W243" s="32" t="n">
        <v>6.6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Between 12 to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IF(B244=0,"",RANK(B244,$B$2:$B$346,0))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ONWARDTEC</t>
        </is>
      </c>
      <c r="D244" s="31" t="inlineStr">
        <is>
          <t>Onward Technologies Limited</t>
        </is>
      </c>
      <c r="E244" s="31" t="inlineStr">
        <is>
          <t>i.t</t>
        </is>
      </c>
      <c r="F244" s="31" t="inlineStr">
        <is>
          <t>computers - software - medium / small</t>
        </is>
      </c>
      <c r="G244" s="31" t="inlineStr">
        <is>
          <t>smallcap</t>
        </is>
      </c>
      <c r="H244" s="32" t="n">
        <v>637.48</v>
      </c>
      <c r="I244" s="32" t="n">
        <v>294</v>
      </c>
      <c r="J244" s="32" t="n">
        <v>2.58</v>
      </c>
      <c r="K244" s="32" t="n">
        <v>33949</v>
      </c>
      <c r="L244" s="31" t="n">
        <v>9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59.19</v>
      </c>
      <c r="P244" s="32" t="n">
        <v>21.66</v>
      </c>
      <c r="Q244" s="32" t="n">
        <v>225.88</v>
      </c>
      <c r="R244" s="31" t="inlineStr">
        <is>
          <t>Earnings / Momentum Support</t>
        </is>
      </c>
      <c r="S244" s="31" t="inlineStr">
        <is>
          <t>Nifty IT</t>
        </is>
      </c>
      <c r="T244" s="32" t="n">
        <v>-15.93</v>
      </c>
      <c r="U244" s="32" t="n">
        <v>4.13</v>
      </c>
      <c r="V244" s="32" t="n">
        <v>23.85</v>
      </c>
      <c r="W244" s="32" t="n">
        <v>3.08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IF(B245=0,"",RANK(B245,$B$2:$B$346,0))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HIKAL</t>
        </is>
      </c>
      <c r="D245" s="33" t="inlineStr">
        <is>
          <t>Hikal Limited</t>
        </is>
      </c>
      <c r="E245" s="31" t="inlineStr">
        <is>
          <t>healthcare</t>
        </is>
      </c>
      <c r="F245" s="31" t="inlineStr">
        <is>
          <t>pharmaceuticals - indian - bulk drugs</t>
        </is>
      </c>
      <c r="G245" s="31" t="inlineStr">
        <is>
          <t>smallcap</t>
        </is>
      </c>
      <c r="H245" s="32" t="n">
        <v>2798.93</v>
      </c>
      <c r="I245" s="32" t="n">
        <v>232.43</v>
      </c>
      <c r="J245" s="32" t="n">
        <v>2.39</v>
      </c>
      <c r="K245" s="32" t="n">
        <v>1322731</v>
      </c>
      <c r="L245" s="31" t="n">
        <v>7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56.9</v>
      </c>
      <c r="P245" s="32" t="n">
        <v>26.89</v>
      </c>
      <c r="Q245" s="32" t="n">
        <v>177.75</v>
      </c>
      <c r="R245" s="31" t="inlineStr">
        <is>
          <t>Earnings / Momentum Support</t>
        </is>
      </c>
      <c r="S245" s="31" t="inlineStr">
        <is>
          <t>Nifty Pharma</t>
        </is>
      </c>
      <c r="T245" s="32" t="n">
        <v>26.25</v>
      </c>
      <c r="U245" s="32" t="n">
        <v>-8.65</v>
      </c>
      <c r="V245" s="32" t="n">
        <v>-27.64</v>
      </c>
      <c r="W245" s="32" t="n">
        <v>2.59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IF(B246=0,"",RANK(B246,$B$2:$B$346,0))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KOPRAN</t>
        </is>
      </c>
      <c r="D246" s="31" t="inlineStr">
        <is>
          <t>Kopran Limited</t>
        </is>
      </c>
      <c r="E246" s="31" t="inlineStr">
        <is>
          <t>healthcare</t>
        </is>
      </c>
      <c r="F246" s="31" t="inlineStr">
        <is>
          <t>pharmaceuticals - indian - bulk drugs &amp; formln</t>
        </is>
      </c>
      <c r="G246" s="31" t="inlineStr">
        <is>
          <t>smallcap</t>
        </is>
      </c>
      <c r="H246" s="32" t="n">
        <v>1334.81</v>
      </c>
      <c r="I246" s="32" t="n">
        <v>279.42</v>
      </c>
      <c r="J246" s="32" t="n">
        <v>1.08</v>
      </c>
      <c r="K246" s="32" t="n">
        <v>573639</v>
      </c>
      <c r="L246" s="31" t="n">
        <v>75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78.77</v>
      </c>
      <c r="P246" s="32" t="n">
        <v>43.44</v>
      </c>
      <c r="Q246" s="32" t="n">
        <v>211.61</v>
      </c>
      <c r="R246" s="31" t="inlineStr">
        <is>
          <t>Near 52W High Breakout</t>
        </is>
      </c>
      <c r="S246" s="31" t="inlineStr">
        <is>
          <t>Nifty Pharma</t>
        </is>
      </c>
      <c r="T246" s="32" t="n">
        <v>26.25</v>
      </c>
      <c r="U246" s="32" t="n">
        <v>63.64</v>
      </c>
      <c r="V246" s="32" t="n">
        <v>29.62</v>
      </c>
      <c r="W246" s="32" t="n">
        <v>25.77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Above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IF(B247=0,"",RANK(B247,$B$2:$B$346,0))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INDGN</t>
        </is>
      </c>
      <c r="D247" s="33" t="inlineStr">
        <is>
          <t>Indegene Ltd</t>
        </is>
      </c>
      <c r="E247" s="31" t="inlineStr">
        <is>
          <t>healthcare</t>
        </is>
      </c>
      <c r="F247" s="31" t="inlineStr">
        <is>
          <t>miscellaneous</t>
        </is>
      </c>
      <c r="G247" s="31" t="inlineStr">
        <is>
          <t>midcap</t>
        </is>
      </c>
      <c r="H247" s="32" t="n">
        <v>14266.9</v>
      </c>
      <c r="I247" s="32" t="n">
        <v>598.4</v>
      </c>
      <c r="J247" s="32" t="n">
        <v>1.06</v>
      </c>
      <c r="K247" s="32" t="n">
        <v>279828</v>
      </c>
      <c r="L247" s="31" t="n">
        <v>13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65.8</v>
      </c>
      <c r="P247" s="32" t="n">
        <v>23.51</v>
      </c>
      <c r="Q247" s="32" t="n">
        <v>500.96</v>
      </c>
      <c r="R247" s="31" t="inlineStr">
        <is>
          <t>Near 52W High Breakout</t>
        </is>
      </c>
      <c r="S247" s="31" t="inlineStr">
        <is>
          <t>Nifty Pharma</t>
        </is>
      </c>
      <c r="T247" s="32" t="n">
        <v>26.25</v>
      </c>
      <c r="U247" s="32" t="n">
        <v>4.45</v>
      </c>
      <c r="V247" s="32" t="n">
        <v>-17.26</v>
      </c>
      <c r="W247" s="32" t="n">
        <v>4.79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Annuity, Lower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IF(B248=0,"",RANK(B248,$B$2:$B$346,0))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MEDANTA</t>
        </is>
      </c>
      <c r="D248" s="33" t="inlineStr">
        <is>
          <t>Global Health Ltd</t>
        </is>
      </c>
      <c r="E248" s="31" t="inlineStr">
        <is>
          <t>healthcare</t>
        </is>
      </c>
      <c r="F248" s="31" t="inlineStr">
        <is>
          <t>healthcare</t>
        </is>
      </c>
      <c r="G248" s="31" t="inlineStr">
        <is>
          <t>largecap</t>
        </is>
      </c>
      <c r="H248" s="32" t="n">
        <v>40002.74</v>
      </c>
      <c r="I248" s="32" t="n">
        <v>1496.1</v>
      </c>
      <c r="J248" s="32" t="n">
        <v>0.5600000000000001</v>
      </c>
      <c r="K248" s="32" t="n">
        <v>78256</v>
      </c>
      <c r="L248" s="31" t="n">
        <v>23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69.06</v>
      </c>
      <c r="P248" s="32" t="n">
        <v>39.06</v>
      </c>
      <c r="Q248" s="32" t="n">
        <v>1243.64</v>
      </c>
      <c r="R248" s="31" t="inlineStr">
        <is>
          <t>Near 52W High Breakout</t>
        </is>
      </c>
      <c r="S248" s="31" t="inlineStr">
        <is>
          <t>Nifty Pharma</t>
        </is>
      </c>
      <c r="T248" s="32" t="n">
        <v>26.25</v>
      </c>
      <c r="U248" s="32" t="n">
        <v>15.15</v>
      </c>
      <c r="V248" s="32" t="n">
        <v>-8.789999999999999</v>
      </c>
      <c r="W248" s="32" t="n">
        <v>7.11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Blue sky scenario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IF(B249=0,"",RANK(B249,$B$2:$B$346,0))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APLLTD</t>
        </is>
      </c>
      <c r="D249" s="33" t="inlineStr">
        <is>
          <t>Alembic Pharmaceuticals Limited</t>
        </is>
      </c>
      <c r="E249" s="31" t="inlineStr">
        <is>
          <t>healthcare</t>
        </is>
      </c>
      <c r="F249" s="31" t="inlineStr">
        <is>
          <t>pharmaceuticals - indian - bulk drugs &amp; formln</t>
        </is>
      </c>
      <c r="G249" s="31" t="inlineStr">
        <is>
          <t>midcap</t>
        </is>
      </c>
      <c r="H249" s="32" t="n">
        <v>16514.25</v>
      </c>
      <c r="I249" s="32" t="n">
        <v>844.4</v>
      </c>
      <c r="J249" s="32" t="n">
        <v>0.51</v>
      </c>
      <c r="K249" s="32" t="n">
        <v>146755</v>
      </c>
      <c r="L249" s="31" t="n">
        <v>4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60.94</v>
      </c>
      <c r="P249" s="32" t="n">
        <v>21.84</v>
      </c>
      <c r="Q249" s="32" t="n">
        <v>702.13</v>
      </c>
      <c r="R249" s="31" t="inlineStr">
        <is>
          <t>Earnings / Momentum Support</t>
        </is>
      </c>
      <c r="S249" s="31" t="inlineStr">
        <is>
          <t>Nifty Pharma</t>
        </is>
      </c>
      <c r="T249" s="32" t="n">
        <v>26.25</v>
      </c>
      <c r="U249" s="32" t="n">
        <v>-5.82</v>
      </c>
      <c r="V249" s="32" t="n">
        <v>-25.4</v>
      </c>
      <c r="W249" s="32" t="n">
        <v>1.88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Yes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Between 12 to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Between 1.5 to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IF(B250=0,"",RANK(B250,$B$2:$B$346,0))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MUKANDLTD</t>
        </is>
      </c>
      <c r="D250" s="31" t="inlineStr">
        <is>
          <t>Mukand Limited</t>
        </is>
      </c>
      <c r="E250" s="31" t="inlineStr">
        <is>
          <t>metals &amp; mining</t>
        </is>
      </c>
      <c r="F250" s="31" t="inlineStr">
        <is>
          <t>steel - medium / small</t>
        </is>
      </c>
      <c r="G250" s="31" t="inlineStr">
        <is>
          <t>smallcap</t>
        </is>
      </c>
      <c r="H250" s="32" t="n">
        <v>2043.31</v>
      </c>
      <c r="I250" s="32" t="n">
        <v>157.11</v>
      </c>
      <c r="J250" s="32" t="n">
        <v>11.1</v>
      </c>
      <c r="K250" s="32" t="n">
        <v>2525436</v>
      </c>
      <c r="L250" s="31" t="inlineStr"/>
      <c r="M250" s="31" t="inlineStr"/>
      <c r="N250" s="32">
        <f>IF(M250="Underperforming",-5,IF(L250&gt;=95,15,IF(L250&gt;=90,10,IF(L250&gt;=80,5,0))))</f>
        <v/>
      </c>
      <c r="O250" s="32" t="n">
        <v>65.41</v>
      </c>
      <c r="P250" s="32" t="n">
        <v>37.34</v>
      </c>
      <c r="Q250" s="32" t="n">
        <v>124.43</v>
      </c>
      <c r="R250" s="31" t="inlineStr">
        <is>
          <t>Volume Spike &amp; Near 52W High Breakout</t>
        </is>
      </c>
      <c r="S250" s="31" t="inlineStr">
        <is>
          <t>Nifty Metal</t>
        </is>
      </c>
      <c r="T250" s="32" t="inlineStr"/>
      <c r="U250" s="32" t="inlineStr"/>
      <c r="V250" s="32" t="inlineStr"/>
      <c r="W250" s="32" t="inlineStr"/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Cyclical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IF(B251=0,"",RANK(B251,$B$2:$B$346,0))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OMAXE</t>
        </is>
      </c>
      <c r="D251" s="31" t="inlineStr">
        <is>
          <t>Omaxe Limited</t>
        </is>
      </c>
      <c r="E251" s="31" t="inlineStr">
        <is>
          <t>realty</t>
        </is>
      </c>
      <c r="F251" s="31" t="inlineStr">
        <is>
          <t>construction</t>
        </is>
      </c>
      <c r="G251" s="31" t="inlineStr">
        <is>
          <t>smallcap</t>
        </is>
      </c>
      <c r="H251" s="32" t="n">
        <v>2130.79</v>
      </c>
      <c r="I251" s="32" t="n">
        <v>123.13</v>
      </c>
      <c r="J251" s="32" t="n">
        <v>5.69</v>
      </c>
      <c r="K251" s="32" t="n">
        <v>873922</v>
      </c>
      <c r="L251" s="31" t="inlineStr"/>
      <c r="M251" s="31" t="inlineStr"/>
      <c r="N251" s="32">
        <f>IF(M251="Underperforming",-5,IF(L251&gt;=95,15,IF(L251&gt;=90,10,IF(L251&gt;=80,5,0))))</f>
        <v/>
      </c>
      <c r="O251" s="32" t="n">
        <v>66.47</v>
      </c>
      <c r="P251" s="32" t="n">
        <v>47.51</v>
      </c>
      <c r="Q251" s="32" t="n">
        <v>97</v>
      </c>
      <c r="R251" s="31" t="inlineStr">
        <is>
          <t>Earnings / Momentum Support</t>
        </is>
      </c>
      <c r="S251" s="31" t="inlineStr">
        <is>
          <t>Nifty Realty</t>
        </is>
      </c>
      <c r="T251" s="32" t="inlineStr"/>
      <c r="U251" s="32" t="inlineStr"/>
      <c r="V251" s="32" t="inlineStr"/>
      <c r="W251" s="32" t="inlineStr"/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IF(B252=0,"",RANK(B252,$B$2:$B$346,0))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UFLEX</t>
        </is>
      </c>
      <c r="D252" s="31" t="inlineStr">
        <is>
          <t>Uflex Limited</t>
        </is>
      </c>
      <c r="E252" s="31" t="inlineStr">
        <is>
          <t>industrials</t>
        </is>
      </c>
      <c r="F252" s="31" t="inlineStr">
        <is>
          <t>packaging</t>
        </is>
      </c>
      <c r="G252" s="31" t="inlineStr">
        <is>
          <t>smallcap</t>
        </is>
      </c>
      <c r="H252" s="32" t="n">
        <v>4680.39</v>
      </c>
      <c r="I252" s="32" t="n">
        <v>670.45</v>
      </c>
      <c r="J252" s="32" t="n">
        <v>3.44</v>
      </c>
      <c r="K252" s="32" t="n">
        <v>150879</v>
      </c>
      <c r="L252" s="31" t="n">
        <v>61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75.84</v>
      </c>
      <c r="P252" s="32" t="n">
        <v>37.83</v>
      </c>
      <c r="Q252" s="32" t="n">
        <v>530.73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-4.9</v>
      </c>
      <c r="U252" s="32" t="n">
        <v>24.69</v>
      </c>
      <c r="V252" s="32" t="n">
        <v>31.11</v>
      </c>
      <c r="W252" s="32" t="n">
        <v>19.5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IF(B253=0,"",RANK(B253,$B$2:$B$346,0))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INDOAMIN</t>
        </is>
      </c>
      <c r="D253" s="31" t="inlineStr">
        <is>
          <t>Indo Amines Ltd</t>
        </is>
      </c>
      <c r="E253" s="31" t="inlineStr">
        <is>
          <t>chemicals</t>
        </is>
      </c>
      <c r="F253" s="31" t="inlineStr">
        <is>
          <t>chemicals</t>
        </is>
      </c>
      <c r="G253" s="31" t="inlineStr">
        <is>
          <t>smallcap</t>
        </is>
      </c>
      <c r="H253" s="32" t="n">
        <v>978.48</v>
      </c>
      <c r="I253" s="32" t="n">
        <v>137.07</v>
      </c>
      <c r="J253" s="32" t="n">
        <v>1.68</v>
      </c>
      <c r="K253" s="32" t="n">
        <v>69250</v>
      </c>
      <c r="L253" s="31" t="n">
        <v>9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59.61</v>
      </c>
      <c r="P253" s="32" t="n">
        <v>23.56</v>
      </c>
      <c r="Q253" s="32" t="n">
        <v>104.13</v>
      </c>
      <c r="R253" s="31" t="inlineStr">
        <is>
          <t>Near 52W High Breakout</t>
        </is>
      </c>
      <c r="S253" s="31" t="inlineStr">
        <is>
          <t>Nifty 50</t>
        </is>
      </c>
      <c r="T253" s="32" t="n">
        <v>-4.9</v>
      </c>
      <c r="U253" s="32" t="n">
        <v>0.7</v>
      </c>
      <c r="V253" s="32" t="n">
        <v>5.89</v>
      </c>
      <c r="W253" s="32" t="n">
        <v>3.19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IF(B254=0,"",RANK(B254,$B$2:$B$346,0))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SEAMECLTD</t>
        </is>
      </c>
      <c r="D254" s="31" t="inlineStr">
        <is>
          <t>Seamec Limited</t>
        </is>
      </c>
      <c r="E254" s="31" t="inlineStr">
        <is>
          <t>miscellaneous</t>
        </is>
      </c>
      <c r="F254" s="31" t="inlineStr">
        <is>
          <t>miscellaneous</t>
        </is>
      </c>
      <c r="G254" s="31" t="inlineStr">
        <is>
          <t>smallcap</t>
        </is>
      </c>
      <c r="H254" s="32" t="n">
        <v>4410.47</v>
      </c>
      <c r="I254" s="32" t="n">
        <v>1752.7</v>
      </c>
      <c r="J254" s="32" t="n">
        <v>1.04</v>
      </c>
      <c r="K254" s="32" t="n">
        <v>26431</v>
      </c>
      <c r="L254" s="31" t="n">
        <v>58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66.45999999999999</v>
      </c>
      <c r="P254" s="32" t="n">
        <v>18.42</v>
      </c>
      <c r="Q254" s="32" t="n">
        <v>1417.08</v>
      </c>
      <c r="R254" s="31" t="inlineStr">
        <is>
          <t>Near 52W High Breakout</t>
        </is>
      </c>
      <c r="S254" s="31" t="inlineStr">
        <is>
          <t>Nifty 50</t>
        </is>
      </c>
      <c r="T254" s="32" t="n">
        <v>-4.9</v>
      </c>
      <c r="U254" s="32" t="n">
        <v>94.09999999999999</v>
      </c>
      <c r="V254" s="32" t="n">
        <v>104.1</v>
      </c>
      <c r="W254" s="32" t="n">
        <v>18.26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IF(B255=0,"",RANK(B255,$B$2:$B$346,0))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INDHOTEL</t>
        </is>
      </c>
      <c r="D255" s="31" t="inlineStr">
        <is>
          <t>The Indian Hotels Company Limited</t>
        </is>
      </c>
      <c r="E255" s="31" t="inlineStr">
        <is>
          <t>services</t>
        </is>
      </c>
      <c r="F255" s="31" t="inlineStr">
        <is>
          <t>hotels</t>
        </is>
      </c>
      <c r="G255" s="31" t="inlineStr">
        <is>
          <t>largecap</t>
        </is>
      </c>
      <c r="H255" s="32" t="n">
        <v>104800.2</v>
      </c>
      <c r="I255" s="32" t="n">
        <v>743.7</v>
      </c>
      <c r="J255" s="32" t="n">
        <v>1.01</v>
      </c>
      <c r="K255" s="32" t="n">
        <v>1295095</v>
      </c>
      <c r="L255" s="31" t="n">
        <v>7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59.7</v>
      </c>
      <c r="P255" s="32" t="n">
        <v>12.8</v>
      </c>
      <c r="Q255" s="32" t="n">
        <v>656.59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-4.9</v>
      </c>
      <c r="U255" s="32" t="n">
        <v>5.24</v>
      </c>
      <c r="V255" s="32" t="n">
        <v>10.66</v>
      </c>
      <c r="W255" s="32" t="n">
        <v>2.6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IF(B256=0,"",RANK(B256,$B$2:$B$346,0))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MAHSEAMLES</t>
        </is>
      </c>
      <c r="D256" s="31" t="inlineStr">
        <is>
          <t>Maharashtra Seamless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midcap</t>
        </is>
      </c>
      <c r="H256" s="32" t="n">
        <v>9344.440000000001</v>
      </c>
      <c r="I256" s="32" t="n">
        <v>702.75</v>
      </c>
      <c r="J256" s="32" t="n">
        <v>0.77</v>
      </c>
      <c r="K256" s="32" t="n">
        <v>439951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67.31999999999999</v>
      </c>
      <c r="P256" s="32" t="n">
        <v>24.87</v>
      </c>
      <c r="Q256" s="32" t="n">
        <v>607.42</v>
      </c>
      <c r="R256" s="31" t="inlineStr">
        <is>
          <t>Near 52W High Breakout</t>
        </is>
      </c>
      <c r="S256" s="31" t="inlineStr">
        <is>
          <t>Nifty Metal</t>
        </is>
      </c>
      <c r="T256" s="32" t="inlineStr"/>
      <c r="U256" s="32" t="inlineStr"/>
      <c r="V256" s="32" t="inlineStr"/>
      <c r="W256" s="32" t="inlineStr"/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Between 12 to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IF(B257=0,"",RANK(B257,$B$2:$B$346,0))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ADANIPORTS</t>
        </is>
      </c>
      <c r="D257" s="31" t="inlineStr">
        <is>
          <t>Adani Ports And Special Economic Zone Limited</t>
        </is>
      </c>
      <c r="E257" s="31" t="inlineStr">
        <is>
          <t>transportation</t>
        </is>
      </c>
      <c r="F257" s="31" t="inlineStr">
        <is>
          <t>miscellaneous</t>
        </is>
      </c>
      <c r="G257" s="31" t="inlineStr">
        <is>
          <t>largecap</t>
        </is>
      </c>
      <c r="H257" s="32" t="n">
        <v>413560.66</v>
      </c>
      <c r="I257" s="32" t="n">
        <v>1807.3</v>
      </c>
      <c r="J257" s="32" t="n">
        <v>0.6899999999999999</v>
      </c>
      <c r="K257" s="32" t="n">
        <v>1185484</v>
      </c>
      <c r="L257" s="31" t="n">
        <v>21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61.74</v>
      </c>
      <c r="P257" s="32" t="n">
        <v>15.26</v>
      </c>
      <c r="Q257" s="32" t="n">
        <v>1616.41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-4.9</v>
      </c>
      <c r="U257" s="32" t="n">
        <v>30.38</v>
      </c>
      <c r="V257" s="32" t="n">
        <v>37.1</v>
      </c>
      <c r="W257" s="32" t="n">
        <v>6.57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IF(B258=0,"",RANK(B258,$B$2:$B$346,0))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RATNAMANI</t>
        </is>
      </c>
      <c r="D258" s="31" t="inlineStr">
        <is>
          <t>Ratnamani Metals &amp; Tubes Limited</t>
        </is>
      </c>
      <c r="E258" s="31" t="inlineStr">
        <is>
          <t>industrials</t>
        </is>
      </c>
      <c r="F258" s="31" t="inlineStr">
        <is>
          <t>steel - medium / small</t>
        </is>
      </c>
      <c r="G258" s="31" t="inlineStr">
        <is>
          <t>midcap</t>
        </is>
      </c>
      <c r="H258" s="32" t="n">
        <v>19497.49</v>
      </c>
      <c r="I258" s="32" t="n">
        <v>2800.8</v>
      </c>
      <c r="J258" s="32" t="n">
        <v>0.6899999999999999</v>
      </c>
      <c r="K258" s="32" t="n">
        <v>28051</v>
      </c>
      <c r="L258" s="31" t="inlineStr"/>
      <c r="M258" s="31" t="inlineStr"/>
      <c r="N258" s="32">
        <f>IF(M258="Underperforming",-5,IF(L258&gt;=95,15,IF(L258&gt;=90,10,IF(L258&gt;=80,5,0))))</f>
        <v/>
      </c>
      <c r="O258" s="32" t="n">
        <v>58.89</v>
      </c>
      <c r="P258" s="32" t="n">
        <v>22.84</v>
      </c>
      <c r="Q258" s="32" t="n">
        <v>2187.62</v>
      </c>
      <c r="R258" s="31" t="inlineStr">
        <is>
          <t>Near 52W High Breakout</t>
        </is>
      </c>
      <c r="S258" s="31" t="inlineStr">
        <is>
          <t>Nifty Metal</t>
        </is>
      </c>
      <c r="T258" s="32" t="inlineStr"/>
      <c r="U258" s="32" t="inlineStr"/>
      <c r="V258" s="32" t="inlineStr"/>
      <c r="W258" s="32" t="inlineStr"/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IF(B259=0,"",RANK(B259,$B$2:$B$346,0))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TEGA</t>
        </is>
      </c>
      <c r="D259" s="31" t="inlineStr">
        <is>
          <t>Tega Industries Ltd</t>
        </is>
      </c>
      <c r="E259" s="31" t="inlineStr">
        <is>
          <t>industrials</t>
        </is>
      </c>
      <c r="F259" s="31" t="inlineStr">
        <is>
          <t>engineering</t>
        </is>
      </c>
      <c r="G259" s="31" t="inlineStr">
        <is>
          <t>midcap</t>
        </is>
      </c>
      <c r="H259" s="32" t="n">
        <v>15543.92</v>
      </c>
      <c r="I259" s="32" t="n">
        <v>2078.8</v>
      </c>
      <c r="J259" s="32" t="n">
        <v>0.47</v>
      </c>
      <c r="K259" s="32" t="n">
        <v>671454</v>
      </c>
      <c r="L259" s="31" t="n">
        <v>17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64.98999999999999</v>
      </c>
      <c r="P259" s="32" t="n">
        <v>12.58</v>
      </c>
      <c r="Q259" s="32" t="n">
        <v>1590.58</v>
      </c>
      <c r="R259" s="31" t="inlineStr">
        <is>
          <t>Volume Spike &amp; Near 52W High Breakout</t>
        </is>
      </c>
      <c r="S259" s="31" t="inlineStr">
        <is>
          <t>Nifty 50</t>
        </is>
      </c>
      <c r="T259" s="32" t="n">
        <v>-4.9</v>
      </c>
      <c r="U259" s="32" t="n">
        <v>7.16</v>
      </c>
      <c r="V259" s="32" t="n">
        <v>12.68</v>
      </c>
      <c r="W259" s="32" t="n">
        <v>5.98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IF(B260=0,"",RANK(B260,$B$2:$B$346,0))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SESHAPAPER</t>
        </is>
      </c>
      <c r="D260" s="31" t="inlineStr">
        <is>
          <t>Seshasayee Paper And Boards Limited</t>
        </is>
      </c>
      <c r="E260" s="31" t="inlineStr">
        <is>
          <t>building materials</t>
        </is>
      </c>
      <c r="F260" s="31" t="inlineStr">
        <is>
          <t>paper</t>
        </is>
      </c>
      <c r="G260" s="31" t="inlineStr">
        <is>
          <t>smallcap</t>
        </is>
      </c>
      <c r="H260" s="32" t="n">
        <v>1557.4</v>
      </c>
      <c r="I260" s="32" t="n">
        <v>247.95</v>
      </c>
      <c r="J260" s="32" t="n">
        <v>0.41</v>
      </c>
      <c r="K260" s="32" t="n">
        <v>20258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54.94</v>
      </c>
      <c r="P260" s="32" t="n">
        <v>20.08</v>
      </c>
      <c r="Q260" s="32" t="n">
        <v>201.86</v>
      </c>
      <c r="R260" s="31" t="inlineStr">
        <is>
          <t>Earnings / Momentum Support</t>
        </is>
      </c>
      <c r="S260" s="31" t="inlineStr">
        <is>
          <t>Nifty Infra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IF(B261=0,"",RANK(B261,$B$2:$B$346,0))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YUKEN</t>
        </is>
      </c>
      <c r="D261" s="31" t="inlineStr">
        <is>
          <t>Yuken India Ltd</t>
        </is>
      </c>
      <c r="E261" s="31" t="inlineStr">
        <is>
          <t>industrials</t>
        </is>
      </c>
      <c r="F261" s="31" t="inlineStr">
        <is>
          <t>engineering</t>
        </is>
      </c>
      <c r="G261" s="31" t="inlineStr">
        <is>
          <t>smallcap</t>
        </is>
      </c>
      <c r="H261" s="32" t="n">
        <v>1545.79</v>
      </c>
      <c r="I261" s="32" t="n">
        <v>1138.9</v>
      </c>
      <c r="J261" s="32" t="n">
        <v>0.08</v>
      </c>
      <c r="K261" s="32" t="n">
        <v>11505</v>
      </c>
      <c r="L261" s="31" t="n">
        <v>55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77.8</v>
      </c>
      <c r="P261" s="32" t="n">
        <v>31.38</v>
      </c>
      <c r="Q261" s="32" t="n">
        <v>895.89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-4.9</v>
      </c>
      <c r="U261" s="32" t="n">
        <v>17.46</v>
      </c>
      <c r="V261" s="32" t="n">
        <v>23.51</v>
      </c>
      <c r="W261" s="32" t="n">
        <v>17.32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Above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IF(B262=0,"",RANK(B262,$B$2:$B$346,0))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BEML</t>
        </is>
      </c>
      <c r="D262" s="31" t="inlineStr">
        <is>
          <t>Beml Limited</t>
        </is>
      </c>
      <c r="E262" s="31" t="inlineStr">
        <is>
          <t>aerospace &amp; defence</t>
        </is>
      </c>
      <c r="F262" s="31" t="inlineStr">
        <is>
          <t>engineering</t>
        </is>
      </c>
      <c r="G262" s="31" t="inlineStr">
        <is>
          <t>midcap</t>
        </is>
      </c>
      <c r="H262" s="32" t="n">
        <v>17464.04</v>
      </c>
      <c r="I262" s="32" t="n">
        <v>2095.4</v>
      </c>
      <c r="J262" s="32" t="n">
        <v>-0.07000000000000001</v>
      </c>
      <c r="K262" s="32" t="n">
        <v>204095</v>
      </c>
      <c r="L262" s="31" t="n">
        <v>17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64.55</v>
      </c>
      <c r="P262" s="32" t="n">
        <v>18.97</v>
      </c>
      <c r="Q262" s="32" t="n">
        <v>1670.74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-4.9</v>
      </c>
      <c r="U262" s="32" t="n">
        <v>0.47</v>
      </c>
      <c r="V262" s="32" t="n">
        <v>5.64</v>
      </c>
      <c r="W262" s="32" t="n">
        <v>5.76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IF(B263=0,"",RANK(B263,$B$2:$B$346,0))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DOLPHIN</t>
        </is>
      </c>
      <c r="D263" s="31" t="inlineStr">
        <is>
          <t>Dolphin Offshore Enterprises (India) Ltd</t>
        </is>
      </c>
      <c r="E263" s="31" t="inlineStr">
        <is>
          <t>energy</t>
        </is>
      </c>
      <c r="F263" s="31" t="inlineStr">
        <is>
          <t>oil drilling / allied services</t>
        </is>
      </c>
      <c r="G263" s="31" t="inlineStr">
        <is>
          <t>smallcap</t>
        </is>
      </c>
      <c r="H263" s="32" t="n">
        <v>2897.53</v>
      </c>
      <c r="I263" s="32" t="n">
        <v>723.55</v>
      </c>
      <c r="J263" s="32" t="n">
        <v>-0.1</v>
      </c>
      <c r="K263" s="32" t="n">
        <v>105950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78.59</v>
      </c>
      <c r="P263" s="32" t="n">
        <v>42.14</v>
      </c>
      <c r="Q263" s="32" t="n">
        <v>527.48</v>
      </c>
      <c r="R263" s="31" t="inlineStr">
        <is>
          <t>Near 52W High Breakout</t>
        </is>
      </c>
      <c r="S263" s="31" t="inlineStr">
        <is>
          <t>Nifty Energy</t>
        </is>
      </c>
      <c r="T263" s="32" t="inlineStr"/>
      <c r="U263" s="32" t="inlineStr"/>
      <c r="V263" s="32" t="inlineStr"/>
      <c r="W263" s="32" t="inlineStr"/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Oligopoly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IF(B264=0,"",RANK(B264,$B$2:$B$346,0))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GOODLUCK</t>
        </is>
      </c>
      <c r="D264" s="31" t="inlineStr">
        <is>
          <t>Goodluck India Limited</t>
        </is>
      </c>
      <c r="E264" s="31" t="inlineStr">
        <is>
          <t>metals &amp; mining</t>
        </is>
      </c>
      <c r="F264" s="31" t="inlineStr">
        <is>
          <t>steel - medium / small</t>
        </is>
      </c>
      <c r="G264" s="31" t="inlineStr">
        <is>
          <t>midcap</t>
        </is>
      </c>
      <c r="H264" s="32" t="n">
        <v>5365.19</v>
      </c>
      <c r="I264" s="32" t="n">
        <v>537.1</v>
      </c>
      <c r="J264" s="32" t="n">
        <v>-0.18</v>
      </c>
      <c r="K264" s="32" t="n">
        <v>928120</v>
      </c>
      <c r="L264" s="31" t="inlineStr"/>
      <c r="M264" s="31" t="inlineStr"/>
      <c r="N264" s="32">
        <f>IF(M264="Underperforming",-5,IF(L264&gt;=95,15,IF(L264&gt;=90,10,IF(L264&gt;=80,5,0))))</f>
        <v/>
      </c>
      <c r="O264" s="32" t="n">
        <v>61.66</v>
      </c>
      <c r="P264" s="32" t="n">
        <v>35.37</v>
      </c>
      <c r="Q264" s="32" t="n">
        <v>394.58</v>
      </c>
      <c r="R264" s="31" t="inlineStr">
        <is>
          <t>Near 52W High Breakout</t>
        </is>
      </c>
      <c r="S264" s="31" t="inlineStr">
        <is>
          <t>Nifty Metal</t>
        </is>
      </c>
      <c r="T264" s="32" t="inlineStr"/>
      <c r="U264" s="32" t="inlineStr"/>
      <c r="V264" s="32" t="inlineStr"/>
      <c r="W264" s="32" t="inlineStr"/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Volatile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Blue sky scenario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IF(B265=0,"",RANK(B265,$B$2:$B$346,0))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ANDHRAPAP</t>
        </is>
      </c>
      <c r="D265" s="31" t="inlineStr">
        <is>
          <t>Andhra Paper Ltd</t>
        </is>
      </c>
      <c r="E265" s="31" t="inlineStr">
        <is>
          <t>building materials</t>
        </is>
      </c>
      <c r="F265" s="31" t="inlineStr">
        <is>
          <t>paper</t>
        </is>
      </c>
      <c r="G265" s="31" t="inlineStr">
        <is>
          <t>smallcap</t>
        </is>
      </c>
      <c r="H265" s="32" t="n">
        <v>1420.39</v>
      </c>
      <c r="I265" s="32" t="n">
        <v>71.19</v>
      </c>
      <c r="J265" s="32" t="n">
        <v>-0.34</v>
      </c>
      <c r="K265" s="32" t="n">
        <v>286782</v>
      </c>
      <c r="L265" s="31" t="inlineStr"/>
      <c r="M265" s="31" t="inlineStr"/>
      <c r="N265" s="32">
        <f>IF(M265="Underperforming",-5,IF(L265&gt;=95,15,IF(L265&gt;=90,10,IF(L265&gt;=80,5,0))))</f>
        <v/>
      </c>
      <c r="O265" s="32" t="n">
        <v>62.11</v>
      </c>
      <c r="P265" s="32" t="n">
        <v>19.69</v>
      </c>
      <c r="Q265" s="32" t="n">
        <v>59.86</v>
      </c>
      <c r="R265" s="31" t="inlineStr">
        <is>
          <t>Earnings / Momentum Support</t>
        </is>
      </c>
      <c r="S265" s="31" t="inlineStr">
        <is>
          <t>Nifty Infra</t>
        </is>
      </c>
      <c r="T265" s="32" t="inlineStr"/>
      <c r="U265" s="32" t="inlineStr"/>
      <c r="V265" s="32" t="inlineStr"/>
      <c r="W265" s="32" t="inlineStr"/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IF(B266=0,"",RANK(B266,$B$2:$B$346,0))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GRAPHITE</t>
        </is>
      </c>
      <c r="D266" s="31" t="inlineStr">
        <is>
          <t>Graphite India Limited</t>
        </is>
      </c>
      <c r="E266" s="31" t="inlineStr">
        <is>
          <t>industrials</t>
        </is>
      </c>
      <c r="F266" s="31" t="inlineStr">
        <is>
          <t>electrodes - graphites</t>
        </is>
      </c>
      <c r="G266" s="31" t="inlineStr">
        <is>
          <t>midcap</t>
        </is>
      </c>
      <c r="H266" s="32" t="n">
        <v>16172.21</v>
      </c>
      <c r="I266" s="32" t="n">
        <v>821</v>
      </c>
      <c r="J266" s="32" t="n">
        <v>-0.82</v>
      </c>
      <c r="K266" s="32" t="n">
        <v>2358335</v>
      </c>
      <c r="L266" s="31" t="n">
        <v>54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67.13</v>
      </c>
      <c r="P266" s="32" t="n">
        <v>18.94</v>
      </c>
      <c r="Q266" s="32" t="n">
        <v>640.88</v>
      </c>
      <c r="R266" s="31" t="inlineStr">
        <is>
          <t>Near 52W High Breakout</t>
        </is>
      </c>
      <c r="S266" s="31" t="inlineStr">
        <is>
          <t>Nifty 50</t>
        </is>
      </c>
      <c r="T266" s="32" t="n">
        <v>-4.9</v>
      </c>
      <c r="U266" s="32" t="n">
        <v>49.94</v>
      </c>
      <c r="V266" s="32" t="n">
        <v>57.67</v>
      </c>
      <c r="W266" s="32" t="n">
        <v>16.76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IF(B267=0,"",RANK(B267,$B$2:$B$346,0))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SBC</t>
        </is>
      </c>
      <c r="D267" s="31" t="inlineStr">
        <is>
          <t>SBC Exports Ltd</t>
        </is>
      </c>
      <c r="E267" s="31" t="inlineStr">
        <is>
          <t>textiles</t>
        </is>
      </c>
      <c r="F267" s="31" t="inlineStr">
        <is>
          <t>textiles - products</t>
        </is>
      </c>
      <c r="G267" s="31" t="inlineStr">
        <is>
          <t>smallcap</t>
        </is>
      </c>
      <c r="H267" s="32" t="n">
        <v>2344.28</v>
      </c>
      <c r="I267" s="32" t="n">
        <v>48.78</v>
      </c>
      <c r="J267" s="32" t="n">
        <v>-0.91</v>
      </c>
      <c r="K267" s="32" t="n">
        <v>9405721</v>
      </c>
      <c r="L267" s="31" t="n">
        <v>68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74.62</v>
      </c>
      <c r="P267" s="32" t="n">
        <v>31.49</v>
      </c>
      <c r="Q267" s="32" t="n">
        <v>40.54</v>
      </c>
      <c r="R267" s="31" t="inlineStr">
        <is>
          <t>Near 52W High Breakout</t>
        </is>
      </c>
      <c r="S267" s="31" t="inlineStr">
        <is>
          <t>Nifty 50</t>
        </is>
      </c>
      <c r="T267" s="32" t="n">
        <v>-4.9</v>
      </c>
      <c r="U267" s="32" t="n">
        <v>125.94</v>
      </c>
      <c r="V267" s="32" t="n">
        <v>137.58</v>
      </c>
      <c r="W267" s="32" t="n">
        <v>21.87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More than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IF(B268=0,"",RANK(B268,$B$2:$B$346,0))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WELENT</t>
        </is>
      </c>
      <c r="D268" s="31" t="inlineStr">
        <is>
          <t>Welspun Enterprises Limited</t>
        </is>
      </c>
      <c r="E268" s="31" t="inlineStr">
        <is>
          <t>realty</t>
        </is>
      </c>
      <c r="F268" s="31" t="inlineStr">
        <is>
          <t>construction</t>
        </is>
      </c>
      <c r="G268" s="31" t="inlineStr">
        <is>
          <t>midcap</t>
        </is>
      </c>
      <c r="H268" s="32" t="n">
        <v>10848.18</v>
      </c>
      <c r="I268" s="32" t="n">
        <v>774</v>
      </c>
      <c r="J268" s="32" t="n">
        <v>-1.24</v>
      </c>
      <c r="K268" s="32" t="n">
        <v>310123</v>
      </c>
      <c r="L268" s="31" t="inlineStr"/>
      <c r="M268" s="31" t="inlineStr"/>
      <c r="N268" s="32">
        <f>IF(M268="Underperforming",-5,IF(L268&gt;=95,15,IF(L268&gt;=90,10,IF(L268&gt;=80,5,0))))</f>
        <v/>
      </c>
      <c r="O268" s="32" t="n">
        <v>68.87</v>
      </c>
      <c r="P268" s="32" t="n">
        <v>34.59</v>
      </c>
      <c r="Q268" s="32" t="n">
        <v>646.63</v>
      </c>
      <c r="R268" s="31" t="inlineStr">
        <is>
          <t>Earnings / Momentum Support</t>
        </is>
      </c>
      <c r="S268" s="31" t="inlineStr">
        <is>
          <t>Nifty Realty</t>
        </is>
      </c>
      <c r="T268" s="32" t="inlineStr"/>
      <c r="U268" s="32" t="inlineStr"/>
      <c r="V268" s="32" t="inlineStr"/>
      <c r="W268" s="32" t="inlineStr"/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IF(B269=0,"",RANK(B269,$B$2:$B$346,0))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SHARDAMOTR</t>
        </is>
      </c>
      <c r="D269" s="31" t="inlineStr">
        <is>
          <t>Sharda Motor Industries Limited</t>
        </is>
      </c>
      <c r="E269" s="31" t="inlineStr">
        <is>
          <t>auto</t>
        </is>
      </c>
      <c r="F269" s="31" t="inlineStr">
        <is>
          <t>auto ancillaries</t>
        </is>
      </c>
      <c r="G269" s="31" t="inlineStr">
        <is>
          <t>midcap</t>
        </is>
      </c>
      <c r="H269" s="32" t="n">
        <v>5658.96</v>
      </c>
      <c r="I269" s="32" t="n">
        <v>971.85</v>
      </c>
      <c r="J269" s="32" t="n">
        <v>-1.41</v>
      </c>
      <c r="K269" s="32" t="n">
        <v>161127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60.85</v>
      </c>
      <c r="P269" s="32" t="n">
        <v>22.17</v>
      </c>
      <c r="Q269" s="32" t="n">
        <v>766.0599999999999</v>
      </c>
      <c r="R269" s="31" t="inlineStr">
        <is>
          <t>Earnings / Momentum Support</t>
        </is>
      </c>
      <c r="S269" s="31" t="inlineStr">
        <is>
          <t>Nifty Auto</t>
        </is>
      </c>
      <c r="T269" s="32" t="inlineStr"/>
      <c r="U269" s="32" t="inlineStr"/>
      <c r="V269" s="32" t="inlineStr"/>
      <c r="W269" s="32" t="inlineStr"/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IF(B270=0,"",RANK(B270,$B$2:$B$346,0))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TIPSMUSIC</t>
        </is>
      </c>
      <c r="D270" s="31" t="inlineStr">
        <is>
          <t>Tips Music Ltd</t>
        </is>
      </c>
      <c r="E270" s="31" t="inlineStr">
        <is>
          <t>media</t>
        </is>
      </c>
      <c r="F270" s="31" t="inlineStr">
        <is>
          <t>entertainment / electronic media software</t>
        </is>
      </c>
      <c r="G270" s="31" t="inlineStr">
        <is>
          <t>midcap</t>
        </is>
      </c>
      <c r="H270" s="32" t="n">
        <v>8459.889999999999</v>
      </c>
      <c r="I270" s="32" t="n">
        <v>670.5</v>
      </c>
      <c r="J270" s="32" t="n">
        <v>1.31</v>
      </c>
      <c r="K270" s="32" t="n">
        <v>326612</v>
      </c>
      <c r="L270" s="31" t="n">
        <v>14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55.7</v>
      </c>
      <c r="P270" s="32" t="n">
        <v>24.21</v>
      </c>
      <c r="Q270" s="32" t="n">
        <v>569.0700000000001</v>
      </c>
      <c r="R270" s="31" t="inlineStr">
        <is>
          <t>Earnings / Momentum Support</t>
        </is>
      </c>
      <c r="S270" s="31" t="inlineStr">
        <is>
          <t>Nifty IT</t>
        </is>
      </c>
      <c r="T270" s="32" t="n">
        <v>-15.93</v>
      </c>
      <c r="U270" s="32" t="n">
        <v>16.27</v>
      </c>
      <c r="V270" s="32" t="n">
        <v>38.3</v>
      </c>
      <c r="W270" s="32" t="n">
        <v>4.81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Annuity, Lower One Time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IF(B271=0,"",RANK(B271,$B$2:$B$346,0))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APLAPOLLO</t>
        </is>
      </c>
      <c r="D271" s="31" t="inlineStr">
        <is>
          <t>Apl Apollo Tubes Limited</t>
        </is>
      </c>
      <c r="E271" s="31" t="inlineStr">
        <is>
          <t>industrials</t>
        </is>
      </c>
      <c r="F271" s="31" t="inlineStr">
        <is>
          <t>steel - large</t>
        </is>
      </c>
      <c r="G271" s="31" t="inlineStr">
        <is>
          <t>largecap</t>
        </is>
      </c>
      <c r="H271" s="32" t="n">
        <v>60946.02</v>
      </c>
      <c r="I271" s="32" t="n">
        <v>2195</v>
      </c>
      <c r="J271" s="32" t="n">
        <v>0</v>
      </c>
      <c r="K271" s="32" t="n">
        <v>357496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61.01</v>
      </c>
      <c r="P271" s="32" t="n">
        <v>23.93</v>
      </c>
      <c r="Q271" s="32" t="n">
        <v>1894.57</v>
      </c>
      <c r="R271" s="31" t="inlineStr">
        <is>
          <t>Near 52W High Breakout</t>
        </is>
      </c>
      <c r="S271" s="31" t="inlineStr">
        <is>
          <t>Nifty Metal</t>
        </is>
      </c>
      <c r="T271" s="32" t="inlineStr"/>
      <c r="U271" s="32" t="inlineStr"/>
      <c r="V271" s="32" t="inlineStr"/>
      <c r="W271" s="32" t="inlineStr"/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Oligopoly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Cyclical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B2C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Fully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Above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Yes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Between 1.5 to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IF(B272=0,"",RANK(B272,$B$2:$B$346,0))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SOFTTECH</t>
        </is>
      </c>
      <c r="D272" s="31" t="inlineStr">
        <is>
          <t>Softtech Engineers Ltd</t>
        </is>
      </c>
      <c r="E272" s="31" t="inlineStr">
        <is>
          <t>i.t</t>
        </is>
      </c>
      <c r="F272" s="31" t="inlineStr">
        <is>
          <t>computers - software - medium / small</t>
        </is>
      </c>
      <c r="G272" s="31" t="inlineStr">
        <is>
          <t>smallcap</t>
        </is>
      </c>
      <c r="H272" s="32" t="n">
        <v>689.6799999999999</v>
      </c>
      <c r="I272" s="32" t="n">
        <v>491.85</v>
      </c>
      <c r="J272" s="32" t="n">
        <v>-1.28</v>
      </c>
      <c r="K272" s="32" t="n">
        <v>3096</v>
      </c>
      <c r="L272" s="31" t="n">
        <v>47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65.16</v>
      </c>
      <c r="P272" s="32" t="n">
        <v>29.51</v>
      </c>
      <c r="Q272" s="32" t="n">
        <v>415.23</v>
      </c>
      <c r="R272" s="31" t="inlineStr">
        <is>
          <t>Earnings / Momentum Support</t>
        </is>
      </c>
      <c r="S272" s="31" t="inlineStr">
        <is>
          <t>Nifty IT</t>
        </is>
      </c>
      <c r="T272" s="32" t="n">
        <v>-15.93</v>
      </c>
      <c r="U272" s="32" t="n">
        <v>32.74</v>
      </c>
      <c r="V272" s="32" t="n">
        <v>57.88</v>
      </c>
      <c r="W272" s="32" t="n">
        <v>14.03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IF(B273=0,"",RANK(B273,$B$2:$B$346,0))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PVRINOX</t>
        </is>
      </c>
      <c r="D273" s="31" t="inlineStr">
        <is>
          <t>PVR Inox Ltd</t>
        </is>
      </c>
      <c r="E273" s="31" t="inlineStr">
        <is>
          <t>media</t>
        </is>
      </c>
      <c r="F273" s="31" t="inlineStr">
        <is>
          <t>entertainment / electronic media software</t>
        </is>
      </c>
      <c r="G273" s="31" t="inlineStr">
        <is>
          <t>midcap</t>
        </is>
      </c>
      <c r="H273" s="32" t="n">
        <v>13107.73</v>
      </c>
      <c r="I273" s="32" t="n">
        <v>1317.5</v>
      </c>
      <c r="J273" s="32" t="n">
        <v>-1.3</v>
      </c>
      <c r="K273" s="32" t="n">
        <v>481134</v>
      </c>
      <c r="L273" s="31" t="n">
        <v>38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77.27</v>
      </c>
      <c r="P273" s="32" t="n">
        <v>30.51</v>
      </c>
      <c r="Q273" s="32" t="n">
        <v>1100.94</v>
      </c>
      <c r="R273" s="31" t="inlineStr">
        <is>
          <t>Near 52W High Breakout</t>
        </is>
      </c>
      <c r="S273" s="31" t="inlineStr">
        <is>
          <t>Nifty IT</t>
        </is>
      </c>
      <c r="T273" s="32" t="n">
        <v>-15.93</v>
      </c>
      <c r="U273" s="32" t="n">
        <v>18.85</v>
      </c>
      <c r="V273" s="32" t="n">
        <v>41.37</v>
      </c>
      <c r="W273" s="32" t="n">
        <v>11.26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Above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IF(B274=0,"",RANK(B274,$B$2:$B$346,0))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SANATHAN</t>
        </is>
      </c>
      <c r="D274" s="31" t="inlineStr">
        <is>
          <t>Sanathan Textiles Ltd</t>
        </is>
      </c>
      <c r="E274" s="31" t="inlineStr">
        <is>
          <t>textiles</t>
        </is>
      </c>
      <c r="F274" s="31" t="inlineStr">
        <is>
          <t>textiles - cotton/blended</t>
        </is>
      </c>
      <c r="G274" s="31" t="inlineStr">
        <is>
          <t>smallcap</t>
        </is>
      </c>
      <c r="H274" s="32" t="n">
        <v>3977.96</v>
      </c>
      <c r="I274" s="32" t="n">
        <v>506.35</v>
      </c>
      <c r="J274" s="32" t="n">
        <v>7.44</v>
      </c>
      <c r="K274" s="32" t="n">
        <v>484976</v>
      </c>
      <c r="L274" s="31" t="n">
        <v>10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66.51000000000001</v>
      </c>
      <c r="P274" s="32" t="n">
        <v>20.06</v>
      </c>
      <c r="Q274" s="32" t="n">
        <v>391.45</v>
      </c>
      <c r="R274" s="31" t="inlineStr">
        <is>
          <t>Near 52W High Breakout</t>
        </is>
      </c>
      <c r="S274" s="31" t="inlineStr">
        <is>
          <t>Nifty 50</t>
        </is>
      </c>
      <c r="T274" s="32" t="n">
        <v>-4.9</v>
      </c>
      <c r="U274" s="32" t="n">
        <v>1.27</v>
      </c>
      <c r="V274" s="32" t="n">
        <v>6.49</v>
      </c>
      <c r="W274" s="32" t="n">
        <v>3.8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IF(B275=0,"",RANK(B275,$B$2:$B$346,0))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LLOYDSENT</t>
        </is>
      </c>
      <c r="D275" s="31" t="inlineStr">
        <is>
          <t>Lloyds Enterprises Ltd</t>
        </is>
      </c>
      <c r="E275" s="31" t="inlineStr">
        <is>
          <t>services</t>
        </is>
      </c>
      <c r="F275" s="31" t="inlineStr">
        <is>
          <t>trading</t>
        </is>
      </c>
      <c r="G275" s="31" t="inlineStr">
        <is>
          <t>midcap</t>
        </is>
      </c>
      <c r="H275" s="32" t="n">
        <v>10748.45</v>
      </c>
      <c r="I275" s="32" t="n">
        <v>74.15000000000001</v>
      </c>
      <c r="J275" s="32" t="n">
        <v>5.31</v>
      </c>
      <c r="K275" s="32" t="n">
        <v>4441245</v>
      </c>
      <c r="L275" s="31" t="n">
        <v>27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53.71</v>
      </c>
      <c r="P275" s="32" t="n">
        <v>31.19</v>
      </c>
      <c r="Q275" s="32" t="n">
        <v>63.9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-4.9</v>
      </c>
      <c r="U275" s="32" t="n">
        <v>17.42</v>
      </c>
      <c r="V275" s="32" t="n">
        <v>23.47</v>
      </c>
      <c r="W275" s="32" t="n">
        <v>8.33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IF(B276=0,"",RANK(B276,$B$2:$B$346,0))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DYCL</t>
        </is>
      </c>
      <c r="D276" s="31" t="inlineStr">
        <is>
          <t>Dynamic Cables Ltd</t>
        </is>
      </c>
      <c r="E276" s="31" t="inlineStr">
        <is>
          <t>industrials</t>
        </is>
      </c>
      <c r="F276" s="31" t="inlineStr">
        <is>
          <t>cables - power</t>
        </is>
      </c>
      <c r="G276" s="31" t="inlineStr">
        <is>
          <t>smallcap</t>
        </is>
      </c>
      <c r="H276" s="32" t="n">
        <v>2198.81</v>
      </c>
      <c r="I276" s="32" t="n">
        <v>476.9</v>
      </c>
      <c r="J276" s="32" t="n">
        <v>5.1</v>
      </c>
      <c r="K276" s="32" t="n">
        <v>762315</v>
      </c>
      <c r="L276" s="31" t="inlineStr"/>
      <c r="M276" s="31" t="inlineStr"/>
      <c r="N276" s="32">
        <f>IF(M276="Underperforming",-5,IF(L276&gt;=95,15,IF(L276&gt;=90,10,IF(L276&gt;=80,5,0))))</f>
        <v/>
      </c>
      <c r="O276" s="32" t="n">
        <v>65.92</v>
      </c>
      <c r="P276" s="32" t="n">
        <v>37.9</v>
      </c>
      <c r="Q276" s="32" t="n">
        <v>346.7</v>
      </c>
      <c r="R276" s="31" t="inlineStr">
        <is>
          <t>Near 52W High Breakout</t>
        </is>
      </c>
      <c r="S276" s="31" t="inlineStr">
        <is>
          <t>Nifty Energy</t>
        </is>
      </c>
      <c r="T276" s="32" t="inlineStr"/>
      <c r="U276" s="32" t="inlineStr"/>
      <c r="V276" s="32" t="inlineStr"/>
      <c r="W276" s="32" t="inlineStr"/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IF(B277=0,"",RANK(B277,$B$2:$B$346,0))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TEXRAIL</t>
        </is>
      </c>
      <c r="D277" s="33" t="inlineStr">
        <is>
          <t>Texmaco Rail &amp; Engineering Limited</t>
        </is>
      </c>
      <c r="E277" s="31" t="inlineStr">
        <is>
          <t>industrials</t>
        </is>
      </c>
      <c r="F277" s="31" t="inlineStr">
        <is>
          <t>engineering</t>
        </is>
      </c>
      <c r="G277" s="31" t="inlineStr">
        <is>
          <t>smallcap</t>
        </is>
      </c>
      <c r="H277" s="32" t="n">
        <v>4849.83</v>
      </c>
      <c r="I277" s="32" t="n">
        <v>124.75</v>
      </c>
      <c r="J277" s="32" t="n">
        <v>4.66</v>
      </c>
      <c r="K277" s="32" t="n">
        <v>6899587</v>
      </c>
      <c r="L277" s="31" t="n">
        <v>11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61.71</v>
      </c>
      <c r="P277" s="32" t="n">
        <v>13.28</v>
      </c>
      <c r="Q277" s="32" t="n">
        <v>96.43000000000001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-4.9</v>
      </c>
      <c r="U277" s="32" t="n">
        <v>-9.460000000000001</v>
      </c>
      <c r="V277" s="32" t="n">
        <v>-4.8</v>
      </c>
      <c r="W277" s="32" t="n">
        <v>4.1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IF(B278=0,"",RANK(B278,$B$2:$B$346,0))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KSL</t>
        </is>
      </c>
      <c r="D278" s="31" t="inlineStr">
        <is>
          <t>Kalyani Steels Limited</t>
        </is>
      </c>
      <c r="E278" s="31" t="inlineStr">
        <is>
          <t>metals &amp; mining</t>
        </is>
      </c>
      <c r="F278" s="31" t="inlineStr">
        <is>
          <t>steel - medium / small</t>
        </is>
      </c>
      <c r="G278" s="31" t="inlineStr">
        <is>
          <t>smallcap</t>
        </is>
      </c>
      <c r="H278" s="32" t="n">
        <v>4186.98</v>
      </c>
      <c r="I278" s="32" t="n">
        <v>998.25</v>
      </c>
      <c r="J278" s="32" t="n">
        <v>4.08</v>
      </c>
      <c r="K278" s="32" t="n">
        <v>646949</v>
      </c>
      <c r="L278" s="31" t="inlineStr"/>
      <c r="M278" s="31" t="inlineStr"/>
      <c r="N278" s="32">
        <f>IF(M278="Underperforming",-5,IF(L278&gt;=95,15,IF(L278&gt;=90,10,IF(L278&gt;=80,5,0))))</f>
        <v/>
      </c>
      <c r="O278" s="32" t="n">
        <v>68.26000000000001</v>
      </c>
      <c r="P278" s="32" t="n">
        <v>30.2</v>
      </c>
      <c r="Q278" s="32" t="n">
        <v>779.09</v>
      </c>
      <c r="R278" s="31" t="inlineStr">
        <is>
          <t>Volume Spike &amp; Near 52W High Breakout</t>
        </is>
      </c>
      <c r="S278" s="31" t="inlineStr">
        <is>
          <t>Nifty Metal</t>
        </is>
      </c>
      <c r="T278" s="32" t="inlineStr"/>
      <c r="U278" s="32" t="inlineStr"/>
      <c r="V278" s="32" t="inlineStr"/>
      <c r="W278" s="32" t="inlineStr"/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IF(B279=0,"",RANK(B279,$B$2:$B$346,0))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DEEDEV</t>
        </is>
      </c>
      <c r="D279" s="31" t="inlineStr">
        <is>
          <t>DEE Development Engineers Ltd</t>
        </is>
      </c>
      <c r="E279" s="31" t="inlineStr">
        <is>
          <t>metals &amp; mining</t>
        </is>
      </c>
      <c r="F279" s="31" t="inlineStr">
        <is>
          <t>steel - medium / small</t>
        </is>
      </c>
      <c r="G279" s="31" t="inlineStr">
        <is>
          <t>midcap</t>
        </is>
      </c>
      <c r="H279" s="32" t="n">
        <v>5205.06</v>
      </c>
      <c r="I279" s="32" t="n">
        <v>711.15</v>
      </c>
      <c r="J279" s="32" t="n">
        <v>2.8</v>
      </c>
      <c r="K279" s="32" t="n">
        <v>250940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67.72</v>
      </c>
      <c r="P279" s="32" t="n">
        <v>40.76</v>
      </c>
      <c r="Q279" s="32" t="n">
        <v>510.51</v>
      </c>
      <c r="R279" s="31" t="inlineStr">
        <is>
          <t>Near 52W High Breakout</t>
        </is>
      </c>
      <c r="S279" s="31" t="inlineStr">
        <is>
          <t>Nifty Metal</t>
        </is>
      </c>
      <c r="T279" s="32" t="inlineStr"/>
      <c r="U279" s="32" t="inlineStr"/>
      <c r="V279" s="32" t="inlineStr"/>
      <c r="W279" s="32" t="inlineStr"/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IF(B280=0,"",RANK(B280,$B$2:$B$346,0))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SPLPETRO</t>
        </is>
      </c>
      <c r="D280" s="31" t="inlineStr">
        <is>
          <t>Supreme Petrochem Ltd</t>
        </is>
      </c>
      <c r="E280" s="31" t="inlineStr">
        <is>
          <t>energy</t>
        </is>
      </c>
      <c r="F280" s="31" t="inlineStr">
        <is>
          <t>petrochemicals</t>
        </is>
      </c>
      <c r="G280" s="31" t="inlineStr">
        <is>
          <t>midcap</t>
        </is>
      </c>
      <c r="H280" s="32" t="n">
        <v>16260.88</v>
      </c>
      <c r="I280" s="32" t="n">
        <v>882.2</v>
      </c>
      <c r="J280" s="32" t="n">
        <v>2.02</v>
      </c>
      <c r="K280" s="32" t="n">
        <v>387021</v>
      </c>
      <c r="L280" s="31" t="inlineStr"/>
      <c r="M280" s="31" t="inlineStr"/>
      <c r="N280" s="32">
        <f>IF(M280="Underperforming",-5,IF(L280&gt;=95,15,IF(L280&gt;=90,10,IF(L280&gt;=80,5,0))))</f>
        <v/>
      </c>
      <c r="O280" s="32" t="n">
        <v>68.04000000000001</v>
      </c>
      <c r="P280" s="32" t="n">
        <v>30.68</v>
      </c>
      <c r="Q280" s="32" t="n">
        <v>700.3099999999999</v>
      </c>
      <c r="R280" s="31" t="inlineStr">
        <is>
          <t>Near 52W High Breakout</t>
        </is>
      </c>
      <c r="S280" s="31" t="inlineStr">
        <is>
          <t>Nifty Energy</t>
        </is>
      </c>
      <c r="T280" s="32" t="inlineStr"/>
      <c r="U280" s="32" t="inlineStr"/>
      <c r="V280" s="32" t="inlineStr"/>
      <c r="W280" s="32" t="inlineStr"/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Blue sky scenario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IF(B281=0,"",RANK(B281,$B$2:$B$346,0))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MBAPL</t>
        </is>
      </c>
      <c r="D281" s="31" t="inlineStr">
        <is>
          <t>Madhya Bharat Agro Products Ltd</t>
        </is>
      </c>
      <c r="E281" s="31" t="inlineStr">
        <is>
          <t>chemicals</t>
        </is>
      </c>
      <c r="F281" s="31" t="inlineStr">
        <is>
          <t>fertilizers</t>
        </is>
      </c>
      <c r="G281" s="31" t="inlineStr">
        <is>
          <t>smallcap</t>
        </is>
      </c>
      <c r="H281" s="32" t="n">
        <v>1451.8</v>
      </c>
      <c r="I281" s="32" t="n">
        <v>167.51</v>
      </c>
      <c r="J281" s="32" t="n">
        <v>1.1</v>
      </c>
      <c r="K281" s="32" t="n">
        <v>806244</v>
      </c>
      <c r="L281" s="31" t="n">
        <v>74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75.34</v>
      </c>
      <c r="P281" s="32" t="n">
        <v>71.56</v>
      </c>
      <c r="Q281" s="32" t="n">
        <v>134.31</v>
      </c>
      <c r="R281" s="31" t="inlineStr">
        <is>
          <t>Near 52W High Breakout</t>
        </is>
      </c>
      <c r="S281" s="31" t="inlineStr">
        <is>
          <t>Nifty 50</t>
        </is>
      </c>
      <c r="T281" s="32" t="n">
        <v>-4.9</v>
      </c>
      <c r="U281" s="32" t="n">
        <v>105.11</v>
      </c>
      <c r="V281" s="32" t="n">
        <v>115.68</v>
      </c>
      <c r="W281" s="32" t="n">
        <v>25.67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Above 40</t>
        </is>
      </c>
      <c r="AY281" s="31">
        <f>IF(AX281="Above 40",20,IF(AX281="20 to 40",10,IF(AX281="0 to 20",-5,0)))</f>
        <v/>
      </c>
      <c r="AZ281" s="31" t="inlineStr">
        <is>
          <t>Above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Blue sky scenario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Between 12 to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More than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IF(B282=0,"",RANK(B282,$B$2:$B$346,0))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LGBBROSLTD</t>
        </is>
      </c>
      <c r="D282" s="31" t="inlineStr">
        <is>
          <t>Lg Balakrishnan &amp; Bros Limited</t>
        </is>
      </c>
      <c r="E282" s="31" t="inlineStr">
        <is>
          <t>auto</t>
        </is>
      </c>
      <c r="F282" s="31" t="inlineStr">
        <is>
          <t>bearings</t>
        </is>
      </c>
      <c r="G282" s="31" t="inlineStr">
        <is>
          <t>midcap</t>
        </is>
      </c>
      <c r="H282" s="32" t="n">
        <v>5518.03</v>
      </c>
      <c r="I282" s="32" t="n">
        <v>1734.5</v>
      </c>
      <c r="J282" s="32" t="n">
        <v>0.25</v>
      </c>
      <c r="K282" s="32" t="n">
        <v>14459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59.83</v>
      </c>
      <c r="P282" s="32" t="n">
        <v>12.5</v>
      </c>
      <c r="Q282" s="32" t="n">
        <v>1455.86</v>
      </c>
      <c r="R282" s="31" t="inlineStr">
        <is>
          <t>Earnings / Momentum Support</t>
        </is>
      </c>
      <c r="S282" s="31" t="inlineStr">
        <is>
          <t>Nifty Auto</t>
        </is>
      </c>
      <c r="T282" s="32" t="inlineStr"/>
      <c r="U282" s="32" t="inlineStr"/>
      <c r="V282" s="32" t="inlineStr"/>
      <c r="W282" s="32" t="inlineStr"/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IF(B283=0,"",RANK(B283,$B$2:$B$346,0))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PREMEXPLN</t>
        </is>
      </c>
      <c r="D283" s="31" t="inlineStr">
        <is>
          <t>Premier Explosives Limited</t>
        </is>
      </c>
      <c r="E283" s="31" t="inlineStr">
        <is>
          <t>aerospace &amp; defence</t>
        </is>
      </c>
      <c r="F283" s="31" t="inlineStr">
        <is>
          <t>chemicals</t>
        </is>
      </c>
      <c r="G283" s="31" t="inlineStr">
        <is>
          <t>smallcap</t>
        </is>
      </c>
      <c r="H283" s="32" t="n">
        <v>3624.85</v>
      </c>
      <c r="I283" s="32" t="n">
        <v>675.15</v>
      </c>
      <c r="J283" s="32" t="n">
        <v>0.13</v>
      </c>
      <c r="K283" s="32" t="n">
        <v>180909</v>
      </c>
      <c r="L283" s="31" t="n">
        <v>20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57.33</v>
      </c>
      <c r="P283" s="32" t="n">
        <v>33.08</v>
      </c>
      <c r="Q283" s="32" t="n">
        <v>641.7</v>
      </c>
      <c r="R283" s="31" t="inlineStr">
        <is>
          <t>Earnings / Momentum Support</t>
        </is>
      </c>
      <c r="S283" s="31" t="inlineStr">
        <is>
          <t>Nifty 50</t>
        </is>
      </c>
      <c r="T283" s="32" t="n">
        <v>-4.9</v>
      </c>
      <c r="U283" s="32" t="n">
        <v>14.76</v>
      </c>
      <c r="V283" s="32" t="n">
        <v>20.67</v>
      </c>
      <c r="W283" s="32" t="n">
        <v>6.27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IF(B284=0,"",RANK(B284,$B$2:$B$346,0))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IONEXCHANG</t>
        </is>
      </c>
      <c r="D284" s="31" t="inlineStr">
        <is>
          <t>Ion Exchange (India) Ltd</t>
        </is>
      </c>
      <c r="E284" s="31" t="inlineStr">
        <is>
          <t>realty</t>
        </is>
      </c>
      <c r="F284" s="31" t="inlineStr">
        <is>
          <t>engineering - turnkey services</t>
        </is>
      </c>
      <c r="G284" s="31" t="inlineStr">
        <is>
          <t>midcap</t>
        </is>
      </c>
      <c r="H284" s="32" t="n">
        <v>6303.73</v>
      </c>
      <c r="I284" s="32" t="n">
        <v>430.1</v>
      </c>
      <c r="J284" s="32" t="n">
        <v>0.07000000000000001</v>
      </c>
      <c r="K284" s="32" t="n">
        <v>117980</v>
      </c>
      <c r="L284" s="31" t="inlineStr"/>
      <c r="M284" s="31" t="inlineStr"/>
      <c r="N284" s="32">
        <f>IF(M284="Underperforming",-5,IF(L284&gt;=95,15,IF(L284&gt;=90,10,IF(L284&gt;=80,5,0))))</f>
        <v/>
      </c>
      <c r="O284" s="32" t="n">
        <v>56.6</v>
      </c>
      <c r="P284" s="32" t="n">
        <v>23.3</v>
      </c>
      <c r="Q284" s="32" t="n">
        <v>355.92</v>
      </c>
      <c r="R284" s="31" t="inlineStr">
        <is>
          <t>Earnings / Momentum Support</t>
        </is>
      </c>
      <c r="S284" s="31" t="inlineStr">
        <is>
          <t>Nifty Realty</t>
        </is>
      </c>
      <c r="T284" s="32" t="inlineStr"/>
      <c r="U284" s="32" t="inlineStr"/>
      <c r="V284" s="32" t="inlineStr"/>
      <c r="W284" s="32" t="inlineStr"/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IF(B285=0,"",RANK(B285,$B$2:$B$346,0))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PDSL</t>
        </is>
      </c>
      <c r="D285" s="31" t="inlineStr">
        <is>
          <t>PDS Ltd</t>
        </is>
      </c>
      <c r="E285" s="31" t="inlineStr">
        <is>
          <t>textiles</t>
        </is>
      </c>
      <c r="F285" s="31" t="inlineStr">
        <is>
          <t>trading</t>
        </is>
      </c>
      <c r="G285" s="31" t="inlineStr">
        <is>
          <t>midcap</t>
        </is>
      </c>
      <c r="H285" s="32" t="n">
        <v>5112.43</v>
      </c>
      <c r="I285" s="32" t="n">
        <v>361.4</v>
      </c>
      <c r="J285" s="32" t="n">
        <v>-0.01</v>
      </c>
      <c r="K285" s="32" t="n">
        <v>67691</v>
      </c>
      <c r="L285" s="31" t="n">
        <v>13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57.05</v>
      </c>
      <c r="P285" s="32" t="n">
        <v>45.61</v>
      </c>
      <c r="Q285" s="32" t="n">
        <v>283.64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-4.9</v>
      </c>
      <c r="U285" s="32" t="n">
        <v>12.51</v>
      </c>
      <c r="V285" s="32" t="n">
        <v>18.31</v>
      </c>
      <c r="W285" s="32" t="n">
        <v>4.72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Above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IF(B286=0,"",RANK(B286,$B$2:$B$346,0))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MANAKSTEEL</t>
        </is>
      </c>
      <c r="D286" s="31" t="inlineStr">
        <is>
          <t>Manaksia Steels Limited</t>
        </is>
      </c>
      <c r="E286" s="31" t="inlineStr">
        <is>
          <t>metals &amp; mining</t>
        </is>
      </c>
      <c r="F286" s="31" t="inlineStr">
        <is>
          <t>steel - medium / small</t>
        </is>
      </c>
      <c r="G286" s="31" t="inlineStr">
        <is>
          <t>smallcap</t>
        </is>
      </c>
      <c r="H286" s="32" t="n">
        <v>702.85</v>
      </c>
      <c r="I286" s="32" t="n">
        <v>106.62</v>
      </c>
      <c r="J286" s="32" t="n">
        <v>-0.59</v>
      </c>
      <c r="K286" s="32" t="n">
        <v>17828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68.53</v>
      </c>
      <c r="P286" s="32" t="n">
        <v>48.54</v>
      </c>
      <c r="Q286" s="32" t="n">
        <v>87.56999999999999</v>
      </c>
      <c r="R286" s="31" t="inlineStr">
        <is>
          <t>Earnings / Momentum Support</t>
        </is>
      </c>
      <c r="S286" s="31" t="inlineStr">
        <is>
          <t>Nifty Metal</t>
        </is>
      </c>
      <c r="T286" s="32" t="inlineStr"/>
      <c r="U286" s="32" t="inlineStr"/>
      <c r="V286" s="32" t="inlineStr"/>
      <c r="W286" s="32" t="inlineStr"/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Above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IF(B287=0,"",RANK(B287,$B$2:$B$346,0))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GMMPFAUDLR</t>
        </is>
      </c>
      <c r="D287" s="31" t="inlineStr">
        <is>
          <t>GMM Pfaudler Ltd</t>
        </is>
      </c>
      <c r="E287" s="31" t="inlineStr">
        <is>
          <t>industrials</t>
        </is>
      </c>
      <c r="F287" s="31" t="inlineStr">
        <is>
          <t>engineering</t>
        </is>
      </c>
      <c r="G287" s="31" t="inlineStr">
        <is>
          <t>midcap</t>
        </is>
      </c>
      <c r="H287" s="32" t="n">
        <v>6574.09</v>
      </c>
      <c r="I287" s="32" t="n">
        <v>1432.6</v>
      </c>
      <c r="J287" s="32" t="n">
        <v>-2.03</v>
      </c>
      <c r="K287" s="32" t="n">
        <v>245810</v>
      </c>
      <c r="L287" s="31" t="n">
        <v>76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77.91</v>
      </c>
      <c r="P287" s="32" t="n">
        <v>36.15</v>
      </c>
      <c r="Q287" s="32" t="n">
        <v>1186.23</v>
      </c>
      <c r="R287" s="31" t="inlineStr">
        <is>
          <t>Near 52W High Breakout</t>
        </is>
      </c>
      <c r="S287" s="31" t="inlineStr">
        <is>
          <t>Nifty 50</t>
        </is>
      </c>
      <c r="T287" s="32" t="n">
        <v>-4.9</v>
      </c>
      <c r="U287" s="32" t="n">
        <v>35.45</v>
      </c>
      <c r="V287" s="32" t="n">
        <v>42.43</v>
      </c>
      <c r="W287" s="32" t="n">
        <v>26.59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Above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IF(B288=0,"",RANK(B288,$B$2:$B$346,0))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APOLLOHOSP</t>
        </is>
      </c>
      <c r="D288" s="33" t="inlineStr">
        <is>
          <t>Apollo Hospitals Enterprise Limited</t>
        </is>
      </c>
      <c r="E288" s="31" t="inlineStr">
        <is>
          <t>healthcare</t>
        </is>
      </c>
      <c r="F288" s="31" t="inlineStr">
        <is>
          <t>healthcare</t>
        </is>
      </c>
      <c r="G288" s="31" t="inlineStr">
        <is>
          <t>largecap</t>
        </is>
      </c>
      <c r="H288" s="32" t="n">
        <v>127040.93</v>
      </c>
      <c r="I288" s="32" t="n">
        <v>9069</v>
      </c>
      <c r="J288" s="32" t="n">
        <v>2.64</v>
      </c>
      <c r="K288" s="32" t="n">
        <v>419571</v>
      </c>
      <c r="L288" s="31" t="n">
        <v>15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66.59999999999999</v>
      </c>
      <c r="P288" s="32" t="n">
        <v>29.91</v>
      </c>
      <c r="Q288" s="32" t="n">
        <v>8103.13</v>
      </c>
      <c r="R288" s="31" t="inlineStr">
        <is>
          <t>Near 52W High Breakout</t>
        </is>
      </c>
      <c r="S288" s="31" t="inlineStr">
        <is>
          <t>Nifty Pharma</t>
        </is>
      </c>
      <c r="T288" s="32" t="n">
        <v>26.25</v>
      </c>
      <c r="U288" s="32" t="n">
        <v>21.06</v>
      </c>
      <c r="V288" s="32" t="n">
        <v>-4.11</v>
      </c>
      <c r="W288" s="32" t="n">
        <v>5.22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B2C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Fully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Above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Yes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Between 1.5 to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IF(B289=0,"",RANK(B289,$B$2:$B$346,0))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AXISCADES</t>
        </is>
      </c>
      <c r="D289" s="31" t="inlineStr">
        <is>
          <t>AXISCADES Technologies Ltd</t>
        </is>
      </c>
      <c r="E289" s="31" t="inlineStr">
        <is>
          <t>aerospace &amp; defence</t>
        </is>
      </c>
      <c r="F289" s="31" t="inlineStr">
        <is>
          <t>computers - software - medium / small</t>
        </is>
      </c>
      <c r="G289" s="31" t="inlineStr">
        <is>
          <t>midcap</t>
        </is>
      </c>
      <c r="H289" s="32" t="n">
        <v>8043.04</v>
      </c>
      <c r="I289" s="32" t="n">
        <v>1940.2</v>
      </c>
      <c r="J289" s="32" t="n">
        <v>2.6</v>
      </c>
      <c r="K289" s="32" t="n">
        <v>291136</v>
      </c>
      <c r="L289" s="31" t="n">
        <v>24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61.64</v>
      </c>
      <c r="P289" s="32" t="n">
        <v>10.77</v>
      </c>
      <c r="Q289" s="32" t="n">
        <v>1401.51</v>
      </c>
      <c r="R289" s="31" t="inlineStr">
        <is>
          <t>Earnings / Momentum Support</t>
        </is>
      </c>
      <c r="S289" s="31" t="inlineStr">
        <is>
          <t>Nifty IT</t>
        </is>
      </c>
      <c r="T289" s="32" t="n">
        <v>-15.93</v>
      </c>
      <c r="U289" s="32" t="n">
        <v>18.28</v>
      </c>
      <c r="V289" s="32" t="n">
        <v>40.68</v>
      </c>
      <c r="W289" s="32" t="n">
        <v>7.27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IF(B290=0,"",RANK(B290,$B$2:$B$346,0))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AARTIDRUGS</t>
        </is>
      </c>
      <c r="D290" s="33" t="inlineStr">
        <is>
          <t>Aarti Drugs Limited</t>
        </is>
      </c>
      <c r="E290" s="31" t="inlineStr">
        <is>
          <t>healthcare</t>
        </is>
      </c>
      <c r="F290" s="31" t="inlineStr">
        <is>
          <t>pharmaceuticals - indian - bulk drugs</t>
        </is>
      </c>
      <c r="G290" s="31" t="inlineStr">
        <is>
          <t>smallcap</t>
        </is>
      </c>
      <c r="H290" s="32" t="n">
        <v>3885.82</v>
      </c>
      <c r="I290" s="32" t="n">
        <v>436.25</v>
      </c>
      <c r="J290" s="32" t="n">
        <v>2.47</v>
      </c>
      <c r="K290" s="32" t="n">
        <v>198653</v>
      </c>
      <c r="L290" s="31" t="n">
        <v>8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63.16</v>
      </c>
      <c r="P290" s="32" t="n">
        <v>31.91</v>
      </c>
      <c r="Q290" s="32" t="n">
        <v>358.2</v>
      </c>
      <c r="R290" s="31" t="inlineStr">
        <is>
          <t>Earnings / Momentum Support</t>
        </is>
      </c>
      <c r="S290" s="31" t="inlineStr">
        <is>
          <t>Nifty Pharma</t>
        </is>
      </c>
      <c r="T290" s="32" t="n">
        <v>26.25</v>
      </c>
      <c r="U290" s="32" t="n">
        <v>-6.67</v>
      </c>
      <c r="V290" s="32" t="n">
        <v>-26.08</v>
      </c>
      <c r="W290" s="32" t="n">
        <v>3.05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IF(B291=0,"",RANK(B291,$B$2:$B$346,0))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LALPATHLAB</t>
        </is>
      </c>
      <c r="D291" s="33" t="inlineStr">
        <is>
          <t>Dr. Lal Path Labs Ltd.</t>
        </is>
      </c>
      <c r="E291" s="31" t="inlineStr">
        <is>
          <t>healthcare</t>
        </is>
      </c>
      <c r="F291" s="31" t="inlineStr">
        <is>
          <t>healthcare</t>
        </is>
      </c>
      <c r="G291" s="31" t="inlineStr">
        <is>
          <t>largecap</t>
        </is>
      </c>
      <c r="H291" s="32" t="n">
        <v>32015.46</v>
      </c>
      <c r="I291" s="32" t="n">
        <v>1924.3</v>
      </c>
      <c r="J291" s="32" t="n">
        <v>0.76</v>
      </c>
      <c r="K291" s="32" t="n">
        <v>230347</v>
      </c>
      <c r="L291" s="31" t="n">
        <v>25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68.23</v>
      </c>
      <c r="P291" s="32" t="n">
        <v>46.53</v>
      </c>
      <c r="Q291" s="32" t="n">
        <v>1621.37</v>
      </c>
      <c r="R291" s="31" t="inlineStr">
        <is>
          <t>Near 52W High Breakout</t>
        </is>
      </c>
      <c r="S291" s="31" t="inlineStr">
        <is>
          <t>Nifty Pharma</t>
        </is>
      </c>
      <c r="T291" s="32" t="n">
        <v>26.25</v>
      </c>
      <c r="U291" s="32" t="n">
        <v>21.66</v>
      </c>
      <c r="V291" s="32" t="n">
        <v>-3.63</v>
      </c>
      <c r="W291" s="32" t="n">
        <v>7.79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Yes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Above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Blue sky scenario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IF(B292=0,"",RANK(B292,$B$2:$B$346,0))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MANKIND</t>
        </is>
      </c>
      <c r="D292" s="33" t="inlineStr">
        <is>
          <t>Mankind Pharma Ltd</t>
        </is>
      </c>
      <c r="E292" s="31" t="inlineStr">
        <is>
          <t>healthcare</t>
        </is>
      </c>
      <c r="F292" s="31" t="inlineStr">
        <is>
          <t>pharmaceuticals - indian - bulk drugs &amp; formln</t>
        </is>
      </c>
      <c r="G292" s="31" t="inlineStr">
        <is>
          <t>largecap</t>
        </is>
      </c>
      <c r="H292" s="32" t="n">
        <v>102423</v>
      </c>
      <c r="I292" s="32" t="n">
        <v>2465</v>
      </c>
      <c r="J292" s="32" t="n">
        <v>-0.6</v>
      </c>
      <c r="K292" s="32" t="n">
        <v>352575</v>
      </c>
      <c r="L292" s="31" t="n">
        <v>2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57.31</v>
      </c>
      <c r="P292" s="32" t="n">
        <v>22.81</v>
      </c>
      <c r="Q292" s="32" t="n">
        <v>2147.19</v>
      </c>
      <c r="R292" s="31" t="inlineStr">
        <is>
          <t>Near 52W High Breakout</t>
        </is>
      </c>
      <c r="S292" s="31" t="inlineStr">
        <is>
          <t>Nifty Pharma</t>
        </is>
      </c>
      <c r="T292" s="32" t="n">
        <v>26.25</v>
      </c>
      <c r="U292" s="32" t="n">
        <v>-0.72</v>
      </c>
      <c r="V292" s="32" t="n">
        <v>-21.36</v>
      </c>
      <c r="W292" s="32" t="n">
        <v>0.46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1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Between 1.5 to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IF(B293=0,"",RANK(B293,$B$2:$B$346,0))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VALIANTLAB</t>
        </is>
      </c>
      <c r="D293" s="31" t="inlineStr">
        <is>
          <t>Valiant Laboratories Ltd</t>
        </is>
      </c>
      <c r="E293" s="31" t="inlineStr">
        <is>
          <t>healthcare</t>
        </is>
      </c>
      <c r="F293" s="31" t="inlineStr">
        <is>
          <t>pharmaceuticals - indian - bulk drugs &amp; formln</t>
        </is>
      </c>
      <c r="G293" s="31" t="inlineStr">
        <is>
          <t>smallcap</t>
        </is>
      </c>
      <c r="H293" s="32" t="n">
        <v>687.38</v>
      </c>
      <c r="I293" s="32" t="n">
        <v>121.24</v>
      </c>
      <c r="J293" s="32" t="n">
        <v>-4.2</v>
      </c>
      <c r="K293" s="32" t="n">
        <v>100822</v>
      </c>
      <c r="L293" s="31" t="n">
        <v>79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75.42</v>
      </c>
      <c r="P293" s="32" t="n">
        <v>29.22</v>
      </c>
      <c r="Q293" s="32" t="n">
        <v>94.84</v>
      </c>
      <c r="R293" s="31" t="inlineStr">
        <is>
          <t>Earnings / Momentum Support</t>
        </is>
      </c>
      <c r="S293" s="31" t="inlineStr">
        <is>
          <t>Nifty Pharma</t>
        </is>
      </c>
      <c r="T293" s="32" t="n">
        <v>26.25</v>
      </c>
      <c r="U293" s="32" t="n">
        <v>46.89</v>
      </c>
      <c r="V293" s="32" t="n">
        <v>16.35</v>
      </c>
      <c r="W293" s="32" t="n">
        <v>29.08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IF(B294=0,"",RANK(B294,$B$2:$B$346,0))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PHOENIXLTD</t>
        </is>
      </c>
      <c r="D294" s="31" t="inlineStr">
        <is>
          <t>The Phoenix Mills Limited</t>
        </is>
      </c>
      <c r="E294" s="31" t="inlineStr">
        <is>
          <t>realty</t>
        </is>
      </c>
      <c r="F294" s="31" t="inlineStr">
        <is>
          <t>construction</t>
        </is>
      </c>
      <c r="G294" s="31" t="inlineStr">
        <is>
          <t>largecap</t>
        </is>
      </c>
      <c r="H294" s="32" t="n">
        <v>69861.49000000001</v>
      </c>
      <c r="I294" s="32" t="n">
        <v>1993.2</v>
      </c>
      <c r="J294" s="32" t="n">
        <v>2.04</v>
      </c>
      <c r="K294" s="32" t="n">
        <v>639296</v>
      </c>
      <c r="L294" s="31" t="inlineStr"/>
      <c r="M294" s="31" t="inlineStr"/>
      <c r="N294" s="32">
        <f>IF(M294="Underperforming",-5,IF(L294&gt;=95,15,IF(L294&gt;=90,10,IF(L294&gt;=80,5,0))))</f>
        <v/>
      </c>
      <c r="O294" s="32" t="n">
        <v>59.21</v>
      </c>
      <c r="P294" s="32" t="n">
        <v>14.8</v>
      </c>
      <c r="Q294" s="32" t="n">
        <v>1804.87</v>
      </c>
      <c r="R294" s="31" t="inlineStr">
        <is>
          <t>Earnings / Momentum Support</t>
        </is>
      </c>
      <c r="S294" s="31" t="inlineStr">
        <is>
          <t>Nifty Realty</t>
        </is>
      </c>
      <c r="T294" s="32" t="inlineStr"/>
      <c r="U294" s="32" t="inlineStr"/>
      <c r="V294" s="32" t="inlineStr"/>
      <c r="W294" s="32" t="inlineStr"/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IF(B295=0,"",RANK(B295,$B$2:$B$346,0))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MAXESTATES</t>
        </is>
      </c>
      <c r="D295" s="31" t="inlineStr">
        <is>
          <t>Max Estates Ltd</t>
        </is>
      </c>
      <c r="E295" s="31" t="inlineStr">
        <is>
          <t>realty</t>
        </is>
      </c>
      <c r="F295" s="31" t="inlineStr">
        <is>
          <t>construction</t>
        </is>
      </c>
      <c r="G295" s="31" t="inlineStr">
        <is>
          <t>midcap</t>
        </is>
      </c>
      <c r="H295" s="32" t="n">
        <v>9728.91</v>
      </c>
      <c r="I295" s="32" t="n">
        <v>603.2</v>
      </c>
      <c r="J295" s="32" t="n">
        <v>1.37</v>
      </c>
      <c r="K295" s="32" t="n">
        <v>56043</v>
      </c>
      <c r="L295" s="31" t="inlineStr"/>
      <c r="M295" s="31" t="inlineStr"/>
      <c r="N295" s="32">
        <f>IF(M295="Underperforming",-5,IF(L295&gt;=95,15,IF(L295&gt;=90,10,IF(L295&gt;=80,5,0))))</f>
        <v/>
      </c>
      <c r="O295" s="32" t="n">
        <v>75.72</v>
      </c>
      <c r="P295" s="32" t="n">
        <v>30.01</v>
      </c>
      <c r="Q295" s="32" t="n">
        <v>470.66</v>
      </c>
      <c r="R295" s="31" t="inlineStr">
        <is>
          <t>Near 52W High Breakout</t>
        </is>
      </c>
      <c r="S295" s="31" t="inlineStr">
        <is>
          <t>Nifty Realty</t>
        </is>
      </c>
      <c r="T295" s="32" t="inlineStr"/>
      <c r="U295" s="32" t="inlineStr"/>
      <c r="V295" s="32" t="inlineStr"/>
      <c r="W295" s="32" t="inlineStr"/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Above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IF(B296=0,"",RANK(B296,$B$2:$B$346,0))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NAZARA</t>
        </is>
      </c>
      <c r="D296" s="31" t="inlineStr">
        <is>
          <t>Nazara Technologies Ltd</t>
        </is>
      </c>
      <c r="E296" s="31" t="inlineStr">
        <is>
          <t>i.t</t>
        </is>
      </c>
      <c r="F296" s="31" t="inlineStr">
        <is>
          <t>telecommunications - service provider</t>
        </is>
      </c>
      <c r="G296" s="31" t="inlineStr">
        <is>
          <t>midcap</t>
        </is>
      </c>
      <c r="H296" s="32" t="n">
        <v>14251.06</v>
      </c>
      <c r="I296" s="32" t="n">
        <v>372.7</v>
      </c>
      <c r="J296" s="32" t="n">
        <v>0.61</v>
      </c>
      <c r="K296" s="32" t="n">
        <v>1327663</v>
      </c>
      <c r="L296" s="31" t="n">
        <v>41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73.16</v>
      </c>
      <c r="P296" s="32" t="n">
        <v>31.64</v>
      </c>
      <c r="Q296" s="32" t="n">
        <v>307.94</v>
      </c>
      <c r="R296" s="31" t="inlineStr">
        <is>
          <t>Near 52W High Breakout</t>
        </is>
      </c>
      <c r="S296" s="31" t="inlineStr">
        <is>
          <t>Nifty IT</t>
        </is>
      </c>
      <c r="T296" s="32" t="n">
        <v>-15.93</v>
      </c>
      <c r="U296" s="32" t="n">
        <v>33.11</v>
      </c>
      <c r="V296" s="32" t="n">
        <v>58.32</v>
      </c>
      <c r="W296" s="32" t="n">
        <v>11.81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Blue sky scenario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IF(B297=0,"",RANK(B297,$B$2:$B$346,0))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RATNAVEER</t>
        </is>
      </c>
      <c r="D297" s="31" t="inlineStr">
        <is>
          <t>Ratnaveer Precision Engineering Ltd</t>
        </is>
      </c>
      <c r="E297" s="31" t="inlineStr">
        <is>
          <t>metals &amp; mining</t>
        </is>
      </c>
      <c r="F297" s="31" t="inlineStr">
        <is>
          <t>steel - medium / small</t>
        </is>
      </c>
      <c r="G297" s="31" t="inlineStr">
        <is>
          <t>smallcap</t>
        </is>
      </c>
      <c r="H297" s="32" t="n">
        <v>2373.51</v>
      </c>
      <c r="I297" s="32" t="n">
        <v>331.4</v>
      </c>
      <c r="J297" s="32" t="n">
        <v>-0.27</v>
      </c>
      <c r="K297" s="32" t="n">
        <v>7495098</v>
      </c>
      <c r="L297" s="31" t="inlineStr"/>
      <c r="M297" s="31" t="inlineStr"/>
      <c r="N297" s="32">
        <f>IF(M297="Underperforming",-5,IF(L297&gt;=95,15,IF(L297&gt;=90,10,IF(L297&gt;=80,5,0))))</f>
        <v/>
      </c>
      <c r="O297" s="32" t="n">
        <v>80.77</v>
      </c>
      <c r="P297" s="32" t="n">
        <v>63.07</v>
      </c>
      <c r="Q297" s="32" t="n">
        <v>241.2</v>
      </c>
      <c r="R297" s="31" t="inlineStr">
        <is>
          <t>Near 52W High Breakout</t>
        </is>
      </c>
      <c r="S297" s="31" t="inlineStr">
        <is>
          <t>Nifty Metal</t>
        </is>
      </c>
      <c r="T297" s="32" t="inlineStr"/>
      <c r="U297" s="32" t="inlineStr"/>
      <c r="V297" s="32" t="inlineStr"/>
      <c r="W297" s="32" t="inlineStr"/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Above 40</t>
        </is>
      </c>
      <c r="AY297" s="31">
        <f>IF(AX297="Above 40",20,IF(AX297="20 to 40",10,IF(AX297="0 to 20",-5,0)))</f>
        <v/>
      </c>
      <c r="AZ297" s="31" t="inlineStr">
        <is>
          <t>Above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Blue sky scenario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IF(B298=0,"",RANK(B298,$B$2:$B$346,0))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SMARTWORKS</t>
        </is>
      </c>
      <c r="D298" s="33" t="inlineStr">
        <is>
          <t>Smartworks Coworking Spaces Ltd</t>
        </is>
      </c>
      <c r="E298" s="31" t="inlineStr">
        <is>
          <t>co-working</t>
        </is>
      </c>
      <c r="F298" s="31" t="inlineStr">
        <is>
          <t>miscellaneous</t>
        </is>
      </c>
      <c r="G298" s="31" t="inlineStr">
        <is>
          <t>midcap</t>
        </is>
      </c>
      <c r="H298" s="32" t="n">
        <v>6214.71</v>
      </c>
      <c r="I298" s="32" t="n">
        <v>541.05</v>
      </c>
      <c r="J298" s="32" t="n">
        <v>-0.52</v>
      </c>
      <c r="K298" s="32" t="n">
        <v>27592</v>
      </c>
      <c r="L298" s="31" t="n">
        <v>6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62.1</v>
      </c>
      <c r="P298" s="32" t="n">
        <v>40.26</v>
      </c>
      <c r="Q298" s="32" t="n">
        <v>432.87</v>
      </c>
      <c r="R298" s="31" t="inlineStr">
        <is>
          <t>Earnings / Momentum Support</t>
        </is>
      </c>
      <c r="S298" s="31" t="inlineStr">
        <is>
          <t>Nifty 50</t>
        </is>
      </c>
      <c r="T298" s="32" t="n">
        <v>-4.9</v>
      </c>
      <c r="U298" s="32" t="n">
        <v>-6.03</v>
      </c>
      <c r="V298" s="32" t="n">
        <v>-1.19</v>
      </c>
      <c r="W298" s="32" t="n">
        <v>2.34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Above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More than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IF(B299=0,"",RANK(B299,$B$2:$B$346,0))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BLACKBUCK</t>
        </is>
      </c>
      <c r="D299" s="31" t="inlineStr">
        <is>
          <t>BlackBuck Ltd</t>
        </is>
      </c>
      <c r="E299" s="31" t="inlineStr">
        <is>
          <t>transportation</t>
        </is>
      </c>
      <c r="F299" s="31" t="inlineStr">
        <is>
          <t>miscellaneous</t>
        </is>
      </c>
      <c r="G299" s="31" t="inlineStr">
        <is>
          <t>midcap</t>
        </is>
      </c>
      <c r="H299" s="32" t="n">
        <v>11298.97</v>
      </c>
      <c r="I299" s="32" t="n">
        <v>616.05</v>
      </c>
      <c r="J299" s="32" t="n">
        <v>-0.6899999999999999</v>
      </c>
      <c r="K299" s="32" t="n">
        <v>548088</v>
      </c>
      <c r="L299" s="31" t="n">
        <v>6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54.87</v>
      </c>
      <c r="P299" s="32" t="n">
        <v>11.86</v>
      </c>
      <c r="Q299" s="32" t="n">
        <v>484.75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-4.9</v>
      </c>
      <c r="U299" s="32" t="n">
        <v>0.43</v>
      </c>
      <c r="V299" s="32" t="n">
        <v>5.61</v>
      </c>
      <c r="W299" s="32" t="n">
        <v>2.28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IF(B300=0,"",RANK(B300,$B$2:$B$346,0))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SHANTIGEAR</t>
        </is>
      </c>
      <c r="D300" s="31" t="inlineStr">
        <is>
          <t>Shanthi Gears Limited</t>
        </is>
      </c>
      <c r="E300" s="31" t="inlineStr">
        <is>
          <t>industrials</t>
        </is>
      </c>
      <c r="F300" s="31" t="inlineStr">
        <is>
          <t>engineering</t>
        </is>
      </c>
      <c r="G300" s="31" t="inlineStr">
        <is>
          <t>midcap</t>
        </is>
      </c>
      <c r="H300" s="32" t="n">
        <v>5168.35</v>
      </c>
      <c r="I300" s="32" t="n">
        <v>668.05</v>
      </c>
      <c r="J300" s="32" t="n">
        <v>-0.84</v>
      </c>
      <c r="K300" s="32" t="n">
        <v>42582</v>
      </c>
      <c r="L300" s="31" t="n">
        <v>56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73.64</v>
      </c>
      <c r="P300" s="32" t="n">
        <v>34.13</v>
      </c>
      <c r="Q300" s="32" t="n">
        <v>561.17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-4.9</v>
      </c>
      <c r="U300" s="32" t="n">
        <v>27.85</v>
      </c>
      <c r="V300" s="32" t="n">
        <v>34.44</v>
      </c>
      <c r="W300" s="32" t="n">
        <v>17.57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IF(B301=0,"",RANK(B301,$B$2:$B$346,0))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DPABHUSHAN</t>
        </is>
      </c>
      <c r="D301" s="31" t="inlineStr">
        <is>
          <t>D.P. Abhushan Ltd</t>
        </is>
      </c>
      <c r="E301" s="31" t="inlineStr">
        <is>
          <t>consumer discretionary</t>
        </is>
      </c>
      <c r="F301" s="31" t="inlineStr">
        <is>
          <t>diamond cutting / jewellery</t>
        </is>
      </c>
      <c r="G301" s="31" t="inlineStr">
        <is>
          <t>smallcap</t>
        </is>
      </c>
      <c r="H301" s="32" t="n">
        <v>3354.33</v>
      </c>
      <c r="I301" s="32" t="n">
        <v>1455.9</v>
      </c>
      <c r="J301" s="32" t="n">
        <v>-0.92</v>
      </c>
      <c r="K301" s="32" t="n">
        <v>23394</v>
      </c>
      <c r="L301" s="31" t="n">
        <v>47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62</v>
      </c>
      <c r="P301" s="32" t="n">
        <v>34.3</v>
      </c>
      <c r="Q301" s="32" t="n">
        <v>1070.88</v>
      </c>
      <c r="R301" s="31" t="inlineStr">
        <is>
          <t>Earnings / Momentum Support</t>
        </is>
      </c>
      <c r="S301" s="31" t="inlineStr">
        <is>
          <t>Nifty 50</t>
        </is>
      </c>
      <c r="T301" s="32" t="n">
        <v>-4.9</v>
      </c>
      <c r="U301" s="32" t="n">
        <v>-1.38</v>
      </c>
      <c r="V301" s="32" t="n">
        <v>3.71</v>
      </c>
      <c r="W301" s="32" t="n">
        <v>13.96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IF(B302=0,"",RANK(B302,$B$2:$B$346,0))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ROSSTECH</t>
        </is>
      </c>
      <c r="D302" s="31" t="inlineStr">
        <is>
          <t>Rossell Techsys Ltd</t>
        </is>
      </c>
      <c r="E302" s="31" t="inlineStr">
        <is>
          <t>aerospace &amp; defence</t>
        </is>
      </c>
      <c r="F302" s="31" t="inlineStr">
        <is>
          <t>engineering</t>
        </is>
      </c>
      <c r="G302" s="31" t="inlineStr">
        <is>
          <t>midcap</t>
        </is>
      </c>
      <c r="H302" s="32" t="n">
        <v>5632.23</v>
      </c>
      <c r="I302" s="32" t="n">
        <v>1449.8</v>
      </c>
      <c r="J302" s="32" t="n">
        <v>-2.97</v>
      </c>
      <c r="K302" s="32" t="n">
        <v>276498</v>
      </c>
      <c r="L302" s="31" t="n">
        <v>78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78.68000000000001</v>
      </c>
      <c r="P302" s="32" t="n">
        <v>29.26</v>
      </c>
      <c r="Q302" s="32" t="n">
        <v>1075.6</v>
      </c>
      <c r="R302" s="31" t="inlineStr">
        <is>
          <t>Near 52W High Breakout</t>
        </is>
      </c>
      <c r="S302" s="31" t="inlineStr">
        <is>
          <t>Nifty 50</t>
        </is>
      </c>
      <c r="T302" s="32" t="n">
        <v>-4.9</v>
      </c>
      <c r="U302" s="32" t="n">
        <v>98.77</v>
      </c>
      <c r="V302" s="32" t="n">
        <v>109.01</v>
      </c>
      <c r="W302" s="32" t="n">
        <v>28.38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Above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Blue sky scenario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IF(B303=0,"",RANK(B303,$B$2:$B$346,0))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ZYDUSLIFE</t>
        </is>
      </c>
      <c r="D303" s="33" t="inlineStr">
        <is>
          <t>Zydus Lifesciences Ltd</t>
        </is>
      </c>
      <c r="E303" s="31" t="inlineStr">
        <is>
          <t>healthcare</t>
        </is>
      </c>
      <c r="F303" s="31" t="inlineStr">
        <is>
          <t>pharmaceuticals - indian - bulk drugs &amp; formln</t>
        </is>
      </c>
      <c r="G303" s="31" t="inlineStr">
        <is>
          <t>largecap</t>
        </is>
      </c>
      <c r="H303" s="32" t="n">
        <v>115939.87</v>
      </c>
      <c r="I303" s="32" t="n">
        <v>1170.1</v>
      </c>
      <c r="J303" s="32" t="n">
        <v>0.67</v>
      </c>
      <c r="K303" s="32" t="n">
        <v>1088359</v>
      </c>
      <c r="L303" s="31" t="n">
        <v>16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62.94</v>
      </c>
      <c r="P303" s="32" t="n">
        <v>41.43</v>
      </c>
      <c r="Q303" s="32" t="n">
        <v>1013.1</v>
      </c>
      <c r="R303" s="31" t="inlineStr">
        <is>
          <t>Near 52W High Breakout</t>
        </is>
      </c>
      <c r="S303" s="31" t="inlineStr">
        <is>
          <t>Nifty Pharma</t>
        </is>
      </c>
      <c r="T303" s="32" t="n">
        <v>26.25</v>
      </c>
      <c r="U303" s="32" t="n">
        <v>20.12</v>
      </c>
      <c r="V303" s="32" t="n">
        <v>-4.85</v>
      </c>
      <c r="W303" s="32" t="n">
        <v>5.47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Above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Blue sky scenario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IF(B304=0,"",RANK(B304,$B$2:$B$346,0))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GLENMARK</t>
        </is>
      </c>
      <c r="D304" s="33" t="inlineStr">
        <is>
          <t>Glenmark Pharmaceuticals Limited</t>
        </is>
      </c>
      <c r="E304" s="31" t="inlineStr">
        <is>
          <t>healthcare</t>
        </is>
      </c>
      <c r="F304" s="31" t="inlineStr">
        <is>
          <t>pharmaceuticals - indian - bulk drugs &amp; formln</t>
        </is>
      </c>
      <c r="G304" s="31" t="inlineStr">
        <is>
          <t>largecap</t>
        </is>
      </c>
      <c r="H304" s="32" t="n">
        <v>69460.91</v>
      </c>
      <c r="I304" s="32" t="n">
        <v>2475</v>
      </c>
      <c r="J304" s="32" t="n">
        <v>0.55</v>
      </c>
      <c r="K304" s="32" t="n">
        <v>597118</v>
      </c>
      <c r="L304" s="31" t="n">
        <v>26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64.59999999999999</v>
      </c>
      <c r="P304" s="32" t="n">
        <v>20.18</v>
      </c>
      <c r="Q304" s="32" t="n">
        <v>2138.13</v>
      </c>
      <c r="R304" s="31" t="inlineStr">
        <is>
          <t>Near 52W High Breakout</t>
        </is>
      </c>
      <c r="S304" s="31" t="inlineStr">
        <is>
          <t>Nifty Pharma</t>
        </is>
      </c>
      <c r="T304" s="32" t="n">
        <v>26.25</v>
      </c>
      <c r="U304" s="32" t="n">
        <v>25.81</v>
      </c>
      <c r="V304" s="32" t="n">
        <v>-0.34</v>
      </c>
      <c r="W304" s="32" t="n">
        <v>7.86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Annuity, Lower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Blue sky scenario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IF(B305=0,"",RANK(B305,$B$2:$B$346,0))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STEELXIND</t>
        </is>
      </c>
      <c r="D305" s="31" t="inlineStr">
        <is>
          <t>Steel Exchange India Ltd</t>
        </is>
      </c>
      <c r="E305" s="31" t="inlineStr">
        <is>
          <t>metals &amp; mining</t>
        </is>
      </c>
      <c r="F305" s="31" t="inlineStr">
        <is>
          <t>steel - medium / small</t>
        </is>
      </c>
      <c r="G305" s="31" t="inlineStr">
        <is>
          <t>smallcap</t>
        </is>
      </c>
      <c r="H305" s="32" t="n">
        <v>1426.03</v>
      </c>
      <c r="I305" s="32" t="n">
        <v>12.01</v>
      </c>
      <c r="J305" s="32" t="n">
        <v>7.42</v>
      </c>
      <c r="K305" s="32" t="n">
        <v>43409817</v>
      </c>
      <c r="L305" s="31" t="inlineStr"/>
      <c r="M305" s="31" t="inlineStr"/>
      <c r="N305" s="32">
        <f>IF(M305="Underperforming",-5,IF(L305&gt;=95,15,IF(L305&gt;=90,10,IF(L305&gt;=80,5,0))))</f>
        <v/>
      </c>
      <c r="O305" s="32" t="n">
        <v>57.97</v>
      </c>
      <c r="P305" s="32" t="n">
        <v>13.23</v>
      </c>
      <c r="Q305" s="32" t="n">
        <v>8.960000000000001</v>
      </c>
      <c r="R305" s="31" t="inlineStr">
        <is>
          <t>Volume Spike / Accumulation</t>
        </is>
      </c>
      <c r="S305" s="31" t="inlineStr">
        <is>
          <t>Nifty Metal</t>
        </is>
      </c>
      <c r="T305" s="32" t="inlineStr"/>
      <c r="U305" s="32" t="inlineStr"/>
      <c r="V305" s="32" t="inlineStr"/>
      <c r="W305" s="32" t="inlineStr"/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IF(B306=0,"",RANK(B306,$B$2:$B$346,0))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DICIND</t>
        </is>
      </c>
      <c r="D306" s="31" t="inlineStr">
        <is>
          <t>Dic India Limited</t>
        </is>
      </c>
      <c r="E306" s="31" t="inlineStr">
        <is>
          <t>chemicals</t>
        </is>
      </c>
      <c r="F306" s="31" t="inlineStr">
        <is>
          <t>chemicals</t>
        </is>
      </c>
      <c r="G306" s="31" t="inlineStr">
        <is>
          <t>smallcap</t>
        </is>
      </c>
      <c r="H306" s="32" t="n">
        <v>600.53</v>
      </c>
      <c r="I306" s="32" t="n">
        <v>665.65</v>
      </c>
      <c r="J306" s="32" t="n">
        <v>1.74</v>
      </c>
      <c r="K306" s="32" t="n">
        <v>5033</v>
      </c>
      <c r="L306" s="31" t="n">
        <v>42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74.31</v>
      </c>
      <c r="P306" s="32" t="n">
        <v>15.8</v>
      </c>
      <c r="Q306" s="32" t="n">
        <v>516.4</v>
      </c>
      <c r="R306" s="31" t="inlineStr">
        <is>
          <t>Near 52W High Breakout</t>
        </is>
      </c>
      <c r="S306" s="31" t="inlineStr">
        <is>
          <t>Nifty 50</t>
        </is>
      </c>
      <c r="T306" s="32" t="n">
        <v>-4.9</v>
      </c>
      <c r="U306" s="32" t="n">
        <v>27.89</v>
      </c>
      <c r="V306" s="32" t="n">
        <v>34.47</v>
      </c>
      <c r="W306" s="32" t="n">
        <v>11.91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Negative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IF(B307=0,"",RANK(B307,$B$2:$B$346,0))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JYOTICNC</t>
        </is>
      </c>
      <c r="D307" s="31" t="inlineStr">
        <is>
          <t>Jyoti CNC Automation Ltd</t>
        </is>
      </c>
      <c r="E307" s="31" t="inlineStr">
        <is>
          <t>industrials</t>
        </is>
      </c>
      <c r="F307" s="31" t="inlineStr">
        <is>
          <t>engineering</t>
        </is>
      </c>
      <c r="G307" s="31" t="inlineStr">
        <is>
          <t>largecap</t>
        </is>
      </c>
      <c r="H307" s="32" t="n">
        <v>24659.49</v>
      </c>
      <c r="I307" s="32" t="n">
        <v>1100.8</v>
      </c>
      <c r="J307" s="32" t="n">
        <v>1.52</v>
      </c>
      <c r="K307" s="32" t="n">
        <v>1338131</v>
      </c>
      <c r="L307" s="31" t="n">
        <v>51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70.59999999999999</v>
      </c>
      <c r="P307" s="32" t="n">
        <v>13.75</v>
      </c>
      <c r="Q307" s="32" t="n">
        <v>848.11</v>
      </c>
      <c r="R307" s="31" t="inlineStr">
        <is>
          <t>Near 52W High Breakout</t>
        </is>
      </c>
      <c r="S307" s="31" t="inlineStr">
        <is>
          <t>Nifty 50</t>
        </is>
      </c>
      <c r="T307" s="32" t="n">
        <v>-4.9</v>
      </c>
      <c r="U307" s="32" t="n">
        <v>26.68</v>
      </c>
      <c r="V307" s="32" t="n">
        <v>33.21</v>
      </c>
      <c r="W307" s="32" t="n">
        <v>16.01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IF(B308=0,"",RANK(B308,$B$2:$B$346,0))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3MINDIA</t>
        </is>
      </c>
      <c r="D308" s="31" t="inlineStr">
        <is>
          <t>3m India Limited</t>
        </is>
      </c>
      <c r="E308" s="31" t="inlineStr">
        <is>
          <t>miscellaneous</t>
        </is>
      </c>
      <c r="F308" s="31" t="inlineStr">
        <is>
          <t>diversified - large</t>
        </is>
      </c>
      <c r="G308" s="31" t="inlineStr">
        <is>
          <t>largecap</t>
        </is>
      </c>
      <c r="H308" s="32" t="n">
        <v>38549.07</v>
      </c>
      <c r="I308" s="32" t="n">
        <v>34615</v>
      </c>
      <c r="J308" s="32" t="n">
        <v>1.15</v>
      </c>
      <c r="K308" s="32" t="n">
        <v>4992</v>
      </c>
      <c r="L308" s="31" t="n">
        <v>15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54.36</v>
      </c>
      <c r="P308" s="32" t="n">
        <v>20.35</v>
      </c>
      <c r="Q308" s="32" t="n">
        <v>30405.72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-4.9</v>
      </c>
      <c r="U308" s="32" t="n">
        <v>20.47</v>
      </c>
      <c r="V308" s="32" t="n">
        <v>26.67</v>
      </c>
      <c r="W308" s="32" t="n">
        <v>5.29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1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IF(B309=0,"",RANK(B309,$B$2:$B$346,0))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PRABHA</t>
        </is>
      </c>
      <c r="D309" s="31" t="inlineStr">
        <is>
          <t>Prabha Energy Ltd</t>
        </is>
      </c>
      <c r="E309" s="31" t="inlineStr">
        <is>
          <t>energy</t>
        </is>
      </c>
      <c r="F309" s="31" t="inlineStr">
        <is>
          <t>oil drilling / allied services</t>
        </is>
      </c>
      <c r="G309" s="31" t="inlineStr">
        <is>
          <t>smallcap</t>
        </is>
      </c>
      <c r="H309" s="32" t="n">
        <v>3455.01</v>
      </c>
      <c r="I309" s="32" t="n">
        <v>234.8</v>
      </c>
      <c r="J309" s="32" t="n">
        <v>-0.39</v>
      </c>
      <c r="K309" s="32" t="n">
        <v>84663</v>
      </c>
      <c r="L309" s="31" t="inlineStr"/>
      <c r="M309" s="31" t="inlineStr"/>
      <c r="N309" s="32">
        <f>IF(M309="Underperforming",-5,IF(L309&gt;=95,15,IF(L309&gt;=90,10,IF(L309&gt;=80,5,0))))</f>
        <v/>
      </c>
      <c r="O309" s="32" t="n">
        <v>68.33</v>
      </c>
      <c r="P309" s="32" t="n">
        <v>29.62</v>
      </c>
      <c r="Q309" s="32" t="n">
        <v>177.74</v>
      </c>
      <c r="R309" s="31" t="inlineStr">
        <is>
          <t>Near 52W High Breakout</t>
        </is>
      </c>
      <c r="S309" s="31" t="inlineStr">
        <is>
          <t>Nifty Energy</t>
        </is>
      </c>
      <c r="T309" s="32" t="inlineStr"/>
      <c r="U309" s="32" t="inlineStr"/>
      <c r="V309" s="32" t="inlineStr"/>
      <c r="W309" s="32" t="inlineStr"/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Oligopoly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Yes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Volatile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IF(B310=0,"",RANK(B310,$B$2:$B$346,0))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PFOCUS</t>
        </is>
      </c>
      <c r="D310" s="31" t="inlineStr">
        <is>
          <t>Prime Focus Limited</t>
        </is>
      </c>
      <c r="E310" s="31" t="inlineStr">
        <is>
          <t>realty</t>
        </is>
      </c>
      <c r="F310" s="31" t="inlineStr">
        <is>
          <t>miscellaneous</t>
        </is>
      </c>
      <c r="G310" s="31" t="inlineStr">
        <is>
          <t>largecap</t>
        </is>
      </c>
      <c r="H310" s="32" t="n">
        <v>27755.65</v>
      </c>
      <c r="I310" s="32" t="n">
        <v>337.15</v>
      </c>
      <c r="J310" s="32" t="n">
        <v>-5.68</v>
      </c>
      <c r="K310" s="32" t="n">
        <v>6885605</v>
      </c>
      <c r="L310" s="31" t="inlineStr"/>
      <c r="M310" s="31" t="inlineStr"/>
      <c r="N310" s="32">
        <f>IF(M310="Underperforming",-5,IF(L310&gt;=95,15,IF(L310&gt;=90,10,IF(L310&gt;=80,5,0))))</f>
        <v/>
      </c>
      <c r="O310" s="32" t="n">
        <v>65.64</v>
      </c>
      <c r="P310" s="32" t="n">
        <v>18.47</v>
      </c>
      <c r="Q310" s="32" t="n">
        <v>251.71</v>
      </c>
      <c r="R310" s="31" t="inlineStr">
        <is>
          <t>Volume Spike &amp; Near 52W High Breakout</t>
        </is>
      </c>
      <c r="S310" s="31" t="inlineStr">
        <is>
          <t>Nifty Realty</t>
        </is>
      </c>
      <c r="T310" s="32" t="inlineStr"/>
      <c r="U310" s="32" t="inlineStr"/>
      <c r="V310" s="32" t="inlineStr"/>
      <c r="W310" s="32" t="inlineStr"/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Blue sky scenario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More than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IF(B311=0,"",RANK(B311,$B$2:$B$346,0))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BLSE</t>
        </is>
      </c>
      <c r="D311" s="31" t="inlineStr">
        <is>
          <t>BLS E-Services Ltd</t>
        </is>
      </c>
      <c r="E311" s="31" t="inlineStr">
        <is>
          <t>i.t</t>
        </is>
      </c>
      <c r="F311" s="31" t="inlineStr">
        <is>
          <t>computers - software - medium / small</t>
        </is>
      </c>
      <c r="G311" s="31" t="inlineStr">
        <is>
          <t>smallcap</t>
        </is>
      </c>
      <c r="H311" s="32" t="n">
        <v>2981</v>
      </c>
      <c r="I311" s="32" t="n">
        <v>322.45</v>
      </c>
      <c r="J311" s="32" t="n">
        <v>-1.72</v>
      </c>
      <c r="K311" s="32" t="n">
        <v>430157</v>
      </c>
      <c r="L311" s="31" t="n">
        <v>71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77.97</v>
      </c>
      <c r="P311" s="32" t="n">
        <v>58.71</v>
      </c>
      <c r="Q311" s="32" t="n">
        <v>260.51</v>
      </c>
      <c r="R311" s="31" t="inlineStr">
        <is>
          <t>Near 52W High Breakout</t>
        </is>
      </c>
      <c r="S311" s="31" t="inlineStr">
        <is>
          <t>Nifty IT</t>
        </is>
      </c>
      <c r="T311" s="32" t="n">
        <v>-15.93</v>
      </c>
      <c r="U311" s="32" t="n">
        <v>74.31</v>
      </c>
      <c r="V311" s="32" t="n">
        <v>107.34</v>
      </c>
      <c r="W311" s="32" t="n">
        <v>23.48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Above 40</t>
        </is>
      </c>
      <c r="AY311" s="31">
        <f>IF(AX311="Above 40",20,IF(AX311="20 to 40",10,IF(AX311="0 to 20",-5,0)))</f>
        <v/>
      </c>
      <c r="AZ311" s="31" t="inlineStr">
        <is>
          <t>Above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Blue sky scenario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IF(B312=0,"",RANK(B312,$B$2:$B$346,0))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MAMATA</t>
        </is>
      </c>
      <c r="D312" s="33" t="inlineStr">
        <is>
          <t>Mamata Machinery Ltd</t>
        </is>
      </c>
      <c r="E312" s="31" t="inlineStr">
        <is>
          <t>industrials</t>
        </is>
      </c>
      <c r="F312" s="31" t="inlineStr">
        <is>
          <t>engineering</t>
        </is>
      </c>
      <c r="G312" s="31" t="inlineStr">
        <is>
          <t>smallcap</t>
        </is>
      </c>
      <c r="H312" s="32" t="n">
        <v>993.05</v>
      </c>
      <c r="I312" s="32" t="n">
        <v>423.35</v>
      </c>
      <c r="J312" s="32" t="n">
        <v>4.91</v>
      </c>
      <c r="K312" s="32" t="n">
        <v>178742</v>
      </c>
      <c r="L312" s="31" t="n">
        <v>1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54.63</v>
      </c>
      <c r="P312" s="32" t="n">
        <v>7.15</v>
      </c>
      <c r="Q312" s="32" t="n">
        <v>337.57</v>
      </c>
      <c r="R312" s="31" t="inlineStr">
        <is>
          <t>Earnings / Momentum Support</t>
        </is>
      </c>
      <c r="S312" s="31" t="inlineStr">
        <is>
          <t>Nifty 50</t>
        </is>
      </c>
      <c r="T312" s="32" t="n">
        <v>-4.9</v>
      </c>
      <c r="U312" s="32" t="n">
        <v>-10.85</v>
      </c>
      <c r="V312" s="32" t="n">
        <v>-6.26</v>
      </c>
      <c r="W312" s="32" t="n">
        <v>-0.11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IF(B313=0,"",RANK(B313,$B$2:$B$346,0))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KIRLOSENG</t>
        </is>
      </c>
      <c r="D313" s="31" t="inlineStr">
        <is>
          <t>Kirloskar Oil Engines Limited</t>
        </is>
      </c>
      <c r="E313" s="31" t="inlineStr">
        <is>
          <t>industrials</t>
        </is>
      </c>
      <c r="F313" s="31" t="inlineStr">
        <is>
          <t>engines</t>
        </is>
      </c>
      <c r="G313" s="31" t="inlineStr">
        <is>
          <t>largecap</t>
        </is>
      </c>
      <c r="H313" s="32" t="n">
        <v>31474.76</v>
      </c>
      <c r="I313" s="32" t="n">
        <v>2219.5</v>
      </c>
      <c r="J313" s="32" t="n">
        <v>2.52</v>
      </c>
      <c r="K313" s="32" t="n">
        <v>395759</v>
      </c>
      <c r="L313" s="31" t="n">
        <v>67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62.21</v>
      </c>
      <c r="P313" s="32" t="n">
        <v>49.7</v>
      </c>
      <c r="Q313" s="32" t="n">
        <v>1905.63</v>
      </c>
      <c r="R313" s="31" t="inlineStr">
        <is>
          <t>Earnings / Momentum Support</t>
        </is>
      </c>
      <c r="S313" s="31" t="inlineStr">
        <is>
          <t>Nifty 50</t>
        </is>
      </c>
      <c r="T313" s="32" t="n">
        <v>-4.9</v>
      </c>
      <c r="U313" s="32" t="n">
        <v>143.46</v>
      </c>
      <c r="V313" s="32" t="n">
        <v>156</v>
      </c>
      <c r="W313" s="32" t="n">
        <v>21.7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Above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More than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IF(B314=0,"",RANK(B314,$B$2:$B$346,0))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JTLIND</t>
        </is>
      </c>
      <c r="D314" s="31" t="inlineStr">
        <is>
          <t>JTL Industries Ltd</t>
        </is>
      </c>
      <c r="E314" s="31" t="inlineStr">
        <is>
          <t>metals &amp; mining</t>
        </is>
      </c>
      <c r="F314" s="31" t="inlineStr">
        <is>
          <t>steel - medium / small</t>
        </is>
      </c>
      <c r="G314" s="31" t="inlineStr">
        <is>
          <t>smallcap</t>
        </is>
      </c>
      <c r="H314" s="32" t="n">
        <v>3506.68</v>
      </c>
      <c r="I314" s="32" t="n">
        <v>91.31</v>
      </c>
      <c r="J314" s="32" t="n">
        <v>2.35</v>
      </c>
      <c r="K314" s="32" t="n">
        <v>5908069</v>
      </c>
      <c r="L314" s="31" t="inlineStr"/>
      <c r="M314" s="31" t="inlineStr"/>
      <c r="N314" s="32">
        <f>IF(M314="Underperforming",-5,IF(L314&gt;=95,15,IF(L314&gt;=90,10,IF(L314&gt;=80,5,0))))</f>
        <v/>
      </c>
      <c r="O314" s="32" t="n">
        <v>63.68</v>
      </c>
      <c r="P314" s="32" t="n">
        <v>14.83</v>
      </c>
      <c r="Q314" s="32" t="n">
        <v>66.7</v>
      </c>
      <c r="R314" s="31" t="inlineStr">
        <is>
          <t>Near 52W High Breakout</t>
        </is>
      </c>
      <c r="S314" s="31" t="inlineStr">
        <is>
          <t>Nifty Metal</t>
        </is>
      </c>
      <c r="T314" s="32" t="inlineStr"/>
      <c r="U314" s="32" t="inlineStr"/>
      <c r="V314" s="32" t="inlineStr"/>
      <c r="W314" s="32" t="inlineStr"/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IF(B315=0,"",RANK(B315,$B$2:$B$346,0))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DMCC</t>
        </is>
      </c>
      <c r="D315" s="31" t="inlineStr">
        <is>
          <t>DMCC Speciality Chemicals Ltd</t>
        </is>
      </c>
      <c r="E315" s="31" t="inlineStr">
        <is>
          <t>chemicals</t>
        </is>
      </c>
      <c r="F315" s="31" t="inlineStr">
        <is>
          <t>chemicals</t>
        </is>
      </c>
      <c r="G315" s="31" t="inlineStr">
        <is>
          <t>smallcap</t>
        </is>
      </c>
      <c r="H315" s="32" t="n">
        <v>724.88</v>
      </c>
      <c r="I315" s="32" t="n">
        <v>296.3</v>
      </c>
      <c r="J315" s="32" t="n">
        <v>1.94</v>
      </c>
      <c r="K315" s="32" t="n">
        <v>107730</v>
      </c>
      <c r="L315" s="31" t="n">
        <v>11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58.01</v>
      </c>
      <c r="P315" s="32" t="n">
        <v>33.77</v>
      </c>
      <c r="Q315" s="32" t="n">
        <v>219.94</v>
      </c>
      <c r="R315" s="31" t="inlineStr">
        <is>
          <t>Earnings / Momentum Support</t>
        </is>
      </c>
      <c r="S315" s="31" t="inlineStr">
        <is>
          <t>Nifty 50</t>
        </is>
      </c>
      <c r="T315" s="32" t="n">
        <v>-4.9</v>
      </c>
      <c r="U315" s="32" t="n">
        <v>-2.38</v>
      </c>
      <c r="V315" s="32" t="n">
        <v>2.65</v>
      </c>
      <c r="W315" s="32" t="n">
        <v>4.15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IF(B316=0,"",RANK(B316,$B$2:$B$346,0))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KRISHANA</t>
        </is>
      </c>
      <c r="D316" s="31" t="inlineStr">
        <is>
          <t>Krishana Phoschem Ltd</t>
        </is>
      </c>
      <c r="E316" s="31" t="inlineStr">
        <is>
          <t>chemicals</t>
        </is>
      </c>
      <c r="F316" s="31" t="inlineStr">
        <is>
          <t>fertilizers</t>
        </is>
      </c>
      <c r="G316" s="31" t="inlineStr">
        <is>
          <t>smallcap</t>
        </is>
      </c>
      <c r="H316" s="32" t="n">
        <v>1171.94</v>
      </c>
      <c r="I316" s="32" t="n">
        <v>188.15</v>
      </c>
      <c r="J316" s="32" t="n">
        <v>-0.74</v>
      </c>
      <c r="K316" s="32" t="n">
        <v>526685</v>
      </c>
      <c r="L316" s="31" t="n">
        <v>63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68.68000000000001</v>
      </c>
      <c r="P316" s="32" t="n">
        <v>51.98</v>
      </c>
      <c r="Q316" s="32" t="n">
        <v>154.24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-4.9</v>
      </c>
      <c r="U316" s="32" t="n">
        <v>77.48</v>
      </c>
      <c r="V316" s="32" t="n">
        <v>86.62</v>
      </c>
      <c r="W316" s="32" t="n">
        <v>20.24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Above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Less than 1.5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IF(B317=0,"",RANK(B317,$B$2:$B$346,0))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SUNFLAG</t>
        </is>
      </c>
      <c r="D317" s="31" t="inlineStr">
        <is>
          <t>Sunflag Iron And Steel Company Limited</t>
        </is>
      </c>
      <c r="E317" s="31" t="inlineStr">
        <is>
          <t>metals &amp; mining</t>
        </is>
      </c>
      <c r="F317" s="31" t="inlineStr">
        <is>
          <t>steel - medium / small</t>
        </is>
      </c>
      <c r="G317" s="31" t="inlineStr">
        <is>
          <t>midcap</t>
        </is>
      </c>
      <c r="H317" s="32" t="n">
        <v>6398.69</v>
      </c>
      <c r="I317" s="32" t="n">
        <v>390.55</v>
      </c>
      <c r="J317" s="32" t="n">
        <v>10</v>
      </c>
      <c r="K317" s="32" t="n">
        <v>912957</v>
      </c>
      <c r="L317" s="31" t="inlineStr"/>
      <c r="M317" s="31" t="inlineStr"/>
      <c r="N317" s="32">
        <f>IF(M317="Underperforming",-5,IF(L317&gt;=95,15,IF(L317&gt;=90,10,IF(L317&gt;=80,5,0))))</f>
        <v/>
      </c>
      <c r="O317" s="32" t="n">
        <v>64.11</v>
      </c>
      <c r="P317" s="32" t="n">
        <v>31.34</v>
      </c>
      <c r="Q317" s="32" t="n">
        <v>299.65</v>
      </c>
      <c r="R317" s="31" t="inlineStr">
        <is>
          <t>Earnings / Momentum Support</t>
        </is>
      </c>
      <c r="S317" s="31" t="inlineStr">
        <is>
          <t>Nifty Metal</t>
        </is>
      </c>
      <c r="T317" s="32" t="inlineStr"/>
      <c r="U317" s="32" t="inlineStr"/>
      <c r="V317" s="32" t="inlineStr"/>
      <c r="W317" s="32" t="inlineStr"/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IF(B318=0,"",RANK(B318,$B$2:$B$346,0))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ARVSMART</t>
        </is>
      </c>
      <c r="D318" s="31" t="inlineStr">
        <is>
          <t>Arvind Smartspaces Limited</t>
        </is>
      </c>
      <c r="E318" s="31" t="inlineStr">
        <is>
          <t>realty</t>
        </is>
      </c>
      <c r="F318" s="31" t="inlineStr">
        <is>
          <t>construction</t>
        </is>
      </c>
      <c r="G318" s="31" t="inlineStr">
        <is>
          <t>smallcap</t>
        </is>
      </c>
      <c r="H318" s="32" t="n">
        <v>2697.9</v>
      </c>
      <c r="I318" s="32" t="n">
        <v>634.05</v>
      </c>
      <c r="J318" s="32" t="n">
        <v>7.8</v>
      </c>
      <c r="K318" s="32" t="n">
        <v>6650986</v>
      </c>
      <c r="L318" s="31" t="inlineStr"/>
      <c r="M318" s="31" t="inlineStr"/>
      <c r="N318" s="32">
        <f>IF(M318="Underperforming",-5,IF(L318&gt;=95,15,IF(L318&gt;=90,10,IF(L318&gt;=80,5,0))))</f>
        <v/>
      </c>
      <c r="O318" s="32" t="n">
        <v>53.78</v>
      </c>
      <c r="P318" s="32" t="n">
        <v>34.25</v>
      </c>
      <c r="Q318" s="32" t="n">
        <v>505.95</v>
      </c>
      <c r="R318" s="31" t="inlineStr">
        <is>
          <t>Volume Spike &amp; Near 52W High Breakout</t>
        </is>
      </c>
      <c r="S318" s="31" t="inlineStr">
        <is>
          <t>Nifty Realty</t>
        </is>
      </c>
      <c r="T318" s="32" t="inlineStr"/>
      <c r="U318" s="32" t="inlineStr"/>
      <c r="V318" s="32" t="inlineStr"/>
      <c r="W318" s="32" t="inlineStr"/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Between 1.5 to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IF(B319=0,"",RANK(B319,$B$2:$B$346,0))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SALSTEEL</t>
        </is>
      </c>
      <c r="D319" s="31" t="inlineStr">
        <is>
          <t>SAL Steel</t>
        </is>
      </c>
      <c r="E319" s="31" t="inlineStr">
        <is>
          <t>metals &amp; mining</t>
        </is>
      </c>
      <c r="F319" s="31" t="inlineStr">
        <is>
          <t>steel - sponge iron</t>
        </is>
      </c>
      <c r="G319" s="31" t="inlineStr">
        <is>
          <t>smallcap</t>
        </is>
      </c>
      <c r="H319" s="32" t="n">
        <v>1172.32</v>
      </c>
      <c r="I319" s="32" t="n">
        <v>85.02</v>
      </c>
      <c r="J319" s="32" t="n">
        <v>4.99</v>
      </c>
      <c r="K319" s="32" t="n">
        <v>359860</v>
      </c>
      <c r="L319" s="31" t="inlineStr"/>
      <c r="M319" s="31" t="inlineStr"/>
      <c r="N319" s="32">
        <f>IF(M319="Underperforming",-5,IF(L319&gt;=95,15,IF(L319&gt;=90,10,IF(L319&gt;=80,5,0))))</f>
        <v/>
      </c>
      <c r="O319" s="32" t="n">
        <v>71.63</v>
      </c>
      <c r="P319" s="32" t="n">
        <v>30.25</v>
      </c>
      <c r="Q319" s="32" t="n">
        <v>59.03</v>
      </c>
      <c r="R319" s="31" t="inlineStr">
        <is>
          <t>Near 52W High Breakout</t>
        </is>
      </c>
      <c r="S319" s="31" t="inlineStr">
        <is>
          <t>Nifty Metal</t>
        </is>
      </c>
      <c r="T319" s="32" t="inlineStr"/>
      <c r="U319" s="32" t="inlineStr"/>
      <c r="V319" s="32" t="inlineStr"/>
      <c r="W319" s="32" t="inlineStr"/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Blue sky scenario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IF(B320=0,"",RANK(B320,$B$2:$B$346,0))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PRECWIRE</t>
        </is>
      </c>
      <c r="D320" s="31" t="inlineStr">
        <is>
          <t>Precision Wires India Limited</t>
        </is>
      </c>
      <c r="E320" s="31" t="inlineStr">
        <is>
          <t>metals &amp; mining</t>
        </is>
      </c>
      <c r="F320" s="31" t="inlineStr">
        <is>
          <t>mining / minerals / metals</t>
        </is>
      </c>
      <c r="G320" s="31" t="inlineStr">
        <is>
          <t>midcap</t>
        </is>
      </c>
      <c r="H320" s="32" t="n">
        <v>8977.700000000001</v>
      </c>
      <c r="I320" s="32" t="n">
        <v>498.85</v>
      </c>
      <c r="J320" s="32" t="n">
        <v>1.58</v>
      </c>
      <c r="K320" s="32" t="n">
        <v>715914</v>
      </c>
      <c r="L320" s="31" t="inlineStr"/>
      <c r="M320" s="31" t="inlineStr"/>
      <c r="N320" s="32">
        <f>IF(M320="Underperforming",-5,IF(L320&gt;=95,15,IF(L320&gt;=90,10,IF(L320&gt;=80,5,0))))</f>
        <v/>
      </c>
      <c r="O320" s="32" t="n">
        <v>65.89</v>
      </c>
      <c r="P320" s="32" t="n">
        <v>38.66</v>
      </c>
      <c r="Q320" s="32" t="n">
        <v>368.25</v>
      </c>
      <c r="R320" s="31" t="inlineStr">
        <is>
          <t>Near 52W High Breakout</t>
        </is>
      </c>
      <c r="S320" s="31" t="inlineStr">
        <is>
          <t>Nifty Metal</t>
        </is>
      </c>
      <c r="T320" s="32" t="inlineStr"/>
      <c r="U320" s="32" t="inlineStr"/>
      <c r="V320" s="32" t="inlineStr"/>
      <c r="W320" s="32" t="inlineStr"/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Cyclical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Volatile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IF(B321=0,"",RANK(B321,$B$2:$B$346,0))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VENUSPIPES</t>
        </is>
      </c>
      <c r="D321" s="31" t="inlineStr">
        <is>
          <t>Venus Pipes &amp; Tubes Ltd</t>
        </is>
      </c>
      <c r="E321" s="31" t="inlineStr">
        <is>
          <t>metals &amp; mining</t>
        </is>
      </c>
      <c r="F321" s="31" t="inlineStr">
        <is>
          <t>steel - medium / small</t>
        </is>
      </c>
      <c r="G321" s="31" t="inlineStr">
        <is>
          <t>smallcap</t>
        </is>
      </c>
      <c r="H321" s="32" t="n">
        <v>4605.81</v>
      </c>
      <c r="I321" s="32" t="n">
        <v>2235.5</v>
      </c>
      <c r="J321" s="32" t="n">
        <v>0.55</v>
      </c>
      <c r="K321" s="32" t="n">
        <v>156866</v>
      </c>
      <c r="L321" s="31" t="inlineStr"/>
      <c r="M321" s="31" t="inlineStr"/>
      <c r="N321" s="32">
        <f>IF(M321="Underperforming",-5,IF(L321&gt;=95,15,IF(L321&gt;=90,10,IF(L321&gt;=80,5,0))))</f>
        <v/>
      </c>
      <c r="O321" s="32" t="n">
        <v>76.2</v>
      </c>
      <c r="P321" s="32" t="n">
        <v>38.47</v>
      </c>
      <c r="Q321" s="32" t="n">
        <v>1768.37</v>
      </c>
      <c r="R321" s="31" t="inlineStr">
        <is>
          <t>Near 52W High Breakout</t>
        </is>
      </c>
      <c r="S321" s="31" t="inlineStr">
        <is>
          <t>Nifty Metal</t>
        </is>
      </c>
      <c r="T321" s="32" t="inlineStr"/>
      <c r="U321" s="32" t="inlineStr"/>
      <c r="V321" s="32" t="inlineStr"/>
      <c r="W321" s="32" t="inlineStr"/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Above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Blue sky scenario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IF(B322=0,"",RANK(B322,$B$2:$B$346,0))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PCBL</t>
        </is>
      </c>
      <c r="D322" s="33" t="inlineStr">
        <is>
          <t>PCBL Ltd</t>
        </is>
      </c>
      <c r="E322" s="31" t="inlineStr">
        <is>
          <t>chemicals</t>
        </is>
      </c>
      <c r="F322" s="31" t="inlineStr">
        <is>
          <t>chemicals</t>
        </is>
      </c>
      <c r="G322" s="31" t="inlineStr">
        <is>
          <t>midcap</t>
        </is>
      </c>
      <c r="H322" s="32" t="n">
        <v>13682.66</v>
      </c>
      <c r="I322" s="32" t="n">
        <v>345.45</v>
      </c>
      <c r="J322" s="32" t="n">
        <v>-0.66</v>
      </c>
      <c r="K322" s="32" t="n">
        <v>1432331</v>
      </c>
      <c r="L322" s="31" t="n">
        <v>6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64.56</v>
      </c>
      <c r="P322" s="32" t="n">
        <v>15.49</v>
      </c>
      <c r="Q322" s="32" t="n">
        <v>270.41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-4.9</v>
      </c>
      <c r="U322" s="32" t="n">
        <v>-5.06</v>
      </c>
      <c r="V322" s="32" t="n">
        <v>-0.17</v>
      </c>
      <c r="W322" s="32" t="n">
        <v>2.28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IF(B323=0,"",RANK(B323,$B$2:$B$346,0))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CYIENT</t>
        </is>
      </c>
      <c r="D323" s="31" t="inlineStr">
        <is>
          <t>Cyient Limited</t>
        </is>
      </c>
      <c r="E323" s="31" t="inlineStr">
        <is>
          <t>i.t</t>
        </is>
      </c>
      <c r="F323" s="31" t="inlineStr">
        <is>
          <t>computers - software - medium / small</t>
        </is>
      </c>
      <c r="G323" s="31" t="inlineStr">
        <is>
          <t>midcap</t>
        </is>
      </c>
      <c r="H323" s="32" t="n">
        <v>11301.64</v>
      </c>
      <c r="I323" s="32" t="n">
        <v>1072.2</v>
      </c>
      <c r="J323" s="32" t="n">
        <v>-0.63</v>
      </c>
      <c r="K323" s="32" t="n">
        <v>310466</v>
      </c>
      <c r="L323" s="31" t="n">
        <v>14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62.54</v>
      </c>
      <c r="P323" s="32" t="n">
        <v>20.83</v>
      </c>
      <c r="Q323" s="32" t="n">
        <v>882.17</v>
      </c>
      <c r="R323" s="31" t="inlineStr">
        <is>
          <t>Earnings / Momentum Support</t>
        </is>
      </c>
      <c r="S323" s="31" t="inlineStr">
        <is>
          <t>Nifty IT</t>
        </is>
      </c>
      <c r="T323" s="32" t="n">
        <v>-15.93</v>
      </c>
      <c r="U323" s="32" t="n">
        <v>-4.19</v>
      </c>
      <c r="V323" s="32" t="n">
        <v>13.96</v>
      </c>
      <c r="W323" s="32" t="n">
        <v>5.01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Annuity, Lower One Time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IF(B324=0,"",RANK(B324,$B$2:$B$346,0))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JUBLPHARMA</t>
        </is>
      </c>
      <c r="D324" s="33" t="inlineStr">
        <is>
          <t>Jubilant Pharmova Ltd</t>
        </is>
      </c>
      <c r="E324" s="31" t="inlineStr">
        <is>
          <t>healthcare</t>
        </is>
      </c>
      <c r="F324" s="31" t="inlineStr">
        <is>
          <t>pharmaceuticals - indian - bulk drugs</t>
        </is>
      </c>
      <c r="G324" s="31" t="inlineStr">
        <is>
          <t>midcap</t>
        </is>
      </c>
      <c r="H324" s="32" t="n">
        <v>17056.62</v>
      </c>
      <c r="I324" s="32" t="n">
        <v>1058</v>
      </c>
      <c r="J324" s="32" t="n">
        <v>-1.2</v>
      </c>
      <c r="K324" s="32" t="n">
        <v>135144</v>
      </c>
      <c r="L324" s="31" t="n">
        <v>10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62.01</v>
      </c>
      <c r="P324" s="32" t="n">
        <v>13.44</v>
      </c>
      <c r="Q324" s="32" t="n">
        <v>862.37</v>
      </c>
      <c r="R324" s="31" t="inlineStr">
        <is>
          <t>Earnings / Momentum Support</t>
        </is>
      </c>
      <c r="S324" s="31" t="inlineStr">
        <is>
          <t>Nifty Pharma</t>
        </is>
      </c>
      <c r="T324" s="32" t="n">
        <v>26.25</v>
      </c>
      <c r="U324" s="32" t="n">
        <v>1.97</v>
      </c>
      <c r="V324" s="32" t="n">
        <v>-19.23</v>
      </c>
      <c r="W324" s="32" t="n">
        <v>3.28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Yes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IF(B325=0,"",RANK(B325,$B$2:$B$346,0))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ARFIN</t>
        </is>
      </c>
      <c r="D325" s="31" t="inlineStr">
        <is>
          <t>Arfin India Ltd</t>
        </is>
      </c>
      <c r="E325" s="31" t="inlineStr">
        <is>
          <t>metals &amp; mining</t>
        </is>
      </c>
      <c r="F325" s="31" t="inlineStr">
        <is>
          <t>aluminium and aluminium products</t>
        </is>
      </c>
      <c r="G325" s="31" t="inlineStr">
        <is>
          <t>smallcap</t>
        </is>
      </c>
      <c r="H325" s="32" t="n">
        <v>1506.35</v>
      </c>
      <c r="I325" s="32" t="n">
        <v>91.42</v>
      </c>
      <c r="J325" s="32" t="n">
        <v>2.4</v>
      </c>
      <c r="K325" s="32" t="n">
        <v>1313201</v>
      </c>
      <c r="L325" s="31" t="inlineStr"/>
      <c r="M325" s="31" t="inlineStr"/>
      <c r="N325" s="32">
        <f>IF(M325="Underperforming",-5,IF(L325&gt;=95,15,IF(L325&gt;=90,10,IF(L325&gt;=80,5,0))))</f>
        <v/>
      </c>
      <c r="O325" s="32" t="n">
        <v>57.79</v>
      </c>
      <c r="P325" s="32" t="n">
        <v>23.71</v>
      </c>
      <c r="Q325" s="32" t="n">
        <v>67.48</v>
      </c>
      <c r="R325" s="31" t="inlineStr">
        <is>
          <t>Earnings / Momentum Support</t>
        </is>
      </c>
      <c r="S325" s="31" t="inlineStr">
        <is>
          <t>Nifty Metal</t>
        </is>
      </c>
      <c r="T325" s="32" t="inlineStr"/>
      <c r="U325" s="32" t="inlineStr"/>
      <c r="V325" s="32" t="inlineStr"/>
      <c r="W325" s="32" t="inlineStr"/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Between 0.7 to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IF(B326=0,"",RANK(B326,$B$2:$B$346,0))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ASTEC</t>
        </is>
      </c>
      <c r="D326" s="33" t="inlineStr">
        <is>
          <t>Astec Lifesciences Limited</t>
        </is>
      </c>
      <c r="E326" s="31" t="inlineStr">
        <is>
          <t>chemicals</t>
        </is>
      </c>
      <c r="F326" s="31" t="inlineStr">
        <is>
          <t>pesticides / agrochemicals - indian</t>
        </is>
      </c>
      <c r="G326" s="31" t="inlineStr">
        <is>
          <t>smallcap</t>
        </is>
      </c>
      <c r="H326" s="32" t="n">
        <v>1770.37</v>
      </c>
      <c r="I326" s="32" t="n">
        <v>757.45</v>
      </c>
      <c r="J326" s="32" t="n">
        <v>-4.66</v>
      </c>
      <c r="K326" s="32" t="n">
        <v>335710</v>
      </c>
      <c r="L326" s="31" t="n">
        <v>2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58.81</v>
      </c>
      <c r="P326" s="32" t="n">
        <v>16.66</v>
      </c>
      <c r="Q326" s="32" t="n">
        <v>500.01</v>
      </c>
      <c r="R326" s="31" t="inlineStr">
        <is>
          <t>Volume Spike / Accumulation</t>
        </is>
      </c>
      <c r="S326" s="31" t="inlineStr">
        <is>
          <t>Nifty 50</t>
        </is>
      </c>
      <c r="T326" s="32" t="n">
        <v>-4.9</v>
      </c>
      <c r="U326" s="32" t="n">
        <v>-7.53</v>
      </c>
      <c r="V326" s="32" t="n">
        <v>-2.77</v>
      </c>
      <c r="W326" s="32" t="n">
        <v>0.46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IF(B327=0,"",RANK(B327,$B$2:$B$346,0))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KIMS</t>
        </is>
      </c>
      <c r="D327" s="33" t="inlineStr">
        <is>
          <t>Krishna Institute of Medical Sciences Ltd</t>
        </is>
      </c>
      <c r="E327" s="31" t="inlineStr">
        <is>
          <t>healthcare</t>
        </is>
      </c>
      <c r="F327" s="31" t="inlineStr">
        <is>
          <t>healthcare</t>
        </is>
      </c>
      <c r="G327" s="31" t="inlineStr">
        <is>
          <t>largecap</t>
        </is>
      </c>
      <c r="H327" s="32" t="n">
        <v>33172.11</v>
      </c>
      <c r="I327" s="32" t="n">
        <v>798.05</v>
      </c>
      <c r="J327" s="32" t="n">
        <v>1.04</v>
      </c>
      <c r="K327" s="32" t="n">
        <v>323371</v>
      </c>
      <c r="L327" s="31" t="n">
        <v>8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57.02</v>
      </c>
      <c r="P327" s="32" t="n">
        <v>36.57</v>
      </c>
      <c r="Q327" s="32" t="n">
        <v>719.66</v>
      </c>
      <c r="R327" s="31" t="inlineStr">
        <is>
          <t>Earnings / Momentum Support</t>
        </is>
      </c>
      <c r="S327" s="31" t="inlineStr">
        <is>
          <t>Nifty Pharma</t>
        </is>
      </c>
      <c r="T327" s="32" t="n">
        <v>26.25</v>
      </c>
      <c r="U327" s="32" t="n">
        <v>9.82</v>
      </c>
      <c r="V327" s="32" t="n">
        <v>-13.01</v>
      </c>
      <c r="W327" s="32" t="n">
        <v>2.69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Yes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Annuity, Lower One Time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More than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IF(B328=0,"",RANK(B328,$B$2:$B$346,0))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LLOYDSME</t>
        </is>
      </c>
      <c r="D328" s="31" t="inlineStr">
        <is>
          <t>Lloyds Metals &amp; Energy Ltd</t>
        </is>
      </c>
      <c r="E328" s="31" t="inlineStr">
        <is>
          <t>metals &amp; mining</t>
        </is>
      </c>
      <c r="F328" s="31" t="inlineStr">
        <is>
          <t>mining / minerals / metals</t>
        </is>
      </c>
      <c r="G328" s="31" t="inlineStr">
        <is>
          <t>largecap</t>
        </is>
      </c>
      <c r="H328" s="32" t="n">
        <v>104554.34</v>
      </c>
      <c r="I328" s="32" t="n">
        <v>1890.9</v>
      </c>
      <c r="J328" s="32" t="n">
        <v>1.8</v>
      </c>
      <c r="K328" s="32" t="n">
        <v>739451</v>
      </c>
      <c r="L328" s="31" t="inlineStr"/>
      <c r="M328" s="31" t="inlineStr"/>
      <c r="N328" s="32">
        <f>IF(M328="Underperforming",-5,IF(L328&gt;=95,15,IF(L328&gt;=90,10,IF(L328&gt;=80,5,0))))</f>
        <v/>
      </c>
      <c r="O328" s="32" t="n">
        <v>60.07</v>
      </c>
      <c r="P328" s="32" t="n">
        <v>27.95</v>
      </c>
      <c r="Q328" s="32" t="n">
        <v>1768.48</v>
      </c>
      <c r="R328" s="31" t="inlineStr">
        <is>
          <t>Earnings / Momentum Support</t>
        </is>
      </c>
      <c r="S328" s="31" t="inlineStr">
        <is>
          <t>Nifty Metal</t>
        </is>
      </c>
      <c r="T328" s="32" t="inlineStr"/>
      <c r="U328" s="32" t="inlineStr"/>
      <c r="V328" s="32" t="inlineStr"/>
      <c r="W328" s="32" t="inlineStr"/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Cyclical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20 to 40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IF(B329=0,"",RANK(B329,$B$2:$B$346,0))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LIKHITHA</t>
        </is>
      </c>
      <c r="D329" s="31" t="inlineStr">
        <is>
          <t>Likhitha Infrastructure Ltd</t>
        </is>
      </c>
      <c r="E329" s="31" t="inlineStr">
        <is>
          <t>realty</t>
        </is>
      </c>
      <c r="F329" s="31" t="inlineStr">
        <is>
          <t>construction</t>
        </is>
      </c>
      <c r="G329" s="31" t="inlineStr">
        <is>
          <t>smallcap</t>
        </is>
      </c>
      <c r="H329" s="32" t="n">
        <v>899.3</v>
      </c>
      <c r="I329" s="32" t="n">
        <v>229.21</v>
      </c>
      <c r="J329" s="32" t="n">
        <v>0.55</v>
      </c>
      <c r="K329" s="32" t="n">
        <v>184606</v>
      </c>
      <c r="L329" s="31" t="inlineStr"/>
      <c r="M329" s="31" t="inlineStr"/>
      <c r="N329" s="32">
        <f>IF(M329="Underperforming",-5,IF(L329&gt;=95,15,IF(L329&gt;=90,10,IF(L329&gt;=80,5,0))))</f>
        <v/>
      </c>
      <c r="O329" s="32" t="n">
        <v>55.5</v>
      </c>
      <c r="P329" s="32" t="n">
        <v>18.2</v>
      </c>
      <c r="Q329" s="32" t="n">
        <v>192.56</v>
      </c>
      <c r="R329" s="31" t="inlineStr">
        <is>
          <t>Earnings / Momentum Support</t>
        </is>
      </c>
      <c r="S329" s="31" t="inlineStr">
        <is>
          <t>Nifty Realty</t>
        </is>
      </c>
      <c r="T329" s="32" t="inlineStr"/>
      <c r="U329" s="32" t="inlineStr"/>
      <c r="V329" s="32" t="inlineStr"/>
      <c r="W329" s="32" t="inlineStr"/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IF(B330=0,"",RANK(B330,$B$2:$B$346,0))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ARIS</t>
        </is>
      </c>
      <c r="D330" s="33" t="inlineStr">
        <is>
          <t>Arisinfra Solutions Ltd</t>
        </is>
      </c>
      <c r="E330" s="31" t="inlineStr">
        <is>
          <t>services</t>
        </is>
      </c>
      <c r="F330" s="31" t="inlineStr">
        <is>
          <t>trading</t>
        </is>
      </c>
      <c r="G330" s="31" t="inlineStr">
        <is>
          <t>smallcap</t>
        </is>
      </c>
      <c r="H330" s="32" t="n">
        <v>1145.93</v>
      </c>
      <c r="I330" s="32" t="n">
        <v>143.72</v>
      </c>
      <c r="J330" s="32" t="n">
        <v>2.58</v>
      </c>
      <c r="K330" s="32" t="n">
        <v>2711866</v>
      </c>
      <c r="L330" s="31" t="n">
        <v>14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57.26</v>
      </c>
      <c r="P330" s="32" t="n">
        <v>10.67</v>
      </c>
      <c r="Q330" s="32" t="n">
        <v>106.6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-4.9</v>
      </c>
      <c r="U330" s="32" t="n">
        <v>-8.92</v>
      </c>
      <c r="V330" s="32" t="n">
        <v>-4.22</v>
      </c>
      <c r="W330" s="32" t="n">
        <v>5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IF(B331=0,"",RANK(B331,$B$2:$B$346,0))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JSL</t>
        </is>
      </c>
      <c r="D331" s="31" t="inlineStr">
        <is>
          <t>Jindal Stainless Limited</t>
        </is>
      </c>
      <c r="E331" s="31" t="inlineStr">
        <is>
          <t>metals &amp; mining</t>
        </is>
      </c>
      <c r="F331" s="31" t="inlineStr">
        <is>
          <t>steel - large</t>
        </is>
      </c>
      <c r="G331" s="31" t="inlineStr">
        <is>
          <t>largecap</t>
        </is>
      </c>
      <c r="H331" s="32" t="n">
        <v>61291.47</v>
      </c>
      <c r="I331" s="32" t="n">
        <v>758.55</v>
      </c>
      <c r="J331" s="32" t="n">
        <v>2.03</v>
      </c>
      <c r="K331" s="32" t="n">
        <v>906824</v>
      </c>
      <c r="L331" s="31" t="inlineStr"/>
      <c r="M331" s="31" t="inlineStr"/>
      <c r="N331" s="32">
        <f>IF(M331="Underperforming",-5,IF(L331&gt;=95,15,IF(L331&gt;=90,10,IF(L331&gt;=80,5,0))))</f>
        <v/>
      </c>
      <c r="O331" s="32" t="n">
        <v>56.51</v>
      </c>
      <c r="P331" s="32" t="n">
        <v>13.32</v>
      </c>
      <c r="Q331" s="32" t="n">
        <v>630.14</v>
      </c>
      <c r="R331" s="31" t="inlineStr">
        <is>
          <t>Earnings / Momentum Support</t>
        </is>
      </c>
      <c r="S331" s="31" t="inlineStr">
        <is>
          <t>Nifty Metal</t>
        </is>
      </c>
      <c r="T331" s="32" t="inlineStr"/>
      <c r="U331" s="32" t="inlineStr"/>
      <c r="V331" s="32" t="inlineStr"/>
      <c r="W331" s="32" t="inlineStr"/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IF(B332=0,"",RANK(B332,$B$2:$B$346,0))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KIRLFER</t>
        </is>
      </c>
      <c r="D332" s="31" t="inlineStr">
        <is>
          <t>Kirloskar Ferrous Industries Ltd</t>
        </is>
      </c>
      <c r="E332" s="31" t="inlineStr">
        <is>
          <t>metals &amp; mining</t>
        </is>
      </c>
      <c r="F332" s="31" t="inlineStr">
        <is>
          <t>steel - large</t>
        </is>
      </c>
      <c r="G332" s="31" t="inlineStr">
        <is>
          <t>midcap</t>
        </is>
      </c>
      <c r="H332" s="32" t="n">
        <v>7917.16</v>
      </c>
      <c r="I332" s="32" t="n">
        <v>478.1</v>
      </c>
      <c r="J332" s="32" t="n">
        <v>-0.36</v>
      </c>
      <c r="K332" s="32" t="n">
        <v>126883</v>
      </c>
      <c r="L332" s="31" t="inlineStr"/>
      <c r="M332" s="31" t="inlineStr"/>
      <c r="N332" s="32">
        <f>IF(M332="Underperforming",-5,IF(L332&gt;=95,15,IF(L332&gt;=90,10,IF(L332&gt;=80,5,0))))</f>
        <v/>
      </c>
      <c r="O332" s="32" t="n">
        <v>57.69</v>
      </c>
      <c r="P332" s="32" t="n">
        <v>14.13</v>
      </c>
      <c r="Q332" s="32" t="n">
        <v>393.92</v>
      </c>
      <c r="R332" s="31" t="inlineStr">
        <is>
          <t>Earnings / Momentum Support</t>
        </is>
      </c>
      <c r="S332" s="31" t="inlineStr">
        <is>
          <t>Nifty Metal</t>
        </is>
      </c>
      <c r="T332" s="32" t="inlineStr"/>
      <c r="U332" s="32" t="inlineStr"/>
      <c r="V332" s="32" t="inlineStr"/>
      <c r="W332" s="32" t="inlineStr"/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Cyclical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Volatile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IF(B333=0,"",RANK(B333,$B$2:$B$346,0))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20MICRONS</t>
        </is>
      </c>
      <c r="D333" s="31" t="inlineStr">
        <is>
          <t>20 Microns Limited</t>
        </is>
      </c>
      <c r="E333" s="31" t="inlineStr">
        <is>
          <t>metals &amp; mining</t>
        </is>
      </c>
      <c r="F333" s="31" t="inlineStr">
        <is>
          <t>mining / minerals / metals</t>
        </is>
      </c>
      <c r="G333" s="31" t="inlineStr">
        <is>
          <t>smallcap</t>
        </is>
      </c>
      <c r="H333" s="32" t="n">
        <v>763.78</v>
      </c>
      <c r="I333" s="32" t="n">
        <v>219.21</v>
      </c>
      <c r="J333" s="32" t="n">
        <v>1.28</v>
      </c>
      <c r="K333" s="32" t="n">
        <v>104573</v>
      </c>
      <c r="L333" s="31" t="inlineStr"/>
      <c r="M333" s="31" t="inlineStr"/>
      <c r="N333" s="32">
        <f>IF(M333="Underperforming",-5,IF(L333&gt;=95,15,IF(L333&gt;=90,10,IF(L333&gt;=80,5,0))))</f>
        <v/>
      </c>
      <c r="O333" s="32" t="n">
        <v>60.65</v>
      </c>
      <c r="P333" s="32" t="n">
        <v>22.36</v>
      </c>
      <c r="Q333" s="32" t="n">
        <v>164.68</v>
      </c>
      <c r="R333" s="31" t="inlineStr">
        <is>
          <t>Near 52W High Breakout</t>
        </is>
      </c>
      <c r="S333" s="31" t="inlineStr">
        <is>
          <t>Nifty Metal</t>
        </is>
      </c>
      <c r="T333" s="32" t="inlineStr"/>
      <c r="U333" s="32" t="inlineStr"/>
      <c r="V333" s="32" t="inlineStr"/>
      <c r="W333" s="32" t="inlineStr"/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Cyclical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20 to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IF(B334=0,"",RANK(B334,$B$2:$B$346,0))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DLF</t>
        </is>
      </c>
      <c r="D334" s="31" t="inlineStr">
        <is>
          <t>Dlf Limited</t>
        </is>
      </c>
      <c r="E334" s="31" t="inlineStr">
        <is>
          <t>realty</t>
        </is>
      </c>
      <c r="F334" s="31" t="inlineStr">
        <is>
          <t>construction</t>
        </is>
      </c>
      <c r="G334" s="31" t="inlineStr">
        <is>
          <t>largecap</t>
        </is>
      </c>
      <c r="H334" s="32" t="n">
        <v>165722.12</v>
      </c>
      <c r="I334" s="32" t="n">
        <v>675</v>
      </c>
      <c r="J334" s="32" t="n">
        <v>0.82</v>
      </c>
      <c r="K334" s="32" t="n">
        <v>2425745</v>
      </c>
      <c r="L334" s="31" t="inlineStr"/>
      <c r="M334" s="31" t="inlineStr"/>
      <c r="N334" s="32">
        <f>IF(M334="Underperforming",-5,IF(L334&gt;=95,15,IF(L334&gt;=90,10,IF(L334&gt;=80,5,0))))</f>
        <v/>
      </c>
      <c r="O334" s="32" t="n">
        <v>56.82</v>
      </c>
      <c r="P334" s="32" t="n">
        <v>10.06</v>
      </c>
      <c r="Q334" s="32" t="n">
        <v>563.58</v>
      </c>
      <c r="R334" s="31" t="inlineStr">
        <is>
          <t>Earnings / Momentum Support</t>
        </is>
      </c>
      <c r="S334" s="31" t="inlineStr">
        <is>
          <t>Nifty Realty</t>
        </is>
      </c>
      <c r="T334" s="32" t="inlineStr"/>
      <c r="U334" s="32" t="inlineStr"/>
      <c r="V334" s="32" t="inlineStr"/>
      <c r="W334" s="32" t="inlineStr"/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IF(B335=0,"",RANK(B335,$B$2:$B$346,0))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MAXHEALTH</t>
        </is>
      </c>
      <c r="D335" s="33" t="inlineStr">
        <is>
          <t>Max Healthcare Institute Ltd</t>
        </is>
      </c>
      <c r="E335" s="31" t="inlineStr">
        <is>
          <t>healthcare</t>
        </is>
      </c>
      <c r="F335" s="31" t="inlineStr">
        <is>
          <t>healthcare</t>
        </is>
      </c>
      <c r="G335" s="31" t="inlineStr">
        <is>
          <t>largecap</t>
        </is>
      </c>
      <c r="H335" s="32" t="n">
        <v>102823.21</v>
      </c>
      <c r="I335" s="32" t="n">
        <v>1059.9</v>
      </c>
      <c r="J335" s="32" t="n">
        <v>0.32</v>
      </c>
      <c r="K335" s="32" t="n">
        <v>1122755</v>
      </c>
      <c r="L335" s="31" t="n">
        <v>1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51.96</v>
      </c>
      <c r="P335" s="32" t="n">
        <v>9.130000000000001</v>
      </c>
      <c r="Q335" s="32" t="n">
        <v>982.6900000000001</v>
      </c>
      <c r="R335" s="31" t="inlineStr">
        <is>
          <t>Earnings / Momentum Support</t>
        </is>
      </c>
      <c r="S335" s="31" t="inlineStr">
        <is>
          <t>Nifty Pharma</t>
        </is>
      </c>
      <c r="T335" s="32" t="n">
        <v>26.25</v>
      </c>
      <c r="U335" s="32" t="n">
        <v>-5.48</v>
      </c>
      <c r="V335" s="32" t="n">
        <v>-25.13</v>
      </c>
      <c r="W335" s="32" t="n">
        <v>-1.87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Annuity, Lower One Time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1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IF(B336=0,"",RANK(B336,$B$2:$B$346,0))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CHALET</t>
        </is>
      </c>
      <c r="D336" s="33" t="inlineStr">
        <is>
          <t>Chalet Hotels Ltd</t>
        </is>
      </c>
      <c r="E336" s="31" t="inlineStr">
        <is>
          <t>services</t>
        </is>
      </c>
      <c r="F336" s="31" t="inlineStr">
        <is>
          <t>hotels</t>
        </is>
      </c>
      <c r="G336" s="31" t="inlineStr">
        <is>
          <t>midcap</t>
        </is>
      </c>
      <c r="H336" s="32" t="n">
        <v>19103.95</v>
      </c>
      <c r="I336" s="32" t="n">
        <v>884.05</v>
      </c>
      <c r="J336" s="32" t="n">
        <v>1.34</v>
      </c>
      <c r="K336" s="32" t="n">
        <v>188427</v>
      </c>
      <c r="L336" s="31" t="n">
        <v>2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57.19</v>
      </c>
      <c r="P336" s="32" t="n">
        <v>7.96</v>
      </c>
      <c r="Q336" s="32" t="n">
        <v>733.62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-4.9</v>
      </c>
      <c r="U336" s="32" t="n">
        <v>-7.36</v>
      </c>
      <c r="V336" s="32" t="n">
        <v>-2.58</v>
      </c>
      <c r="W336" s="32" t="n">
        <v>0.7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IF(B337=0,"",RANK(B337,$B$2:$B$346,0))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RAMRAT</t>
        </is>
      </c>
      <c r="D337" s="31" t="inlineStr">
        <is>
          <t>Ram Ratna Wires Ltd</t>
        </is>
      </c>
      <c r="E337" s="31" t="inlineStr">
        <is>
          <t>metals &amp; mining</t>
        </is>
      </c>
      <c r="F337" s="31" t="inlineStr">
        <is>
          <t>mining / minerals / metals</t>
        </is>
      </c>
      <c r="G337" s="31" t="inlineStr">
        <is>
          <t>midcap</t>
        </is>
      </c>
      <c r="H337" s="32" t="n">
        <v>5253.22</v>
      </c>
      <c r="I337" s="32" t="n">
        <v>558.65</v>
      </c>
      <c r="J337" s="32" t="n">
        <v>-0.73</v>
      </c>
      <c r="K337" s="32" t="n">
        <v>243033</v>
      </c>
      <c r="L337" s="31" t="inlineStr"/>
      <c r="M337" s="31" t="inlineStr"/>
      <c r="N337" s="32">
        <f>IF(M337="Underperforming",-5,IF(L337&gt;=95,15,IF(L337&gt;=90,10,IF(L337&gt;=80,5,0))))</f>
        <v/>
      </c>
      <c r="O337" s="32" t="n">
        <v>69.44</v>
      </c>
      <c r="P337" s="32" t="n">
        <v>47.65</v>
      </c>
      <c r="Q337" s="32" t="n">
        <v>447.19</v>
      </c>
      <c r="R337" s="31" t="inlineStr">
        <is>
          <t>Earnings / Momentum Support</t>
        </is>
      </c>
      <c r="S337" s="31" t="inlineStr">
        <is>
          <t>Nifty Metal</t>
        </is>
      </c>
      <c r="T337" s="32" t="inlineStr"/>
      <c r="U337" s="32" t="inlineStr"/>
      <c r="V337" s="32" t="inlineStr"/>
      <c r="W337" s="32" t="inlineStr"/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Above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Between 0.7 to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IF(B338=0,"",RANK(B338,$B$2:$B$346,0))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SAIL</t>
        </is>
      </c>
      <c r="D338" s="31" t="inlineStr">
        <is>
          <t>Steel Authority Of India Limited</t>
        </is>
      </c>
      <c r="E338" s="31" t="inlineStr">
        <is>
          <t>metals &amp; mining</t>
        </is>
      </c>
      <c r="F338" s="31" t="inlineStr">
        <is>
          <t>steel - large</t>
        </is>
      </c>
      <c r="G338" s="31" t="inlineStr">
        <is>
          <t>largecap</t>
        </is>
      </c>
      <c r="H338" s="32" t="n">
        <v>71875.27</v>
      </c>
      <c r="I338" s="32" t="n">
        <v>185.44</v>
      </c>
      <c r="J338" s="32" t="n">
        <v>6.57</v>
      </c>
      <c r="K338" s="32" t="n">
        <v>41615771</v>
      </c>
      <c r="L338" s="31" t="inlineStr"/>
      <c r="M338" s="31" t="inlineStr"/>
      <c r="N338" s="32">
        <f>IF(M338="Underperforming",-5,IF(L338&gt;=95,15,IF(L338&gt;=90,10,IF(L338&gt;=80,5,0))))</f>
        <v/>
      </c>
      <c r="O338" s="32" t="n">
        <v>55.83</v>
      </c>
      <c r="P338" s="32" t="n">
        <v>14.58</v>
      </c>
      <c r="Q338" s="32" t="n">
        <v>159.11</v>
      </c>
      <c r="R338" s="31" t="inlineStr">
        <is>
          <t>Earnings / Momentum Support</t>
        </is>
      </c>
      <c r="S338" s="31" t="inlineStr">
        <is>
          <t>Nifty Metal</t>
        </is>
      </c>
      <c r="T338" s="32" t="inlineStr"/>
      <c r="U338" s="32" t="inlineStr"/>
      <c r="V338" s="32" t="inlineStr"/>
      <c r="W338" s="32" t="inlineStr"/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Cyclical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IF(B339=0,"",RANK(B339,$B$2:$B$346,0))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TIMKEN</t>
        </is>
      </c>
      <c r="D339" s="31" t="inlineStr">
        <is>
          <t>Timken India Limited</t>
        </is>
      </c>
      <c r="E339" s="31" t="inlineStr">
        <is>
          <t>industrials</t>
        </is>
      </c>
      <c r="F339" s="31" t="inlineStr">
        <is>
          <t>bearings</t>
        </is>
      </c>
      <c r="G339" s="31" t="inlineStr">
        <is>
          <t>largecap</t>
        </is>
      </c>
      <c r="H339" s="32" t="n">
        <v>23908.27</v>
      </c>
      <c r="I339" s="32" t="n">
        <v>3287.9</v>
      </c>
      <c r="J339" s="32" t="n">
        <v>3.44</v>
      </c>
      <c r="K339" s="32" t="n">
        <v>55180</v>
      </c>
      <c r="L339" s="31" t="n">
        <v>1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49.97</v>
      </c>
      <c r="P339" s="32" t="n">
        <v>9.699999999999999</v>
      </c>
      <c r="Q339" s="32" t="n">
        <v>3023.12</v>
      </c>
      <c r="R339" s="31" t="inlineStr">
        <is>
          <t>Earnings / Momentum Support</t>
        </is>
      </c>
      <c r="S339" s="31" t="inlineStr">
        <is>
          <t>Nifty 50</t>
        </is>
      </c>
      <c r="T339" s="32" t="n">
        <v>-4.9</v>
      </c>
      <c r="U339" s="32" t="n">
        <v>9.75</v>
      </c>
      <c r="V339" s="32" t="n">
        <v>15.41</v>
      </c>
      <c r="W339" s="32" t="n">
        <v>0.19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Below 45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Between 12 to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IF(B340=0,"",RANK(B340,$B$2:$B$346,0))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TATASTEEL</t>
        </is>
      </c>
      <c r="D340" s="31" t="inlineStr">
        <is>
          <t>Tata Steel Limited</t>
        </is>
      </c>
      <c r="E340" s="31" t="inlineStr">
        <is>
          <t>metals &amp; mining</t>
        </is>
      </c>
      <c r="F340" s="31" t="inlineStr">
        <is>
          <t>steel - large</t>
        </is>
      </c>
      <c r="G340" s="31" t="inlineStr">
        <is>
          <t>largecap</t>
        </is>
      </c>
      <c r="H340" s="32" t="n">
        <v>230907.88</v>
      </c>
      <c r="I340" s="32" t="n">
        <v>190.82</v>
      </c>
      <c r="J340" s="32" t="n">
        <v>3.16</v>
      </c>
      <c r="K340" s="32" t="n">
        <v>39798327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51.45</v>
      </c>
      <c r="P340" s="32" t="n">
        <v>7.05</v>
      </c>
      <c r="Q340" s="32" t="n">
        <v>162.99</v>
      </c>
      <c r="R340" s="31" t="inlineStr">
        <is>
          <t>Earnings / Momentum Support</t>
        </is>
      </c>
      <c r="S340" s="31" t="inlineStr">
        <is>
          <t>Nifty Metal</t>
        </is>
      </c>
      <c r="T340" s="32" t="inlineStr"/>
      <c r="U340" s="32" t="inlineStr"/>
      <c r="V340" s="32" t="inlineStr"/>
      <c r="W340" s="32" t="inlineStr"/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1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Between 1.5 to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IF(B341=0,"",RANK(B341,$B$2:$B$346,0))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GNFC</t>
        </is>
      </c>
      <c r="D341" s="31" t="inlineStr">
        <is>
          <t>Gujarat Narmada Valley Fertilizers And Chemicals Limited</t>
        </is>
      </c>
      <c r="E341" s="31" t="inlineStr">
        <is>
          <t>chemicals</t>
        </is>
      </c>
      <c r="F341" s="31" t="inlineStr">
        <is>
          <t>chemicals</t>
        </is>
      </c>
      <c r="G341" s="31" t="inlineStr">
        <is>
          <t>midcap</t>
        </is>
      </c>
      <c r="H341" s="32" t="n">
        <v>8797.34</v>
      </c>
      <c r="I341" s="32" t="n">
        <v>623.05</v>
      </c>
      <c r="J341" s="32" t="n">
        <v>4.07</v>
      </c>
      <c r="K341" s="32" t="n">
        <v>1894770</v>
      </c>
      <c r="L341" s="31" t="n">
        <v>37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73.37</v>
      </c>
      <c r="P341" s="32" t="n">
        <v>40.07</v>
      </c>
      <c r="Q341" s="32" t="n">
        <v>506.39</v>
      </c>
      <c r="R341" s="31" t="inlineStr">
        <is>
          <t>Near 52W High Breakout</t>
        </is>
      </c>
      <c r="S341" s="31" t="inlineStr">
        <is>
          <t>Nifty 50</t>
        </is>
      </c>
      <c r="T341" s="32" t="n">
        <v>-4.9</v>
      </c>
      <c r="U341" s="32" t="n">
        <v>29.92</v>
      </c>
      <c r="V341" s="32" t="n">
        <v>36.61</v>
      </c>
      <c r="W341" s="32" t="n">
        <v>11.05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Oligopoly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Shallow Cyclical (2 to 3 Years Growth)</t>
        </is>
      </c>
      <c r="AG341" s="31">
        <f>IF(AF341="Structural (10 Years Consistency)",10,IF(AF341="Shallow Cyclical (2 to 3 years growth)",5,0))</f>
        <v/>
      </c>
      <c r="AH341" s="31" t="inlineStr">
        <is>
          <t>Yes due to Product Mix change or Operating Leverage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Allocated capital in Non-core Areas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Above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Sideways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Overhead supply in last 2 years in last 2 years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More than 15%</t>
        </is>
      </c>
      <c r="CC341" s="31">
        <f>IF(CB341="More than 15%",-10,IF(CB341="Less than 15%",10,0))</f>
        <v/>
      </c>
      <c r="CD341" s="31" t="inlineStr">
        <is>
          <t>Yes Upto 10%</t>
        </is>
      </c>
      <c r="CE341" s="31">
        <f>IF(CD341="Yes, more than 10%",-10,IF(CD341="No",10,0))</f>
        <v/>
      </c>
    </row>
    <row r="342">
      <c r="A342" s="31">
        <f>IF(B342=0,"",RANK(B342,$B$2:$B$346,0))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GPPL</t>
        </is>
      </c>
      <c r="D342" s="31" t="inlineStr">
        <is>
          <t>Gujarat Pipavav Port Limited</t>
        </is>
      </c>
      <c r="E342" s="31" t="inlineStr">
        <is>
          <t>transportation</t>
        </is>
      </c>
      <c r="F342" s="31" t="inlineStr">
        <is>
          <t>miscellaneous</t>
        </is>
      </c>
      <c r="G342" s="31" t="inlineStr">
        <is>
          <t>midcap</t>
        </is>
      </c>
      <c r="H342" s="32" t="n">
        <v>7948.24</v>
      </c>
      <c r="I342" s="32" t="n">
        <v>164.12</v>
      </c>
      <c r="J342" s="32" t="n">
        <v>-0.18</v>
      </c>
      <c r="K342" s="32" t="n">
        <v>658410</v>
      </c>
      <c r="L342" s="31" t="n">
        <v>15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60.98</v>
      </c>
      <c r="P342" s="32" t="n">
        <v>15.63</v>
      </c>
      <c r="Q342" s="32" t="n">
        <v>139.47</v>
      </c>
      <c r="R342" s="31" t="inlineStr">
        <is>
          <t>Earnings / Momentum Support</t>
        </is>
      </c>
      <c r="S342" s="31" t="inlineStr">
        <is>
          <t>Nifty 50</t>
        </is>
      </c>
      <c r="T342" s="32" t="n">
        <v>-4.9</v>
      </c>
      <c r="U342" s="32" t="n">
        <v>11.58</v>
      </c>
      <c r="V342" s="32" t="n">
        <v>17.33</v>
      </c>
      <c r="W342" s="32" t="n">
        <v>5.17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Oligopoly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Shallow Cyclical (2 to 3 Years Growth)</t>
        </is>
      </c>
      <c r="AG342" s="31">
        <f>IF(AF342="Structural (10 Years Consistency)",10,IF(AF342="Shallow Cyclical (2 to 3 years growth)",5,0))</f>
        <v/>
      </c>
      <c r="AH342" s="31" t="inlineStr">
        <is>
          <t>Yes due to Product Mix change or Operating Leverage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Allocated capital in Non-core Areas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Above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Sideways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Overhead supply in last 2 years in last 2 years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More than 15%</t>
        </is>
      </c>
      <c r="CC342" s="31">
        <f>IF(CB342="More than 15%",-10,IF(CB342="Less than 15%",10,0))</f>
        <v/>
      </c>
      <c r="CD342" s="31" t="inlineStr">
        <is>
          <t>Yes Upto 10%</t>
        </is>
      </c>
      <c r="CE342" s="31">
        <f>IF(CD342="Yes, more than 10%",-10,IF(CD342="No",10,0))</f>
        <v/>
      </c>
    </row>
    <row r="343">
      <c r="A343" s="31">
        <f>IF(B343=0,"",RANK(B343,$B$2:$B$346,0))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POLICYBZR</t>
        </is>
      </c>
      <c r="D343" s="31" t="inlineStr">
        <is>
          <t>PB Fintech Ltd</t>
        </is>
      </c>
      <c r="E343" s="31" t="inlineStr">
        <is>
          <t>i.t</t>
        </is>
      </c>
      <c r="F343" s="31" t="inlineStr">
        <is>
          <t>miscellaneous</t>
        </is>
      </c>
      <c r="G343" s="31" t="inlineStr">
        <is>
          <t>largecap</t>
        </is>
      </c>
      <c r="H343" s="32" t="n">
        <v>83516.42</v>
      </c>
      <c r="I343" s="32" t="n">
        <v>1886.3</v>
      </c>
      <c r="J343" s="32" t="n">
        <v>4.5</v>
      </c>
      <c r="K343" s="32" t="n">
        <v>2477939</v>
      </c>
      <c r="L343" s="31" t="n">
        <v>22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63.51</v>
      </c>
      <c r="P343" s="32" t="n">
        <v>12.71</v>
      </c>
      <c r="Q343" s="32" t="n">
        <v>1541.94</v>
      </c>
      <c r="R343" s="31" t="inlineStr">
        <is>
          <t>Near 52W High Breakout</t>
        </is>
      </c>
      <c r="S343" s="31" t="inlineStr">
        <is>
          <t>Nifty IT</t>
        </is>
      </c>
      <c r="T343" s="32" t="n">
        <v>-15.93</v>
      </c>
      <c r="U343" s="32" t="n">
        <v>12.47</v>
      </c>
      <c r="V343" s="32" t="n">
        <v>33.78</v>
      </c>
      <c r="W343" s="32" t="n">
        <v>6.91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Monopoly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B2C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Fully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Allocated capital in Non-core Areas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Below 45</t>
        </is>
      </c>
      <c r="BA343" s="31">
        <f>IF(AZ343="Between 50 to 75",10,IF(AZ343="Above 75",0,0))</f>
        <v/>
      </c>
      <c r="BB343" s="31" t="inlineStr">
        <is>
          <t>Stage 1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Downtrend</t>
        </is>
      </c>
      <c r="BG343" s="31">
        <f>IF(BF343="Uptrend",10,IF(BF343="Sideways",5,0))</f>
        <v/>
      </c>
      <c r="BH343" s="31" t="inlineStr">
        <is>
          <t>Downtrend</t>
        </is>
      </c>
      <c r="BI343" s="31">
        <f>IF(BH343="Uptrend",10,IF(BH343="Sideways",5,0))</f>
        <v/>
      </c>
      <c r="BJ343" s="31" t="inlineStr">
        <is>
          <t>Overhead supply in last 2 years in last 2 years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Yes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IF(B344=0,"",RANK(B344,$B$2:$B$346,0))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JINDALSTEL</t>
        </is>
      </c>
      <c r="D344" s="31" t="inlineStr">
        <is>
          <t>Jindal Steel Ltd</t>
        </is>
      </c>
      <c r="E344" s="31" t="inlineStr">
        <is>
          <t>metals &amp; mining</t>
        </is>
      </c>
      <c r="F344" s="31" t="inlineStr">
        <is>
          <t>steel - large</t>
        </is>
      </c>
      <c r="G344" s="31" t="inlineStr">
        <is>
          <t>largecap</t>
        </is>
      </c>
      <c r="H344" s="32" t="n">
        <v>116392.05</v>
      </c>
      <c r="I344" s="32" t="n">
        <v>1175.3</v>
      </c>
      <c r="J344" s="32" t="n">
        <v>3.01</v>
      </c>
      <c r="K344" s="32" t="n">
        <v>994851</v>
      </c>
      <c r="L344" s="31" t="inlineStr"/>
      <c r="M344" s="31" t="inlineStr"/>
      <c r="N344" s="32">
        <f>IF(M344="Underperforming",-5,IF(L344&gt;=95,15,IF(L344&gt;=90,10,IF(L344&gt;=80,5,0))))</f>
        <v/>
      </c>
      <c r="O344" s="32" t="n">
        <v>56.26</v>
      </c>
      <c r="P344" s="32" t="n">
        <v>14.58</v>
      </c>
      <c r="Q344" s="32" t="n">
        <v>985.62</v>
      </c>
      <c r="R344" s="31" t="inlineStr">
        <is>
          <t>Earnings / Momentum Support</t>
        </is>
      </c>
      <c r="S344" s="31" t="inlineStr">
        <is>
          <t>Nifty Metal</t>
        </is>
      </c>
      <c r="T344" s="32" t="inlineStr"/>
      <c r="U344" s="32" t="inlineStr"/>
      <c r="V344" s="32" t="inlineStr"/>
      <c r="W344" s="32" t="inlineStr"/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IF(B345=0,"",RANK(B345,$B$2:$B$346,0))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UNITEDPOLY</t>
        </is>
      </c>
      <c r="D345" s="33" t="inlineStr">
        <is>
          <t>United Polyfab Gujarat Ltd</t>
        </is>
      </c>
      <c r="E345" s="31" t="inlineStr">
        <is>
          <t>textiles</t>
        </is>
      </c>
      <c r="F345" s="31" t="inlineStr">
        <is>
          <t>textiles - products</t>
        </is>
      </c>
      <c r="G345" s="31" t="inlineStr">
        <is>
          <t>smallcap</t>
        </is>
      </c>
      <c r="H345" s="32" t="n">
        <v>1045.9</v>
      </c>
      <c r="I345" s="32" t="n">
        <v>45.94</v>
      </c>
      <c r="J345" s="32" t="n">
        <v>0.8100000000000001</v>
      </c>
      <c r="K345" s="32" t="n">
        <v>112261</v>
      </c>
      <c r="L345" s="31" t="n">
        <v>45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74.06999999999999</v>
      </c>
      <c r="P345" s="32" t="n">
        <v>23.35</v>
      </c>
      <c r="Q345" s="32" t="n">
        <v>33.55</v>
      </c>
      <c r="R345" s="31" t="inlineStr">
        <is>
          <t>Volume Spike &amp; Near 52W High Breakout</t>
        </is>
      </c>
      <c r="S345" s="31" t="inlineStr">
        <is>
          <t>Nifty 50</t>
        </is>
      </c>
      <c r="T345" s="32" t="n">
        <v>-4.9</v>
      </c>
      <c r="U345" s="32" t="n">
        <v>-7.44</v>
      </c>
      <c r="V345" s="32" t="n">
        <v>-2.67</v>
      </c>
      <c r="W345" s="32" t="n">
        <v>13.2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Shallow Cyclical (2 to 3 Years Growth)</t>
        </is>
      </c>
      <c r="AG345" s="31">
        <f>IF(AF345="Structural (10 Years Consistency)",10,IF(AF345="Shallow Cyclical (2 to 3 years growth)",5,0))</f>
        <v/>
      </c>
      <c r="AH345" s="31" t="inlineStr">
        <is>
          <t>Yes due to Product Mix change or Operating Leverage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Allocated capital in Non-core Areas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Above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Sideways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Overhead supply in last 2 years in last 2 years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More than 15%</t>
        </is>
      </c>
      <c r="CC345" s="31">
        <f>IF(CB345="More than 15%",-10,IF(CB345="Less than 15%",10,0))</f>
        <v/>
      </c>
      <c r="CD345" s="31" t="inlineStr">
        <is>
          <t>Yes Upto 10%</t>
        </is>
      </c>
      <c r="CE345" s="31">
        <f>IF(CD345="Yes, more than 10%",-10,IF(CD345="No",10,0))</f>
        <v/>
      </c>
    </row>
    <row r="346">
      <c r="A346" s="31">
        <f>IF(B346=0,"",RANK(B346,$B$2:$B$346,0))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HEG</t>
        </is>
      </c>
      <c r="D346" s="33" t="inlineStr">
        <is>
          <t>Heg Limited</t>
        </is>
      </c>
      <c r="E346" s="31" t="inlineStr">
        <is>
          <t>industrials</t>
        </is>
      </c>
      <c r="F346" s="31" t="inlineStr">
        <is>
          <t>electrodes - graphites</t>
        </is>
      </c>
      <c r="G346" s="31" t="inlineStr">
        <is>
          <t>midcap</t>
        </is>
      </c>
      <c r="H346" s="32" t="n">
        <v>8195.5</v>
      </c>
      <c r="I346" s="32" t="n">
        <v>248.5</v>
      </c>
      <c r="J346" s="32" t="n">
        <v>4.83</v>
      </c>
      <c r="K346" s="32" t="n">
        <v>5439342</v>
      </c>
      <c r="L346" s="31" t="n">
        <v>1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26.24</v>
      </c>
      <c r="P346" s="32" t="n">
        <v>36.51</v>
      </c>
      <c r="Q346" s="32" t="n">
        <v>511.44</v>
      </c>
      <c r="R346" s="31" t="inlineStr">
        <is>
          <t>Earnings / Momentum Support</t>
        </is>
      </c>
      <c r="S346" s="31" t="inlineStr">
        <is>
          <t>Nifty 50</t>
        </is>
      </c>
      <c r="T346" s="32" t="n">
        <v>-4.9</v>
      </c>
      <c r="U346" s="32" t="n">
        <v>-53.78</v>
      </c>
      <c r="V346" s="32" t="n">
        <v>-51.4</v>
      </c>
      <c r="W346" s="32" t="n">
        <v>-21.27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Below 45</t>
        </is>
      </c>
      <c r="BA346" s="31">
        <f>IF(AZ346="Between 50 to 75",10,IF(AZ346="Above 75",0,0))</f>
        <v/>
      </c>
      <c r="BB346" s="31" t="inlineStr">
        <is>
          <t>Stage 4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No</t>
        </is>
      </c>
      <c r="BM346" s="31">
        <f>IF(BL346="Yes",10,0)</f>
        <v/>
      </c>
      <c r="BN346" s="31" t="inlineStr">
        <is>
          <t>Between 12 to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</sheetData>
  <autoFilter ref="A1:CE346"/>
  <conditionalFormatting sqref="B2:B34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4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4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46">
    <cfRule type="cellIs" priority="36" operator="equal" dxfId="3" stopIfTrue="1">
      <formula>"Underperforming"</formula>
    </cfRule>
  </conditionalFormatting>
  <conditionalFormatting sqref="N2:N346">
    <cfRule type="cellIs" priority="37" operator="equal" dxfId="3" stopIfTrue="1">
      <formula>-5</formula>
    </cfRule>
  </conditionalFormatting>
  <conditionalFormatting sqref="Q2:Q34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46" showDropDown="0" showInputMessage="0" showErrorMessage="0" allowBlank="1" type="list">
      <formula1>"Growing Industry,Stagnant Industry,Cyclical in an Upturn"</formula1>
    </dataValidation>
    <dataValidation sqref="Z2:Z34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46" showDropDown="0" showInputMessage="0" showErrorMessage="0" allowBlank="1" type="list">
      <formula1>"Yes,No"</formula1>
    </dataValidation>
    <dataValidation sqref="AD2:AD346" showDropDown="0" showInputMessage="0" showErrorMessage="0" allowBlank="1" type="list">
      <formula1>"Tailwind,Headwind"</formula1>
    </dataValidation>
    <dataValidation sqref="AF2:AF346" showDropDown="0" showInputMessage="0" showErrorMessage="0" allowBlank="1" type="list">
      <formula1>"Structural (10 Years Consistency),Shallow Cyclical (2 to 3 Years Growth),Cyclical"</formula1>
    </dataValidation>
    <dataValidation sqref="AH2:AH346" showDropDown="0" showInputMessage="0" showErrorMessage="0" allowBlank="1" type="list">
      <formula1>"Yes due to Product Mix change or Operating Leverage,Yes, these are peak margins,No"</formula1>
    </dataValidation>
    <dataValidation sqref="AJ2:AJ346" showDropDown="0" showInputMessage="0" showErrorMessage="0" allowBlank="1" type="list">
      <formula1>"Stable,Volatile"</formula1>
    </dataValidation>
    <dataValidation sqref="AL2:AL346" showDropDown="0" showInputMessage="0" showErrorMessage="0" allowBlank="1" type="list">
      <formula1>"Yes,No"</formula1>
    </dataValidation>
    <dataValidation sqref="AN2:AN346" showDropDown="0" showInputMessage="0" showErrorMessage="0" allowBlank="1" type="list">
      <formula1>"B2C,B2B,B2G"</formula1>
    </dataValidation>
    <dataValidation sqref="AP2:AP346" showDropDown="0" showInputMessage="0" showErrorMessage="0" allowBlank="1" type="list">
      <formula1>"Yes,No"</formula1>
    </dataValidation>
    <dataValidation sqref="AR2:AR346" showDropDown="0" showInputMessage="0" showErrorMessage="0" allowBlank="1" type="list">
      <formula1>"Fully Annuity,Higher Annuity, Lower One time,Higher One Time, Lower Annuity,Fully One Time"</formula1>
    </dataValidation>
    <dataValidation sqref="AT2:AT346" showDropDown="0" showInputMessage="0" showErrorMessage="0" allowBlank="1" type="list">
      <formula1>"Good,Allocated capital in Non-core Areas"</formula1>
    </dataValidation>
    <dataValidation sqref="AV2:AV346" showDropDown="0" showInputMessage="0" showErrorMessage="0" allowBlank="1" type="list">
      <formula1>"Yes for more than 2 years,Yes only for next 1 to 2 years,No"</formula1>
    </dataValidation>
    <dataValidation sqref="AX2:AX346" showDropDown="0" showInputMessage="0" showErrorMessage="0" allowBlank="1" type="list">
      <formula1>"Above 40,20 to 40,0 to 20"</formula1>
    </dataValidation>
    <dataValidation sqref="AZ2:AZ346" showDropDown="0" showInputMessage="0" showErrorMessage="0" allowBlank="1" type="list">
      <formula1>"Between 50 to 75,Above 75,Below 45"</formula1>
    </dataValidation>
    <dataValidation sqref="BB2:BB346" showDropDown="0" showInputMessage="0" showErrorMessage="0" allowBlank="1" type="list">
      <formula1>"Stage 1,Stage 2,Stage 3,Stage 4"</formula1>
    </dataValidation>
    <dataValidation sqref="BD2:BD346" showDropDown="0" showInputMessage="0" showErrorMessage="0" allowBlank="1" type="list">
      <formula1>"Positive Trend,Negative Trend"</formula1>
    </dataValidation>
    <dataValidation sqref="BF2:BF346" showDropDown="0" showInputMessage="0" showErrorMessage="0" allowBlank="1" type="list">
      <formula1>"Uptrend,Sideways,Downtrend"</formula1>
    </dataValidation>
    <dataValidation sqref="BH2:BH346" showDropDown="0" showInputMessage="0" showErrorMessage="0" allowBlank="1" type="list">
      <formula1>"Uptrend,Sideways,Downtrend"</formula1>
    </dataValidation>
    <dataValidation sqref="BJ2:BJ34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46" showDropDown="0" showInputMessage="0" showErrorMessage="0" allowBlank="1" type="list">
      <formula1>"Yes,No"</formula1>
    </dataValidation>
    <dataValidation sqref="BN2:BN346" showDropDown="0" showInputMessage="0" showErrorMessage="0" allowBlank="1" type="list">
      <formula1>"More than 20%,Between 12 to 20%,Less than 12%"</formula1>
    </dataValidation>
    <dataValidation sqref="BP2:BP346" showDropDown="0" showInputMessage="0" showErrorMessage="0" allowBlank="1" type="list">
      <formula1>"Yes,No"</formula1>
    </dataValidation>
    <dataValidation sqref="BR2:BR346" showDropDown="0" showInputMessage="0" showErrorMessage="0" allowBlank="1" type="list">
      <formula1>"Yes,No"</formula1>
    </dataValidation>
    <dataValidation sqref="BT2:BT346" showDropDown="0" showInputMessage="0" showErrorMessage="0" allowBlank="1" type="list">
      <formula1>"Above 2,Between 1.5 to 2,Less than 1.5"</formula1>
    </dataValidation>
    <dataValidation sqref="BV2:BV346" showDropDown="0" showInputMessage="0" showErrorMessage="0" allowBlank="1" type="list">
      <formula1>"Above 70%,Between 50% to 70%,Less than 50%,Less than 50% and Borrowings are increasing,Negative"</formula1>
    </dataValidation>
    <dataValidation sqref="BX2:BX346" showDropDown="0" showInputMessage="0" showErrorMessage="0" allowBlank="1" type="list">
      <formula1>"More than 1.2,Between 0.7 to 1.2,Less than 0.7"</formula1>
    </dataValidation>
    <dataValidation sqref="BZ2:BZ346" showDropDown="0" showInputMessage="0" showErrorMessage="0" allowBlank="1" type="list">
      <formula1>"Yes,No"</formula1>
    </dataValidation>
    <dataValidation sqref="CB2:CB346" showDropDown="0" showInputMessage="0" showErrorMessage="0" allowBlank="1" type="list">
      <formula1>"More than 15%,Less than 15%"</formula1>
    </dataValidation>
    <dataValidation sqref="CD2:CD34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13994.31</v>
      </c>
      <c r="I2" s="32" t="n">
        <v>921.4</v>
      </c>
      <c r="J2" s="32" t="n">
        <v>4.26</v>
      </c>
      <c r="K2" s="32" t="n">
        <v>237718</v>
      </c>
      <c r="L2" s="31" t="n">
        <v>70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69.93000000000001</v>
      </c>
      <c r="P2" s="32" t="n">
        <v>42.72</v>
      </c>
      <c r="Q2" s="32" t="n">
        <v>760.34</v>
      </c>
      <c r="R2" s="31" t="inlineStr">
        <is>
          <t>Near 52W High Breakout</t>
        </is>
      </c>
      <c r="S2" s="31" t="inlineStr">
        <is>
          <t>Nifty Bank</t>
        </is>
      </c>
      <c r="T2" s="32" t="n">
        <v>3.97</v>
      </c>
      <c r="U2" s="32" t="n">
        <v>120.94</v>
      </c>
      <c r="V2" s="32" t="n">
        <v>112.5</v>
      </c>
      <c r="W2" s="32" t="n">
        <v>22.72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12537.44</v>
      </c>
      <c r="I3" s="32" t="n">
        <v>343.05</v>
      </c>
      <c r="J3" s="32" t="n">
        <v>3.48</v>
      </c>
      <c r="K3" s="32" t="n">
        <v>3566531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73.84</v>
      </c>
      <c r="P3" s="32" t="n">
        <v>52.5</v>
      </c>
      <c r="Q3" s="32" t="n">
        <v>282.19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3.97</v>
      </c>
      <c r="U3" s="32" t="n">
        <v>103.69</v>
      </c>
      <c r="V3" s="32" t="n">
        <v>95.91</v>
      </c>
      <c r="W3" s="32" t="n">
        <v>21.96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SMCGLOBAL</t>
        </is>
      </c>
      <c r="D4" s="31" t="inlineStr">
        <is>
          <t>SMC Global Securities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1726.08</v>
      </c>
      <c r="I4" s="32" t="n">
        <v>87.14</v>
      </c>
      <c r="J4" s="32" t="n">
        <v>5.71</v>
      </c>
      <c r="K4" s="32" t="n">
        <v>2330867</v>
      </c>
      <c r="L4" s="31" t="n">
        <v>39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62.07</v>
      </c>
      <c r="P4" s="32" t="n">
        <v>28.83</v>
      </c>
      <c r="Q4" s="32" t="n">
        <v>66.12</v>
      </c>
      <c r="R4" s="31" t="inlineStr">
        <is>
          <t>Near 52W High Breakout</t>
        </is>
      </c>
      <c r="S4" s="31" t="inlineStr">
        <is>
          <t>Nifty Bank</t>
        </is>
      </c>
      <c r="T4" s="32" t="n">
        <v>3.97</v>
      </c>
      <c r="U4" s="32" t="n">
        <v>26.18</v>
      </c>
      <c r="V4" s="32" t="n">
        <v>21.36</v>
      </c>
      <c r="W4" s="32" t="n">
        <v>11.43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IDFCFIRSTB</t>
        </is>
      </c>
      <c r="D5" s="31" t="inlineStr">
        <is>
          <t>IDFC First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73544</v>
      </c>
      <c r="I5" s="32" t="n">
        <v>87.90000000000001</v>
      </c>
      <c r="J5" s="32" t="n">
        <v>2.96</v>
      </c>
      <c r="K5" s="32" t="n">
        <v>64518343</v>
      </c>
      <c r="L5" s="31" t="n">
        <v>30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66.09999999999999</v>
      </c>
      <c r="P5" s="32" t="n">
        <v>31.36</v>
      </c>
      <c r="Q5" s="32" t="n">
        <v>76.11</v>
      </c>
      <c r="R5" s="31" t="inlineStr">
        <is>
          <t>Near 52W High Breakout</t>
        </is>
      </c>
      <c r="S5" s="31" t="inlineStr">
        <is>
          <t>Nifty Bank</t>
        </is>
      </c>
      <c r="T5" s="32" t="n">
        <v>3.97</v>
      </c>
      <c r="U5" s="32" t="n">
        <v>28.53</v>
      </c>
      <c r="V5" s="32" t="n">
        <v>23.62</v>
      </c>
      <c r="W5" s="32" t="n">
        <v>9.48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DCBBANK</t>
        </is>
      </c>
      <c r="D6" s="31" t="inlineStr">
        <is>
          <t>Dcb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7039.97</v>
      </c>
      <c r="I6" s="32" t="n">
        <v>223.69</v>
      </c>
      <c r="J6" s="32" t="n">
        <v>2.34</v>
      </c>
      <c r="K6" s="32" t="n">
        <v>812051</v>
      </c>
      <c r="L6" s="31" t="n">
        <v>56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68.59999999999999</v>
      </c>
      <c r="P6" s="32" t="n">
        <v>36.69</v>
      </c>
      <c r="Q6" s="32" t="n">
        <v>184.77</v>
      </c>
      <c r="R6" s="31" t="inlineStr">
        <is>
          <t>Near 52W High Breakout</t>
        </is>
      </c>
      <c r="S6" s="31" t="inlineStr">
        <is>
          <t>Nifty Bank</t>
        </is>
      </c>
      <c r="T6" s="32" t="n">
        <v>3.97</v>
      </c>
      <c r="U6" s="32" t="n">
        <v>82.16</v>
      </c>
      <c r="V6" s="32" t="n">
        <v>75.2</v>
      </c>
      <c r="W6" s="32" t="n">
        <v>17.69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WELINV</t>
        </is>
      </c>
      <c r="D7" s="31" t="inlineStr">
        <is>
          <t>Welspun Investments And Commercials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880.33</v>
      </c>
      <c r="I7" s="32" t="n">
        <v>2457</v>
      </c>
      <c r="J7" s="32" t="n">
        <v>2</v>
      </c>
      <c r="K7" s="32" t="n">
        <v>128</v>
      </c>
      <c r="L7" s="31" t="n">
        <v>77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84.83</v>
      </c>
      <c r="P7" s="32" t="n">
        <v>59.04</v>
      </c>
      <c r="Q7" s="32" t="n">
        <v>1949.21</v>
      </c>
      <c r="R7" s="31" t="inlineStr">
        <is>
          <t>Near 52W High Breakout</t>
        </is>
      </c>
      <c r="S7" s="31" t="inlineStr">
        <is>
          <t>Nifty Bank</t>
        </is>
      </c>
      <c r="T7" s="32" t="n">
        <v>3.97</v>
      </c>
      <c r="U7" s="32" t="n">
        <v>140.4</v>
      </c>
      <c r="V7" s="32" t="n">
        <v>131.22</v>
      </c>
      <c r="W7" s="32" t="n">
        <v>28.13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NORTHARC</t>
        </is>
      </c>
      <c r="D8" s="31" t="inlineStr">
        <is>
          <t>Northern ARC Capital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midcap</t>
        </is>
      </c>
      <c r="H8" s="32" t="n">
        <v>5105.33</v>
      </c>
      <c r="I8" s="32" t="n">
        <v>313.8</v>
      </c>
      <c r="J8" s="32" t="n">
        <v>-0.66</v>
      </c>
      <c r="K8" s="32" t="n">
        <v>587471</v>
      </c>
      <c r="L8" s="31" t="n">
        <v>22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61.95</v>
      </c>
      <c r="P8" s="32" t="n">
        <v>30.77</v>
      </c>
      <c r="Q8" s="32" t="n">
        <v>254.79</v>
      </c>
      <c r="R8" s="31" t="inlineStr">
        <is>
          <t>Near 52W High Breakout</t>
        </is>
      </c>
      <c r="S8" s="31" t="inlineStr">
        <is>
          <t>Nifty Bank</t>
        </is>
      </c>
      <c r="T8" s="32" t="n">
        <v>3.97</v>
      </c>
      <c r="U8" s="32" t="n">
        <v>19.63</v>
      </c>
      <c r="V8" s="32" t="n">
        <v>15.06</v>
      </c>
      <c r="W8" s="32" t="n">
        <v>6.78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IF(B9=0,"",RANK(B9,$B$2:$B$35,0))</f>
        <v/>
      </c>
      <c r="B9" s="32">
        <f>SUM(N9,Y9,AA9,AC9,AE9,AG9,AI9,AK9,AM9,AO9,AQ9,AS9,AU9,AW9,AY9,BA9,BC9,BE9,BG9,BI9,BK9,BM9,BO9,BQ9,BS9,BU9,BW9,BY9,CA9)</f>
        <v/>
      </c>
      <c r="C9" s="31" t="inlineStr">
        <is>
          <t>GEECEE</t>
        </is>
      </c>
      <c r="D9" s="31" t="inlineStr">
        <is>
          <t>Geecee Ventures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781.79</v>
      </c>
      <c r="I9" s="32" t="n">
        <v>377.95</v>
      </c>
      <c r="J9" s="32" t="n">
        <v>1.1</v>
      </c>
      <c r="K9" s="32" t="n">
        <v>510</v>
      </c>
      <c r="L9" s="31" t="n">
        <v>19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63.99</v>
      </c>
      <c r="P9" s="32" t="n">
        <v>36.46</v>
      </c>
      <c r="Q9" s="32" t="n">
        <v>294.46</v>
      </c>
      <c r="R9" s="31" t="inlineStr">
        <is>
          <t>Near 52W High Breakout</t>
        </is>
      </c>
      <c r="S9" s="31" t="inlineStr">
        <is>
          <t>Nifty Bank</t>
        </is>
      </c>
      <c r="T9" s="32" t="n">
        <v>3.97</v>
      </c>
      <c r="U9" s="32" t="n">
        <v>4.69</v>
      </c>
      <c r="V9" s="32" t="n">
        <v>0.6899999999999999</v>
      </c>
      <c r="W9" s="32" t="n">
        <v>6.23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CONSOFINVT</t>
        </is>
      </c>
      <c r="D10" s="31" t="inlineStr">
        <is>
          <t>Consolidated Finvest &amp; Holdings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970.6</v>
      </c>
      <c r="I10" s="32" t="n">
        <v>302.5</v>
      </c>
      <c r="J10" s="32" t="n">
        <v>0.75</v>
      </c>
      <c r="K10" s="32" t="n">
        <v>5195</v>
      </c>
      <c r="L10" s="31" t="n">
        <v>59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70.31999999999999</v>
      </c>
      <c r="P10" s="32" t="n">
        <v>40.83</v>
      </c>
      <c r="Q10" s="32" t="n">
        <v>238.31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3.97</v>
      </c>
      <c r="U10" s="32" t="n">
        <v>66.56</v>
      </c>
      <c r="V10" s="32" t="n">
        <v>60.2</v>
      </c>
      <c r="W10" s="32" t="n">
        <v>18.76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IF(B11=0,"",RANK(B11,$B$2:$B$35,0))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TFCILTD</t>
        </is>
      </c>
      <c r="D11" s="31" t="inlineStr">
        <is>
          <t>Tourism Finance Corporation Of India Limited</t>
        </is>
      </c>
      <c r="E11" s="31" t="inlineStr">
        <is>
          <t>financials</t>
        </is>
      </c>
      <c r="F11" s="31" t="inlineStr">
        <is>
          <t>finance - term-lending institutions</t>
        </is>
      </c>
      <c r="G11" s="31" t="inlineStr">
        <is>
          <t>midcap</t>
        </is>
      </c>
      <c r="H11" s="32" t="n">
        <v>6518.72</v>
      </c>
      <c r="I11" s="32" t="n">
        <v>141.55</v>
      </c>
      <c r="J11" s="32" t="n">
        <v>0.53</v>
      </c>
      <c r="K11" s="32" t="n">
        <v>11104195</v>
      </c>
      <c r="L11" s="31" t="n">
        <v>87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82.17</v>
      </c>
      <c r="P11" s="32" t="n">
        <v>70.48999999999999</v>
      </c>
      <c r="Q11" s="32" t="n">
        <v>115.85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3.97</v>
      </c>
      <c r="U11" s="32" t="n">
        <v>95.98999999999999</v>
      </c>
      <c r="V11" s="32" t="n">
        <v>88.51000000000001</v>
      </c>
      <c r="W11" s="32" t="n">
        <v>34.65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IF(B12=0,"",RANK(B12,$B$2:$B$35,0))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SHAREINDIA</t>
        </is>
      </c>
      <c r="D12" s="31" t="inlineStr">
        <is>
          <t>Share India Securities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4886.81</v>
      </c>
      <c r="I12" s="32" t="n">
        <v>219.98</v>
      </c>
      <c r="J12" s="32" t="n">
        <v>-1.5</v>
      </c>
      <c r="K12" s="32" t="n">
        <v>1845463</v>
      </c>
      <c r="L12" s="31" t="n">
        <v>78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69.36</v>
      </c>
      <c r="P12" s="32" t="n">
        <v>37.92</v>
      </c>
      <c r="Q12" s="32" t="n">
        <v>173.02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3.97</v>
      </c>
      <c r="U12" s="32" t="n">
        <v>73.68000000000001</v>
      </c>
      <c r="V12" s="32" t="n">
        <v>67.04000000000001</v>
      </c>
      <c r="W12" s="32" t="n">
        <v>28.65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PAISALO</t>
        </is>
      </c>
      <c r="D13" s="31" t="inlineStr">
        <is>
          <t>Paisalo Digital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midcap</t>
        </is>
      </c>
      <c r="H13" s="32" t="n">
        <v>8497.66</v>
      </c>
      <c r="I13" s="32" t="n">
        <v>90.39</v>
      </c>
      <c r="J13" s="32" t="n">
        <v>-3.25</v>
      </c>
      <c r="K13" s="32" t="n">
        <v>16379793</v>
      </c>
      <c r="L13" s="31" t="n">
        <v>86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82.95</v>
      </c>
      <c r="P13" s="32" t="n">
        <v>70.8</v>
      </c>
      <c r="Q13" s="32" t="n">
        <v>71.94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3.97</v>
      </c>
      <c r="U13" s="32" t="n">
        <v>138.85</v>
      </c>
      <c r="V13" s="32" t="n">
        <v>129.73</v>
      </c>
      <c r="W13" s="32" t="n">
        <v>33.67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IF(B14=0,"",RANK(B14,$B$2:$B$35,0))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MANBA</t>
        </is>
      </c>
      <c r="D14" s="33" t="inlineStr">
        <is>
          <t>Manba Finance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685.3200000000001</v>
      </c>
      <c r="I14" s="32" t="n">
        <v>139.19</v>
      </c>
      <c r="J14" s="32" t="n">
        <v>2.04</v>
      </c>
      <c r="K14" s="32" t="n">
        <v>789795</v>
      </c>
      <c r="L14" s="31" t="n">
        <v>9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62.69</v>
      </c>
      <c r="P14" s="32" t="n">
        <v>37.14</v>
      </c>
      <c r="Q14" s="32" t="n">
        <v>109.95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3.97</v>
      </c>
      <c r="U14" s="32" t="n">
        <v>3.41</v>
      </c>
      <c r="V14" s="32" t="n">
        <v>-0.53</v>
      </c>
      <c r="W14" s="32" t="n">
        <v>3.19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IF(B15=0,"",RANK(B15,$B$2:$B$35,0))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EDELWEISS</t>
        </is>
      </c>
      <c r="D15" s="31" t="inlineStr">
        <is>
          <t>Edelweiss Financial Services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midcap</t>
        </is>
      </c>
      <c r="H15" s="32" t="n">
        <v>13361.24</v>
      </c>
      <c r="I15" s="32" t="n">
        <v>142.03</v>
      </c>
      <c r="J15" s="32" t="n">
        <v>0.62</v>
      </c>
      <c r="K15" s="32" t="n">
        <v>15211696</v>
      </c>
      <c r="L15" s="31" t="n">
        <v>30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67.56</v>
      </c>
      <c r="P15" s="32" t="n">
        <v>21.13</v>
      </c>
      <c r="Q15" s="32" t="n">
        <v>109.75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3.97</v>
      </c>
      <c r="U15" s="32" t="n">
        <v>31.35</v>
      </c>
      <c r="V15" s="32" t="n">
        <v>26.33</v>
      </c>
      <c r="W15" s="32" t="n">
        <v>9.48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IF(B16=0,"",RANK(B16,$B$2:$B$35,0))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25694.32</v>
      </c>
      <c r="I16" s="32" t="n">
        <v>268.6</v>
      </c>
      <c r="J16" s="32" t="n">
        <v>0.58</v>
      </c>
      <c r="K16" s="32" t="n">
        <v>3923518</v>
      </c>
      <c r="L16" s="31" t="n">
        <v>46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66.94</v>
      </c>
      <c r="P16" s="32" t="n">
        <v>38.8</v>
      </c>
      <c r="Q16" s="32" t="n">
        <v>220.37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3.97</v>
      </c>
      <c r="U16" s="32" t="n">
        <v>45.09</v>
      </c>
      <c r="V16" s="32" t="n">
        <v>39.55</v>
      </c>
      <c r="W16" s="32" t="n">
        <v>13.54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IF(B17=0,"",RANK(B17,$B$2:$B$35,0))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SOUTHBANK</t>
        </is>
      </c>
      <c r="D17" s="31" t="inlineStr">
        <is>
          <t>The South Indian Bank Limited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midcap</t>
        </is>
      </c>
      <c r="H17" s="32" t="n">
        <v>11841.51</v>
      </c>
      <c r="I17" s="32" t="n">
        <v>47.08</v>
      </c>
      <c r="J17" s="32" t="n">
        <v>4.09</v>
      </c>
      <c r="K17" s="32" t="n">
        <v>14551891</v>
      </c>
      <c r="L17" s="31" t="n">
        <v>43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60.98</v>
      </c>
      <c r="P17" s="32" t="n">
        <v>36.16</v>
      </c>
      <c r="Q17" s="32" t="n">
        <v>38.41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3.97</v>
      </c>
      <c r="U17" s="32" t="n">
        <v>64</v>
      </c>
      <c r="V17" s="32" t="n">
        <v>57.73</v>
      </c>
      <c r="W17" s="32" t="n">
        <v>12.24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IF(B18=0,"",RANK(B18,$B$2:$B$35,0))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JSFB</t>
        </is>
      </c>
      <c r="D18" s="31" t="inlineStr">
        <is>
          <t>Jana Small Finance Bank Ltd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5622.05</v>
      </c>
      <c r="I18" s="32" t="n">
        <v>546.6</v>
      </c>
      <c r="J18" s="32" t="n">
        <v>2.42</v>
      </c>
      <c r="K18" s="32" t="n">
        <v>1082667</v>
      </c>
      <c r="L18" s="31" t="n">
        <v>29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59.52</v>
      </c>
      <c r="P18" s="32" t="n">
        <v>35</v>
      </c>
      <c r="Q18" s="32" t="n">
        <v>442.12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3.97</v>
      </c>
      <c r="U18" s="32" t="n">
        <v>17.95</v>
      </c>
      <c r="V18" s="32" t="n">
        <v>13.45</v>
      </c>
      <c r="W18" s="32" t="n">
        <v>8.699999999999999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IF(B19=0,"",RANK(B19,$B$2:$B$35,0))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RBLBANK</t>
        </is>
      </c>
      <c r="D19" s="31" t="inlineStr">
        <is>
          <t>Rbl Bank Limited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65534.98</v>
      </c>
      <c r="I19" s="32" t="n">
        <v>428</v>
      </c>
      <c r="J19" s="32" t="n">
        <v>1.13</v>
      </c>
      <c r="K19" s="32" t="n">
        <v>3651779</v>
      </c>
      <c r="L19" s="31" t="n">
        <v>44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70.63</v>
      </c>
      <c r="P19" s="32" t="n">
        <v>35</v>
      </c>
      <c r="Q19" s="32" t="n">
        <v>364.32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3.97</v>
      </c>
      <c r="U19" s="32" t="n">
        <v>57.56</v>
      </c>
      <c r="V19" s="32" t="n">
        <v>51.54</v>
      </c>
      <c r="W19" s="32" t="n">
        <v>13.13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IF(B20=0,"",RANK(B20,$B$2:$B$35,0))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STEL</t>
        </is>
      </c>
      <c r="D20" s="31" t="inlineStr">
        <is>
          <t>Stel Holdings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1224.61</v>
      </c>
      <c r="I20" s="32" t="n">
        <v>640.6</v>
      </c>
      <c r="J20" s="32" t="n">
        <v>-3.46</v>
      </c>
      <c r="K20" s="32" t="n">
        <v>11945</v>
      </c>
      <c r="L20" s="31" t="n">
        <v>35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64.17</v>
      </c>
      <c r="P20" s="32" t="n">
        <v>26.74</v>
      </c>
      <c r="Q20" s="32" t="n">
        <v>486.57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3.97</v>
      </c>
      <c r="U20" s="32" t="n">
        <v>44.13</v>
      </c>
      <c r="V20" s="32" t="n">
        <v>38.63</v>
      </c>
      <c r="W20" s="32" t="n">
        <v>10.56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IF(B21=0,"",RANK(B21,$B$2:$B$35,0))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MCX</t>
        </is>
      </c>
      <c r="D21" s="31" t="inlineStr">
        <is>
          <t>Multi Commodity Exchange Of India Limited</t>
        </is>
      </c>
      <c r="E21" s="31" t="inlineStr">
        <is>
          <t>financials</t>
        </is>
      </c>
      <c r="F21" s="31" t="inlineStr">
        <is>
          <t>miscellaneous</t>
        </is>
      </c>
      <c r="G21" s="31" t="inlineStr">
        <is>
          <t>largecap</t>
        </is>
      </c>
      <c r="H21" s="32" t="n">
        <v>83193.64</v>
      </c>
      <c r="I21" s="32" t="n">
        <v>3374</v>
      </c>
      <c r="J21" s="32" t="n">
        <v>3.41</v>
      </c>
      <c r="K21" s="32" t="n">
        <v>2249890</v>
      </c>
      <c r="L21" s="31" t="n">
        <v>64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69.2</v>
      </c>
      <c r="P21" s="32" t="n">
        <v>22.77</v>
      </c>
      <c r="Q21" s="32" t="n">
        <v>2707.68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3.97</v>
      </c>
      <c r="U21" s="32" t="n">
        <v>113.51</v>
      </c>
      <c r="V21" s="32" t="n">
        <v>105.36</v>
      </c>
      <c r="W21" s="32" t="n">
        <v>21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IF(B22=0,"",RANK(B22,$B$2:$B$35,0))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PNB</t>
        </is>
      </c>
      <c r="D22" s="31" t="inlineStr">
        <is>
          <t>Punjab National Bank Ltd</t>
        </is>
      </c>
      <c r="E22" s="31" t="inlineStr">
        <is>
          <t>bank</t>
        </is>
      </c>
      <c r="F22" s="31" t="inlineStr">
        <is>
          <t>banks - public sector</t>
        </is>
      </c>
      <c r="G22" s="31" t="inlineStr">
        <is>
          <t>largecap</t>
        </is>
      </c>
      <c r="H22" s="32" t="n">
        <v>134467.44</v>
      </c>
      <c r="I22" s="32" t="n">
        <v>118.3</v>
      </c>
      <c r="J22" s="32" t="n">
        <v>1.11</v>
      </c>
      <c r="K22" s="32" t="n">
        <v>12840968</v>
      </c>
      <c r="L22" s="31" t="n">
        <v>13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60.9</v>
      </c>
      <c r="P22" s="32" t="n">
        <v>11.03</v>
      </c>
      <c r="Q22" s="32" t="n">
        <v>103.28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3.97</v>
      </c>
      <c r="U22" s="32" t="n">
        <v>12.94</v>
      </c>
      <c r="V22" s="32" t="n">
        <v>8.630000000000001</v>
      </c>
      <c r="W22" s="32" t="n">
        <v>4.79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IF(B23=0,"",RANK(B23,$B$2:$B$35,0))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GCSL</t>
        </is>
      </c>
      <c r="D23" s="31" t="inlineStr">
        <is>
          <t>Gretex Corporate Services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1598.34</v>
      </c>
      <c r="I23" s="32" t="n">
        <v>642.7</v>
      </c>
      <c r="J23" s="32" t="n">
        <v>0.55</v>
      </c>
      <c r="K23" s="32" t="n">
        <v>431390</v>
      </c>
      <c r="L23" s="31" t="n">
        <v>85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77.91</v>
      </c>
      <c r="P23" s="32" t="n">
        <v>33.33</v>
      </c>
      <c r="Q23" s="32" t="n">
        <v>508.08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3.97</v>
      </c>
      <c r="U23" s="32" t="n">
        <v>148.49</v>
      </c>
      <c r="V23" s="32" t="n">
        <v>139</v>
      </c>
      <c r="W23" s="32" t="n">
        <v>32.97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Above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IF(B24=0,"",RANK(B24,$B$2:$B$35,0))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YESBANK</t>
        </is>
      </c>
      <c r="D24" s="31" t="inlineStr">
        <is>
          <t>Yes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72817.28999999999</v>
      </c>
      <c r="I24" s="32" t="n">
        <v>23.24</v>
      </c>
      <c r="J24" s="32" t="n">
        <v>0.17</v>
      </c>
      <c r="K24" s="32" t="n">
        <v>46135166</v>
      </c>
      <c r="L24" s="31" t="n">
        <v>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54.66</v>
      </c>
      <c r="P24" s="32" t="n">
        <v>19.53</v>
      </c>
      <c r="Q24" s="32" t="n">
        <v>21.41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3.97</v>
      </c>
      <c r="U24" s="32" t="n">
        <v>10.82</v>
      </c>
      <c r="V24" s="32" t="n">
        <v>6.59</v>
      </c>
      <c r="W24" s="32" t="n">
        <v>2.19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IF(B25=0,"",RANK(B25,$B$2:$B$35,0))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MOTILALOFS</t>
        </is>
      </c>
      <c r="D25" s="31" t="inlineStr">
        <is>
          <t>Motilal Oswal Financial Services Limited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60636.17</v>
      </c>
      <c r="I25" s="32" t="n">
        <v>1042.5</v>
      </c>
      <c r="J25" s="32" t="n">
        <v>3.53</v>
      </c>
      <c r="K25" s="32" t="n">
        <v>2096581</v>
      </c>
      <c r="L25" s="31" t="n">
        <v>23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64.48999999999999</v>
      </c>
      <c r="P25" s="32" t="n">
        <v>18.85</v>
      </c>
      <c r="Q25" s="32" t="n">
        <v>847.87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3.97</v>
      </c>
      <c r="U25" s="32" t="n">
        <v>15.39</v>
      </c>
      <c r="V25" s="32" t="n">
        <v>10.98</v>
      </c>
      <c r="W25" s="32" t="n">
        <v>6.95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IF(B26=0,"",RANK(B26,$B$2:$B$35,0))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PRIMESECU</t>
        </is>
      </c>
      <c r="D26" s="31" t="inlineStr">
        <is>
          <t>Prime Securities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984.95</v>
      </c>
      <c r="I26" s="32" t="n">
        <v>296.35</v>
      </c>
      <c r="J26" s="32" t="n">
        <v>2.12</v>
      </c>
      <c r="K26" s="32" t="n">
        <v>41199</v>
      </c>
      <c r="L26" s="31" t="n">
        <v>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55.59</v>
      </c>
      <c r="P26" s="32" t="n">
        <v>34.03</v>
      </c>
      <c r="Q26" s="32" t="n">
        <v>236.09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3.97</v>
      </c>
      <c r="U26" s="32" t="n">
        <v>9.52</v>
      </c>
      <c r="V26" s="32" t="n">
        <v>5.33</v>
      </c>
      <c r="W26" s="32" t="n">
        <v>1.78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IF(B27=0,"",RANK(B27,$B$2:$B$35,0))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LICHSGFIN</t>
        </is>
      </c>
      <c r="D27" s="33" t="inlineStr">
        <is>
          <t>Lic Housing Finance Limited</t>
        </is>
      </c>
      <c r="E27" s="31" t="inlineStr">
        <is>
          <t>financials</t>
        </is>
      </c>
      <c r="F27" s="31" t="inlineStr">
        <is>
          <t>finance - housing</t>
        </is>
      </c>
      <c r="G27" s="31" t="inlineStr">
        <is>
          <t>largecap</t>
        </is>
      </c>
      <c r="H27" s="32" t="n">
        <v>31078.56</v>
      </c>
      <c r="I27" s="32" t="n">
        <v>572.5</v>
      </c>
      <c r="J27" s="32" t="n">
        <v>1.33</v>
      </c>
      <c r="K27" s="32" t="n">
        <v>3008551</v>
      </c>
      <c r="L27" s="31" t="n">
        <v>4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60.96</v>
      </c>
      <c r="P27" s="32" t="n">
        <v>14.99</v>
      </c>
      <c r="Q27" s="32" t="n">
        <v>480.11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3.97</v>
      </c>
      <c r="U27" s="32" t="n">
        <v>3.37</v>
      </c>
      <c r="V27" s="32" t="n">
        <v>-0.58</v>
      </c>
      <c r="W27" s="32" t="n">
        <v>2.07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IF(B28=0,"",RANK(B28,$B$2:$B$35,0))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FIVESTAR</t>
        </is>
      </c>
      <c r="D28" s="31" t="inlineStr">
        <is>
          <t>Five-Star Business Finance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midcap</t>
        </is>
      </c>
      <c r="H28" s="32" t="n">
        <v>15492.51</v>
      </c>
      <c r="I28" s="32" t="n">
        <v>549.7</v>
      </c>
      <c r="J28" s="32" t="n">
        <v>4.73</v>
      </c>
      <c r="K28" s="32" t="n">
        <v>871098</v>
      </c>
      <c r="L28" s="31" t="n">
        <v>18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56.98</v>
      </c>
      <c r="P28" s="32" t="n">
        <v>13.12</v>
      </c>
      <c r="Q28" s="32" t="n">
        <v>436.12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3.97</v>
      </c>
      <c r="U28" s="32" t="n">
        <v>8.119999999999999</v>
      </c>
      <c r="V28" s="32" t="n">
        <v>3.99</v>
      </c>
      <c r="W28" s="32" t="n">
        <v>6.08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IF(B29=0,"",RANK(B29,$B$2:$B$35,0))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IIFL</t>
        </is>
      </c>
      <c r="D29" s="31" t="inlineStr">
        <is>
          <t>IIFL Finance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26265.94</v>
      </c>
      <c r="I29" s="32" t="n">
        <v>633.3</v>
      </c>
      <c r="J29" s="32" t="n">
        <v>2.55</v>
      </c>
      <c r="K29" s="32" t="n">
        <v>3608407</v>
      </c>
      <c r="L29" s="31" t="n">
        <v>52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62</v>
      </c>
      <c r="P29" s="32" t="n">
        <v>32.2</v>
      </c>
      <c r="Q29" s="32" t="n">
        <v>535.48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3.97</v>
      </c>
      <c r="U29" s="32" t="n">
        <v>52.14</v>
      </c>
      <c r="V29" s="32" t="n">
        <v>46.33</v>
      </c>
      <c r="W29" s="32" t="n">
        <v>16.09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IF(B30=0,"",RANK(B30,$B$2:$B$35,0))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IIFLCAPS</t>
        </is>
      </c>
      <c r="D30" s="31" t="inlineStr">
        <is>
          <t>IIFL Capital Services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midcap</t>
        </is>
      </c>
      <c r="H30" s="32" t="n">
        <v>10815.61</v>
      </c>
      <c r="I30" s="32" t="n">
        <v>353.05</v>
      </c>
      <c r="J30" s="32" t="n">
        <v>2.32</v>
      </c>
      <c r="K30" s="32" t="n">
        <v>2410124</v>
      </c>
      <c r="L30" s="31" t="n">
        <v>25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61.3</v>
      </c>
      <c r="P30" s="32" t="n">
        <v>18.16</v>
      </c>
      <c r="Q30" s="32" t="n">
        <v>309.19</v>
      </c>
      <c r="R30" s="31" t="inlineStr">
        <is>
          <t>Volume Spike / Accumulation</t>
        </is>
      </c>
      <c r="S30" s="31" t="inlineStr">
        <is>
          <t>Nifty Bank</t>
        </is>
      </c>
      <c r="T30" s="32" t="n">
        <v>3.97</v>
      </c>
      <c r="U30" s="32" t="n">
        <v>30.15</v>
      </c>
      <c r="V30" s="32" t="n">
        <v>25.18</v>
      </c>
      <c r="W30" s="32" t="n">
        <v>7.62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IF(B31=0,"",RANK(B31,$B$2:$B$35,0))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BANDHANBNK</t>
        </is>
      </c>
      <c r="D31" s="31" t="inlineStr">
        <is>
          <t>Bandhan Bank Ltd</t>
        </is>
      </c>
      <c r="E31" s="31" t="inlineStr">
        <is>
          <t>bank</t>
        </is>
      </c>
      <c r="F31" s="31" t="inlineStr">
        <is>
          <t>banks - private sector</t>
        </is>
      </c>
      <c r="G31" s="31" t="inlineStr">
        <is>
          <t>largecap</t>
        </is>
      </c>
      <c r="H31" s="32" t="n">
        <v>29756.61</v>
      </c>
      <c r="I31" s="32" t="n">
        <v>191.38</v>
      </c>
      <c r="J31" s="32" t="n">
        <v>3.62</v>
      </c>
      <c r="K31" s="32" t="n">
        <v>41844761</v>
      </c>
      <c r="L31" s="31" t="n">
        <v>12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55.63</v>
      </c>
      <c r="P31" s="32" t="n">
        <v>13.47</v>
      </c>
      <c r="Q31" s="32" t="n">
        <v>169.05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3.97</v>
      </c>
      <c r="U31" s="32" t="n">
        <v>24.53</v>
      </c>
      <c r="V31" s="32" t="n">
        <v>19.77</v>
      </c>
      <c r="W31" s="32" t="n">
        <v>4.62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1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IF(B32=0,"",RANK(B32,$B$2:$B$35,0))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BAJAJHLDNG</t>
        </is>
      </c>
      <c r="D32" s="33" t="inlineStr">
        <is>
          <t>Bajaj Holdings &amp; Investment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124481.79</v>
      </c>
      <c r="I32" s="32" t="n">
        <v>11449</v>
      </c>
      <c r="J32" s="32" t="n">
        <v>2.36</v>
      </c>
      <c r="K32" s="32" t="n">
        <v>23489</v>
      </c>
      <c r="L32" s="31" t="n">
        <v>3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59.64</v>
      </c>
      <c r="P32" s="32" t="n">
        <v>18.19</v>
      </c>
      <c r="Q32" s="32" t="n">
        <v>9767.33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3.97</v>
      </c>
      <c r="U32" s="32" t="n">
        <v>-8.19</v>
      </c>
      <c r="V32" s="32" t="n">
        <v>-11.69</v>
      </c>
      <c r="W32" s="32" t="n">
        <v>1.14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IF(B33=0,"",RANK(B33,$B$2:$B$35,0))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AIIL</t>
        </is>
      </c>
      <c r="D33" s="33" t="inlineStr">
        <is>
          <t>Authum Investment &amp; Infrastructure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46444.14</v>
      </c>
      <c r="I33" s="32" t="n">
        <v>561.45</v>
      </c>
      <c r="J33" s="32" t="n">
        <v>2.66</v>
      </c>
      <c r="K33" s="32" t="n">
        <v>139672</v>
      </c>
      <c r="L33" s="31" t="n">
        <v>3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54.86</v>
      </c>
      <c r="P33" s="32" t="n">
        <v>17.59</v>
      </c>
      <c r="Q33" s="32" t="n">
        <v>447.95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3.97</v>
      </c>
      <c r="U33" s="32" t="n">
        <v>-5.34</v>
      </c>
      <c r="V33" s="32" t="n">
        <v>-8.949999999999999</v>
      </c>
      <c r="W33" s="32" t="n">
        <v>0.97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IF(B34=0,"",RANK(B34,$B$2:$B$35,0))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GEOJITFSL</t>
        </is>
      </c>
      <c r="D34" s="31" t="inlineStr">
        <is>
          <t>Geojit Financial Services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smallcap</t>
        </is>
      </c>
      <c r="H34" s="32" t="n">
        <v>2250.84</v>
      </c>
      <c r="I34" s="32" t="n">
        <v>81.98</v>
      </c>
      <c r="J34" s="32" t="n">
        <v>1.66</v>
      </c>
      <c r="K34" s="32" t="n">
        <v>263464</v>
      </c>
      <c r="L34" s="31" t="n">
        <v>12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60.18</v>
      </c>
      <c r="P34" s="32" t="n">
        <v>11.91</v>
      </c>
      <c r="Q34" s="32" t="n">
        <v>66.81999999999999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3.97</v>
      </c>
      <c r="U34" s="32" t="n">
        <v>5.66</v>
      </c>
      <c r="V34" s="32" t="n">
        <v>1.62</v>
      </c>
      <c r="W34" s="32" t="n">
        <v>4.5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IF(B35=0,"",RANK(B35,$B$2:$B$35,0))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POONAWALLA</t>
        </is>
      </c>
      <c r="D35" s="33" t="inlineStr">
        <is>
          <t>Poonawalla Fincorp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41550.73</v>
      </c>
      <c r="I35" s="32" t="n">
        <v>478.85</v>
      </c>
      <c r="J35" s="32" t="n">
        <v>1.47</v>
      </c>
      <c r="K35" s="32" t="n">
        <v>1880797</v>
      </c>
      <c r="L35" s="31" t="n">
        <v>5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56.13</v>
      </c>
      <c r="P35" s="32" t="n">
        <v>18.46</v>
      </c>
      <c r="Q35" s="32" t="n">
        <v>400.49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3.97</v>
      </c>
      <c r="U35" s="32" t="n">
        <v>-1.32</v>
      </c>
      <c r="V35" s="32" t="n">
        <v>-5.09</v>
      </c>
      <c r="W35" s="32" t="n">
        <v>2.16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</sheetData>
  <autoFilter ref="A1:CA35"/>
  <conditionalFormatting sqref="B2:B3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5">
    <cfRule type="cellIs" priority="34" operator="equal" dxfId="3" stopIfTrue="1">
      <formula>"Underperforming"</formula>
    </cfRule>
  </conditionalFormatting>
  <conditionalFormatting sqref="N2:N35">
    <cfRule type="cellIs" priority="35" operator="equal" dxfId="3" stopIfTrue="1">
      <formula>-5</formula>
    </cfRule>
  </conditionalFormatting>
  <conditionalFormatting sqref="Q2:Q3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5" showDropDown="0" showInputMessage="0" showErrorMessage="0" allowBlank="1" type="list">
      <formula1>"Growing Industry,Stagnant Industry,Cyclical in an Upturn"</formula1>
    </dataValidation>
    <dataValidation sqref="Z2:Z35" showDropDown="0" showInputMessage="0" showErrorMessage="0" allowBlank="1" type="list">
      <formula1>"Fragmented with Low ROE,Fragmented with High ROE,Highly Cyclical"</formula1>
    </dataValidation>
    <dataValidation sqref="AB2:AB35" showDropDown="0" showInputMessage="0" showErrorMessage="0" allowBlank="1" type="list">
      <formula1>"Yes,No"</formula1>
    </dataValidation>
    <dataValidation sqref="AD2:AD35" showDropDown="0" showInputMessage="0" showErrorMessage="0" allowBlank="1" type="list">
      <formula1>"Tailwind,Headwind"</formula1>
    </dataValidation>
    <dataValidation sqref="AF2:AF3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5" showDropDown="0" showInputMessage="0" showErrorMessage="0" allowBlank="1" type="list">
      <formula1>"Yes,No"</formula1>
    </dataValidation>
    <dataValidation sqref="AJ2:AJ35" showDropDown="0" showInputMessage="0" showErrorMessage="0" allowBlank="1" type="list">
      <formula1>"Yes,No,Not Applicable"</formula1>
    </dataValidation>
    <dataValidation sqref="AL2:AL35" showDropDown="0" showInputMessage="0" showErrorMessage="0" allowBlank="1" type="list">
      <formula1>"Yes,No"</formula1>
    </dataValidation>
    <dataValidation sqref="AN2:AN35" showDropDown="0" showInputMessage="0" showErrorMessage="0" allowBlank="1" type="list">
      <formula1>"Yes,No"</formula1>
    </dataValidation>
    <dataValidation sqref="AP2:AP35" showDropDown="0" showInputMessage="0" showErrorMessage="0" allowBlank="1" type="list">
      <formula1>"Yes,No"</formula1>
    </dataValidation>
    <dataValidation sqref="AR2:AR35" showDropDown="0" showInputMessage="0" showErrorMessage="0" allowBlank="1" type="list">
      <formula1>"Yes,No"</formula1>
    </dataValidation>
    <dataValidation sqref="AT2:AT35" showDropDown="0" showInputMessage="0" showErrorMessage="0" allowBlank="1" type="list">
      <formula1>"No,Yes"</formula1>
    </dataValidation>
    <dataValidation sqref="AV2:AV35" showDropDown="0" showInputMessage="0" showErrorMessage="0" allowBlank="1" type="list">
      <formula1>"No,Yes"</formula1>
    </dataValidation>
    <dataValidation sqref="AX2:AX35" showDropDown="0" showInputMessage="0" showErrorMessage="0" allowBlank="1" type="list">
      <formula1>"No,Yes CEO Resignation,Yes CEO Retirement"</formula1>
    </dataValidation>
    <dataValidation sqref="AZ2:AZ35" showDropDown="0" showInputMessage="0" showErrorMessage="0" allowBlank="1" type="list">
      <formula1>"No,Yes"</formula1>
    </dataValidation>
    <dataValidation sqref="BB2:BB35" showDropDown="0" showInputMessage="0" showErrorMessage="0" allowBlank="1" type="list">
      <formula1>"No,Yes"</formula1>
    </dataValidation>
    <dataValidation sqref="BD2:BD35" showDropDown="0" showInputMessage="0" showErrorMessage="0" allowBlank="1" type="list">
      <formula1>"Yes,No"</formula1>
    </dataValidation>
    <dataValidation sqref="BF2:BF35" showDropDown="0" showInputMessage="0" showErrorMessage="0" allowBlank="1" type="list">
      <formula1>"Yes,No"</formula1>
    </dataValidation>
    <dataValidation sqref="BH2:BH35" showDropDown="0" showInputMessage="0" showErrorMessage="0" allowBlank="1" type="list">
      <formula1>"Yes,No"</formula1>
    </dataValidation>
    <dataValidation sqref="BJ2:BJ3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5" showDropDown="0" showInputMessage="0" showErrorMessage="0" allowBlank="1" type="list">
      <formula1>"Above 40,20 to 40,0 to 20"</formula1>
    </dataValidation>
    <dataValidation sqref="BN2:BN35" showDropDown="0" showInputMessage="0" showErrorMessage="0" allowBlank="1" type="list">
      <formula1>"Between 50 to 75,Above 75,Below 45"</formula1>
    </dataValidation>
    <dataValidation sqref="BP2:BP35" showDropDown="0" showInputMessage="0" showErrorMessage="0" allowBlank="1" type="list">
      <formula1>"Stage 1,Stage 2,Stage 3,Stage 4"</formula1>
    </dataValidation>
    <dataValidation sqref="BR2:BR35" showDropDown="0" showInputMessage="0" showErrorMessage="0" allowBlank="1" type="list">
      <formula1>"Positive Trend,Negative Trend"</formula1>
    </dataValidation>
    <dataValidation sqref="BT2:BT35" showDropDown="0" showInputMessage="0" showErrorMessage="0" allowBlank="1" type="list">
      <formula1>"Uptrend,Sideways,Downtrend"</formula1>
    </dataValidation>
    <dataValidation sqref="BV2:BV35" showDropDown="0" showInputMessage="0" showErrorMessage="0" allowBlank="1" type="list">
      <formula1>"Uptrend,Sideways,Downtrend"</formula1>
    </dataValidation>
    <dataValidation sqref="BX2:BX3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38</v>
      </c>
      <c r="H2" s="31" t="inlineStr">
        <is>
          <t>PGIL</t>
        </is>
      </c>
      <c r="I2" s="31" t="inlineStr">
        <is>
          <t>Pearl Global Industries Limited</t>
        </is>
      </c>
      <c r="J2" s="31" t="inlineStr">
        <is>
          <t>consumer discretionary</t>
        </is>
      </c>
      <c r="K2" s="31" t="inlineStr">
        <is>
          <t>textiles - products</t>
        </is>
      </c>
      <c r="L2" s="31" t="inlineStr">
        <is>
          <t>midcap</t>
        </is>
      </c>
      <c r="M2" s="32" t="n">
        <v>5518.54</v>
      </c>
      <c r="N2" s="32" t="n">
        <v>1300.8</v>
      </c>
      <c r="O2" s="32" t="n">
        <v>8.859999999999999</v>
      </c>
      <c r="P2" s="32" t="n">
        <v>767765</v>
      </c>
      <c r="Q2" s="31" t="n">
        <v>69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70.97</v>
      </c>
      <c r="U2" s="32" t="n">
        <v>59.26</v>
      </c>
      <c r="V2" s="32" t="n">
        <v>996.36</v>
      </c>
      <c r="W2" s="31" t="inlineStr">
        <is>
          <t>Near 52W High Breakout</t>
        </is>
      </c>
      <c r="X2" s="31" t="inlineStr">
        <is>
          <t>Nifty 50</t>
        </is>
      </c>
      <c r="Y2" s="32" t="n">
        <v>-4.9</v>
      </c>
      <c r="Z2" s="32" t="n">
        <v>104.99</v>
      </c>
      <c r="AA2" s="32" t="n">
        <v>115.55</v>
      </c>
      <c r="AB2" s="32" t="n">
        <v>22.6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139.2</v>
      </c>
      <c r="E3" s="32" t="inlineStr">
        <is>
          <t>5%</t>
        </is>
      </c>
      <c r="F3" s="32" t="n">
        <v>50000</v>
      </c>
      <c r="G3" s="32" t="n">
        <v>83</v>
      </c>
      <c r="H3" s="31" t="inlineStr">
        <is>
          <t>GNA</t>
        </is>
      </c>
      <c r="I3" s="31" t="inlineStr">
        <is>
          <t>Gna Axles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2411.21</v>
      </c>
      <c r="N3" s="32" t="n">
        <v>596.65</v>
      </c>
      <c r="O3" s="32" t="n">
        <v>6.23</v>
      </c>
      <c r="P3" s="32" t="n">
        <v>3594624</v>
      </c>
      <c r="Q3" s="31" t="inlineStr"/>
      <c r="R3" s="31" t="inlineStr"/>
      <c r="S3" s="32">
        <f>IF(R3="Underperforming",-5,IF(Q3&gt;=95,15,IF(Q3&gt;=90,10,IF(Q3&gt;=80,5,0))))</f>
        <v/>
      </c>
      <c r="T3" s="32" t="n">
        <v>70.79000000000001</v>
      </c>
      <c r="U3" s="32" t="n">
        <v>48.52</v>
      </c>
      <c r="V3" s="32" t="n">
        <v>449.13</v>
      </c>
      <c r="W3" s="31" t="inlineStr">
        <is>
          <t>Volume Spike &amp; Near 52W High Breakout</t>
        </is>
      </c>
      <c r="X3" s="31" t="inlineStr">
        <is>
          <t>Nifty Auto</t>
        </is>
      </c>
      <c r="Y3" s="32" t="inlineStr"/>
      <c r="Z3" s="32" t="inlineStr"/>
      <c r="AA3" s="32" t="inlineStr"/>
      <c r="AB3" s="32" t="inlineStr"/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300</v>
      </c>
      <c r="H4" s="31" t="inlineStr">
        <is>
          <t>NRL</t>
        </is>
      </c>
      <c r="I4" s="31" t="inlineStr">
        <is>
          <t>Nupur Recyclers Ltd</t>
        </is>
      </c>
      <c r="J4" s="31" t="inlineStr">
        <is>
          <t>services</t>
        </is>
      </c>
      <c r="K4" s="31" t="inlineStr">
        <is>
          <t>trading</t>
        </is>
      </c>
      <c r="L4" s="31" t="inlineStr">
        <is>
          <t>smallcap</t>
        </is>
      </c>
      <c r="M4" s="32" t="n">
        <v>1093.71</v>
      </c>
      <c r="N4" s="32" t="n">
        <v>166.26</v>
      </c>
      <c r="O4" s="32" t="n">
        <v>5</v>
      </c>
      <c r="P4" s="32" t="n">
        <v>78481</v>
      </c>
      <c r="Q4" s="31" t="n">
        <v>94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93.22</v>
      </c>
      <c r="U4" s="32" t="n">
        <v>74.05</v>
      </c>
      <c r="V4" s="32" t="n">
        <v>138.4</v>
      </c>
      <c r="W4" s="31" t="inlineStr">
        <is>
          <t>Near 52W High Breakout</t>
        </is>
      </c>
      <c r="X4" s="31" t="inlineStr">
        <is>
          <t>Nifty 50</t>
        </is>
      </c>
      <c r="Y4" s="32" t="n">
        <v>-4.9</v>
      </c>
      <c r="Z4" s="32" t="n">
        <v>129.58</v>
      </c>
      <c r="AA4" s="32" t="n">
        <v>141.4</v>
      </c>
      <c r="AB4" s="32" t="n">
        <v>47.44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139.1</v>
      </c>
      <c r="E5" s="32" t="inlineStr">
        <is>
          <t>5%</t>
        </is>
      </c>
      <c r="F5" s="32" t="n">
        <v>50000</v>
      </c>
      <c r="G5" s="32" t="n">
        <v>72</v>
      </c>
      <c r="H5" s="31" t="inlineStr">
        <is>
          <t>TBZ</t>
        </is>
      </c>
      <c r="I5" s="31" t="inlineStr">
        <is>
          <t>Tribhovandas Bhimji Zaveri Limited</t>
        </is>
      </c>
      <c r="J5" s="31" t="inlineStr">
        <is>
          <t>consumer discretionary</t>
        </is>
      </c>
      <c r="K5" s="31" t="inlineStr">
        <is>
          <t>diamond cutting / jewellery</t>
        </is>
      </c>
      <c r="L5" s="31" t="inlineStr">
        <is>
          <t>smallcap</t>
        </is>
      </c>
      <c r="M5" s="32" t="n">
        <v>4439.92</v>
      </c>
      <c r="N5" s="32" t="n">
        <v>692.45</v>
      </c>
      <c r="O5" s="32" t="n">
        <v>4.07</v>
      </c>
      <c r="P5" s="32" t="n">
        <v>835442</v>
      </c>
      <c r="Q5" s="31" t="n">
        <v>99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93.25</v>
      </c>
      <c r="U5" s="32" t="n">
        <v>59.98</v>
      </c>
      <c r="V5" s="32" t="n">
        <v>533.16</v>
      </c>
      <c r="W5" s="31" t="inlineStr">
        <is>
          <t>Near 52W High Breakout</t>
        </is>
      </c>
      <c r="X5" s="31" t="inlineStr">
        <is>
          <t>Nifty 50</t>
        </is>
      </c>
      <c r="Y5" s="32" t="n">
        <v>-4.9</v>
      </c>
      <c r="Z5" s="32" t="n">
        <v>285.34</v>
      </c>
      <c r="AA5" s="32" t="n">
        <v>305.2</v>
      </c>
      <c r="AB5" s="32" t="n">
        <v>114.07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Between 0.7 to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138.7</v>
      </c>
      <c r="E6" s="32" t="inlineStr">
        <is>
          <t>5%</t>
        </is>
      </c>
      <c r="F6" s="32" t="n">
        <v>50000</v>
      </c>
      <c r="G6" s="32" t="n">
        <v>8</v>
      </c>
      <c r="H6" s="31" t="inlineStr">
        <is>
          <t>KINGFA</t>
        </is>
      </c>
      <c r="I6" s="31" t="inlineStr">
        <is>
          <t>Kingfa Science &amp; Technology (india) Limited</t>
        </is>
      </c>
      <c r="J6" s="31" t="inlineStr">
        <is>
          <t>plastic products</t>
        </is>
      </c>
      <c r="K6" s="31" t="inlineStr">
        <is>
          <t>plastics products</t>
        </is>
      </c>
      <c r="L6" s="31" t="inlineStr">
        <is>
          <t>midcap</t>
        </is>
      </c>
      <c r="M6" s="32" t="n">
        <v>8359.17</v>
      </c>
      <c r="N6" s="32" t="n">
        <v>6240.5</v>
      </c>
      <c r="O6" s="32" t="n">
        <v>1.17</v>
      </c>
      <c r="P6" s="32" t="n">
        <v>7818</v>
      </c>
      <c r="Q6" s="31" t="n">
        <v>44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68.03</v>
      </c>
      <c r="U6" s="32" t="n">
        <v>39.52</v>
      </c>
      <c r="V6" s="32" t="n">
        <v>4964.81</v>
      </c>
      <c r="W6" s="31" t="inlineStr">
        <is>
          <t>Near 52W High Breakout</t>
        </is>
      </c>
      <c r="X6" s="31" t="inlineStr">
        <is>
          <t>Nifty 50</t>
        </is>
      </c>
      <c r="Y6" s="32" t="n">
        <v>-4.9</v>
      </c>
      <c r="Z6" s="32" t="n">
        <v>44.08</v>
      </c>
      <c r="AA6" s="32" t="n">
        <v>51.5</v>
      </c>
      <c r="AB6" s="32" t="n">
        <v>13.13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222</v>
      </c>
      <c r="H7" s="31" t="inlineStr">
        <is>
          <t>LOTUSDEV</t>
        </is>
      </c>
      <c r="I7" s="31" t="inlineStr">
        <is>
          <t>Sri Lotus Developers &amp; Realty Ltd</t>
        </is>
      </c>
      <c r="J7" s="31" t="inlineStr">
        <is>
          <t>realty</t>
        </is>
      </c>
      <c r="K7" s="31" t="inlineStr">
        <is>
          <t>construction</t>
        </is>
      </c>
      <c r="L7" s="31" t="inlineStr">
        <is>
          <t>midcap</t>
        </is>
      </c>
      <c r="M7" s="32" t="n">
        <v>10450.87</v>
      </c>
      <c r="N7" s="32" t="n">
        <v>224.46</v>
      </c>
      <c r="O7" s="32" t="n">
        <v>4.97</v>
      </c>
      <c r="P7" s="32" t="n">
        <v>1269546</v>
      </c>
      <c r="Q7" s="31" t="inlineStr"/>
      <c r="R7" s="31" t="inlineStr"/>
      <c r="S7" s="32">
        <f>IF(R7="Underperforming",-5,IF(Q7&gt;=95,15,IF(Q7&gt;=90,10,IF(Q7&gt;=80,5,0))))</f>
        <v/>
      </c>
      <c r="T7" s="32" t="n">
        <v>69.08</v>
      </c>
      <c r="U7" s="32" t="n">
        <v>26.4</v>
      </c>
      <c r="V7" s="32" t="n">
        <v>172.77</v>
      </c>
      <c r="W7" s="31" t="inlineStr">
        <is>
          <t>Near 52W High Breakout</t>
        </is>
      </c>
      <c r="X7" s="31" t="inlineStr">
        <is>
          <t>Nifty Realty</t>
        </is>
      </c>
      <c r="Y7" s="32" t="inlineStr"/>
      <c r="Z7" s="32" t="inlineStr"/>
      <c r="AA7" s="32" t="inlineStr"/>
      <c r="AB7" s="32" t="inlineStr"/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139.6</v>
      </c>
      <c r="E8" s="32" t="inlineStr">
        <is>
          <t>5%</t>
        </is>
      </c>
      <c r="F8" s="32" t="n">
        <v>50000</v>
      </c>
      <c r="G8" s="32" t="n">
        <v>11</v>
      </c>
      <c r="H8" s="31" t="inlineStr">
        <is>
          <t>KDDL</t>
        </is>
      </c>
      <c r="I8" s="31" t="inlineStr">
        <is>
          <t>Kddl Limited</t>
        </is>
      </c>
      <c r="J8" s="31" t="inlineStr">
        <is>
          <t>consumer discretionary</t>
        </is>
      </c>
      <c r="K8" s="31" t="inlineStr">
        <is>
          <t>miscellaneous</t>
        </is>
      </c>
      <c r="L8" s="31" t="inlineStr">
        <is>
          <t>smallcap</t>
        </is>
      </c>
      <c r="M8" s="32" t="n">
        <v>4886.63</v>
      </c>
      <c r="N8" s="32" t="n">
        <v>4251.9</v>
      </c>
      <c r="O8" s="32" t="n">
        <v>7.02</v>
      </c>
      <c r="P8" s="32" t="n">
        <v>153006</v>
      </c>
      <c r="Q8" s="31" t="n">
        <v>62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78.25</v>
      </c>
      <c r="U8" s="32" t="n">
        <v>47.08</v>
      </c>
      <c r="V8" s="32" t="n">
        <v>3341.08</v>
      </c>
      <c r="W8" s="31" t="inlineStr">
        <is>
          <t>Near 52W High Breakout</t>
        </is>
      </c>
      <c r="X8" s="31" t="inlineStr">
        <is>
          <t>Nifty 50</t>
        </is>
      </c>
      <c r="Y8" s="32" t="n">
        <v>-4.9</v>
      </c>
      <c r="Z8" s="32" t="n">
        <v>60.89</v>
      </c>
      <c r="AA8" s="32" t="n">
        <v>69.18000000000001</v>
      </c>
      <c r="AB8" s="32" t="n">
        <v>19.72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138.8</v>
      </c>
      <c r="E9" s="32" t="inlineStr">
        <is>
          <t>5%</t>
        </is>
      </c>
      <c r="F9" s="32" t="n">
        <v>50000</v>
      </c>
      <c r="G9" s="32" t="n">
        <v>68</v>
      </c>
      <c r="H9" s="31" t="inlineStr">
        <is>
          <t>KABRAEXTRU</t>
        </is>
      </c>
      <c r="I9" s="31" t="inlineStr">
        <is>
          <t>Kabra Extrusion Technik Limited</t>
        </is>
      </c>
      <c r="J9" s="31" t="inlineStr">
        <is>
          <t>industrials</t>
        </is>
      </c>
      <c r="K9" s="31" t="inlineStr">
        <is>
          <t>engineering</t>
        </is>
      </c>
      <c r="L9" s="31" t="inlineStr">
        <is>
          <t>smallcap</t>
        </is>
      </c>
      <c r="M9" s="32" t="n">
        <v>2330.07</v>
      </c>
      <c r="N9" s="32" t="n">
        <v>732.85</v>
      </c>
      <c r="O9" s="32" t="n">
        <v>10</v>
      </c>
      <c r="P9" s="32" t="n">
        <v>402751</v>
      </c>
      <c r="Q9" s="31" t="n">
        <v>98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82.97</v>
      </c>
      <c r="U9" s="32" t="n">
        <v>66.04000000000001</v>
      </c>
      <c r="V9" s="32" t="n">
        <v>547.86</v>
      </c>
      <c r="W9" s="31" t="inlineStr">
        <is>
          <t>Near 52W High Breakout</t>
        </is>
      </c>
      <c r="X9" s="31" t="inlineStr">
        <is>
          <t>Nifty 50</t>
        </is>
      </c>
      <c r="Y9" s="32" t="n">
        <v>-4.9</v>
      </c>
      <c r="Z9" s="32" t="n">
        <v>179.98</v>
      </c>
      <c r="AA9" s="32" t="n">
        <v>194.4</v>
      </c>
      <c r="AB9" s="32" t="n">
        <v>79.52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140</v>
      </c>
      <c r="E10" s="32" t="inlineStr">
        <is>
          <t>5%</t>
        </is>
      </c>
      <c r="F10" s="32" t="n">
        <v>50000</v>
      </c>
      <c r="G10" s="32" t="n">
        <v>5</v>
      </c>
      <c r="H10" s="31" t="inlineStr">
        <is>
          <t>DIVISLAB</t>
        </is>
      </c>
      <c r="I10" s="31" t="inlineStr">
        <is>
          <t>Divi's Laboratories Limited</t>
        </is>
      </c>
      <c r="J10" s="31" t="inlineStr">
        <is>
          <t>healthcare</t>
        </is>
      </c>
      <c r="K10" s="31" t="inlineStr">
        <is>
          <t>pharmaceuticals - indian - bulk drugs</t>
        </is>
      </c>
      <c r="L10" s="31" t="inlineStr">
        <is>
          <t>largecap</t>
        </is>
      </c>
      <c r="M10" s="32" t="n">
        <v>248266.22</v>
      </c>
      <c r="N10" s="32" t="n">
        <v>9624</v>
      </c>
      <c r="O10" s="32" t="n">
        <v>2.91</v>
      </c>
      <c r="P10" s="32" t="n">
        <v>489382</v>
      </c>
      <c r="Q10" s="31" t="n">
        <v>66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86.48</v>
      </c>
      <c r="U10" s="32" t="n">
        <v>52.03</v>
      </c>
      <c r="V10" s="32" t="n">
        <v>8424.08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26.25</v>
      </c>
      <c r="Z10" s="32" t="n">
        <v>69.84999999999999</v>
      </c>
      <c r="AA10" s="32" t="n">
        <v>34.54</v>
      </c>
      <c r="AB10" s="32" t="n">
        <v>21.22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138.6</v>
      </c>
      <c r="E11" s="32" t="inlineStr">
        <is>
          <t>5%</t>
        </is>
      </c>
      <c r="F11" s="32" t="n">
        <v>50000</v>
      </c>
      <c r="G11" s="32" t="n">
        <v>31</v>
      </c>
      <c r="H11" s="31" t="inlineStr">
        <is>
          <t>VIJAYA</t>
        </is>
      </c>
      <c r="I11" s="31" t="inlineStr">
        <is>
          <t>Vijaya Diagnostic Centre Ltd</t>
        </is>
      </c>
      <c r="J11" s="31" t="inlineStr">
        <is>
          <t>healthcare</t>
        </is>
      </c>
      <c r="K11" s="31" t="inlineStr">
        <is>
          <t>healthcare</t>
        </is>
      </c>
      <c r="L11" s="31" t="inlineStr">
        <is>
          <t>midcap</t>
        </is>
      </c>
      <c r="M11" s="32" t="n">
        <v>15599.14</v>
      </c>
      <c r="N11" s="32" t="n">
        <v>1570.7</v>
      </c>
      <c r="O11" s="32" t="n">
        <v>3.61</v>
      </c>
      <c r="P11" s="32" t="n">
        <v>209302</v>
      </c>
      <c r="Q11" s="31" t="n">
        <v>48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71.66</v>
      </c>
      <c r="U11" s="32" t="n">
        <v>59.07</v>
      </c>
      <c r="V11" s="32" t="n">
        <v>1254.02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26.25</v>
      </c>
      <c r="Z11" s="32" t="n">
        <v>54.22</v>
      </c>
      <c r="AA11" s="32" t="n">
        <v>22.16</v>
      </c>
      <c r="AB11" s="32" t="n">
        <v>14.54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139.8</v>
      </c>
      <c r="E12" s="32" t="inlineStr">
        <is>
          <t>5%</t>
        </is>
      </c>
      <c r="F12" s="32" t="n">
        <v>50000</v>
      </c>
      <c r="G12" s="32" t="n">
        <v>24</v>
      </c>
      <c r="H12" s="31" t="inlineStr">
        <is>
          <t>LAURUSLABS</t>
        </is>
      </c>
      <c r="I12" s="31" t="inlineStr">
        <is>
          <t>Laurus Labs Limited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largecap</t>
        </is>
      </c>
      <c r="M12" s="32" t="n">
        <v>108401.08</v>
      </c>
      <c r="N12" s="32" t="n">
        <v>2034</v>
      </c>
      <c r="O12" s="32" t="n">
        <v>1.37</v>
      </c>
      <c r="P12" s="32" t="n">
        <v>1363988</v>
      </c>
      <c r="Q12" s="31" t="n">
        <v>81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78.22</v>
      </c>
      <c r="U12" s="32" t="n">
        <v>74.7</v>
      </c>
      <c r="V12" s="32" t="n">
        <v>1738.99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26.25</v>
      </c>
      <c r="Z12" s="32" t="n">
        <v>144.83</v>
      </c>
      <c r="AA12" s="32" t="n">
        <v>93.93000000000001</v>
      </c>
      <c r="AB12" s="32" t="n">
        <v>29.58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139.3</v>
      </c>
      <c r="E13" s="32" t="inlineStr">
        <is>
          <t>5%</t>
        </is>
      </c>
      <c r="F13" s="32" t="n">
        <v>50000</v>
      </c>
      <c r="G13" s="32" t="n">
        <v>69</v>
      </c>
      <c r="H13" s="31" t="inlineStr">
        <is>
          <t>SHREEJISPG</t>
        </is>
      </c>
      <c r="I13" s="31" t="inlineStr">
        <is>
          <t>Shreeji Shipping Global Ltd</t>
        </is>
      </c>
      <c r="J13" s="31" t="inlineStr">
        <is>
          <t>transportation</t>
        </is>
      </c>
      <c r="K13" s="31" t="inlineStr">
        <is>
          <t>shipping</t>
        </is>
      </c>
      <c r="L13" s="31" t="inlineStr">
        <is>
          <t>midcap</t>
        </is>
      </c>
      <c r="M13" s="32" t="n">
        <v>11719.52</v>
      </c>
      <c r="N13" s="32" t="n">
        <v>723.75</v>
      </c>
      <c r="O13" s="32" t="n">
        <v>0.61</v>
      </c>
      <c r="P13" s="32" t="n">
        <v>321372</v>
      </c>
      <c r="Q13" s="31" t="n">
        <v>90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80.43000000000001</v>
      </c>
      <c r="U13" s="32" t="n">
        <v>56.04</v>
      </c>
      <c r="V13" s="32" t="n">
        <v>597.84</v>
      </c>
      <c r="W13" s="31" t="inlineStr">
        <is>
          <t>Near 52W High Breakout</t>
        </is>
      </c>
      <c r="X13" s="31" t="inlineStr">
        <is>
          <t>Nifty 50</t>
        </is>
      </c>
      <c r="Y13" s="32" t="n">
        <v>-4.9</v>
      </c>
      <c r="Z13" s="32" t="n">
        <v>194.59</v>
      </c>
      <c r="AA13" s="32" t="n">
        <v>209.76</v>
      </c>
      <c r="AB13" s="32" t="n">
        <v>36.25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138.5</v>
      </c>
      <c r="E14" s="32" t="inlineStr">
        <is>
          <t>5%</t>
        </is>
      </c>
      <c r="F14" s="32" t="n">
        <v>50000</v>
      </c>
      <c r="G14" s="32" t="n">
        <v>139</v>
      </c>
      <c r="H14" s="31" t="inlineStr">
        <is>
          <t>STEELCAS</t>
        </is>
      </c>
      <c r="I14" s="31" t="inlineStr">
        <is>
          <t>Steelcast Ltd</t>
        </is>
      </c>
      <c r="J14" s="31" t="inlineStr">
        <is>
          <t>industrials</t>
        </is>
      </c>
      <c r="K14" s="31" t="inlineStr">
        <is>
          <t>castings &amp; forgings</t>
        </is>
      </c>
      <c r="L14" s="31" t="inlineStr">
        <is>
          <t>smallcap</t>
        </is>
      </c>
      <c r="M14" s="32" t="n">
        <v>3543.52</v>
      </c>
      <c r="N14" s="32" t="n">
        <v>359.7</v>
      </c>
      <c r="O14" s="32" t="n">
        <v>2.73</v>
      </c>
      <c r="P14" s="32" t="n">
        <v>268681</v>
      </c>
      <c r="Q14" s="31" t="n">
        <v>53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70.01000000000001</v>
      </c>
      <c r="U14" s="32" t="n">
        <v>42.41</v>
      </c>
      <c r="V14" s="32" t="n">
        <v>268.98</v>
      </c>
      <c r="W14" s="31" t="inlineStr">
        <is>
          <t>Volume Spike &amp; Near 52W High Breakout</t>
        </is>
      </c>
      <c r="X14" s="31" t="inlineStr">
        <is>
          <t>Nifty 50</t>
        </is>
      </c>
      <c r="Y14" s="32" t="n">
        <v>-4.9</v>
      </c>
      <c r="Z14" s="32" t="n">
        <v>72.14</v>
      </c>
      <c r="AA14" s="32" t="n">
        <v>81.01000000000001</v>
      </c>
      <c r="AB14" s="32" t="n">
        <v>16.38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138.6</v>
      </c>
      <c r="E15" s="32" t="inlineStr">
        <is>
          <t>5%</t>
        </is>
      </c>
      <c r="F15" s="32" t="n">
        <v>50000</v>
      </c>
      <c r="G15" s="32" t="n">
        <v>92</v>
      </c>
      <c r="H15" s="31" t="inlineStr">
        <is>
          <t>NRBBEARING</t>
        </is>
      </c>
      <c r="I15" s="31" t="inlineStr">
        <is>
          <t>Nrb Bearing Limited</t>
        </is>
      </c>
      <c r="J15" s="31" t="inlineStr">
        <is>
          <t>industrials</t>
        </is>
      </c>
      <c r="K15" s="31" t="inlineStr">
        <is>
          <t>bearings</t>
        </is>
      </c>
      <c r="L15" s="31" t="inlineStr">
        <is>
          <t>midcap</t>
        </is>
      </c>
      <c r="M15" s="32" t="n">
        <v>5044.82</v>
      </c>
      <c r="N15" s="32" t="n">
        <v>541.05</v>
      </c>
      <c r="O15" s="32" t="n">
        <v>3.95</v>
      </c>
      <c r="P15" s="32" t="n">
        <v>1530829</v>
      </c>
      <c r="Q15" s="31" t="n">
        <v>73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75.52</v>
      </c>
      <c r="U15" s="32" t="n">
        <v>50.8</v>
      </c>
      <c r="V15" s="32" t="n">
        <v>419.34</v>
      </c>
      <c r="W15" s="31" t="inlineStr">
        <is>
          <t>Near 52W High Breakout</t>
        </is>
      </c>
      <c r="X15" s="31" t="inlineStr">
        <is>
          <t>Nifty 50</t>
        </is>
      </c>
      <c r="Y15" s="32" t="n">
        <v>-4.9</v>
      </c>
      <c r="Z15" s="32" t="n">
        <v>98.7</v>
      </c>
      <c r="AA15" s="32" t="n">
        <v>108.93</v>
      </c>
      <c r="AB15" s="32" t="n">
        <v>24.96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Between 12 to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140</v>
      </c>
      <c r="E16" s="32" t="inlineStr">
        <is>
          <t>5%</t>
        </is>
      </c>
      <c r="F16" s="32" t="n">
        <v>50000</v>
      </c>
      <c r="G16" s="32" t="n">
        <v>148</v>
      </c>
      <c r="H16" s="31" t="inlineStr">
        <is>
          <t>BAFNAPH</t>
        </is>
      </c>
      <c r="I16" s="31" t="inlineStr">
        <is>
          <t>Bafna Pharmaceuticals Ltd</t>
        </is>
      </c>
      <c r="J16" s="31" t="inlineStr">
        <is>
          <t>healthcare</t>
        </is>
      </c>
      <c r="K16" s="31" t="inlineStr">
        <is>
          <t>pharmaceuticals - indian - formulations</t>
        </is>
      </c>
      <c r="L16" s="31" t="inlineStr">
        <is>
          <t>smallcap</t>
        </is>
      </c>
      <c r="M16" s="32" t="n">
        <v>780.54</v>
      </c>
      <c r="N16" s="32" t="n">
        <v>336.5</v>
      </c>
      <c r="O16" s="32" t="n">
        <v>1.99</v>
      </c>
      <c r="P16" s="32" t="n">
        <v>579</v>
      </c>
      <c r="Q16" s="31" t="n">
        <v>89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76.45</v>
      </c>
      <c r="U16" s="32" t="n">
        <v>60.97</v>
      </c>
      <c r="V16" s="32" t="n">
        <v>266.66</v>
      </c>
      <c r="W16" s="31" t="inlineStr">
        <is>
          <t>Near 52W High Breakout</t>
        </is>
      </c>
      <c r="X16" s="31" t="inlineStr">
        <is>
          <t>Nifty Pharma</t>
        </is>
      </c>
      <c r="Y16" s="32" t="n">
        <v>26.25</v>
      </c>
      <c r="Z16" s="32" t="n">
        <v>90.84</v>
      </c>
      <c r="AA16" s="32" t="n">
        <v>51.16</v>
      </c>
      <c r="AB16" s="32" t="n">
        <v>35.76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</v>
      </c>
      <c r="E17" s="32" t="inlineStr">
        <is>
          <t>5%</t>
        </is>
      </c>
      <c r="F17" s="32" t="n">
        <v>50000</v>
      </c>
      <c r="G17" s="32" t="n">
        <v>83</v>
      </c>
      <c r="H17" s="31" t="inlineStr">
        <is>
          <t>TI</t>
        </is>
      </c>
      <c r="I17" s="31" t="inlineStr">
        <is>
          <t>Tilaknagar Industries Limited</t>
        </is>
      </c>
      <c r="J17" s="31" t="inlineStr">
        <is>
          <t>fmcg</t>
        </is>
      </c>
      <c r="K17" s="31" t="inlineStr">
        <is>
          <t>breweries &amp; distilleries</t>
        </is>
      </c>
      <c r="L17" s="31" t="inlineStr">
        <is>
          <t>midcap</t>
        </is>
      </c>
      <c r="M17" s="32" t="n">
        <v>14221.09</v>
      </c>
      <c r="N17" s="32" t="n">
        <v>601.5</v>
      </c>
      <c r="O17" s="32" t="n">
        <v>4.67</v>
      </c>
      <c r="P17" s="32" t="n">
        <v>1593921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69.64</v>
      </c>
      <c r="U17" s="32" t="n">
        <v>23.19</v>
      </c>
      <c r="V17" s="32" t="n">
        <v>479.12</v>
      </c>
      <c r="W17" s="31" t="inlineStr">
        <is>
          <t>Near 52W High Breakout</t>
        </is>
      </c>
      <c r="X17" s="31" t="inlineStr">
        <is>
          <t>Nifty FMCG</t>
        </is>
      </c>
      <c r="Y17" s="32" t="inlineStr"/>
      <c r="Z17" s="32" t="inlineStr"/>
      <c r="AA17" s="32" t="inlineStr"/>
      <c r="AB17" s="32" t="inlineStr"/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B2C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138.9</v>
      </c>
      <c r="E18" s="32" t="inlineStr">
        <is>
          <t>5%</t>
        </is>
      </c>
      <c r="F18" s="32" t="n">
        <v>50000</v>
      </c>
      <c r="G18" s="32" t="n">
        <v>163</v>
      </c>
      <c r="H18" s="31" t="inlineStr">
        <is>
          <t>ENGINERSIN</t>
        </is>
      </c>
      <c r="I18" s="31" t="inlineStr">
        <is>
          <t>Engineers India Limited</t>
        </is>
      </c>
      <c r="J18" s="31" t="inlineStr">
        <is>
          <t>realty</t>
        </is>
      </c>
      <c r="K18" s="31" t="inlineStr">
        <is>
          <t>engineering - turnkey services</t>
        </is>
      </c>
      <c r="L18" s="31" t="inlineStr">
        <is>
          <t>midcap</t>
        </is>
      </c>
      <c r="M18" s="32" t="n">
        <v>17004.59</v>
      </c>
      <c r="N18" s="32" t="n">
        <v>306.2</v>
      </c>
      <c r="O18" s="32" t="n">
        <v>1.21</v>
      </c>
      <c r="P18" s="32" t="n">
        <v>11229270</v>
      </c>
      <c r="Q18" s="31" t="inlineStr"/>
      <c r="R18" s="31" t="inlineStr"/>
      <c r="S18" s="32">
        <f>IF(R18="Underperforming",-5,IF(Q18&gt;=95,15,IF(Q18&gt;=90,10,IF(Q18&gt;=80,5,0))))</f>
        <v/>
      </c>
      <c r="T18" s="32" t="n">
        <v>71.14</v>
      </c>
      <c r="U18" s="32" t="n">
        <v>18.25</v>
      </c>
      <c r="V18" s="32" t="n">
        <v>243.4</v>
      </c>
      <c r="W18" s="31" t="inlineStr">
        <is>
          <t>Volume Spike &amp; Near 52W High Breakout</t>
        </is>
      </c>
      <c r="X18" s="31" t="inlineStr">
        <is>
          <t>Nifty Realty</t>
        </is>
      </c>
      <c r="Y18" s="32" t="inlineStr"/>
      <c r="Z18" s="32" t="inlineStr"/>
      <c r="AA18" s="32" t="inlineStr"/>
      <c r="AB18" s="32" t="inlineStr"/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138.5</v>
      </c>
      <c r="E19" s="32" t="inlineStr">
        <is>
          <t>5%</t>
        </is>
      </c>
      <c r="F19" s="32" t="n">
        <v>50000</v>
      </c>
      <c r="G19" s="32" t="n">
        <v>7</v>
      </c>
      <c r="H19" s="31" t="inlineStr">
        <is>
          <t>SMLMAH</t>
        </is>
      </c>
      <c r="I19" s="31" t="inlineStr">
        <is>
          <t>SML Mahindra Ltd</t>
        </is>
      </c>
      <c r="J19" s="31" t="inlineStr">
        <is>
          <t>auto</t>
        </is>
      </c>
      <c r="K19" s="31" t="inlineStr">
        <is>
          <t>automobiles - lcvs / hcvs</t>
        </is>
      </c>
      <c r="L19" s="31" t="inlineStr">
        <is>
          <t>midcap</t>
        </is>
      </c>
      <c r="M19" s="32" t="n">
        <v>9724.219999999999</v>
      </c>
      <c r="N19" s="32" t="n">
        <v>6794</v>
      </c>
      <c r="O19" s="32" t="n">
        <v>1.11</v>
      </c>
      <c r="P19" s="32" t="n">
        <v>53537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71.13</v>
      </c>
      <c r="U19" s="32" t="n">
        <v>30.19</v>
      </c>
      <c r="V19" s="32" t="n">
        <v>5052.76</v>
      </c>
      <c r="W19" s="31" t="inlineStr">
        <is>
          <t>Near 52W High Breakout</t>
        </is>
      </c>
      <c r="X19" s="31" t="inlineStr">
        <is>
          <t>Nifty Auto</t>
        </is>
      </c>
      <c r="Y19" s="32" t="inlineStr"/>
      <c r="Z19" s="32" t="inlineStr"/>
      <c r="AA19" s="32" t="inlineStr"/>
      <c r="AB19" s="32" t="inlineStr"/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139.1</v>
      </c>
      <c r="E20" s="32" t="inlineStr">
        <is>
          <t>5%</t>
        </is>
      </c>
      <c r="F20" s="32" t="n">
        <v>50000</v>
      </c>
      <c r="G20" s="32" t="n">
        <v>32</v>
      </c>
      <c r="H20" s="31" t="inlineStr">
        <is>
          <t>QPOWER</t>
        </is>
      </c>
      <c r="I20" s="31" t="inlineStr">
        <is>
          <t>Quality Power Electrical Equipments Ltd</t>
        </is>
      </c>
      <c r="J20" s="31" t="inlineStr">
        <is>
          <t>industrials</t>
        </is>
      </c>
      <c r="K20" s="31" t="inlineStr">
        <is>
          <t>electric equipment</t>
        </is>
      </c>
      <c r="L20" s="31" t="inlineStr">
        <is>
          <t>midcap</t>
        </is>
      </c>
      <c r="M20" s="32" t="n">
        <v>11551.56</v>
      </c>
      <c r="N20" s="32" t="n">
        <v>1555.6</v>
      </c>
      <c r="O20" s="32" t="n">
        <v>4.29</v>
      </c>
      <c r="P20" s="32" t="n">
        <v>326604</v>
      </c>
      <c r="Q20" s="31" t="n">
        <v>53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67.69</v>
      </c>
      <c r="U20" s="32" t="n">
        <v>19.23</v>
      </c>
      <c r="V20" s="32" t="n">
        <v>1137.4</v>
      </c>
      <c r="W20" s="31" t="inlineStr">
        <is>
          <t>Near 52W High Breakout</t>
        </is>
      </c>
      <c r="X20" s="31" t="inlineStr">
        <is>
          <t>Nifty 50</t>
        </is>
      </c>
      <c r="Y20" s="32" t="n">
        <v>-4.9</v>
      </c>
      <c r="Z20" s="32" t="n">
        <v>53.63</v>
      </c>
      <c r="AA20" s="32" t="n">
        <v>61.54</v>
      </c>
      <c r="AB20" s="32" t="n">
        <v>16.62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Between 1.5 to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140</v>
      </c>
      <c r="E21" s="32" t="inlineStr">
        <is>
          <t>5%</t>
        </is>
      </c>
      <c r="F21" s="32" t="n">
        <v>50000</v>
      </c>
      <c r="G21" s="32" t="n">
        <v>5</v>
      </c>
      <c r="H21" s="33" t="inlineStr">
        <is>
          <t>APOLLOHOSP</t>
        </is>
      </c>
      <c r="I21" s="33" t="inlineStr">
        <is>
          <t>Apollo Hospitals Enterprise Limited</t>
        </is>
      </c>
      <c r="J21" s="31" t="inlineStr">
        <is>
          <t>healthcare</t>
        </is>
      </c>
      <c r="K21" s="31" t="inlineStr">
        <is>
          <t>healthcare</t>
        </is>
      </c>
      <c r="L21" s="31" t="inlineStr">
        <is>
          <t>largecap</t>
        </is>
      </c>
      <c r="M21" s="32" t="n">
        <v>127040.93</v>
      </c>
      <c r="N21" s="32" t="n">
        <v>9069</v>
      </c>
      <c r="O21" s="32" t="n">
        <v>2.64</v>
      </c>
      <c r="P21" s="32" t="n">
        <v>419571</v>
      </c>
      <c r="Q21" s="31" t="n">
        <v>15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66.59999999999999</v>
      </c>
      <c r="U21" s="32" t="n">
        <v>29.91</v>
      </c>
      <c r="V21" s="32" t="n">
        <v>8103.13</v>
      </c>
      <c r="W21" s="31" t="inlineStr">
        <is>
          <t>Near 52W High Breakout</t>
        </is>
      </c>
      <c r="X21" s="31" t="inlineStr">
        <is>
          <t>Nifty Pharma</t>
        </is>
      </c>
      <c r="Y21" s="32" t="n">
        <v>26.25</v>
      </c>
      <c r="Z21" s="32" t="n">
        <v>21.06</v>
      </c>
      <c r="AA21" s="32" t="n">
        <v>-4.11</v>
      </c>
      <c r="AB21" s="32" t="n">
        <v>5.22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Oligopoly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B2C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Fully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Yes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Between 1.5 to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EMA Crossover</t>
        </is>
      </c>
      <c r="D22" s="32" t="n">
        <v>143.8</v>
      </c>
      <c r="E22" s="32" t="inlineStr">
        <is>
          <t>7%</t>
        </is>
      </c>
      <c r="F22" s="32" t="n">
        <v>70000</v>
      </c>
      <c r="G22" s="32" t="n">
        <v>21</v>
      </c>
      <c r="H22" s="31" t="inlineStr">
        <is>
          <t>TIMKEN</t>
        </is>
      </c>
      <c r="I22" s="31" t="inlineStr">
        <is>
          <t>Timken India Limited</t>
        </is>
      </c>
      <c r="J22" s="31" t="inlineStr">
        <is>
          <t>industrials</t>
        </is>
      </c>
      <c r="K22" s="31" t="inlineStr">
        <is>
          <t>bearings</t>
        </is>
      </c>
      <c r="L22" s="31" t="inlineStr">
        <is>
          <t>largecap</t>
        </is>
      </c>
      <c r="M22" s="32" t="n">
        <v>23908.27</v>
      </c>
      <c r="N22" s="32" t="n">
        <v>3287.9</v>
      </c>
      <c r="O22" s="32" t="n">
        <v>3.44</v>
      </c>
      <c r="P22" s="32" t="n">
        <v>55180</v>
      </c>
      <c r="Q22" s="31" t="n">
        <v>1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49.97</v>
      </c>
      <c r="U22" s="32" t="n">
        <v>9.699999999999999</v>
      </c>
      <c r="V22" s="32" t="n">
        <v>3023.12</v>
      </c>
      <c r="W22" s="31" t="inlineStr">
        <is>
          <t>Earnings / Momentum Support</t>
        </is>
      </c>
      <c r="X22" s="31" t="inlineStr">
        <is>
          <t>Nifty 50</t>
        </is>
      </c>
      <c r="Y22" s="32" t="n">
        <v>-4.9</v>
      </c>
      <c r="Z22" s="32" t="n">
        <v>9.75</v>
      </c>
      <c r="AA22" s="32" t="n">
        <v>15.41</v>
      </c>
      <c r="AB22" s="32" t="n">
        <v>0.19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No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Below 45</t>
        </is>
      </c>
      <c r="BF22" s="31">
        <f>IF(BE22="Between 50 to 75",10,IF(BE22="Above 75",0,0))</f>
        <v/>
      </c>
      <c r="BG22" s="31" t="inlineStr">
        <is>
          <t>Stage 1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Between 12 to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116</v>
      </c>
      <c r="H2" s="31" t="inlineStr">
        <is>
          <t>RBLBANK</t>
        </is>
      </c>
      <c r="I2" s="31" t="inlineStr">
        <is>
          <t>Rbl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65534.98</v>
      </c>
      <c r="N2" s="32" t="n">
        <v>428</v>
      </c>
      <c r="O2" s="32" t="n">
        <v>1.13</v>
      </c>
      <c r="P2" s="32" t="n">
        <v>3651779</v>
      </c>
      <c r="Q2" s="31" t="n">
        <v>44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70.63</v>
      </c>
      <c r="U2" s="32" t="n">
        <v>35</v>
      </c>
      <c r="V2" s="32" t="n">
        <v>364.32</v>
      </c>
      <c r="W2" s="31" t="inlineStr">
        <is>
          <t>Near 52W High Breakout</t>
        </is>
      </c>
      <c r="X2" s="31" t="inlineStr">
        <is>
          <t>Nifty Bank</t>
        </is>
      </c>
      <c r="Y2" s="32" t="n">
        <v>3.97</v>
      </c>
      <c r="Z2" s="32" t="n">
        <v>57.56</v>
      </c>
      <c r="AA2" s="32" t="n">
        <v>51.54</v>
      </c>
      <c r="AB2" s="32" t="n">
        <v>13.13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less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7344.62</v>
      </c>
      <c r="I2" s="32" t="n">
        <v>727.55</v>
      </c>
      <c r="J2" s="32" t="n">
        <v>3.38</v>
      </c>
      <c r="K2" s="32" t="n">
        <v>0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73.28</v>
      </c>
      <c r="P2" s="32" t="n">
        <v>61.38</v>
      </c>
      <c r="Q2" s="32" t="n">
        <v>549.63</v>
      </c>
      <c r="R2" s="31" t="inlineStr">
        <is>
          <t>Near 52W High Breakout</t>
        </is>
      </c>
      <c r="S2" s="31" t="inlineStr">
        <is>
          <t>Nifty 50</t>
        </is>
      </c>
      <c r="T2" s="32" t="n">
        <v>-4.9</v>
      </c>
      <c r="U2" s="32" t="n">
        <v>113.26</v>
      </c>
      <c r="V2" s="32" t="n">
        <v>124.24</v>
      </c>
      <c r="W2" s="32" t="n">
        <v>32.05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PREMIERPOL</t>
        </is>
      </c>
      <c r="D3" s="34" t="inlineStr">
        <is>
          <t>Premier Polyfilm Ltd</t>
        </is>
      </c>
      <c r="E3" s="31" t="inlineStr">
        <is>
          <t>plastic products</t>
        </is>
      </c>
      <c r="F3" s="31" t="inlineStr">
        <is>
          <t>Plastics - Sheets/Films</t>
        </is>
      </c>
      <c r="G3" s="31" t="inlineStr">
        <is>
          <t>smallcap</t>
        </is>
      </c>
      <c r="H3" s="32" t="n">
        <v>1018.31</v>
      </c>
      <c r="I3" s="32" t="n">
        <v>97.22</v>
      </c>
      <c r="J3" s="32" t="n">
        <v>20</v>
      </c>
      <c r="K3" s="32" t="n">
        <v>0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67.48</v>
      </c>
      <c r="P3" s="32" t="n">
        <v>58.03</v>
      </c>
      <c r="Q3" s="32" t="n">
        <v>66.11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-4.9</v>
      </c>
      <c r="U3" s="32" t="n">
        <v>112.12</v>
      </c>
      <c r="V3" s="32" t="n">
        <v>123.05</v>
      </c>
      <c r="W3" s="32" t="n">
        <v>30.36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</t>
        </is>
      </c>
      <c r="G4" s="31" t="inlineStr">
        <is>
          <t>midcap</t>
        </is>
      </c>
      <c r="H4" s="32" t="n">
        <v>6786.71</v>
      </c>
      <c r="I4" s="32" t="n">
        <v>29.1</v>
      </c>
      <c r="J4" s="32" t="n">
        <v>-1.39</v>
      </c>
      <c r="K4" s="32" t="n">
        <v>0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62.29</v>
      </c>
      <c r="P4" s="32" t="n">
        <v>40.79</v>
      </c>
      <c r="Q4" s="32" t="n">
        <v>21.06</v>
      </c>
      <c r="R4" s="31" t="inlineStr">
        <is>
          <t>Near 52W High Breakout</t>
        </is>
      </c>
      <c r="S4" s="31" t="inlineStr">
        <is>
          <t>Nifty 50</t>
        </is>
      </c>
      <c r="T4" s="32" t="n">
        <v>-4.9</v>
      </c>
      <c r="U4" s="32" t="n">
        <v>55.31</v>
      </c>
      <c r="V4" s="32" t="n">
        <v>63.31</v>
      </c>
      <c r="W4" s="32" t="n">
        <v>29.45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RPTECH</t>
        </is>
      </c>
      <c r="D5" s="34" t="inlineStr">
        <is>
          <t>Rashi Peripherals Ltd</t>
        </is>
      </c>
      <c r="E5" s="31" t="inlineStr">
        <is>
          <t>i.t</t>
        </is>
      </c>
      <c r="F5" s="31" t="inlineStr">
        <is>
          <t>Trading</t>
        </is>
      </c>
      <c r="G5" s="31" t="inlineStr">
        <is>
          <t>midcap</t>
        </is>
      </c>
      <c r="H5" s="32" t="n">
        <v>5955.6</v>
      </c>
      <c r="I5" s="32" t="n">
        <v>896.85</v>
      </c>
      <c r="J5" s="32" t="n">
        <v>1.51</v>
      </c>
      <c r="K5" s="32" t="n">
        <v>0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71.18000000000001</v>
      </c>
      <c r="P5" s="32" t="n">
        <v>71</v>
      </c>
      <c r="Q5" s="32" t="n">
        <v>663.29</v>
      </c>
      <c r="R5" s="31" t="inlineStr">
        <is>
          <t>Near 52W High Breakout</t>
        </is>
      </c>
      <c r="S5" s="31" t="inlineStr">
        <is>
          <t>Nifty IT</t>
        </is>
      </c>
      <c r="T5" s="32" t="n">
        <v>-15.93</v>
      </c>
      <c r="U5" s="32" t="n">
        <v>185.55</v>
      </c>
      <c r="V5" s="32" t="n">
        <v>239.65</v>
      </c>
      <c r="W5" s="32" t="n">
        <v>33.26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19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GNA</t>
        </is>
      </c>
      <c r="D6" s="34" t="inlineStr">
        <is>
          <t>GNA Axles Ltd</t>
        </is>
      </c>
      <c r="E6" s="31" t="inlineStr">
        <is>
          <t>auto</t>
        </is>
      </c>
      <c r="F6" s="31" t="inlineStr">
        <is>
          <t>Auto &amp; Auto Ancl - CV</t>
        </is>
      </c>
      <c r="G6" s="31" t="inlineStr">
        <is>
          <t>smallcap</t>
        </is>
      </c>
      <c r="H6" s="32" t="n">
        <v>2553.95</v>
      </c>
      <c r="I6" s="32" t="n">
        <v>594.9</v>
      </c>
      <c r="J6" s="32" t="n">
        <v>5.92</v>
      </c>
      <c r="K6" s="32" t="n">
        <v>0</v>
      </c>
      <c r="L6" s="31" t="inlineStr"/>
      <c r="M6" s="31" t="inlineStr"/>
      <c r="N6" s="32">
        <f>IF(M6="Underperforming",-5,IF(L6&gt;=95,15,IF(L6&gt;=90,10,IF(L6&gt;=80,5,0))))</f>
        <v/>
      </c>
      <c r="O6" s="32" t="n">
        <v>70.79000000000001</v>
      </c>
      <c r="P6" s="32" t="n">
        <v>48.52</v>
      </c>
      <c r="Q6" s="32" t="n">
        <v>449.13</v>
      </c>
      <c r="R6" s="31" t="inlineStr">
        <is>
          <t>Volume Spike &amp; Near 52W High Breakout</t>
        </is>
      </c>
      <c r="S6" s="31" t="inlineStr">
        <is>
          <t>Nifty Auto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MINDSPACE</t>
        </is>
      </c>
      <c r="D7" s="34" t="inlineStr">
        <is>
          <t>Mindspace Business Parks REIT</t>
        </is>
      </c>
      <c r="E7" s="31" t="inlineStr">
        <is>
          <t>unknown</t>
        </is>
      </c>
      <c r="F7" s="31" t="inlineStr">
        <is>
          <t>Real Estate Investment Trusts</t>
        </is>
      </c>
      <c r="G7" s="31" t="inlineStr">
        <is>
          <t>largecap</t>
        </is>
      </c>
      <c r="H7" s="32" t="n">
        <v>33259.21</v>
      </c>
      <c r="I7" s="32" t="n">
        <v>502.41</v>
      </c>
      <c r="J7" s="32" t="n">
        <v>-0.47</v>
      </c>
      <c r="K7" s="32" t="n">
        <v>0</v>
      </c>
      <c r="L7" s="31" t="n">
        <v>16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67.59</v>
      </c>
      <c r="P7" s="32" t="n">
        <v>46.5</v>
      </c>
      <c r="Q7" s="32" t="n">
        <v>462.89</v>
      </c>
      <c r="R7" s="31" t="inlineStr">
        <is>
          <t>Near 52W High Breakout</t>
        </is>
      </c>
      <c r="S7" s="31" t="inlineStr">
        <is>
          <t>Nifty 50</t>
        </is>
      </c>
      <c r="T7" s="32" t="n">
        <v>-4.9</v>
      </c>
      <c r="U7" s="32" t="n">
        <v>16.8</v>
      </c>
      <c r="V7" s="32" t="n">
        <v>22.81</v>
      </c>
      <c r="W7" s="32" t="n">
        <v>5.34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VIKRAMTH</t>
        </is>
      </c>
      <c r="D8" s="31" t="inlineStr">
        <is>
          <t>Vikram Thermo (India) Ltd</t>
        </is>
      </c>
      <c r="E8" s="31" t="inlineStr">
        <is>
          <t>Healthcare</t>
        </is>
      </c>
      <c r="F8" s="31" t="inlineStr">
        <is>
          <t>Speciality Chemicals</t>
        </is>
      </c>
      <c r="G8" s="31" t="inlineStr">
        <is>
          <t>smallcap</t>
        </is>
      </c>
      <c r="H8" s="32" t="n">
        <v>1348.07</v>
      </c>
      <c r="I8" s="32" t="n">
        <v>429.9</v>
      </c>
      <c r="J8" s="32" t="n">
        <v>11.36</v>
      </c>
      <c r="K8" s="32" t="n">
        <v>0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92.36</v>
      </c>
      <c r="P8" s="32" t="n">
        <v>68.33</v>
      </c>
      <c r="Q8" s="32" t="n">
        <v>329.12</v>
      </c>
      <c r="R8" s="31" t="inlineStr">
        <is>
          <t>Volume Spike &amp; Near 52W High Breakout</t>
        </is>
      </c>
      <c r="S8" s="31" t="inlineStr">
        <is>
          <t>Nifty Pharma</t>
        </is>
      </c>
      <c r="T8" s="32" t="n">
        <v>26.25</v>
      </c>
      <c r="U8" s="32" t="n">
        <v>165.53</v>
      </c>
      <c r="V8" s="32" t="n">
        <v>110.33</v>
      </c>
      <c r="W8" s="32" t="n">
        <v>44.71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27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AVTNPL</t>
        </is>
      </c>
      <c r="D9" s="31" t="inlineStr">
        <is>
          <t>AVT Natural Products Ltd</t>
        </is>
      </c>
      <c r="E9" s="31" t="inlineStr">
        <is>
          <t>fmcg</t>
        </is>
      </c>
      <c r="F9" s="31" t="inlineStr">
        <is>
          <t>Agricultural Processing - Maize</t>
        </is>
      </c>
      <c r="G9" s="31" t="inlineStr">
        <is>
          <t>smallcap</t>
        </is>
      </c>
      <c r="H9" s="32" t="n">
        <v>1480.2</v>
      </c>
      <c r="I9" s="32" t="n">
        <v>97.2</v>
      </c>
      <c r="J9" s="32" t="n">
        <v>-1.08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73.66</v>
      </c>
      <c r="P9" s="32" t="n">
        <v>46.3</v>
      </c>
      <c r="Q9" s="32" t="n">
        <v>75.95999999999999</v>
      </c>
      <c r="R9" s="31" t="inlineStr">
        <is>
          <t>Volume Spike &amp; Near 52W High Breakout</t>
        </is>
      </c>
      <c r="S9" s="31" t="inlineStr">
        <is>
          <t>Nifty FMCG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26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VINCOFE</t>
        </is>
      </c>
      <c r="D10" s="31" t="inlineStr">
        <is>
          <t>Vintage Coffee &amp; Beverages Ltd</t>
        </is>
      </c>
      <c r="E10" s="31" t="inlineStr">
        <is>
          <t>consumer discretionary</t>
        </is>
      </c>
      <c r="F10" s="31" t="inlineStr">
        <is>
          <t>FMCG - Coffee</t>
        </is>
      </c>
      <c r="G10" s="31" t="inlineStr">
        <is>
          <t>smallcap</t>
        </is>
      </c>
      <c r="H10" s="32" t="n">
        <v>2707.11</v>
      </c>
      <c r="I10" s="32" t="n">
        <v>184.8</v>
      </c>
      <c r="J10" s="32" t="n">
        <v>5.99</v>
      </c>
      <c r="K10" s="32" t="n">
        <v>0</v>
      </c>
      <c r="L10" s="31" t="n">
        <v>31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67.28</v>
      </c>
      <c r="P10" s="32" t="n">
        <v>28.71</v>
      </c>
      <c r="Q10" s="32" t="n">
        <v>138.48</v>
      </c>
      <c r="R10" s="31" t="inlineStr">
        <is>
          <t>Near 52W High Breakout</t>
        </is>
      </c>
      <c r="S10" s="31" t="inlineStr">
        <is>
          <t>Nifty 50</t>
        </is>
      </c>
      <c r="T10" s="32" t="n">
        <v>-4.9</v>
      </c>
      <c r="U10" s="32" t="n">
        <v>24.3</v>
      </c>
      <c r="V10" s="32" t="n">
        <v>30.7</v>
      </c>
      <c r="W10" s="32" t="n">
        <v>9.52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TBZ</t>
        </is>
      </c>
      <c r="D11" s="31" t="inlineStr">
        <is>
          <t>Tribhovandas Bhimji Zaveri Ltd</t>
        </is>
      </c>
      <c r="E11" s="31" t="inlineStr">
        <is>
          <t>consumer discretionary</t>
        </is>
      </c>
      <c r="F11" s="31" t="inlineStr">
        <is>
          <t>Diamond, Gems &amp; Jewellery</t>
        </is>
      </c>
      <c r="G11" s="31" t="inlineStr">
        <is>
          <t>smallcap</t>
        </is>
      </c>
      <c r="H11" s="32" t="n">
        <v>4637.78</v>
      </c>
      <c r="I11" s="32" t="n">
        <v>695</v>
      </c>
      <c r="J11" s="32" t="n">
        <v>4.46</v>
      </c>
      <c r="K11" s="32" t="n">
        <v>0</v>
      </c>
      <c r="L11" s="31" t="n">
        <v>99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93.25</v>
      </c>
      <c r="P11" s="32" t="n">
        <v>59.98</v>
      </c>
      <c r="Q11" s="32" t="n">
        <v>533.16</v>
      </c>
      <c r="R11" s="31" t="inlineStr">
        <is>
          <t>Near 52W High Breakout</t>
        </is>
      </c>
      <c r="S11" s="31" t="inlineStr">
        <is>
          <t>Nifty 50</t>
        </is>
      </c>
      <c r="T11" s="32" t="n">
        <v>-4.9</v>
      </c>
      <c r="U11" s="32" t="n">
        <v>285.34</v>
      </c>
      <c r="V11" s="32" t="n">
        <v>305.2</v>
      </c>
      <c r="W11" s="32" t="n">
        <v>114.07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Between 0.7 to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23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BHAGYANGR</t>
        </is>
      </c>
      <c r="D12" s="31" t="inlineStr">
        <is>
          <t>Bhagyanagar India Ltd</t>
        </is>
      </c>
      <c r="E12" s="31" t="inlineStr">
        <is>
          <t>power &amp; utilities</t>
        </is>
      </c>
      <c r="F12" s="31" t="inlineStr">
        <is>
          <t>Recycling</t>
        </is>
      </c>
      <c r="G12" s="31" t="inlineStr">
        <is>
          <t>smallcap</t>
        </is>
      </c>
      <c r="H12" s="32" t="n">
        <v>1498.46</v>
      </c>
      <c r="I12" s="32" t="n">
        <v>447.35</v>
      </c>
      <c r="J12" s="32" t="n">
        <v>5</v>
      </c>
      <c r="K12" s="32" t="n">
        <v>0</v>
      </c>
      <c r="L12" s="31" t="n">
        <v>96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70.42</v>
      </c>
      <c r="P12" s="32" t="n">
        <v>66.04000000000001</v>
      </c>
      <c r="Q12" s="32" t="n">
        <v>314.45</v>
      </c>
      <c r="R12" s="31" t="inlineStr">
        <is>
          <t>Near 52W High Breakout</t>
        </is>
      </c>
      <c r="S12" s="31" t="inlineStr">
        <is>
          <t>Nifty IT</t>
        </is>
      </c>
      <c r="T12" s="32" t="n">
        <v>-15.93</v>
      </c>
      <c r="U12" s="32" t="n">
        <v>363.27</v>
      </c>
      <c r="V12" s="32" t="n">
        <v>451.04</v>
      </c>
      <c r="W12" s="32" t="n">
        <v>50.73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Between 0.7 to 1.2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23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NRL</t>
        </is>
      </c>
      <c r="D13" s="31" t="inlineStr">
        <is>
          <t>Nupur Recyclers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smallcap</t>
        </is>
      </c>
      <c r="H13" s="32" t="n">
        <v>1148.34</v>
      </c>
      <c r="I13" s="32" t="n">
        <v>166.26</v>
      </c>
      <c r="J13" s="32" t="n">
        <v>5</v>
      </c>
      <c r="K13" s="32" t="n">
        <v>0</v>
      </c>
      <c r="L13" s="31" t="n">
        <v>94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93.22</v>
      </c>
      <c r="P13" s="32" t="n">
        <v>74.05</v>
      </c>
      <c r="Q13" s="32" t="n">
        <v>138.4</v>
      </c>
      <c r="R13" s="31" t="inlineStr">
        <is>
          <t>Near 52W High Breakout</t>
        </is>
      </c>
      <c r="S13" s="31" t="inlineStr">
        <is>
          <t>Nifty 50</t>
        </is>
      </c>
      <c r="T13" s="32" t="n">
        <v>-4.9</v>
      </c>
      <c r="U13" s="32" t="n">
        <v>129.58</v>
      </c>
      <c r="V13" s="32" t="n">
        <v>141.4</v>
      </c>
      <c r="W13" s="32" t="n">
        <v>47.44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21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FILATEX</t>
        </is>
      </c>
      <c r="D14" s="31" t="inlineStr">
        <is>
          <t>Filatex India Ltd</t>
        </is>
      </c>
      <c r="E14" s="31" t="inlineStr">
        <is>
          <t>textiles</t>
        </is>
      </c>
      <c r="F14" s="31" t="inlineStr">
        <is>
          <t>Textiles - Manmade Fibre - PFY/PSF</t>
        </is>
      </c>
      <c r="G14" s="31" t="inlineStr">
        <is>
          <t>smallcap</t>
        </is>
      </c>
      <c r="H14" s="32" t="n">
        <v>4795.83</v>
      </c>
      <c r="I14" s="32" t="n">
        <v>108</v>
      </c>
      <c r="J14" s="32" t="n">
        <v>6.86</v>
      </c>
      <c r="K14" s="32" t="n">
        <v>0</v>
      </c>
      <c r="L14" s="31" t="n">
        <v>93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83.53</v>
      </c>
      <c r="P14" s="32" t="n">
        <v>47.71</v>
      </c>
      <c r="Q14" s="32" t="n">
        <v>81.89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-4.9</v>
      </c>
      <c r="U14" s="32" t="n">
        <v>111.22</v>
      </c>
      <c r="V14" s="32" t="n">
        <v>122.1</v>
      </c>
      <c r="W14" s="32" t="n">
        <v>44.88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Between 12 to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19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IOLCP</t>
        </is>
      </c>
      <c r="D15" s="31" t="inlineStr">
        <is>
          <t>IOL Chemicals &amp; Pharmaceuticals Ltd</t>
        </is>
      </c>
      <c r="E15" s="31" t="inlineStr">
        <is>
          <t>healthcare</t>
        </is>
      </c>
      <c r="F15" s="31" t="inlineStr">
        <is>
          <t>Pharma - API &amp; CRAMS</t>
        </is>
      </c>
      <c r="G15" s="31" t="inlineStr">
        <is>
          <t>midcap</t>
        </is>
      </c>
      <c r="H15" s="32" t="n">
        <v>6096.57</v>
      </c>
      <c r="I15" s="32" t="n">
        <v>207.7</v>
      </c>
      <c r="J15" s="32" t="n">
        <v>3.65</v>
      </c>
      <c r="K15" s="32" t="n">
        <v>0</v>
      </c>
      <c r="L15" s="31" t="n">
        <v>83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77.93000000000001</v>
      </c>
      <c r="P15" s="32" t="n">
        <v>80.13</v>
      </c>
      <c r="Q15" s="32" t="n">
        <v>149.56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26.25</v>
      </c>
      <c r="U15" s="32" t="n">
        <v>101.6</v>
      </c>
      <c r="V15" s="32" t="n">
        <v>59.69</v>
      </c>
      <c r="W15" s="32" t="n">
        <v>31.21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AEGISLOG</t>
        </is>
      </c>
      <c r="D16" s="31" t="inlineStr">
        <is>
          <t>Aegis Logistics Ltd</t>
        </is>
      </c>
      <c r="E16" s="31" t="inlineStr">
        <is>
          <t>services</t>
        </is>
      </c>
      <c r="F16" s="31" t="inlineStr">
        <is>
          <t>Logistics</t>
        </is>
      </c>
      <c r="G16" s="31" t="inlineStr">
        <is>
          <t>largecap</t>
        </is>
      </c>
      <c r="H16" s="32" t="n">
        <v>49143.51</v>
      </c>
      <c r="I16" s="32" t="n">
        <v>1400.1</v>
      </c>
      <c r="J16" s="32" t="n">
        <v>-1.71</v>
      </c>
      <c r="K16" s="32" t="n">
        <v>0</v>
      </c>
      <c r="L16" s="31" t="n">
        <v>71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66.55</v>
      </c>
      <c r="P16" s="32" t="n">
        <v>60.43</v>
      </c>
      <c r="Q16" s="32" t="n">
        <v>1023.27</v>
      </c>
      <c r="R16" s="31" t="inlineStr">
        <is>
          <t>Near 52W High Breakout</t>
        </is>
      </c>
      <c r="S16" s="31" t="inlineStr">
        <is>
          <t>Nifty 50</t>
        </is>
      </c>
      <c r="T16" s="32" t="n">
        <v>-4.9</v>
      </c>
      <c r="U16" s="32" t="n">
        <v>88.64</v>
      </c>
      <c r="V16" s="32" t="n">
        <v>98.36</v>
      </c>
      <c r="W16" s="32" t="n">
        <v>23.03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26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KINGFA</t>
        </is>
      </c>
      <c r="D17" s="31" t="inlineStr">
        <is>
          <t>Kingfa Science &amp; Technology (India) Ltd</t>
        </is>
      </c>
      <c r="E17" s="31" t="inlineStr">
        <is>
          <t>plastic products</t>
        </is>
      </c>
      <c r="F17" s="31" t="inlineStr">
        <is>
          <t>Plastics - Plastic &amp; Plastic Products</t>
        </is>
      </c>
      <c r="G17" s="31" t="inlineStr">
        <is>
          <t>midcap</t>
        </is>
      </c>
      <c r="H17" s="32" t="n">
        <v>8430.309999999999</v>
      </c>
      <c r="I17" s="32" t="n">
        <v>6221</v>
      </c>
      <c r="J17" s="32" t="n">
        <v>0.85</v>
      </c>
      <c r="K17" s="32" t="n">
        <v>0</v>
      </c>
      <c r="L17" s="31" t="n">
        <v>44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68.03</v>
      </c>
      <c r="P17" s="32" t="n">
        <v>39.52</v>
      </c>
      <c r="Q17" s="32" t="n">
        <v>4964.81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-4.9</v>
      </c>
      <c r="U17" s="32" t="n">
        <v>44.08</v>
      </c>
      <c r="V17" s="32" t="n">
        <v>51.5</v>
      </c>
      <c r="W17" s="32" t="n">
        <v>13.13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25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MACPOWER</t>
        </is>
      </c>
      <c r="D18" s="31" t="inlineStr">
        <is>
          <t>Macpower CNC Machines Ltd</t>
        </is>
      </c>
      <c r="E18" s="31" t="inlineStr">
        <is>
          <t>industrials</t>
        </is>
      </c>
      <c r="F18" s="31" t="inlineStr">
        <is>
          <t>CNC - Machines</t>
        </is>
      </c>
      <c r="G18" s="31" t="inlineStr">
        <is>
          <t>smallcap</t>
        </is>
      </c>
      <c r="H18" s="32" t="n">
        <v>2077.86</v>
      </c>
      <c r="I18" s="32" t="n">
        <v>2077</v>
      </c>
      <c r="J18" s="32" t="n">
        <v>-0.93</v>
      </c>
      <c r="K18" s="32" t="n">
        <v>0</v>
      </c>
      <c r="L18" s="31" t="n">
        <v>92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72.95999999999999</v>
      </c>
      <c r="P18" s="32" t="n">
        <v>51.89</v>
      </c>
      <c r="Q18" s="32" t="n">
        <v>1485.47</v>
      </c>
      <c r="R18" s="31" t="inlineStr">
        <is>
          <t>Near 52W High Breakout</t>
        </is>
      </c>
      <c r="S18" s="31" t="inlineStr">
        <is>
          <t>Nifty 50</t>
        </is>
      </c>
      <c r="T18" s="32" t="n">
        <v>-4.9</v>
      </c>
      <c r="U18" s="32" t="n">
        <v>146.84</v>
      </c>
      <c r="V18" s="32" t="n">
        <v>159.56</v>
      </c>
      <c r="W18" s="32" t="n">
        <v>40.1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23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MARINE</t>
        </is>
      </c>
      <c r="D19" s="34" t="inlineStr">
        <is>
          <t>Marine Electricals (India) Ltd</t>
        </is>
      </c>
      <c r="E19" s="31" t="inlineStr">
        <is>
          <t>industrials</t>
        </is>
      </c>
      <c r="F19" s="31" t="inlineStr">
        <is>
          <t>Shipping - Proxy</t>
        </is>
      </c>
      <c r="G19" s="31" t="inlineStr">
        <is>
          <t>midcap</t>
        </is>
      </c>
      <c r="H19" s="32" t="n">
        <v>5986.12</v>
      </c>
      <c r="I19" s="32" t="n">
        <v>427.75</v>
      </c>
      <c r="J19" s="32" t="n">
        <v>3.96</v>
      </c>
      <c r="K19" s="32" t="n">
        <v>0</v>
      </c>
      <c r="L19" s="31" t="n">
        <v>83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71.13</v>
      </c>
      <c r="P19" s="32" t="n">
        <v>48.69</v>
      </c>
      <c r="Q19" s="32" t="n">
        <v>307.98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-4.9</v>
      </c>
      <c r="U19" s="32" t="n">
        <v>100.58</v>
      </c>
      <c r="V19" s="32" t="n">
        <v>110.91</v>
      </c>
      <c r="W19" s="32" t="n">
        <v>32.01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22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QUADFUTURE</t>
        </is>
      </c>
      <c r="D20" s="31" t="inlineStr">
        <is>
          <t>Quadrant Future Tek Ltd</t>
        </is>
      </c>
      <c r="E20" s="31" t="inlineStr">
        <is>
          <t>industrials</t>
        </is>
      </c>
      <c r="F20" s="31" t="inlineStr">
        <is>
          <t>Railways - Kavach/Springs</t>
        </is>
      </c>
      <c r="G20" s="31" t="inlineStr">
        <is>
          <t>smallcap</t>
        </is>
      </c>
      <c r="H20" s="32" t="n">
        <v>2099.4</v>
      </c>
      <c r="I20" s="32" t="n">
        <v>524.85</v>
      </c>
      <c r="J20" s="32" t="n">
        <v>0.47</v>
      </c>
      <c r="K20" s="32" t="n">
        <v>0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70.08</v>
      </c>
      <c r="P20" s="32" t="n">
        <v>40.31</v>
      </c>
      <c r="Q20" s="32" t="n">
        <v>373.25</v>
      </c>
      <c r="R20" s="31" t="inlineStr">
        <is>
          <t>Near 52W High Breakout</t>
        </is>
      </c>
      <c r="S20" s="31" t="inlineStr">
        <is>
          <t>Nifty Energy</t>
        </is>
      </c>
      <c r="T20" s="32" t="inlineStr"/>
      <c r="U20" s="32" t="inlineStr"/>
      <c r="V20" s="32" t="inlineStr"/>
      <c r="W20" s="32" t="inlineStr"/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MBECL</t>
        </is>
      </c>
      <c r="D21" s="31" t="inlineStr">
        <is>
          <t>McNally Bharat Engineering Company Ltd</t>
        </is>
      </c>
      <c r="E21" s="31" t="inlineStr">
        <is>
          <t>realty</t>
        </is>
      </c>
      <c r="F21" s="31" t="inlineStr">
        <is>
          <t>Engineering - Turnkey Services</t>
        </is>
      </c>
      <c r="G21" s="31" t="inlineStr">
        <is>
          <t>smallcap</t>
        </is>
      </c>
      <c r="H21" s="32" t="n">
        <v>1462.3</v>
      </c>
      <c r="I21" s="32" t="n">
        <v>438.69</v>
      </c>
      <c r="J21" s="32" t="n">
        <v>2</v>
      </c>
      <c r="K21" s="32" t="n">
        <v>0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99.98</v>
      </c>
      <c r="P21" s="32" t="n">
        <v>64.65000000000001</v>
      </c>
      <c r="Q21" s="32" t="n">
        <v>369.94</v>
      </c>
      <c r="R21" s="31" t="inlineStr">
        <is>
          <t>Volume Spike &amp; Near 52W High Breakout</t>
        </is>
      </c>
      <c r="S21" s="31" t="inlineStr">
        <is>
          <t>Nifty Realty</t>
        </is>
      </c>
      <c r="T21" s="32" t="inlineStr"/>
      <c r="U21" s="32" t="inlineStr"/>
      <c r="V21" s="32" t="inlineStr"/>
      <c r="W21" s="32" t="inlineStr"/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IGPL</t>
        </is>
      </c>
      <c r="D22" s="34" t="inlineStr">
        <is>
          <t>I G Petrochemicals Ltd</t>
        </is>
      </c>
      <c r="E22" s="31" t="inlineStr">
        <is>
          <t>chemicals</t>
        </is>
      </c>
      <c r="F22" s="31" t="inlineStr">
        <is>
          <t>Chemicals - Organic - Maleic Anhydride</t>
        </is>
      </c>
      <c r="G22" s="31" t="inlineStr">
        <is>
          <t>smallcap</t>
        </is>
      </c>
      <c r="H22" s="32" t="n">
        <v>1816.9</v>
      </c>
      <c r="I22" s="32" t="n">
        <v>590</v>
      </c>
      <c r="J22" s="32" t="n">
        <v>4.72</v>
      </c>
      <c r="K22" s="32" t="n">
        <v>0</v>
      </c>
      <c r="L22" s="31" t="n">
        <v>50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71.25</v>
      </c>
      <c r="P22" s="32" t="n">
        <v>33.42</v>
      </c>
      <c r="Q22" s="32" t="n">
        <v>461.56</v>
      </c>
      <c r="R22" s="31" t="inlineStr">
        <is>
          <t>Near 52W High Breakout</t>
        </is>
      </c>
      <c r="S22" s="31" t="inlineStr">
        <is>
          <t>Nifty 50</t>
        </is>
      </c>
      <c r="T22" s="32" t="n">
        <v>-4.9</v>
      </c>
      <c r="U22" s="32" t="n">
        <v>42.42</v>
      </c>
      <c r="V22" s="32" t="n">
        <v>49.75</v>
      </c>
      <c r="W22" s="32" t="n">
        <v>15.56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HONASA</t>
        </is>
      </c>
      <c r="D23" s="34" t="inlineStr">
        <is>
          <t>Honasa Consumer Ltd</t>
        </is>
      </c>
      <c r="E23" s="31" t="inlineStr">
        <is>
          <t>services</t>
        </is>
      </c>
      <c r="F23" s="31" t="inlineStr">
        <is>
          <t>New age - Platform - E-Retail</t>
        </is>
      </c>
      <c r="G23" s="31" t="inlineStr">
        <is>
          <t>midcap</t>
        </is>
      </c>
      <c r="H23" s="32" t="n">
        <v>15812.17</v>
      </c>
      <c r="I23" s="32" t="n">
        <v>485</v>
      </c>
      <c r="J23" s="32" t="n">
        <v>2.4</v>
      </c>
      <c r="K23" s="32" t="n">
        <v>0</v>
      </c>
      <c r="L23" s="31" t="n">
        <v>51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70.90000000000001</v>
      </c>
      <c r="P23" s="32" t="n">
        <v>60.34</v>
      </c>
      <c r="Q23" s="32" t="n">
        <v>410.89</v>
      </c>
      <c r="R23" s="31" t="inlineStr">
        <is>
          <t>Near 52W High Breakout</t>
        </is>
      </c>
      <c r="S23" s="31" t="inlineStr">
        <is>
          <t>Nifty 50</t>
        </is>
      </c>
      <c r="T23" s="32" t="n">
        <v>-4.9</v>
      </c>
      <c r="U23" s="32" t="n">
        <v>71.59</v>
      </c>
      <c r="V23" s="32" t="n">
        <v>80.43000000000001</v>
      </c>
      <c r="W23" s="32" t="n">
        <v>15.84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CONFIPET</t>
        </is>
      </c>
      <c r="D24" s="31" t="inlineStr">
        <is>
          <t>Confidence Petroleum India Ltd</t>
        </is>
      </c>
      <c r="E24" s="31" t="inlineStr">
        <is>
          <t>miscellaneous</t>
        </is>
      </c>
      <c r="F24" s="31" t="inlineStr">
        <is>
          <t>LPG Bottling</t>
        </is>
      </c>
      <c r="G24" s="31" t="inlineStr">
        <is>
          <t>smallcap</t>
        </is>
      </c>
      <c r="H24" s="32" t="n">
        <v>2948.64</v>
      </c>
      <c r="I24" s="32" t="n">
        <v>88.75</v>
      </c>
      <c r="J24" s="32" t="n">
        <v>2.29</v>
      </c>
      <c r="K24" s="32" t="n">
        <v>0</v>
      </c>
      <c r="L24" s="31" t="n">
        <v>72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68.95999999999999</v>
      </c>
      <c r="P24" s="32" t="n">
        <v>59.07</v>
      </c>
      <c r="Q24" s="32" t="n">
        <v>65.58</v>
      </c>
      <c r="R24" s="31" t="inlineStr">
        <is>
          <t>Near 52W High Breakout</t>
        </is>
      </c>
      <c r="S24" s="31" t="inlineStr">
        <is>
          <t>Nifty 50</t>
        </is>
      </c>
      <c r="T24" s="32" t="n">
        <v>-4.9</v>
      </c>
      <c r="U24" s="32" t="n">
        <v>96.09</v>
      </c>
      <c r="V24" s="32" t="n">
        <v>106.2</v>
      </c>
      <c r="W24" s="32" t="n">
        <v>24.02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ENTERO</t>
        </is>
      </c>
      <c r="D25" s="31" t="inlineStr">
        <is>
          <t>Entero Healthcare Solutions Ltd</t>
        </is>
      </c>
      <c r="E25" s="31" t="inlineStr">
        <is>
          <t>healthcare</t>
        </is>
      </c>
      <c r="F25" s="31" t="inlineStr">
        <is>
          <t>Pharmacy Distribution</t>
        </is>
      </c>
      <c r="G25" s="31" t="inlineStr">
        <is>
          <t>midcap</t>
        </is>
      </c>
      <c r="H25" s="32" t="n">
        <v>8008.68</v>
      </c>
      <c r="I25" s="32" t="n">
        <v>1840.1</v>
      </c>
      <c r="J25" s="32" t="n">
        <v>-0.09</v>
      </c>
      <c r="K25" s="32" t="n">
        <v>0</v>
      </c>
      <c r="L25" s="31" t="n">
        <v>74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73.8</v>
      </c>
      <c r="P25" s="32" t="n">
        <v>42.82</v>
      </c>
      <c r="Q25" s="32" t="n">
        <v>1434.82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26.25</v>
      </c>
      <c r="U25" s="32" t="n">
        <v>70.09999999999999</v>
      </c>
      <c r="V25" s="32" t="n">
        <v>34.73</v>
      </c>
      <c r="W25" s="32" t="n">
        <v>25.09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24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MARKSANS</t>
        </is>
      </c>
      <c r="D26" s="31" t="inlineStr">
        <is>
          <t>Marksans Pharma Ltd</t>
        </is>
      </c>
      <c r="E26" s="31" t="inlineStr">
        <is>
          <t>healthcare</t>
        </is>
      </c>
      <c r="F26" s="31" t="inlineStr">
        <is>
          <t>Pharma - Formulators</t>
        </is>
      </c>
      <c r="G26" s="31" t="inlineStr">
        <is>
          <t>midcap</t>
        </is>
      </c>
      <c r="H26" s="32" t="n">
        <v>15731.58</v>
      </c>
      <c r="I26" s="32" t="n">
        <v>347.15</v>
      </c>
      <c r="J26" s="32" t="n">
        <v>4.26</v>
      </c>
      <c r="K26" s="32" t="n">
        <v>0</v>
      </c>
      <c r="L26" s="31" t="n">
        <v>76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74.22</v>
      </c>
      <c r="P26" s="32" t="n">
        <v>57.02</v>
      </c>
      <c r="Q26" s="32" t="n">
        <v>271.67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26.25</v>
      </c>
      <c r="U26" s="32" t="n">
        <v>112.04</v>
      </c>
      <c r="V26" s="32" t="n">
        <v>67.95999999999999</v>
      </c>
      <c r="W26" s="32" t="n">
        <v>25.85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24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ASMTEC</t>
        </is>
      </c>
      <c r="D27" s="31" t="inlineStr">
        <is>
          <t>ASM Technologies Ltd</t>
        </is>
      </c>
      <c r="E27" s="31" t="inlineStr">
        <is>
          <t>Technology</t>
        </is>
      </c>
      <c r="F27" s="31" t="inlineStr">
        <is>
          <t>IT - Software</t>
        </is>
      </c>
      <c r="G27" s="31" t="inlineStr">
        <is>
          <t>midcap</t>
        </is>
      </c>
      <c r="H27" s="32" t="n">
        <v>10210.66</v>
      </c>
      <c r="I27" s="32" t="n">
        <v>7000</v>
      </c>
      <c r="J27" s="32" t="n">
        <v>0.74</v>
      </c>
      <c r="K27" s="32" t="n">
        <v>0</v>
      </c>
      <c r="L27" s="31" t="n">
        <v>89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83.15000000000001</v>
      </c>
      <c r="P27" s="32" t="n">
        <v>57.17</v>
      </c>
      <c r="Q27" s="32" t="n">
        <v>5249.7</v>
      </c>
      <c r="R27" s="31" t="inlineStr">
        <is>
          <t>Near 52W High Breakout</t>
        </is>
      </c>
      <c r="S27" s="31" t="inlineStr">
        <is>
          <t>Nifty 50</t>
        </is>
      </c>
      <c r="T27" s="32" t="n">
        <v>-4.9</v>
      </c>
      <c r="U27" s="32" t="n">
        <v>70.37</v>
      </c>
      <c r="V27" s="32" t="n">
        <v>79.15000000000001</v>
      </c>
      <c r="W27" s="32" t="n">
        <v>35.36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INDSWFTLAB</t>
        </is>
      </c>
      <c r="D28" s="34" t="inlineStr">
        <is>
          <t>Ind-Swift Laboratories Ltd</t>
        </is>
      </c>
      <c r="E28" s="31" t="inlineStr">
        <is>
          <t>healthcare</t>
        </is>
      </c>
      <c r="F28" s="31" t="inlineStr">
        <is>
          <t>Pharma - API</t>
        </is>
      </c>
      <c r="G28" s="31" t="inlineStr">
        <is>
          <t>smallcap</t>
        </is>
      </c>
      <c r="H28" s="32" t="n">
        <v>3530.2</v>
      </c>
      <c r="I28" s="32" t="n">
        <v>405.95</v>
      </c>
      <c r="J28" s="32" t="n">
        <v>0.1</v>
      </c>
      <c r="K28" s="32" t="n">
        <v>0</v>
      </c>
      <c r="L28" s="31" t="n">
        <v>97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85.48</v>
      </c>
      <c r="P28" s="32" t="n">
        <v>75.98</v>
      </c>
      <c r="Q28" s="32" t="n">
        <v>299.29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26.25</v>
      </c>
      <c r="U28" s="32" t="n">
        <v>305.33</v>
      </c>
      <c r="V28" s="32" t="n">
        <v>221.07</v>
      </c>
      <c r="W28" s="32" t="n">
        <v>58.24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MOREPENLAB</t>
        </is>
      </c>
      <c r="D29" s="31" t="inlineStr">
        <is>
          <t>Morepen Laboratories Ltd</t>
        </is>
      </c>
      <c r="E29" s="31" t="inlineStr">
        <is>
          <t>healthcare</t>
        </is>
      </c>
      <c r="F29" s="31" t="inlineStr">
        <is>
          <t>Pharma - API &amp; CRAMS</t>
        </is>
      </c>
      <c r="G29" s="31" t="inlineStr">
        <is>
          <t>midcap</t>
        </is>
      </c>
      <c r="H29" s="32" t="n">
        <v>6711.34</v>
      </c>
      <c r="I29" s="32" t="n">
        <v>122.48</v>
      </c>
      <c r="J29" s="32" t="n">
        <v>2.89</v>
      </c>
      <c r="K29" s="32" t="n">
        <v>0</v>
      </c>
      <c r="L29" s="31" t="n">
        <v>97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88.88</v>
      </c>
      <c r="P29" s="32" t="n">
        <v>55.3</v>
      </c>
      <c r="Q29" s="32" t="n">
        <v>91.48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26.25</v>
      </c>
      <c r="U29" s="32" t="n">
        <v>150.77</v>
      </c>
      <c r="V29" s="32" t="n">
        <v>98.64</v>
      </c>
      <c r="W29" s="32" t="n">
        <v>56.03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BODALCHEM</t>
        </is>
      </c>
      <c r="D30" s="31" t="inlineStr">
        <is>
          <t>Bodal Chemicals Ltd</t>
        </is>
      </c>
      <c r="E30" s="31" t="inlineStr">
        <is>
          <t>chemicals</t>
        </is>
      </c>
      <c r="F30" s="31" t="inlineStr">
        <is>
          <t>Dyes &amp; Pigments</t>
        </is>
      </c>
      <c r="G30" s="31" t="inlineStr">
        <is>
          <t>smallcap</t>
        </is>
      </c>
      <c r="H30" s="32" t="n">
        <v>2518.76</v>
      </c>
      <c r="I30" s="32" t="n">
        <v>199.99</v>
      </c>
      <c r="J30" s="32" t="n">
        <v>3.68</v>
      </c>
      <c r="K30" s="32" t="n">
        <v>0</v>
      </c>
      <c r="L30" s="31" t="n">
        <v>99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90.97</v>
      </c>
      <c r="P30" s="32" t="n">
        <v>44.72</v>
      </c>
      <c r="Q30" s="32" t="n">
        <v>156.86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-4.9</v>
      </c>
      <c r="U30" s="32" t="n">
        <v>217.72</v>
      </c>
      <c r="V30" s="32" t="n">
        <v>234.09</v>
      </c>
      <c r="W30" s="32" t="n">
        <v>81.98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31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PCJEWELLER</t>
        </is>
      </c>
      <c r="D31" s="34" t="inlineStr">
        <is>
          <t>PC Jeweller Ltd</t>
        </is>
      </c>
      <c r="E31" s="31" t="inlineStr">
        <is>
          <t>consumer discretionary</t>
        </is>
      </c>
      <c r="F31" s="31" t="inlineStr">
        <is>
          <t>Diamond, Gems &amp; Jewellery</t>
        </is>
      </c>
      <c r="G31" s="31" t="inlineStr">
        <is>
          <t>midcap</t>
        </is>
      </c>
      <c r="H31" s="32" t="n">
        <v>14091.83</v>
      </c>
      <c r="I31" s="32" t="n">
        <v>14.45</v>
      </c>
      <c r="J31" s="32" t="n">
        <v>6.41</v>
      </c>
      <c r="K31" s="32" t="n">
        <v>0</v>
      </c>
      <c r="L31" s="31" t="n">
        <v>67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70.86</v>
      </c>
      <c r="P31" s="32" t="n">
        <v>29.99</v>
      </c>
      <c r="Q31" s="32" t="n">
        <v>10.37</v>
      </c>
      <c r="R31" s="31" t="inlineStr">
        <is>
          <t>Near 52W High Breakout</t>
        </is>
      </c>
      <c r="S31" s="31" t="inlineStr">
        <is>
          <t>Nifty 50</t>
        </is>
      </c>
      <c r="T31" s="32" t="n">
        <v>-4.9</v>
      </c>
      <c r="U31" s="32" t="n">
        <v>19.09</v>
      </c>
      <c r="V31" s="32" t="n">
        <v>25.23</v>
      </c>
      <c r="W31" s="32" t="n">
        <v>21.5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29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BHAGERIA</t>
        </is>
      </c>
      <c r="D32" s="31" t="inlineStr">
        <is>
          <t>Bhageria Industries Ltd</t>
        </is>
      </c>
      <c r="E32" s="31" t="inlineStr">
        <is>
          <t>chemicals</t>
        </is>
      </c>
      <c r="F32" s="31" t="inlineStr">
        <is>
          <t>Dyes &amp; Pigments</t>
        </is>
      </c>
      <c r="G32" s="31" t="inlineStr">
        <is>
          <t>smallcap</t>
        </is>
      </c>
      <c r="H32" s="32" t="n">
        <v>1523.18</v>
      </c>
      <c r="I32" s="32" t="n">
        <v>349</v>
      </c>
      <c r="J32" s="32" t="n">
        <v>1.09</v>
      </c>
      <c r="K32" s="32" t="n">
        <v>0</v>
      </c>
      <c r="L32" s="31" t="n">
        <v>84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80.20999999999999</v>
      </c>
      <c r="P32" s="32" t="n">
        <v>40.74</v>
      </c>
      <c r="Q32" s="32" t="n">
        <v>267.76</v>
      </c>
      <c r="R32" s="31" t="inlineStr">
        <is>
          <t>Volume Spike &amp; Near 52W High Breakout</t>
        </is>
      </c>
      <c r="S32" s="31" t="inlineStr">
        <is>
          <t>Nifty 50</t>
        </is>
      </c>
      <c r="T32" s="32" t="n">
        <v>-4.9</v>
      </c>
      <c r="U32" s="32" t="n">
        <v>100.68</v>
      </c>
      <c r="V32" s="32" t="n">
        <v>111.02</v>
      </c>
      <c r="W32" s="32" t="n">
        <v>32.91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26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MOTISONS</t>
        </is>
      </c>
      <c r="D33" s="34" t="inlineStr">
        <is>
          <t>Motisons Jewellers Ltd</t>
        </is>
      </c>
      <c r="E33" s="31" t="inlineStr">
        <is>
          <t>consumer discretionary</t>
        </is>
      </c>
      <c r="F33" s="31" t="inlineStr">
        <is>
          <t>Diamond, Gems &amp; Jewellery</t>
        </is>
      </c>
      <c r="G33" s="31" t="inlineStr">
        <is>
          <t>smallcap</t>
        </is>
      </c>
      <c r="H33" s="32" t="n">
        <v>2149.89</v>
      </c>
      <c r="I33" s="32" t="n">
        <v>18.9</v>
      </c>
      <c r="J33" s="32" t="n">
        <v>4.77</v>
      </c>
      <c r="K33" s="32" t="n">
        <v>0</v>
      </c>
      <c r="L33" s="31" t="n">
        <v>33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68.31</v>
      </c>
      <c r="P33" s="32" t="n">
        <v>23.92</v>
      </c>
      <c r="Q33" s="32" t="n">
        <v>13.16</v>
      </c>
      <c r="R33" s="31" t="inlineStr">
        <is>
          <t>Near 52W High Breakout</t>
        </is>
      </c>
      <c r="S33" s="31" t="inlineStr">
        <is>
          <t>Nifty 50</t>
        </is>
      </c>
      <c r="T33" s="32" t="n">
        <v>-4.9</v>
      </c>
      <c r="U33" s="32" t="n">
        <v>3.79</v>
      </c>
      <c r="V33" s="32" t="n">
        <v>9.140000000000001</v>
      </c>
      <c r="W33" s="32" t="n">
        <v>10.23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LOTUSDEV</t>
        </is>
      </c>
      <c r="D34" s="31" t="inlineStr">
        <is>
          <t>Sri Lotus Developers &amp; Realty Ltd</t>
        </is>
      </c>
      <c r="E34" s="31" t="inlineStr">
        <is>
          <t>realty</t>
        </is>
      </c>
      <c r="F34" s="31" t="inlineStr">
        <is>
          <t>Construction - Factories/Offices/Commercial</t>
        </is>
      </c>
      <c r="G34" s="31" t="inlineStr">
        <is>
          <t>midcap</t>
        </is>
      </c>
      <c r="H34" s="32" t="n">
        <v>10973.31</v>
      </c>
      <c r="I34" s="32" t="n">
        <v>224.53</v>
      </c>
      <c r="J34" s="32" t="n">
        <v>5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69.08</v>
      </c>
      <c r="P34" s="32" t="n">
        <v>26.4</v>
      </c>
      <c r="Q34" s="32" t="n">
        <v>172.77</v>
      </c>
      <c r="R34" s="31" t="inlineStr">
        <is>
          <t>Near 52W High Breakout</t>
        </is>
      </c>
      <c r="S34" s="31" t="inlineStr">
        <is>
          <t>Nifty Realty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24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SYRMA</t>
        </is>
      </c>
      <c r="D35" s="31" t="inlineStr">
        <is>
          <t>Syrma SGS Technology Ltd</t>
        </is>
      </c>
      <c r="E35" s="31" t="inlineStr">
        <is>
          <t>consumer discretionary</t>
        </is>
      </c>
      <c r="F35" s="31" t="inlineStr">
        <is>
          <t>Consumer Electronics - EMS</t>
        </is>
      </c>
      <c r="G35" s="31" t="inlineStr">
        <is>
          <t>largecap</t>
        </is>
      </c>
      <c r="H35" s="32" t="n">
        <v>33147.56</v>
      </c>
      <c r="I35" s="32" t="n">
        <v>1719</v>
      </c>
      <c r="J35" s="32" t="n">
        <v>-1.31</v>
      </c>
      <c r="K35" s="32" t="n">
        <v>0</v>
      </c>
      <c r="L35" s="31" t="n">
        <v>72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75.70999999999999</v>
      </c>
      <c r="P35" s="32" t="n">
        <v>60.77</v>
      </c>
      <c r="Q35" s="32" t="n">
        <v>1334.55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-4.9</v>
      </c>
      <c r="U35" s="32" t="n">
        <v>114.38</v>
      </c>
      <c r="V35" s="32" t="n">
        <v>125.43</v>
      </c>
      <c r="W35" s="32" t="n">
        <v>23.56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24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MODISONLTD</t>
        </is>
      </c>
      <c r="D36" s="34" t="inlineStr">
        <is>
          <t>Modison Ltd</t>
        </is>
      </c>
      <c r="E36" s="31" t="inlineStr">
        <is>
          <t>industrials</t>
        </is>
      </c>
      <c r="F36" s="31" t="inlineStr">
        <is>
          <t>Capital Goods - Electric General</t>
        </is>
      </c>
      <c r="G36" s="31" t="inlineStr">
        <is>
          <t>smallcap</t>
        </is>
      </c>
      <c r="H36" s="32" t="n">
        <v>1532.13</v>
      </c>
      <c r="I36" s="32" t="n">
        <v>472.15</v>
      </c>
      <c r="J36" s="32" t="n">
        <v>0.83</v>
      </c>
      <c r="K36" s="32" t="n">
        <v>0</v>
      </c>
      <c r="L36" s="31" t="n">
        <v>96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73.54000000000001</v>
      </c>
      <c r="P36" s="32" t="n">
        <v>57.7</v>
      </c>
      <c r="Q36" s="32" t="n">
        <v>362.94</v>
      </c>
      <c r="R36" s="31" t="inlineStr">
        <is>
          <t>Earnings / Momentum Support</t>
        </is>
      </c>
      <c r="S36" s="31" t="inlineStr">
        <is>
          <t>Nifty 50</t>
        </is>
      </c>
      <c r="T36" s="32" t="n">
        <v>-4.9</v>
      </c>
      <c r="U36" s="32" t="n">
        <v>204.43</v>
      </c>
      <c r="V36" s="32" t="n">
        <v>220.11</v>
      </c>
      <c r="W36" s="32" t="n">
        <v>48.97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22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VALIANTORG</t>
        </is>
      </c>
      <c r="D37" s="31" t="inlineStr">
        <is>
          <t>Valiant Organics Ltd</t>
        </is>
      </c>
      <c r="E37" s="31" t="inlineStr">
        <is>
          <t>chemicals</t>
        </is>
      </c>
      <c r="F37" s="31" t="inlineStr">
        <is>
          <t>Chemicals - Organic</t>
        </is>
      </c>
      <c r="G37" s="31" t="inlineStr">
        <is>
          <t>smallcap</t>
        </is>
      </c>
      <c r="H37" s="32" t="n">
        <v>1181.52</v>
      </c>
      <c r="I37" s="32" t="n">
        <v>421.45</v>
      </c>
      <c r="J37" s="32" t="n">
        <v>0.74</v>
      </c>
      <c r="K37" s="32" t="n">
        <v>0</v>
      </c>
      <c r="L37" s="31" t="n">
        <v>56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71.67</v>
      </c>
      <c r="P37" s="32" t="n">
        <v>41.59</v>
      </c>
      <c r="Q37" s="32" t="n">
        <v>314.03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-4.9</v>
      </c>
      <c r="U37" s="32" t="n">
        <v>26.35</v>
      </c>
      <c r="V37" s="32" t="n">
        <v>32.86</v>
      </c>
      <c r="W37" s="32" t="n">
        <v>17.76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ARROWGREEN</t>
        </is>
      </c>
      <c r="D38" s="31" t="inlineStr">
        <is>
          <t>Arrow Greentech Ltd</t>
        </is>
      </c>
      <c r="E38" s="31" t="inlineStr">
        <is>
          <t>plastic products</t>
        </is>
      </c>
      <c r="F38" s="31" t="inlineStr">
        <is>
          <t>Plastics - Plastic &amp; Plastic Products</t>
        </is>
      </c>
      <c r="G38" s="31" t="inlineStr">
        <is>
          <t>smallcap</t>
        </is>
      </c>
      <c r="H38" s="32" t="n">
        <v>1361.84</v>
      </c>
      <c r="I38" s="32" t="n">
        <v>902.6</v>
      </c>
      <c r="J38" s="32" t="n">
        <v>-1.14</v>
      </c>
      <c r="K38" s="32" t="n">
        <v>0</v>
      </c>
      <c r="L38" s="31" t="n">
        <v>75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71.58</v>
      </c>
      <c r="P38" s="32" t="n">
        <v>47.87</v>
      </c>
      <c r="Q38" s="32" t="n">
        <v>665.64</v>
      </c>
      <c r="R38" s="31" t="inlineStr">
        <is>
          <t>Near 52W High Breakout</t>
        </is>
      </c>
      <c r="S38" s="31" t="inlineStr">
        <is>
          <t>Nifty 50</t>
        </is>
      </c>
      <c r="T38" s="32" t="n">
        <v>-4.9</v>
      </c>
      <c r="U38" s="32" t="n">
        <v>65.40000000000001</v>
      </c>
      <c r="V38" s="32" t="n">
        <v>73.92</v>
      </c>
      <c r="W38" s="32" t="n">
        <v>25.83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KABRAEXTRU</t>
        </is>
      </c>
      <c r="D39" s="31" t="inlineStr">
        <is>
          <t>Kabra Extrusion Technik Ltd</t>
        </is>
      </c>
      <c r="E39" s="31" t="inlineStr">
        <is>
          <t>industrials</t>
        </is>
      </c>
      <c r="F39" s="31" t="inlineStr">
        <is>
          <t>Capital Goods - Engineering Heavy</t>
        </is>
      </c>
      <c r="G39" s="31" t="inlineStr">
        <is>
          <t>smallcap</t>
        </is>
      </c>
      <c r="H39" s="32" t="n">
        <v>2562.98</v>
      </c>
      <c r="I39" s="32" t="n">
        <v>732.85</v>
      </c>
      <c r="J39" s="32" t="n">
        <v>10</v>
      </c>
      <c r="K39" s="32" t="n">
        <v>0</v>
      </c>
      <c r="L39" s="31" t="n">
        <v>98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82.97</v>
      </c>
      <c r="P39" s="32" t="n">
        <v>66.04000000000001</v>
      </c>
      <c r="Q39" s="32" t="n">
        <v>547.86</v>
      </c>
      <c r="R39" s="31" t="inlineStr">
        <is>
          <t>Near 52W High Breakout</t>
        </is>
      </c>
      <c r="S39" s="31" t="inlineStr">
        <is>
          <t>Nifty 50</t>
        </is>
      </c>
      <c r="T39" s="32" t="n">
        <v>-4.9</v>
      </c>
      <c r="U39" s="32" t="n">
        <v>179.98</v>
      </c>
      <c r="V39" s="32" t="n">
        <v>194.4</v>
      </c>
      <c r="W39" s="32" t="n">
        <v>79.52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JOJO</t>
        </is>
      </c>
      <c r="D40" s="31" t="inlineStr">
        <is>
          <t>JOJO Ltd</t>
        </is>
      </c>
      <c r="E40" s="31" t="inlineStr">
        <is>
          <t>Communication Services</t>
        </is>
      </c>
      <c r="F40" s="31" t="inlineStr">
        <is>
          <t>Pharma - Others</t>
        </is>
      </c>
      <c r="G40" s="31" t="inlineStr">
        <is>
          <t>smallcap</t>
        </is>
      </c>
      <c r="H40" s="32" t="n">
        <v>1620.59</v>
      </c>
      <c r="I40" s="32" t="n">
        <v>235</v>
      </c>
      <c r="J40" s="32" t="n">
        <v>2</v>
      </c>
      <c r="K40" s="32" t="n">
        <v>0</v>
      </c>
      <c r="L40" s="31" t="n">
        <v>96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84.91</v>
      </c>
      <c r="P40" s="32" t="n">
        <v>48.29</v>
      </c>
      <c r="Q40" s="32" t="n">
        <v>176.43</v>
      </c>
      <c r="R40" s="31" t="inlineStr">
        <is>
          <t>Near 52W High Breakout</t>
        </is>
      </c>
      <c r="S40" s="31" t="inlineStr">
        <is>
          <t>Nifty 50</t>
        </is>
      </c>
      <c r="T40" s="32" t="n">
        <v>-4.9</v>
      </c>
      <c r="U40" s="32" t="n">
        <v>147.33</v>
      </c>
      <c r="V40" s="32" t="n">
        <v>160.07</v>
      </c>
      <c r="W40" s="32" t="n">
        <v>50.33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KPL</t>
        </is>
      </c>
      <c r="D41" s="31" t="inlineStr">
        <is>
          <t>Kwality Pharmaceuticals Ltd</t>
        </is>
      </c>
      <c r="E41" s="31" t="inlineStr">
        <is>
          <t>Healthcare</t>
        </is>
      </c>
      <c r="F41" s="31" t="inlineStr">
        <is>
          <t>Pharma - Formulators</t>
        </is>
      </c>
      <c r="G41" s="31" t="inlineStr">
        <is>
          <t>smallcap</t>
        </is>
      </c>
      <c r="H41" s="32" t="n">
        <v>3861.5</v>
      </c>
      <c r="I41" s="32" t="n">
        <v>3721.5</v>
      </c>
      <c r="J41" s="32" t="n">
        <v>-0.82</v>
      </c>
      <c r="K41" s="32" t="n">
        <v>0</v>
      </c>
      <c r="L41" s="31" t="n">
        <v>93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75.73999999999999</v>
      </c>
      <c r="P41" s="32" t="n">
        <v>69.75</v>
      </c>
      <c r="Q41" s="32" t="n">
        <v>2709.48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26.25</v>
      </c>
      <c r="U41" s="32" t="n">
        <v>312.52</v>
      </c>
      <c r="V41" s="32" t="n">
        <v>226.76</v>
      </c>
      <c r="W41" s="32" t="n">
        <v>45.91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26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VALIANT</t>
        </is>
      </c>
      <c r="D42" s="31" t="inlineStr">
        <is>
          <t>Valiant Communications Ltd</t>
        </is>
      </c>
      <c r="E42" s="31" t="inlineStr">
        <is>
          <t>Technology</t>
        </is>
      </c>
      <c r="F42" s="31" t="inlineStr">
        <is>
          <t>Telecom Services</t>
        </is>
      </c>
      <c r="G42" s="31" t="inlineStr">
        <is>
          <t>smallcap</t>
        </is>
      </c>
      <c r="H42" s="32" t="n">
        <v>1712.66</v>
      </c>
      <c r="I42" s="32" t="n">
        <v>1464.8</v>
      </c>
      <c r="J42" s="32" t="n">
        <v>2.52</v>
      </c>
      <c r="K42" s="32" t="n">
        <v>0</v>
      </c>
      <c r="L42" s="31" t="n">
        <v>75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70.89</v>
      </c>
      <c r="P42" s="32" t="n">
        <v>24</v>
      </c>
      <c r="Q42" s="32" t="n">
        <v>1012.65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-4.9</v>
      </c>
      <c r="U42" s="32" t="n">
        <v>121.41</v>
      </c>
      <c r="V42" s="32" t="n">
        <v>132.82</v>
      </c>
      <c r="W42" s="32" t="n">
        <v>25.69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Oligopoly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22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SAKAR</t>
        </is>
      </c>
      <c r="D43" s="31" t="inlineStr">
        <is>
          <t>Sakar Healthcare Ltd</t>
        </is>
      </c>
      <c r="E43" s="31" t="inlineStr">
        <is>
          <t>healthcare</t>
        </is>
      </c>
      <c r="F43" s="31" t="inlineStr">
        <is>
          <t>Hospitals</t>
        </is>
      </c>
      <c r="G43" s="31" t="inlineStr">
        <is>
          <t>smallcap</t>
        </is>
      </c>
      <c r="H43" s="32" t="n">
        <v>2588.67</v>
      </c>
      <c r="I43" s="32" t="n">
        <v>1163.45</v>
      </c>
      <c r="J43" s="32" t="n">
        <v>-2.1</v>
      </c>
      <c r="K43" s="32" t="n">
        <v>0</v>
      </c>
      <c r="L43" s="31" t="n">
        <v>90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75.22</v>
      </c>
      <c r="P43" s="32" t="n">
        <v>53.93</v>
      </c>
      <c r="Q43" s="32" t="n">
        <v>866.66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26.25</v>
      </c>
      <c r="U43" s="32" t="n">
        <v>226.13</v>
      </c>
      <c r="V43" s="32" t="n">
        <v>158.33</v>
      </c>
      <c r="W43" s="32" t="n">
        <v>36.97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SHILPAMED</t>
        </is>
      </c>
      <c r="D44" s="31" t="inlineStr">
        <is>
          <t>Shilpa Medicare Ltd</t>
        </is>
      </c>
      <c r="E44" s="31" t="inlineStr">
        <is>
          <t>healthcare</t>
        </is>
      </c>
      <c r="F44" s="31" t="inlineStr">
        <is>
          <t>Pharma - API &amp; CRAMS</t>
        </is>
      </c>
      <c r="G44" s="31" t="inlineStr">
        <is>
          <t>largecap</t>
        </is>
      </c>
      <c r="H44" s="32" t="n">
        <v>20303.35</v>
      </c>
      <c r="I44" s="32" t="n">
        <v>1038.1</v>
      </c>
      <c r="J44" s="32" t="n">
        <v>0.48</v>
      </c>
      <c r="K44" s="32" t="n">
        <v>0</v>
      </c>
      <c r="L44" s="31" t="n">
        <v>92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92.31999999999999</v>
      </c>
      <c r="P44" s="32" t="n">
        <v>81.55</v>
      </c>
      <c r="Q44" s="32" t="n">
        <v>838.16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26.25</v>
      </c>
      <c r="U44" s="32" t="n">
        <v>169.06</v>
      </c>
      <c r="V44" s="32" t="n">
        <v>113.12</v>
      </c>
      <c r="W44" s="32" t="n">
        <v>43.78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AHCL</t>
        </is>
      </c>
      <c r="D45" s="31" t="inlineStr">
        <is>
          <t>Anlon Healthcare Ltd</t>
        </is>
      </c>
      <c r="E45" s="31" t="inlineStr">
        <is>
          <t>healthcare</t>
        </is>
      </c>
      <c r="F45" s="31" t="inlineStr">
        <is>
          <t>Pharmaceuticals Bulk Drugs &amp; Formulation</t>
        </is>
      </c>
      <c r="G45" s="31" t="inlineStr">
        <is>
          <t>smallcap</t>
        </is>
      </c>
      <c r="H45" s="32" t="n">
        <v>1587.64</v>
      </c>
      <c r="I45" s="32" t="n">
        <v>29.87</v>
      </c>
      <c r="J45" s="32" t="n">
        <v>3.5</v>
      </c>
      <c r="K45" s="32" t="n">
        <v>0</v>
      </c>
      <c r="L45" s="31" t="n">
        <v>91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86.29000000000001</v>
      </c>
      <c r="P45" s="32" t="n">
        <v>44.74</v>
      </c>
      <c r="Q45" s="32" t="n">
        <v>22.57</v>
      </c>
      <c r="R45" s="31" t="inlineStr">
        <is>
          <t>Volume Spike &amp; Near 52W High Breakout</t>
        </is>
      </c>
      <c r="S45" s="31" t="inlineStr">
        <is>
          <t>Nifty Pharma</t>
        </is>
      </c>
      <c r="T45" s="32" t="n">
        <v>26.25</v>
      </c>
      <c r="U45" s="32" t="n">
        <v>130.67</v>
      </c>
      <c r="V45" s="32" t="n">
        <v>82.70999999999999</v>
      </c>
      <c r="W45" s="32" t="n">
        <v>39.53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AVALON</t>
        </is>
      </c>
      <c r="D46" s="31" t="inlineStr">
        <is>
          <t>Avalon Technologies Ltd</t>
        </is>
      </c>
      <c r="E46" s="31" t="inlineStr">
        <is>
          <t>consumer discretionary</t>
        </is>
      </c>
      <c r="F46" s="31" t="inlineStr">
        <is>
          <t>Consumer Electronics - EMS</t>
        </is>
      </c>
      <c r="G46" s="31" t="inlineStr">
        <is>
          <t>midcap</t>
        </is>
      </c>
      <c r="H46" s="32" t="n">
        <v>16239.02</v>
      </c>
      <c r="I46" s="32" t="n">
        <v>2428</v>
      </c>
      <c r="J46" s="32" t="n">
        <v>-1.64</v>
      </c>
      <c r="K46" s="32" t="n">
        <v>0</v>
      </c>
      <c r="L46" s="31" t="n">
        <v>83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79.41</v>
      </c>
      <c r="P46" s="32" t="n">
        <v>55.69</v>
      </c>
      <c r="Q46" s="32" t="n">
        <v>1896.63</v>
      </c>
      <c r="R46" s="31" t="inlineStr">
        <is>
          <t>Near 52W High Breakout</t>
        </is>
      </c>
      <c r="S46" s="31" t="inlineStr">
        <is>
          <t>Nifty 50</t>
        </is>
      </c>
      <c r="T46" s="32" t="n">
        <v>-4.9</v>
      </c>
      <c r="U46" s="32" t="n">
        <v>146.05</v>
      </c>
      <c r="V46" s="32" t="n">
        <v>158.72</v>
      </c>
      <c r="W46" s="32" t="n">
        <v>31.8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24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FINCABLES</t>
        </is>
      </c>
      <c r="D47" s="31" t="inlineStr">
        <is>
          <t>Finolex Cables Ltd</t>
        </is>
      </c>
      <c r="E47" s="31" t="inlineStr">
        <is>
          <t>industrials</t>
        </is>
      </c>
      <c r="F47" s="31" t="inlineStr">
        <is>
          <t>Cables - Telecom</t>
        </is>
      </c>
      <c r="G47" s="31" t="inlineStr">
        <is>
          <t>largecap</t>
        </is>
      </c>
      <c r="H47" s="32" t="n">
        <v>22482.08</v>
      </c>
      <c r="I47" s="32" t="n">
        <v>1470</v>
      </c>
      <c r="J47" s="32" t="n">
        <v>0.13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71.53</v>
      </c>
      <c r="P47" s="32" t="n">
        <v>38.4</v>
      </c>
      <c r="Q47" s="32" t="n">
        <v>1119.83</v>
      </c>
      <c r="R47" s="31" t="inlineStr">
        <is>
          <t>Near 52W High Breakout</t>
        </is>
      </c>
      <c r="S47" s="31" t="inlineStr">
        <is>
          <t>Nifty Energy</t>
        </is>
      </c>
      <c r="T47" s="32" t="inlineStr"/>
      <c r="U47" s="32" t="inlineStr"/>
      <c r="V47" s="32" t="inlineStr"/>
      <c r="W47" s="32" t="inlineStr"/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23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WHEELS</t>
        </is>
      </c>
      <c r="D48" s="31" t="inlineStr">
        <is>
          <t>Wheels India Ltd</t>
        </is>
      </c>
      <c r="E48" s="31" t="inlineStr">
        <is>
          <t>auto</t>
        </is>
      </c>
      <c r="F48" s="31" t="inlineStr">
        <is>
          <t>Auto Ancillaries - Wheels</t>
        </is>
      </c>
      <c r="G48" s="31" t="inlineStr">
        <is>
          <t>midcap</t>
        </is>
      </c>
      <c r="H48" s="32" t="n">
        <v>5516.97</v>
      </c>
      <c r="I48" s="32" t="n">
        <v>2258</v>
      </c>
      <c r="J48" s="32" t="n">
        <v>3.86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77.26000000000001</v>
      </c>
      <c r="P48" s="32" t="n">
        <v>58.23</v>
      </c>
      <c r="Q48" s="32" t="n">
        <v>1665.79</v>
      </c>
      <c r="R48" s="31" t="inlineStr">
        <is>
          <t>Near 52W High Breakout</t>
        </is>
      </c>
      <c r="S48" s="31" t="inlineStr">
        <is>
          <t>Nifty Auto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23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FCL</t>
        </is>
      </c>
      <c r="D49" s="31" t="inlineStr">
        <is>
          <t>Fineotex Chemical Ltd</t>
        </is>
      </c>
      <c r="E49" s="31" t="inlineStr">
        <is>
          <t>chemicals</t>
        </is>
      </c>
      <c r="F49" s="31" t="inlineStr">
        <is>
          <t>Speciality Chemicals</t>
        </is>
      </c>
      <c r="G49" s="31" t="inlineStr">
        <is>
          <t>midcap</t>
        </is>
      </c>
      <c r="H49" s="32" t="n">
        <v>6623.68</v>
      </c>
      <c r="I49" s="32" t="n">
        <v>56.88</v>
      </c>
      <c r="J49" s="32" t="n">
        <v>-0.89</v>
      </c>
      <c r="K49" s="32" t="n">
        <v>0</v>
      </c>
      <c r="L49" s="31" t="n">
        <v>84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78.91</v>
      </c>
      <c r="P49" s="32" t="n">
        <v>48.61</v>
      </c>
      <c r="Q49" s="32" t="n">
        <v>42.84</v>
      </c>
      <c r="R49" s="31" t="inlineStr">
        <is>
          <t>Near 52W High Breakout</t>
        </is>
      </c>
      <c r="S49" s="31" t="inlineStr">
        <is>
          <t>Nifty 50</t>
        </is>
      </c>
      <c r="T49" s="32" t="n">
        <v>-4.9</v>
      </c>
      <c r="U49" s="32" t="n">
        <v>127.8</v>
      </c>
      <c r="V49" s="32" t="n">
        <v>139.54</v>
      </c>
      <c r="W49" s="32" t="n">
        <v>32.37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EBGNG</t>
        </is>
      </c>
      <c r="D50" s="31" t="inlineStr">
        <is>
          <t>GNG Electronics Ltd</t>
        </is>
      </c>
      <c r="E50" s="31" t="inlineStr">
        <is>
          <t>services</t>
        </is>
      </c>
      <c r="F50" s="31" t="inlineStr">
        <is>
          <t>New age - Platform - E-Retail</t>
        </is>
      </c>
      <c r="G50" s="31" t="inlineStr">
        <is>
          <t>midcap</t>
        </is>
      </c>
      <c r="H50" s="32" t="n">
        <v>8129.02</v>
      </c>
      <c r="I50" s="32" t="n">
        <v>713</v>
      </c>
      <c r="J50" s="32" t="n">
        <v>2.99</v>
      </c>
      <c r="K50" s="32" t="n">
        <v>0</v>
      </c>
      <c r="L50" s="31" t="n">
        <v>70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70.84999999999999</v>
      </c>
      <c r="P50" s="32" t="n">
        <v>39.22</v>
      </c>
      <c r="Q50" s="32" t="n">
        <v>514.9400000000001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-4.9</v>
      </c>
      <c r="U50" s="32" t="n">
        <v>106.99</v>
      </c>
      <c r="V50" s="32" t="n">
        <v>117.65</v>
      </c>
      <c r="W50" s="32" t="n">
        <v>22.86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4" t="inlineStr">
        <is>
          <t>AARTIPHARM</t>
        </is>
      </c>
      <c r="D51" s="34" t="inlineStr">
        <is>
          <t>Aarti Pharmalabs Ltd</t>
        </is>
      </c>
      <c r="E51" s="31" t="inlineStr">
        <is>
          <t>healthcare</t>
        </is>
      </c>
      <c r="F51" s="31" t="inlineStr">
        <is>
          <t>Pharma - API</t>
        </is>
      </c>
      <c r="G51" s="31" t="inlineStr">
        <is>
          <t>midcap</t>
        </is>
      </c>
      <c r="H51" s="32" t="n">
        <v>8496.700000000001</v>
      </c>
      <c r="I51" s="32" t="n">
        <v>937</v>
      </c>
      <c r="J51" s="32" t="n">
        <v>6.03</v>
      </c>
      <c r="K51" s="32" t="n">
        <v>0</v>
      </c>
      <c r="L51" s="31" t="n">
        <v>40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69.17</v>
      </c>
      <c r="P51" s="32" t="n">
        <v>22.55</v>
      </c>
      <c r="Q51" s="32" t="n">
        <v>715.54</v>
      </c>
      <c r="R51" s="31" t="inlineStr">
        <is>
          <t>Volume Spike &amp; Near 52W High Breakout</t>
        </is>
      </c>
      <c r="S51" s="31" t="inlineStr">
        <is>
          <t>Nifty Pharma</t>
        </is>
      </c>
      <c r="T51" s="32" t="n">
        <v>26.25</v>
      </c>
      <c r="U51" s="32" t="n">
        <v>14.6</v>
      </c>
      <c r="V51" s="32" t="n">
        <v>-9.220000000000001</v>
      </c>
      <c r="W51" s="32" t="n">
        <v>11.72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27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LAURUSLABS</t>
        </is>
      </c>
      <c r="D52" s="31" t="inlineStr">
        <is>
          <t>Laurus Labs Ltd</t>
        </is>
      </c>
      <c r="E52" s="31" t="inlineStr">
        <is>
          <t>healthcare</t>
        </is>
      </c>
      <c r="F52" s="31" t="inlineStr">
        <is>
          <t>Pharma - API &amp; CRAMS</t>
        </is>
      </c>
      <c r="G52" s="31" t="inlineStr">
        <is>
          <t>largecap</t>
        </is>
      </c>
      <c r="H52" s="32" t="n">
        <v>109899.51</v>
      </c>
      <c r="I52" s="32" t="n">
        <v>2034</v>
      </c>
      <c r="J52" s="32" t="n">
        <v>1.37</v>
      </c>
      <c r="K52" s="32" t="n">
        <v>0</v>
      </c>
      <c r="L52" s="31" t="n">
        <v>81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78.22</v>
      </c>
      <c r="P52" s="32" t="n">
        <v>74.7</v>
      </c>
      <c r="Q52" s="32" t="n">
        <v>1738.99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26.25</v>
      </c>
      <c r="U52" s="32" t="n">
        <v>144.83</v>
      </c>
      <c r="V52" s="32" t="n">
        <v>93.93000000000001</v>
      </c>
      <c r="W52" s="32" t="n">
        <v>29.58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GAYAPROJ</t>
        </is>
      </c>
      <c r="D53" s="31" t="inlineStr">
        <is>
          <t>Gayatri Projects Ltd</t>
        </is>
      </c>
      <c r="E53" s="31" t="inlineStr">
        <is>
          <t>realty</t>
        </is>
      </c>
      <c r="F53" s="31" t="inlineStr">
        <is>
          <t>Construction - Civil/Turnkey</t>
        </is>
      </c>
      <c r="G53" s="31" t="inlineStr">
        <is>
          <t>smallcap</t>
        </is>
      </c>
      <c r="H53" s="32" t="n">
        <v>1125.93</v>
      </c>
      <c r="I53" s="32" t="n">
        <v>24.25</v>
      </c>
      <c r="J53" s="32" t="n">
        <v>2.41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64.33</v>
      </c>
      <c r="P53" s="32" t="n">
        <v>27.94</v>
      </c>
      <c r="Q53" s="32" t="n">
        <v>19.01</v>
      </c>
      <c r="R53" s="31" t="inlineStr">
        <is>
          <t>Earnings / Momentum Support</t>
        </is>
      </c>
      <c r="S53" s="31" t="inlineStr">
        <is>
          <t>Nifty Realty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27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BIRLACABLE</t>
        </is>
      </c>
      <c r="D54" s="31" t="inlineStr">
        <is>
          <t>Birla Cable Ltd</t>
        </is>
      </c>
      <c r="E54" s="31" t="inlineStr">
        <is>
          <t>industrials</t>
        </is>
      </c>
      <c r="F54" s="31" t="inlineStr">
        <is>
          <t>Cables - Telecom</t>
        </is>
      </c>
      <c r="G54" s="31" t="inlineStr">
        <is>
          <t>smallcap</t>
        </is>
      </c>
      <c r="H54" s="32" t="n">
        <v>1086</v>
      </c>
      <c r="I54" s="32" t="n">
        <v>362</v>
      </c>
      <c r="J54" s="32" t="n">
        <v>-3.53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69.45</v>
      </c>
      <c r="P54" s="32" t="n">
        <v>54.33</v>
      </c>
      <c r="Q54" s="32" t="n">
        <v>296.86</v>
      </c>
      <c r="R54" s="31" t="inlineStr">
        <is>
          <t>Earnings / Momentum Support</t>
        </is>
      </c>
      <c r="S54" s="31" t="inlineStr">
        <is>
          <t>Nifty Infra</t>
        </is>
      </c>
      <c r="T54" s="32" t="inlineStr"/>
      <c r="U54" s="32" t="inlineStr"/>
      <c r="V54" s="32" t="inlineStr"/>
      <c r="W54" s="32" t="inlineStr"/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26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ONEPOINT</t>
        </is>
      </c>
      <c r="D55" s="34" t="inlineStr">
        <is>
          <t>One Point One Solutions Ltd</t>
        </is>
      </c>
      <c r="E55" s="31" t="inlineStr">
        <is>
          <t>i.t</t>
        </is>
      </c>
      <c r="F55" s="31" t="inlineStr">
        <is>
          <t>IT Enabled Services</t>
        </is>
      </c>
      <c r="G55" s="31" t="inlineStr">
        <is>
          <t>smallcap</t>
        </is>
      </c>
      <c r="H55" s="32" t="n">
        <v>1793.23</v>
      </c>
      <c r="I55" s="32" t="n">
        <v>68.2</v>
      </c>
      <c r="J55" s="32" t="n">
        <v>7.91</v>
      </c>
      <c r="K55" s="32" t="n">
        <v>0</v>
      </c>
      <c r="L55" s="31" t="n">
        <v>50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67.66</v>
      </c>
      <c r="P55" s="32" t="n">
        <v>13.46</v>
      </c>
      <c r="Q55" s="32" t="n">
        <v>52.7</v>
      </c>
      <c r="R55" s="31" t="inlineStr">
        <is>
          <t>Volume Spike &amp; Near 52W High Breakout</t>
        </is>
      </c>
      <c r="S55" s="31" t="inlineStr">
        <is>
          <t>Nifty IT</t>
        </is>
      </c>
      <c r="T55" s="32" t="n">
        <v>-15.93</v>
      </c>
      <c r="U55" s="32" t="n">
        <v>56.01</v>
      </c>
      <c r="V55" s="32" t="n">
        <v>85.56999999999999</v>
      </c>
      <c r="W55" s="32" t="n">
        <v>15.65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23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ACMESOLAR</t>
        </is>
      </c>
      <c r="D56" s="31" t="inlineStr">
        <is>
          <t>ACME Solar Holdings Ltd</t>
        </is>
      </c>
      <c r="E56" s="31" t="inlineStr">
        <is>
          <t>realty</t>
        </is>
      </c>
      <c r="F56" s="31" t="inlineStr">
        <is>
          <t>Engineering - Turnkey Services</t>
        </is>
      </c>
      <c r="G56" s="31" t="inlineStr">
        <is>
          <t>largecap</t>
        </is>
      </c>
      <c r="H56" s="32" t="n">
        <v>32183.99</v>
      </c>
      <c r="I56" s="32" t="n">
        <v>455.3</v>
      </c>
      <c r="J56" s="32" t="n">
        <v>-0.73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73.40000000000001</v>
      </c>
      <c r="P56" s="32" t="n">
        <v>52.07</v>
      </c>
      <c r="Q56" s="32" t="n">
        <v>354.69</v>
      </c>
      <c r="R56" s="31" t="inlineStr">
        <is>
          <t>Near 52W High Breakout</t>
        </is>
      </c>
      <c r="S56" s="31" t="inlineStr">
        <is>
          <t>Nifty Realty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More than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23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SANSERA</t>
        </is>
      </c>
      <c r="D57" s="31" t="inlineStr">
        <is>
          <t>Sansera Engineering Ltd</t>
        </is>
      </c>
      <c r="E57" s="31" t="inlineStr">
        <is>
          <t>auto</t>
        </is>
      </c>
      <c r="F57" s="31" t="inlineStr">
        <is>
          <t>Auto Ancillaries - Diversified</t>
        </is>
      </c>
      <c r="G57" s="31" t="inlineStr">
        <is>
          <t>largecap</t>
        </is>
      </c>
      <c r="H57" s="32" t="n">
        <v>28830.45</v>
      </c>
      <c r="I57" s="32" t="n">
        <v>4620</v>
      </c>
      <c r="J57" s="32" t="n">
        <v>0.73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85.40000000000001</v>
      </c>
      <c r="P57" s="32" t="n">
        <v>67.64</v>
      </c>
      <c r="Q57" s="32" t="n">
        <v>3706.82</v>
      </c>
      <c r="R57" s="31" t="inlineStr">
        <is>
          <t>Near 52W High Breakout</t>
        </is>
      </c>
      <c r="S57" s="31" t="inlineStr">
        <is>
          <t>Nifty Auto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WELCORP</t>
        </is>
      </c>
      <c r="D58" s="31" t="inlineStr">
        <is>
          <t>Welspun Corp Ltd</t>
        </is>
      </c>
      <c r="E58" s="31" t="inlineStr">
        <is>
          <t>industrials</t>
        </is>
      </c>
      <c r="F58" s="31" t="inlineStr">
        <is>
          <t>DI Pipes/Saw Pipes</t>
        </is>
      </c>
      <c r="G58" s="31" t="inlineStr">
        <is>
          <t>largecap</t>
        </is>
      </c>
      <c r="H58" s="32" t="n">
        <v>73758.5</v>
      </c>
      <c r="I58" s="32" t="n">
        <v>2796.1</v>
      </c>
      <c r="J58" s="32" t="n">
        <v>2.37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94.41</v>
      </c>
      <c r="P58" s="32" t="n">
        <v>76.34</v>
      </c>
      <c r="Q58" s="32" t="n">
        <v>2244.47</v>
      </c>
      <c r="R58" s="31" t="inlineStr">
        <is>
          <t>Near 52W High Breakout</t>
        </is>
      </c>
      <c r="S58" s="31" t="inlineStr">
        <is>
          <t>Nifty Metal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USHAMART</t>
        </is>
      </c>
      <c r="D59" s="34" t="inlineStr">
        <is>
          <t>Usha Martin Ltd</t>
        </is>
      </c>
      <c r="E59" s="31" t="inlineStr">
        <is>
          <t>metals &amp; mining</t>
        </is>
      </c>
      <c r="F59" s="31" t="inlineStr">
        <is>
          <t>Steel - Wires</t>
        </is>
      </c>
      <c r="G59" s="31" t="inlineStr">
        <is>
          <t>midcap</t>
        </is>
      </c>
      <c r="H59" s="32" t="n">
        <v>16318.92</v>
      </c>
      <c r="I59" s="32" t="n">
        <v>535.5</v>
      </c>
      <c r="J59" s="32" t="n">
        <v>0.79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64.25</v>
      </c>
      <c r="P59" s="32" t="n">
        <v>44.02</v>
      </c>
      <c r="Q59" s="32" t="n">
        <v>434.88</v>
      </c>
      <c r="R59" s="31" t="inlineStr">
        <is>
          <t>Volume Spike &amp; Near 52W High Breakout</t>
        </is>
      </c>
      <c r="S59" s="31" t="inlineStr">
        <is>
          <t>Nifty Metal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KMCSHIL</t>
        </is>
      </c>
      <c r="D60" s="31" t="inlineStr">
        <is>
          <t>KMC Speciality Hospitals (India) Ltd</t>
        </is>
      </c>
      <c r="E60" s="31" t="inlineStr">
        <is>
          <t>Healthcare</t>
        </is>
      </c>
      <c r="F60" s="31" t="inlineStr">
        <is>
          <t>Hospitals</t>
        </is>
      </c>
      <c r="G60" s="31" t="inlineStr">
        <is>
          <t>smallcap</t>
        </is>
      </c>
      <c r="H60" s="32" t="n">
        <v>2654.21</v>
      </c>
      <c r="I60" s="32" t="n">
        <v>162.75</v>
      </c>
      <c r="J60" s="32" t="n">
        <v>1.85</v>
      </c>
      <c r="K60" s="32" t="n">
        <v>0</v>
      </c>
      <c r="L60" s="31" t="n">
        <v>77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79.34999999999999</v>
      </c>
      <c r="P60" s="32" t="n">
        <v>54.42</v>
      </c>
      <c r="Q60" s="32" t="n">
        <v>125.9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26.25</v>
      </c>
      <c r="U60" s="32" t="n">
        <v>145.47</v>
      </c>
      <c r="V60" s="32" t="n">
        <v>94.44</v>
      </c>
      <c r="W60" s="32" t="n">
        <v>26.6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26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GRANULES</t>
        </is>
      </c>
      <c r="D61" s="31" t="inlineStr">
        <is>
          <t>Granules India Ltd</t>
        </is>
      </c>
      <c r="E61" s="31" t="inlineStr">
        <is>
          <t>Healthcare</t>
        </is>
      </c>
      <c r="F61" s="31" t="inlineStr">
        <is>
          <t>Pharma - API &amp; CRAMS</t>
        </is>
      </c>
      <c r="G61" s="31" t="inlineStr">
        <is>
          <t>largecap</t>
        </is>
      </c>
      <c r="H61" s="32" t="n">
        <v>23486.34</v>
      </c>
      <c r="I61" s="32" t="n">
        <v>861</v>
      </c>
      <c r="J61" s="32" t="n">
        <v>-0.35</v>
      </c>
      <c r="K61" s="32" t="n">
        <v>0</v>
      </c>
      <c r="L61" s="31" t="n">
        <v>47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60.78</v>
      </c>
      <c r="P61" s="32" t="n">
        <v>37.56</v>
      </c>
      <c r="Q61" s="32" t="n">
        <v>750.78</v>
      </c>
      <c r="R61" s="31" t="inlineStr">
        <is>
          <t>Earnings / Momentum Support</t>
        </is>
      </c>
      <c r="S61" s="31" t="inlineStr">
        <is>
          <t>Nifty Pharma</t>
        </is>
      </c>
      <c r="T61" s="32" t="n">
        <v>26.25</v>
      </c>
      <c r="U61" s="32" t="n">
        <v>67.09</v>
      </c>
      <c r="V61" s="32" t="n">
        <v>32.36</v>
      </c>
      <c r="W61" s="32" t="n">
        <v>13.76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NRBBEARING</t>
        </is>
      </c>
      <c r="D62" s="31" t="inlineStr">
        <is>
          <t>NRB Bearings Ltd</t>
        </is>
      </c>
      <c r="E62" s="31" t="inlineStr">
        <is>
          <t>industrials</t>
        </is>
      </c>
      <c r="F62" s="31" t="inlineStr">
        <is>
          <t>Bearings</t>
        </is>
      </c>
      <c r="G62" s="31" t="inlineStr">
        <is>
          <t>midcap</t>
        </is>
      </c>
      <c r="H62" s="32" t="n">
        <v>5229.46</v>
      </c>
      <c r="I62" s="32" t="n">
        <v>539.55</v>
      </c>
      <c r="J62" s="32" t="n">
        <v>3.66</v>
      </c>
      <c r="K62" s="32" t="n">
        <v>0</v>
      </c>
      <c r="L62" s="31" t="n">
        <v>73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75.52</v>
      </c>
      <c r="P62" s="32" t="n">
        <v>50.8</v>
      </c>
      <c r="Q62" s="32" t="n">
        <v>419.34</v>
      </c>
      <c r="R62" s="31" t="inlineStr">
        <is>
          <t>Near 52W High Breakout</t>
        </is>
      </c>
      <c r="S62" s="31" t="inlineStr">
        <is>
          <t>Nifty 50</t>
        </is>
      </c>
      <c r="T62" s="32" t="n">
        <v>-4.9</v>
      </c>
      <c r="U62" s="32" t="n">
        <v>98.7</v>
      </c>
      <c r="V62" s="32" t="n">
        <v>108.93</v>
      </c>
      <c r="W62" s="32" t="n">
        <v>24.96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GANDHAR</t>
        </is>
      </c>
      <c r="D63" s="31" t="inlineStr">
        <is>
          <t>Gandhar Oil Refinery (India)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smallcap</t>
        </is>
      </c>
      <c r="H63" s="32" t="n">
        <v>2634.43</v>
      </c>
      <c r="I63" s="32" t="n">
        <v>269.15</v>
      </c>
      <c r="J63" s="32" t="n">
        <v>0.04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68.11</v>
      </c>
      <c r="P63" s="32" t="n">
        <v>76.3</v>
      </c>
      <c r="Q63" s="32" t="n">
        <v>214.8</v>
      </c>
      <c r="R63" s="31" t="inlineStr">
        <is>
          <t>Near 52W High Breakout</t>
        </is>
      </c>
      <c r="S63" s="31" t="inlineStr">
        <is>
          <t>Nifty Energy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PAYTM</t>
        </is>
      </c>
      <c r="D64" s="31" t="inlineStr">
        <is>
          <t>One 97 Communications Ltd</t>
        </is>
      </c>
      <c r="E64" s="31" t="inlineStr">
        <is>
          <t>i.t</t>
        </is>
      </c>
      <c r="F64" s="31" t="inlineStr">
        <is>
          <t>E-Commerce - Platform - Utility</t>
        </is>
      </c>
      <c r="G64" s="31" t="inlineStr">
        <is>
          <t>largecap</t>
        </is>
      </c>
      <c r="H64" s="32" t="n">
        <v>113885.39</v>
      </c>
      <c r="I64" s="32" t="n">
        <v>1775</v>
      </c>
      <c r="J64" s="32" t="n">
        <v>-2.17</v>
      </c>
      <c r="K64" s="32" t="n">
        <v>0</v>
      </c>
      <c r="L64" s="31" t="n">
        <v>73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73.51000000000001</v>
      </c>
      <c r="P64" s="32" t="n">
        <v>32.62</v>
      </c>
      <c r="Q64" s="32" t="n">
        <v>1505.46</v>
      </c>
      <c r="R64" s="31" t="inlineStr">
        <is>
          <t>Near 52W High Breakout</t>
        </is>
      </c>
      <c r="S64" s="31" t="inlineStr">
        <is>
          <t>Nifty IT</t>
        </is>
      </c>
      <c r="T64" s="32" t="n">
        <v>-15.93</v>
      </c>
      <c r="U64" s="32" t="n">
        <v>57.75</v>
      </c>
      <c r="V64" s="32" t="n">
        <v>87.64</v>
      </c>
      <c r="W64" s="32" t="n">
        <v>24.14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MVGJL</t>
        </is>
      </c>
      <c r="D65" s="31" t="inlineStr">
        <is>
          <t>Manoj Vaibhav Gems N Jewellers Ltd</t>
        </is>
      </c>
      <c r="E65" s="31" t="inlineStr">
        <is>
          <t>consumer discretionary</t>
        </is>
      </c>
      <c r="F65" s="31" t="inlineStr">
        <is>
          <t>Diamond, Gems &amp; Jewellery</t>
        </is>
      </c>
      <c r="G65" s="31" t="inlineStr">
        <is>
          <t>smallcap</t>
        </is>
      </c>
      <c r="H65" s="32" t="n">
        <v>1081.97</v>
      </c>
      <c r="I65" s="32" t="n">
        <v>221.5</v>
      </c>
      <c r="J65" s="32" t="n">
        <v>3.86</v>
      </c>
      <c r="K65" s="32" t="n">
        <v>0</v>
      </c>
      <c r="L65" s="31" t="n">
        <v>54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71.09</v>
      </c>
      <c r="P65" s="32" t="n">
        <v>19.63</v>
      </c>
      <c r="Q65" s="32" t="n">
        <v>159.99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-4.9</v>
      </c>
      <c r="U65" s="32" t="n">
        <v>15.9</v>
      </c>
      <c r="V65" s="32" t="n">
        <v>21.87</v>
      </c>
      <c r="W65" s="32" t="n">
        <v>16.74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NRAIL</t>
        </is>
      </c>
      <c r="D66" s="31" t="inlineStr">
        <is>
          <t>N R Agarwal Industries Ltd</t>
        </is>
      </c>
      <c r="E66" s="31" t="inlineStr">
        <is>
          <t>building materials</t>
        </is>
      </c>
      <c r="F66" s="31" t="inlineStr">
        <is>
          <t>Paper</t>
        </is>
      </c>
      <c r="G66" s="31" t="inlineStr">
        <is>
          <t>smallcap</t>
        </is>
      </c>
      <c r="H66" s="32" t="n">
        <v>1111.35</v>
      </c>
      <c r="I66" s="32" t="n">
        <v>653</v>
      </c>
      <c r="J66" s="32" t="n">
        <v>0.14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71.38</v>
      </c>
      <c r="P66" s="32" t="n">
        <v>38.89</v>
      </c>
      <c r="Q66" s="32" t="n">
        <v>482.1</v>
      </c>
      <c r="R66" s="31" t="inlineStr">
        <is>
          <t>Near 52W High Breakout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22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OPTIEMUS</t>
        </is>
      </c>
      <c r="D67" s="34" t="inlineStr">
        <is>
          <t>Optiemus Infracom Ltd</t>
        </is>
      </c>
      <c r="E67" s="31" t="inlineStr">
        <is>
          <t>telecom</t>
        </is>
      </c>
      <c r="F67" s="31" t="inlineStr">
        <is>
          <t>Telecom Services</t>
        </is>
      </c>
      <c r="G67" s="31" t="inlineStr">
        <is>
          <t>midcap</t>
        </is>
      </c>
      <c r="H67" s="32" t="n">
        <v>7483.82</v>
      </c>
      <c r="I67" s="32" t="n">
        <v>830</v>
      </c>
      <c r="J67" s="32" t="n">
        <v>17.08</v>
      </c>
      <c r="K67" s="32" t="n">
        <v>0</v>
      </c>
      <c r="L67" s="31" t="n">
        <v>78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76.95999999999999</v>
      </c>
      <c r="P67" s="32" t="n">
        <v>40.24</v>
      </c>
      <c r="Q67" s="32" t="n">
        <v>628.23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-4.9</v>
      </c>
      <c r="U67" s="32" t="n">
        <v>26.16</v>
      </c>
      <c r="V67" s="32" t="n">
        <v>32.66</v>
      </c>
      <c r="W67" s="32" t="n">
        <v>28.35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SPECTRUM</t>
        </is>
      </c>
      <c r="D68" s="31" t="inlineStr">
        <is>
          <t>Spectrum Electrical Industries Ltd</t>
        </is>
      </c>
      <c r="E68" s="31" t="inlineStr">
        <is>
          <t>industrials</t>
        </is>
      </c>
      <c r="F68" s="31" t="inlineStr">
        <is>
          <t>Capital Goods - Electric General</t>
        </is>
      </c>
      <c r="G68" s="31" t="inlineStr">
        <is>
          <t>midcap</t>
        </is>
      </c>
      <c r="H68" s="32" t="n">
        <v>5538.05</v>
      </c>
      <c r="I68" s="32" t="n">
        <v>3241</v>
      </c>
      <c r="J68" s="32" t="n">
        <v>-3.09</v>
      </c>
      <c r="K68" s="32" t="n">
        <v>0</v>
      </c>
      <c r="L68" s="31" t="n">
        <v>91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80.15000000000001</v>
      </c>
      <c r="P68" s="32" t="n">
        <v>62.75</v>
      </c>
      <c r="Q68" s="32" t="n">
        <v>2398.33</v>
      </c>
      <c r="R68" s="31" t="inlineStr">
        <is>
          <t>Near 52W High Breakout</t>
        </is>
      </c>
      <c r="S68" s="31" t="inlineStr">
        <is>
          <t>Nifty 50</t>
        </is>
      </c>
      <c r="T68" s="32" t="n">
        <v>-4.9</v>
      </c>
      <c r="U68" s="32" t="n">
        <v>135.94</v>
      </c>
      <c r="V68" s="32" t="n">
        <v>148.1</v>
      </c>
      <c r="W68" s="32" t="n">
        <v>38.73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MANINDS</t>
        </is>
      </c>
      <c r="D69" s="31" t="inlineStr">
        <is>
          <t>Man Industries (India) Ltd</t>
        </is>
      </c>
      <c r="E69" s="31" t="inlineStr">
        <is>
          <t>metals &amp; mining</t>
        </is>
      </c>
      <c r="F69" s="31" t="inlineStr">
        <is>
          <t>Steel - Tubes/Pipes</t>
        </is>
      </c>
      <c r="G69" s="31" t="inlineStr">
        <is>
          <t>midcap</t>
        </is>
      </c>
      <c r="H69" s="32" t="n">
        <v>7507.71</v>
      </c>
      <c r="I69" s="32" t="n">
        <v>1000.9</v>
      </c>
      <c r="J69" s="32" t="n">
        <v>17.77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82.59999999999999</v>
      </c>
      <c r="P69" s="32" t="n">
        <v>40.68</v>
      </c>
      <c r="Q69" s="32" t="n">
        <v>744.91</v>
      </c>
      <c r="R69" s="31" t="inlineStr">
        <is>
          <t>Volume Spike &amp; 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28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SAMBHV</t>
        </is>
      </c>
      <c r="D70" s="31" t="inlineStr">
        <is>
          <t>Sambhv Steel Tubes Ltd</t>
        </is>
      </c>
      <c r="E70" s="31" t="inlineStr">
        <is>
          <t>metals &amp; mining</t>
        </is>
      </c>
      <c r="F70" s="31" t="inlineStr">
        <is>
          <t>Steel - Tubes/Pipes</t>
        </is>
      </c>
      <c r="G70" s="31" t="inlineStr">
        <is>
          <t>smallcap</t>
        </is>
      </c>
      <c r="H70" s="32" t="n">
        <v>4643.73</v>
      </c>
      <c r="I70" s="32" t="n">
        <v>157.59</v>
      </c>
      <c r="J70" s="32" t="n">
        <v>3.72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78.04000000000001</v>
      </c>
      <c r="P70" s="32" t="n">
        <v>42.09</v>
      </c>
      <c r="Q70" s="32" t="n">
        <v>123.54</v>
      </c>
      <c r="R70" s="31" t="inlineStr">
        <is>
          <t>Volume Spike &amp; Near 52W High Breakout</t>
        </is>
      </c>
      <c r="S70" s="31" t="inlineStr">
        <is>
          <t>Nifty Metal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28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SKYGOLD</t>
        </is>
      </c>
      <c r="D71" s="31" t="inlineStr">
        <is>
          <t>Sky Gold &amp; Diamonds Ltd</t>
        </is>
      </c>
      <c r="E71" s="31" t="inlineStr">
        <is>
          <t>Consumer Cyclical</t>
        </is>
      </c>
      <c r="F71" s="31" t="inlineStr">
        <is>
          <t>Diamond, Gems &amp; Jewellery</t>
        </is>
      </c>
      <c r="G71" s="31" t="inlineStr">
        <is>
          <t>midcap</t>
        </is>
      </c>
      <c r="H71" s="32" t="n">
        <v>12266.01</v>
      </c>
      <c r="I71" s="32" t="n">
        <v>792</v>
      </c>
      <c r="J71" s="32" t="n">
        <v>-1.31</v>
      </c>
      <c r="K71" s="32" t="n">
        <v>0</v>
      </c>
      <c r="L71" s="31" t="n">
        <v>90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71.67</v>
      </c>
      <c r="P71" s="32" t="n">
        <v>67.09999999999999</v>
      </c>
      <c r="Q71" s="32" t="n">
        <v>624.96</v>
      </c>
      <c r="R71" s="31" t="inlineStr">
        <is>
          <t>Near 52W High Breakout</t>
        </is>
      </c>
      <c r="S71" s="31" t="inlineStr">
        <is>
          <t>Nifty 50</t>
        </is>
      </c>
      <c r="T71" s="32" t="n">
        <v>-4.9</v>
      </c>
      <c r="U71" s="32" t="n">
        <v>191.41</v>
      </c>
      <c r="V71" s="32" t="n">
        <v>206.43</v>
      </c>
      <c r="W71" s="32" t="n">
        <v>38.19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25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STLTECH</t>
        </is>
      </c>
      <c r="D72" s="31" t="inlineStr">
        <is>
          <t>Sterlite Technologies Ltd</t>
        </is>
      </c>
      <c r="E72" s="31" t="inlineStr">
        <is>
          <t>industrials</t>
        </is>
      </c>
      <c r="F72" s="31" t="inlineStr">
        <is>
          <t>Cables - Telecom</t>
        </is>
      </c>
      <c r="G72" s="31" t="inlineStr">
        <is>
          <t>largecap</t>
        </is>
      </c>
      <c r="H72" s="32" t="n">
        <v>44363.16</v>
      </c>
      <c r="I72" s="32" t="n">
        <v>863</v>
      </c>
      <c r="J72" s="32" t="n">
        <v>2.79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74.92</v>
      </c>
      <c r="P72" s="32" t="n">
        <v>72.02</v>
      </c>
      <c r="Q72" s="32" t="n">
        <v>655.85</v>
      </c>
      <c r="R72" s="31" t="inlineStr">
        <is>
          <t>Near 52W High Breakout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23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RGL</t>
        </is>
      </c>
      <c r="D73" s="31" t="inlineStr">
        <is>
          <t>Renaissance Global Ltd</t>
        </is>
      </c>
      <c r="E73" s="31" t="inlineStr">
        <is>
          <t>consumer discretionary</t>
        </is>
      </c>
      <c r="F73" s="31" t="inlineStr">
        <is>
          <t>Lab Grown Diamonds</t>
        </is>
      </c>
      <c r="G73" s="31" t="inlineStr">
        <is>
          <t>smallcap</t>
        </is>
      </c>
      <c r="H73" s="32" t="n">
        <v>1828.08</v>
      </c>
      <c r="I73" s="32" t="n">
        <v>170.2</v>
      </c>
      <c r="J73" s="32" t="n">
        <v>8.56</v>
      </c>
      <c r="K73" s="32" t="n">
        <v>0</v>
      </c>
      <c r="L73" s="31" t="n">
        <v>63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78.09999999999999</v>
      </c>
      <c r="P73" s="32" t="n">
        <v>31.63</v>
      </c>
      <c r="Q73" s="32" t="n">
        <v>128.56</v>
      </c>
      <c r="R73" s="31" t="inlineStr">
        <is>
          <t>Near 52W High Breakout</t>
        </is>
      </c>
      <c r="S73" s="31" t="inlineStr">
        <is>
          <t>Nifty 50</t>
        </is>
      </c>
      <c r="T73" s="32" t="n">
        <v>-4.9</v>
      </c>
      <c r="U73" s="32" t="n">
        <v>49.86</v>
      </c>
      <c r="V73" s="32" t="n">
        <v>57.58</v>
      </c>
      <c r="W73" s="32" t="n">
        <v>20.35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NEOGEN</t>
        </is>
      </c>
      <c r="D74" s="34" t="inlineStr">
        <is>
          <t>Neogen Chemicals Ltd</t>
        </is>
      </c>
      <c r="E74" s="31" t="inlineStr">
        <is>
          <t>chemicals</t>
        </is>
      </c>
      <c r="F74" s="31" t="inlineStr">
        <is>
          <t>Speciality Chemicals</t>
        </is>
      </c>
      <c r="G74" s="31" t="inlineStr">
        <is>
          <t>midcap</t>
        </is>
      </c>
      <c r="H74" s="32" t="n">
        <v>7180.14</v>
      </c>
      <c r="I74" s="32" t="n">
        <v>2390</v>
      </c>
      <c r="J74" s="32" t="n">
        <v>0.45</v>
      </c>
      <c r="K74" s="32" t="n">
        <v>0</v>
      </c>
      <c r="L74" s="31" t="n">
        <v>59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67.23999999999999</v>
      </c>
      <c r="P74" s="32" t="n">
        <v>58.15</v>
      </c>
      <c r="Q74" s="32" t="n">
        <v>1881.06</v>
      </c>
      <c r="R74" s="31" t="inlineStr">
        <is>
          <t>Near 52W High Breakout</t>
        </is>
      </c>
      <c r="S74" s="31" t="inlineStr">
        <is>
          <t>Nifty 50</t>
        </is>
      </c>
      <c r="T74" s="32" t="n">
        <v>-4.9</v>
      </c>
      <c r="U74" s="32" t="n">
        <v>57.53</v>
      </c>
      <c r="V74" s="32" t="n">
        <v>65.65000000000001</v>
      </c>
      <c r="W74" s="32" t="n">
        <v>18.48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LUMAXTECH</t>
        </is>
      </c>
      <c r="D75" s="31" t="inlineStr">
        <is>
          <t>Lumax Auto Technologies Ltd</t>
        </is>
      </c>
      <c r="E75" s="31" t="inlineStr">
        <is>
          <t>auto</t>
        </is>
      </c>
      <c r="F75" s="31" t="inlineStr">
        <is>
          <t>Auto Ancillaries - Diversified</t>
        </is>
      </c>
      <c r="G75" s="31" t="inlineStr">
        <is>
          <t>midcap</t>
        </is>
      </c>
      <c r="H75" s="32" t="n">
        <v>13965.51</v>
      </c>
      <c r="I75" s="32" t="n">
        <v>2049</v>
      </c>
      <c r="J75" s="32" t="n">
        <v>-3.18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64.75</v>
      </c>
      <c r="P75" s="32" t="n">
        <v>24.1</v>
      </c>
      <c r="Q75" s="32" t="n">
        <v>1611.67</v>
      </c>
      <c r="R75" s="31" t="inlineStr">
        <is>
          <t>Near 52W High Breakout</t>
        </is>
      </c>
      <c r="S75" s="31" t="inlineStr">
        <is>
          <t>Nifty Auto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EMUDHRA</t>
        </is>
      </c>
      <c r="D76" s="31" t="inlineStr">
        <is>
          <t>eMudhra Ltd</t>
        </is>
      </c>
      <c r="E76" s="31" t="inlineStr">
        <is>
          <t>i.t</t>
        </is>
      </c>
      <c r="F76" s="31" t="inlineStr">
        <is>
          <t>Services - Others</t>
        </is>
      </c>
      <c r="G76" s="31" t="inlineStr">
        <is>
          <t>midcap</t>
        </is>
      </c>
      <c r="H76" s="32" t="n">
        <v>5266.82</v>
      </c>
      <c r="I76" s="32" t="n">
        <v>636</v>
      </c>
      <c r="J76" s="32" t="n">
        <v>-2.04</v>
      </c>
      <c r="K76" s="32" t="n">
        <v>0</v>
      </c>
      <c r="L76" s="31" t="n">
        <v>43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66.84999999999999</v>
      </c>
      <c r="P76" s="32" t="n">
        <v>26.01</v>
      </c>
      <c r="Q76" s="32" t="n">
        <v>480.72</v>
      </c>
      <c r="R76" s="31" t="inlineStr">
        <is>
          <t>Earnings / Momentum Support</t>
        </is>
      </c>
      <c r="S76" s="31" t="inlineStr">
        <is>
          <t>Nifty IT</t>
        </is>
      </c>
      <c r="T76" s="32" t="n">
        <v>-15.93</v>
      </c>
      <c r="U76" s="32" t="n">
        <v>1.15</v>
      </c>
      <c r="V76" s="32" t="n">
        <v>20.31</v>
      </c>
      <c r="W76" s="32" t="n">
        <v>12.69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MMP</t>
        </is>
      </c>
      <c r="D77" s="31" t="inlineStr">
        <is>
          <t>MMP Industries Ltd</t>
        </is>
      </c>
      <c r="E77" s="31" t="inlineStr">
        <is>
          <t>metals &amp; mining</t>
        </is>
      </c>
      <c r="F77" s="31" t="inlineStr">
        <is>
          <t>Aluminium Products</t>
        </is>
      </c>
      <c r="G77" s="31" t="inlineStr">
        <is>
          <t>smallcap</t>
        </is>
      </c>
      <c r="H77" s="32" t="n">
        <v>1193.92</v>
      </c>
      <c r="I77" s="32" t="n">
        <v>470</v>
      </c>
      <c r="J77" s="32" t="n">
        <v>1.89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83.03</v>
      </c>
      <c r="P77" s="32" t="n">
        <v>56.5</v>
      </c>
      <c r="Q77" s="32" t="n">
        <v>351.6</v>
      </c>
      <c r="R77" s="31" t="inlineStr">
        <is>
          <t>Near 52W High Breakout</t>
        </is>
      </c>
      <c r="S77" s="31" t="inlineStr">
        <is>
          <t>Nifty Metal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YATHARTH</t>
        </is>
      </c>
      <c r="D78" s="34" t="inlineStr">
        <is>
          <t>Yatharth Hospital &amp; Trauma Care Services Ltd</t>
        </is>
      </c>
      <c r="E78" s="31" t="inlineStr">
        <is>
          <t>healthcare</t>
        </is>
      </c>
      <c r="F78" s="31" t="inlineStr">
        <is>
          <t>Hospitals</t>
        </is>
      </c>
      <c r="G78" s="31" t="inlineStr">
        <is>
          <t>midcap</t>
        </is>
      </c>
      <c r="H78" s="32" t="n">
        <v>11215.65</v>
      </c>
      <c r="I78" s="32" t="n">
        <v>1164</v>
      </c>
      <c r="J78" s="32" t="n">
        <v>3.09</v>
      </c>
      <c r="K78" s="32" t="n">
        <v>0</v>
      </c>
      <c r="L78" s="31" t="n">
        <v>57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76.56</v>
      </c>
      <c r="P78" s="32" t="n">
        <v>45.6</v>
      </c>
      <c r="Q78" s="32" t="n">
        <v>929.63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26.25</v>
      </c>
      <c r="U78" s="32" t="n">
        <v>48.83</v>
      </c>
      <c r="V78" s="32" t="n">
        <v>17.89</v>
      </c>
      <c r="W78" s="32" t="n">
        <v>17.92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ANTELOPUS</t>
        </is>
      </c>
      <c r="D79" s="31" t="inlineStr">
        <is>
          <t>Antelopus Selan Energy Ltd</t>
        </is>
      </c>
      <c r="E79" s="31" t="inlineStr">
        <is>
          <t>energy</t>
        </is>
      </c>
      <c r="F79" s="31" t="inlineStr">
        <is>
          <t>Oil Drilling &amp; Exploration</t>
        </is>
      </c>
      <c r="G79" s="31" t="inlineStr">
        <is>
          <t>smallcap</t>
        </is>
      </c>
      <c r="H79" s="32" t="n">
        <v>4103.97</v>
      </c>
      <c r="I79" s="32" t="n">
        <v>1163</v>
      </c>
      <c r="J79" s="32" t="n">
        <v>4.74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73.11</v>
      </c>
      <c r="P79" s="32" t="n">
        <v>47.27</v>
      </c>
      <c r="Q79" s="32" t="n">
        <v>798.83</v>
      </c>
      <c r="R79" s="31" t="inlineStr">
        <is>
          <t>Near 52W High Breakout</t>
        </is>
      </c>
      <c r="S79" s="31" t="inlineStr">
        <is>
          <t>Nifty Energy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30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SAPL</t>
        </is>
      </c>
      <c r="D80" s="31" t="inlineStr">
        <is>
          <t>Sar Auto Products Ltd</t>
        </is>
      </c>
      <c r="E80" s="31" t="inlineStr">
        <is>
          <t>Consumer Cyclical</t>
        </is>
      </c>
      <c r="F80" s="31" t="inlineStr">
        <is>
          <t>Auto Ancillaries - Gears</t>
        </is>
      </c>
      <c r="G80" s="31" t="inlineStr">
        <is>
          <t>smallcap</t>
        </is>
      </c>
      <c r="H80" s="32" t="n">
        <v>3525.96</v>
      </c>
      <c r="I80" s="32" t="n">
        <v>7400.1</v>
      </c>
      <c r="J80" s="32" t="n">
        <v>5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90.56</v>
      </c>
      <c r="P80" s="32" t="n">
        <v>48.06</v>
      </c>
      <c r="Q80" s="32" t="n">
        <v>5839.77</v>
      </c>
      <c r="R80" s="31" t="inlineStr">
        <is>
          <t>Volume Spike &amp; Near 52W High Breakout</t>
        </is>
      </c>
      <c r="S80" s="31" t="inlineStr">
        <is>
          <t>Nifty Auto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24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KMEW</t>
        </is>
      </c>
      <c r="D81" s="31" t="inlineStr">
        <is>
          <t>Knowledge Marine &amp; Engineering Works Ltd</t>
        </is>
      </c>
      <c r="E81" s="31" t="inlineStr">
        <is>
          <t>transportation</t>
        </is>
      </c>
      <c r="F81" s="31" t="inlineStr">
        <is>
          <t>Shipping</t>
        </is>
      </c>
      <c r="G81" s="31" t="inlineStr">
        <is>
          <t>midcap</t>
        </is>
      </c>
      <c r="H81" s="32" t="n">
        <v>7548.42</v>
      </c>
      <c r="I81" s="32" t="n">
        <v>2976</v>
      </c>
      <c r="J81" s="32" t="n">
        <v>-0.02</v>
      </c>
      <c r="K81" s="32" t="n">
        <v>0</v>
      </c>
      <c r="L81" s="31" t="n">
        <v>80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74.39</v>
      </c>
      <c r="P81" s="32" t="n">
        <v>58.63</v>
      </c>
      <c r="Q81" s="32" t="n">
        <v>2229.47</v>
      </c>
      <c r="R81" s="31" t="inlineStr">
        <is>
          <t>Near 52W High Breakout</t>
        </is>
      </c>
      <c r="S81" s="31" t="inlineStr">
        <is>
          <t>Nifty 50</t>
        </is>
      </c>
      <c r="T81" s="32" t="n">
        <v>-4.9</v>
      </c>
      <c r="U81" s="32" t="n">
        <v>140.5</v>
      </c>
      <c r="V81" s="32" t="n">
        <v>152.89</v>
      </c>
      <c r="W81" s="32" t="n">
        <v>29.28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SBC</t>
        </is>
      </c>
      <c r="D82" s="31" t="inlineStr">
        <is>
          <t>SBC Exports Ltd</t>
        </is>
      </c>
      <c r="E82" s="31" t="inlineStr">
        <is>
          <t>textiles</t>
        </is>
      </c>
      <c r="F82" s="31" t="inlineStr">
        <is>
          <t>Textiles - Readymade Apparel</t>
        </is>
      </c>
      <c r="G82" s="31" t="inlineStr">
        <is>
          <t>smallcap</t>
        </is>
      </c>
      <c r="H82" s="32" t="n">
        <v>2319.05</v>
      </c>
      <c r="I82" s="32" t="n">
        <v>48.7</v>
      </c>
      <c r="J82" s="32" t="n">
        <v>-1.08</v>
      </c>
      <c r="K82" s="32" t="n">
        <v>0</v>
      </c>
      <c r="L82" s="31" t="n">
        <v>68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74.62</v>
      </c>
      <c r="P82" s="32" t="n">
        <v>31.49</v>
      </c>
      <c r="Q82" s="32" t="n">
        <v>40.54</v>
      </c>
      <c r="R82" s="31" t="inlineStr">
        <is>
          <t>Near 52W High Breakout</t>
        </is>
      </c>
      <c r="S82" s="31" t="inlineStr">
        <is>
          <t>Nifty 50</t>
        </is>
      </c>
      <c r="T82" s="32" t="n">
        <v>-4.9</v>
      </c>
      <c r="U82" s="32" t="n">
        <v>125.94</v>
      </c>
      <c r="V82" s="32" t="n">
        <v>137.58</v>
      </c>
      <c r="W82" s="32" t="n">
        <v>21.87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21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TEGA</t>
        </is>
      </c>
      <c r="D83" s="31" t="inlineStr">
        <is>
          <t>Tega Industries Ltd</t>
        </is>
      </c>
      <c r="E83" s="31" t="inlineStr">
        <is>
          <t>industrials</t>
        </is>
      </c>
      <c r="F83" s="31" t="inlineStr">
        <is>
          <t>Capital Goods - Mining Equipement</t>
        </is>
      </c>
      <c r="G83" s="31" t="inlineStr">
        <is>
          <t>midcap</t>
        </is>
      </c>
      <c r="H83" s="32" t="n">
        <v>15581.48</v>
      </c>
      <c r="I83" s="32" t="n">
        <v>2074</v>
      </c>
      <c r="J83" s="32" t="n">
        <v>0.24</v>
      </c>
      <c r="K83" s="32" t="n">
        <v>0</v>
      </c>
      <c r="L83" s="31" t="n">
        <v>17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64.98999999999999</v>
      </c>
      <c r="P83" s="32" t="n">
        <v>12.58</v>
      </c>
      <c r="Q83" s="32" t="n">
        <v>1590.58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-4.9</v>
      </c>
      <c r="U83" s="32" t="n">
        <v>7.16</v>
      </c>
      <c r="V83" s="32" t="n">
        <v>12.68</v>
      </c>
      <c r="W83" s="32" t="n">
        <v>5.98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MUKANDLTD</t>
        </is>
      </c>
      <c r="D84" s="31" t="inlineStr">
        <is>
          <t>Mukand Ltd</t>
        </is>
      </c>
      <c r="E84" s="31" t="inlineStr">
        <is>
          <t>metals &amp; mining</t>
        </is>
      </c>
      <c r="F84" s="31" t="inlineStr">
        <is>
          <t>Steel</t>
        </is>
      </c>
      <c r="G84" s="31" t="inlineStr">
        <is>
          <t>smallcap</t>
        </is>
      </c>
      <c r="H84" s="32" t="n">
        <v>2283.03</v>
      </c>
      <c r="I84" s="32" t="n">
        <v>158</v>
      </c>
      <c r="J84" s="32" t="n">
        <v>11.73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65.41</v>
      </c>
      <c r="P84" s="32" t="n">
        <v>37.34</v>
      </c>
      <c r="Q84" s="32" t="n">
        <v>124.43</v>
      </c>
      <c r="R84" s="31" t="inlineStr">
        <is>
          <t>Volume Spike &amp; Near 52W High Breakout</t>
        </is>
      </c>
      <c r="S84" s="31" t="inlineStr">
        <is>
          <t>Nifty Metal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SPLPETRO</t>
        </is>
      </c>
      <c r="D85" s="34" t="inlineStr">
        <is>
          <t>Supreme Petrochem Ltd</t>
        </is>
      </c>
      <c r="E85" s="31" t="inlineStr">
        <is>
          <t>energy</t>
        </is>
      </c>
      <c r="F85" s="31" t="inlineStr">
        <is>
          <t>Petrochem - Polymers</t>
        </is>
      </c>
      <c r="G85" s="31" t="inlineStr">
        <is>
          <t>midcap</t>
        </is>
      </c>
      <c r="H85" s="32" t="n">
        <v>16603.11</v>
      </c>
      <c r="I85" s="32" t="n">
        <v>882.95</v>
      </c>
      <c r="J85" s="32" t="n">
        <v>2.1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68.04000000000001</v>
      </c>
      <c r="P85" s="32" t="n">
        <v>30.68</v>
      </c>
      <c r="Q85" s="32" t="n">
        <v>700.3099999999999</v>
      </c>
      <c r="R85" s="31" t="inlineStr">
        <is>
          <t>Near 52W High Breakout</t>
        </is>
      </c>
      <c r="S85" s="31" t="inlineStr">
        <is>
          <t>Nifty Energy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DYCL</t>
        </is>
      </c>
      <c r="D86" s="34" t="inlineStr">
        <is>
          <t>Dynamic Cables Ltd</t>
        </is>
      </c>
      <c r="E86" s="31" t="inlineStr">
        <is>
          <t>industrials</t>
        </is>
      </c>
      <c r="F86" s="31" t="inlineStr">
        <is>
          <t>Cables - Power</t>
        </is>
      </c>
      <c r="G86" s="31" t="inlineStr">
        <is>
          <t>smallcap</t>
        </is>
      </c>
      <c r="H86" s="32" t="n">
        <v>2328.44</v>
      </c>
      <c r="I86" s="32" t="n">
        <v>480.5</v>
      </c>
      <c r="J86" s="32" t="n">
        <v>5.9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65.92</v>
      </c>
      <c r="P86" s="32" t="n">
        <v>37.9</v>
      </c>
      <c r="Q86" s="32" t="n">
        <v>346.7</v>
      </c>
      <c r="R86" s="31" t="inlineStr">
        <is>
          <t>Near 52W High Breakout</t>
        </is>
      </c>
      <c r="S86" s="31" t="inlineStr">
        <is>
          <t>Nifty Energy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ROSSTECH</t>
        </is>
      </c>
      <c r="D87" s="31" t="inlineStr">
        <is>
          <t>Rossell Techsys Ltd</t>
        </is>
      </c>
      <c r="E87" s="31" t="inlineStr">
        <is>
          <t>aerospace &amp; defence</t>
        </is>
      </c>
      <c r="F87" s="31" t="inlineStr">
        <is>
          <t>Aerospace &amp; Defence - Equipments</t>
        </is>
      </c>
      <c r="G87" s="31" t="inlineStr">
        <is>
          <t>midcap</t>
        </is>
      </c>
      <c r="H87" s="32" t="n">
        <v>5465.99</v>
      </c>
      <c r="I87" s="32" t="n">
        <v>1450</v>
      </c>
      <c r="J87" s="32" t="n">
        <v>-2.95</v>
      </c>
      <c r="K87" s="32" t="n">
        <v>0</v>
      </c>
      <c r="L87" s="31" t="n">
        <v>78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78.68000000000001</v>
      </c>
      <c r="P87" s="32" t="n">
        <v>29.26</v>
      </c>
      <c r="Q87" s="32" t="n">
        <v>1075.6</v>
      </c>
      <c r="R87" s="31" t="inlineStr">
        <is>
          <t>Near 52W High Breakout</t>
        </is>
      </c>
      <c r="S87" s="31" t="inlineStr">
        <is>
          <t>Nifty 50</t>
        </is>
      </c>
      <c r="T87" s="32" t="n">
        <v>-4.9</v>
      </c>
      <c r="U87" s="32" t="n">
        <v>98.77</v>
      </c>
      <c r="V87" s="32" t="n">
        <v>109.01</v>
      </c>
      <c r="W87" s="32" t="n">
        <v>28.38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RATNAVEER</t>
        </is>
      </c>
      <c r="D88" s="31" t="inlineStr">
        <is>
          <t>Ratnaveer Precision Engineering Ltd</t>
        </is>
      </c>
      <c r="E88" s="31" t="inlineStr">
        <is>
          <t>metals &amp; mining</t>
        </is>
      </c>
      <c r="F88" s="31" t="inlineStr">
        <is>
          <t>Stainless Steel</t>
        </is>
      </c>
      <c r="G88" s="31" t="inlineStr">
        <is>
          <t>smallcap</t>
        </is>
      </c>
      <c r="H88" s="32" t="n">
        <v>2782.16</v>
      </c>
      <c r="I88" s="32" t="n">
        <v>331.5</v>
      </c>
      <c r="J88" s="32" t="n">
        <v>-0.24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80.77</v>
      </c>
      <c r="P88" s="32" t="n">
        <v>63.07</v>
      </c>
      <c r="Q88" s="32" t="n">
        <v>241.2</v>
      </c>
      <c r="R88" s="31" t="inlineStr">
        <is>
          <t>Near 52W High Breakout</t>
        </is>
      </c>
      <c r="S88" s="31" t="inlineStr">
        <is>
          <t>Nifty Metal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21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CUPID</t>
        </is>
      </c>
      <c r="D89" s="34" t="inlineStr">
        <is>
          <t>Cupid Ltd</t>
        </is>
      </c>
      <c r="E89" s="31" t="inlineStr">
        <is>
          <t>Consumer Defensive</t>
        </is>
      </c>
      <c r="F89" s="31" t="inlineStr">
        <is>
          <t>Contraceptives/Protectives</t>
        </is>
      </c>
      <c r="G89" s="31" t="inlineStr">
        <is>
          <t>largecap</t>
        </is>
      </c>
      <c r="H89" s="32" t="n">
        <v>37011.79</v>
      </c>
      <c r="I89" s="32" t="n">
        <v>275.25</v>
      </c>
      <c r="J89" s="32" t="n">
        <v>6.6</v>
      </c>
      <c r="K89" s="32" t="n">
        <v>0</v>
      </c>
      <c r="L89" s="31" t="n">
        <v>98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77.26000000000001</v>
      </c>
      <c r="P89" s="32" t="n">
        <v>69.05</v>
      </c>
      <c r="Q89" s="32" t="n">
        <v>223.48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-4.9</v>
      </c>
      <c r="U89" s="32" t="n">
        <v>535.3200000000001</v>
      </c>
      <c r="V89" s="32" t="n">
        <v>568.05</v>
      </c>
      <c r="W89" s="32" t="n">
        <v>65.28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AFCOM</t>
        </is>
      </c>
      <c r="D90" s="34" t="inlineStr">
        <is>
          <t>Afcom Holdings Ltd</t>
        </is>
      </c>
      <c r="E90" s="31" t="inlineStr">
        <is>
          <t>Industrials</t>
        </is>
      </c>
      <c r="F90" s="31" t="inlineStr">
        <is>
          <t>Air Transport Service</t>
        </is>
      </c>
      <c r="G90" s="31" t="inlineStr">
        <is>
          <t>smallcap</t>
        </is>
      </c>
      <c r="H90" s="32" t="n">
        <v>4232.95</v>
      </c>
      <c r="I90" s="32" t="n">
        <v>1464</v>
      </c>
      <c r="J90" s="32" t="n">
        <v>3.92</v>
      </c>
      <c r="K90" s="32" t="n">
        <v>0</v>
      </c>
      <c r="L90" s="31" t="n">
        <v>60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62.55</v>
      </c>
      <c r="P90" s="32" t="n">
        <v>45.67</v>
      </c>
      <c r="Q90" s="32" t="n">
        <v>1192.76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-4.9</v>
      </c>
      <c r="U90" s="32" t="n">
        <v>68.93000000000001</v>
      </c>
      <c r="V90" s="32" t="n">
        <v>77.63</v>
      </c>
      <c r="W90" s="32" t="n">
        <v>19.18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21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PRABHA</t>
        </is>
      </c>
      <c r="D91" s="34" t="inlineStr">
        <is>
          <t>Prabha Energy Ltd</t>
        </is>
      </c>
      <c r="E91" s="31" t="inlineStr">
        <is>
          <t>energy</t>
        </is>
      </c>
      <c r="F91" s="31" t="inlineStr">
        <is>
          <t>Oil Exploration/Allied Services</t>
        </is>
      </c>
      <c r="G91" s="31" t="inlineStr">
        <is>
          <t>smallcap</t>
        </is>
      </c>
      <c r="H91" s="32" t="n">
        <v>3665.07</v>
      </c>
      <c r="I91" s="32" t="n">
        <v>234.81</v>
      </c>
      <c r="J91" s="32" t="n">
        <v>-0.39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68.33</v>
      </c>
      <c r="P91" s="32" t="n">
        <v>29.62</v>
      </c>
      <c r="Q91" s="32" t="n">
        <v>177.74</v>
      </c>
      <c r="R91" s="31" t="inlineStr">
        <is>
          <t>Near 52W High Breakout</t>
        </is>
      </c>
      <c r="S91" s="31" t="inlineStr">
        <is>
          <t>Nifty Energy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GNFC</t>
        </is>
      </c>
      <c r="D92" s="31" t="inlineStr">
        <is>
          <t>Gujarat Narmada Valley Fertilizers &amp; Chemicals Ltd</t>
        </is>
      </c>
      <c r="E92" s="31" t="inlineStr">
        <is>
          <t>chemicals</t>
        </is>
      </c>
      <c r="F92" s="31" t="inlineStr">
        <is>
          <t>Fertilisers</t>
        </is>
      </c>
      <c r="G92" s="31" t="inlineStr">
        <is>
          <t>midcap</t>
        </is>
      </c>
      <c r="H92" s="32" t="n">
        <v>9154.4</v>
      </c>
      <c r="I92" s="32" t="n">
        <v>623</v>
      </c>
      <c r="J92" s="32" t="n">
        <v>4.06</v>
      </c>
      <c r="K92" s="32" t="n">
        <v>0</v>
      </c>
      <c r="L92" s="31" t="n">
        <v>37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73.37</v>
      </c>
      <c r="P92" s="32" t="n">
        <v>40.07</v>
      </c>
      <c r="Q92" s="32" t="n">
        <v>506.39</v>
      </c>
      <c r="R92" s="31" t="inlineStr">
        <is>
          <t>Near 52W High Breakout</t>
        </is>
      </c>
      <c r="S92" s="31" t="inlineStr">
        <is>
          <t>Nifty 50</t>
        </is>
      </c>
      <c r="T92" s="32" t="n">
        <v>-4.9</v>
      </c>
      <c r="U92" s="32" t="n">
        <v>29.92</v>
      </c>
      <c r="V92" s="32" t="n">
        <v>36.61</v>
      </c>
      <c r="W92" s="32" t="n">
        <v>11.05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Yes due to Product Mix change or Operating Leverage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Allocated capital in Non-core Areas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Sideways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More than 15%</t>
        </is>
      </c>
      <c r="CC92" s="31">
        <f>IF(CB92="More than 15%",-10,IF(CB92="Less than 15%",10,0))</f>
        <v/>
      </c>
      <c r="CD92" s="31" t="inlineStr">
        <is>
          <t>Yes Upto 10%</t>
        </is>
      </c>
      <c r="CE92" s="31">
        <f>IF(CD92="Yes, more than 10%",-10,IF(CD92="No",10,0))</f>
        <v/>
      </c>
      <c r="CF92" s="31" t="inlineStr">
        <is>
          <t>25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CAPINVIT</t>
        </is>
      </c>
      <c r="D93" s="34" t="inlineStr">
        <is>
          <t>Capital Infra Trust</t>
        </is>
      </c>
      <c r="E93" s="31" t="inlineStr">
        <is>
          <t>unknown</t>
        </is>
      </c>
      <c r="F93" s="31" t="inlineStr">
        <is>
          <t>Infra/Real Estate Investment Trust</t>
        </is>
      </c>
      <c r="G93" s="31" t="inlineStr">
        <is>
          <t>smallcap</t>
        </is>
      </c>
      <c r="H93" s="32" t="n">
        <v>3791.34</v>
      </c>
      <c r="I93" s="32" t="n">
        <v>77.13</v>
      </c>
      <c r="J93" s="32" t="n">
        <v>0.26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OBSCP</t>
        </is>
      </c>
      <c r="D94" s="34" t="inlineStr">
        <is>
          <t>OBSC Perfection Ltd</t>
        </is>
      </c>
      <c r="E94" s="31" t="inlineStr">
        <is>
          <t>unknown</t>
        </is>
      </c>
      <c r="F94" s="31" t="inlineStr">
        <is>
          <t>Auto Ancillaries - Diversified</t>
        </is>
      </c>
      <c r="G94" s="31" t="inlineStr">
        <is>
          <t>smallcap</t>
        </is>
      </c>
      <c r="H94" s="32" t="n">
        <v>2476.01</v>
      </c>
      <c r="I94" s="32" t="n">
        <v>958</v>
      </c>
      <c r="J94" s="32" t="n">
        <v>4.5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8">
      <c r="A98" s="25" t="inlineStr">
        <is>
          <t>❌ REMOVED SCAN MATCH STOCKS (THIS WEEK)</t>
        </is>
      </c>
    </row>
    <row r="99">
      <c r="A99" s="35" t="inlineStr">
        <is>
          <t>Symbol</t>
        </is>
      </c>
      <c r="B99" s="35" t="inlineStr">
        <is>
          <t>Company Name</t>
        </is>
      </c>
      <c r="C99" s="35" t="inlineStr">
        <is>
          <t>Sector</t>
        </is>
      </c>
      <c r="D99" s="35" t="inlineStr">
        <is>
          <t>Date of Removal</t>
        </is>
      </c>
    </row>
    <row r="100">
      <c r="A100" s="36" t="inlineStr">
        <is>
          <t>BIL</t>
        </is>
      </c>
      <c r="B100" s="37" t="inlineStr">
        <is>
          <t>Bhartiya International Ltd.</t>
        </is>
      </c>
      <c r="C100" s="37" t="inlineStr">
        <is>
          <t>Consumer Cyclical</t>
        </is>
      </c>
      <c r="D100" s="38" t="inlineStr">
        <is>
          <t>2026-09-23</t>
        </is>
      </c>
    </row>
    <row r="101">
      <c r="A101" s="36" t="inlineStr">
        <is>
          <t>CENTUM</t>
        </is>
      </c>
      <c r="B101" s="37" t="inlineStr">
        <is>
          <t>Centum Electronics Limited</t>
        </is>
      </c>
      <c r="C101" s="37" t="inlineStr">
        <is>
          <t>Technology</t>
        </is>
      </c>
      <c r="D101" s="38" t="inlineStr">
        <is>
          <t>2026-09-22</t>
        </is>
      </c>
    </row>
    <row r="102">
      <c r="A102" s="36" t="inlineStr">
        <is>
          <t>CRAFTSMAN</t>
        </is>
      </c>
      <c r="B102" s="37" t="inlineStr">
        <is>
          <t>CRAFTSMAN</t>
        </is>
      </c>
      <c r="C102" s="37" t="inlineStr">
        <is>
          <t>unknown</t>
        </is>
      </c>
      <c r="D102" s="38" t="inlineStr">
        <is>
          <t>2026-09-22</t>
        </is>
      </c>
    </row>
    <row r="103">
      <c r="A103" s="36" t="inlineStr">
        <is>
          <t>DEEPINDS</t>
        </is>
      </c>
      <c r="B103" s="37" t="inlineStr">
        <is>
          <t>Deep Industries Limited</t>
        </is>
      </c>
      <c r="C103" s="37" t="inlineStr">
        <is>
          <t>Energy</t>
        </is>
      </c>
      <c r="D103" s="38" t="inlineStr">
        <is>
          <t>2026-09-23</t>
        </is>
      </c>
    </row>
    <row r="104">
      <c r="A104" s="36" t="inlineStr">
        <is>
          <t>DOLPHIN</t>
        </is>
      </c>
      <c r="B104" s="37" t="inlineStr">
        <is>
          <t>Dolphin Offshore Enterprises (India) Limited</t>
        </is>
      </c>
      <c r="C104" s="37" t="inlineStr">
        <is>
          <t>Energy</t>
        </is>
      </c>
      <c r="D104" s="38" t="inlineStr">
        <is>
          <t>2026-09-22</t>
        </is>
      </c>
    </row>
    <row r="105">
      <c r="A105" s="36" t="inlineStr">
        <is>
          <t>EBGNG</t>
        </is>
      </c>
      <c r="B105" s="37" t="inlineStr">
        <is>
          <t>GNG Electronics Limited</t>
        </is>
      </c>
      <c r="C105" s="37" t="inlineStr">
        <is>
          <t>Technology</t>
        </is>
      </c>
      <c r="D105" s="38" t="inlineStr">
        <is>
          <t>2026-09-23</t>
        </is>
      </c>
    </row>
    <row r="106">
      <c r="A106" s="36" t="inlineStr">
        <is>
          <t>ELANTAS</t>
        </is>
      </c>
      <c r="B106" s="37" t="inlineStr">
        <is>
          <t>ELANTAS</t>
        </is>
      </c>
      <c r="C106" s="37" t="inlineStr">
        <is>
          <t>unknown</t>
        </is>
      </c>
      <c r="D106" s="38" t="inlineStr">
        <is>
          <t>2026-09-22</t>
        </is>
      </c>
    </row>
    <row r="107">
      <c r="A107" s="36" t="inlineStr">
        <is>
          <t>ENGINERSIN</t>
        </is>
      </c>
      <c r="B107" s="37" t="inlineStr">
        <is>
          <t>Engineers India Limited</t>
        </is>
      </c>
      <c r="C107" s="37" t="inlineStr">
        <is>
          <t>Industrials</t>
        </is>
      </c>
      <c r="D107" s="38" t="inlineStr">
        <is>
          <t>2026-09-23</t>
        </is>
      </c>
    </row>
    <row r="108">
      <c r="A108" s="36" t="inlineStr">
        <is>
          <t>FILATEX</t>
        </is>
      </c>
      <c r="B108" s="37" t="inlineStr">
        <is>
          <t>Filatex India Limited</t>
        </is>
      </c>
      <c r="C108" s="37" t="inlineStr">
        <is>
          <t>Consumer Cyclical</t>
        </is>
      </c>
      <c r="D108" s="38" t="inlineStr">
        <is>
          <t>2026-09-22</t>
        </is>
      </c>
    </row>
    <row r="109">
      <c r="A109" s="36" t="inlineStr">
        <is>
          <t>GHCLTEXTIL</t>
        </is>
      </c>
      <c r="B109" s="37" t="inlineStr">
        <is>
          <t>GHCL Textiles Limited</t>
        </is>
      </c>
      <c r="C109" s="37" t="inlineStr">
        <is>
          <t>Consumer Cyclical</t>
        </is>
      </c>
      <c r="D109" s="38" t="inlineStr">
        <is>
          <t>2026-09-23</t>
        </is>
      </c>
    </row>
    <row r="110">
      <c r="A110" s="36" t="inlineStr">
        <is>
          <t>GMMPFAUDLR</t>
        </is>
      </c>
      <c r="B110" s="37" t="inlineStr">
        <is>
          <t>GMM Pfaudler Limited</t>
        </is>
      </c>
      <c r="C110" s="37" t="inlineStr">
        <is>
          <t>Industrials</t>
        </is>
      </c>
      <c r="D110" s="38" t="inlineStr">
        <is>
          <t>2026-09-23</t>
        </is>
      </c>
    </row>
    <row r="111">
      <c r="A111" s="36" t="inlineStr">
        <is>
          <t>HFCL</t>
        </is>
      </c>
      <c r="B111" s="37" t="inlineStr">
        <is>
          <t>HFCL</t>
        </is>
      </c>
      <c r="C111" s="37" t="inlineStr">
        <is>
          <t>unknown</t>
        </is>
      </c>
      <c r="D111" s="38" t="inlineStr">
        <is>
          <t>2026-09-23</t>
        </is>
      </c>
    </row>
    <row r="112">
      <c r="A112" s="36" t="inlineStr">
        <is>
          <t>HOMEFIRST</t>
        </is>
      </c>
      <c r="B112" s="37" t="inlineStr">
        <is>
          <t>HOMEFIRST</t>
        </is>
      </c>
      <c r="C112" s="37" t="inlineStr">
        <is>
          <t>unknown</t>
        </is>
      </c>
      <c r="D112" s="38" t="inlineStr">
        <is>
          <t>2026-09-22</t>
        </is>
      </c>
    </row>
    <row r="113">
      <c r="A113" s="36" t="inlineStr">
        <is>
          <t>INDORAMA</t>
        </is>
      </c>
      <c r="B113" s="37" t="inlineStr">
        <is>
          <t>Indo Rama Synthetics (India) Limited</t>
        </is>
      </c>
      <c r="C113" s="37" t="inlineStr">
        <is>
          <t>Consumer Cyclical</t>
        </is>
      </c>
      <c r="D113" s="38" t="inlineStr">
        <is>
          <t>2026-09-22</t>
        </is>
      </c>
    </row>
    <row r="114">
      <c r="A114" s="36" t="inlineStr">
        <is>
          <t>JASH</t>
        </is>
      </c>
      <c r="B114" s="37" t="inlineStr">
        <is>
          <t>Jash Engineering Limited</t>
        </is>
      </c>
      <c r="C114" s="37" t="inlineStr">
        <is>
          <t>Industrials</t>
        </is>
      </c>
      <c r="D114" s="38" t="inlineStr">
        <is>
          <t>2026-09-23</t>
        </is>
      </c>
    </row>
    <row r="115">
      <c r="A115" s="36" t="inlineStr">
        <is>
          <t>JGCHEM</t>
        </is>
      </c>
      <c r="B115" s="37" t="inlineStr">
        <is>
          <t>J.G. Chemicals Limited</t>
        </is>
      </c>
      <c r="C115" s="37" t="inlineStr">
        <is>
          <t>Basic Materials</t>
        </is>
      </c>
      <c r="D115" s="38" t="inlineStr">
        <is>
          <t>2026-09-22</t>
        </is>
      </c>
    </row>
    <row r="116">
      <c r="A116" s="36" t="inlineStr">
        <is>
          <t>KENNAMET</t>
        </is>
      </c>
      <c r="B116" s="37" t="inlineStr">
        <is>
          <t>KENNAMET</t>
        </is>
      </c>
      <c r="C116" s="37" t="inlineStr">
        <is>
          <t>unknown</t>
        </is>
      </c>
      <c r="D116" s="38" t="inlineStr">
        <is>
          <t>2026-09-23</t>
        </is>
      </c>
    </row>
    <row r="117">
      <c r="A117" s="36" t="inlineStr">
        <is>
          <t>KRISHANA</t>
        </is>
      </c>
      <c r="B117" s="37" t="inlineStr">
        <is>
          <t>Krishana Phoschem Limited</t>
        </is>
      </c>
      <c r="C117" s="37" t="inlineStr">
        <is>
          <t>Basic Materials</t>
        </is>
      </c>
      <c r="D117" s="38" t="inlineStr">
        <is>
          <t>2026-09-23</t>
        </is>
      </c>
    </row>
    <row r="118">
      <c r="A118" s="36" t="inlineStr">
        <is>
          <t>MENONBE</t>
        </is>
      </c>
      <c r="B118" s="37" t="inlineStr">
        <is>
          <t>Menon Bearings Limited</t>
        </is>
      </c>
      <c r="C118" s="37" t="inlineStr">
        <is>
          <t>Consumer Cyclical</t>
        </is>
      </c>
      <c r="D118" s="38" t="inlineStr">
        <is>
          <t>2026-09-22</t>
        </is>
      </c>
    </row>
    <row r="119">
      <c r="A119" s="36" t="inlineStr">
        <is>
          <t>MONOLITH</t>
        </is>
      </c>
      <c r="B119" s="37" t="inlineStr">
        <is>
          <t>MONOLITH</t>
        </is>
      </c>
      <c r="C119" s="37" t="inlineStr">
        <is>
          <t>unknown</t>
        </is>
      </c>
      <c r="D119" s="38" t="inlineStr">
        <is>
          <t>2026-09-23</t>
        </is>
      </c>
    </row>
    <row r="120">
      <c r="A120" s="36" t="inlineStr">
        <is>
          <t>NOCIL</t>
        </is>
      </c>
      <c r="B120" s="37" t="inlineStr">
        <is>
          <t>NOCIL Limited</t>
        </is>
      </c>
      <c r="C120" s="37" t="inlineStr">
        <is>
          <t>Basic Materials</t>
        </is>
      </c>
      <c r="D120" s="38" t="inlineStr">
        <is>
          <t>2026-09-22</t>
        </is>
      </c>
    </row>
    <row r="121">
      <c r="A121" s="36" t="inlineStr">
        <is>
          <t>NPST</t>
        </is>
      </c>
      <c r="B121" s="37" t="inlineStr">
        <is>
          <t>Network People Services Technologies Limited</t>
        </is>
      </c>
      <c r="C121" s="37" t="inlineStr">
        <is>
          <t>Technology</t>
        </is>
      </c>
      <c r="D121" s="38" t="inlineStr">
        <is>
          <t>2026-09-23</t>
        </is>
      </c>
    </row>
    <row r="122">
      <c r="A122" s="36" t="inlineStr">
        <is>
          <t>PIRAMALFIN</t>
        </is>
      </c>
      <c r="B122" s="37" t="inlineStr">
        <is>
          <t>PIRAMALFIN</t>
        </is>
      </c>
      <c r="C122" s="37" t="inlineStr">
        <is>
          <t>unknown</t>
        </is>
      </c>
      <c r="D122" s="38" t="inlineStr">
        <is>
          <t>2026-09-22</t>
        </is>
      </c>
    </row>
    <row r="123">
      <c r="A123" s="36" t="inlineStr">
        <is>
          <t>RAYMOND</t>
        </is>
      </c>
      <c r="B123" s="37" t="inlineStr">
        <is>
          <t>Raymond Limited</t>
        </is>
      </c>
      <c r="C123" s="37" t="inlineStr">
        <is>
          <t>Industrials</t>
        </is>
      </c>
      <c r="D123" s="38" t="inlineStr">
        <is>
          <t>2026-09-22</t>
        </is>
      </c>
    </row>
    <row r="124">
      <c r="A124" s="36" t="inlineStr">
        <is>
          <t>RML</t>
        </is>
      </c>
      <c r="B124" s="37" t="inlineStr">
        <is>
          <t>Rane (Madras) Limited</t>
        </is>
      </c>
      <c r="C124" s="37" t="inlineStr">
        <is>
          <t>Consumer Cyclical</t>
        </is>
      </c>
      <c r="D124" s="38" t="inlineStr">
        <is>
          <t>2026-09-22</t>
        </is>
      </c>
    </row>
    <row r="125">
      <c r="A125" s="36" t="inlineStr">
        <is>
          <t>SHUKRAPHAR</t>
        </is>
      </c>
      <c r="B125" s="37" t="inlineStr">
        <is>
          <t>SHUKRAPHAR</t>
        </is>
      </c>
      <c r="C125" s="37" t="inlineStr">
        <is>
          <t>unknown</t>
        </is>
      </c>
      <c r="D125" s="38" t="inlineStr">
        <is>
          <t>2026-09-23</t>
        </is>
      </c>
    </row>
    <row r="126">
      <c r="A126" s="36" t="inlineStr">
        <is>
          <t>SOTL</t>
        </is>
      </c>
      <c r="B126" s="37" t="inlineStr">
        <is>
          <t>SOTL</t>
        </is>
      </c>
      <c r="C126" s="37" t="inlineStr">
        <is>
          <t>unknown</t>
        </is>
      </c>
      <c r="D126" s="38" t="inlineStr">
        <is>
          <t>2026-09-23</t>
        </is>
      </c>
    </row>
    <row r="127">
      <c r="A127" s="36" t="inlineStr">
        <is>
          <t>SPICELOUNG</t>
        </is>
      </c>
      <c r="B127" s="37" t="inlineStr">
        <is>
          <t>SPICELOUNG</t>
        </is>
      </c>
      <c r="C127" s="37" t="inlineStr">
        <is>
          <t>unknown</t>
        </is>
      </c>
      <c r="D127" s="38" t="inlineStr">
        <is>
          <t>2026-09-23</t>
        </is>
      </c>
    </row>
    <row r="128">
      <c r="A128" s="36" t="inlineStr">
        <is>
          <t>SRHHYPOLTD</t>
        </is>
      </c>
      <c r="B128" s="37" t="inlineStr">
        <is>
          <t>Sree Rayalaseema Hi-Strength Hypo Limited</t>
        </is>
      </c>
      <c r="C128" s="37" t="inlineStr">
        <is>
          <t>Basic Materials</t>
        </is>
      </c>
      <c r="D128" s="38" t="inlineStr">
        <is>
          <t>2026-09-22</t>
        </is>
      </c>
    </row>
    <row r="129">
      <c r="A129" s="36" t="inlineStr">
        <is>
          <t>SUNRAKSHAK</t>
        </is>
      </c>
      <c r="B129" s="37" t="inlineStr">
        <is>
          <t>SUNRAKSHAK</t>
        </is>
      </c>
      <c r="C129" s="37" t="inlineStr">
        <is>
          <t>unknown</t>
        </is>
      </c>
      <c r="D129" s="38" t="inlineStr">
        <is>
          <t>2026-09-22</t>
        </is>
      </c>
    </row>
    <row r="130">
      <c r="A130" s="36" t="inlineStr">
        <is>
          <t>TAALTECH</t>
        </is>
      </c>
      <c r="B130" s="37" t="inlineStr">
        <is>
          <t>TAALTECH</t>
        </is>
      </c>
      <c r="C130" s="37" t="inlineStr">
        <is>
          <t>unknown</t>
        </is>
      </c>
      <c r="D130" s="38" t="inlineStr">
        <is>
          <t>2026-09-22</t>
        </is>
      </c>
    </row>
    <row r="131">
      <c r="A131" s="36" t="inlineStr">
        <is>
          <t>TEGA</t>
        </is>
      </c>
      <c r="B131" s="37" t="inlineStr">
        <is>
          <t>Tega Industries Limited</t>
        </is>
      </c>
      <c r="C131" s="37" t="inlineStr">
        <is>
          <t>Industrials</t>
        </is>
      </c>
      <c r="D131" s="38" t="inlineStr">
        <is>
          <t>2026-09-22</t>
        </is>
      </c>
    </row>
    <row r="132">
      <c r="A132" s="36" t="inlineStr">
        <is>
          <t>TNPETRO</t>
        </is>
      </c>
      <c r="B132" s="37" t="inlineStr">
        <is>
          <t>Tamilnadu Petroproducts Limited</t>
        </is>
      </c>
      <c r="C132" s="37" t="inlineStr">
        <is>
          <t>Basic Materials</t>
        </is>
      </c>
      <c r="D132" s="38" t="inlineStr">
        <is>
          <t>2026-09-23</t>
        </is>
      </c>
    </row>
    <row r="133">
      <c r="A133" s="36" t="inlineStr">
        <is>
          <t>UNIMECH</t>
        </is>
      </c>
      <c r="B133" s="37" t="inlineStr">
        <is>
          <t>Unimech Aerospace and Manufacturing Limited</t>
        </is>
      </c>
      <c r="C133" s="37" t="inlineStr">
        <is>
          <t>Industrials</t>
        </is>
      </c>
      <c r="D133" s="38" t="inlineStr">
        <is>
          <t>2026-09-22</t>
        </is>
      </c>
    </row>
    <row r="134">
      <c r="A134" s="36" t="inlineStr">
        <is>
          <t>UNIPARTS</t>
        </is>
      </c>
      <c r="B134" s="37" t="inlineStr">
        <is>
          <t>UNIPARTS</t>
        </is>
      </c>
      <c r="C134" s="37" t="inlineStr">
        <is>
          <t>unknown</t>
        </is>
      </c>
      <c r="D134" s="38" t="inlineStr">
        <is>
          <t>2026-09-23</t>
        </is>
      </c>
    </row>
    <row r="135">
      <c r="A135" s="36" t="inlineStr">
        <is>
          <t>WELSPUNLIV</t>
        </is>
      </c>
      <c r="B135" s="37" t="inlineStr">
        <is>
          <t>Welspun Living Limited</t>
        </is>
      </c>
      <c r="C135" s="37" t="inlineStr">
        <is>
          <t>Consumer Cyclical</t>
        </is>
      </c>
      <c r="D135" s="38" t="inlineStr">
        <is>
          <t>2026-09-23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SHAREINDIA</t>
        </is>
      </c>
      <c r="D2" s="31" t="inlineStr">
        <is>
          <t>Share India Securities Ltd</t>
        </is>
      </c>
      <c r="E2" s="31" t="inlineStr">
        <is>
          <t>financials</t>
        </is>
      </c>
      <c r="F2" s="31" t="inlineStr">
        <is>
          <t>Finance - Capital Markets - Brokers</t>
        </is>
      </c>
      <c r="G2" s="31" t="inlineStr">
        <is>
          <t>smallcap</t>
        </is>
      </c>
      <c r="H2" s="32" t="n">
        <v>4784.18</v>
      </c>
      <c r="I2" s="32" t="n">
        <v>218.63</v>
      </c>
      <c r="J2" s="32" t="n">
        <v>-2.1</v>
      </c>
      <c r="K2" s="32" t="n">
        <v>0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69.36</v>
      </c>
      <c r="P2" s="32" t="n">
        <v>37.92</v>
      </c>
      <c r="Q2" s="32" t="n">
        <v>173.02</v>
      </c>
      <c r="R2" s="31" t="inlineStr">
        <is>
          <t>Near 52W High Breakout</t>
        </is>
      </c>
      <c r="S2" s="31" t="inlineStr">
        <is>
          <t>Nifty Bank</t>
        </is>
      </c>
      <c r="T2" s="32" t="n">
        <v>3.97</v>
      </c>
      <c r="U2" s="32" t="n">
        <v>73.68000000000001</v>
      </c>
      <c r="V2" s="32" t="n">
        <v>67.04000000000001</v>
      </c>
      <c r="W2" s="32" t="n">
        <v>28.65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22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- Capital Markets - Brokers</t>
        </is>
      </c>
      <c r="G3" s="31" t="inlineStr">
        <is>
          <t>midcap</t>
        </is>
      </c>
      <c r="H3" s="32" t="n">
        <v>8272.139999999999</v>
      </c>
      <c r="I3" s="32" t="n">
        <v>90.48999999999999</v>
      </c>
      <c r="J3" s="32" t="n">
        <v>-3.15</v>
      </c>
      <c r="K3" s="32" t="n">
        <v>0</v>
      </c>
      <c r="L3" s="31" t="n">
        <v>86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82.95</v>
      </c>
      <c r="P3" s="32" t="n">
        <v>70.8</v>
      </c>
      <c r="Q3" s="32" t="n">
        <v>71.94</v>
      </c>
      <c r="R3" s="31" t="inlineStr">
        <is>
          <t>Near 52W High Breakout</t>
        </is>
      </c>
      <c r="S3" s="31" t="inlineStr">
        <is>
          <t>Nifty Bank</t>
        </is>
      </c>
      <c r="T3" s="32" t="n">
        <v>3.97</v>
      </c>
      <c r="U3" s="32" t="n">
        <v>138.85</v>
      </c>
      <c r="V3" s="32" t="n">
        <v>129.73</v>
      </c>
      <c r="W3" s="32" t="n">
        <v>33.67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midcap</t>
        </is>
      </c>
      <c r="H4" s="32" t="n">
        <v>6527.98</v>
      </c>
      <c r="I4" s="32" t="n">
        <v>141</v>
      </c>
      <c r="J4" s="32" t="n">
        <v>0.14</v>
      </c>
      <c r="K4" s="32" t="n">
        <v>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82.17</v>
      </c>
      <c r="P4" s="32" t="n">
        <v>70.48999999999999</v>
      </c>
      <c r="Q4" s="32" t="n">
        <v>115.85</v>
      </c>
      <c r="R4" s="31" t="inlineStr">
        <is>
          <t>Near 52W High Breakout</t>
        </is>
      </c>
      <c r="S4" s="31" t="inlineStr">
        <is>
          <t>Nifty Bank</t>
        </is>
      </c>
      <c r="T4" s="32" t="n">
        <v>3.97</v>
      </c>
      <c r="U4" s="32" t="n">
        <v>95.98999999999999</v>
      </c>
      <c r="V4" s="32" t="n">
        <v>88.51000000000001</v>
      </c>
      <c r="W4" s="32" t="n">
        <v>34.65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CGCL</t>
        </is>
      </c>
      <c r="D5" s="31" t="inlineStr">
        <is>
          <t>Capri Global Capital Ltd</t>
        </is>
      </c>
      <c r="E5" s="31" t="inlineStr">
        <is>
          <t>financials</t>
        </is>
      </c>
      <c r="F5" s="31" t="inlineStr">
        <is>
          <t>Finance &amp; Investments - Gold Loan</t>
        </is>
      </c>
      <c r="G5" s="31" t="inlineStr">
        <is>
          <t>largecap</t>
        </is>
      </c>
      <c r="H5" s="32" t="n">
        <v>25872.32</v>
      </c>
      <c r="I5" s="32" t="n">
        <v>268.9</v>
      </c>
      <c r="J5" s="32" t="n">
        <v>0.6899999999999999</v>
      </c>
      <c r="K5" s="32" t="n">
        <v>0</v>
      </c>
      <c r="L5" s="31" t="n">
        <v>46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66.94</v>
      </c>
      <c r="P5" s="32" t="n">
        <v>38.8</v>
      </c>
      <c r="Q5" s="32" t="n">
        <v>220.37</v>
      </c>
      <c r="R5" s="31" t="inlineStr">
        <is>
          <t>Near 52W High Breakout</t>
        </is>
      </c>
      <c r="S5" s="31" t="inlineStr">
        <is>
          <t>Nifty Bank</t>
        </is>
      </c>
      <c r="T5" s="32" t="n">
        <v>3.97</v>
      </c>
      <c r="U5" s="32" t="n">
        <v>45.09</v>
      </c>
      <c r="V5" s="32" t="n">
        <v>39.55</v>
      </c>
      <c r="W5" s="32" t="n">
        <v>13.54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ALGOQUANT</t>
        </is>
      </c>
      <c r="D6" s="31" t="inlineStr">
        <is>
          <t>Algoquant Fintech Ltd</t>
        </is>
      </c>
      <c r="E6" s="31" t="inlineStr">
        <is>
          <t>Financial Services</t>
        </is>
      </c>
      <c r="F6" s="31" t="inlineStr">
        <is>
          <t>Finance &amp; Investments - Others</t>
        </is>
      </c>
      <c r="G6" s="31" t="inlineStr">
        <is>
          <t>smallcap</t>
        </is>
      </c>
      <c r="H6" s="32" t="n">
        <v>2029.51</v>
      </c>
      <c r="I6" s="32" t="n">
        <v>72.2</v>
      </c>
      <c r="J6" s="32" t="n">
        <v>-0.19</v>
      </c>
      <c r="K6" s="32" t="n">
        <v>0</v>
      </c>
      <c r="L6" s="31" t="n">
        <v>12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65.61</v>
      </c>
      <c r="P6" s="32" t="n">
        <v>28.58</v>
      </c>
      <c r="Q6" s="32" t="n">
        <v>53.98</v>
      </c>
      <c r="R6" s="31" t="inlineStr">
        <is>
          <t>Near 52W High Breakout</t>
        </is>
      </c>
      <c r="S6" s="31" t="inlineStr">
        <is>
          <t>Nifty Bank</t>
        </is>
      </c>
      <c r="T6" s="32" t="n">
        <v>-4.56</v>
      </c>
      <c r="U6" s="32" t="n">
        <v>7.37</v>
      </c>
      <c r="V6" s="32" t="n">
        <v>12.5</v>
      </c>
      <c r="W6" s="32" t="n">
        <v>4.39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23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GCSL</t>
        </is>
      </c>
      <c r="D7" s="31" t="inlineStr">
        <is>
          <t>Gretex Corporate Services Ltd</t>
        </is>
      </c>
      <c r="E7" s="31" t="inlineStr">
        <is>
          <t>financials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1612.97</v>
      </c>
      <c r="I7" s="32" t="n">
        <v>645.05</v>
      </c>
      <c r="J7" s="32" t="n">
        <v>1.03</v>
      </c>
      <c r="K7" s="32" t="n">
        <v>0</v>
      </c>
      <c r="L7" s="31" t="n">
        <v>85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77.91</v>
      </c>
      <c r="P7" s="32" t="n">
        <v>33.33</v>
      </c>
      <c r="Q7" s="32" t="n">
        <v>508.08</v>
      </c>
      <c r="R7" s="31" t="inlineStr">
        <is>
          <t>Near 52W High Breakout</t>
        </is>
      </c>
      <c r="S7" s="31" t="inlineStr">
        <is>
          <t>Nifty Bank</t>
        </is>
      </c>
      <c r="T7" s="32" t="n">
        <v>3.97</v>
      </c>
      <c r="U7" s="32" t="n">
        <v>148.49</v>
      </c>
      <c r="V7" s="32" t="n">
        <v>139</v>
      </c>
      <c r="W7" s="32" t="n">
        <v>32.97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24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FEDDERSHOL</t>
        </is>
      </c>
      <c r="D8" s="31" t="inlineStr">
        <is>
          <t>Fedders Holding Ltd</t>
        </is>
      </c>
      <c r="E8" s="31" t="inlineStr">
        <is>
          <t>Financial Services</t>
        </is>
      </c>
      <c r="F8" s="31" t="inlineStr">
        <is>
          <t>Finance &amp; Investments - Others</t>
        </is>
      </c>
      <c r="G8" s="31" t="inlineStr">
        <is>
          <t>smallcap</t>
        </is>
      </c>
      <c r="H8" s="32" t="n">
        <v>1353.52</v>
      </c>
      <c r="I8" s="32" t="n">
        <v>67.2</v>
      </c>
      <c r="J8" s="32" t="n">
        <v>5.88</v>
      </c>
      <c r="K8" s="32" t="n">
        <v>0</v>
      </c>
      <c r="L8" s="31" t="n">
        <v>62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78.09</v>
      </c>
      <c r="P8" s="32" t="n">
        <v>33.37</v>
      </c>
      <c r="Q8" s="32" t="n">
        <v>48.83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3.97</v>
      </c>
      <c r="U8" s="32" t="n">
        <v>17.71</v>
      </c>
      <c r="V8" s="32" t="n">
        <v>13.21</v>
      </c>
      <c r="W8" s="32" t="n">
        <v>20.21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21</t>
        </is>
      </c>
      <c r="CC8" s="31">
        <f>IF(CB8&gt;20,10,IF(CB8&gt;=10,5,2))</f>
        <v/>
      </c>
    </row>
    <row r="12">
      <c r="A12" s="25" t="inlineStr">
        <is>
          <t>❌ REMOVED SCAN MATCH STOCKS (THIS WEEK)</t>
        </is>
      </c>
    </row>
    <row r="13">
      <c r="A13" s="35" t="inlineStr">
        <is>
          <t>Symbol</t>
        </is>
      </c>
      <c r="B13" s="35" t="inlineStr">
        <is>
          <t>Company Name</t>
        </is>
      </c>
      <c r="C13" s="35" t="inlineStr">
        <is>
          <t>Sector</t>
        </is>
      </c>
      <c r="D13" s="35" t="inlineStr">
        <is>
          <t>Date of Removal</t>
        </is>
      </c>
    </row>
    <row r="14">
      <c r="A14" s="36" t="inlineStr">
        <is>
          <t>TFCILTD</t>
        </is>
      </c>
      <c r="B14" s="37" t="inlineStr">
        <is>
          <t>Tourism Finance Corporation of India Limited</t>
        </is>
      </c>
      <c r="C14" s="37" t="inlineStr">
        <is>
          <t>Financial Services</t>
        </is>
      </c>
      <c r="D14" s="38" t="inlineStr">
        <is>
          <t>2026-09-23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2026-09-23T15:06:40Z</dcterms:created>
  <dcterms:modified xmlns:dcterms="http://purl.org/dc/terms/" xmlns:xsi="http://www.w3.org/2001/XMLSchema-instance" xsi:type="dcterms:W3CDTF">2026-09-23T15:07:52Z</dcterms:modified>
</cp:coreProperties>
</file>